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Atlantic/Atlantic_ECOTRAN_K-path_versions/"/>
    </mc:Choice>
  </mc:AlternateContent>
  <xr:revisionPtr revIDLastSave="0" documentId="13_ncr:1_{EE272643-1820-9341-AC5D-226563F1845C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Main!$C$2:$N$63</definedName>
    <definedName name="matDetritus">Detritus!$C$2:$F$63</definedName>
    <definedName name="matDiet">Diets!$B$2:$AY$55</definedName>
    <definedName name="matDiscards">Discards!$C$2:$K$54</definedName>
    <definedName name="matFishery">Fishing!$C$2:$K$54</definedName>
    <definedName name="matFishing">Fishing!#REF!</definedName>
    <definedName name="matMort">Mortalities!$A$1:$BM$54</definedName>
    <definedName name="matOut">MainOutputs!$A$2:$I$63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2" i="1"/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<sst xmlns="http://schemas.openxmlformats.org/spreadsheetml/2006/main" count="1520" uniqueCount="268">
  <si>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</si>
  <si>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</si>
  <si>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</si>
  <si>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</si>
  <si>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</si>
  <si>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</si>
  <si>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</si>
  <si>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</si>
  <si>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</si>
  <si>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</si>
  <si>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</si>
  <si>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</si>
  <si>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</si>
  <si>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</si>
  <si>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</si>
  <si>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</si>
  <si>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</si>
  <si>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</si>
  <si>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</si>
  <si>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</si>
  <si>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</si>
  <si>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</si>
  <si>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</si>
  <si>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</si>
  <si>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</si>
  <si>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</si>
  <si>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</si>
  <si>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</si>
  <si>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</si>
  <si>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</si>
  <si>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</si>
  <si>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</si>
  <si>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</si>
  <si>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</si>
  <si>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</si>
  <si>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</si>
  <si>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</si>
  <si>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</si>
  <si>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</si>
  <si>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</si>
  <si>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</si>
  <si>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</si>
  <si>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</si>
  <si>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</si>
  <si>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</si>
  <si>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</si>
  <si>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</si>
  <si>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</si>
  <si>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</si>
  <si>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</si>
  <si>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</si>
  <si>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</si>
  <si>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</si>
  <si>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</si>
  <si>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</si>
  <si>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</si>
  <si>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</si>
  <si>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</si>
  <si>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</si>
  <si>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</si>
  <si>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</si>
  <si>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</si>
  <si>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</si>
  <si>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</si>
  <si>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</si>
  <si>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</si>
  <si>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</si>
  <si>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</si>
  <si>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</si>
  <si>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</si>
  <si>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</si>
  <si>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</si>
  <si>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</si>
  <si>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</si>
  <si>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</si>
  <si>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</si>
  <si>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</si>
  <si>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</si>
  <si>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</si>
  <si>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</si>
  <si>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</si>
  <si>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</si>
  <si>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</si>
  <si>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</si>
  <si>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</si>
  <si>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</si>
  <si>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</si>
  <si>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</si>
  <si>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</si>
  <si>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</si>
  <si>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</si>
  <si>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</si>
  <si>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</si>
  <si>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</si>
  <si>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</si>
  <si>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</si>
  <si>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</si>
  <si>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</si>
  <si>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</si>
  <si>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</si>
  <si>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</si>
  <si>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</si>
  <si>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</si>
  <si>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</si>
  <si>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</si>
  <si>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</si>
  <si>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</si>
  <si>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</si>
  <si>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</si>
  <si>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</si>
  <si>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</si>
  <si>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</si>
  <si>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</si>
  <si>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</si>
  <si>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</si>
  <si>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</si>
  <si>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</si>
  <si>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</si>
  <si>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</si>
  <si>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</si>
  <si>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</si>
  <si>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</si>
  <si>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</si>
  <si>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</si>
  <si>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</si>
  <si>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</si>
  <si>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</si>
  <si>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</si>
  <si>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</si>
  <si>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</si>
  <si>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</si>
  <si>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</si>
  <si>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</si>
  <si>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</si>
  <si>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</si>
  <si>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</si>
  <si>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</si>
  <si>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</si>
  <si>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</si>
  <si>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</si>
  <si>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</si>
  <si>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</si>
  <si>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</si>
  <si>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</si>
  <si>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</si>
  <si>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</si>
  <si>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</si>
  <si>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</si>
  <si>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</si>
  <si>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</si>
  <si>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</si>
  <si>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</si>
  <si>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</si>
  <si>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</si>
  <si>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</si>
  <si>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</si>
  <si>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</si>
  <si>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</si>
  <si>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</si>
  <si>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</si>
  <si>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</si>
  <si>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</si>
  <si>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</si>
  <si>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</si>
  <si>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</si>
  <si>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</si>
  <si>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</si>
  <si>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</si>
  <si>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</si>
  <si>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</si>
  <si>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</si>
  <si>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</si>
  <si>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</si>
  <si>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</si>
  <si>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</si>
  <si>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</si>
  <si>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</si>
  <si>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</si>
  <si>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</si>
  <si>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</si>
  <si>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</si>
  <si>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</si>
  <si>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</si>
  <si>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</si>
  <si>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</si>
  <si>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Western Channel</t>
  </si>
  <si>
    <t>France,U.K. of Great Britain and Northern Ireland</t>
  </si>
  <si>
    <t>BOX(-7.00000001950977 48.0000000024435,-0.99999991561018 51.0000000252608)</t>
  </si>
  <si>
    <t>channel/strait</t>
  </si>
  <si>
    <t>WetWeight</t>
  </si>
  <si>
    <t>31/01/2005 12:55:15; 31/01/2005 13:02:54; 31/01/2005 13:25:52; 08/02/2005 13:57:18; 08/02/2005 14:21:08; 08/02/2005 16:57:54; 08/02/2005 18:47:44; 27/02/2006 11:26:48; 6/25/2015 5:59:43 AM</t>
  </si>
  <si>
    <t>Araújo J.N.,Mackinson S.,Ellis J.R.,Hart P.J.B.(2005). An Ecopath model of the western English Channel ecosystem with an exploration of its dynamic properties Science Series Technical Report</t>
  </si>
  <si>
    <t>Primary produce</t>
  </si>
  <si>
    <t>Microzooplankton</t>
  </si>
  <si>
    <t>Mesozooplankton</t>
  </si>
  <si>
    <t>Marozooplankton</t>
  </si>
  <si>
    <t>deposit feeders</t>
  </si>
  <si>
    <t>suspension feed</t>
  </si>
  <si>
    <t>Shrimp and Praw</t>
  </si>
  <si>
    <t>Whelk</t>
  </si>
  <si>
    <t>Echinoderms</t>
  </si>
  <si>
    <t>Bivalves</t>
  </si>
  <si>
    <t>scallops</t>
  </si>
  <si>
    <t>Crab</t>
  </si>
  <si>
    <t>Commercial crab</t>
  </si>
  <si>
    <t>lobster</t>
  </si>
  <si>
    <t>small demersals</t>
  </si>
  <si>
    <t>small gadoids</t>
  </si>
  <si>
    <t>mullet</t>
  </si>
  <si>
    <t>Sole Juv</t>
  </si>
  <si>
    <t>Sole Ad</t>
  </si>
  <si>
    <t>Plaice Juv</t>
  </si>
  <si>
    <t>Plaice Ad</t>
  </si>
  <si>
    <t>Dab</t>
  </si>
  <si>
    <t>Flatfish 1</t>
  </si>
  <si>
    <t>Flatfish 2</t>
  </si>
  <si>
    <t>Gurnards</t>
  </si>
  <si>
    <t>Whiting Juv</t>
  </si>
  <si>
    <t>Whiting Ad</t>
  </si>
  <si>
    <t>Cod Juv</t>
  </si>
  <si>
    <t>Cod Ad</t>
  </si>
  <si>
    <t>Hake</t>
  </si>
  <si>
    <t>Dogfish</t>
  </si>
  <si>
    <t>Rays</t>
  </si>
  <si>
    <t>Pollack</t>
  </si>
  <si>
    <t>Monkfishes</t>
  </si>
  <si>
    <t>Large bottom</t>
  </si>
  <si>
    <t>Seabreams</t>
  </si>
  <si>
    <t>John Dory</t>
  </si>
  <si>
    <t>Sandeels</t>
  </si>
  <si>
    <t>Herring</t>
  </si>
  <si>
    <t>Sprat</t>
  </si>
  <si>
    <t>pilchard</t>
  </si>
  <si>
    <t>Mackerel</t>
  </si>
  <si>
    <t>Scad</t>
  </si>
  <si>
    <t>Bass</t>
  </si>
  <si>
    <t>Sharks</t>
  </si>
  <si>
    <t>Basking shark</t>
  </si>
  <si>
    <t>Cephalopods</t>
  </si>
  <si>
    <t>seabirds</t>
  </si>
  <si>
    <t>toothed mammals</t>
  </si>
  <si>
    <t>seals</t>
  </si>
  <si>
    <t>Discarded catch</t>
  </si>
  <si>
    <t>Detritus</t>
  </si>
  <si>
    <t>detritus_TerminalBenthic</t>
  </si>
  <si>
    <t>Otter trawl</t>
  </si>
  <si>
    <t>Beam trawl</t>
  </si>
  <si>
    <t>Midwater trawl</t>
  </si>
  <si>
    <t>Dredge</t>
  </si>
  <si>
    <t>Net</t>
  </si>
  <si>
    <t>Pot</t>
  </si>
  <si>
    <t>Lining</t>
  </si>
  <si>
    <t>Seaweed</t>
  </si>
  <si>
    <t>Recreational</t>
  </si>
  <si>
    <t>Import</t>
  </si>
  <si>
    <t>export</t>
  </si>
  <si>
    <t>sum</t>
  </si>
  <si>
    <t>TOTAL</t>
  </si>
  <si>
    <t>F Otter trawl</t>
  </si>
  <si>
    <t>F Beam trawl</t>
  </si>
  <si>
    <t>F Midwater trawl</t>
  </si>
  <si>
    <t>F Dredge</t>
  </si>
  <si>
    <t>F Net</t>
  </si>
  <si>
    <t>F Pot</t>
  </si>
  <si>
    <t>F Lining</t>
  </si>
  <si>
    <t>F Seaweed</t>
  </si>
  <si>
    <t>F Recreational</t>
  </si>
  <si>
    <t>&lt;&lt;--original ba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</si>
</sst>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8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FFC300"/>
        <bgColor indexed="64"/>
      </patternFill>
    </fill>
    <fill>
      <patternFill patternType="solid">
        <fgColor rgb="FFFFCE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FF34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34B95"/>
        <bgColor indexed="64"/>
      </patternFill>
    </fill>
    <fill>
      <patternFill patternType="solid">
        <fgColor rgb="FFCE0A0E"/>
        <bgColor indexed="64"/>
      </patternFill>
    </fill>
    <fill>
      <patternFill patternType="solid">
        <fgColor rgb="FF905069"/>
        <bgColor indexed="64"/>
      </patternFill>
    </fill>
    <fill>
      <patternFill patternType="solid">
        <fgColor rgb="FF82BB73"/>
        <bgColor indexed="64"/>
      </patternFill>
    </fill>
    <fill>
      <patternFill patternType="solid">
        <fgColor rgb="FF521368"/>
        <bgColor indexed="64"/>
      </patternFill>
    </fill>
    <fill>
      <patternFill patternType="solid">
        <fgColor rgb="FF92C394"/>
        <bgColor indexed="64"/>
      </patternFill>
    </fill>
    <fill>
      <patternFill patternType="solid">
        <fgColor rgb="FFA6CE6A"/>
        <bgColor indexed="64"/>
      </patternFill>
    </fill>
    <fill>
      <patternFill patternType="solid">
        <fgColor rgb="FFCBB8B1"/>
        <bgColor indexed="64"/>
      </patternFill>
    </fill>
    <fill>
      <patternFill patternType="solid">
        <fgColor rgb="FFBA31C5"/>
        <bgColor indexed="64"/>
      </patternFill>
    </fill>
    <fill>
      <patternFill patternType="solid">
        <fgColor rgb="FF123FF2"/>
        <bgColor indexed="64"/>
      </patternFill>
    </fill>
    <fill>
      <patternFill patternType="solid">
        <fgColor rgb="FFD1382F"/>
        <bgColor indexed="64"/>
      </patternFill>
    </fill>
    <fill>
      <patternFill patternType="solid">
        <fgColor rgb="FF3CEC42"/>
        <bgColor indexed="64"/>
      </patternFill>
    </fill>
    <fill>
      <patternFill patternType="solid">
        <fgColor rgb="FF41B6AA"/>
        <bgColor indexed="64"/>
      </patternFill>
    </fill>
    <fill>
      <patternFill patternType="solid">
        <fgColor rgb="FFC5C24F"/>
        <bgColor indexed="64"/>
      </patternFill>
    </fill>
    <fill>
      <patternFill patternType="solid">
        <fgColor rgb="FFD2B7E4"/>
        <bgColor indexed="64"/>
      </patternFill>
    </fill>
    <fill>
      <patternFill patternType="solid">
        <fgColor rgb="FF395B8D"/>
        <bgColor indexed="64"/>
      </patternFill>
    </fill>
    <fill>
      <patternFill patternType="solid">
        <fgColor rgb="FF5B3494"/>
        <bgColor indexed="64"/>
      </patternFill>
    </fill>
    <fill>
      <patternFill patternType="solid">
        <fgColor rgb="FFA12410"/>
        <bgColor indexed="64"/>
      </patternFill>
    </fill>
    <fill>
      <patternFill patternType="solid">
        <fgColor rgb="FFA2D6A3"/>
        <bgColor indexed="64"/>
      </patternFill>
    </fill>
    <fill>
      <patternFill patternType="solid">
        <fgColor rgb="FF6C307E"/>
        <bgColor indexed="64"/>
      </patternFill>
    </fill>
    <fill>
      <patternFill patternType="solid">
        <fgColor rgb="FFF8C461"/>
        <bgColor indexed="64"/>
      </patternFill>
    </fill>
    <fill>
      <patternFill patternType="solid">
        <fgColor rgb="FF7C8BAC"/>
        <bgColor indexed="64"/>
      </patternFill>
    </fill>
    <fill>
      <patternFill patternType="solid">
        <fgColor rgb="FF0AA5E5"/>
        <bgColor indexed="64"/>
      </patternFill>
    </fill>
    <fill>
      <patternFill patternType="solid">
        <fgColor rgb="FF571E6D"/>
        <bgColor indexed="64"/>
      </patternFill>
    </fill>
    <fill>
      <patternFill patternType="solid">
        <fgColor rgb="FFC55B69"/>
        <bgColor indexed="64"/>
      </patternFill>
    </fill>
    <fill>
      <patternFill patternType="solid">
        <fgColor rgb="FFBF6FB8"/>
        <bgColor indexed="64"/>
      </patternFill>
    </fill>
    <fill>
      <patternFill patternType="solid">
        <fgColor rgb="FF812C47"/>
        <bgColor indexed="64"/>
      </patternFill>
    </fill>
    <fill>
      <patternFill patternType="solid">
        <fgColor rgb="FF16FA48"/>
        <bgColor indexed="64"/>
      </patternFill>
    </fill>
    <fill>
      <patternFill patternType="solid">
        <fgColor rgb="FF9E4ED9"/>
        <bgColor indexed="64"/>
      </patternFill>
    </fill>
    <fill>
      <patternFill patternType="solid">
        <fgColor rgb="FF51CB2C"/>
        <bgColor indexed="64"/>
      </patternFill>
    </fill>
    <fill>
      <patternFill patternType="solid">
        <fgColor rgb="FF4D137E"/>
        <bgColor indexed="64"/>
      </patternFill>
    </fill>
    <fill>
      <patternFill patternType="solid">
        <fgColor rgb="FF739808"/>
        <bgColor indexed="64"/>
      </patternFill>
    </fill>
    <fill>
      <patternFill patternType="solid">
        <fgColor rgb="FF512353"/>
        <bgColor indexed="64"/>
      </patternFill>
    </fill>
    <fill>
      <patternFill patternType="solid">
        <fgColor rgb="FFC2A0F6"/>
        <bgColor indexed="64"/>
      </patternFill>
    </fill>
    <fill>
      <patternFill patternType="solid">
        <fgColor rgb="FFD38D9B"/>
        <bgColor indexed="64"/>
      </patternFill>
    </fill>
    <fill>
      <patternFill patternType="solid">
        <fgColor rgb="FF31E651"/>
        <bgColor indexed="64"/>
      </patternFill>
    </fill>
    <fill>
      <patternFill patternType="solid">
        <fgColor rgb="FF9998C4"/>
        <bgColor indexed="64"/>
      </patternFill>
    </fill>
    <fill>
      <patternFill patternType="solid">
        <fgColor rgb="FFB6AFC2"/>
        <bgColor indexed="64"/>
      </patternFill>
    </fill>
    <fill>
      <patternFill patternType="solid">
        <fgColor rgb="FF428C82"/>
        <bgColor indexed="64"/>
      </patternFill>
    </fill>
    <fill>
      <patternFill patternType="solid">
        <fgColor rgb="FF90486A"/>
        <bgColor indexed="64"/>
      </patternFill>
    </fill>
    <fill>
      <patternFill patternType="solid">
        <fgColor rgb="FF59F884"/>
        <bgColor indexed="64"/>
      </patternFill>
    </fill>
    <fill>
      <patternFill patternType="solid">
        <fgColor rgb="FF957708"/>
        <bgColor indexed="64"/>
      </patternFill>
    </fill>
    <fill>
      <patternFill patternType="solid">
        <fgColor rgb="FF6023A7"/>
        <bgColor indexed="64"/>
      </patternFill>
    </fill>
    <fill>
      <patternFill patternType="solid">
        <fgColor rgb="FF273260"/>
        <bgColor indexed="64"/>
      </patternFill>
    </fill>
    <fill>
      <patternFill patternType="solid">
        <fgColor rgb="FF189DB3"/>
        <bgColor indexed="64"/>
      </patternFill>
    </fill>
    <fill>
      <patternFill patternType="solid">
        <fgColor rgb="FF706B56"/>
        <bgColor indexed="64"/>
      </patternFill>
    </fill>
    <fill>
      <patternFill patternType="solid">
        <fgColor rgb="FFB3360B"/>
        <bgColor indexed="64"/>
      </patternFill>
    </fill>
    <fill>
      <patternFill patternType="solid">
        <fgColor rgb="FFE20B75"/>
        <bgColor indexed="64"/>
      </patternFill>
    </fill>
    <fill>
      <patternFill patternType="solid">
        <fgColor rgb="FFBCC1D2"/>
        <bgColor indexed="64"/>
      </patternFill>
    </fill>
    <fill>
      <patternFill patternType="solid">
        <fgColor rgb="FF3578DD"/>
        <bgColor indexed="64"/>
      </patternFill>
    </fill>
    <fill>
      <patternFill patternType="solid">
        <fgColor rgb="FFD36976"/>
        <bgColor indexed="64"/>
      </patternFill>
    </fill>
    <fill>
      <patternFill patternType="solid">
        <fgColor rgb="FF5940CE"/>
        <bgColor indexed="64"/>
      </patternFill>
    </fill>
    <fill>
      <patternFill patternType="solid">
        <fgColor rgb="FF8B89A0"/>
        <bgColor indexed="64"/>
      </patternFill>
    </fill>
    <fill>
      <patternFill patternType="solid">
        <fgColor rgb="FF16B542"/>
        <bgColor indexed="64"/>
      </patternFill>
    </fill>
    <fill>
      <patternFill patternType="solid">
        <fgColor rgb="FF0F46F5"/>
        <bgColor indexed="64"/>
      </patternFill>
    </fill>
    <fill>
      <patternFill patternType="solid">
        <fgColor rgb="FF53A55D"/>
        <bgColor indexed="64"/>
      </patternFill>
    </fill>
    <fill>
      <patternFill patternType="solid">
        <fgColor rgb="FF5E5337"/>
        <bgColor indexed="64"/>
      </patternFill>
    </fill>
    <fill>
      <patternFill patternType="solid">
        <fgColor rgb="FF366C9D"/>
        <bgColor indexed="64"/>
      </patternFill>
    </fill>
    <fill>
      <patternFill patternType="solid">
        <fgColor rgb="FF3EAF96"/>
        <bgColor indexed="64"/>
      </patternFill>
    </fill>
    <fill>
      <patternFill patternType="solid">
        <fgColor rgb="FF9A140B"/>
        <bgColor indexed="64"/>
      </patternFill>
    </fill>
    <fill>
      <patternFill patternType="solid">
        <fgColor rgb="FF273F66"/>
        <bgColor indexed="64"/>
      </patternFill>
    </fill>
    <fill>
      <patternFill patternType="solid">
        <fgColor rgb="FF9549D5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0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8" fillId="121" borderId="0" xfId="0" applyFont="1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3" zoomScale="125" zoomScaleNormal="125" zoomScalePageLayoutView="125" workbookViewId="0">
      <selection activeCell="C69" sqref="C69"/>
    </sheetView>
  </sheetViews>
  <sheetFormatPr baseColWidth="10" defaultColWidth="8.83203125" defaultRowHeight="13" x14ac:dyDescent="0.15"/>
  <cols>
    <col min="2" max="2" width="16" customWidth="1"/>
    <col min="3" max="3" width="163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53" t="s">
        <v>171</v>
      </c>
      <c r="C53" s="112">
        <v>526</v>
      </c>
      <c r="D53" s="112"/>
    </row>
    <row r="54" spans="2:4" x14ac:dyDescent="0.15">
      <c r="B54" s="153" t="s">
        <v>172</v>
      </c>
      <c r="C54" s="153" t="s">
        <v>185</v>
      </c>
      <c r="D54" s="112"/>
    </row>
    <row r="55" spans="2:4" x14ac:dyDescent="0.15">
      <c r="B55" s="153" t="s">
        <v>173</v>
      </c>
      <c r="C55" s="153" t="s">
        <v>186</v>
      </c>
      <c r="D55" s="112"/>
    </row>
    <row r="56" spans="2:4" x14ac:dyDescent="0.15">
      <c r="B56" s="153" t="s">
        <v>174</v>
      </c>
      <c r="C56" s="112">
        <v>56452</v>
      </c>
      <c r="D56" s="112"/>
    </row>
    <row r="57" spans="2:4" x14ac:dyDescent="0.15">
      <c r="B57" s="153" t="s">
        <v>175</v>
      </c>
      <c r="C57" s="153" t="s">
        <v>187</v>
      </c>
      <c r="D57" s="112"/>
    </row>
    <row r="58" spans="2:4" x14ac:dyDescent="0.15">
      <c r="B58" s="153" t="s">
        <v>176</v>
      </c>
      <c r="C58" s="153" t="s">
        <v>188</v>
      </c>
      <c r="D58" s="112"/>
    </row>
    <row r="59" spans="2:4" x14ac:dyDescent="0.15">
      <c r="B59" s="153" t="s">
        <v>177</v>
      </c>
      <c r="C59" s="153" t="s">
        <v>189</v>
      </c>
      <c r="D59" s="112"/>
    </row>
    <row r="60" spans="2:4" x14ac:dyDescent="0.15">
      <c r="B60" s="153" t="s">
        <v>178</v>
      </c>
      <c r="C60" s="153" t="s">
        <v>190</v>
      </c>
      <c r="D60" s="112"/>
    </row>
    <row r="61" spans="2:4" x14ac:dyDescent="0.15">
      <c r="B61" s="153" t="s">
        <v>179</v>
      </c>
      <c r="C61" s="112">
        <v>52</v>
      </c>
      <c r="D61" s="112"/>
    </row>
    <row r="62" spans="2:4" x14ac:dyDescent="0.15">
      <c r="B62" s="153" t="s">
        <v>180</v>
      </c>
      <c r="C62" s="112">
        <v>9</v>
      </c>
      <c r="D62" s="112"/>
    </row>
    <row r="63" spans="2:4" x14ac:dyDescent="0.15">
      <c r="B63" s="153" t="s">
        <v>181</v>
      </c>
      <c r="C63" s="112">
        <v>1973</v>
      </c>
      <c r="D63" s="112"/>
    </row>
    <row r="64" spans="2:4" x14ac:dyDescent="0.15">
      <c r="B64" s="153" t="s">
        <v>182</v>
      </c>
      <c r="C64" s="112">
        <v>0</v>
      </c>
      <c r="D64" s="112"/>
    </row>
    <row r="65" spans="2:4" x14ac:dyDescent="0.15">
      <c r="B65" s="153" t="s">
        <v>183</v>
      </c>
      <c r="C65" s="153" t="s">
        <v>191</v>
      </c>
      <c r="D65" s="112"/>
    </row>
    <row r="66" spans="2:4" x14ac:dyDescent="0.15">
      <c r="B66" s="153" t="s">
        <v>184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R10" sqref="R10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21.6640625" style="84" bestFit="1" customWidth="1"/>
    <col min="6" max="6" width="2.33203125" style="84" bestFit="1" customWidth="1"/>
    <col min="7" max="7" width="12.83203125" style="84" bestFit="1" customWidth="1"/>
    <col min="8" max="8" width="8.83203125" style="84" customWidth="1"/>
    <col min="9" max="9" width="10.83203125" style="84" customWidth="1"/>
    <col min="10" max="10" width="12.83203125" style="84" customWidth="1"/>
    <col min="11" max="11" width="13.83203125" style="84" customWidth="1"/>
    <col min="12" max="12" width="13.5" style="84" customWidth="1"/>
    <col min="13" max="13" width="3.83203125" style="84" customWidth="1"/>
    <col min="14" max="14" width="2.3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54" t="s">
        <v>192</v>
      </c>
      <c r="F2" s="84">
        <v>1</v>
      </c>
      <c r="G2" s="84">
        <v>118.9</v>
      </c>
      <c r="H2" s="84">
        <v>24.8</v>
      </c>
      <c r="I2" s="6">
        <v>0</v>
      </c>
      <c r="J2" s="6">
        <v>0.259762675</v>
      </c>
      <c r="K2" s="6">
        <v>0</v>
      </c>
      <c r="L2" s="244">
        <v>0</v>
      </c>
      <c r="M2" s="84">
        <v>0</v>
      </c>
      <c r="N2" s="84">
        <v>0</v>
      </c>
      <c r="P2" s="244">
        <v>0</v>
      </c>
      <c r="Q2" s="61" t="s">
        <v>267</v>
      </c>
    </row>
    <row r="3" spans="1:46" ht="15" customHeight="1" x14ac:dyDescent="0.15">
      <c r="A3" s="1" t="s">
        <v>9</v>
      </c>
      <c r="B3" s="4">
        <v>50</v>
      </c>
      <c r="C3" s="84">
        <v>2</v>
      </c>
      <c r="D3"/>
      <c r="E3" s="154" t="s">
        <v>193</v>
      </c>
      <c r="F3" s="84">
        <v>0</v>
      </c>
      <c r="G3" s="84">
        <v>2.6292499999999999</v>
      </c>
      <c r="H3" s="84">
        <v>45.28</v>
      </c>
      <c r="I3" s="84">
        <v>120</v>
      </c>
      <c r="J3" s="84">
        <v>0.63328510000000005</v>
      </c>
      <c r="K3" s="84">
        <v>0.37733329999999998</v>
      </c>
      <c r="L3" s="244">
        <v>0</v>
      </c>
      <c r="M3" s="84">
        <v>0.4</v>
      </c>
      <c r="N3" s="84">
        <v>0</v>
      </c>
      <c r="P3" s="244">
        <v>0</v>
      </c>
    </row>
    <row r="4" spans="1:46" ht="15" customHeight="1" x14ac:dyDescent="0.15">
      <c r="A4" s="1" t="s">
        <v>10</v>
      </c>
      <c r="B4" s="4">
        <v>3</v>
      </c>
      <c r="C4" s="84">
        <v>3</v>
      </c>
      <c r="D4"/>
      <c r="E4" s="154" t="s">
        <v>194</v>
      </c>
      <c r="F4" s="84">
        <v>0</v>
      </c>
      <c r="G4" s="84">
        <v>5.8707500000000001</v>
      </c>
      <c r="H4" s="84">
        <v>39.08</v>
      </c>
      <c r="I4" s="84">
        <v>80</v>
      </c>
      <c r="J4" s="84">
        <v>0.51080130000000001</v>
      </c>
      <c r="K4" s="84">
        <v>0.488500029</v>
      </c>
      <c r="L4" s="244">
        <v>0</v>
      </c>
      <c r="M4" s="84">
        <v>0.4</v>
      </c>
      <c r="N4" s="84">
        <v>0</v>
      </c>
      <c r="P4" s="24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9</v>
      </c>
      <c r="C5" s="84">
        <v>4</v>
      </c>
      <c r="D5"/>
      <c r="E5" s="154" t="s">
        <v>195</v>
      </c>
      <c r="F5" s="84">
        <v>0</v>
      </c>
      <c r="G5" s="84">
        <v>1.1000000000000001</v>
      </c>
      <c r="H5" s="84">
        <v>18</v>
      </c>
      <c r="I5" s="84">
        <v>38</v>
      </c>
      <c r="J5" s="84">
        <v>3.65982428E-2</v>
      </c>
      <c r="K5" s="84">
        <v>0.47368422199999999</v>
      </c>
      <c r="L5" s="244">
        <v>0</v>
      </c>
      <c r="M5" s="84">
        <v>0.4</v>
      </c>
      <c r="N5" s="84">
        <v>0</v>
      </c>
      <c r="P5" s="244">
        <v>0</v>
      </c>
      <c r="Q5" s="73"/>
      <c r="R5" s="73"/>
    </row>
    <row r="6" spans="1:46" ht="15" customHeight="1" thickBot="1" x14ac:dyDescent="0.2">
      <c r="B6" s="1"/>
      <c r="C6" s="84">
        <v>5</v>
      </c>
      <c r="D6"/>
      <c r="E6" s="154" t="s">
        <v>196</v>
      </c>
      <c r="F6" s="84">
        <v>0</v>
      </c>
      <c r="G6" s="84">
        <v>13.641999999999999</v>
      </c>
      <c r="H6" s="84">
        <v>3</v>
      </c>
      <c r="I6" s="84">
        <v>20</v>
      </c>
      <c r="J6" s="84">
        <v>0.69426739999999998</v>
      </c>
      <c r="K6" s="84">
        <v>0.15</v>
      </c>
      <c r="L6" s="244">
        <v>0</v>
      </c>
      <c r="M6" s="84">
        <v>0.2</v>
      </c>
      <c r="N6" s="84">
        <v>0</v>
      </c>
      <c r="P6" s="244">
        <v>0</v>
      </c>
      <c r="Q6" s="73"/>
      <c r="R6" s="73"/>
      <c r="W6" s="36" t="s">
        <v>31</v>
      </c>
      <c r="X6" s="52">
        <f>MAX(MainOutputs!G:G)</f>
        <v>0.95363277196884155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480</v>
      </c>
      <c r="C7" s="84">
        <v>6</v>
      </c>
      <c r="D7"/>
      <c r="E7" s="154" t="s">
        <v>197</v>
      </c>
      <c r="F7" s="84">
        <v>0</v>
      </c>
      <c r="G7" s="84">
        <v>5.07</v>
      </c>
      <c r="H7" s="84">
        <v>0.3</v>
      </c>
      <c r="I7" s="84">
        <v>2</v>
      </c>
      <c r="J7" s="84">
        <v>0.26736070000000001</v>
      </c>
      <c r="K7" s="84">
        <v>0.15</v>
      </c>
      <c r="L7" s="244">
        <v>0</v>
      </c>
      <c r="M7" s="84">
        <v>0.2</v>
      </c>
      <c r="N7" s="84">
        <v>0</v>
      </c>
      <c r="P7" s="244">
        <v>0</v>
      </c>
      <c r="Q7" s="73"/>
      <c r="R7" s="73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316</v>
      </c>
      <c r="C8" s="84">
        <v>7</v>
      </c>
      <c r="D8"/>
      <c r="E8" s="154" t="s">
        <v>198</v>
      </c>
      <c r="F8" s="84">
        <v>0</v>
      </c>
      <c r="G8" s="84">
        <v>4.885955</v>
      </c>
      <c r="H8" s="84">
        <v>3.96</v>
      </c>
      <c r="I8" s="84">
        <v>13.2</v>
      </c>
      <c r="J8" s="84">
        <v>0.9</v>
      </c>
      <c r="K8" s="84">
        <v>0.3</v>
      </c>
      <c r="L8" s="244">
        <v>0</v>
      </c>
      <c r="M8" s="84">
        <v>0.2</v>
      </c>
      <c r="N8" s="84">
        <v>0</v>
      </c>
      <c r="P8" s="244">
        <v>0</v>
      </c>
      <c r="Q8" s="73"/>
      <c r="R8" s="73"/>
    </row>
    <row r="9" spans="1:46" ht="15" customHeight="1" x14ac:dyDescent="0.15">
      <c r="B9" s="1"/>
      <c r="C9" s="84">
        <v>8</v>
      </c>
      <c r="D9"/>
      <c r="E9" s="154" t="s">
        <v>199</v>
      </c>
      <c r="F9" s="84">
        <v>0</v>
      </c>
      <c r="G9" s="84">
        <v>0.54749999999999999</v>
      </c>
      <c r="H9" s="84">
        <v>0.64100000000000001</v>
      </c>
      <c r="I9" s="84">
        <v>8.0299999999999994</v>
      </c>
      <c r="J9" s="84">
        <v>5.6293755799999998E-2</v>
      </c>
      <c r="K9" s="84">
        <v>7.9825654600000004E-2</v>
      </c>
      <c r="L9" s="244">
        <v>0</v>
      </c>
      <c r="M9" s="84">
        <v>0.2</v>
      </c>
      <c r="N9" s="84">
        <v>0</v>
      </c>
      <c r="P9" s="244">
        <v>0</v>
      </c>
      <c r="Q9" s="73"/>
      <c r="R9" s="73"/>
    </row>
    <row r="10" spans="1:46" ht="15" customHeight="1" x14ac:dyDescent="0.15">
      <c r="B10" s="1"/>
      <c r="C10" s="84">
        <v>9</v>
      </c>
      <c r="D10"/>
      <c r="E10" s="154" t="s">
        <v>200</v>
      </c>
      <c r="F10" s="84">
        <v>0</v>
      </c>
      <c r="G10" s="84">
        <v>8.8260000000000005</v>
      </c>
      <c r="H10" s="84">
        <v>0.66200000000000003</v>
      </c>
      <c r="I10" s="84">
        <v>6.9349999999999996</v>
      </c>
      <c r="J10" s="84">
        <v>0.758692861</v>
      </c>
      <c r="K10" s="84">
        <v>9.5457819999999999E-2</v>
      </c>
      <c r="L10" s="244">
        <v>0</v>
      </c>
      <c r="M10" s="84">
        <v>0.2</v>
      </c>
      <c r="N10" s="84">
        <v>0</v>
      </c>
      <c r="P10" s="244">
        <v>0</v>
      </c>
    </row>
    <row r="11" spans="1:46" ht="15" customHeight="1" x14ac:dyDescent="0.15">
      <c r="C11" s="84">
        <v>10</v>
      </c>
      <c r="D11"/>
      <c r="E11" s="154" t="s">
        <v>201</v>
      </c>
      <c r="F11" s="84">
        <v>0</v>
      </c>
      <c r="G11" s="84">
        <v>17.41</v>
      </c>
      <c r="H11" s="84">
        <v>0.88870400000000005</v>
      </c>
      <c r="I11" s="84">
        <v>9.8744890000000005</v>
      </c>
      <c r="J11" s="84">
        <v>0.79269040000000002</v>
      </c>
      <c r="K11" s="84">
        <v>0.09</v>
      </c>
      <c r="L11" s="244">
        <v>0</v>
      </c>
      <c r="M11" s="84">
        <v>0.2</v>
      </c>
      <c r="N11" s="84">
        <v>0</v>
      </c>
      <c r="P11" s="244">
        <v>0</v>
      </c>
    </row>
    <row r="12" spans="1:46" ht="15" customHeight="1" x14ac:dyDescent="0.15">
      <c r="C12" s="84">
        <v>11</v>
      </c>
      <c r="D12"/>
      <c r="E12" s="154" t="s">
        <v>202</v>
      </c>
      <c r="F12" s="84">
        <v>0</v>
      </c>
      <c r="G12" s="84">
        <v>1.2</v>
      </c>
      <c r="H12" s="84">
        <v>0.5</v>
      </c>
      <c r="I12" s="84">
        <v>5.5555553399999997</v>
      </c>
      <c r="J12" s="84">
        <v>0.52304303600000002</v>
      </c>
      <c r="K12" s="84">
        <v>0.09</v>
      </c>
      <c r="L12" s="244">
        <v>0</v>
      </c>
      <c r="M12" s="84">
        <v>0.2</v>
      </c>
      <c r="N12" s="84">
        <v>0</v>
      </c>
      <c r="P12" s="244">
        <v>-0.05</v>
      </c>
    </row>
    <row r="13" spans="1:46" ht="15" customHeight="1" x14ac:dyDescent="0.15">
      <c r="C13" s="84">
        <v>12</v>
      </c>
      <c r="D13"/>
      <c r="E13" s="154" t="s">
        <v>203</v>
      </c>
      <c r="F13" s="84">
        <v>0</v>
      </c>
      <c r="G13" s="84">
        <v>5.157</v>
      </c>
      <c r="H13" s="84">
        <v>1.9470000000000001</v>
      </c>
      <c r="I13" s="84">
        <v>12.98</v>
      </c>
      <c r="J13" s="84">
        <v>0.758017838</v>
      </c>
      <c r="K13" s="84">
        <v>0.15</v>
      </c>
      <c r="L13" s="244">
        <v>0</v>
      </c>
      <c r="M13" s="84">
        <v>0.2</v>
      </c>
      <c r="N13" s="84">
        <v>0</v>
      </c>
      <c r="P13" s="244">
        <v>0</v>
      </c>
    </row>
    <row r="14" spans="1:46" ht="15" customHeight="1" x14ac:dyDescent="0.15">
      <c r="C14" s="84">
        <v>13</v>
      </c>
      <c r="D14"/>
      <c r="E14" s="154" t="s">
        <v>204</v>
      </c>
      <c r="F14" s="84">
        <v>0</v>
      </c>
      <c r="G14" s="84">
        <v>0.76649999999999996</v>
      </c>
      <c r="H14" s="84">
        <v>0.6</v>
      </c>
      <c r="I14" s="84">
        <v>4</v>
      </c>
      <c r="J14" s="84">
        <v>0.27690008300000002</v>
      </c>
      <c r="K14" s="84">
        <v>0.15</v>
      </c>
      <c r="L14" s="244">
        <v>0</v>
      </c>
      <c r="M14" s="84">
        <v>0.2</v>
      </c>
      <c r="N14" s="84">
        <v>0</v>
      </c>
      <c r="P14" s="244">
        <v>-0.05</v>
      </c>
    </row>
    <row r="15" spans="1:46" ht="15" customHeight="1" x14ac:dyDescent="0.15">
      <c r="C15" s="84">
        <v>14</v>
      </c>
      <c r="D15"/>
      <c r="E15" s="154" t="s">
        <v>205</v>
      </c>
      <c r="F15" s="84">
        <v>0</v>
      </c>
      <c r="G15" s="84">
        <v>1.5299999999999999E-2</v>
      </c>
      <c r="H15" s="84">
        <v>0.51500000000000001</v>
      </c>
      <c r="I15" s="84">
        <v>5.85</v>
      </c>
      <c r="J15" s="84">
        <v>0.38318383700000003</v>
      </c>
      <c r="K15" s="84">
        <v>8.8034189999999998E-2</v>
      </c>
      <c r="L15" s="244">
        <v>0</v>
      </c>
      <c r="M15" s="84">
        <v>0.2</v>
      </c>
      <c r="N15" s="84">
        <v>0</v>
      </c>
      <c r="P15" s="244">
        <v>-0.05</v>
      </c>
    </row>
    <row r="16" spans="1:46" ht="15" customHeight="1" x14ac:dyDescent="0.15">
      <c r="C16" s="84">
        <v>15</v>
      </c>
      <c r="D16"/>
      <c r="E16" s="154" t="s">
        <v>206</v>
      </c>
      <c r="F16" s="84">
        <v>0</v>
      </c>
      <c r="G16" s="84">
        <v>1.02</v>
      </c>
      <c r="H16" s="84">
        <v>1.573</v>
      </c>
      <c r="I16" s="84">
        <v>9.6604299999999999</v>
      </c>
      <c r="J16" s="84">
        <v>0.93254905899999996</v>
      </c>
      <c r="K16" s="84">
        <v>0.16282919000000001</v>
      </c>
      <c r="L16" s="244">
        <v>0</v>
      </c>
      <c r="M16" s="84">
        <v>0.2</v>
      </c>
      <c r="N16" s="84">
        <v>0</v>
      </c>
      <c r="P16" s="244">
        <v>0.05</v>
      </c>
    </row>
    <row r="17" spans="1:22" ht="15" customHeight="1" x14ac:dyDescent="0.15">
      <c r="C17" s="84">
        <v>16</v>
      </c>
      <c r="D17"/>
      <c r="E17" s="154" t="s">
        <v>207</v>
      </c>
      <c r="F17" s="84">
        <v>0</v>
      </c>
      <c r="G17" s="84">
        <v>0.77934999999999999</v>
      </c>
      <c r="H17" s="84">
        <v>1.272</v>
      </c>
      <c r="I17" s="84">
        <v>5.9279999999999999</v>
      </c>
      <c r="J17" s="84">
        <v>0.96362316599999998</v>
      </c>
      <c r="K17" s="84">
        <v>0.21457488799999999</v>
      </c>
      <c r="L17" s="244">
        <v>0</v>
      </c>
      <c r="M17" s="84">
        <v>0.2</v>
      </c>
      <c r="N17" s="84">
        <v>0</v>
      </c>
      <c r="P17" s="244">
        <v>5.00000045E-2</v>
      </c>
      <c r="V17" s="1" t="s">
        <v>30</v>
      </c>
    </row>
    <row r="18" spans="1:22" ht="15" customHeight="1" x14ac:dyDescent="0.15">
      <c r="C18" s="84">
        <v>17</v>
      </c>
      <c r="D18"/>
      <c r="E18" s="154" t="s">
        <v>208</v>
      </c>
      <c r="F18" s="84">
        <v>0</v>
      </c>
      <c r="G18" s="84">
        <v>7.6999999999999999E-2</v>
      </c>
      <c r="H18" s="84">
        <v>0.52</v>
      </c>
      <c r="I18" s="84">
        <v>5.7005929999999996</v>
      </c>
      <c r="J18" s="84">
        <v>0.99615379999999998</v>
      </c>
      <c r="K18" s="84">
        <v>9.1218575800000007E-2</v>
      </c>
      <c r="L18" s="244">
        <v>0</v>
      </c>
      <c r="M18" s="84">
        <v>0.2</v>
      </c>
      <c r="N18" s="84">
        <v>0</v>
      </c>
      <c r="P18" s="244">
        <v>0.05</v>
      </c>
      <c r="V18" s="1"/>
    </row>
    <row r="19" spans="1:22" ht="15" customHeight="1" x14ac:dyDescent="0.15">
      <c r="C19" s="84">
        <v>18</v>
      </c>
      <c r="D19"/>
      <c r="E19" s="154" t="s">
        <v>209</v>
      </c>
      <c r="F19" s="84">
        <v>0</v>
      </c>
      <c r="G19" s="84">
        <v>1.8256492900000001E-2</v>
      </c>
      <c r="H19" s="84">
        <v>0.65</v>
      </c>
      <c r="I19" s="84">
        <v>9.8142219999999991</v>
      </c>
      <c r="J19" s="84">
        <v>0.35466587500000002</v>
      </c>
      <c r="K19" s="84">
        <v>6.6230410000000003E-2</v>
      </c>
      <c r="L19" s="244">
        <v>0</v>
      </c>
      <c r="M19" s="84">
        <v>0.2</v>
      </c>
      <c r="N19" s="84">
        <v>0</v>
      </c>
      <c r="P19" s="244">
        <v>0.05</v>
      </c>
    </row>
    <row r="20" spans="1:22" ht="15" customHeight="1" thickBot="1" x14ac:dyDescent="0.2">
      <c r="C20" s="84">
        <v>19</v>
      </c>
      <c r="D20"/>
      <c r="E20" s="154" t="s">
        <v>210</v>
      </c>
      <c r="F20" s="84">
        <v>0</v>
      </c>
      <c r="G20" s="84">
        <v>4.8750000000000002E-2</v>
      </c>
      <c r="H20" s="84">
        <v>0.43</v>
      </c>
      <c r="I20" s="84">
        <v>5.1751529999999999</v>
      </c>
      <c r="J20" s="84">
        <v>0.33004495499999997</v>
      </c>
      <c r="K20" s="84">
        <v>8.3089339999999998E-2</v>
      </c>
      <c r="L20" s="244">
        <v>0</v>
      </c>
      <c r="M20" s="84">
        <v>0.2</v>
      </c>
      <c r="N20" s="84">
        <v>0</v>
      </c>
      <c r="P20" s="244">
        <v>5.00000045E-2</v>
      </c>
    </row>
    <row r="21" spans="1:22" ht="15" customHeight="1" thickBot="1" x14ac:dyDescent="0.2">
      <c r="A21" s="47" t="s">
        <v>137</v>
      </c>
      <c r="B21" s="102"/>
      <c r="C21" s="84">
        <v>20</v>
      </c>
      <c r="D21"/>
      <c r="E21" s="154" t="s">
        <v>211</v>
      </c>
      <c r="F21" s="84">
        <v>0</v>
      </c>
      <c r="G21" s="84">
        <v>1.5753191E-2</v>
      </c>
      <c r="H21" s="84">
        <v>1.35</v>
      </c>
      <c r="I21" s="84">
        <v>11.186376599999999</v>
      </c>
      <c r="J21" s="84">
        <v>0.55265609999999998</v>
      </c>
      <c r="K21" s="84">
        <v>0.120682515</v>
      </c>
      <c r="L21" s="244">
        <v>0</v>
      </c>
      <c r="M21" s="84">
        <v>0.2</v>
      </c>
      <c r="N21" s="84">
        <v>0</v>
      </c>
      <c r="P21" s="244">
        <v>0.05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54" t="s">
        <v>212</v>
      </c>
      <c r="F22" s="84">
        <v>0</v>
      </c>
      <c r="G22" s="84">
        <v>2.1180000000000001E-2</v>
      </c>
      <c r="H22" s="84">
        <v>0.75470000000000004</v>
      </c>
      <c r="I22" s="84">
        <v>4.1841809999999997</v>
      </c>
      <c r="J22" s="84">
        <v>0.65565929999999994</v>
      </c>
      <c r="K22" s="84">
        <v>0.18036982400000001</v>
      </c>
      <c r="L22" s="244">
        <v>0</v>
      </c>
      <c r="M22" s="84">
        <v>0.2</v>
      </c>
      <c r="N22" s="84">
        <v>0</v>
      </c>
      <c r="P22" s="244">
        <v>0.05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54" t="s">
        <v>213</v>
      </c>
      <c r="F23" s="84">
        <v>0</v>
      </c>
      <c r="G23" s="84">
        <v>4.6760000000000003E-2</v>
      </c>
      <c r="H23" s="84">
        <v>0.753</v>
      </c>
      <c r="I23" s="84">
        <v>6.0010000000000003</v>
      </c>
      <c r="J23" s="84">
        <v>0.72429829999999995</v>
      </c>
      <c r="K23" s="84">
        <v>0.12547908699999999</v>
      </c>
      <c r="L23" s="244">
        <v>0</v>
      </c>
      <c r="M23" s="84">
        <v>0.2</v>
      </c>
      <c r="N23" s="84">
        <v>0</v>
      </c>
      <c r="P23" s="244">
        <v>0.05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54" t="s">
        <v>214</v>
      </c>
      <c r="F24" s="84">
        <v>0</v>
      </c>
      <c r="G24" s="84">
        <v>3.7863000000000001E-2</v>
      </c>
      <c r="H24" s="84">
        <v>0.59899999999999998</v>
      </c>
      <c r="I24" s="84">
        <v>5.3150000000000004</v>
      </c>
      <c r="J24" s="84">
        <v>0.98347246600000005</v>
      </c>
      <c r="K24" s="84">
        <v>0.11269990000000001</v>
      </c>
      <c r="L24" s="244">
        <v>0</v>
      </c>
      <c r="M24" s="84">
        <v>0.2</v>
      </c>
      <c r="N24" s="84">
        <v>0</v>
      </c>
      <c r="P24" s="244">
        <v>0.05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54" t="s">
        <v>215</v>
      </c>
      <c r="F25" s="84">
        <v>0</v>
      </c>
      <c r="G25" s="84">
        <v>0.13244</v>
      </c>
      <c r="H25" s="84">
        <v>0.37</v>
      </c>
      <c r="I25" s="84">
        <v>4.9619999999999997</v>
      </c>
      <c r="J25" s="84">
        <v>8.2394994799999996E-2</v>
      </c>
      <c r="K25" s="84">
        <v>7.4566709999999994E-2</v>
      </c>
      <c r="L25" s="244">
        <v>0</v>
      </c>
      <c r="M25" s="84">
        <v>0.2</v>
      </c>
      <c r="N25" s="84">
        <v>0</v>
      </c>
      <c r="P25" s="244">
        <v>-0.05</v>
      </c>
    </row>
    <row r="26" spans="1:22" ht="15" customHeight="1" x14ac:dyDescent="0.15">
      <c r="A26" s="107" t="s">
        <v>140</v>
      </c>
      <c r="C26" s="84">
        <v>25</v>
      </c>
      <c r="D26"/>
      <c r="E26" s="154" t="s">
        <v>216</v>
      </c>
      <c r="F26" s="84">
        <v>0</v>
      </c>
      <c r="G26" s="84">
        <v>0.40039999999999998</v>
      </c>
      <c r="H26" s="84">
        <v>0.57399999999999995</v>
      </c>
      <c r="I26" s="84">
        <v>5.758</v>
      </c>
      <c r="J26" s="84">
        <v>0.76999810000000002</v>
      </c>
      <c r="K26" s="84">
        <v>9.9687390000000001E-2</v>
      </c>
      <c r="L26" s="244">
        <v>0</v>
      </c>
      <c r="M26" s="84">
        <v>0.2</v>
      </c>
      <c r="N26" s="84">
        <v>0</v>
      </c>
      <c r="P26" s="244">
        <v>0.05</v>
      </c>
    </row>
    <row r="27" spans="1:22" ht="15" customHeight="1" x14ac:dyDescent="0.15">
      <c r="C27" s="84">
        <v>26</v>
      </c>
      <c r="D27"/>
      <c r="E27" s="154" t="s">
        <v>217</v>
      </c>
      <c r="F27" s="84">
        <v>0</v>
      </c>
      <c r="G27" s="84">
        <v>1.55502288E-2</v>
      </c>
      <c r="H27" s="84">
        <v>1.6</v>
      </c>
      <c r="I27" s="84">
        <v>14.8943233</v>
      </c>
      <c r="J27" s="84">
        <v>0.90046334299999997</v>
      </c>
      <c r="K27" s="84">
        <v>0.107423477</v>
      </c>
      <c r="L27" s="244">
        <v>0</v>
      </c>
      <c r="M27" s="84">
        <v>0.2</v>
      </c>
      <c r="N27" s="84">
        <v>0</v>
      </c>
      <c r="P27" s="244">
        <v>0</v>
      </c>
    </row>
    <row r="28" spans="1:22" ht="15" customHeight="1" x14ac:dyDescent="0.15">
      <c r="C28" s="84">
        <v>27</v>
      </c>
      <c r="D28"/>
      <c r="E28" s="154" t="s">
        <v>218</v>
      </c>
      <c r="F28" s="84">
        <v>0</v>
      </c>
      <c r="G28" s="84">
        <v>5.4850999999999997E-2</v>
      </c>
      <c r="H28" s="84">
        <v>0.78796699999999997</v>
      </c>
      <c r="I28" s="84">
        <v>5.6309930000000001</v>
      </c>
      <c r="J28" s="84">
        <v>0.51267594100000002</v>
      </c>
      <c r="K28" s="84">
        <v>0.139933944</v>
      </c>
      <c r="L28" s="244">
        <v>0</v>
      </c>
      <c r="M28" s="84">
        <v>0.2</v>
      </c>
      <c r="N28" s="84">
        <v>0</v>
      </c>
      <c r="P28" s="244">
        <v>0</v>
      </c>
    </row>
    <row r="29" spans="1:22" customFormat="1" ht="15" customHeight="1" x14ac:dyDescent="0.15">
      <c r="C29" s="84">
        <v>28</v>
      </c>
      <c r="E29" s="154" t="s">
        <v>219</v>
      </c>
      <c r="F29" s="84">
        <v>0</v>
      </c>
      <c r="G29" s="84">
        <v>8.6322450000000002E-3</v>
      </c>
      <c r="H29" s="84">
        <v>1.62</v>
      </c>
      <c r="I29" s="84">
        <v>8.6012889999999995</v>
      </c>
      <c r="J29" s="84">
        <v>0.78038775900000001</v>
      </c>
      <c r="K29" s="84">
        <v>0.188343868</v>
      </c>
      <c r="L29" s="244">
        <v>0</v>
      </c>
      <c r="M29" s="84">
        <v>0.2</v>
      </c>
      <c r="N29" s="84">
        <v>0</v>
      </c>
      <c r="P29" s="244">
        <v>0.05</v>
      </c>
    </row>
    <row r="30" spans="1:22" customFormat="1" ht="15" customHeight="1" x14ac:dyDescent="0.15">
      <c r="C30" s="84">
        <v>29</v>
      </c>
      <c r="E30" s="154" t="s">
        <v>220</v>
      </c>
      <c r="F30" s="84">
        <v>0</v>
      </c>
      <c r="G30" s="84">
        <v>1.7177000000000001E-2</v>
      </c>
      <c r="H30" s="84">
        <v>0.81</v>
      </c>
      <c r="I30" s="84">
        <v>3.4601690000000001</v>
      </c>
      <c r="J30" s="84">
        <v>0.58648619999999996</v>
      </c>
      <c r="K30" s="84">
        <v>0.23409260800000001</v>
      </c>
      <c r="L30" s="244">
        <v>0</v>
      </c>
      <c r="M30" s="84">
        <v>0.2</v>
      </c>
      <c r="N30" s="84">
        <v>0</v>
      </c>
      <c r="P30" s="244">
        <v>0.05</v>
      </c>
    </row>
    <row r="31" spans="1:22" customFormat="1" ht="15" customHeight="1" x14ac:dyDescent="0.15">
      <c r="C31" s="84">
        <v>30</v>
      </c>
      <c r="E31" s="154" t="s">
        <v>221</v>
      </c>
      <c r="F31" s="84">
        <v>0</v>
      </c>
      <c r="G31" s="84">
        <v>4.5055999999999999E-2</v>
      </c>
      <c r="H31" s="84">
        <v>0.44</v>
      </c>
      <c r="I31" s="84">
        <v>3.8719999999999999</v>
      </c>
      <c r="J31" s="84">
        <v>0.59951750000000004</v>
      </c>
      <c r="K31" s="84">
        <v>0.113636367</v>
      </c>
      <c r="L31" s="244">
        <v>0</v>
      </c>
      <c r="M31" s="84">
        <v>0.2</v>
      </c>
      <c r="N31" s="84">
        <v>0</v>
      </c>
      <c r="P31" s="244">
        <v>-5.00000045E-2</v>
      </c>
    </row>
    <row r="32" spans="1:22" customFormat="1" ht="15" customHeight="1" x14ac:dyDescent="0.15">
      <c r="C32" s="84">
        <v>31</v>
      </c>
      <c r="E32" s="154" t="s">
        <v>222</v>
      </c>
      <c r="F32" s="84">
        <v>0</v>
      </c>
      <c r="G32" s="84">
        <v>0.27668999999999999</v>
      </c>
      <c r="H32" s="84">
        <v>0.38</v>
      </c>
      <c r="I32" s="84">
        <v>4.774</v>
      </c>
      <c r="J32" s="84">
        <v>0.15096247199999999</v>
      </c>
      <c r="K32" s="84">
        <v>7.9597815899999994E-2</v>
      </c>
      <c r="L32" s="244">
        <v>0</v>
      </c>
      <c r="M32" s="84">
        <v>0.2</v>
      </c>
      <c r="N32" s="84">
        <v>0</v>
      </c>
      <c r="P32" s="244">
        <v>0.05</v>
      </c>
    </row>
    <row r="33" spans="3:16" customFormat="1" ht="15" customHeight="1" x14ac:dyDescent="0.15">
      <c r="C33" s="84">
        <v>32</v>
      </c>
      <c r="E33" s="154" t="s">
        <v>223</v>
      </c>
      <c r="F33" s="84">
        <v>0</v>
      </c>
      <c r="G33" s="84">
        <v>0.23924999999999999</v>
      </c>
      <c r="H33" s="84">
        <v>0.6</v>
      </c>
      <c r="I33" s="84">
        <v>4.2279999999999998</v>
      </c>
      <c r="J33" s="84">
        <v>0.22693940000000001</v>
      </c>
      <c r="K33" s="84">
        <v>0.141911075</v>
      </c>
      <c r="L33" s="244">
        <v>0</v>
      </c>
      <c r="M33" s="84">
        <v>0.2</v>
      </c>
      <c r="N33" s="84">
        <v>0</v>
      </c>
      <c r="P33" s="244">
        <v>-0.05</v>
      </c>
    </row>
    <row r="34" spans="3:16" customFormat="1" ht="15" customHeight="1" x14ac:dyDescent="0.15">
      <c r="C34" s="84">
        <v>33</v>
      </c>
      <c r="E34" s="154" t="s">
        <v>224</v>
      </c>
      <c r="F34" s="84">
        <v>0</v>
      </c>
      <c r="G34" s="84">
        <v>0.22273999999999999</v>
      </c>
      <c r="H34" s="84">
        <v>0.82799999999999996</v>
      </c>
      <c r="I34" s="84">
        <v>4.0529999999999999</v>
      </c>
      <c r="J34" s="84">
        <v>0.8188261</v>
      </c>
      <c r="K34" s="84">
        <v>0.204293117</v>
      </c>
      <c r="L34" s="244">
        <v>0</v>
      </c>
      <c r="M34" s="84">
        <v>0.2</v>
      </c>
      <c r="N34" s="84">
        <v>0</v>
      </c>
      <c r="P34" s="244">
        <v>0.05</v>
      </c>
    </row>
    <row r="35" spans="3:16" customFormat="1" ht="15" customHeight="1" x14ac:dyDescent="0.15">
      <c r="C35" s="84">
        <v>34</v>
      </c>
      <c r="E35" s="154" t="s">
        <v>225</v>
      </c>
      <c r="F35" s="84">
        <v>0</v>
      </c>
      <c r="G35" s="84">
        <v>0.12834999999999999</v>
      </c>
      <c r="H35" s="84">
        <v>0.41099999999999998</v>
      </c>
      <c r="I35" s="84">
        <v>2.831</v>
      </c>
      <c r="J35" s="84">
        <v>0.47769746200000002</v>
      </c>
      <c r="K35" s="84">
        <v>0.145178378</v>
      </c>
      <c r="L35" s="244">
        <v>0</v>
      </c>
      <c r="M35" s="84">
        <v>0.2</v>
      </c>
      <c r="N35" s="84">
        <v>0</v>
      </c>
      <c r="P35" s="244">
        <v>0.05</v>
      </c>
    </row>
    <row r="36" spans="3:16" customFormat="1" ht="15" customHeight="1" x14ac:dyDescent="0.15">
      <c r="C36" s="84">
        <v>35</v>
      </c>
      <c r="E36" s="154" t="s">
        <v>226</v>
      </c>
      <c r="F36" s="84">
        <v>0</v>
      </c>
      <c r="G36" s="84">
        <v>0.27400000000000002</v>
      </c>
      <c r="H36" s="84">
        <v>0.25</v>
      </c>
      <c r="I36" s="84">
        <v>3.0619999999999998</v>
      </c>
      <c r="J36" s="84">
        <v>0.25312210000000002</v>
      </c>
      <c r="K36" s="84">
        <v>8.1645980000000007E-2</v>
      </c>
      <c r="L36" s="244">
        <v>0</v>
      </c>
      <c r="M36" s="84">
        <v>0.2</v>
      </c>
      <c r="N36" s="84">
        <v>0</v>
      </c>
      <c r="P36" s="244">
        <v>-0.05</v>
      </c>
    </row>
    <row r="37" spans="3:16" customFormat="1" ht="15" customHeight="1" x14ac:dyDescent="0.15">
      <c r="C37" s="84">
        <v>36</v>
      </c>
      <c r="E37" s="154" t="s">
        <v>227</v>
      </c>
      <c r="F37" s="84">
        <v>0</v>
      </c>
      <c r="G37" s="84">
        <v>0.17699999999999999</v>
      </c>
      <c r="H37" s="84">
        <v>0.61299999999999999</v>
      </c>
      <c r="I37" s="84">
        <v>4.609</v>
      </c>
      <c r="J37" s="84">
        <v>0.70369099999999996</v>
      </c>
      <c r="K37" s="84">
        <v>0.133000642</v>
      </c>
      <c r="L37" s="244">
        <v>0</v>
      </c>
      <c r="M37" s="84">
        <v>0.2</v>
      </c>
      <c r="N37" s="84">
        <v>0</v>
      </c>
      <c r="P37" s="244">
        <v>0</v>
      </c>
    </row>
    <row r="38" spans="3:16" customFormat="1" ht="15" customHeight="1" x14ac:dyDescent="0.15">
      <c r="C38" s="84">
        <v>37</v>
      </c>
      <c r="E38" s="154" t="s">
        <v>228</v>
      </c>
      <c r="F38" s="84">
        <v>0</v>
      </c>
      <c r="G38" s="84">
        <v>1.0500000000000001E-2</v>
      </c>
      <c r="H38" s="84">
        <v>0.65200000000000002</v>
      </c>
      <c r="I38" s="84">
        <v>4.9939999999999998</v>
      </c>
      <c r="J38" s="84">
        <v>0.13641542200000001</v>
      </c>
      <c r="K38" s="84">
        <v>0.13055667300000001</v>
      </c>
      <c r="L38" s="244">
        <v>0</v>
      </c>
      <c r="M38" s="84">
        <v>0.2</v>
      </c>
      <c r="N38" s="84">
        <v>0</v>
      </c>
      <c r="P38" s="244">
        <v>0.05</v>
      </c>
    </row>
    <row r="39" spans="3:16" customFormat="1" ht="15" customHeight="1" x14ac:dyDescent="0.15">
      <c r="C39" s="84">
        <v>38</v>
      </c>
      <c r="E39" s="154" t="s">
        <v>229</v>
      </c>
      <c r="F39" s="84">
        <v>0</v>
      </c>
      <c r="G39" s="84">
        <v>2.7860589999999998</v>
      </c>
      <c r="H39" s="84">
        <v>1.29</v>
      </c>
      <c r="I39" s="84">
        <v>10.141999999999999</v>
      </c>
      <c r="J39" s="84">
        <v>0.89999989999999996</v>
      </c>
      <c r="K39" s="84">
        <v>0.127193838</v>
      </c>
      <c r="L39" s="244">
        <v>0</v>
      </c>
      <c r="M39" s="84">
        <v>0.2</v>
      </c>
      <c r="N39" s="84">
        <v>0</v>
      </c>
      <c r="P39" s="244">
        <v>0</v>
      </c>
    </row>
    <row r="40" spans="3:16" customFormat="1" ht="15" customHeight="1" x14ac:dyDescent="0.15">
      <c r="C40" s="84">
        <v>39</v>
      </c>
      <c r="E40" s="154" t="s">
        <v>230</v>
      </c>
      <c r="F40" s="84">
        <v>0</v>
      </c>
      <c r="G40" s="84">
        <v>5.1908000000000003E-2</v>
      </c>
      <c r="H40" s="84">
        <v>0.997</v>
      </c>
      <c r="I40" s="84">
        <v>6.3540000000000001</v>
      </c>
      <c r="J40" s="84">
        <v>0.84984976099999998</v>
      </c>
      <c r="K40" s="84">
        <v>0.156909034</v>
      </c>
      <c r="L40" s="244">
        <v>0</v>
      </c>
      <c r="M40" s="84">
        <v>0.2</v>
      </c>
      <c r="N40" s="84">
        <v>0</v>
      </c>
      <c r="P40" s="244">
        <v>-5.00000045E-2</v>
      </c>
    </row>
    <row r="41" spans="3:16" customFormat="1" ht="15" customHeight="1" x14ac:dyDescent="0.15">
      <c r="C41" s="84">
        <v>40</v>
      </c>
      <c r="E41" s="154" t="s">
        <v>231</v>
      </c>
      <c r="F41" s="84">
        <v>0</v>
      </c>
      <c r="G41" s="84">
        <v>0.29199999999999998</v>
      </c>
      <c r="H41" s="84">
        <v>1.21</v>
      </c>
      <c r="I41" s="84">
        <v>9.6809999999999992</v>
      </c>
      <c r="J41" s="84">
        <v>0.85803390000000002</v>
      </c>
      <c r="K41" s="84">
        <v>0.12498709600000001</v>
      </c>
      <c r="L41" s="244">
        <v>0</v>
      </c>
      <c r="M41" s="84">
        <v>0.2</v>
      </c>
      <c r="N41" s="84">
        <v>0</v>
      </c>
      <c r="P41" s="244">
        <v>-0.05</v>
      </c>
    </row>
    <row r="42" spans="3:16" customFormat="1" ht="15" customHeight="1" x14ac:dyDescent="0.15">
      <c r="C42" s="84">
        <v>41</v>
      </c>
      <c r="E42" s="154" t="s">
        <v>232</v>
      </c>
      <c r="F42" s="84">
        <v>0</v>
      </c>
      <c r="G42" s="84">
        <v>0.40592</v>
      </c>
      <c r="H42" s="84">
        <v>0.63900000000000001</v>
      </c>
      <c r="I42" s="84">
        <v>7.9219999999999997</v>
      </c>
      <c r="J42" s="84">
        <v>0.87538769999999999</v>
      </c>
      <c r="K42" s="84">
        <v>8.0661449999999996E-2</v>
      </c>
      <c r="L42" s="244">
        <v>0</v>
      </c>
      <c r="M42" s="84">
        <v>0.2</v>
      </c>
      <c r="N42" s="84">
        <v>0</v>
      </c>
      <c r="P42" s="244">
        <v>-0.05</v>
      </c>
    </row>
    <row r="43" spans="3:16" customFormat="1" ht="15" customHeight="1" x14ac:dyDescent="0.15">
      <c r="C43" s="84">
        <v>42</v>
      </c>
      <c r="E43" s="154" t="s">
        <v>233</v>
      </c>
      <c r="F43" s="84">
        <v>0</v>
      </c>
      <c r="G43" s="84">
        <v>1.6355999999999999</v>
      </c>
      <c r="H43" s="84">
        <v>0.36199999999999999</v>
      </c>
      <c r="I43" s="84">
        <v>6</v>
      </c>
      <c r="J43" s="84">
        <v>0.25888870000000003</v>
      </c>
      <c r="K43" s="84">
        <v>6.0333329999999998E-2</v>
      </c>
      <c r="L43" s="244">
        <v>0</v>
      </c>
      <c r="M43" s="84">
        <v>0.2</v>
      </c>
      <c r="N43" s="84">
        <v>0</v>
      </c>
      <c r="P43" s="244">
        <v>-0.05</v>
      </c>
    </row>
    <row r="44" spans="3:16" customFormat="1" ht="15" customHeight="1" x14ac:dyDescent="0.15">
      <c r="C44" s="84">
        <v>43</v>
      </c>
      <c r="E44" s="154" t="s">
        <v>234</v>
      </c>
      <c r="F44" s="84">
        <v>0</v>
      </c>
      <c r="G44" s="84">
        <v>0.61951999999999996</v>
      </c>
      <c r="H44" s="84">
        <v>0.39400000000000002</v>
      </c>
      <c r="I44" s="84">
        <v>5.5629999999999997</v>
      </c>
      <c r="J44" s="84">
        <v>0.77310925699999999</v>
      </c>
      <c r="K44" s="84">
        <v>7.0825089999999993E-2</v>
      </c>
      <c r="L44" s="244">
        <v>0</v>
      </c>
      <c r="M44" s="84">
        <v>0.2</v>
      </c>
      <c r="N44" s="84">
        <v>0</v>
      </c>
      <c r="P44" s="244">
        <v>-0.05</v>
      </c>
    </row>
    <row r="45" spans="3:16" customFormat="1" ht="15" customHeight="1" x14ac:dyDescent="0.15">
      <c r="C45" s="84">
        <v>44</v>
      </c>
      <c r="E45" s="154" t="s">
        <v>235</v>
      </c>
      <c r="F45" s="84">
        <v>0</v>
      </c>
      <c r="G45" s="84">
        <v>8.2687999999999998E-2</v>
      </c>
      <c r="H45" s="84">
        <v>0.42199999999999999</v>
      </c>
      <c r="I45" s="84">
        <v>3.9140000000000001</v>
      </c>
      <c r="J45" s="84">
        <v>1.00761345E-2</v>
      </c>
      <c r="K45" s="84">
        <v>0.107818082</v>
      </c>
      <c r="L45" s="244">
        <v>0</v>
      </c>
      <c r="M45" s="84">
        <v>0.2</v>
      </c>
      <c r="N45" s="84">
        <v>0</v>
      </c>
      <c r="P45" s="244">
        <v>0</v>
      </c>
    </row>
    <row r="46" spans="3:16" customFormat="1" ht="15" customHeight="1" x14ac:dyDescent="0.15">
      <c r="C46" s="84">
        <v>45</v>
      </c>
      <c r="E46" s="154" t="s">
        <v>236</v>
      </c>
      <c r="F46" s="84">
        <v>0</v>
      </c>
      <c r="G46" s="84">
        <v>4.4000000000000003E-3</v>
      </c>
      <c r="H46" s="84">
        <v>0.23599999999999999</v>
      </c>
      <c r="I46" s="84">
        <v>2.5259999999999998</v>
      </c>
      <c r="J46" s="84">
        <v>0.14575052299999999</v>
      </c>
      <c r="K46" s="84">
        <v>9.3428339999999999E-2</v>
      </c>
      <c r="L46" s="244">
        <v>0</v>
      </c>
      <c r="M46" s="84">
        <v>0.2</v>
      </c>
      <c r="N46" s="84">
        <v>0</v>
      </c>
      <c r="P46" s="244">
        <v>-0.05</v>
      </c>
    </row>
    <row r="47" spans="3:16" customFormat="1" ht="15" customHeight="1" x14ac:dyDescent="0.15">
      <c r="C47" s="84">
        <v>46</v>
      </c>
      <c r="E47" s="154" t="s">
        <v>237</v>
      </c>
      <c r="F47" s="84">
        <v>0</v>
      </c>
      <c r="G47" s="84">
        <v>3.4000000000000002E-2</v>
      </c>
      <c r="H47" s="84">
        <v>7.0000000000000007E-2</v>
      </c>
      <c r="I47" s="84">
        <v>3.7</v>
      </c>
      <c r="J47" s="84">
        <v>0</v>
      </c>
      <c r="K47" s="84">
        <v>1.8918918400000002E-2</v>
      </c>
      <c r="L47" s="244">
        <v>0</v>
      </c>
      <c r="M47" s="84">
        <v>0.2</v>
      </c>
      <c r="N47" s="84">
        <v>0</v>
      </c>
      <c r="P47" s="244">
        <v>0</v>
      </c>
    </row>
    <row r="48" spans="3:16" customFormat="1" ht="15" customHeight="1" x14ac:dyDescent="0.15">
      <c r="C48" s="84">
        <v>47</v>
      </c>
      <c r="E48" s="154" t="s">
        <v>238</v>
      </c>
      <c r="F48" s="84">
        <v>0</v>
      </c>
      <c r="G48" s="84">
        <v>0.32619999999999999</v>
      </c>
      <c r="H48" s="84">
        <v>2.1930000000000001</v>
      </c>
      <c r="I48" s="84">
        <v>15</v>
      </c>
      <c r="J48" s="84">
        <v>0.92286020000000002</v>
      </c>
      <c r="K48" s="84">
        <v>0.1462</v>
      </c>
      <c r="L48" s="244">
        <v>0</v>
      </c>
      <c r="M48" s="84">
        <v>0.2</v>
      </c>
      <c r="N48" s="84">
        <v>0</v>
      </c>
      <c r="P48" s="244">
        <v>0.05</v>
      </c>
    </row>
    <row r="49" spans="3:16" customFormat="1" ht="15" customHeight="1" x14ac:dyDescent="0.15">
      <c r="C49" s="84">
        <v>48</v>
      </c>
      <c r="E49" s="154" t="s">
        <v>239</v>
      </c>
      <c r="F49" s="84">
        <v>0</v>
      </c>
      <c r="G49" s="84">
        <v>1.08E-3</v>
      </c>
      <c r="H49" s="84">
        <v>0.4</v>
      </c>
      <c r="I49" s="84">
        <v>72.12</v>
      </c>
      <c r="J49" s="84">
        <v>2.9942981899999999E-2</v>
      </c>
      <c r="K49" s="84">
        <v>5.5463113800000002E-3</v>
      </c>
      <c r="L49" s="244">
        <v>0</v>
      </c>
      <c r="M49" s="84">
        <v>0.2</v>
      </c>
      <c r="N49" s="84">
        <v>0</v>
      </c>
      <c r="P49" s="244">
        <v>0</v>
      </c>
    </row>
    <row r="50" spans="3:16" customFormat="1" ht="15" customHeight="1" x14ac:dyDescent="0.15">
      <c r="C50" s="84">
        <v>49</v>
      </c>
      <c r="E50" s="154" t="s">
        <v>240</v>
      </c>
      <c r="F50" s="84">
        <v>0</v>
      </c>
      <c r="G50" s="84">
        <v>5.7600000000000004E-3</v>
      </c>
      <c r="H50" s="84">
        <v>0.4</v>
      </c>
      <c r="I50" s="84">
        <v>13.727</v>
      </c>
      <c r="J50" s="84">
        <v>0.119432077</v>
      </c>
      <c r="K50" s="84">
        <v>2.9139650999999999E-2</v>
      </c>
      <c r="L50" s="244">
        <v>0</v>
      </c>
      <c r="M50" s="84">
        <v>0.2</v>
      </c>
      <c r="N50" s="84">
        <v>0</v>
      </c>
      <c r="P50" s="244">
        <v>0</v>
      </c>
    </row>
    <row r="51" spans="3:16" customFormat="1" ht="15" customHeight="1" x14ac:dyDescent="0.15">
      <c r="C51" s="84">
        <v>50</v>
      </c>
      <c r="E51" s="154" t="s">
        <v>241</v>
      </c>
      <c r="F51" s="84">
        <v>0</v>
      </c>
      <c r="G51" s="84">
        <v>3.0000000000000001E-3</v>
      </c>
      <c r="H51" s="84">
        <v>0.04</v>
      </c>
      <c r="I51" s="84">
        <v>13.32</v>
      </c>
      <c r="J51" s="84">
        <v>0.2736403</v>
      </c>
      <c r="K51" s="84">
        <v>3.0030030000000002E-3</v>
      </c>
      <c r="L51" s="244">
        <v>0</v>
      </c>
      <c r="M51" s="84">
        <v>0.2</v>
      </c>
      <c r="N51" s="84">
        <v>0</v>
      </c>
      <c r="P51" s="244">
        <v>0</v>
      </c>
    </row>
    <row r="52" spans="3:16" customFormat="1" ht="15" customHeight="1" x14ac:dyDescent="0.15">
      <c r="C52" s="84">
        <v>51</v>
      </c>
      <c r="E52" s="154" t="s">
        <v>242</v>
      </c>
      <c r="F52" s="84">
        <v>2</v>
      </c>
      <c r="G52" s="84">
        <v>0.185304</v>
      </c>
      <c r="H52" s="84">
        <v>0</v>
      </c>
      <c r="I52" s="84">
        <v>0</v>
      </c>
      <c r="J52" s="84">
        <v>0.104406454</v>
      </c>
      <c r="K52" s="84">
        <v>0</v>
      </c>
      <c r="L52" s="244">
        <v>0</v>
      </c>
      <c r="M52" s="84">
        <v>0</v>
      </c>
      <c r="N52" s="84">
        <v>0</v>
      </c>
      <c r="P52" s="244">
        <v>0</v>
      </c>
    </row>
    <row r="53" spans="3:16" customFormat="1" ht="15" customHeight="1" x14ac:dyDescent="0.15">
      <c r="C53" s="84">
        <v>52</v>
      </c>
      <c r="E53" s="154" t="s">
        <v>243</v>
      </c>
      <c r="F53" s="84">
        <v>2</v>
      </c>
      <c r="G53" s="84">
        <v>1</v>
      </c>
      <c r="H53" s="84">
        <v>0</v>
      </c>
      <c r="I53" s="84">
        <v>0</v>
      </c>
      <c r="J53" s="84">
        <v>0.18533825900000001</v>
      </c>
      <c r="K53" s="84">
        <v>0</v>
      </c>
      <c r="L53" s="244">
        <v>0</v>
      </c>
      <c r="M53" s="84">
        <v>0</v>
      </c>
      <c r="N53" s="84">
        <v>0</v>
      </c>
      <c r="P53" s="244">
        <v>0</v>
      </c>
    </row>
    <row r="54" spans="3:16" customFormat="1" ht="15" customHeight="1" x14ac:dyDescent="0.15">
      <c r="C54" s="84">
        <v>53</v>
      </c>
      <c r="E54" s="154" t="s">
        <v>244</v>
      </c>
      <c r="F54" s="84">
        <v>2</v>
      </c>
      <c r="G54" s="84">
        <v>5</v>
      </c>
      <c r="H54" s="84">
        <v>0</v>
      </c>
      <c r="I54" s="84">
        <v>0</v>
      </c>
      <c r="J54" s="84">
        <v>0</v>
      </c>
      <c r="K54" s="84">
        <v>0</v>
      </c>
      <c r="L54" s="244">
        <v>0</v>
      </c>
      <c r="M54" s="84">
        <v>0</v>
      </c>
      <c r="N54" s="84">
        <v>0</v>
      </c>
      <c r="P54" s="244">
        <v>0</v>
      </c>
    </row>
    <row r="55" spans="3:16" customFormat="1" ht="15" customHeight="1" x14ac:dyDescent="0.15">
      <c r="C55" s="84">
        <v>54</v>
      </c>
      <c r="E55" s="154" t="s">
        <v>245</v>
      </c>
      <c r="F55" s="84">
        <v>3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244">
        <v>0</v>
      </c>
      <c r="M55" s="84">
        <v>0</v>
      </c>
      <c r="N55" s="84">
        <v>0</v>
      </c>
      <c r="P55" s="244">
        <v>0</v>
      </c>
    </row>
    <row r="56" spans="3:16" customFormat="1" ht="15" customHeight="1" x14ac:dyDescent="0.15">
      <c r="C56" s="84">
        <v>55</v>
      </c>
      <c r="E56" s="154" t="s">
        <v>246</v>
      </c>
      <c r="F56" s="84">
        <v>3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244">
        <v>0</v>
      </c>
      <c r="M56" s="84">
        <v>0</v>
      </c>
      <c r="N56" s="84">
        <v>0</v>
      </c>
      <c r="P56" s="244">
        <v>0</v>
      </c>
    </row>
    <row r="57" spans="3:16" customFormat="1" ht="15" customHeight="1" x14ac:dyDescent="0.15">
      <c r="C57" s="84">
        <v>56</v>
      </c>
      <c r="E57" s="154" t="s">
        <v>247</v>
      </c>
      <c r="F57" s="84">
        <v>3</v>
      </c>
      <c r="G57" s="84">
        <v>0</v>
      </c>
      <c r="H57" s="84">
        <v>0</v>
      </c>
      <c r="I57" s="84">
        <v>0</v>
      </c>
      <c r="J57" s="84">
        <v>0</v>
      </c>
      <c r="K57" s="84">
        <v>0</v>
      </c>
      <c r="L57" s="244">
        <v>0</v>
      </c>
      <c r="M57" s="84">
        <v>0</v>
      </c>
      <c r="N57" s="84">
        <v>0</v>
      </c>
      <c r="P57" s="244">
        <v>0</v>
      </c>
    </row>
    <row r="58" spans="3:16" customFormat="1" ht="15" customHeight="1" x14ac:dyDescent="0.15">
      <c r="C58" s="84">
        <v>57</v>
      </c>
      <c r="E58" s="154" t="s">
        <v>248</v>
      </c>
      <c r="F58" s="84">
        <v>3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244">
        <v>0</v>
      </c>
      <c r="M58" s="84">
        <v>0</v>
      </c>
      <c r="N58" s="84">
        <v>0</v>
      </c>
      <c r="P58" s="244">
        <v>0</v>
      </c>
    </row>
    <row r="59" spans="3:16" customFormat="1" ht="15" customHeight="1" x14ac:dyDescent="0.15">
      <c r="C59" s="84">
        <v>58</v>
      </c>
      <c r="E59" s="154" t="s">
        <v>249</v>
      </c>
      <c r="F59" s="84">
        <v>3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244">
        <v>0</v>
      </c>
      <c r="M59" s="84">
        <v>0</v>
      </c>
      <c r="N59" s="84">
        <v>0</v>
      </c>
      <c r="P59" s="244">
        <v>0</v>
      </c>
    </row>
    <row r="60" spans="3:16" customFormat="1" ht="15" customHeight="1" x14ac:dyDescent="0.15">
      <c r="C60" s="84">
        <v>59</v>
      </c>
      <c r="E60" s="154" t="s">
        <v>250</v>
      </c>
      <c r="F60" s="84">
        <v>3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244">
        <v>0</v>
      </c>
      <c r="M60" s="84">
        <v>0</v>
      </c>
      <c r="N60" s="84">
        <v>0</v>
      </c>
      <c r="P60" s="244">
        <v>0</v>
      </c>
    </row>
    <row r="61" spans="3:16" customFormat="1" ht="15" customHeight="1" x14ac:dyDescent="0.15">
      <c r="C61" s="84">
        <v>60</v>
      </c>
      <c r="E61" s="154" t="s">
        <v>251</v>
      </c>
      <c r="F61" s="84">
        <v>3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244">
        <v>0</v>
      </c>
      <c r="M61" s="84">
        <v>0</v>
      </c>
      <c r="N61" s="84">
        <v>0</v>
      </c>
      <c r="P61" s="244">
        <v>0</v>
      </c>
    </row>
    <row r="62" spans="3:16" customFormat="1" ht="15" customHeight="1" x14ac:dyDescent="0.15">
      <c r="C62" s="84">
        <v>61</v>
      </c>
      <c r="E62" s="154" t="s">
        <v>252</v>
      </c>
      <c r="F62" s="84">
        <v>3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244">
        <v>0</v>
      </c>
      <c r="M62" s="84">
        <v>0</v>
      </c>
      <c r="N62" s="84">
        <v>0</v>
      </c>
      <c r="P62" s="244">
        <v>0</v>
      </c>
    </row>
    <row r="63" spans="3:16" customFormat="1" ht="15" customHeight="1" x14ac:dyDescent="0.15">
      <c r="C63" s="84">
        <v>62</v>
      </c>
      <c r="E63" s="154" t="s">
        <v>253</v>
      </c>
      <c r="F63" s="84">
        <v>3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244">
        <v>0</v>
      </c>
      <c r="M63" s="84">
        <v>0</v>
      </c>
      <c r="N63" s="84">
        <v>0</v>
      </c>
      <c r="P63" s="244">
        <v>0</v>
      </c>
    </row>
    <row r="64" spans="3:16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B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7" bestFit="1" customWidth="1"/>
    <col min="2" max="2" width="2.33203125" style="147" bestFit="1" customWidth="1"/>
    <col min="3" max="3" width="8.83203125" style="147" bestFit="1" customWidth="1"/>
    <col min="4" max="4" width="13.83203125" style="147" bestFit="1" customWidth="1"/>
    <col min="5" max="6" width="2.33203125" style="147" bestFit="1" customWidth="1"/>
    <col min="7" max="7" width="4.83203125" style="147" bestFit="1" customWidth="1"/>
    <col min="8" max="9" width="8.83203125" style="147" bestFit="1" customWidth="1"/>
    <col min="10" max="10" width="14.83203125" style="147" bestFit="1" customWidth="1"/>
    <col min="11" max="12" width="3.83203125" style="147" bestFit="1" customWidth="1"/>
    <col min="13" max="13" width="14.83203125" style="147" bestFit="1" customWidth="1"/>
    <col min="14" max="14" width="8.83203125" style="147" bestFit="1" customWidth="1"/>
    <col min="15" max="15" width="14.83203125" style="147" bestFit="1" customWidth="1"/>
    <col min="16" max="17" width="15.83203125" style="147" bestFit="1" customWidth="1"/>
    <col min="18" max="18" width="13.83203125" style="147" bestFit="1" customWidth="1"/>
    <col min="19" max="22" width="14.83203125" style="147" bestFit="1" customWidth="1"/>
    <col min="23" max="23" width="8.83203125" style="147" bestFit="1" customWidth="1"/>
    <col min="24" max="26" width="15.83203125" style="147" bestFit="1" customWidth="1"/>
    <col min="27" max="27" width="13.83203125" style="147" bestFit="1" customWidth="1"/>
    <col min="28" max="29" width="15.83203125" style="147" bestFit="1" customWidth="1"/>
    <col min="30" max="31" width="15.83203125" style="147" customWidth="1"/>
    <col min="32" max="32" width="14.83203125" style="147" customWidth="1"/>
    <col min="33" max="34" width="15.83203125" style="147" customWidth="1"/>
    <col min="35" max="36" width="14.83203125" style="147" customWidth="1"/>
    <col min="37" max="37" width="8.83203125" style="147" customWidth="1"/>
    <col min="38" max="38" width="15.83203125" style="147" customWidth="1"/>
    <col min="39" max="39" width="12.83203125" style="147" customWidth="1"/>
    <col min="40" max="40" width="3.83203125" style="147" customWidth="1"/>
    <col min="41" max="41" width="8.83203125" style="147" customWidth="1"/>
    <col min="42" max="42" width="3.83203125" style="147" customWidth="1"/>
    <col min="43" max="45" width="15.83203125" style="147" customWidth="1"/>
    <col min="46" max="46" width="14.83203125" style="147" customWidth="1"/>
    <col min="47" max="47" width="3.83203125" style="147" customWidth="1"/>
    <col min="48" max="49" width="15.83203125" style="147" customWidth="1"/>
    <col min="50" max="50" width="14.83203125" style="147" customWidth="1"/>
    <col min="51" max="51" width="15.83203125" style="147" customWidth="1"/>
    <col min="52" max="54" width="2.33203125" style="147" customWidth="1"/>
    <col min="55" max="16384" width="8.83203125" style="147"/>
  </cols>
  <sheetData>
    <row r="1" spans="1:54" x14ac:dyDescent="0.15">
      <c r="A1" s="146" t="s">
        <v>19</v>
      </c>
      <c r="B1" s="156" t="s">
        <v>192</v>
      </c>
      <c r="C1" s="156" t="s">
        <v>193</v>
      </c>
      <c r="D1" s="156" t="s">
        <v>194</v>
      </c>
      <c r="E1" s="156" t="s">
        <v>195</v>
      </c>
      <c r="F1" s="156" t="s">
        <v>196</v>
      </c>
      <c r="G1" s="156" t="s">
        <v>197</v>
      </c>
      <c r="H1" s="156" t="s">
        <v>198</v>
      </c>
      <c r="I1" s="156" t="s">
        <v>199</v>
      </c>
      <c r="J1" s="156" t="s">
        <v>200</v>
      </c>
      <c r="K1" s="156" t="s">
        <v>201</v>
      </c>
      <c r="L1" s="156" t="s">
        <v>202</v>
      </c>
      <c r="M1" s="156" t="s">
        <v>203</v>
      </c>
      <c r="N1" s="156" t="s">
        <v>204</v>
      </c>
      <c r="O1" s="156" t="s">
        <v>205</v>
      </c>
      <c r="P1" s="156" t="s">
        <v>206</v>
      </c>
      <c r="Q1" s="156" t="s">
        <v>207</v>
      </c>
      <c r="R1" s="156" t="s">
        <v>208</v>
      </c>
      <c r="S1" s="156" t="s">
        <v>209</v>
      </c>
      <c r="T1" s="156" t="s">
        <v>210</v>
      </c>
      <c r="U1" s="156" t="s">
        <v>211</v>
      </c>
      <c r="V1" s="156" t="s">
        <v>212</v>
      </c>
      <c r="W1" s="156" t="s">
        <v>213</v>
      </c>
      <c r="X1" s="156" t="s">
        <v>214</v>
      </c>
      <c r="Y1" s="156" t="s">
        <v>215</v>
      </c>
      <c r="Z1" s="156" t="s">
        <v>216</v>
      </c>
      <c r="AA1" s="156" t="s">
        <v>217</v>
      </c>
      <c r="AB1" s="156" t="s">
        <v>218</v>
      </c>
      <c r="AC1" s="156" t="s">
        <v>219</v>
      </c>
      <c r="AD1" s="156" t="s">
        <v>220</v>
      </c>
      <c r="AE1" s="156" t="s">
        <v>221</v>
      </c>
      <c r="AF1" s="156" t="s">
        <v>222</v>
      </c>
      <c r="AG1" s="156" t="s">
        <v>223</v>
      </c>
      <c r="AH1" s="156" t="s">
        <v>224</v>
      </c>
      <c r="AI1" s="156" t="s">
        <v>225</v>
      </c>
      <c r="AJ1" s="156" t="s">
        <v>226</v>
      </c>
      <c r="AK1" s="156" t="s">
        <v>227</v>
      </c>
      <c r="AL1" s="156" t="s">
        <v>228</v>
      </c>
      <c r="AM1" s="156" t="s">
        <v>229</v>
      </c>
      <c r="AN1" s="156" t="s">
        <v>230</v>
      </c>
      <c r="AO1" s="156" t="s">
        <v>231</v>
      </c>
      <c r="AP1" s="156" t="s">
        <v>232</v>
      </c>
      <c r="AQ1" s="156" t="s">
        <v>233</v>
      </c>
      <c r="AR1" s="156" t="s">
        <v>234</v>
      </c>
      <c r="AS1" s="156" t="s">
        <v>235</v>
      </c>
      <c r="AT1" s="156" t="s">
        <v>236</v>
      </c>
      <c r="AU1" s="156" t="s">
        <v>237</v>
      </c>
      <c r="AV1" s="156" t="s">
        <v>238</v>
      </c>
      <c r="AW1" s="156" t="s">
        <v>239</v>
      </c>
      <c r="AX1" s="156" t="s">
        <v>240</v>
      </c>
      <c r="AY1" s="156" t="s">
        <v>241</v>
      </c>
      <c r="AZ1" s="156" t="s">
        <v>242</v>
      </c>
      <c r="BA1" s="156" t="s">
        <v>243</v>
      </c>
      <c r="BB1" s="156" t="s">
        <v>244</v>
      </c>
    </row>
    <row r="2" spans="1:54" customFormat="1" x14ac:dyDescent="0.15">
      <c r="A2" s="155" t="s">
        <v>192</v>
      </c>
      <c r="B2" s="147">
        <v>0</v>
      </c>
      <c r="C2" s="147">
        <v>0.94736799999999999</v>
      </c>
      <c r="D2" s="147">
        <v>0.78323821676178318</v>
      </c>
      <c r="E2" s="147">
        <v>0</v>
      </c>
      <c r="F2" s="147">
        <v>0</v>
      </c>
      <c r="G2" s="147">
        <v>0.1</v>
      </c>
      <c r="H2" s="147">
        <v>8.5000000000000006E-2</v>
      </c>
      <c r="I2" s="147">
        <v>0</v>
      </c>
      <c r="J2" s="147">
        <v>5.0862050862050853E-2</v>
      </c>
      <c r="K2" s="147">
        <v>0.5</v>
      </c>
      <c r="L2" s="147">
        <v>0.5</v>
      </c>
      <c r="M2" s="147">
        <v>0</v>
      </c>
      <c r="N2" s="147">
        <v>0</v>
      </c>
      <c r="O2" s="147">
        <v>8.5993495436257589E-2</v>
      </c>
      <c r="P2" s="147">
        <v>1.9130961265432255E-5</v>
      </c>
      <c r="Q2" s="147">
        <v>0</v>
      </c>
      <c r="R2" s="147">
        <v>0</v>
      </c>
      <c r="S2" s="147">
        <v>0</v>
      </c>
      <c r="T2" s="147">
        <v>0</v>
      </c>
      <c r="U2" s="147">
        <v>0</v>
      </c>
      <c r="V2" s="147">
        <v>0</v>
      </c>
      <c r="W2" s="147">
        <v>0</v>
      </c>
      <c r="X2" s="147">
        <v>0</v>
      </c>
      <c r="Y2" s="147">
        <v>0</v>
      </c>
      <c r="Z2" s="147">
        <v>0</v>
      </c>
      <c r="AA2" s="147">
        <v>0</v>
      </c>
      <c r="AB2" s="147">
        <v>0</v>
      </c>
      <c r="AC2" s="147">
        <v>0</v>
      </c>
      <c r="AD2" s="147">
        <v>0</v>
      </c>
      <c r="AE2" s="147">
        <v>0</v>
      </c>
      <c r="AF2" s="147">
        <v>0</v>
      </c>
      <c r="AG2" s="147">
        <v>0</v>
      </c>
      <c r="AH2" s="147">
        <v>1.1008950212932987E-3</v>
      </c>
      <c r="AI2" s="147">
        <v>0</v>
      </c>
      <c r="AJ2" s="147">
        <v>0</v>
      </c>
      <c r="AK2" s="147">
        <v>0</v>
      </c>
      <c r="AL2" s="147">
        <v>0</v>
      </c>
      <c r="AM2" s="147">
        <v>0</v>
      </c>
      <c r="AN2" s="147">
        <v>0</v>
      </c>
      <c r="AO2" s="147">
        <v>0</v>
      </c>
      <c r="AP2" s="147">
        <v>0</v>
      </c>
      <c r="AQ2" s="147">
        <v>0</v>
      </c>
      <c r="AR2" s="147">
        <v>0</v>
      </c>
      <c r="AS2" s="147">
        <v>0</v>
      </c>
      <c r="AT2" s="147">
        <v>0</v>
      </c>
      <c r="AU2" s="147">
        <v>0</v>
      </c>
      <c r="AV2" s="147">
        <v>6.1011966454653302E-2</v>
      </c>
      <c r="AW2" s="147">
        <v>0</v>
      </c>
      <c r="AX2" s="147">
        <v>0</v>
      </c>
      <c r="AY2" s="147">
        <v>0</v>
      </c>
      <c r="AZ2" s="147">
        <v>0</v>
      </c>
      <c r="BA2" s="147">
        <v>0</v>
      </c>
      <c r="BB2" s="147">
        <v>0</v>
      </c>
    </row>
    <row r="3" spans="1:54" customFormat="1" x14ac:dyDescent="0.15">
      <c r="A3" s="155" t="s">
        <v>193</v>
      </c>
      <c r="B3" s="147">
        <v>0</v>
      </c>
      <c r="C3" s="147">
        <v>5.2631999999999998E-2</v>
      </c>
      <c r="D3" s="147">
        <v>9.7904902095097904E-2</v>
      </c>
      <c r="E3" s="147">
        <v>0</v>
      </c>
      <c r="F3" s="147">
        <v>0</v>
      </c>
      <c r="G3" s="147">
        <v>0.15</v>
      </c>
      <c r="H3" s="147">
        <v>0.125218</v>
      </c>
      <c r="I3" s="147">
        <v>0</v>
      </c>
      <c r="J3" s="147">
        <v>0</v>
      </c>
      <c r="K3" s="147">
        <v>0</v>
      </c>
      <c r="L3" s="147">
        <v>0</v>
      </c>
      <c r="M3" s="147">
        <v>0</v>
      </c>
      <c r="N3" s="147">
        <v>0</v>
      </c>
      <c r="O3" s="147">
        <v>0</v>
      </c>
      <c r="P3" s="147">
        <v>9.968238238303661E-5</v>
      </c>
      <c r="Q3" s="147">
        <v>2.9247868678179873E-2</v>
      </c>
      <c r="R3" s="147">
        <v>0</v>
      </c>
      <c r="S3" s="147">
        <v>0</v>
      </c>
      <c r="T3" s="147">
        <v>0</v>
      </c>
      <c r="U3" s="147">
        <v>0</v>
      </c>
      <c r="V3" s="147">
        <v>0</v>
      </c>
      <c r="W3" s="147">
        <v>0</v>
      </c>
      <c r="X3" s="147">
        <v>9.025940590129072E-3</v>
      </c>
      <c r="Y3" s="147">
        <v>1.688368633818675E-4</v>
      </c>
      <c r="Z3" s="147">
        <v>0</v>
      </c>
      <c r="AA3" s="147">
        <v>0</v>
      </c>
      <c r="AB3" s="147">
        <v>5.3954428422864499E-2</v>
      </c>
      <c r="AC3" s="147">
        <v>1.0795858451065034E-4</v>
      </c>
      <c r="AD3" s="147">
        <v>0</v>
      </c>
      <c r="AE3" s="147">
        <v>0</v>
      </c>
      <c r="AF3" s="147">
        <v>0</v>
      </c>
      <c r="AG3" s="147">
        <v>0</v>
      </c>
      <c r="AH3" s="147">
        <v>0</v>
      </c>
      <c r="AI3" s="147">
        <v>0</v>
      </c>
      <c r="AJ3" s="147">
        <v>0</v>
      </c>
      <c r="AK3" s="147">
        <v>0</v>
      </c>
      <c r="AL3" s="147">
        <v>0</v>
      </c>
      <c r="AM3" s="147">
        <v>0</v>
      </c>
      <c r="AN3" s="147">
        <v>0.6</v>
      </c>
      <c r="AO3" s="147">
        <v>0.39486699999999991</v>
      </c>
      <c r="AP3" s="147">
        <v>0.4</v>
      </c>
      <c r="AQ3" s="147">
        <v>3.9449190991975358E-2</v>
      </c>
      <c r="AR3" s="147">
        <v>1.9478482985790527E-2</v>
      </c>
      <c r="AS3" s="147">
        <v>0</v>
      </c>
      <c r="AT3" s="147">
        <v>0</v>
      </c>
      <c r="AU3" s="147">
        <v>0</v>
      </c>
      <c r="AV3" s="147">
        <v>0</v>
      </c>
      <c r="AW3" s="147">
        <v>0</v>
      </c>
      <c r="AX3" s="147">
        <v>0</v>
      </c>
      <c r="AY3" s="147">
        <v>0</v>
      </c>
      <c r="AZ3" s="147">
        <v>0</v>
      </c>
      <c r="BA3" s="147">
        <v>0</v>
      </c>
      <c r="BB3" s="147">
        <v>0</v>
      </c>
    </row>
    <row r="4" spans="1:54" customFormat="1" x14ac:dyDescent="0.15">
      <c r="A4" s="155" t="s">
        <v>194</v>
      </c>
      <c r="B4" s="147">
        <v>0</v>
      </c>
      <c r="C4" s="147">
        <v>0</v>
      </c>
      <c r="D4" s="147">
        <v>4.895295104704895E-2</v>
      </c>
      <c r="E4" s="147">
        <v>1</v>
      </c>
      <c r="F4" s="147">
        <v>0</v>
      </c>
      <c r="G4" s="147">
        <v>0.3</v>
      </c>
      <c r="H4" s="147">
        <v>0.23478199999999999</v>
      </c>
      <c r="I4" s="147">
        <v>0</v>
      </c>
      <c r="J4" s="147">
        <v>0</v>
      </c>
      <c r="K4" s="147">
        <v>0</v>
      </c>
      <c r="L4" s="147">
        <v>0</v>
      </c>
      <c r="M4" s="147">
        <v>0</v>
      </c>
      <c r="N4" s="147">
        <v>0</v>
      </c>
      <c r="O4" s="147">
        <v>0</v>
      </c>
      <c r="P4" s="147">
        <v>9.968238238303661E-5</v>
      </c>
      <c r="Q4" s="147">
        <v>3.1665880535246105E-2</v>
      </c>
      <c r="R4" s="147">
        <v>0</v>
      </c>
      <c r="S4" s="147">
        <v>0</v>
      </c>
      <c r="T4" s="147">
        <v>0</v>
      </c>
      <c r="U4" s="147">
        <v>0</v>
      </c>
      <c r="V4" s="147">
        <v>0</v>
      </c>
      <c r="W4" s="147">
        <v>0</v>
      </c>
      <c r="X4" s="147">
        <v>1.5605654581463362E-2</v>
      </c>
      <c r="Y4" s="147">
        <v>1.688368633818675E-4</v>
      </c>
      <c r="Z4" s="147">
        <v>0</v>
      </c>
      <c r="AA4" s="147">
        <v>0</v>
      </c>
      <c r="AB4" s="147">
        <v>6.2423028717041605E-2</v>
      </c>
      <c r="AC4" s="147">
        <v>2.381767152399462E-4</v>
      </c>
      <c r="AD4" s="147">
        <v>2.9768520125153082E-2</v>
      </c>
      <c r="AE4" s="147">
        <v>0</v>
      </c>
      <c r="AF4" s="147">
        <v>0</v>
      </c>
      <c r="AG4" s="147">
        <v>3.623930031448612E-2</v>
      </c>
      <c r="AH4" s="147">
        <v>0.17019576430732974</v>
      </c>
      <c r="AI4" s="147">
        <v>0</v>
      </c>
      <c r="AJ4" s="147">
        <v>0</v>
      </c>
      <c r="AK4" s="147">
        <v>0</v>
      </c>
      <c r="AL4" s="147">
        <v>0</v>
      </c>
      <c r="AM4" s="147">
        <v>0.80511835239780249</v>
      </c>
      <c r="AN4" s="147">
        <v>0.4</v>
      </c>
      <c r="AO4" s="147">
        <v>0.59229999999999994</v>
      </c>
      <c r="AP4" s="147">
        <v>0.6</v>
      </c>
      <c r="AQ4" s="147">
        <v>0.68244044623684352</v>
      </c>
      <c r="AR4" s="147">
        <v>0.18523069322232935</v>
      </c>
      <c r="AS4" s="147">
        <v>0</v>
      </c>
      <c r="AT4" s="147">
        <v>0</v>
      </c>
      <c r="AU4" s="147">
        <v>0.3</v>
      </c>
      <c r="AV4" s="147">
        <v>0</v>
      </c>
      <c r="AW4" s="147">
        <v>2.5102402200372444E-2</v>
      </c>
      <c r="AX4" s="147">
        <v>0</v>
      </c>
      <c r="AY4" s="147">
        <v>0</v>
      </c>
      <c r="AZ4" s="147">
        <v>0</v>
      </c>
      <c r="BA4" s="147">
        <v>0</v>
      </c>
      <c r="BB4" s="147">
        <v>0</v>
      </c>
    </row>
    <row r="5" spans="1:54" customFormat="1" x14ac:dyDescent="0.15">
      <c r="A5" s="155" t="s">
        <v>195</v>
      </c>
      <c r="B5" s="147">
        <v>0</v>
      </c>
      <c r="C5" s="147">
        <v>0</v>
      </c>
      <c r="D5" s="147">
        <v>0</v>
      </c>
      <c r="E5" s="147">
        <v>0</v>
      </c>
      <c r="F5" s="147">
        <v>0</v>
      </c>
      <c r="G5" s="147">
        <v>0</v>
      </c>
      <c r="H5" s="147">
        <v>0</v>
      </c>
      <c r="I5" s="147">
        <v>0</v>
      </c>
      <c r="J5" s="147">
        <v>0</v>
      </c>
      <c r="K5" s="147">
        <v>0</v>
      </c>
      <c r="L5" s="147">
        <v>0</v>
      </c>
      <c r="M5" s="147">
        <v>0</v>
      </c>
      <c r="N5" s="147">
        <v>0</v>
      </c>
      <c r="O5" s="147">
        <v>0</v>
      </c>
      <c r="P5" s="147">
        <v>2.9602646910719944E-4</v>
      </c>
      <c r="Q5" s="147">
        <v>0</v>
      </c>
      <c r="R5" s="147">
        <v>0</v>
      </c>
      <c r="S5" s="147">
        <v>0</v>
      </c>
      <c r="T5" s="147">
        <v>0</v>
      </c>
      <c r="U5" s="147">
        <v>0</v>
      </c>
      <c r="V5" s="147">
        <v>0</v>
      </c>
      <c r="W5" s="147">
        <v>0</v>
      </c>
      <c r="X5" s="147">
        <v>0</v>
      </c>
      <c r="Y5" s="147">
        <v>0</v>
      </c>
      <c r="Z5" s="147">
        <v>0</v>
      </c>
      <c r="AA5" s="147">
        <v>0</v>
      </c>
      <c r="AB5" s="147">
        <v>2.0083448642517626E-3</v>
      </c>
      <c r="AC5" s="147">
        <v>0</v>
      </c>
      <c r="AD5" s="147">
        <v>0</v>
      </c>
      <c r="AE5" s="147">
        <v>0</v>
      </c>
      <c r="AF5" s="147">
        <v>0</v>
      </c>
      <c r="AG5" s="147">
        <v>0</v>
      </c>
      <c r="AH5" s="147">
        <v>0</v>
      </c>
      <c r="AI5" s="147">
        <v>0</v>
      </c>
      <c r="AJ5" s="147">
        <v>0</v>
      </c>
      <c r="AK5" s="147">
        <v>0</v>
      </c>
      <c r="AL5" s="147">
        <v>0</v>
      </c>
      <c r="AM5" s="147">
        <v>0</v>
      </c>
      <c r="AN5" s="147">
        <v>0</v>
      </c>
      <c r="AO5" s="147">
        <v>1.2832999999999997E-2</v>
      </c>
      <c r="AP5" s="147">
        <v>0</v>
      </c>
      <c r="AQ5" s="147">
        <v>5.1933056859352171E-2</v>
      </c>
      <c r="AR5" s="147">
        <v>5.0873360786304771E-2</v>
      </c>
      <c r="AS5" s="147">
        <v>0</v>
      </c>
      <c r="AT5" s="147">
        <v>0</v>
      </c>
      <c r="AU5" s="147">
        <v>0</v>
      </c>
      <c r="AV5" s="147">
        <v>0</v>
      </c>
      <c r="AW5" s="147">
        <v>0</v>
      </c>
      <c r="AX5" s="147">
        <v>0</v>
      </c>
      <c r="AY5" s="147">
        <v>0</v>
      </c>
      <c r="AZ5" s="147">
        <v>0</v>
      </c>
      <c r="BA5" s="147">
        <v>0</v>
      </c>
      <c r="BB5" s="147">
        <v>0</v>
      </c>
    </row>
    <row r="6" spans="1:54" customFormat="1" x14ac:dyDescent="0.15">
      <c r="A6" s="155" t="s">
        <v>196</v>
      </c>
      <c r="B6" s="147">
        <v>0</v>
      </c>
      <c r="C6" s="147">
        <v>0</v>
      </c>
      <c r="D6" s="147">
        <v>0</v>
      </c>
      <c r="E6" s="147">
        <v>0</v>
      </c>
      <c r="F6" s="147">
        <v>0</v>
      </c>
      <c r="G6" s="147">
        <v>0.1</v>
      </c>
      <c r="H6" s="147">
        <v>0.03</v>
      </c>
      <c r="I6" s="147">
        <v>0.73542400000000008</v>
      </c>
      <c r="J6" s="147">
        <v>0.11189711189711188</v>
      </c>
      <c r="K6" s="147">
        <v>0</v>
      </c>
      <c r="L6" s="147">
        <v>0</v>
      </c>
      <c r="M6" s="147">
        <v>0</v>
      </c>
      <c r="N6" s="147">
        <v>0</v>
      </c>
      <c r="O6" s="147">
        <v>0.11973743896154035</v>
      </c>
      <c r="P6" s="147">
        <v>0.59501821731056026</v>
      </c>
      <c r="Q6" s="147">
        <v>7.0528896241535188E-2</v>
      </c>
      <c r="R6" s="147">
        <v>0.52884017370420466</v>
      </c>
      <c r="S6" s="147">
        <v>0.84554315445684558</v>
      </c>
      <c r="T6" s="147">
        <v>0.84538984538984541</v>
      </c>
      <c r="U6" s="147">
        <v>0.48448451551548455</v>
      </c>
      <c r="V6" s="147">
        <v>0.48448451551548455</v>
      </c>
      <c r="W6" s="147">
        <v>0.65779100000000001</v>
      </c>
      <c r="X6" s="147">
        <v>0.68546702200694587</v>
      </c>
      <c r="Y6" s="147">
        <v>5.9714063427700415E-2</v>
      </c>
      <c r="Z6" s="147">
        <v>0.25632209733697636</v>
      </c>
      <c r="AA6" s="147">
        <v>0.308975308975309</v>
      </c>
      <c r="AB6" s="147">
        <v>3.6371214721504529E-2</v>
      </c>
      <c r="AC6" s="147">
        <v>9.3565594241041106E-2</v>
      </c>
      <c r="AD6" s="147">
        <v>5.6665815225689697E-2</v>
      </c>
      <c r="AE6" s="147">
        <v>1.2502919356923865E-4</v>
      </c>
      <c r="AF6" s="147">
        <v>0.25861945832598876</v>
      </c>
      <c r="AG6" s="147">
        <v>0.13596672850272992</v>
      </c>
      <c r="AH6" s="147">
        <v>8.5116515101360216E-2</v>
      </c>
      <c r="AI6" s="147">
        <v>0</v>
      </c>
      <c r="AJ6" s="147">
        <v>0</v>
      </c>
      <c r="AK6" s="147">
        <v>0.98397500000000004</v>
      </c>
      <c r="AL6" s="147">
        <v>0</v>
      </c>
      <c r="AM6" s="147">
        <v>0.19488164760219751</v>
      </c>
      <c r="AN6" s="147">
        <v>0</v>
      </c>
      <c r="AO6" s="147">
        <v>0</v>
      </c>
      <c r="AP6" s="147">
        <v>0</v>
      </c>
      <c r="AQ6" s="147">
        <v>9.3943055725903193E-3</v>
      </c>
      <c r="AR6" s="147">
        <v>0.10412066574274963</v>
      </c>
      <c r="AS6" s="147">
        <v>0.23060410529591757</v>
      </c>
      <c r="AT6" s="147">
        <v>1.0483815468103163E-2</v>
      </c>
      <c r="AU6" s="147">
        <v>0</v>
      </c>
      <c r="AV6" s="147">
        <v>3.813752679868871E-3</v>
      </c>
      <c r="AW6" s="147">
        <v>3.6115312159792475E-2</v>
      </c>
      <c r="AX6" s="147">
        <v>0</v>
      </c>
      <c r="AY6" s="147">
        <v>0</v>
      </c>
      <c r="AZ6" s="147">
        <v>0</v>
      </c>
      <c r="BA6" s="147">
        <v>0</v>
      </c>
      <c r="BB6" s="147">
        <v>0</v>
      </c>
    </row>
    <row r="7" spans="1:54" customFormat="1" x14ac:dyDescent="0.15">
      <c r="A7" s="155" t="s">
        <v>197</v>
      </c>
      <c r="B7" s="147">
        <v>0</v>
      </c>
      <c r="C7" s="147">
        <v>0</v>
      </c>
      <c r="D7" s="147">
        <v>0</v>
      </c>
      <c r="E7" s="147">
        <v>0</v>
      </c>
      <c r="F7" s="147">
        <v>0</v>
      </c>
      <c r="G7" s="147">
        <v>0</v>
      </c>
      <c r="H7" s="147">
        <v>0</v>
      </c>
      <c r="I7" s="147">
        <v>0</v>
      </c>
      <c r="J7" s="147">
        <v>5.0860050860050861E-3</v>
      </c>
      <c r="K7" s="147">
        <v>0</v>
      </c>
      <c r="L7" s="147">
        <v>0</v>
      </c>
      <c r="M7" s="147">
        <v>0</v>
      </c>
      <c r="N7" s="147">
        <v>0</v>
      </c>
      <c r="O7" s="147">
        <v>3.265520824360249E-2</v>
      </c>
      <c r="P7" s="147">
        <v>4.2088116883948911E-4</v>
      </c>
      <c r="Q7" s="147">
        <v>0</v>
      </c>
      <c r="R7" s="147">
        <v>0</v>
      </c>
      <c r="S7" s="147">
        <v>9.7749902250097772E-3</v>
      </c>
      <c r="T7" s="147">
        <v>9.7840097840097839E-3</v>
      </c>
      <c r="U7" s="147">
        <v>0</v>
      </c>
      <c r="V7" s="147">
        <v>0</v>
      </c>
      <c r="W7" s="147">
        <v>0.19736400000000001</v>
      </c>
      <c r="X7" s="147">
        <v>3.7934148321345118E-2</v>
      </c>
      <c r="Y7" s="147">
        <v>2.0322957205224778E-4</v>
      </c>
      <c r="Z7" s="147">
        <v>0</v>
      </c>
      <c r="AA7" s="147">
        <v>0</v>
      </c>
      <c r="AB7" s="147">
        <v>3.0306512870932872E-3</v>
      </c>
      <c r="AC7" s="147">
        <v>8.5476502519757315E-4</v>
      </c>
      <c r="AD7" s="147">
        <v>5.3668698122763027E-4</v>
      </c>
      <c r="AE7" s="147">
        <v>0</v>
      </c>
      <c r="AF7" s="147">
        <v>1.4429879912662131E-2</v>
      </c>
      <c r="AG7" s="147">
        <v>0</v>
      </c>
      <c r="AH7" s="147">
        <v>8.8049685576883354E-4</v>
      </c>
      <c r="AI7" s="147">
        <v>0</v>
      </c>
      <c r="AJ7" s="147">
        <v>0</v>
      </c>
      <c r="AK7" s="147">
        <v>0</v>
      </c>
      <c r="AL7" s="147">
        <v>4.5775029966590097E-4</v>
      </c>
      <c r="AM7" s="147">
        <v>0</v>
      </c>
      <c r="AN7" s="147">
        <v>0</v>
      </c>
      <c r="AO7" s="147">
        <v>0</v>
      </c>
      <c r="AP7" s="147">
        <v>0</v>
      </c>
      <c r="AQ7" s="147">
        <v>0</v>
      </c>
      <c r="AR7" s="147">
        <v>0</v>
      </c>
      <c r="AS7" s="147">
        <v>0</v>
      </c>
      <c r="AT7" s="147">
        <v>0</v>
      </c>
      <c r="AU7" s="147">
        <v>0</v>
      </c>
      <c r="AV7" s="147">
        <v>0</v>
      </c>
      <c r="AW7" s="147">
        <v>0</v>
      </c>
      <c r="AX7" s="147">
        <v>0</v>
      </c>
      <c r="AY7" s="147">
        <v>0</v>
      </c>
      <c r="AZ7" s="147">
        <v>0</v>
      </c>
      <c r="BA7" s="147">
        <v>0</v>
      </c>
      <c r="BB7" s="147">
        <v>0</v>
      </c>
    </row>
    <row r="8" spans="1:54" customFormat="1" x14ac:dyDescent="0.15">
      <c r="A8" s="155" t="s">
        <v>198</v>
      </c>
      <c r="B8" s="147">
        <v>0</v>
      </c>
      <c r="C8" s="147">
        <v>0</v>
      </c>
      <c r="D8" s="147">
        <v>0</v>
      </c>
      <c r="E8" s="147">
        <v>0</v>
      </c>
      <c r="F8" s="147">
        <v>0</v>
      </c>
      <c r="G8" s="147">
        <v>0</v>
      </c>
      <c r="H8" s="147">
        <v>0</v>
      </c>
      <c r="I8" s="147">
        <v>5.5904000000000009E-2</v>
      </c>
      <c r="J8" s="147">
        <v>0</v>
      </c>
      <c r="K8" s="147">
        <v>0</v>
      </c>
      <c r="L8" s="147">
        <v>0</v>
      </c>
      <c r="M8" s="147">
        <v>0.14160669335864609</v>
      </c>
      <c r="N8" s="147">
        <v>0.15242</v>
      </c>
      <c r="O8" s="147">
        <v>3.2652197240610999E-3</v>
      </c>
      <c r="P8" s="147">
        <v>0.11587422952668454</v>
      </c>
      <c r="Q8" s="147">
        <v>0.50545531306745306</v>
      </c>
      <c r="R8" s="147">
        <v>0.17159972139891436</v>
      </c>
      <c r="S8" s="147">
        <v>0</v>
      </c>
      <c r="T8" s="147">
        <v>0</v>
      </c>
      <c r="U8" s="147">
        <v>5.0049949950050051E-3</v>
      </c>
      <c r="V8" s="147">
        <v>5.0049949950050051E-3</v>
      </c>
      <c r="W8" s="147">
        <v>3.3922000000000001E-2</v>
      </c>
      <c r="X8" s="147">
        <v>0</v>
      </c>
      <c r="Y8" s="147">
        <v>0.18928177518592348</v>
      </c>
      <c r="Z8" s="147">
        <v>0.46399081315662766</v>
      </c>
      <c r="AA8" s="147">
        <v>0.64436164436164434</v>
      </c>
      <c r="AB8" s="147">
        <v>2.2732153525786853E-2</v>
      </c>
      <c r="AC8" s="147">
        <v>0.52211896564152149</v>
      </c>
      <c r="AD8" s="147">
        <v>4.4738136755222259E-3</v>
      </c>
      <c r="AE8" s="147">
        <v>3.5918730489602514E-3</v>
      </c>
      <c r="AF8" s="147">
        <v>6.2157443186951544E-2</v>
      </c>
      <c r="AG8" s="147">
        <v>0.27986378304135734</v>
      </c>
      <c r="AH8" s="147">
        <v>3.5220966256991545E-2</v>
      </c>
      <c r="AI8" s="147">
        <v>0</v>
      </c>
      <c r="AJ8" s="147">
        <v>0.10132503140749345</v>
      </c>
      <c r="AK8" s="147">
        <v>9.2689999999999995E-3</v>
      </c>
      <c r="AL8" s="147">
        <v>1.4464317411384698E-2</v>
      </c>
      <c r="AM8" s="147">
        <v>0</v>
      </c>
      <c r="AN8" s="147">
        <v>0</v>
      </c>
      <c r="AO8" s="147">
        <v>0</v>
      </c>
      <c r="AP8" s="147">
        <v>0</v>
      </c>
      <c r="AQ8" s="147">
        <v>1.1742625690893767E-2</v>
      </c>
      <c r="AR8" s="147">
        <v>0.41350658126499207</v>
      </c>
      <c r="AS8" s="147">
        <v>0.65624805821680232</v>
      </c>
      <c r="AT8" s="147">
        <v>0</v>
      </c>
      <c r="AU8" s="147">
        <v>0</v>
      </c>
      <c r="AV8" s="147">
        <v>0</v>
      </c>
      <c r="AW8" s="147">
        <v>0</v>
      </c>
      <c r="AX8" s="147">
        <v>0</v>
      </c>
      <c r="AY8" s="147">
        <v>0</v>
      </c>
      <c r="AZ8" s="147">
        <v>0</v>
      </c>
      <c r="BA8" s="147">
        <v>0</v>
      </c>
      <c r="BB8" s="147">
        <v>0</v>
      </c>
    </row>
    <row r="9" spans="1:54" customFormat="1" x14ac:dyDescent="0.15">
      <c r="A9" s="155" t="s">
        <v>199</v>
      </c>
      <c r="B9" s="147">
        <v>0</v>
      </c>
      <c r="C9" s="147">
        <v>0</v>
      </c>
      <c r="D9" s="147">
        <v>0</v>
      </c>
      <c r="E9" s="147">
        <v>0</v>
      </c>
      <c r="F9" s="147">
        <v>0</v>
      </c>
      <c r="G9" s="147">
        <v>0</v>
      </c>
      <c r="H9" s="147">
        <v>0</v>
      </c>
      <c r="I9" s="147">
        <v>0</v>
      </c>
      <c r="J9" s="147">
        <v>0</v>
      </c>
      <c r="K9" s="147">
        <v>0</v>
      </c>
      <c r="L9" s="147">
        <v>0</v>
      </c>
      <c r="M9" s="147">
        <v>0</v>
      </c>
      <c r="N9" s="147">
        <v>0</v>
      </c>
      <c r="O9" s="147">
        <v>4.0215129954535916E-3</v>
      </c>
      <c r="P9" s="147">
        <v>0</v>
      </c>
      <c r="Q9" s="147">
        <v>0</v>
      </c>
      <c r="R9" s="147">
        <v>0</v>
      </c>
      <c r="S9" s="147">
        <v>0</v>
      </c>
      <c r="T9" s="147">
        <v>0</v>
      </c>
      <c r="U9" s="147">
        <v>0</v>
      </c>
      <c r="V9" s="147">
        <v>0</v>
      </c>
      <c r="W9" s="147">
        <v>0</v>
      </c>
      <c r="X9" s="147">
        <v>0</v>
      </c>
      <c r="Y9" s="147">
        <v>0</v>
      </c>
      <c r="Z9" s="147">
        <v>0</v>
      </c>
      <c r="AA9" s="147">
        <v>0</v>
      </c>
      <c r="AB9" s="147">
        <v>0</v>
      </c>
      <c r="AC9" s="147">
        <v>5.5760059032813664E-4</v>
      </c>
      <c r="AD9" s="147">
        <v>0</v>
      </c>
      <c r="AE9" s="147">
        <v>0</v>
      </c>
      <c r="AF9" s="147">
        <v>1.4467050782813549E-2</v>
      </c>
      <c r="AG9" s="147">
        <v>0</v>
      </c>
      <c r="AH9" s="147">
        <v>0</v>
      </c>
      <c r="AI9" s="147">
        <v>0</v>
      </c>
      <c r="AJ9" s="147">
        <v>0</v>
      </c>
      <c r="AK9" s="147">
        <v>0</v>
      </c>
      <c r="AL9" s="147">
        <v>0</v>
      </c>
      <c r="AM9" s="147">
        <v>0</v>
      </c>
      <c r="AN9" s="147">
        <v>0</v>
      </c>
      <c r="AO9" s="147">
        <v>0</v>
      </c>
      <c r="AP9" s="147">
        <v>0</v>
      </c>
      <c r="AQ9" s="147">
        <v>0</v>
      </c>
      <c r="AR9" s="147">
        <v>0</v>
      </c>
      <c r="AS9" s="147">
        <v>0</v>
      </c>
      <c r="AT9" s="147">
        <v>0</v>
      </c>
      <c r="AU9" s="147">
        <v>0</v>
      </c>
      <c r="AV9" s="147">
        <v>0</v>
      </c>
      <c r="AW9" s="147">
        <v>0</v>
      </c>
      <c r="AX9" s="147">
        <v>0</v>
      </c>
      <c r="AY9" s="147">
        <v>0</v>
      </c>
      <c r="AZ9" s="147">
        <v>0</v>
      </c>
      <c r="BA9" s="147">
        <v>0</v>
      </c>
      <c r="BB9" s="147">
        <v>0</v>
      </c>
    </row>
    <row r="10" spans="1:54" customFormat="1" x14ac:dyDescent="0.15">
      <c r="A10" s="155" t="s">
        <v>200</v>
      </c>
      <c r="B10" s="147">
        <v>0</v>
      </c>
      <c r="C10" s="147">
        <v>0</v>
      </c>
      <c r="D10" s="147">
        <v>0</v>
      </c>
      <c r="E10" s="147">
        <v>0</v>
      </c>
      <c r="F10" s="147">
        <v>0</v>
      </c>
      <c r="G10" s="147">
        <v>0</v>
      </c>
      <c r="H10" s="147">
        <v>0</v>
      </c>
      <c r="I10" s="147">
        <v>5.5904000000000009E-2</v>
      </c>
      <c r="J10" s="147">
        <v>4.8221048221048217E-2</v>
      </c>
      <c r="K10" s="147">
        <v>0</v>
      </c>
      <c r="L10" s="147">
        <v>0</v>
      </c>
      <c r="M10" s="147">
        <v>0</v>
      </c>
      <c r="N10" s="147">
        <v>0</v>
      </c>
      <c r="O10" s="147">
        <v>3.3743951425290623E-2</v>
      </c>
      <c r="P10" s="147">
        <v>0.11482101655807493</v>
      </c>
      <c r="Q10" s="147">
        <v>3.2060962041988687E-4</v>
      </c>
      <c r="R10" s="147">
        <v>1.871951370622868E-2</v>
      </c>
      <c r="S10" s="147">
        <v>0</v>
      </c>
      <c r="T10" s="147">
        <v>0</v>
      </c>
      <c r="U10" s="147">
        <v>5.0049949950050051E-3</v>
      </c>
      <c r="V10" s="147">
        <v>5.0049949950050051E-3</v>
      </c>
      <c r="W10" s="147">
        <v>1.64E-4</v>
      </c>
      <c r="X10" s="147">
        <v>2.5631453993796557E-2</v>
      </c>
      <c r="Y10" s="147">
        <v>0</v>
      </c>
      <c r="Z10" s="147">
        <v>0</v>
      </c>
      <c r="AA10" s="147">
        <v>0</v>
      </c>
      <c r="AB10" s="147">
        <v>7.7296337800214412E-4</v>
      </c>
      <c r="AC10" s="147">
        <v>3.2387579553190803E-4</v>
      </c>
      <c r="AD10" s="147">
        <v>2.9821867673586275E-3</v>
      </c>
      <c r="AE10" s="147">
        <v>0</v>
      </c>
      <c r="AF10" s="147">
        <v>2.1089404664997161E-2</v>
      </c>
      <c r="AG10" s="147">
        <v>2.26595256562136E-3</v>
      </c>
      <c r="AH10" s="147">
        <v>6.0168743379240754E-2</v>
      </c>
      <c r="AI10" s="147">
        <v>0</v>
      </c>
      <c r="AJ10" s="147">
        <v>0</v>
      </c>
      <c r="AK10" s="147">
        <v>0</v>
      </c>
      <c r="AL10" s="147">
        <v>1.836926859241812E-4</v>
      </c>
      <c r="AM10" s="147">
        <v>0</v>
      </c>
      <c r="AN10" s="147">
        <v>0</v>
      </c>
      <c r="AO10" s="147">
        <v>0</v>
      </c>
      <c r="AP10" s="147">
        <v>0</v>
      </c>
      <c r="AQ10" s="147">
        <v>0</v>
      </c>
      <c r="AR10" s="147">
        <v>0</v>
      </c>
      <c r="AS10" s="147">
        <v>0</v>
      </c>
      <c r="AT10" s="147">
        <v>2.3295022313657935E-3</v>
      </c>
      <c r="AU10" s="147">
        <v>0</v>
      </c>
      <c r="AV10" s="147">
        <v>0</v>
      </c>
      <c r="AW10" s="147">
        <v>0</v>
      </c>
      <c r="AX10" s="147">
        <v>0</v>
      </c>
      <c r="AY10" s="147">
        <v>0</v>
      </c>
      <c r="AZ10" s="147">
        <v>0</v>
      </c>
      <c r="BA10" s="147">
        <v>0</v>
      </c>
      <c r="BB10" s="147">
        <v>0</v>
      </c>
    </row>
    <row r="11" spans="1:54" customFormat="1" x14ac:dyDescent="0.15">
      <c r="A11" s="155" t="s">
        <v>201</v>
      </c>
      <c r="B11" s="147">
        <v>0</v>
      </c>
      <c r="C11" s="147">
        <v>0</v>
      </c>
      <c r="D11" s="147">
        <v>0</v>
      </c>
      <c r="E11" s="147">
        <v>0</v>
      </c>
      <c r="F11" s="147">
        <v>0</v>
      </c>
      <c r="G11" s="147">
        <v>0</v>
      </c>
      <c r="H11" s="147">
        <v>0</v>
      </c>
      <c r="I11" s="147">
        <v>0.11180800000000002</v>
      </c>
      <c r="J11" s="147">
        <v>5.0862050862050853E-2</v>
      </c>
      <c r="K11" s="147">
        <v>0</v>
      </c>
      <c r="L11" s="147">
        <v>0</v>
      </c>
      <c r="M11" s="147">
        <v>8.5107940908437582E-2</v>
      </c>
      <c r="N11" s="147">
        <v>0.20322699999999999</v>
      </c>
      <c r="O11" s="147">
        <v>0.24818281157458694</v>
      </c>
      <c r="P11" s="147">
        <v>0.14220950973707133</v>
      </c>
      <c r="Q11" s="147">
        <v>8.8695044365031755E-2</v>
      </c>
      <c r="R11" s="147">
        <v>1.4039908505226238E-2</v>
      </c>
      <c r="S11" s="147">
        <v>0.12706887293112706</v>
      </c>
      <c r="T11" s="147">
        <v>0.12719612719612719</v>
      </c>
      <c r="U11" s="147">
        <v>0.50550549449450555</v>
      </c>
      <c r="V11" s="147">
        <v>0.50550549449450555</v>
      </c>
      <c r="W11" s="147">
        <v>6.3731999999999997E-2</v>
      </c>
      <c r="X11" s="147">
        <v>0.13328358076722047</v>
      </c>
      <c r="Y11" s="147">
        <v>8.7857699157971802E-4</v>
      </c>
      <c r="Z11" s="147">
        <v>3.5603947272595101E-3</v>
      </c>
      <c r="AA11" s="147">
        <v>0</v>
      </c>
      <c r="AB11" s="147">
        <v>1.666064608245251E-4</v>
      </c>
      <c r="AC11" s="147">
        <v>1.5016260131728697E-2</v>
      </c>
      <c r="AD11" s="147">
        <v>1.1480618902604159E-3</v>
      </c>
      <c r="AE11" s="147">
        <v>0</v>
      </c>
      <c r="AF11" s="147">
        <v>1.5539620621529244E-2</v>
      </c>
      <c r="AG11" s="147">
        <v>2.26595256562136E-3</v>
      </c>
      <c r="AH11" s="147">
        <v>1.4675678313704235E-2</v>
      </c>
      <c r="AI11" s="147">
        <v>0</v>
      </c>
      <c r="AJ11" s="147">
        <v>0</v>
      </c>
      <c r="AK11" s="147">
        <v>3.4759999999999999E-3</v>
      </c>
      <c r="AL11" s="147">
        <v>0</v>
      </c>
      <c r="AM11" s="147">
        <v>0</v>
      </c>
      <c r="AN11" s="147">
        <v>0</v>
      </c>
      <c r="AO11" s="147">
        <v>0</v>
      </c>
      <c r="AP11" s="147">
        <v>0</v>
      </c>
      <c r="AQ11" s="147">
        <v>0</v>
      </c>
      <c r="AR11" s="147">
        <v>0</v>
      </c>
      <c r="AS11" s="147">
        <v>3.357873867947489E-3</v>
      </c>
      <c r="AT11" s="147">
        <v>0</v>
      </c>
      <c r="AU11" s="147">
        <v>0</v>
      </c>
      <c r="AV11" s="147">
        <v>0</v>
      </c>
      <c r="AW11" s="147">
        <v>0</v>
      </c>
      <c r="AX11" s="147">
        <v>1.5179757713504108E-3</v>
      </c>
      <c r="AY11" s="147">
        <v>0</v>
      </c>
      <c r="AZ11" s="147">
        <v>0</v>
      </c>
      <c r="BA11" s="147">
        <v>0</v>
      </c>
      <c r="BB11" s="147">
        <v>0</v>
      </c>
    </row>
    <row r="12" spans="1:54" customFormat="1" x14ac:dyDescent="0.15">
      <c r="A12" s="155" t="s">
        <v>202</v>
      </c>
      <c r="B12" s="147">
        <v>0</v>
      </c>
      <c r="C12" s="147">
        <v>0</v>
      </c>
      <c r="D12" s="147">
        <v>0</v>
      </c>
      <c r="E12" s="147">
        <v>0</v>
      </c>
      <c r="F12" s="147">
        <v>0</v>
      </c>
      <c r="G12" s="147">
        <v>0</v>
      </c>
      <c r="H12" s="147">
        <v>0</v>
      </c>
      <c r="I12" s="147">
        <v>0</v>
      </c>
      <c r="J12" s="147">
        <v>0</v>
      </c>
      <c r="K12" s="147">
        <v>0</v>
      </c>
      <c r="L12" s="147">
        <v>0</v>
      </c>
      <c r="M12" s="147">
        <v>0</v>
      </c>
      <c r="N12" s="147">
        <v>0</v>
      </c>
      <c r="O12" s="147">
        <v>0</v>
      </c>
      <c r="P12" s="147">
        <v>0</v>
      </c>
      <c r="Q12" s="147">
        <v>0</v>
      </c>
      <c r="R12" s="147">
        <v>0</v>
      </c>
      <c r="S12" s="147">
        <v>0</v>
      </c>
      <c r="T12" s="147">
        <v>0</v>
      </c>
      <c r="U12" s="147">
        <v>0</v>
      </c>
      <c r="V12" s="147">
        <v>0</v>
      </c>
      <c r="W12" s="147">
        <v>0</v>
      </c>
      <c r="X12" s="147">
        <v>0</v>
      </c>
      <c r="Y12" s="147">
        <v>0</v>
      </c>
      <c r="Z12" s="147">
        <v>0</v>
      </c>
      <c r="AA12" s="147">
        <v>0</v>
      </c>
      <c r="AB12" s="147">
        <v>0</v>
      </c>
      <c r="AC12" s="147">
        <v>0</v>
      </c>
      <c r="AD12" s="147">
        <v>0</v>
      </c>
      <c r="AE12" s="147">
        <v>0</v>
      </c>
      <c r="AF12" s="147">
        <v>0</v>
      </c>
      <c r="AG12" s="147">
        <v>0</v>
      </c>
      <c r="AH12" s="147">
        <v>0</v>
      </c>
      <c r="AI12" s="147">
        <v>0</v>
      </c>
      <c r="AJ12" s="147">
        <v>0</v>
      </c>
      <c r="AK12" s="147">
        <v>0</v>
      </c>
      <c r="AL12" s="147">
        <v>0</v>
      </c>
      <c r="AM12" s="147">
        <v>0</v>
      </c>
      <c r="AN12" s="147">
        <v>0</v>
      </c>
      <c r="AO12" s="147">
        <v>0</v>
      </c>
      <c r="AP12" s="147">
        <v>0</v>
      </c>
      <c r="AQ12" s="147">
        <v>0</v>
      </c>
      <c r="AR12" s="147">
        <v>0</v>
      </c>
      <c r="AS12" s="147">
        <v>3.5786105893464206E-4</v>
      </c>
      <c r="AT12" s="147">
        <v>0</v>
      </c>
      <c r="AU12" s="147">
        <v>0</v>
      </c>
      <c r="AV12" s="147">
        <v>0</v>
      </c>
      <c r="AW12" s="147">
        <v>0</v>
      </c>
      <c r="AX12" s="147">
        <v>0</v>
      </c>
      <c r="AY12" s="147">
        <v>0</v>
      </c>
      <c r="AZ12" s="147">
        <v>0</v>
      </c>
      <c r="BA12" s="147">
        <v>0</v>
      </c>
      <c r="BB12" s="147">
        <v>0</v>
      </c>
    </row>
    <row r="13" spans="1:54" customFormat="1" x14ac:dyDescent="0.15">
      <c r="A13" s="155" t="s">
        <v>203</v>
      </c>
      <c r="B13" s="147">
        <v>0</v>
      </c>
      <c r="C13" s="147">
        <v>0</v>
      </c>
      <c r="D13" s="147">
        <v>0</v>
      </c>
      <c r="E13" s="147">
        <v>0</v>
      </c>
      <c r="F13" s="147">
        <v>0</v>
      </c>
      <c r="G13" s="147">
        <v>0</v>
      </c>
      <c r="H13" s="147">
        <v>0</v>
      </c>
      <c r="I13" s="147">
        <v>4.096000000000001E-2</v>
      </c>
      <c r="J13" s="147">
        <v>0</v>
      </c>
      <c r="K13" s="147">
        <v>0</v>
      </c>
      <c r="L13" s="147">
        <v>0</v>
      </c>
      <c r="M13" s="147">
        <v>7.4031016527945333E-3</v>
      </c>
      <c r="N13" s="147">
        <v>1.2189999999999999E-2</v>
      </c>
      <c r="O13" s="147">
        <v>0.45717995421742808</v>
      </c>
      <c r="P13" s="147">
        <v>2.4341630162728421E-2</v>
      </c>
      <c r="Q13" s="147">
        <v>0.2222723639742375</v>
      </c>
      <c r="R13" s="147">
        <v>0.18830902332381005</v>
      </c>
      <c r="S13" s="147">
        <v>1.7612982387017615E-2</v>
      </c>
      <c r="T13" s="147">
        <v>1.763001763001763E-2</v>
      </c>
      <c r="U13" s="147">
        <v>0</v>
      </c>
      <c r="V13" s="147">
        <v>0</v>
      </c>
      <c r="W13" s="147">
        <v>1.3105E-2</v>
      </c>
      <c r="X13" s="147">
        <v>0</v>
      </c>
      <c r="Y13" s="147">
        <v>8.6754019168549482E-2</v>
      </c>
      <c r="Z13" s="147">
        <v>0.22570948043916406</v>
      </c>
      <c r="AA13" s="147">
        <v>4.6663046663046666E-2</v>
      </c>
      <c r="AB13" s="147">
        <v>3.3340571344402832E-2</v>
      </c>
      <c r="AC13" s="147">
        <v>0.23333634419378521</v>
      </c>
      <c r="AD13" s="147">
        <v>0.24455744260588488</v>
      </c>
      <c r="AE13" s="147">
        <v>0</v>
      </c>
      <c r="AF13" s="147">
        <v>0.48949127793360891</v>
      </c>
      <c r="AG13" s="147">
        <v>0.39090402881489444</v>
      </c>
      <c r="AH13" s="147">
        <v>3.2285612929020838E-2</v>
      </c>
      <c r="AI13" s="147">
        <v>0.16203905708516553</v>
      </c>
      <c r="AJ13" s="147">
        <v>0.2026500628149869</v>
      </c>
      <c r="AK13" s="147">
        <v>3.2799999999999999E-3</v>
      </c>
      <c r="AL13" s="147">
        <v>0</v>
      </c>
      <c r="AM13" s="147">
        <v>0</v>
      </c>
      <c r="AN13" s="147">
        <v>0</v>
      </c>
      <c r="AO13" s="147">
        <v>0</v>
      </c>
      <c r="AP13" s="147">
        <v>0</v>
      </c>
      <c r="AQ13" s="147">
        <v>1.5265623169424829E-2</v>
      </c>
      <c r="AR13" s="147">
        <v>0</v>
      </c>
      <c r="AS13" s="147">
        <v>1.604800789615192E-2</v>
      </c>
      <c r="AT13" s="147">
        <v>0</v>
      </c>
      <c r="AU13" s="147">
        <v>0</v>
      </c>
      <c r="AV13" s="147">
        <v>0.69600652340799785</v>
      </c>
      <c r="AW13" s="147">
        <v>3.6115312159792475E-2</v>
      </c>
      <c r="AX13" s="147">
        <v>0</v>
      </c>
      <c r="AY13" s="147">
        <v>0</v>
      </c>
      <c r="AZ13" s="147">
        <v>0</v>
      </c>
      <c r="BA13" s="147">
        <v>0</v>
      </c>
      <c r="BB13" s="147">
        <v>0</v>
      </c>
    </row>
    <row r="14" spans="1:54" customFormat="1" x14ac:dyDescent="0.15">
      <c r="A14" s="155" t="s">
        <v>204</v>
      </c>
      <c r="B14" s="147">
        <v>0</v>
      </c>
      <c r="C14" s="147">
        <v>0</v>
      </c>
      <c r="D14" s="147">
        <v>0</v>
      </c>
      <c r="E14" s="147">
        <v>0</v>
      </c>
      <c r="F14" s="147">
        <v>0</v>
      </c>
      <c r="G14" s="147">
        <v>0</v>
      </c>
      <c r="H14" s="147">
        <v>0</v>
      </c>
      <c r="I14" s="147">
        <v>0</v>
      </c>
      <c r="J14" s="147">
        <v>0</v>
      </c>
      <c r="K14" s="147">
        <v>0</v>
      </c>
      <c r="L14" s="147">
        <v>0</v>
      </c>
      <c r="M14" s="147">
        <v>0</v>
      </c>
      <c r="N14" s="147">
        <v>0</v>
      </c>
      <c r="O14" s="147">
        <v>0</v>
      </c>
      <c r="P14" s="147">
        <v>0</v>
      </c>
      <c r="Q14" s="147">
        <v>0</v>
      </c>
      <c r="R14" s="147">
        <v>0</v>
      </c>
      <c r="S14" s="147">
        <v>0</v>
      </c>
      <c r="T14" s="147">
        <v>0</v>
      </c>
      <c r="U14" s="147">
        <v>0</v>
      </c>
      <c r="V14" s="147">
        <v>0</v>
      </c>
      <c r="W14" s="147">
        <v>0</v>
      </c>
      <c r="X14" s="147">
        <v>0</v>
      </c>
      <c r="Y14" s="147">
        <v>0</v>
      </c>
      <c r="Z14" s="147">
        <v>0</v>
      </c>
      <c r="AA14" s="147">
        <v>0</v>
      </c>
      <c r="AB14" s="147">
        <v>0</v>
      </c>
      <c r="AC14" s="147">
        <v>0</v>
      </c>
      <c r="AD14" s="147">
        <v>0</v>
      </c>
      <c r="AE14" s="147">
        <v>0</v>
      </c>
      <c r="AF14" s="147">
        <v>1.1097455088632587E-3</v>
      </c>
      <c r="AG14" s="147">
        <v>3.6257372026764996E-2</v>
      </c>
      <c r="AH14" s="147">
        <v>0</v>
      </c>
      <c r="AI14" s="147">
        <v>0</v>
      </c>
      <c r="AJ14" s="147">
        <v>0</v>
      </c>
      <c r="AK14" s="147">
        <v>0</v>
      </c>
      <c r="AL14" s="147">
        <v>0</v>
      </c>
      <c r="AM14" s="147">
        <v>0</v>
      </c>
      <c r="AN14" s="147">
        <v>0</v>
      </c>
      <c r="AO14" s="147">
        <v>0</v>
      </c>
      <c r="AP14" s="147">
        <v>0</v>
      </c>
      <c r="AQ14" s="147">
        <v>0</v>
      </c>
      <c r="AR14" s="147">
        <v>0</v>
      </c>
      <c r="AS14" s="147">
        <v>0</v>
      </c>
      <c r="AT14" s="147">
        <v>0</v>
      </c>
      <c r="AU14" s="147">
        <v>0</v>
      </c>
      <c r="AV14" s="147">
        <v>0</v>
      </c>
      <c r="AW14" s="147">
        <v>0</v>
      </c>
      <c r="AX14" s="147">
        <v>0</v>
      </c>
      <c r="AY14" s="147">
        <v>0</v>
      </c>
      <c r="AZ14" s="147">
        <v>0</v>
      </c>
      <c r="BA14" s="147">
        <v>0</v>
      </c>
      <c r="BB14" s="147">
        <v>0</v>
      </c>
    </row>
    <row r="15" spans="1:54" customFormat="1" x14ac:dyDescent="0.15">
      <c r="A15" s="155" t="s">
        <v>205</v>
      </c>
      <c r="B15" s="147">
        <v>0</v>
      </c>
      <c r="C15" s="147">
        <v>0</v>
      </c>
      <c r="D15" s="147">
        <v>0</v>
      </c>
      <c r="E15" s="147">
        <v>0</v>
      </c>
      <c r="F15" s="147">
        <v>0</v>
      </c>
      <c r="G15" s="147">
        <v>0</v>
      </c>
      <c r="H15" s="147">
        <v>0</v>
      </c>
      <c r="I15" s="147">
        <v>0</v>
      </c>
      <c r="J15" s="147">
        <v>0</v>
      </c>
      <c r="K15" s="147">
        <v>0</v>
      </c>
      <c r="L15" s="147">
        <v>0</v>
      </c>
      <c r="M15" s="147">
        <v>0</v>
      </c>
      <c r="N15" s="147">
        <v>0</v>
      </c>
      <c r="O15" s="147">
        <v>1.0885403114865702E-2</v>
      </c>
      <c r="P15" s="147">
        <v>0</v>
      </c>
      <c r="Q15" s="147">
        <v>0</v>
      </c>
      <c r="R15" s="147">
        <v>0</v>
      </c>
      <c r="S15" s="147">
        <v>0</v>
      </c>
      <c r="T15" s="147">
        <v>0</v>
      </c>
      <c r="U15" s="147">
        <v>0</v>
      </c>
      <c r="V15" s="147">
        <v>0</v>
      </c>
      <c r="W15" s="147">
        <v>0</v>
      </c>
      <c r="X15" s="147">
        <v>0</v>
      </c>
      <c r="Y15" s="147">
        <v>0</v>
      </c>
      <c r="Z15" s="147">
        <v>0</v>
      </c>
      <c r="AA15" s="147">
        <v>0</v>
      </c>
      <c r="AB15" s="147">
        <v>0</v>
      </c>
      <c r="AC15" s="147">
        <v>0</v>
      </c>
      <c r="AD15" s="147">
        <v>0</v>
      </c>
      <c r="AE15" s="147">
        <v>0</v>
      </c>
      <c r="AF15" s="147">
        <v>0</v>
      </c>
      <c r="AG15" s="147">
        <v>0</v>
      </c>
      <c r="AH15" s="147">
        <v>0</v>
      </c>
      <c r="AI15" s="147">
        <v>0</v>
      </c>
      <c r="AJ15" s="147">
        <v>0</v>
      </c>
      <c r="AK15" s="147">
        <v>0</v>
      </c>
      <c r="AL15" s="147">
        <v>0</v>
      </c>
      <c r="AM15" s="147">
        <v>0</v>
      </c>
      <c r="AN15" s="147">
        <v>0</v>
      </c>
      <c r="AO15" s="147">
        <v>0</v>
      </c>
      <c r="AP15" s="147">
        <v>0</v>
      </c>
      <c r="AQ15" s="147">
        <v>0</v>
      </c>
      <c r="AR15" s="147">
        <v>0</v>
      </c>
      <c r="AS15" s="147">
        <v>0</v>
      </c>
      <c r="AT15" s="147">
        <v>0</v>
      </c>
      <c r="AU15" s="147">
        <v>0</v>
      </c>
      <c r="AV15" s="147">
        <v>0</v>
      </c>
      <c r="AW15" s="147">
        <v>0</v>
      </c>
      <c r="AX15" s="147">
        <v>0</v>
      </c>
      <c r="AY15" s="147">
        <v>0</v>
      </c>
      <c r="AZ15" s="147">
        <v>0</v>
      </c>
      <c r="BA15" s="147">
        <v>0</v>
      </c>
      <c r="BB15" s="147">
        <v>0</v>
      </c>
    </row>
    <row r="16" spans="1:54" customFormat="1" x14ac:dyDescent="0.15">
      <c r="A16" s="155" t="s">
        <v>206</v>
      </c>
      <c r="B16" s="147">
        <v>0</v>
      </c>
      <c r="C16" s="147">
        <v>0</v>
      </c>
      <c r="D16" s="147">
        <v>0</v>
      </c>
      <c r="E16" s="147">
        <v>0</v>
      </c>
      <c r="F16" s="147">
        <v>0</v>
      </c>
      <c r="G16" s="147">
        <v>0</v>
      </c>
      <c r="H16" s="147">
        <v>0</v>
      </c>
      <c r="I16" s="147">
        <v>0</v>
      </c>
      <c r="J16" s="147">
        <v>0</v>
      </c>
      <c r="K16" s="147">
        <v>0</v>
      </c>
      <c r="L16" s="147">
        <v>0</v>
      </c>
      <c r="M16" s="147">
        <v>0</v>
      </c>
      <c r="N16" s="147">
        <v>0</v>
      </c>
      <c r="O16" s="147">
        <v>4.3350043069134789E-3</v>
      </c>
      <c r="P16" s="147">
        <v>6.7999933409025222E-3</v>
      </c>
      <c r="Q16" s="147">
        <v>2.775445129870922E-2</v>
      </c>
      <c r="R16" s="147">
        <v>7.8491659361616006E-2</v>
      </c>
      <c r="S16" s="147">
        <v>0</v>
      </c>
      <c r="T16" s="147">
        <v>0</v>
      </c>
      <c r="U16" s="147">
        <v>0</v>
      </c>
      <c r="V16" s="147">
        <v>0</v>
      </c>
      <c r="W16" s="147">
        <v>0</v>
      </c>
      <c r="X16" s="147">
        <v>0</v>
      </c>
      <c r="Y16" s="147">
        <v>0.62026599405537064</v>
      </c>
      <c r="Z16" s="147">
        <v>1.127901101564611E-2</v>
      </c>
      <c r="AA16" s="147">
        <v>0</v>
      </c>
      <c r="AB16" s="147">
        <v>0</v>
      </c>
      <c r="AC16" s="147">
        <v>8.9776408119053311E-2</v>
      </c>
      <c r="AD16" s="147">
        <v>0.21771670655067715</v>
      </c>
      <c r="AE16" s="147">
        <v>3.5918730489602514E-3</v>
      </c>
      <c r="AF16" s="147">
        <v>1.9858984053037217E-2</v>
      </c>
      <c r="AG16" s="147">
        <v>5.4877948290002559E-2</v>
      </c>
      <c r="AH16" s="147">
        <v>0</v>
      </c>
      <c r="AI16" s="147">
        <v>0.10127477630393715</v>
      </c>
      <c r="AJ16" s="147">
        <v>0.16212004945198877</v>
      </c>
      <c r="AK16" s="147">
        <v>0</v>
      </c>
      <c r="AL16" s="147">
        <v>0.53520645222383989</v>
      </c>
      <c r="AM16" s="147">
        <v>0</v>
      </c>
      <c r="AN16" s="147">
        <v>0</v>
      </c>
      <c r="AO16" s="147">
        <v>0</v>
      </c>
      <c r="AP16" s="147">
        <v>0</v>
      </c>
      <c r="AQ16" s="147">
        <v>0</v>
      </c>
      <c r="AR16" s="147">
        <v>2.7969978440460916E-3</v>
      </c>
      <c r="AS16" s="147">
        <v>9.3384093664245924E-2</v>
      </c>
      <c r="AT16" s="147">
        <v>5.1253273900306671E-2</v>
      </c>
      <c r="AU16" s="147">
        <v>0</v>
      </c>
      <c r="AV16" s="147">
        <v>8.4771304175244616E-2</v>
      </c>
      <c r="AW16" s="147">
        <v>0</v>
      </c>
      <c r="AX16" s="147">
        <v>0</v>
      </c>
      <c r="AY16" s="147">
        <v>3.6774513967349702E-2</v>
      </c>
      <c r="AZ16" s="147">
        <v>0</v>
      </c>
      <c r="BA16" s="147">
        <v>0</v>
      </c>
      <c r="BB16" s="147">
        <v>0</v>
      </c>
    </row>
    <row r="17" spans="1:54" customFormat="1" x14ac:dyDescent="0.15">
      <c r="A17" s="155" t="s">
        <v>207</v>
      </c>
      <c r="B17" s="147">
        <v>0</v>
      </c>
      <c r="C17" s="147">
        <v>0</v>
      </c>
      <c r="D17" s="147">
        <v>0</v>
      </c>
      <c r="E17" s="147">
        <v>0</v>
      </c>
      <c r="F17" s="147">
        <v>0</v>
      </c>
      <c r="G17" s="147">
        <v>0</v>
      </c>
      <c r="H17" s="147">
        <v>0</v>
      </c>
      <c r="I17" s="147">
        <v>0</v>
      </c>
      <c r="J17" s="147">
        <v>0</v>
      </c>
      <c r="K17" s="147">
        <v>0</v>
      </c>
      <c r="L17" s="147">
        <v>0</v>
      </c>
      <c r="M17" s="147">
        <v>0</v>
      </c>
      <c r="N17" s="147">
        <v>0</v>
      </c>
      <c r="O17" s="147">
        <v>0</v>
      </c>
      <c r="P17" s="147">
        <v>0</v>
      </c>
      <c r="Q17" s="147">
        <v>1.5779972310566988E-3</v>
      </c>
      <c r="R17" s="147">
        <v>0</v>
      </c>
      <c r="S17" s="147">
        <v>0</v>
      </c>
      <c r="T17" s="147">
        <v>0</v>
      </c>
      <c r="U17" s="147">
        <v>0</v>
      </c>
      <c r="V17" s="147">
        <v>0</v>
      </c>
      <c r="W17" s="147">
        <v>0</v>
      </c>
      <c r="X17" s="147">
        <v>0</v>
      </c>
      <c r="Y17" s="147">
        <v>0</v>
      </c>
      <c r="Z17" s="147">
        <v>0</v>
      </c>
      <c r="AA17" s="147">
        <v>0</v>
      </c>
      <c r="AB17" s="147">
        <v>0.30915814522978952</v>
      </c>
      <c r="AC17" s="147">
        <v>2.0659978855709919E-3</v>
      </c>
      <c r="AD17" s="147">
        <v>9.3946879189067661E-2</v>
      </c>
      <c r="AE17" s="147">
        <v>0.38063803640579302</v>
      </c>
      <c r="AF17" s="147">
        <v>2.0381483633464828E-2</v>
      </c>
      <c r="AG17" s="147">
        <v>1.0005172889215438E-3</v>
      </c>
      <c r="AH17" s="147">
        <v>6.8161637725156626E-2</v>
      </c>
      <c r="AI17" s="147">
        <v>0.66696299279437776</v>
      </c>
      <c r="AJ17" s="147">
        <v>7.0926815384594014E-2</v>
      </c>
      <c r="AK17" s="147">
        <v>0</v>
      </c>
      <c r="AL17" s="147">
        <v>0</v>
      </c>
      <c r="AM17" s="147">
        <v>0</v>
      </c>
      <c r="AN17" s="147">
        <v>0</v>
      </c>
      <c r="AO17" s="147">
        <v>0</v>
      </c>
      <c r="AP17" s="147">
        <v>0</v>
      </c>
      <c r="AQ17" s="147">
        <v>1.1964494186776684E-2</v>
      </c>
      <c r="AR17" s="147">
        <v>2.6897979266768599E-2</v>
      </c>
      <c r="AS17" s="147">
        <v>0</v>
      </c>
      <c r="AT17" s="147">
        <v>3.5785215335736337E-2</v>
      </c>
      <c r="AU17" s="147">
        <v>0</v>
      </c>
      <c r="AV17" s="147">
        <v>2.1763454860265933E-2</v>
      </c>
      <c r="AW17" s="147">
        <v>5.6421862262402234E-4</v>
      </c>
      <c r="AX17" s="147">
        <v>0</v>
      </c>
      <c r="AY17" s="147">
        <v>1.0297428877737451E-2</v>
      </c>
      <c r="AZ17" s="147">
        <v>0</v>
      </c>
      <c r="BA17" s="147">
        <v>0</v>
      </c>
      <c r="BB17" s="147">
        <v>0</v>
      </c>
    </row>
    <row r="18" spans="1:54" customFormat="1" x14ac:dyDescent="0.15">
      <c r="A18" s="155" t="s">
        <v>208</v>
      </c>
      <c r="B18" s="147">
        <v>0</v>
      </c>
      <c r="C18" s="147">
        <v>0</v>
      </c>
      <c r="D18" s="147">
        <v>0</v>
      </c>
      <c r="E18" s="147">
        <v>0</v>
      </c>
      <c r="F18" s="147">
        <v>0</v>
      </c>
      <c r="G18" s="147">
        <v>0</v>
      </c>
      <c r="H18" s="147">
        <v>0</v>
      </c>
      <c r="I18" s="147">
        <v>0</v>
      </c>
      <c r="J18" s="147">
        <v>0</v>
      </c>
      <c r="K18" s="147">
        <v>0</v>
      </c>
      <c r="L18" s="147">
        <v>0</v>
      </c>
      <c r="M18" s="147">
        <v>0</v>
      </c>
      <c r="N18" s="147">
        <v>0</v>
      </c>
      <c r="O18" s="147">
        <v>0</v>
      </c>
      <c r="P18" s="147">
        <v>0</v>
      </c>
      <c r="Q18" s="147">
        <v>0</v>
      </c>
      <c r="R18" s="147">
        <v>0</v>
      </c>
      <c r="S18" s="147">
        <v>0</v>
      </c>
      <c r="T18" s="147">
        <v>0</v>
      </c>
      <c r="U18" s="147">
        <v>0</v>
      </c>
      <c r="V18" s="147">
        <v>0</v>
      </c>
      <c r="W18" s="147">
        <v>0</v>
      </c>
      <c r="X18" s="147">
        <v>0</v>
      </c>
      <c r="Y18" s="147">
        <v>0</v>
      </c>
      <c r="Z18" s="147">
        <v>0</v>
      </c>
      <c r="AA18" s="147">
        <v>0</v>
      </c>
      <c r="AB18" s="147">
        <v>0</v>
      </c>
      <c r="AC18" s="147">
        <v>0</v>
      </c>
      <c r="AD18" s="147">
        <v>0</v>
      </c>
      <c r="AE18" s="147">
        <v>0</v>
      </c>
      <c r="AF18" s="147">
        <v>0</v>
      </c>
      <c r="AG18" s="147">
        <v>0</v>
      </c>
      <c r="AH18" s="147">
        <v>0</v>
      </c>
      <c r="AI18" s="147">
        <v>0</v>
      </c>
      <c r="AJ18" s="147">
        <v>0</v>
      </c>
      <c r="AK18" s="147">
        <v>0</v>
      </c>
      <c r="AL18" s="147">
        <v>0</v>
      </c>
      <c r="AM18" s="147">
        <v>0</v>
      </c>
      <c r="AN18" s="147">
        <v>0</v>
      </c>
      <c r="AO18" s="147">
        <v>0</v>
      </c>
      <c r="AP18" s="147">
        <v>0</v>
      </c>
      <c r="AQ18" s="147">
        <v>0</v>
      </c>
      <c r="AR18" s="147">
        <v>0</v>
      </c>
      <c r="AS18" s="147">
        <v>0</v>
      </c>
      <c r="AT18" s="147">
        <v>0</v>
      </c>
      <c r="AU18" s="147">
        <v>0</v>
      </c>
      <c r="AV18" s="147">
        <v>7.3445517666137694E-3</v>
      </c>
      <c r="AW18" s="147">
        <v>0</v>
      </c>
      <c r="AX18" s="147">
        <v>0</v>
      </c>
      <c r="AY18" s="147">
        <v>0</v>
      </c>
      <c r="AZ18" s="147">
        <v>0</v>
      </c>
      <c r="BA18" s="147">
        <v>0</v>
      </c>
      <c r="BB18" s="147">
        <v>0</v>
      </c>
    </row>
    <row r="19" spans="1:54" customFormat="1" x14ac:dyDescent="0.15">
      <c r="A19" s="155" t="s">
        <v>209</v>
      </c>
      <c r="B19" s="147">
        <v>0</v>
      </c>
      <c r="C19" s="147">
        <v>0</v>
      </c>
      <c r="D19" s="147">
        <v>0</v>
      </c>
      <c r="E19" s="147">
        <v>0</v>
      </c>
      <c r="F19" s="147">
        <v>0</v>
      </c>
      <c r="G19" s="147">
        <v>0</v>
      </c>
      <c r="H19" s="147">
        <v>0</v>
      </c>
      <c r="I19" s="147">
        <v>0</v>
      </c>
      <c r="J19" s="147">
        <v>0</v>
      </c>
      <c r="K19" s="147">
        <v>0</v>
      </c>
      <c r="L19" s="147">
        <v>0</v>
      </c>
      <c r="M19" s="147">
        <v>0</v>
      </c>
      <c r="N19" s="147">
        <v>0</v>
      </c>
      <c r="O19" s="147">
        <v>0</v>
      </c>
      <c r="P19" s="147">
        <v>0</v>
      </c>
      <c r="Q19" s="147">
        <v>0</v>
      </c>
      <c r="R19" s="147">
        <v>0</v>
      </c>
      <c r="S19" s="147">
        <v>0</v>
      </c>
      <c r="T19" s="147">
        <v>0</v>
      </c>
      <c r="U19" s="147">
        <v>0</v>
      </c>
      <c r="V19" s="147">
        <v>0</v>
      </c>
      <c r="W19" s="147">
        <v>0</v>
      </c>
      <c r="X19" s="147">
        <v>0</v>
      </c>
      <c r="Y19" s="147">
        <v>0</v>
      </c>
      <c r="Z19" s="147">
        <v>0</v>
      </c>
      <c r="AA19" s="147">
        <v>0</v>
      </c>
      <c r="AB19" s="147">
        <v>1.0540411790936106E-4</v>
      </c>
      <c r="AC19" s="147">
        <v>0</v>
      </c>
      <c r="AD19" s="147">
        <v>2.9821867673586275E-3</v>
      </c>
      <c r="AE19" s="147">
        <v>0</v>
      </c>
      <c r="AF19" s="147">
        <v>1.5175366414029016E-3</v>
      </c>
      <c r="AG19" s="147">
        <v>0</v>
      </c>
      <c r="AH19" s="147">
        <v>0</v>
      </c>
      <c r="AI19" s="147">
        <v>0</v>
      </c>
      <c r="AJ19" s="147">
        <v>0</v>
      </c>
      <c r="AK19" s="147">
        <v>0</v>
      </c>
      <c r="AL19" s="147">
        <v>0</v>
      </c>
      <c r="AM19" s="147">
        <v>0</v>
      </c>
      <c r="AN19" s="147">
        <v>0</v>
      </c>
      <c r="AO19" s="147">
        <v>0</v>
      </c>
      <c r="AP19" s="147">
        <v>0</v>
      </c>
      <c r="AQ19" s="147">
        <v>0</v>
      </c>
      <c r="AR19" s="147">
        <v>0</v>
      </c>
      <c r="AS19" s="147">
        <v>0</v>
      </c>
      <c r="AT19" s="147">
        <v>0</v>
      </c>
      <c r="AU19" s="147">
        <v>0</v>
      </c>
      <c r="AV19" s="147">
        <v>7.2588049444618542E-5</v>
      </c>
      <c r="AW19" s="147">
        <v>0</v>
      </c>
      <c r="AX19" s="147">
        <v>0</v>
      </c>
      <c r="AY19" s="147">
        <v>0</v>
      </c>
      <c r="AZ19" s="147">
        <v>0</v>
      </c>
      <c r="BA19" s="147">
        <v>0</v>
      </c>
      <c r="BB19" s="147">
        <v>0</v>
      </c>
    </row>
    <row r="20" spans="1:54" customFormat="1" x14ac:dyDescent="0.15">
      <c r="A20" s="155" t="s">
        <v>210</v>
      </c>
      <c r="B20" s="147">
        <v>0</v>
      </c>
      <c r="C20" s="147">
        <v>0</v>
      </c>
      <c r="D20" s="147">
        <v>0</v>
      </c>
      <c r="E20" s="147">
        <v>0</v>
      </c>
      <c r="F20" s="147">
        <v>0</v>
      </c>
      <c r="G20" s="147">
        <v>0</v>
      </c>
      <c r="H20" s="147">
        <v>0</v>
      </c>
      <c r="I20" s="147">
        <v>0</v>
      </c>
      <c r="J20" s="147">
        <v>0</v>
      </c>
      <c r="K20" s="147">
        <v>0</v>
      </c>
      <c r="L20" s="147">
        <v>0</v>
      </c>
      <c r="M20" s="147">
        <v>0</v>
      </c>
      <c r="N20" s="147">
        <v>0</v>
      </c>
      <c r="O20" s="147">
        <v>0</v>
      </c>
      <c r="P20" s="147">
        <v>0</v>
      </c>
      <c r="Q20" s="147">
        <v>0</v>
      </c>
      <c r="R20" s="147">
        <v>0</v>
      </c>
      <c r="S20" s="147">
        <v>0</v>
      </c>
      <c r="T20" s="147">
        <v>0</v>
      </c>
      <c r="U20" s="147">
        <v>0</v>
      </c>
      <c r="V20" s="147">
        <v>0</v>
      </c>
      <c r="W20" s="147">
        <v>0</v>
      </c>
      <c r="X20" s="147">
        <v>0</v>
      </c>
      <c r="Y20" s="147">
        <v>0</v>
      </c>
      <c r="Z20" s="147">
        <v>0</v>
      </c>
      <c r="AA20" s="147">
        <v>0</v>
      </c>
      <c r="AB20" s="147">
        <v>0</v>
      </c>
      <c r="AC20" s="147">
        <v>0</v>
      </c>
      <c r="AD20" s="147">
        <v>0</v>
      </c>
      <c r="AE20" s="147">
        <v>0</v>
      </c>
      <c r="AF20" s="147">
        <v>0</v>
      </c>
      <c r="AG20" s="147">
        <v>0</v>
      </c>
      <c r="AH20" s="147">
        <v>0</v>
      </c>
      <c r="AI20" s="147">
        <v>0</v>
      </c>
      <c r="AJ20" s="147">
        <v>0</v>
      </c>
      <c r="AK20" s="147">
        <v>0</v>
      </c>
      <c r="AL20" s="147">
        <v>0</v>
      </c>
      <c r="AM20" s="147">
        <v>0</v>
      </c>
      <c r="AN20" s="147">
        <v>0</v>
      </c>
      <c r="AO20" s="147">
        <v>0</v>
      </c>
      <c r="AP20" s="147">
        <v>0</v>
      </c>
      <c r="AQ20" s="147">
        <v>0</v>
      </c>
      <c r="AR20" s="147">
        <v>0</v>
      </c>
      <c r="AS20" s="147">
        <v>0</v>
      </c>
      <c r="AT20" s="147">
        <v>0</v>
      </c>
      <c r="AU20" s="147">
        <v>0</v>
      </c>
      <c r="AV20" s="147">
        <v>0</v>
      </c>
      <c r="AW20" s="147">
        <v>0</v>
      </c>
      <c r="AX20" s="147">
        <v>0</v>
      </c>
      <c r="AY20" s="147">
        <v>2.9421221650685796E-3</v>
      </c>
      <c r="AZ20" s="147">
        <v>0</v>
      </c>
      <c r="BA20" s="147">
        <v>0</v>
      </c>
      <c r="BB20" s="147">
        <v>0</v>
      </c>
    </row>
    <row r="21" spans="1:54" customFormat="1" x14ac:dyDescent="0.15">
      <c r="A21" s="155" t="s">
        <v>211</v>
      </c>
      <c r="B21" s="147">
        <v>0</v>
      </c>
      <c r="C21" s="147">
        <v>0</v>
      </c>
      <c r="D21" s="147">
        <v>0</v>
      </c>
      <c r="E21" s="147">
        <v>0</v>
      </c>
      <c r="F21" s="147">
        <v>0</v>
      </c>
      <c r="G21" s="147">
        <v>0</v>
      </c>
      <c r="H21" s="147">
        <v>0</v>
      </c>
      <c r="I21" s="147">
        <v>0</v>
      </c>
      <c r="J21" s="147">
        <v>0</v>
      </c>
      <c r="K21" s="147">
        <v>0</v>
      </c>
      <c r="L21" s="147">
        <v>0</v>
      </c>
      <c r="M21" s="147">
        <v>0</v>
      </c>
      <c r="N21" s="147">
        <v>0</v>
      </c>
      <c r="O21" s="147">
        <v>0</v>
      </c>
      <c r="P21" s="147">
        <v>0</v>
      </c>
      <c r="Q21" s="147">
        <v>0</v>
      </c>
      <c r="R21" s="147">
        <v>0</v>
      </c>
      <c r="S21" s="147">
        <v>0</v>
      </c>
      <c r="T21" s="147">
        <v>0</v>
      </c>
      <c r="U21" s="147">
        <v>0</v>
      </c>
      <c r="V21" s="147">
        <v>0</v>
      </c>
      <c r="W21" s="147">
        <v>0</v>
      </c>
      <c r="X21" s="147">
        <v>0</v>
      </c>
      <c r="Y21" s="147">
        <v>0</v>
      </c>
      <c r="Z21" s="147">
        <v>0</v>
      </c>
      <c r="AA21" s="147">
        <v>0</v>
      </c>
      <c r="AB21" s="147">
        <v>0</v>
      </c>
      <c r="AC21" s="147">
        <v>0</v>
      </c>
      <c r="AD21" s="147">
        <v>4.6226561116481504E-2</v>
      </c>
      <c r="AE21" s="147">
        <v>0</v>
      </c>
      <c r="AF21" s="147">
        <v>2.2194910177265174E-3</v>
      </c>
      <c r="AG21" s="147">
        <v>0</v>
      </c>
      <c r="AH21" s="147">
        <v>0</v>
      </c>
      <c r="AI21" s="147">
        <v>0</v>
      </c>
      <c r="AJ21" s="147">
        <v>0</v>
      </c>
      <c r="AK21" s="147">
        <v>0</v>
      </c>
      <c r="AL21" s="147">
        <v>0</v>
      </c>
      <c r="AM21" s="147">
        <v>0</v>
      </c>
      <c r="AN21" s="147">
        <v>0</v>
      </c>
      <c r="AO21" s="147">
        <v>0</v>
      </c>
      <c r="AP21" s="147">
        <v>0</v>
      </c>
      <c r="AQ21" s="147">
        <v>0</v>
      </c>
      <c r="AR21" s="147">
        <v>0</v>
      </c>
      <c r="AS21" s="147">
        <v>0</v>
      </c>
      <c r="AT21" s="147">
        <v>2.2132385654712136E-2</v>
      </c>
      <c r="AU21" s="147">
        <v>0</v>
      </c>
      <c r="AV21" s="147">
        <v>2.3159045665661272E-4</v>
      </c>
      <c r="AW21" s="147">
        <v>0</v>
      </c>
      <c r="AX21" s="147">
        <v>0</v>
      </c>
      <c r="AY21" s="147">
        <v>0</v>
      </c>
      <c r="AZ21" s="147">
        <v>0</v>
      </c>
      <c r="BA21" s="147">
        <v>0</v>
      </c>
      <c r="BB21" s="147">
        <v>0</v>
      </c>
    </row>
    <row r="22" spans="1:54" customFormat="1" x14ac:dyDescent="0.15">
      <c r="A22" s="155" t="s">
        <v>212</v>
      </c>
      <c r="B22" s="147">
        <v>0</v>
      </c>
      <c r="C22" s="147">
        <v>0</v>
      </c>
      <c r="D22" s="147">
        <v>0</v>
      </c>
      <c r="E22" s="147">
        <v>0</v>
      </c>
      <c r="F22" s="147">
        <v>0</v>
      </c>
      <c r="G22" s="147">
        <v>0</v>
      </c>
      <c r="H22" s="147">
        <v>0</v>
      </c>
      <c r="I22" s="147">
        <v>0</v>
      </c>
      <c r="J22" s="147">
        <v>0</v>
      </c>
      <c r="K22" s="147">
        <v>0</v>
      </c>
      <c r="L22" s="147">
        <v>0</v>
      </c>
      <c r="M22" s="147">
        <v>0</v>
      </c>
      <c r="N22" s="147">
        <v>0</v>
      </c>
      <c r="O22" s="147">
        <v>0</v>
      </c>
      <c r="P22" s="147">
        <v>0</v>
      </c>
      <c r="Q22" s="147">
        <v>0</v>
      </c>
      <c r="R22" s="147">
        <v>0</v>
      </c>
      <c r="S22" s="147">
        <v>0</v>
      </c>
      <c r="T22" s="147">
        <v>0</v>
      </c>
      <c r="U22" s="147">
        <v>0</v>
      </c>
      <c r="V22" s="147">
        <v>0</v>
      </c>
      <c r="W22" s="147">
        <v>0</v>
      </c>
      <c r="X22" s="147">
        <v>0</v>
      </c>
      <c r="Y22" s="147">
        <v>0</v>
      </c>
      <c r="Z22" s="147">
        <v>0</v>
      </c>
      <c r="AA22" s="147">
        <v>0</v>
      </c>
      <c r="AB22" s="147">
        <v>0</v>
      </c>
      <c r="AC22" s="147">
        <v>0</v>
      </c>
      <c r="AD22" s="147">
        <v>0</v>
      </c>
      <c r="AE22" s="147">
        <v>0</v>
      </c>
      <c r="AF22" s="147">
        <v>0</v>
      </c>
      <c r="AG22" s="147">
        <v>0</v>
      </c>
      <c r="AH22" s="147">
        <v>0</v>
      </c>
      <c r="AI22" s="147">
        <v>0</v>
      </c>
      <c r="AJ22" s="147">
        <v>0</v>
      </c>
      <c r="AK22" s="147">
        <v>0</v>
      </c>
      <c r="AL22" s="147">
        <v>0</v>
      </c>
      <c r="AM22" s="147">
        <v>0</v>
      </c>
      <c r="AN22" s="147">
        <v>0</v>
      </c>
      <c r="AO22" s="147">
        <v>0</v>
      </c>
      <c r="AP22" s="147">
        <v>0</v>
      </c>
      <c r="AQ22" s="147">
        <v>0</v>
      </c>
      <c r="AR22" s="147">
        <v>0</v>
      </c>
      <c r="AS22" s="147">
        <v>0</v>
      </c>
      <c r="AT22" s="147">
        <v>0</v>
      </c>
      <c r="AU22" s="147">
        <v>0</v>
      </c>
      <c r="AV22" s="147">
        <v>0</v>
      </c>
      <c r="AW22" s="147">
        <v>0</v>
      </c>
      <c r="AX22" s="147">
        <v>0</v>
      </c>
      <c r="AY22" s="147">
        <v>5.4427242057770893E-2</v>
      </c>
      <c r="AZ22" s="147">
        <v>0</v>
      </c>
      <c r="BA22" s="147">
        <v>0</v>
      </c>
      <c r="BB22" s="147">
        <v>0</v>
      </c>
    </row>
    <row r="23" spans="1:54" customFormat="1" x14ac:dyDescent="0.15">
      <c r="A23" s="155" t="s">
        <v>213</v>
      </c>
      <c r="B23" s="147">
        <v>0</v>
      </c>
      <c r="C23" s="147">
        <v>0</v>
      </c>
      <c r="D23" s="147">
        <v>0</v>
      </c>
      <c r="E23" s="147">
        <v>0</v>
      </c>
      <c r="F23" s="147">
        <v>0</v>
      </c>
      <c r="G23" s="147">
        <v>0</v>
      </c>
      <c r="H23" s="147">
        <v>0</v>
      </c>
      <c r="I23" s="147">
        <v>0</v>
      </c>
      <c r="J23" s="147">
        <v>0</v>
      </c>
      <c r="K23" s="147">
        <v>0</v>
      </c>
      <c r="L23" s="147">
        <v>0</v>
      </c>
      <c r="M23" s="147">
        <v>0</v>
      </c>
      <c r="N23" s="147">
        <v>0</v>
      </c>
      <c r="O23" s="147">
        <v>0</v>
      </c>
      <c r="P23" s="147">
        <v>0</v>
      </c>
      <c r="Q23" s="147">
        <v>0</v>
      </c>
      <c r="R23" s="147">
        <v>0</v>
      </c>
      <c r="S23" s="147">
        <v>0</v>
      </c>
      <c r="T23" s="147">
        <v>0</v>
      </c>
      <c r="U23" s="147">
        <v>0</v>
      </c>
      <c r="V23" s="147">
        <v>0</v>
      </c>
      <c r="W23" s="147">
        <v>0</v>
      </c>
      <c r="X23" s="147">
        <v>0</v>
      </c>
      <c r="Y23" s="147">
        <v>0</v>
      </c>
      <c r="Z23" s="147">
        <v>0</v>
      </c>
      <c r="AA23" s="147">
        <v>0</v>
      </c>
      <c r="AB23" s="147">
        <v>1.7114001800337268E-4</v>
      </c>
      <c r="AC23" s="147">
        <v>4.5999262922422355E-3</v>
      </c>
      <c r="AD23" s="147">
        <v>3.6942841190310854E-2</v>
      </c>
      <c r="AE23" s="147">
        <v>0</v>
      </c>
      <c r="AF23" s="147">
        <v>4.3317231015830319E-3</v>
      </c>
      <c r="AG23" s="147">
        <v>9.9102222484699978E-4</v>
      </c>
      <c r="AH23" s="147">
        <v>4.9562210835229494E-4</v>
      </c>
      <c r="AI23" s="147">
        <v>6.6383591073306079E-3</v>
      </c>
      <c r="AJ23" s="147">
        <v>0</v>
      </c>
      <c r="AK23" s="147">
        <v>0</v>
      </c>
      <c r="AL23" s="147">
        <v>0</v>
      </c>
      <c r="AM23" s="147">
        <v>0</v>
      </c>
      <c r="AN23" s="147">
        <v>0</v>
      </c>
      <c r="AO23" s="147">
        <v>0</v>
      </c>
      <c r="AP23" s="147">
        <v>0</v>
      </c>
      <c r="AQ23" s="147">
        <v>1.8845155258682223E-5</v>
      </c>
      <c r="AR23" s="147">
        <v>0</v>
      </c>
      <c r="AS23" s="147">
        <v>0</v>
      </c>
      <c r="AT23" s="147">
        <v>7.2862953099619094E-3</v>
      </c>
      <c r="AU23" s="147">
        <v>0</v>
      </c>
      <c r="AV23" s="147">
        <v>0</v>
      </c>
      <c r="AW23" s="147">
        <v>0</v>
      </c>
      <c r="AX23" s="147">
        <v>0</v>
      </c>
      <c r="AY23" s="147">
        <v>6.0074220858462302E-4</v>
      </c>
      <c r="AZ23" s="147">
        <v>0</v>
      </c>
      <c r="BA23" s="147">
        <v>0</v>
      </c>
      <c r="BB23" s="147">
        <v>0</v>
      </c>
    </row>
    <row r="24" spans="1:54" customFormat="1" x14ac:dyDescent="0.15">
      <c r="A24" s="155" t="s">
        <v>214</v>
      </c>
      <c r="B24" s="147">
        <v>0</v>
      </c>
      <c r="C24" s="147">
        <v>0</v>
      </c>
      <c r="D24" s="147">
        <v>0</v>
      </c>
      <c r="E24" s="147">
        <v>0</v>
      </c>
      <c r="F24" s="147">
        <v>0</v>
      </c>
      <c r="G24" s="147">
        <v>0</v>
      </c>
      <c r="H24" s="147">
        <v>0</v>
      </c>
      <c r="I24" s="147">
        <v>0</v>
      </c>
      <c r="J24" s="147">
        <v>0</v>
      </c>
      <c r="K24" s="147">
        <v>0</v>
      </c>
      <c r="L24" s="147">
        <v>0</v>
      </c>
      <c r="M24" s="147">
        <v>0</v>
      </c>
      <c r="N24" s="147">
        <v>0</v>
      </c>
      <c r="O24" s="147">
        <v>0</v>
      </c>
      <c r="P24" s="147">
        <v>0</v>
      </c>
      <c r="Q24" s="147">
        <v>0</v>
      </c>
      <c r="R24" s="147">
        <v>0</v>
      </c>
      <c r="S24" s="147">
        <v>0</v>
      </c>
      <c r="T24" s="147">
        <v>0</v>
      </c>
      <c r="U24" s="147">
        <v>0</v>
      </c>
      <c r="V24" s="147">
        <v>0</v>
      </c>
      <c r="W24" s="147">
        <v>0</v>
      </c>
      <c r="X24" s="147">
        <v>0</v>
      </c>
      <c r="Y24" s="147">
        <v>0</v>
      </c>
      <c r="Z24" s="147">
        <v>0</v>
      </c>
      <c r="AA24" s="147">
        <v>0</v>
      </c>
      <c r="AB24" s="147">
        <v>0</v>
      </c>
      <c r="AC24" s="147">
        <v>0</v>
      </c>
      <c r="AD24" s="147">
        <v>1.7967809831955664E-3</v>
      </c>
      <c r="AE24" s="147">
        <v>0</v>
      </c>
      <c r="AF24" s="147">
        <v>0</v>
      </c>
      <c r="AG24" s="147">
        <v>0</v>
      </c>
      <c r="AH24" s="147">
        <v>0</v>
      </c>
      <c r="AI24" s="147">
        <v>8.5755966223361995E-3</v>
      </c>
      <c r="AJ24" s="147">
        <v>3.3095733009632427E-3</v>
      </c>
      <c r="AK24" s="147">
        <v>0</v>
      </c>
      <c r="AL24" s="147">
        <v>0</v>
      </c>
      <c r="AM24" s="147">
        <v>0</v>
      </c>
      <c r="AN24" s="147">
        <v>0</v>
      </c>
      <c r="AO24" s="147">
        <v>0</v>
      </c>
      <c r="AP24" s="147">
        <v>0</v>
      </c>
      <c r="AQ24" s="147">
        <v>0</v>
      </c>
      <c r="AR24" s="147">
        <v>0</v>
      </c>
      <c r="AS24" s="147">
        <v>0</v>
      </c>
      <c r="AT24" s="147">
        <v>0</v>
      </c>
      <c r="AU24" s="147">
        <v>0</v>
      </c>
      <c r="AV24" s="147">
        <v>0</v>
      </c>
      <c r="AW24" s="147">
        <v>0</v>
      </c>
      <c r="AX24" s="147">
        <v>0</v>
      </c>
      <c r="AY24" s="147">
        <v>2.8906302671893196E-2</v>
      </c>
      <c r="AZ24" s="147">
        <v>0</v>
      </c>
      <c r="BA24" s="147">
        <v>0</v>
      </c>
      <c r="BB24" s="147">
        <v>0</v>
      </c>
    </row>
    <row r="25" spans="1:54" customFormat="1" x14ac:dyDescent="0.15">
      <c r="A25" s="155" t="s">
        <v>215</v>
      </c>
      <c r="B25" s="147">
        <v>0</v>
      </c>
      <c r="C25" s="147">
        <v>0</v>
      </c>
      <c r="D25" s="147">
        <v>0</v>
      </c>
      <c r="E25" s="147">
        <v>0</v>
      </c>
      <c r="F25" s="147">
        <v>0</v>
      </c>
      <c r="G25" s="147">
        <v>0</v>
      </c>
      <c r="H25" s="147">
        <v>0</v>
      </c>
      <c r="I25" s="147">
        <v>0</v>
      </c>
      <c r="J25" s="147">
        <v>0</v>
      </c>
      <c r="K25" s="147">
        <v>0</v>
      </c>
      <c r="L25" s="147">
        <v>0</v>
      </c>
      <c r="M25" s="147">
        <v>0</v>
      </c>
      <c r="N25" s="147">
        <v>0</v>
      </c>
      <c r="O25" s="147">
        <v>0</v>
      </c>
      <c r="P25" s="147">
        <v>0</v>
      </c>
      <c r="Q25" s="147">
        <v>0</v>
      </c>
      <c r="R25" s="147">
        <v>0</v>
      </c>
      <c r="S25" s="147">
        <v>0</v>
      </c>
      <c r="T25" s="147">
        <v>0</v>
      </c>
      <c r="U25" s="147">
        <v>0</v>
      </c>
      <c r="V25" s="147">
        <v>0</v>
      </c>
      <c r="W25" s="147">
        <v>0</v>
      </c>
      <c r="X25" s="147">
        <v>0</v>
      </c>
      <c r="Y25" s="147">
        <v>0</v>
      </c>
      <c r="Z25" s="147">
        <v>0</v>
      </c>
      <c r="AA25" s="147">
        <v>0</v>
      </c>
      <c r="AB25" s="147">
        <v>0</v>
      </c>
      <c r="AC25" s="147">
        <v>0</v>
      </c>
      <c r="AD25" s="147">
        <v>0</v>
      </c>
      <c r="AE25" s="147">
        <v>7.1810281405167578E-3</v>
      </c>
      <c r="AF25" s="147">
        <v>0</v>
      </c>
      <c r="AG25" s="147">
        <v>0</v>
      </c>
      <c r="AH25" s="147">
        <v>0</v>
      </c>
      <c r="AI25" s="147">
        <v>0</v>
      </c>
      <c r="AJ25" s="147">
        <v>0</v>
      </c>
      <c r="AK25" s="147">
        <v>0</v>
      </c>
      <c r="AL25" s="147">
        <v>7.232158705692349E-3</v>
      </c>
      <c r="AM25" s="147">
        <v>0</v>
      </c>
      <c r="AN25" s="147">
        <v>0</v>
      </c>
      <c r="AO25" s="147">
        <v>0</v>
      </c>
      <c r="AP25" s="147">
        <v>0</v>
      </c>
      <c r="AQ25" s="147">
        <v>0</v>
      </c>
      <c r="AR25" s="147">
        <v>0</v>
      </c>
      <c r="AS25" s="147">
        <v>0</v>
      </c>
      <c r="AT25" s="147">
        <v>0</v>
      </c>
      <c r="AU25" s="147">
        <v>0</v>
      </c>
      <c r="AV25" s="147">
        <v>0</v>
      </c>
      <c r="AW25" s="147">
        <v>0</v>
      </c>
      <c r="AX25" s="147">
        <v>0</v>
      </c>
      <c r="AY25" s="147">
        <v>7.6492148297788304E-2</v>
      </c>
      <c r="AZ25" s="147">
        <v>0</v>
      </c>
      <c r="BA25" s="147">
        <v>0</v>
      </c>
      <c r="BB25" s="147">
        <v>0</v>
      </c>
    </row>
    <row r="26" spans="1:54" customFormat="1" x14ac:dyDescent="0.15">
      <c r="A26" s="155" t="s">
        <v>216</v>
      </c>
      <c r="B26" s="147">
        <v>0</v>
      </c>
      <c r="C26" s="147">
        <v>0</v>
      </c>
      <c r="D26" s="147">
        <v>0</v>
      </c>
      <c r="E26" s="147">
        <v>0</v>
      </c>
      <c r="F26" s="147">
        <v>0</v>
      </c>
      <c r="G26" s="147">
        <v>0</v>
      </c>
      <c r="H26" s="147">
        <v>0</v>
      </c>
      <c r="I26" s="147">
        <v>0</v>
      </c>
      <c r="J26" s="147">
        <v>0</v>
      </c>
      <c r="K26" s="147">
        <v>0</v>
      </c>
      <c r="L26" s="147">
        <v>0</v>
      </c>
      <c r="M26" s="147">
        <v>0</v>
      </c>
      <c r="N26" s="147">
        <v>0</v>
      </c>
      <c r="O26" s="147">
        <v>0</v>
      </c>
      <c r="P26" s="147">
        <v>0</v>
      </c>
      <c r="Q26" s="147">
        <v>0</v>
      </c>
      <c r="R26" s="147">
        <v>0</v>
      </c>
      <c r="S26" s="147">
        <v>0</v>
      </c>
      <c r="T26" s="147">
        <v>0</v>
      </c>
      <c r="U26" s="147">
        <v>0</v>
      </c>
      <c r="V26" s="147">
        <v>0</v>
      </c>
      <c r="W26" s="147">
        <v>0</v>
      </c>
      <c r="X26" s="147">
        <v>0</v>
      </c>
      <c r="Y26" s="147">
        <v>0</v>
      </c>
      <c r="Z26" s="147">
        <v>0</v>
      </c>
      <c r="AA26" s="147">
        <v>0</v>
      </c>
      <c r="AB26" s="147">
        <v>0</v>
      </c>
      <c r="AC26" s="147">
        <v>0</v>
      </c>
      <c r="AD26" s="147">
        <v>0</v>
      </c>
      <c r="AE26" s="147">
        <v>1.0772902509475747E-2</v>
      </c>
      <c r="AF26" s="147">
        <v>0</v>
      </c>
      <c r="AG26" s="147">
        <v>0</v>
      </c>
      <c r="AH26" s="147">
        <v>0</v>
      </c>
      <c r="AI26" s="147">
        <v>0</v>
      </c>
      <c r="AJ26" s="147">
        <v>0</v>
      </c>
      <c r="AK26" s="147">
        <v>0</v>
      </c>
      <c r="AL26" s="147">
        <v>0</v>
      </c>
      <c r="AM26" s="147">
        <v>0</v>
      </c>
      <c r="AN26" s="147">
        <v>0</v>
      </c>
      <c r="AO26" s="147">
        <v>0</v>
      </c>
      <c r="AP26" s="147">
        <v>0</v>
      </c>
      <c r="AQ26" s="147">
        <v>0</v>
      </c>
      <c r="AR26" s="147">
        <v>5.9496924139175907E-3</v>
      </c>
      <c r="AS26" s="147">
        <v>0</v>
      </c>
      <c r="AT26" s="147">
        <v>3.7275206186017373E-2</v>
      </c>
      <c r="AU26" s="147">
        <v>0</v>
      </c>
      <c r="AV26" s="147">
        <v>0</v>
      </c>
      <c r="AW26" s="147">
        <v>0</v>
      </c>
      <c r="AX26" s="147">
        <v>0</v>
      </c>
      <c r="AY26" s="147">
        <v>0</v>
      </c>
      <c r="AZ26" s="147">
        <v>0</v>
      </c>
      <c r="BA26" s="147">
        <v>0</v>
      </c>
      <c r="BB26" s="147">
        <v>0</v>
      </c>
    </row>
    <row r="27" spans="1:54" customFormat="1" x14ac:dyDescent="0.15">
      <c r="A27" s="155" t="s">
        <v>217</v>
      </c>
      <c r="B27" s="147">
        <v>0</v>
      </c>
      <c r="C27" s="147">
        <v>0</v>
      </c>
      <c r="D27" s="147">
        <v>0</v>
      </c>
      <c r="E27" s="147">
        <v>0</v>
      </c>
      <c r="F27" s="147">
        <v>0</v>
      </c>
      <c r="G27" s="147">
        <v>0</v>
      </c>
      <c r="H27" s="147">
        <v>0</v>
      </c>
      <c r="I27" s="147">
        <v>0</v>
      </c>
      <c r="J27" s="147">
        <v>0</v>
      </c>
      <c r="K27" s="147">
        <v>0</v>
      </c>
      <c r="L27" s="147">
        <v>0</v>
      </c>
      <c r="M27" s="147">
        <v>0</v>
      </c>
      <c r="N27" s="147">
        <v>0</v>
      </c>
      <c r="O27" s="147">
        <v>0</v>
      </c>
      <c r="P27" s="147">
        <v>0</v>
      </c>
      <c r="Q27" s="147">
        <v>5.009991208868226E-4</v>
      </c>
      <c r="R27" s="147">
        <v>0</v>
      </c>
      <c r="S27" s="147">
        <v>0</v>
      </c>
      <c r="T27" s="147">
        <v>0</v>
      </c>
      <c r="U27" s="147">
        <v>0</v>
      </c>
      <c r="V27" s="147">
        <v>0</v>
      </c>
      <c r="W27" s="147">
        <v>0</v>
      </c>
      <c r="X27" s="147">
        <v>0</v>
      </c>
      <c r="Y27" s="147">
        <v>0</v>
      </c>
      <c r="Z27" s="147">
        <v>1.4925014576515484E-3</v>
      </c>
      <c r="AA27" s="147">
        <v>0</v>
      </c>
      <c r="AB27" s="147">
        <v>7.0119925431876857E-3</v>
      </c>
      <c r="AC27" s="147">
        <v>1.2320634190545502E-3</v>
      </c>
      <c r="AD27" s="147">
        <v>3.7204464037420983E-2</v>
      </c>
      <c r="AE27" s="147">
        <v>5.8029884568519584E-3</v>
      </c>
      <c r="AF27" s="147">
        <v>2.1429982791509516E-3</v>
      </c>
      <c r="AG27" s="147">
        <v>3.5089839651825643E-5</v>
      </c>
      <c r="AH27" s="147">
        <v>1.4254618296861314E-5</v>
      </c>
      <c r="AI27" s="147">
        <v>7.9910154892250534E-3</v>
      </c>
      <c r="AJ27" s="147">
        <v>1.4707077857866793E-3</v>
      </c>
      <c r="AK27" s="147">
        <v>0</v>
      </c>
      <c r="AL27" s="147">
        <v>0</v>
      </c>
      <c r="AM27" s="147">
        <v>0</v>
      </c>
      <c r="AN27" s="147">
        <v>0</v>
      </c>
      <c r="AO27" s="147">
        <v>0</v>
      </c>
      <c r="AP27" s="147">
        <v>0</v>
      </c>
      <c r="AQ27" s="147">
        <v>8.3756240703826109E-6</v>
      </c>
      <c r="AR27" s="147">
        <v>3.5712665872320015E-4</v>
      </c>
      <c r="AS27" s="147">
        <v>0</v>
      </c>
      <c r="AT27" s="147">
        <v>0</v>
      </c>
      <c r="AU27" s="147">
        <v>0</v>
      </c>
      <c r="AV27" s="147">
        <v>0</v>
      </c>
      <c r="AW27" s="147">
        <v>0</v>
      </c>
      <c r="AX27" s="147">
        <v>6.8226034777847458E-3</v>
      </c>
      <c r="AY27" s="147">
        <v>1.3293062036680941E-2</v>
      </c>
      <c r="AZ27" s="147">
        <v>0</v>
      </c>
      <c r="BA27" s="147">
        <v>0</v>
      </c>
      <c r="BB27" s="147">
        <v>0</v>
      </c>
    </row>
    <row r="28" spans="1:54" customFormat="1" x14ac:dyDescent="0.15">
      <c r="A28" s="155" t="s">
        <v>218</v>
      </c>
      <c r="B28" s="147">
        <v>0</v>
      </c>
      <c r="C28" s="147">
        <v>0</v>
      </c>
      <c r="D28" s="147">
        <v>0</v>
      </c>
      <c r="E28" s="147">
        <v>0</v>
      </c>
      <c r="F28" s="147">
        <v>0</v>
      </c>
      <c r="G28" s="147">
        <v>0</v>
      </c>
      <c r="H28" s="147">
        <v>0</v>
      </c>
      <c r="I28" s="147">
        <v>0</v>
      </c>
      <c r="J28" s="147">
        <v>0</v>
      </c>
      <c r="K28" s="147">
        <v>0</v>
      </c>
      <c r="L28" s="147">
        <v>0</v>
      </c>
      <c r="M28" s="147">
        <v>0</v>
      </c>
      <c r="N28" s="147">
        <v>0</v>
      </c>
      <c r="O28" s="147">
        <v>0</v>
      </c>
      <c r="P28" s="147">
        <v>0</v>
      </c>
      <c r="Q28" s="147">
        <v>0</v>
      </c>
      <c r="R28" s="147">
        <v>0</v>
      </c>
      <c r="S28" s="147">
        <v>0</v>
      </c>
      <c r="T28" s="147">
        <v>0</v>
      </c>
      <c r="U28" s="147">
        <v>0</v>
      </c>
      <c r="V28" s="147">
        <v>0</v>
      </c>
      <c r="W28" s="147">
        <v>0</v>
      </c>
      <c r="X28" s="147">
        <v>0</v>
      </c>
      <c r="Y28" s="147">
        <v>0</v>
      </c>
      <c r="Z28" s="147">
        <v>0</v>
      </c>
      <c r="AA28" s="147">
        <v>0</v>
      </c>
      <c r="AB28" s="147">
        <v>0</v>
      </c>
      <c r="AC28" s="147">
        <v>0</v>
      </c>
      <c r="AD28" s="147">
        <v>1.7895254702088904E-2</v>
      </c>
      <c r="AE28" s="147">
        <v>0</v>
      </c>
      <c r="AF28" s="147">
        <v>0</v>
      </c>
      <c r="AG28" s="147">
        <v>0</v>
      </c>
      <c r="AH28" s="147">
        <v>0</v>
      </c>
      <c r="AI28" s="147">
        <v>0</v>
      </c>
      <c r="AJ28" s="147">
        <v>0</v>
      </c>
      <c r="AK28" s="147">
        <v>0</v>
      </c>
      <c r="AL28" s="147">
        <v>0</v>
      </c>
      <c r="AM28" s="147">
        <v>0</v>
      </c>
      <c r="AN28" s="147">
        <v>0</v>
      </c>
      <c r="AO28" s="147">
        <v>0</v>
      </c>
      <c r="AP28" s="147">
        <v>0</v>
      </c>
      <c r="AQ28" s="147">
        <v>0</v>
      </c>
      <c r="AR28" s="147">
        <v>0</v>
      </c>
      <c r="AS28" s="147">
        <v>0</v>
      </c>
      <c r="AT28" s="147">
        <v>0</v>
      </c>
      <c r="AU28" s="147">
        <v>0</v>
      </c>
      <c r="AV28" s="147">
        <v>0</v>
      </c>
      <c r="AW28" s="147">
        <v>0</v>
      </c>
      <c r="AX28" s="147">
        <v>0</v>
      </c>
      <c r="AY28" s="147">
        <v>0</v>
      </c>
      <c r="AZ28" s="147">
        <v>0</v>
      </c>
      <c r="BA28" s="147">
        <v>0</v>
      </c>
      <c r="BB28" s="147">
        <v>0</v>
      </c>
    </row>
    <row r="29" spans="1:54" customFormat="1" x14ac:dyDescent="0.15">
      <c r="A29" s="155" t="s">
        <v>219</v>
      </c>
      <c r="B29" s="147">
        <v>0</v>
      </c>
      <c r="C29" s="147">
        <v>0</v>
      </c>
      <c r="D29" s="147">
        <v>0</v>
      </c>
      <c r="E29" s="147">
        <v>0</v>
      </c>
      <c r="F29" s="147">
        <v>0</v>
      </c>
      <c r="G29" s="147">
        <v>0</v>
      </c>
      <c r="H29" s="147">
        <v>0</v>
      </c>
      <c r="I29" s="147">
        <v>0</v>
      </c>
      <c r="J29" s="147">
        <v>0</v>
      </c>
      <c r="K29" s="147">
        <v>0</v>
      </c>
      <c r="L29" s="147">
        <v>0</v>
      </c>
      <c r="M29" s="147">
        <v>0</v>
      </c>
      <c r="N29" s="147">
        <v>0</v>
      </c>
      <c r="O29" s="147">
        <v>0</v>
      </c>
      <c r="P29" s="147">
        <v>0</v>
      </c>
      <c r="Q29" s="147">
        <v>0</v>
      </c>
      <c r="R29" s="147">
        <v>0</v>
      </c>
      <c r="S29" s="147">
        <v>0</v>
      </c>
      <c r="T29" s="147">
        <v>0</v>
      </c>
      <c r="U29" s="147">
        <v>0</v>
      </c>
      <c r="V29" s="147">
        <v>0</v>
      </c>
      <c r="W29" s="147">
        <v>0</v>
      </c>
      <c r="X29" s="147">
        <v>0</v>
      </c>
      <c r="Y29" s="147">
        <v>0</v>
      </c>
      <c r="Z29" s="147">
        <v>9.9500097176769909E-4</v>
      </c>
      <c r="AA29" s="147">
        <v>0</v>
      </c>
      <c r="AB29" s="147">
        <v>8.4776639845384459E-4</v>
      </c>
      <c r="AC29" s="147">
        <v>8.4586103431029129E-5</v>
      </c>
      <c r="AD29" s="147">
        <v>2.1857478872123776E-2</v>
      </c>
      <c r="AE29" s="147">
        <v>0</v>
      </c>
      <c r="AF29" s="147">
        <v>0</v>
      </c>
      <c r="AG29" s="147">
        <v>0</v>
      </c>
      <c r="AH29" s="147">
        <v>5.5921967341611031E-5</v>
      </c>
      <c r="AI29" s="147">
        <v>1.8342434853691749E-3</v>
      </c>
      <c r="AJ29" s="147">
        <v>1.2304736043243969E-3</v>
      </c>
      <c r="AK29" s="147">
        <v>0</v>
      </c>
      <c r="AL29" s="147">
        <v>0</v>
      </c>
      <c r="AM29" s="147">
        <v>0</v>
      </c>
      <c r="AN29" s="147">
        <v>0</v>
      </c>
      <c r="AO29" s="147">
        <v>0</v>
      </c>
      <c r="AP29" s="147">
        <v>0</v>
      </c>
      <c r="AQ29" s="147">
        <v>3.245553101915401E-5</v>
      </c>
      <c r="AR29" s="147">
        <v>2.2016189629700869E-4</v>
      </c>
      <c r="AS29" s="147">
        <v>0</v>
      </c>
      <c r="AT29" s="147">
        <v>0</v>
      </c>
      <c r="AU29" s="147">
        <v>0</v>
      </c>
      <c r="AV29" s="147">
        <v>0</v>
      </c>
      <c r="AW29" s="147">
        <v>1.0541306126625171E-2</v>
      </c>
      <c r="AX29" s="147">
        <v>6.8226034777847458E-3</v>
      </c>
      <c r="AY29" s="147">
        <v>7.9126333073570344E-3</v>
      </c>
      <c r="AZ29" s="147">
        <v>0</v>
      </c>
      <c r="BA29" s="147">
        <v>0</v>
      </c>
      <c r="BB29" s="147">
        <v>0</v>
      </c>
    </row>
    <row r="30" spans="1:54" customFormat="1" x14ac:dyDescent="0.15">
      <c r="A30" s="155" t="s">
        <v>220</v>
      </c>
      <c r="B30" s="147">
        <v>0</v>
      </c>
      <c r="C30" s="147">
        <v>0</v>
      </c>
      <c r="D30" s="147">
        <v>0</v>
      </c>
      <c r="E30" s="147">
        <v>0</v>
      </c>
      <c r="F30" s="147">
        <v>0</v>
      </c>
      <c r="G30" s="147">
        <v>0</v>
      </c>
      <c r="H30" s="147">
        <v>0</v>
      </c>
      <c r="I30" s="147">
        <v>0</v>
      </c>
      <c r="J30" s="147">
        <v>0</v>
      </c>
      <c r="K30" s="147">
        <v>0</v>
      </c>
      <c r="L30" s="147">
        <v>0</v>
      </c>
      <c r="M30" s="147">
        <v>0</v>
      </c>
      <c r="N30" s="147">
        <v>0</v>
      </c>
      <c r="O30" s="147">
        <v>0</v>
      </c>
      <c r="P30" s="147">
        <v>0</v>
      </c>
      <c r="Q30" s="147">
        <v>0</v>
      </c>
      <c r="R30" s="147">
        <v>0</v>
      </c>
      <c r="S30" s="147">
        <v>0</v>
      </c>
      <c r="T30" s="147">
        <v>0</v>
      </c>
      <c r="U30" s="147">
        <v>0</v>
      </c>
      <c r="V30" s="147">
        <v>0</v>
      </c>
      <c r="W30" s="147">
        <v>0</v>
      </c>
      <c r="X30" s="147">
        <v>0</v>
      </c>
      <c r="Y30" s="147">
        <v>0</v>
      </c>
      <c r="Z30" s="147">
        <v>0</v>
      </c>
      <c r="AA30" s="147">
        <v>0</v>
      </c>
      <c r="AB30" s="147">
        <v>0</v>
      </c>
      <c r="AC30" s="147">
        <v>0</v>
      </c>
      <c r="AD30" s="147">
        <v>0</v>
      </c>
      <c r="AE30" s="147">
        <v>0</v>
      </c>
      <c r="AF30" s="147">
        <v>0</v>
      </c>
      <c r="AG30" s="147">
        <v>0</v>
      </c>
      <c r="AH30" s="147">
        <v>0</v>
      </c>
      <c r="AI30" s="147">
        <v>0</v>
      </c>
      <c r="AJ30" s="147">
        <v>0</v>
      </c>
      <c r="AK30" s="147">
        <v>0</v>
      </c>
      <c r="AL30" s="147">
        <v>0</v>
      </c>
      <c r="AM30" s="147">
        <v>0</v>
      </c>
      <c r="AN30" s="147">
        <v>0</v>
      </c>
      <c r="AO30" s="147">
        <v>0</v>
      </c>
      <c r="AP30" s="147">
        <v>0</v>
      </c>
      <c r="AQ30" s="147">
        <v>0</v>
      </c>
      <c r="AR30" s="147">
        <v>0</v>
      </c>
      <c r="AS30" s="147">
        <v>0</v>
      </c>
      <c r="AT30" s="147">
        <v>0</v>
      </c>
      <c r="AU30" s="147">
        <v>0</v>
      </c>
      <c r="AV30" s="147">
        <v>0</v>
      </c>
      <c r="AW30" s="147">
        <v>0</v>
      </c>
      <c r="AX30" s="147">
        <v>0</v>
      </c>
      <c r="AY30" s="147">
        <v>0</v>
      </c>
      <c r="AZ30" s="147">
        <v>0</v>
      </c>
      <c r="BA30" s="147">
        <v>0</v>
      </c>
      <c r="BB30" s="147">
        <v>0</v>
      </c>
    </row>
    <row r="31" spans="1:54" customFormat="1" x14ac:dyDescent="0.15">
      <c r="A31" s="155" t="s">
        <v>221</v>
      </c>
      <c r="B31" s="147">
        <v>0</v>
      </c>
      <c r="C31" s="147">
        <v>0</v>
      </c>
      <c r="D31" s="147">
        <v>0</v>
      </c>
      <c r="E31" s="147">
        <v>0</v>
      </c>
      <c r="F31" s="147">
        <v>0</v>
      </c>
      <c r="G31" s="147">
        <v>0</v>
      </c>
      <c r="H31" s="147">
        <v>0</v>
      </c>
      <c r="I31" s="147">
        <v>0</v>
      </c>
      <c r="J31" s="147">
        <v>0</v>
      </c>
      <c r="K31" s="147">
        <v>0</v>
      </c>
      <c r="L31" s="147">
        <v>0</v>
      </c>
      <c r="M31" s="147">
        <v>0</v>
      </c>
      <c r="N31" s="147">
        <v>0</v>
      </c>
      <c r="O31" s="147">
        <v>0</v>
      </c>
      <c r="P31" s="147">
        <v>0</v>
      </c>
      <c r="Q31" s="147">
        <v>0</v>
      </c>
      <c r="R31" s="147">
        <v>0</v>
      </c>
      <c r="S31" s="147">
        <v>0</v>
      </c>
      <c r="T31" s="147">
        <v>0</v>
      </c>
      <c r="U31" s="147">
        <v>0</v>
      </c>
      <c r="V31" s="147">
        <v>0</v>
      </c>
      <c r="W31" s="147">
        <v>0</v>
      </c>
      <c r="X31" s="147">
        <v>0</v>
      </c>
      <c r="Y31" s="147">
        <v>0</v>
      </c>
      <c r="Z31" s="147">
        <v>0</v>
      </c>
      <c r="AA31" s="147">
        <v>0</v>
      </c>
      <c r="AB31" s="147">
        <v>0</v>
      </c>
      <c r="AC31" s="147">
        <v>0</v>
      </c>
      <c r="AD31" s="147">
        <v>0</v>
      </c>
      <c r="AE31" s="147">
        <v>1.6444065292250622E-3</v>
      </c>
      <c r="AF31" s="147">
        <v>0</v>
      </c>
      <c r="AG31" s="147">
        <v>0</v>
      </c>
      <c r="AH31" s="147">
        <v>0</v>
      </c>
      <c r="AI31" s="147">
        <v>0</v>
      </c>
      <c r="AJ31" s="147">
        <v>0</v>
      </c>
      <c r="AK31" s="147">
        <v>0</v>
      </c>
      <c r="AL31" s="147">
        <v>0</v>
      </c>
      <c r="AM31" s="147">
        <v>0</v>
      </c>
      <c r="AN31" s="147">
        <v>0</v>
      </c>
      <c r="AO31" s="147">
        <v>0</v>
      </c>
      <c r="AP31" s="147">
        <v>0</v>
      </c>
      <c r="AQ31" s="147">
        <v>0</v>
      </c>
      <c r="AR31" s="147">
        <v>1.1156999500073217E-3</v>
      </c>
      <c r="AS31" s="147">
        <v>0</v>
      </c>
      <c r="AT31" s="147">
        <v>0</v>
      </c>
      <c r="AU31" s="147">
        <v>0</v>
      </c>
      <c r="AV31" s="147">
        <v>0</v>
      </c>
      <c r="AW31" s="147">
        <v>0</v>
      </c>
      <c r="AX31" s="147">
        <v>0</v>
      </c>
      <c r="AY31" s="147">
        <v>0</v>
      </c>
      <c r="AZ31" s="147">
        <v>0</v>
      </c>
      <c r="BA31" s="147">
        <v>0</v>
      </c>
      <c r="BB31" s="147">
        <v>0</v>
      </c>
    </row>
    <row r="32" spans="1:54" customFormat="1" x14ac:dyDescent="0.15">
      <c r="A32" s="155" t="s">
        <v>222</v>
      </c>
      <c r="B32" s="147">
        <v>0</v>
      </c>
      <c r="C32" s="147">
        <v>0</v>
      </c>
      <c r="D32" s="147">
        <v>0</v>
      </c>
      <c r="E32" s="147">
        <v>0</v>
      </c>
      <c r="F32" s="147">
        <v>0</v>
      </c>
      <c r="G32" s="147">
        <v>0</v>
      </c>
      <c r="H32" s="147">
        <v>0</v>
      </c>
      <c r="I32" s="147">
        <v>0</v>
      </c>
      <c r="J32" s="147">
        <v>0</v>
      </c>
      <c r="K32" s="147">
        <v>0</v>
      </c>
      <c r="L32" s="147">
        <v>0</v>
      </c>
      <c r="M32" s="147">
        <v>0</v>
      </c>
      <c r="N32" s="147">
        <v>0</v>
      </c>
      <c r="O32" s="147">
        <v>0</v>
      </c>
      <c r="P32" s="147">
        <v>0</v>
      </c>
      <c r="Q32" s="147">
        <v>0</v>
      </c>
      <c r="R32" s="147">
        <v>0</v>
      </c>
      <c r="S32" s="147">
        <v>0</v>
      </c>
      <c r="T32" s="147">
        <v>0</v>
      </c>
      <c r="U32" s="147">
        <v>0</v>
      </c>
      <c r="V32" s="147">
        <v>0</v>
      </c>
      <c r="W32" s="147">
        <v>0</v>
      </c>
      <c r="X32" s="147">
        <v>0</v>
      </c>
      <c r="Y32" s="147">
        <v>0</v>
      </c>
      <c r="Z32" s="147">
        <v>0</v>
      </c>
      <c r="AA32" s="147">
        <v>0</v>
      </c>
      <c r="AB32" s="147">
        <v>0</v>
      </c>
      <c r="AC32" s="147">
        <v>0</v>
      </c>
      <c r="AD32" s="147">
        <v>0</v>
      </c>
      <c r="AE32" s="147">
        <v>0</v>
      </c>
      <c r="AF32" s="147">
        <v>0</v>
      </c>
      <c r="AG32" s="147">
        <v>0</v>
      </c>
      <c r="AH32" s="147">
        <v>0</v>
      </c>
      <c r="AI32" s="147">
        <v>0</v>
      </c>
      <c r="AJ32" s="147">
        <v>0</v>
      </c>
      <c r="AK32" s="147">
        <v>0</v>
      </c>
      <c r="AL32" s="147">
        <v>0</v>
      </c>
      <c r="AM32" s="147">
        <v>0</v>
      </c>
      <c r="AN32" s="147">
        <v>0</v>
      </c>
      <c r="AO32" s="147">
        <v>0</v>
      </c>
      <c r="AP32" s="147">
        <v>0</v>
      </c>
      <c r="AQ32" s="147">
        <v>0</v>
      </c>
      <c r="AR32" s="147">
        <v>0</v>
      </c>
      <c r="AS32" s="147">
        <v>0</v>
      </c>
      <c r="AT32" s="147">
        <v>1.1648566483707644E-2</v>
      </c>
      <c r="AU32" s="147">
        <v>0</v>
      </c>
      <c r="AV32" s="147">
        <v>0</v>
      </c>
      <c r="AW32" s="147">
        <v>0</v>
      </c>
      <c r="AX32" s="147">
        <v>0</v>
      </c>
      <c r="AY32" s="147">
        <v>0</v>
      </c>
      <c r="AZ32" s="147">
        <v>0</v>
      </c>
      <c r="BA32" s="147">
        <v>0</v>
      </c>
      <c r="BB32" s="147">
        <v>0</v>
      </c>
    </row>
    <row r="33" spans="1:54" customFormat="1" x14ac:dyDescent="0.15">
      <c r="A33" s="155" t="s">
        <v>223</v>
      </c>
      <c r="B33" s="147">
        <v>0</v>
      </c>
      <c r="C33" s="147">
        <v>0</v>
      </c>
      <c r="D33" s="147">
        <v>0</v>
      </c>
      <c r="E33" s="147">
        <v>0</v>
      </c>
      <c r="F33" s="147">
        <v>0</v>
      </c>
      <c r="G33" s="147">
        <v>0</v>
      </c>
      <c r="H33" s="147">
        <v>0</v>
      </c>
      <c r="I33" s="147">
        <v>0</v>
      </c>
      <c r="J33" s="147">
        <v>0</v>
      </c>
      <c r="K33" s="147">
        <v>0</v>
      </c>
      <c r="L33" s="147">
        <v>0</v>
      </c>
      <c r="M33" s="147">
        <v>0</v>
      </c>
      <c r="N33" s="147">
        <v>0</v>
      </c>
      <c r="O33" s="147">
        <v>0</v>
      </c>
      <c r="P33" s="147">
        <v>0</v>
      </c>
      <c r="Q33" s="147">
        <v>0</v>
      </c>
      <c r="R33" s="147">
        <v>0</v>
      </c>
      <c r="S33" s="147">
        <v>0</v>
      </c>
      <c r="T33" s="147">
        <v>0</v>
      </c>
      <c r="U33" s="147">
        <v>0</v>
      </c>
      <c r="V33" s="147">
        <v>0</v>
      </c>
      <c r="W33" s="147">
        <v>0</v>
      </c>
      <c r="X33" s="147">
        <v>0</v>
      </c>
      <c r="Y33" s="147">
        <v>0</v>
      </c>
      <c r="Z33" s="147">
        <v>0</v>
      </c>
      <c r="AA33" s="147">
        <v>0</v>
      </c>
      <c r="AB33" s="147">
        <v>0</v>
      </c>
      <c r="AC33" s="147">
        <v>0</v>
      </c>
      <c r="AD33" s="147">
        <v>0</v>
      </c>
      <c r="AE33" s="147">
        <v>0</v>
      </c>
      <c r="AF33" s="147">
        <v>0</v>
      </c>
      <c r="AG33" s="147">
        <v>9.3572906938222444E-5</v>
      </c>
      <c r="AH33" s="147">
        <v>0</v>
      </c>
      <c r="AI33" s="147">
        <v>0</v>
      </c>
      <c r="AJ33" s="147">
        <v>0</v>
      </c>
      <c r="AK33" s="147">
        <v>0</v>
      </c>
      <c r="AL33" s="147">
        <v>0</v>
      </c>
      <c r="AM33" s="147">
        <v>0</v>
      </c>
      <c r="AN33" s="147">
        <v>0</v>
      </c>
      <c r="AO33" s="147">
        <v>0</v>
      </c>
      <c r="AP33" s="147">
        <v>0</v>
      </c>
      <c r="AQ33" s="147">
        <v>0</v>
      </c>
      <c r="AR33" s="147">
        <v>0</v>
      </c>
      <c r="AS33" s="147">
        <v>0</v>
      </c>
      <c r="AT33" s="147">
        <v>0</v>
      </c>
      <c r="AU33" s="147">
        <v>0</v>
      </c>
      <c r="AV33" s="147">
        <v>0</v>
      </c>
      <c r="AW33" s="147">
        <v>0</v>
      </c>
      <c r="AX33" s="147">
        <v>0</v>
      </c>
      <c r="AY33" s="147">
        <v>0</v>
      </c>
      <c r="AZ33" s="147">
        <v>0</v>
      </c>
      <c r="BA33" s="147">
        <v>0</v>
      </c>
      <c r="BB33" s="147">
        <v>0</v>
      </c>
    </row>
    <row r="34" spans="1:54" customFormat="1" x14ac:dyDescent="0.15">
      <c r="A34" s="155" t="s">
        <v>224</v>
      </c>
      <c r="B34" s="147">
        <v>0</v>
      </c>
      <c r="C34" s="147">
        <v>0</v>
      </c>
      <c r="D34" s="147">
        <v>0</v>
      </c>
      <c r="E34" s="147">
        <v>0</v>
      </c>
      <c r="F34" s="147">
        <v>0</v>
      </c>
      <c r="G34" s="147">
        <v>0</v>
      </c>
      <c r="H34" s="147">
        <v>0</v>
      </c>
      <c r="I34" s="147">
        <v>0</v>
      </c>
      <c r="J34" s="147">
        <v>0</v>
      </c>
      <c r="K34" s="147">
        <v>0</v>
      </c>
      <c r="L34" s="147">
        <v>0</v>
      </c>
      <c r="M34" s="147">
        <v>0</v>
      </c>
      <c r="N34" s="147">
        <v>0</v>
      </c>
      <c r="O34" s="147">
        <v>0</v>
      </c>
      <c r="P34" s="147">
        <v>0</v>
      </c>
      <c r="Q34" s="147">
        <v>0</v>
      </c>
      <c r="R34" s="147">
        <v>0</v>
      </c>
      <c r="S34" s="147">
        <v>0</v>
      </c>
      <c r="T34" s="147">
        <v>0</v>
      </c>
      <c r="U34" s="147">
        <v>0</v>
      </c>
      <c r="V34" s="147">
        <v>0</v>
      </c>
      <c r="W34" s="147">
        <v>0</v>
      </c>
      <c r="X34" s="147">
        <v>0</v>
      </c>
      <c r="Y34" s="147">
        <v>0</v>
      </c>
      <c r="Z34" s="147">
        <v>0</v>
      </c>
      <c r="AA34" s="147">
        <v>0</v>
      </c>
      <c r="AB34" s="147">
        <v>7.4176161118325756E-2</v>
      </c>
      <c r="AC34" s="147">
        <v>0</v>
      </c>
      <c r="AD34" s="147">
        <v>6.9468408750446756E-2</v>
      </c>
      <c r="AE34" s="147">
        <v>6.2278166510462959E-2</v>
      </c>
      <c r="AF34" s="147">
        <v>4.0800394336875335E-3</v>
      </c>
      <c r="AG34" s="147">
        <v>1.1175583113883991E-3</v>
      </c>
      <c r="AH34" s="147">
        <v>3.1261475721993722E-3</v>
      </c>
      <c r="AI34" s="147">
        <v>0</v>
      </c>
      <c r="AJ34" s="147">
        <v>6.2845667934907437E-2</v>
      </c>
      <c r="AK34" s="147">
        <v>0</v>
      </c>
      <c r="AL34" s="147">
        <v>2.9427868371483111E-2</v>
      </c>
      <c r="AM34" s="147">
        <v>0</v>
      </c>
      <c r="AN34" s="147">
        <v>0</v>
      </c>
      <c r="AO34" s="147">
        <v>0</v>
      </c>
      <c r="AP34" s="147">
        <v>0</v>
      </c>
      <c r="AQ34" s="147">
        <v>2.093906117624866E-6</v>
      </c>
      <c r="AR34" s="147">
        <v>5.5019227590629178E-3</v>
      </c>
      <c r="AS34" s="147">
        <v>0</v>
      </c>
      <c r="AT34" s="147">
        <v>0</v>
      </c>
      <c r="AU34" s="147">
        <v>0</v>
      </c>
      <c r="AV34" s="147">
        <v>0</v>
      </c>
      <c r="AW34" s="147">
        <v>0</v>
      </c>
      <c r="AX34" s="147">
        <v>1.0714637727572224E-2</v>
      </c>
      <c r="AY34" s="147">
        <v>4.2054983294916984E-2</v>
      </c>
      <c r="AZ34" s="147">
        <v>0</v>
      </c>
      <c r="BA34" s="147">
        <v>0</v>
      </c>
      <c r="BB34" s="147">
        <v>0</v>
      </c>
    </row>
    <row r="35" spans="1:54" customFormat="1" x14ac:dyDescent="0.15">
      <c r="A35" s="155" t="s">
        <v>225</v>
      </c>
      <c r="B35" s="147">
        <v>0</v>
      </c>
      <c r="C35" s="147">
        <v>0</v>
      </c>
      <c r="D35" s="147">
        <v>0</v>
      </c>
      <c r="E35" s="147">
        <v>0</v>
      </c>
      <c r="F35" s="147">
        <v>0</v>
      </c>
      <c r="G35" s="147">
        <v>0</v>
      </c>
      <c r="H35" s="147">
        <v>0</v>
      </c>
      <c r="I35" s="147">
        <v>0</v>
      </c>
      <c r="J35" s="147">
        <v>0</v>
      </c>
      <c r="K35" s="147">
        <v>0</v>
      </c>
      <c r="L35" s="147">
        <v>0</v>
      </c>
      <c r="M35" s="147">
        <v>0</v>
      </c>
      <c r="N35" s="147">
        <v>0</v>
      </c>
      <c r="O35" s="147">
        <v>0</v>
      </c>
      <c r="P35" s="147">
        <v>0</v>
      </c>
      <c r="Q35" s="147">
        <v>0</v>
      </c>
      <c r="R35" s="147">
        <v>0</v>
      </c>
      <c r="S35" s="147">
        <v>0</v>
      </c>
      <c r="T35" s="147">
        <v>0</v>
      </c>
      <c r="U35" s="147">
        <v>0</v>
      </c>
      <c r="V35" s="147">
        <v>0</v>
      </c>
      <c r="W35" s="147">
        <v>0</v>
      </c>
      <c r="X35" s="147">
        <v>0</v>
      </c>
      <c r="Y35" s="147">
        <v>0</v>
      </c>
      <c r="Z35" s="147">
        <v>0</v>
      </c>
      <c r="AA35" s="147">
        <v>0</v>
      </c>
      <c r="AB35" s="147">
        <v>0</v>
      </c>
      <c r="AC35" s="147">
        <v>0</v>
      </c>
      <c r="AD35" s="147">
        <v>0</v>
      </c>
      <c r="AE35" s="147">
        <v>0</v>
      </c>
      <c r="AF35" s="147">
        <v>0</v>
      </c>
      <c r="AG35" s="147">
        <v>0</v>
      </c>
      <c r="AH35" s="147">
        <v>0</v>
      </c>
      <c r="AI35" s="147">
        <v>0</v>
      </c>
      <c r="AJ35" s="147">
        <v>0</v>
      </c>
      <c r="AK35" s="147">
        <v>0</v>
      </c>
      <c r="AL35" s="147">
        <v>0</v>
      </c>
      <c r="AM35" s="147">
        <v>0</v>
      </c>
      <c r="AN35" s="147">
        <v>0</v>
      </c>
      <c r="AO35" s="147">
        <v>0</v>
      </c>
      <c r="AP35" s="147">
        <v>0</v>
      </c>
      <c r="AQ35" s="147">
        <v>0</v>
      </c>
      <c r="AR35" s="147">
        <v>0</v>
      </c>
      <c r="AS35" s="147">
        <v>0</v>
      </c>
      <c r="AT35" s="147">
        <v>0</v>
      </c>
      <c r="AU35" s="147">
        <v>0</v>
      </c>
      <c r="AV35" s="147">
        <v>0</v>
      </c>
      <c r="AW35" s="147">
        <v>0</v>
      </c>
      <c r="AX35" s="147">
        <v>0</v>
      </c>
      <c r="AY35" s="147">
        <v>0.20888160473785511</v>
      </c>
      <c r="AZ35" s="147">
        <v>0</v>
      </c>
      <c r="BA35" s="147">
        <v>0</v>
      </c>
      <c r="BB35" s="147">
        <v>0</v>
      </c>
    </row>
    <row r="36" spans="1:54" customFormat="1" x14ac:dyDescent="0.15">
      <c r="A36" s="155" t="s">
        <v>226</v>
      </c>
      <c r="B36" s="147">
        <v>0</v>
      </c>
      <c r="C36" s="147">
        <v>0</v>
      </c>
      <c r="D36" s="147">
        <v>0</v>
      </c>
      <c r="E36" s="147">
        <v>0</v>
      </c>
      <c r="F36" s="147">
        <v>0</v>
      </c>
      <c r="G36" s="147">
        <v>0</v>
      </c>
      <c r="H36" s="147">
        <v>0</v>
      </c>
      <c r="I36" s="147">
        <v>0</v>
      </c>
      <c r="J36" s="147">
        <v>0</v>
      </c>
      <c r="K36" s="147">
        <v>0</v>
      </c>
      <c r="L36" s="147">
        <v>0</v>
      </c>
      <c r="M36" s="147">
        <v>0</v>
      </c>
      <c r="N36" s="147">
        <v>0</v>
      </c>
      <c r="O36" s="147">
        <v>0</v>
      </c>
      <c r="P36" s="147">
        <v>0</v>
      </c>
      <c r="Q36" s="147">
        <v>0</v>
      </c>
      <c r="R36" s="147">
        <v>0</v>
      </c>
      <c r="S36" s="147">
        <v>0</v>
      </c>
      <c r="T36" s="147">
        <v>0</v>
      </c>
      <c r="U36" s="147">
        <v>0</v>
      </c>
      <c r="V36" s="147">
        <v>0</v>
      </c>
      <c r="W36" s="147">
        <v>0</v>
      </c>
      <c r="X36" s="147">
        <v>0</v>
      </c>
      <c r="Y36" s="147">
        <v>0</v>
      </c>
      <c r="Z36" s="147">
        <v>0</v>
      </c>
      <c r="AA36" s="147">
        <v>0</v>
      </c>
      <c r="AB36" s="147">
        <v>0</v>
      </c>
      <c r="AC36" s="147">
        <v>0</v>
      </c>
      <c r="AD36" s="147">
        <v>0</v>
      </c>
      <c r="AE36" s="147">
        <v>0</v>
      </c>
      <c r="AF36" s="147">
        <v>0</v>
      </c>
      <c r="AG36" s="147">
        <v>0</v>
      </c>
      <c r="AH36" s="147">
        <v>0</v>
      </c>
      <c r="AI36" s="147">
        <v>0</v>
      </c>
      <c r="AJ36" s="147">
        <v>0</v>
      </c>
      <c r="AK36" s="147">
        <v>0</v>
      </c>
      <c r="AL36" s="147">
        <v>4.5806140469625764E-2</v>
      </c>
      <c r="AM36" s="147">
        <v>0</v>
      </c>
      <c r="AN36" s="147">
        <v>0</v>
      </c>
      <c r="AO36" s="147">
        <v>0</v>
      </c>
      <c r="AP36" s="147">
        <v>0</v>
      </c>
      <c r="AQ36" s="147">
        <v>0</v>
      </c>
      <c r="AR36" s="147">
        <v>0</v>
      </c>
      <c r="AS36" s="147">
        <v>0</v>
      </c>
      <c r="AT36" s="147">
        <v>0</v>
      </c>
      <c r="AU36" s="147">
        <v>0</v>
      </c>
      <c r="AV36" s="147">
        <v>0</v>
      </c>
      <c r="AW36" s="147">
        <v>0</v>
      </c>
      <c r="AX36" s="147">
        <v>0</v>
      </c>
      <c r="AY36" s="147">
        <v>0.20888160473785511</v>
      </c>
      <c r="AZ36" s="147">
        <v>0</v>
      </c>
      <c r="BA36" s="147">
        <v>0</v>
      </c>
      <c r="BB36" s="147">
        <v>0</v>
      </c>
    </row>
    <row r="37" spans="1:54" customFormat="1" x14ac:dyDescent="0.15">
      <c r="A37" s="155" t="s">
        <v>227</v>
      </c>
      <c r="B37" s="147">
        <v>0</v>
      </c>
      <c r="C37" s="147">
        <v>0</v>
      </c>
      <c r="D37" s="147">
        <v>0</v>
      </c>
      <c r="E37" s="147">
        <v>0</v>
      </c>
      <c r="F37" s="147">
        <v>0</v>
      </c>
      <c r="G37" s="147">
        <v>0</v>
      </c>
      <c r="H37" s="147">
        <v>0</v>
      </c>
      <c r="I37" s="147">
        <v>0</v>
      </c>
      <c r="J37" s="147">
        <v>0</v>
      </c>
      <c r="K37" s="147">
        <v>0</v>
      </c>
      <c r="L37" s="147">
        <v>0</v>
      </c>
      <c r="M37" s="147">
        <v>0</v>
      </c>
      <c r="N37" s="147">
        <v>0</v>
      </c>
      <c r="O37" s="147">
        <v>0</v>
      </c>
      <c r="P37" s="147">
        <v>0</v>
      </c>
      <c r="Q37" s="147">
        <v>0</v>
      </c>
      <c r="R37" s="147">
        <v>0</v>
      </c>
      <c r="S37" s="147">
        <v>0</v>
      </c>
      <c r="T37" s="147">
        <v>0</v>
      </c>
      <c r="U37" s="147">
        <v>0</v>
      </c>
      <c r="V37" s="147">
        <v>0</v>
      </c>
      <c r="W37" s="147">
        <v>0</v>
      </c>
      <c r="X37" s="147">
        <v>0</v>
      </c>
      <c r="Y37" s="147">
        <v>0</v>
      </c>
      <c r="Z37" s="147">
        <v>0</v>
      </c>
      <c r="AA37" s="147">
        <v>0</v>
      </c>
      <c r="AB37" s="147">
        <v>0</v>
      </c>
      <c r="AC37" s="147">
        <v>0</v>
      </c>
      <c r="AD37" s="147">
        <v>0</v>
      </c>
      <c r="AE37" s="147">
        <v>0</v>
      </c>
      <c r="AF37" s="147">
        <v>0</v>
      </c>
      <c r="AG37" s="147">
        <v>0</v>
      </c>
      <c r="AH37" s="147">
        <v>0</v>
      </c>
      <c r="AI37" s="147">
        <v>0</v>
      </c>
      <c r="AJ37" s="147">
        <v>0</v>
      </c>
      <c r="AK37" s="147">
        <v>0</v>
      </c>
      <c r="AL37" s="147">
        <v>0</v>
      </c>
      <c r="AM37" s="147">
        <v>0</v>
      </c>
      <c r="AN37" s="147">
        <v>0</v>
      </c>
      <c r="AO37" s="147">
        <v>0</v>
      </c>
      <c r="AP37" s="147">
        <v>0</v>
      </c>
      <c r="AQ37" s="147">
        <v>0</v>
      </c>
      <c r="AR37" s="147">
        <v>0</v>
      </c>
      <c r="AS37" s="147">
        <v>0</v>
      </c>
      <c r="AT37" s="147">
        <v>0</v>
      </c>
      <c r="AU37" s="147">
        <v>0</v>
      </c>
      <c r="AV37" s="147">
        <v>3.4104859262872674E-3</v>
      </c>
      <c r="AW37" s="147">
        <v>0</v>
      </c>
      <c r="AX37" s="147">
        <v>8.6554229943006294E-2</v>
      </c>
      <c r="AY37" s="147">
        <v>0</v>
      </c>
      <c r="AZ37" s="147">
        <v>0</v>
      </c>
      <c r="BA37" s="147">
        <v>0</v>
      </c>
      <c r="BB37" s="147">
        <v>0</v>
      </c>
    </row>
    <row r="38" spans="1:54" customFormat="1" x14ac:dyDescent="0.15">
      <c r="A38" s="155" t="s">
        <v>228</v>
      </c>
      <c r="B38" s="147">
        <v>0</v>
      </c>
      <c r="C38" s="147">
        <v>0</v>
      </c>
      <c r="D38" s="147">
        <v>0</v>
      </c>
      <c r="E38" s="147">
        <v>0</v>
      </c>
      <c r="F38" s="147">
        <v>0</v>
      </c>
      <c r="G38" s="147">
        <v>0</v>
      </c>
      <c r="H38" s="147">
        <v>0</v>
      </c>
      <c r="I38" s="147">
        <v>0</v>
      </c>
      <c r="J38" s="147">
        <v>0</v>
      </c>
      <c r="K38" s="147">
        <v>0</v>
      </c>
      <c r="L38" s="147">
        <v>0</v>
      </c>
      <c r="M38" s="147">
        <v>0</v>
      </c>
      <c r="N38" s="147">
        <v>0</v>
      </c>
      <c r="O38" s="147">
        <v>0</v>
      </c>
      <c r="P38" s="147">
        <v>0</v>
      </c>
      <c r="Q38" s="147">
        <v>0</v>
      </c>
      <c r="R38" s="147">
        <v>0</v>
      </c>
      <c r="S38" s="147">
        <v>0</v>
      </c>
      <c r="T38" s="147">
        <v>0</v>
      </c>
      <c r="U38" s="147">
        <v>0</v>
      </c>
      <c r="V38" s="147">
        <v>0</v>
      </c>
      <c r="W38" s="147">
        <v>0</v>
      </c>
      <c r="X38" s="147">
        <v>0</v>
      </c>
      <c r="Y38" s="147">
        <v>0</v>
      </c>
      <c r="Z38" s="147">
        <v>0</v>
      </c>
      <c r="AA38" s="147">
        <v>0</v>
      </c>
      <c r="AB38" s="147">
        <v>0</v>
      </c>
      <c r="AC38" s="147">
        <v>0</v>
      </c>
      <c r="AD38" s="147">
        <v>0</v>
      </c>
      <c r="AE38" s="147">
        <v>0</v>
      </c>
      <c r="AF38" s="147">
        <v>0</v>
      </c>
      <c r="AG38" s="147">
        <v>0</v>
      </c>
      <c r="AH38" s="147">
        <v>0</v>
      </c>
      <c r="AI38" s="147">
        <v>0</v>
      </c>
      <c r="AJ38" s="147">
        <v>0</v>
      </c>
      <c r="AK38" s="147">
        <v>0</v>
      </c>
      <c r="AL38" s="147">
        <v>0</v>
      </c>
      <c r="AM38" s="147">
        <v>0</v>
      </c>
      <c r="AN38" s="147">
        <v>0</v>
      </c>
      <c r="AO38" s="147">
        <v>0</v>
      </c>
      <c r="AP38" s="147">
        <v>0</v>
      </c>
      <c r="AQ38" s="147">
        <v>0</v>
      </c>
      <c r="AR38" s="147">
        <v>0</v>
      </c>
      <c r="AS38" s="147">
        <v>0</v>
      </c>
      <c r="AT38" s="147">
        <v>0</v>
      </c>
      <c r="AU38" s="147">
        <v>0</v>
      </c>
      <c r="AV38" s="147">
        <v>0</v>
      </c>
      <c r="AW38" s="147">
        <v>0</v>
      </c>
      <c r="AX38" s="147">
        <v>0</v>
      </c>
      <c r="AY38" s="147">
        <v>0</v>
      </c>
      <c r="AZ38" s="147">
        <v>0</v>
      </c>
      <c r="BA38" s="147">
        <v>0</v>
      </c>
      <c r="BB38" s="147">
        <v>0</v>
      </c>
    </row>
    <row r="39" spans="1:54" x14ac:dyDescent="0.15">
      <c r="A39" s="155" t="s">
        <v>229</v>
      </c>
      <c r="B39" s="147">
        <v>0</v>
      </c>
      <c r="C39" s="147">
        <v>0</v>
      </c>
      <c r="D39" s="147">
        <v>0</v>
      </c>
      <c r="E39" s="147">
        <v>0</v>
      </c>
      <c r="F39" s="147">
        <v>0</v>
      </c>
      <c r="G39" s="147">
        <v>0</v>
      </c>
      <c r="H39" s="147">
        <v>0</v>
      </c>
      <c r="I39" s="147">
        <v>0</v>
      </c>
      <c r="J39" s="147">
        <v>0</v>
      </c>
      <c r="K39" s="147">
        <v>0</v>
      </c>
      <c r="L39" s="147">
        <v>0</v>
      </c>
      <c r="M39" s="147">
        <v>0</v>
      </c>
      <c r="N39" s="147">
        <v>0</v>
      </c>
      <c r="O39" s="147">
        <v>0</v>
      </c>
      <c r="P39" s="147">
        <v>0</v>
      </c>
      <c r="Q39" s="147">
        <v>5.4503608061428862E-4</v>
      </c>
      <c r="R39" s="147">
        <v>0</v>
      </c>
      <c r="S39" s="147">
        <v>0</v>
      </c>
      <c r="T39" s="147">
        <v>0</v>
      </c>
      <c r="U39" s="147">
        <v>0</v>
      </c>
      <c r="V39" s="147">
        <v>0</v>
      </c>
      <c r="W39" s="147">
        <v>0</v>
      </c>
      <c r="X39" s="147">
        <v>8.5096830548886185E-2</v>
      </c>
      <c r="Y39" s="147">
        <v>0</v>
      </c>
      <c r="Z39" s="147">
        <v>0</v>
      </c>
      <c r="AA39" s="147">
        <v>0</v>
      </c>
      <c r="AB39" s="147">
        <v>0.26672571635400438</v>
      </c>
      <c r="AC39" s="147">
        <v>3.1188904979964707E-2</v>
      </c>
      <c r="AD39" s="147">
        <v>4.9209815332808313E-2</v>
      </c>
      <c r="AE39" s="147">
        <v>0</v>
      </c>
      <c r="AF39" s="147">
        <v>1.109957828692764E-2</v>
      </c>
      <c r="AG39" s="147">
        <v>1.5862739007857219E-2</v>
      </c>
      <c r="AH39" s="147">
        <v>0.50336239432876928</v>
      </c>
      <c r="AI39" s="147">
        <v>0</v>
      </c>
      <c r="AJ39" s="147">
        <v>4.6609649567571541E-2</v>
      </c>
      <c r="AK39" s="147">
        <v>0</v>
      </c>
      <c r="AL39" s="147">
        <v>7.232158705692349E-3</v>
      </c>
      <c r="AM39" s="147">
        <v>0</v>
      </c>
      <c r="AN39" s="147">
        <v>0</v>
      </c>
      <c r="AO39" s="147">
        <v>0</v>
      </c>
      <c r="AP39" s="147">
        <v>0</v>
      </c>
      <c r="AQ39" s="147">
        <v>0.16127757552618874</v>
      </c>
      <c r="AR39" s="147">
        <v>0.15294341910968309</v>
      </c>
      <c r="AS39" s="147">
        <v>0</v>
      </c>
      <c r="AT39" s="147">
        <v>0</v>
      </c>
      <c r="AU39" s="147">
        <v>0</v>
      </c>
      <c r="AV39" s="147">
        <v>9.2789397544861041E-2</v>
      </c>
      <c r="AW39" s="147">
        <v>0.40630122105884914</v>
      </c>
      <c r="AX39" s="147">
        <v>0</v>
      </c>
      <c r="AY39" s="147">
        <v>0.19269992982998388</v>
      </c>
      <c r="AZ39" s="147">
        <v>0</v>
      </c>
      <c r="BA39" s="147">
        <v>0</v>
      </c>
      <c r="BB39" s="147">
        <v>0</v>
      </c>
    </row>
    <row r="40" spans="1:54" x14ac:dyDescent="0.15">
      <c r="A40" s="155" t="s">
        <v>230</v>
      </c>
      <c r="B40" s="147">
        <v>0</v>
      </c>
      <c r="C40" s="147">
        <v>0</v>
      </c>
      <c r="D40" s="147">
        <v>0</v>
      </c>
      <c r="E40" s="147">
        <v>0</v>
      </c>
      <c r="F40" s="147">
        <v>0</v>
      </c>
      <c r="G40" s="147">
        <v>0</v>
      </c>
      <c r="H40" s="147">
        <v>0</v>
      </c>
      <c r="I40" s="147">
        <v>0</v>
      </c>
      <c r="J40" s="147">
        <v>0</v>
      </c>
      <c r="K40" s="147">
        <v>0</v>
      </c>
      <c r="L40" s="147">
        <v>0</v>
      </c>
      <c r="M40" s="147">
        <v>0</v>
      </c>
      <c r="N40" s="147">
        <v>0</v>
      </c>
      <c r="O40" s="147">
        <v>0</v>
      </c>
      <c r="P40" s="147">
        <v>0</v>
      </c>
      <c r="Q40" s="147">
        <v>0</v>
      </c>
      <c r="R40" s="147">
        <v>0</v>
      </c>
      <c r="S40" s="147">
        <v>0</v>
      </c>
      <c r="T40" s="147">
        <v>0</v>
      </c>
      <c r="U40" s="147">
        <v>0</v>
      </c>
      <c r="V40" s="147">
        <v>0</v>
      </c>
      <c r="W40" s="147">
        <v>0</v>
      </c>
      <c r="X40" s="147">
        <v>4.5356484835838609E-4</v>
      </c>
      <c r="Y40" s="147">
        <v>3.6466682450503312E-3</v>
      </c>
      <c r="Z40" s="147">
        <v>0</v>
      </c>
      <c r="AA40" s="147">
        <v>0</v>
      </c>
      <c r="AB40" s="147">
        <v>6.7186608551274554E-3</v>
      </c>
      <c r="AC40" s="147">
        <v>0</v>
      </c>
      <c r="AD40" s="147">
        <v>1.9888355775517542E-3</v>
      </c>
      <c r="AE40" s="147">
        <v>2.4040958735523279E-3</v>
      </c>
      <c r="AF40" s="147">
        <v>2.6787286089541393E-3</v>
      </c>
      <c r="AG40" s="147">
        <v>1.9139904637222927E-5</v>
      </c>
      <c r="AH40" s="147">
        <v>3.6195764578549287E-3</v>
      </c>
      <c r="AI40" s="147">
        <v>5.6213628960563415E-3</v>
      </c>
      <c r="AJ40" s="147">
        <v>4.7711056882914901E-3</v>
      </c>
      <c r="AK40" s="147">
        <v>0</v>
      </c>
      <c r="AL40" s="147">
        <v>0</v>
      </c>
      <c r="AM40" s="147">
        <v>0</v>
      </c>
      <c r="AN40" s="147">
        <v>0</v>
      </c>
      <c r="AO40" s="147">
        <v>0</v>
      </c>
      <c r="AP40" s="147">
        <v>0</v>
      </c>
      <c r="AQ40" s="147">
        <v>6.256827283528815E-4</v>
      </c>
      <c r="AR40" s="147">
        <v>1.3724989420640904E-3</v>
      </c>
      <c r="AS40" s="147">
        <v>0</v>
      </c>
      <c r="AT40" s="147">
        <v>3.2376492003891311E-3</v>
      </c>
      <c r="AU40" s="147">
        <v>0</v>
      </c>
      <c r="AV40" s="147">
        <v>7.6761040789387976E-4</v>
      </c>
      <c r="AW40" s="147">
        <v>8.8678118739478535E-4</v>
      </c>
      <c r="AX40" s="147">
        <v>4.1359506523615426E-3</v>
      </c>
      <c r="AY40" s="147">
        <v>4.5434283792956449E-4</v>
      </c>
      <c r="AZ40" s="147">
        <v>0</v>
      </c>
      <c r="BA40" s="147">
        <v>0</v>
      </c>
      <c r="BB40" s="147">
        <v>0</v>
      </c>
    </row>
    <row r="41" spans="1:54" x14ac:dyDescent="0.15">
      <c r="A41" s="155" t="s">
        <v>231</v>
      </c>
      <c r="B41" s="147">
        <v>0</v>
      </c>
      <c r="C41" s="147">
        <v>0</v>
      </c>
      <c r="D41" s="147">
        <v>0</v>
      </c>
      <c r="E41" s="147">
        <v>0</v>
      </c>
      <c r="F41" s="147">
        <v>0</v>
      </c>
      <c r="G41" s="147">
        <v>0</v>
      </c>
      <c r="H41" s="147">
        <v>0</v>
      </c>
      <c r="I41" s="147">
        <v>0</v>
      </c>
      <c r="J41" s="147">
        <v>0</v>
      </c>
      <c r="K41" s="147">
        <v>0</v>
      </c>
      <c r="L41" s="147">
        <v>0</v>
      </c>
      <c r="M41" s="147">
        <v>0</v>
      </c>
      <c r="N41" s="147">
        <v>0</v>
      </c>
      <c r="O41" s="147">
        <v>0</v>
      </c>
      <c r="P41" s="147">
        <v>0</v>
      </c>
      <c r="Q41" s="147">
        <v>2.1999961396227739E-3</v>
      </c>
      <c r="R41" s="147">
        <v>0</v>
      </c>
      <c r="S41" s="147">
        <v>0</v>
      </c>
      <c r="T41" s="147">
        <v>0</v>
      </c>
      <c r="U41" s="147">
        <v>0</v>
      </c>
      <c r="V41" s="147">
        <v>0</v>
      </c>
      <c r="W41" s="147">
        <v>0</v>
      </c>
      <c r="X41" s="147">
        <v>2.9244237267069101E-3</v>
      </c>
      <c r="Y41" s="147">
        <v>3.7836999637370194E-2</v>
      </c>
      <c r="Z41" s="147">
        <v>0</v>
      </c>
      <c r="AA41" s="147">
        <v>0</v>
      </c>
      <c r="AB41" s="147">
        <v>9.8279395486054508E-2</v>
      </c>
      <c r="AC41" s="147">
        <v>3.1149968119814327E-4</v>
      </c>
      <c r="AD41" s="147">
        <v>1.4912002285760353E-2</v>
      </c>
      <c r="AE41" s="147">
        <v>3.0389503371247427E-2</v>
      </c>
      <c r="AF41" s="147">
        <v>5.7484953839007213E-3</v>
      </c>
      <c r="AG41" s="147">
        <v>1.2450215139503466E-4</v>
      </c>
      <c r="AH41" s="147">
        <v>1.2714805499655282E-2</v>
      </c>
      <c r="AI41" s="147">
        <v>0</v>
      </c>
      <c r="AJ41" s="147">
        <v>0.1205264321084967</v>
      </c>
      <c r="AK41" s="147">
        <v>0</v>
      </c>
      <c r="AL41" s="147">
        <v>0</v>
      </c>
      <c r="AM41" s="147">
        <v>0</v>
      </c>
      <c r="AN41" s="147">
        <v>0</v>
      </c>
      <c r="AO41" s="147">
        <v>0</v>
      </c>
      <c r="AP41" s="147">
        <v>0</v>
      </c>
      <c r="AQ41" s="147">
        <v>4.9929581751773115E-3</v>
      </c>
      <c r="AR41" s="147">
        <v>1.2586490298207412E-2</v>
      </c>
      <c r="AS41" s="147">
        <v>0</v>
      </c>
      <c r="AT41" s="147">
        <v>1.490317706382102E-2</v>
      </c>
      <c r="AU41" s="147">
        <v>0</v>
      </c>
      <c r="AV41" s="147">
        <v>0</v>
      </c>
      <c r="AW41" s="147">
        <v>4.5305078134676408E-2</v>
      </c>
      <c r="AX41" s="147">
        <v>4.4885463669705708E-2</v>
      </c>
      <c r="AY41" s="147">
        <v>0</v>
      </c>
      <c r="AZ41" s="147">
        <v>0</v>
      </c>
      <c r="BA41" s="147">
        <v>0</v>
      </c>
      <c r="BB41" s="147">
        <v>0</v>
      </c>
    </row>
    <row r="42" spans="1:54" x14ac:dyDescent="0.15">
      <c r="A42" s="155" t="s">
        <v>232</v>
      </c>
      <c r="B42" s="147">
        <v>0</v>
      </c>
      <c r="C42" s="147">
        <v>0</v>
      </c>
      <c r="D42" s="147">
        <v>0</v>
      </c>
      <c r="E42" s="147">
        <v>0</v>
      </c>
      <c r="F42" s="147">
        <v>0</v>
      </c>
      <c r="G42" s="147">
        <v>0</v>
      </c>
      <c r="H42" s="147">
        <v>0</v>
      </c>
      <c r="I42" s="147">
        <v>0</v>
      </c>
      <c r="J42" s="147">
        <v>0</v>
      </c>
      <c r="K42" s="147">
        <v>0</v>
      </c>
      <c r="L42" s="147">
        <v>0</v>
      </c>
      <c r="M42" s="147">
        <v>0</v>
      </c>
      <c r="N42" s="147">
        <v>0</v>
      </c>
      <c r="O42" s="147">
        <v>0</v>
      </c>
      <c r="P42" s="147">
        <v>0</v>
      </c>
      <c r="Q42" s="147">
        <v>0</v>
      </c>
      <c r="R42" s="147">
        <v>0</v>
      </c>
      <c r="S42" s="147">
        <v>0</v>
      </c>
      <c r="T42" s="147">
        <v>0</v>
      </c>
      <c r="U42" s="147">
        <v>0</v>
      </c>
      <c r="V42" s="147">
        <v>0</v>
      </c>
      <c r="W42" s="147">
        <v>0</v>
      </c>
      <c r="X42" s="147">
        <v>4.5773806151481891E-3</v>
      </c>
      <c r="Y42" s="147">
        <v>1.080999989639696E-3</v>
      </c>
      <c r="Z42" s="147">
        <v>0</v>
      </c>
      <c r="AA42" s="147">
        <v>0</v>
      </c>
      <c r="AB42" s="147">
        <v>0</v>
      </c>
      <c r="AC42" s="147">
        <v>0</v>
      </c>
      <c r="AD42" s="147">
        <v>0</v>
      </c>
      <c r="AE42" s="147">
        <v>5.4166948258485191E-2</v>
      </c>
      <c r="AF42" s="147">
        <v>5.7484953839007213E-3</v>
      </c>
      <c r="AG42" s="147">
        <v>1.920033178140294E-4</v>
      </c>
      <c r="AH42" s="147">
        <v>0</v>
      </c>
      <c r="AI42" s="147">
        <v>0</v>
      </c>
      <c r="AJ42" s="147">
        <v>0.17357869101525208</v>
      </c>
      <c r="AK42" s="147">
        <v>0</v>
      </c>
      <c r="AL42" s="147">
        <v>0.22961873540550734</v>
      </c>
      <c r="AM42" s="147">
        <v>0</v>
      </c>
      <c r="AN42" s="147">
        <v>0</v>
      </c>
      <c r="AO42" s="147">
        <v>0</v>
      </c>
      <c r="AP42" s="147">
        <v>0</v>
      </c>
      <c r="AQ42" s="147">
        <v>0</v>
      </c>
      <c r="AR42" s="147">
        <v>1.2586490298207412E-2</v>
      </c>
      <c r="AS42" s="147">
        <v>0</v>
      </c>
      <c r="AT42" s="147">
        <v>0</v>
      </c>
      <c r="AU42" s="147">
        <v>0</v>
      </c>
      <c r="AV42" s="147">
        <v>0</v>
      </c>
      <c r="AW42" s="147">
        <v>9.0035662500967343E-3</v>
      </c>
      <c r="AX42" s="147">
        <v>4.4885463669705708E-2</v>
      </c>
      <c r="AY42" s="147">
        <v>0</v>
      </c>
      <c r="AZ42" s="147">
        <v>0</v>
      </c>
      <c r="BA42" s="147">
        <v>0</v>
      </c>
      <c r="BB42" s="147">
        <v>0</v>
      </c>
    </row>
    <row r="43" spans="1:54" x14ac:dyDescent="0.15">
      <c r="A43" s="155" t="s">
        <v>233</v>
      </c>
      <c r="B43" s="147">
        <v>0</v>
      </c>
      <c r="C43" s="147">
        <v>0</v>
      </c>
      <c r="D43" s="147">
        <v>0</v>
      </c>
      <c r="E43" s="147">
        <v>0</v>
      </c>
      <c r="F43" s="147">
        <v>0</v>
      </c>
      <c r="G43" s="147">
        <v>0</v>
      </c>
      <c r="H43" s="147">
        <v>0</v>
      </c>
      <c r="I43" s="147">
        <v>0</v>
      </c>
      <c r="J43" s="147">
        <v>0</v>
      </c>
      <c r="K43" s="147">
        <v>0</v>
      </c>
      <c r="L43" s="147">
        <v>0</v>
      </c>
      <c r="M43" s="147">
        <v>0</v>
      </c>
      <c r="N43" s="147">
        <v>0</v>
      </c>
      <c r="O43" s="147">
        <v>0</v>
      </c>
      <c r="P43" s="147">
        <v>0</v>
      </c>
      <c r="Q43" s="147">
        <v>0</v>
      </c>
      <c r="R43" s="147">
        <v>0</v>
      </c>
      <c r="S43" s="147">
        <v>0</v>
      </c>
      <c r="T43" s="147">
        <v>0</v>
      </c>
      <c r="U43" s="147">
        <v>0</v>
      </c>
      <c r="V43" s="147">
        <v>0</v>
      </c>
      <c r="W43" s="147">
        <v>0</v>
      </c>
      <c r="X43" s="147">
        <v>0</v>
      </c>
      <c r="Y43" s="147">
        <v>0</v>
      </c>
      <c r="Z43" s="147">
        <v>0</v>
      </c>
      <c r="AA43" s="147">
        <v>0</v>
      </c>
      <c r="AB43" s="147">
        <v>7.8883072012822541E-4</v>
      </c>
      <c r="AC43" s="147">
        <v>0</v>
      </c>
      <c r="AD43" s="147">
        <v>2.2367999678644154E-2</v>
      </c>
      <c r="AE43" s="147">
        <v>0.30937540447749806</v>
      </c>
      <c r="AF43" s="147">
        <v>0</v>
      </c>
      <c r="AG43" s="147">
        <v>1.8128685963381633E-2</v>
      </c>
      <c r="AH43" s="147">
        <v>0</v>
      </c>
      <c r="AI43" s="147">
        <v>2.1701664864988056E-2</v>
      </c>
      <c r="AJ43" s="147">
        <v>0</v>
      </c>
      <c r="AK43" s="147">
        <v>0</v>
      </c>
      <c r="AL43" s="147">
        <v>0</v>
      </c>
      <c r="AM43" s="147">
        <v>0</v>
      </c>
      <c r="AN43" s="147">
        <v>0</v>
      </c>
      <c r="AO43" s="147">
        <v>0</v>
      </c>
      <c r="AP43" s="147">
        <v>0</v>
      </c>
      <c r="AQ43" s="147">
        <v>1.1746813413902959E-3</v>
      </c>
      <c r="AR43" s="147">
        <v>0</v>
      </c>
      <c r="AS43" s="147">
        <v>0</v>
      </c>
      <c r="AT43" s="147">
        <v>0.13162637001093885</v>
      </c>
      <c r="AU43" s="147">
        <v>0</v>
      </c>
      <c r="AV43" s="147">
        <v>5.0846176939588492E-3</v>
      </c>
      <c r="AW43" s="147">
        <v>0.12189035882425776</v>
      </c>
      <c r="AX43" s="147">
        <v>0.10629503796479628</v>
      </c>
      <c r="AY43" s="147">
        <v>4.412981688002611E-2</v>
      </c>
      <c r="AZ43" s="147">
        <v>0</v>
      </c>
      <c r="BA43" s="147">
        <v>0</v>
      </c>
      <c r="BB43" s="147">
        <v>0</v>
      </c>
    </row>
    <row r="44" spans="1:54" x14ac:dyDescent="0.15">
      <c r="A44" s="155" t="s">
        <v>234</v>
      </c>
      <c r="B44" s="147">
        <v>0</v>
      </c>
      <c r="C44" s="147">
        <v>0</v>
      </c>
      <c r="D44" s="147">
        <v>0</v>
      </c>
      <c r="E44" s="147">
        <v>0</v>
      </c>
      <c r="F44" s="147">
        <v>0</v>
      </c>
      <c r="G44" s="147">
        <v>0</v>
      </c>
      <c r="H44" s="147">
        <v>0</v>
      </c>
      <c r="I44" s="147">
        <v>0</v>
      </c>
      <c r="J44" s="147">
        <v>0</v>
      </c>
      <c r="K44" s="147">
        <v>0</v>
      </c>
      <c r="L44" s="147">
        <v>0</v>
      </c>
      <c r="M44" s="147">
        <v>0</v>
      </c>
      <c r="N44" s="147">
        <v>0</v>
      </c>
      <c r="O44" s="147">
        <v>0</v>
      </c>
      <c r="P44" s="147">
        <v>0</v>
      </c>
      <c r="Q44" s="147">
        <v>0</v>
      </c>
      <c r="R44" s="147">
        <v>0</v>
      </c>
      <c r="S44" s="147">
        <v>0</v>
      </c>
      <c r="T44" s="147">
        <v>0</v>
      </c>
      <c r="U44" s="147">
        <v>0</v>
      </c>
      <c r="V44" s="147">
        <v>0</v>
      </c>
      <c r="W44" s="147">
        <v>0</v>
      </c>
      <c r="X44" s="147">
        <v>0</v>
      </c>
      <c r="Y44" s="147">
        <v>0</v>
      </c>
      <c r="Z44" s="147">
        <v>0</v>
      </c>
      <c r="AA44" s="147">
        <v>0</v>
      </c>
      <c r="AB44" s="147">
        <v>0</v>
      </c>
      <c r="AC44" s="147">
        <v>0</v>
      </c>
      <c r="AD44" s="147">
        <v>0</v>
      </c>
      <c r="AE44" s="147">
        <v>0.12444587112644168</v>
      </c>
      <c r="AF44" s="147">
        <v>0</v>
      </c>
      <c r="AG44" s="147">
        <v>0</v>
      </c>
      <c r="AH44" s="147">
        <v>0</v>
      </c>
      <c r="AI44" s="147">
        <v>0</v>
      </c>
      <c r="AJ44" s="147">
        <v>0</v>
      </c>
      <c r="AK44" s="147">
        <v>0</v>
      </c>
      <c r="AL44" s="147">
        <v>0.1255487922506745</v>
      </c>
      <c r="AM44" s="147">
        <v>0</v>
      </c>
      <c r="AN44" s="147">
        <v>0</v>
      </c>
      <c r="AO44" s="147">
        <v>0</v>
      </c>
      <c r="AP44" s="147">
        <v>0</v>
      </c>
      <c r="AQ44" s="147">
        <v>0</v>
      </c>
      <c r="AR44" s="147">
        <v>0</v>
      </c>
      <c r="AS44" s="147">
        <v>0</v>
      </c>
      <c r="AT44" s="147">
        <v>3.4774430056672918E-2</v>
      </c>
      <c r="AU44" s="147">
        <v>0</v>
      </c>
      <c r="AV44" s="147">
        <v>2.7579950196232241E-3</v>
      </c>
      <c r="AW44" s="147">
        <v>0</v>
      </c>
      <c r="AX44" s="147">
        <v>4.5044553540938372E-2</v>
      </c>
      <c r="AY44" s="147">
        <v>9.4699812187639173E-3</v>
      </c>
      <c r="AZ44" s="147">
        <v>0</v>
      </c>
      <c r="BA44" s="147">
        <v>0</v>
      </c>
      <c r="BB44" s="147">
        <v>0</v>
      </c>
    </row>
    <row r="45" spans="1:54" x14ac:dyDescent="0.15">
      <c r="A45" s="155" t="s">
        <v>235</v>
      </c>
      <c r="B45" s="147">
        <v>0</v>
      </c>
      <c r="C45" s="147">
        <v>0</v>
      </c>
      <c r="D45" s="147">
        <v>0</v>
      </c>
      <c r="E45" s="147">
        <v>0</v>
      </c>
      <c r="F45" s="147">
        <v>0</v>
      </c>
      <c r="G45" s="147">
        <v>0</v>
      </c>
      <c r="H45" s="147">
        <v>0</v>
      </c>
      <c r="I45" s="147">
        <v>0</v>
      </c>
      <c r="J45" s="147">
        <v>0</v>
      </c>
      <c r="K45" s="147">
        <v>0</v>
      </c>
      <c r="L45" s="147">
        <v>0</v>
      </c>
      <c r="M45" s="147">
        <v>0</v>
      </c>
      <c r="N45" s="147">
        <v>0</v>
      </c>
      <c r="O45" s="147">
        <v>0</v>
      </c>
      <c r="P45" s="147">
        <v>0</v>
      </c>
      <c r="Q45" s="147">
        <v>0</v>
      </c>
      <c r="R45" s="147">
        <v>0</v>
      </c>
      <c r="S45" s="147">
        <v>0</v>
      </c>
      <c r="T45" s="147">
        <v>0</v>
      </c>
      <c r="U45" s="147">
        <v>0</v>
      </c>
      <c r="V45" s="147">
        <v>0</v>
      </c>
      <c r="W45" s="147">
        <v>0</v>
      </c>
      <c r="X45" s="147">
        <v>0</v>
      </c>
      <c r="Y45" s="147">
        <v>0</v>
      </c>
      <c r="Z45" s="147">
        <v>0</v>
      </c>
      <c r="AA45" s="147">
        <v>0</v>
      </c>
      <c r="AB45" s="147">
        <v>0</v>
      </c>
      <c r="AC45" s="147">
        <v>0</v>
      </c>
      <c r="AD45" s="147">
        <v>0</v>
      </c>
      <c r="AE45" s="147">
        <v>0</v>
      </c>
      <c r="AF45" s="147">
        <v>0</v>
      </c>
      <c r="AG45" s="147">
        <v>0</v>
      </c>
      <c r="AH45" s="147">
        <v>0</v>
      </c>
      <c r="AI45" s="147">
        <v>0</v>
      </c>
      <c r="AJ45" s="147">
        <v>0</v>
      </c>
      <c r="AK45" s="147">
        <v>0</v>
      </c>
      <c r="AL45" s="147">
        <v>0</v>
      </c>
      <c r="AM45" s="147">
        <v>0</v>
      </c>
      <c r="AN45" s="147">
        <v>0</v>
      </c>
      <c r="AO45" s="147">
        <v>0</v>
      </c>
      <c r="AP45" s="147">
        <v>0</v>
      </c>
      <c r="AQ45" s="147">
        <v>0</v>
      </c>
      <c r="AR45" s="147">
        <v>0</v>
      </c>
      <c r="AS45" s="147">
        <v>0</v>
      </c>
      <c r="AT45" s="147">
        <v>0</v>
      </c>
      <c r="AU45" s="147">
        <v>0</v>
      </c>
      <c r="AV45" s="147">
        <v>0</v>
      </c>
      <c r="AW45" s="147">
        <v>0</v>
      </c>
      <c r="AX45" s="147">
        <v>0</v>
      </c>
      <c r="AY45" s="147">
        <v>0</v>
      </c>
      <c r="AZ45" s="147">
        <v>0</v>
      </c>
      <c r="BA45" s="147">
        <v>0</v>
      </c>
      <c r="BB45" s="147">
        <v>0</v>
      </c>
    </row>
    <row r="46" spans="1:54" x14ac:dyDescent="0.15">
      <c r="A46" s="155" t="s">
        <v>236</v>
      </c>
      <c r="B46" s="147">
        <v>0</v>
      </c>
      <c r="C46" s="147">
        <v>0</v>
      </c>
      <c r="D46" s="147">
        <v>0</v>
      </c>
      <c r="E46" s="147">
        <v>0</v>
      </c>
      <c r="F46" s="147">
        <v>0</v>
      </c>
      <c r="G46" s="147">
        <v>0</v>
      </c>
      <c r="H46" s="147">
        <v>0</v>
      </c>
      <c r="I46" s="147">
        <v>0</v>
      </c>
      <c r="J46" s="147">
        <v>0</v>
      </c>
      <c r="K46" s="147">
        <v>0</v>
      </c>
      <c r="L46" s="147">
        <v>0</v>
      </c>
      <c r="M46" s="147">
        <v>0</v>
      </c>
      <c r="N46" s="147">
        <v>0</v>
      </c>
      <c r="O46" s="147">
        <v>0</v>
      </c>
      <c r="P46" s="147">
        <v>0</v>
      </c>
      <c r="Q46" s="147">
        <v>0</v>
      </c>
      <c r="R46" s="147">
        <v>0</v>
      </c>
      <c r="S46" s="147">
        <v>0</v>
      </c>
      <c r="T46" s="147">
        <v>0</v>
      </c>
      <c r="U46" s="147">
        <v>0</v>
      </c>
      <c r="V46" s="147">
        <v>0</v>
      </c>
      <c r="W46" s="147">
        <v>0</v>
      </c>
      <c r="X46" s="147">
        <v>0</v>
      </c>
      <c r="Y46" s="147">
        <v>0</v>
      </c>
      <c r="Z46" s="147">
        <v>0</v>
      </c>
      <c r="AA46" s="147">
        <v>0</v>
      </c>
      <c r="AB46" s="147">
        <v>0</v>
      </c>
      <c r="AC46" s="147">
        <v>0</v>
      </c>
      <c r="AD46" s="147">
        <v>0</v>
      </c>
      <c r="AE46" s="147">
        <v>0</v>
      </c>
      <c r="AF46" s="147">
        <v>0</v>
      </c>
      <c r="AG46" s="147">
        <v>0</v>
      </c>
      <c r="AH46" s="147">
        <v>0</v>
      </c>
      <c r="AI46" s="147">
        <v>0</v>
      </c>
      <c r="AJ46" s="147">
        <v>0</v>
      </c>
      <c r="AK46" s="147">
        <v>0</v>
      </c>
      <c r="AL46" s="147">
        <v>0</v>
      </c>
      <c r="AM46" s="147">
        <v>0</v>
      </c>
      <c r="AN46" s="147">
        <v>0</v>
      </c>
      <c r="AO46" s="147">
        <v>0</v>
      </c>
      <c r="AP46" s="147">
        <v>0</v>
      </c>
      <c r="AQ46" s="147">
        <v>0</v>
      </c>
      <c r="AR46" s="147">
        <v>0</v>
      </c>
      <c r="AS46" s="147">
        <v>0</v>
      </c>
      <c r="AT46" s="147">
        <v>1.1827029414498329E-2</v>
      </c>
      <c r="AU46" s="147">
        <v>0</v>
      </c>
      <c r="AV46" s="147">
        <v>0</v>
      </c>
      <c r="AW46" s="147">
        <v>0</v>
      </c>
      <c r="AX46" s="147">
        <v>0</v>
      </c>
      <c r="AY46" s="147">
        <v>0</v>
      </c>
      <c r="AZ46" s="147">
        <v>0</v>
      </c>
      <c r="BA46" s="147">
        <v>0</v>
      </c>
      <c r="BB46" s="147">
        <v>0</v>
      </c>
    </row>
    <row r="47" spans="1:54" x14ac:dyDescent="0.15">
      <c r="A47" s="155" t="s">
        <v>237</v>
      </c>
      <c r="B47" s="147">
        <v>0</v>
      </c>
      <c r="C47" s="147">
        <v>0</v>
      </c>
      <c r="D47" s="147">
        <v>0</v>
      </c>
      <c r="E47" s="147">
        <v>0</v>
      </c>
      <c r="F47" s="147">
        <v>0</v>
      </c>
      <c r="G47" s="147">
        <v>0</v>
      </c>
      <c r="H47" s="147">
        <v>0</v>
      </c>
      <c r="I47" s="147">
        <v>0</v>
      </c>
      <c r="J47" s="147">
        <v>0</v>
      </c>
      <c r="K47" s="147">
        <v>0</v>
      </c>
      <c r="L47" s="147">
        <v>0</v>
      </c>
      <c r="M47" s="147">
        <v>0</v>
      </c>
      <c r="N47" s="147">
        <v>0</v>
      </c>
      <c r="O47" s="147">
        <v>0</v>
      </c>
      <c r="P47" s="147">
        <v>0</v>
      </c>
      <c r="Q47" s="147">
        <v>0</v>
      </c>
      <c r="R47" s="147">
        <v>0</v>
      </c>
      <c r="S47" s="147">
        <v>0</v>
      </c>
      <c r="T47" s="147">
        <v>0</v>
      </c>
      <c r="U47" s="147">
        <v>0</v>
      </c>
      <c r="V47" s="147">
        <v>0</v>
      </c>
      <c r="W47" s="147">
        <v>0</v>
      </c>
      <c r="X47" s="147">
        <v>0</v>
      </c>
      <c r="Y47" s="147">
        <v>0</v>
      </c>
      <c r="Z47" s="147">
        <v>0</v>
      </c>
      <c r="AA47" s="147">
        <v>0</v>
      </c>
      <c r="AB47" s="147">
        <v>0</v>
      </c>
      <c r="AC47" s="147">
        <v>0</v>
      </c>
      <c r="AD47" s="147">
        <v>0</v>
      </c>
      <c r="AE47" s="147">
        <v>0</v>
      </c>
      <c r="AF47" s="147">
        <v>0</v>
      </c>
      <c r="AG47" s="147">
        <v>0</v>
      </c>
      <c r="AH47" s="147">
        <v>0</v>
      </c>
      <c r="AI47" s="147">
        <v>0</v>
      </c>
      <c r="AJ47" s="147">
        <v>0</v>
      </c>
      <c r="AK47" s="147">
        <v>0</v>
      </c>
      <c r="AL47" s="147">
        <v>0</v>
      </c>
      <c r="AM47" s="147">
        <v>0</v>
      </c>
      <c r="AN47" s="147">
        <v>0</v>
      </c>
      <c r="AO47" s="147">
        <v>0</v>
      </c>
      <c r="AP47" s="147">
        <v>0</v>
      </c>
      <c r="AQ47" s="147">
        <v>0</v>
      </c>
      <c r="AR47" s="147">
        <v>0</v>
      </c>
      <c r="AS47" s="147">
        <v>0</v>
      </c>
      <c r="AT47" s="147">
        <v>0</v>
      </c>
      <c r="AU47" s="147">
        <v>0</v>
      </c>
      <c r="AV47" s="147">
        <v>0</v>
      </c>
      <c r="AW47" s="147">
        <v>0</v>
      </c>
      <c r="AX47" s="147">
        <v>0</v>
      </c>
      <c r="AY47" s="147">
        <v>0</v>
      </c>
      <c r="AZ47" s="147">
        <v>0</v>
      </c>
      <c r="BA47" s="147">
        <v>0</v>
      </c>
      <c r="BB47" s="147">
        <v>0</v>
      </c>
    </row>
    <row r="48" spans="1:54" x14ac:dyDescent="0.15">
      <c r="A48" s="155" t="s">
        <v>238</v>
      </c>
      <c r="B48" s="147">
        <v>0</v>
      </c>
      <c r="C48" s="147">
        <v>0</v>
      </c>
      <c r="D48" s="147">
        <v>0</v>
      </c>
      <c r="E48" s="147">
        <v>0</v>
      </c>
      <c r="F48" s="147">
        <v>0</v>
      </c>
      <c r="G48" s="147">
        <v>0</v>
      </c>
      <c r="H48" s="147">
        <v>0</v>
      </c>
      <c r="I48" s="147">
        <v>0</v>
      </c>
      <c r="J48" s="147">
        <v>0</v>
      </c>
      <c r="K48" s="147">
        <v>0</v>
      </c>
      <c r="L48" s="147">
        <v>0</v>
      </c>
      <c r="M48" s="147">
        <v>0</v>
      </c>
      <c r="N48" s="147">
        <v>0</v>
      </c>
      <c r="O48" s="147">
        <v>0</v>
      </c>
      <c r="P48" s="147">
        <v>0</v>
      </c>
      <c r="Q48" s="147">
        <v>1.9235543647006852E-2</v>
      </c>
      <c r="R48" s="147">
        <v>0</v>
      </c>
      <c r="S48" s="147">
        <v>0</v>
      </c>
      <c r="T48" s="147">
        <v>0</v>
      </c>
      <c r="U48" s="147">
        <v>0</v>
      </c>
      <c r="V48" s="147">
        <v>0</v>
      </c>
      <c r="W48" s="147">
        <v>3.3922000000000001E-2</v>
      </c>
      <c r="X48" s="147">
        <v>0</v>
      </c>
      <c r="Y48" s="147">
        <v>0</v>
      </c>
      <c r="Z48" s="147">
        <v>3.6650700894907032E-2</v>
      </c>
      <c r="AA48" s="147">
        <v>0</v>
      </c>
      <c r="AB48" s="147">
        <v>2.1216824437243872E-2</v>
      </c>
      <c r="AC48" s="147">
        <v>4.6210726006002149E-3</v>
      </c>
      <c r="AD48" s="147">
        <v>2.5351257694967291E-2</v>
      </c>
      <c r="AE48" s="147">
        <v>3.5918730489602514E-3</v>
      </c>
      <c r="AF48" s="147">
        <v>4.3288565238849226E-2</v>
      </c>
      <c r="AG48" s="147">
        <v>2.379410296168992E-2</v>
      </c>
      <c r="AH48" s="147">
        <v>8.8049675576643074E-3</v>
      </c>
      <c r="AI48" s="147">
        <v>1.7360931351214064E-2</v>
      </c>
      <c r="AJ48" s="147">
        <v>4.863573993534321E-2</v>
      </c>
      <c r="AK48" s="147">
        <v>0</v>
      </c>
      <c r="AL48" s="147">
        <v>4.8219334705098017E-3</v>
      </c>
      <c r="AM48" s="147">
        <v>0</v>
      </c>
      <c r="AN48" s="147">
        <v>0</v>
      </c>
      <c r="AO48" s="147">
        <v>0</v>
      </c>
      <c r="AP48" s="147">
        <v>0</v>
      </c>
      <c r="AQ48" s="147">
        <v>9.6775893045683587E-3</v>
      </c>
      <c r="AR48" s="147">
        <v>4.4617365608488413E-3</v>
      </c>
      <c r="AS48" s="147">
        <v>0</v>
      </c>
      <c r="AT48" s="147">
        <v>0.59033334299283191</v>
      </c>
      <c r="AU48" s="147">
        <v>0</v>
      </c>
      <c r="AV48" s="147">
        <v>2.0174161556630297E-2</v>
      </c>
      <c r="AW48" s="147">
        <v>0</v>
      </c>
      <c r="AX48" s="147">
        <v>0.64232148010499401</v>
      </c>
      <c r="AY48" s="147">
        <v>6.1781540872438666E-2</v>
      </c>
      <c r="AZ48" s="147">
        <v>0</v>
      </c>
      <c r="BA48" s="147">
        <v>0</v>
      </c>
      <c r="BB48" s="147">
        <v>0</v>
      </c>
    </row>
    <row r="49" spans="1:54" x14ac:dyDescent="0.15">
      <c r="A49" s="155" t="s">
        <v>239</v>
      </c>
      <c r="B49" s="147">
        <v>0</v>
      </c>
      <c r="C49" s="147">
        <v>0</v>
      </c>
      <c r="D49" s="147">
        <v>0</v>
      </c>
      <c r="E49" s="147">
        <v>0</v>
      </c>
      <c r="F49" s="147">
        <v>0</v>
      </c>
      <c r="G49" s="147">
        <v>0</v>
      </c>
      <c r="H49" s="147">
        <v>0</v>
      </c>
      <c r="I49" s="147">
        <v>0</v>
      </c>
      <c r="J49" s="147">
        <v>0</v>
      </c>
      <c r="K49" s="147">
        <v>0</v>
      </c>
      <c r="L49" s="147">
        <v>0</v>
      </c>
      <c r="M49" s="147">
        <v>0</v>
      </c>
      <c r="N49" s="147">
        <v>0</v>
      </c>
      <c r="O49" s="147">
        <v>0</v>
      </c>
      <c r="P49" s="147">
        <v>0</v>
      </c>
      <c r="Q49" s="147">
        <v>0</v>
      </c>
      <c r="R49" s="147">
        <v>0</v>
      </c>
      <c r="S49" s="147">
        <v>0</v>
      </c>
      <c r="T49" s="147">
        <v>0</v>
      </c>
      <c r="U49" s="147">
        <v>0</v>
      </c>
      <c r="V49" s="147">
        <v>0</v>
      </c>
      <c r="W49" s="147">
        <v>0</v>
      </c>
      <c r="X49" s="147">
        <v>0</v>
      </c>
      <c r="Y49" s="147">
        <v>0</v>
      </c>
      <c r="Z49" s="147">
        <v>0</v>
      </c>
      <c r="AA49" s="147">
        <v>0</v>
      </c>
      <c r="AB49" s="147">
        <v>0</v>
      </c>
      <c r="AC49" s="147">
        <v>0</v>
      </c>
      <c r="AD49" s="147">
        <v>0</v>
      </c>
      <c r="AE49" s="147">
        <v>0</v>
      </c>
      <c r="AF49" s="147">
        <v>0</v>
      </c>
      <c r="AG49" s="147">
        <v>0</v>
      </c>
      <c r="AH49" s="147">
        <v>0</v>
      </c>
      <c r="AI49" s="147">
        <v>0</v>
      </c>
      <c r="AJ49" s="147">
        <v>0</v>
      </c>
      <c r="AK49" s="147">
        <v>0</v>
      </c>
      <c r="AL49" s="147">
        <v>0</v>
      </c>
      <c r="AM49" s="147">
        <v>0</v>
      </c>
      <c r="AN49" s="147">
        <v>0</v>
      </c>
      <c r="AO49" s="147">
        <v>0</v>
      </c>
      <c r="AP49" s="147">
        <v>0</v>
      </c>
      <c r="AQ49" s="147">
        <v>0</v>
      </c>
      <c r="AR49" s="147">
        <v>0</v>
      </c>
      <c r="AS49" s="147">
        <v>0</v>
      </c>
      <c r="AT49" s="147">
        <v>1.1647511657221039E-3</v>
      </c>
      <c r="AU49" s="147">
        <v>0</v>
      </c>
      <c r="AV49" s="147">
        <v>0</v>
      </c>
      <c r="AW49" s="147">
        <v>0</v>
      </c>
      <c r="AX49" s="147">
        <v>0</v>
      </c>
      <c r="AY49" s="147">
        <v>0</v>
      </c>
      <c r="AZ49" s="147">
        <v>0</v>
      </c>
      <c r="BA49" s="147">
        <v>0</v>
      </c>
      <c r="BB49" s="147">
        <v>0</v>
      </c>
    </row>
    <row r="50" spans="1:54" x14ac:dyDescent="0.15">
      <c r="A50" s="155" t="s">
        <v>240</v>
      </c>
      <c r="B50" s="147">
        <v>0</v>
      </c>
      <c r="C50" s="147">
        <v>0</v>
      </c>
      <c r="D50" s="147">
        <v>0</v>
      </c>
      <c r="E50" s="147">
        <v>0</v>
      </c>
      <c r="F50" s="147">
        <v>0</v>
      </c>
      <c r="G50" s="147">
        <v>0</v>
      </c>
      <c r="H50" s="147">
        <v>0</v>
      </c>
      <c r="I50" s="147">
        <v>0</v>
      </c>
      <c r="J50" s="147">
        <v>0</v>
      </c>
      <c r="K50" s="147">
        <v>0</v>
      </c>
      <c r="L50" s="147">
        <v>0</v>
      </c>
      <c r="M50" s="147">
        <v>0</v>
      </c>
      <c r="N50" s="147">
        <v>0</v>
      </c>
      <c r="O50" s="147">
        <v>0</v>
      </c>
      <c r="P50" s="147">
        <v>0</v>
      </c>
      <c r="Q50" s="147">
        <v>0</v>
      </c>
      <c r="R50" s="147">
        <v>0</v>
      </c>
      <c r="S50" s="147">
        <v>0</v>
      </c>
      <c r="T50" s="147">
        <v>0</v>
      </c>
      <c r="U50" s="147">
        <v>0</v>
      </c>
      <c r="V50" s="147">
        <v>0</v>
      </c>
      <c r="W50" s="147">
        <v>0</v>
      </c>
      <c r="X50" s="147">
        <v>0</v>
      </c>
      <c r="Y50" s="147">
        <v>0</v>
      </c>
      <c r="Z50" s="147">
        <v>0</v>
      </c>
      <c r="AA50" s="147">
        <v>0</v>
      </c>
      <c r="AB50" s="147">
        <v>0</v>
      </c>
      <c r="AC50" s="147">
        <v>0</v>
      </c>
      <c r="AD50" s="147">
        <v>0</v>
      </c>
      <c r="AE50" s="147">
        <v>0</v>
      </c>
      <c r="AF50" s="147">
        <v>0</v>
      </c>
      <c r="AG50" s="147">
        <v>0</v>
      </c>
      <c r="AH50" s="147">
        <v>0</v>
      </c>
      <c r="AI50" s="147">
        <v>0</v>
      </c>
      <c r="AJ50" s="147">
        <v>0</v>
      </c>
      <c r="AK50" s="147">
        <v>0</v>
      </c>
      <c r="AL50" s="147">
        <v>0</v>
      </c>
      <c r="AM50" s="147">
        <v>0</v>
      </c>
      <c r="AN50" s="147">
        <v>0</v>
      </c>
      <c r="AO50" s="147">
        <v>0</v>
      </c>
      <c r="AP50" s="147">
        <v>0</v>
      </c>
      <c r="AQ50" s="147">
        <v>0</v>
      </c>
      <c r="AR50" s="147">
        <v>0</v>
      </c>
      <c r="AS50" s="147">
        <v>0</v>
      </c>
      <c r="AT50" s="147">
        <v>1.5142821532089379E-2</v>
      </c>
      <c r="AU50" s="147">
        <v>0</v>
      </c>
      <c r="AV50" s="147">
        <v>0</v>
      </c>
      <c r="AW50" s="147">
        <v>0</v>
      </c>
      <c r="AX50" s="147">
        <v>0</v>
      </c>
      <c r="AY50" s="147">
        <v>0</v>
      </c>
      <c r="AZ50" s="147">
        <v>0</v>
      </c>
      <c r="BA50" s="147">
        <v>0</v>
      </c>
      <c r="BB50" s="147">
        <v>0</v>
      </c>
    </row>
    <row r="51" spans="1:54" x14ac:dyDescent="0.15">
      <c r="A51" s="155" t="s">
        <v>241</v>
      </c>
      <c r="B51" s="147">
        <v>0</v>
      </c>
      <c r="C51" s="147">
        <v>0</v>
      </c>
      <c r="D51" s="147">
        <v>0</v>
      </c>
      <c r="E51" s="147">
        <v>0</v>
      </c>
      <c r="F51" s="147">
        <v>0</v>
      </c>
      <c r="G51" s="147">
        <v>0</v>
      </c>
      <c r="H51" s="147">
        <v>0</v>
      </c>
      <c r="I51" s="147">
        <v>0</v>
      </c>
      <c r="J51" s="147">
        <v>0</v>
      </c>
      <c r="K51" s="147">
        <v>0</v>
      </c>
      <c r="L51" s="147">
        <v>0</v>
      </c>
      <c r="M51" s="147">
        <v>0</v>
      </c>
      <c r="N51" s="147">
        <v>0</v>
      </c>
      <c r="O51" s="147">
        <v>0</v>
      </c>
      <c r="P51" s="147">
        <v>0</v>
      </c>
      <c r="Q51" s="147">
        <v>0</v>
      </c>
      <c r="R51" s="147">
        <v>0</v>
      </c>
      <c r="S51" s="147">
        <v>0</v>
      </c>
      <c r="T51" s="147">
        <v>0</v>
      </c>
      <c r="U51" s="147">
        <v>0</v>
      </c>
      <c r="V51" s="147">
        <v>0</v>
      </c>
      <c r="W51" s="147">
        <v>0</v>
      </c>
      <c r="X51" s="147">
        <v>0</v>
      </c>
      <c r="Y51" s="147">
        <v>0</v>
      </c>
      <c r="Z51" s="147">
        <v>0</v>
      </c>
      <c r="AA51" s="147">
        <v>0</v>
      </c>
      <c r="AB51" s="147">
        <v>0</v>
      </c>
      <c r="AC51" s="147">
        <v>0</v>
      </c>
      <c r="AD51" s="147">
        <v>0</v>
      </c>
      <c r="AE51" s="147">
        <v>0</v>
      </c>
      <c r="AF51" s="147">
        <v>0</v>
      </c>
      <c r="AG51" s="147">
        <v>0</v>
      </c>
      <c r="AH51" s="147">
        <v>0</v>
      </c>
      <c r="AI51" s="147">
        <v>0</v>
      </c>
      <c r="AJ51" s="147">
        <v>0</v>
      </c>
      <c r="AK51" s="147">
        <v>0</v>
      </c>
      <c r="AL51" s="147">
        <v>0</v>
      </c>
      <c r="AM51" s="147">
        <v>0</v>
      </c>
      <c r="AN51" s="147">
        <v>0</v>
      </c>
      <c r="AO51" s="147">
        <v>0</v>
      </c>
      <c r="AP51" s="147">
        <v>0</v>
      </c>
      <c r="AQ51" s="147">
        <v>0</v>
      </c>
      <c r="AR51" s="147">
        <v>0</v>
      </c>
      <c r="AS51" s="147">
        <v>0</v>
      </c>
      <c r="AT51" s="147">
        <v>2.9567573636324236E-3</v>
      </c>
      <c r="AU51" s="147">
        <v>0</v>
      </c>
      <c r="AV51" s="147">
        <v>0</v>
      </c>
      <c r="AW51" s="147">
        <v>0</v>
      </c>
      <c r="AX51" s="147">
        <v>0</v>
      </c>
      <c r="AY51" s="147">
        <v>0</v>
      </c>
      <c r="AZ51" s="147">
        <v>0</v>
      </c>
      <c r="BA51" s="147">
        <v>0</v>
      </c>
      <c r="BB51" s="147">
        <v>0</v>
      </c>
    </row>
    <row r="52" spans="1:54" x14ac:dyDescent="0.15">
      <c r="A52" s="155" t="s">
        <v>242</v>
      </c>
      <c r="B52" s="147">
        <v>0</v>
      </c>
      <c r="C52" s="147">
        <v>0</v>
      </c>
      <c r="D52" s="147">
        <v>0</v>
      </c>
      <c r="E52" s="147">
        <v>0</v>
      </c>
      <c r="F52" s="147">
        <v>0</v>
      </c>
      <c r="G52" s="147">
        <v>0</v>
      </c>
      <c r="H52" s="147">
        <v>0</v>
      </c>
      <c r="I52" s="147">
        <v>0</v>
      </c>
      <c r="J52" s="147">
        <v>0</v>
      </c>
      <c r="K52" s="147">
        <v>0</v>
      </c>
      <c r="L52" s="147">
        <v>0</v>
      </c>
      <c r="M52" s="147">
        <v>0</v>
      </c>
      <c r="N52" s="147">
        <v>0</v>
      </c>
      <c r="O52" s="147">
        <v>0</v>
      </c>
      <c r="P52" s="147">
        <v>0</v>
      </c>
      <c r="Q52" s="147">
        <v>0</v>
      </c>
      <c r="R52" s="147">
        <v>0</v>
      </c>
      <c r="S52" s="147">
        <v>0</v>
      </c>
      <c r="T52" s="147">
        <v>0</v>
      </c>
      <c r="U52" s="147">
        <v>0</v>
      </c>
      <c r="V52" s="147">
        <v>0</v>
      </c>
      <c r="W52" s="147">
        <v>0</v>
      </c>
      <c r="X52" s="147">
        <v>0</v>
      </c>
      <c r="Y52" s="147">
        <v>0</v>
      </c>
      <c r="Z52" s="147">
        <v>0</v>
      </c>
      <c r="AA52" s="147">
        <v>0</v>
      </c>
      <c r="AB52" s="147">
        <v>0</v>
      </c>
      <c r="AC52" s="147">
        <v>0</v>
      </c>
      <c r="AD52" s="147">
        <v>0</v>
      </c>
      <c r="AE52" s="147">
        <v>0</v>
      </c>
      <c r="AF52" s="147">
        <v>0</v>
      </c>
      <c r="AG52" s="147">
        <v>0</v>
      </c>
      <c r="AH52" s="147">
        <v>0</v>
      </c>
      <c r="AI52" s="147">
        <v>0</v>
      </c>
      <c r="AJ52" s="147">
        <v>0</v>
      </c>
      <c r="AK52" s="147">
        <v>0</v>
      </c>
      <c r="AL52" s="147">
        <v>0</v>
      </c>
      <c r="AM52" s="147">
        <v>0</v>
      </c>
      <c r="AN52" s="147">
        <v>0</v>
      </c>
      <c r="AO52" s="147">
        <v>0</v>
      </c>
      <c r="AP52" s="147">
        <v>0</v>
      </c>
      <c r="AQ52" s="147">
        <v>0</v>
      </c>
      <c r="AR52" s="147">
        <v>0</v>
      </c>
      <c r="AS52" s="147">
        <v>0</v>
      </c>
      <c r="AT52" s="147">
        <v>1.5839410629493018E-2</v>
      </c>
      <c r="AU52" s="147">
        <v>0</v>
      </c>
      <c r="AV52" s="147">
        <v>0</v>
      </c>
      <c r="AW52" s="147">
        <v>0.24591430557649216</v>
      </c>
      <c r="AX52" s="147">
        <v>0</v>
      </c>
      <c r="AY52" s="147">
        <v>0</v>
      </c>
      <c r="AZ52" s="147">
        <v>0</v>
      </c>
      <c r="BA52" s="147">
        <v>0</v>
      </c>
      <c r="BB52" s="147">
        <v>0</v>
      </c>
    </row>
    <row r="53" spans="1:54" x14ac:dyDescent="0.15">
      <c r="A53" s="155" t="s">
        <v>243</v>
      </c>
      <c r="B53" s="147">
        <v>0</v>
      </c>
      <c r="C53" s="147">
        <v>0</v>
      </c>
      <c r="D53" s="147">
        <v>6.9903930096069891E-2</v>
      </c>
      <c r="E53" s="147">
        <v>0</v>
      </c>
      <c r="F53" s="147">
        <v>1</v>
      </c>
      <c r="G53" s="147">
        <v>0.35</v>
      </c>
      <c r="H53" s="147">
        <v>0.52500000000000002</v>
      </c>
      <c r="I53" s="147">
        <v>0</v>
      </c>
      <c r="J53" s="147">
        <v>0.73307173307173301</v>
      </c>
      <c r="K53" s="147">
        <v>0.5</v>
      </c>
      <c r="L53" s="147">
        <v>0.5</v>
      </c>
      <c r="M53" s="147">
        <v>0.76588226408012194</v>
      </c>
      <c r="N53" s="147">
        <v>0.63216300000000003</v>
      </c>
      <c r="O53" s="147">
        <v>0</v>
      </c>
      <c r="P53" s="147">
        <v>0</v>
      </c>
      <c r="Q53" s="147">
        <v>0</v>
      </c>
      <c r="R53" s="147">
        <v>0</v>
      </c>
      <c r="S53" s="147">
        <v>0</v>
      </c>
      <c r="T53" s="147">
        <v>0</v>
      </c>
      <c r="U53" s="147">
        <v>0</v>
      </c>
      <c r="V53" s="147">
        <v>0</v>
      </c>
      <c r="W53" s="147">
        <v>0</v>
      </c>
      <c r="X53" s="147">
        <v>0</v>
      </c>
      <c r="Y53" s="147">
        <v>0</v>
      </c>
      <c r="Z53" s="147">
        <v>0</v>
      </c>
      <c r="AA53" s="147">
        <v>0</v>
      </c>
      <c r="AB53" s="147">
        <v>0</v>
      </c>
      <c r="AC53" s="147">
        <v>0</v>
      </c>
      <c r="AD53" s="147">
        <v>0</v>
      </c>
      <c r="AE53" s="147">
        <v>0</v>
      </c>
      <c r="AF53" s="147">
        <v>0</v>
      </c>
      <c r="AG53" s="147">
        <v>0</v>
      </c>
      <c r="AH53" s="147">
        <v>0</v>
      </c>
      <c r="AI53" s="147">
        <v>0</v>
      </c>
      <c r="AJ53" s="147">
        <v>0</v>
      </c>
      <c r="AK53" s="147">
        <v>0</v>
      </c>
      <c r="AL53" s="147">
        <v>0</v>
      </c>
      <c r="AM53" s="147">
        <v>0</v>
      </c>
      <c r="AN53" s="147">
        <v>0</v>
      </c>
      <c r="AO53" s="147">
        <v>0</v>
      </c>
      <c r="AP53" s="147">
        <v>0</v>
      </c>
      <c r="AQ53" s="147">
        <v>0</v>
      </c>
      <c r="AR53" s="147">
        <v>0</v>
      </c>
      <c r="AS53" s="147">
        <v>0</v>
      </c>
      <c r="AT53" s="147">
        <v>0</v>
      </c>
      <c r="AU53" s="147">
        <v>0</v>
      </c>
      <c r="AV53" s="147">
        <v>0</v>
      </c>
      <c r="AW53" s="147">
        <v>0</v>
      </c>
      <c r="AX53" s="147">
        <v>0</v>
      </c>
      <c r="AY53" s="147">
        <v>0</v>
      </c>
      <c r="AZ53" s="147">
        <v>0</v>
      </c>
      <c r="BA53" s="147">
        <v>0</v>
      </c>
      <c r="BB53" s="147">
        <v>0</v>
      </c>
    </row>
    <row r="54" spans="1:54" x14ac:dyDescent="0.15">
      <c r="A54" s="155" t="s">
        <v>244</v>
      </c>
      <c r="B54" s="147">
        <v>0</v>
      </c>
      <c r="C54" s="147">
        <v>0</v>
      </c>
      <c r="D54" s="147">
        <v>0</v>
      </c>
      <c r="E54" s="147">
        <v>0</v>
      </c>
      <c r="F54" s="147">
        <v>0</v>
      </c>
      <c r="G54" s="147">
        <v>0</v>
      </c>
      <c r="H54" s="147">
        <v>0</v>
      </c>
      <c r="I54" s="147">
        <v>0</v>
      </c>
      <c r="J54" s="147">
        <v>0</v>
      </c>
      <c r="K54" s="147">
        <v>0</v>
      </c>
      <c r="L54" s="147">
        <v>0</v>
      </c>
      <c r="M54" s="147">
        <v>0</v>
      </c>
      <c r="N54" s="147">
        <v>0</v>
      </c>
      <c r="O54" s="147">
        <v>0</v>
      </c>
      <c r="P54" s="147">
        <v>0</v>
      </c>
      <c r="Q54" s="147">
        <v>0</v>
      </c>
      <c r="R54" s="147">
        <v>0</v>
      </c>
      <c r="S54" s="147">
        <v>0</v>
      </c>
      <c r="T54" s="147">
        <v>0</v>
      </c>
      <c r="U54" s="147">
        <v>0</v>
      </c>
      <c r="V54" s="147">
        <v>0</v>
      </c>
      <c r="W54" s="147">
        <v>0</v>
      </c>
      <c r="X54" s="147">
        <v>0</v>
      </c>
      <c r="Y54" s="147">
        <v>0</v>
      </c>
      <c r="Z54" s="147">
        <v>0</v>
      </c>
      <c r="AA54" s="147">
        <v>0</v>
      </c>
      <c r="AB54" s="147">
        <v>0</v>
      </c>
      <c r="AC54" s="147">
        <v>0</v>
      </c>
      <c r="AD54" s="147">
        <v>0</v>
      </c>
      <c r="AE54" s="147">
        <v>0</v>
      </c>
      <c r="AF54" s="147">
        <v>0</v>
      </c>
      <c r="AG54" s="147">
        <v>0</v>
      </c>
      <c r="AH54" s="147">
        <v>0</v>
      </c>
      <c r="AI54" s="147">
        <v>0</v>
      </c>
      <c r="AJ54" s="147">
        <v>0</v>
      </c>
      <c r="AK54" s="147">
        <v>0</v>
      </c>
      <c r="AL54" s="147">
        <v>0</v>
      </c>
      <c r="AM54" s="147">
        <v>0</v>
      </c>
      <c r="AN54" s="147">
        <v>0</v>
      </c>
      <c r="AO54" s="147">
        <v>0</v>
      </c>
      <c r="AP54" s="147">
        <v>0</v>
      </c>
      <c r="AQ54" s="147">
        <v>0</v>
      </c>
      <c r="AR54" s="147">
        <v>0</v>
      </c>
      <c r="AS54" s="147">
        <v>0</v>
      </c>
      <c r="AT54" s="147">
        <v>0</v>
      </c>
      <c r="AU54" s="147">
        <v>0</v>
      </c>
      <c r="AV54" s="147">
        <v>0</v>
      </c>
      <c r="AW54" s="147">
        <v>0</v>
      </c>
      <c r="AX54" s="147">
        <v>0</v>
      </c>
      <c r="AY54" s="147">
        <v>0</v>
      </c>
      <c r="AZ54" s="147">
        <v>0</v>
      </c>
      <c r="BA54" s="147">
        <v>0</v>
      </c>
      <c r="BB54" s="147">
        <v>0</v>
      </c>
    </row>
    <row r="55" spans="1:54" x14ac:dyDescent="0.15">
      <c r="A55" s="155" t="s">
        <v>254</v>
      </c>
      <c r="B55" s="147">
        <v>0</v>
      </c>
      <c r="C55" s="147">
        <v>0</v>
      </c>
      <c r="D55" s="147">
        <v>0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147">
        <v>0</v>
      </c>
      <c r="W55" s="147">
        <v>0</v>
      </c>
      <c r="X55" s="147">
        <v>0</v>
      </c>
      <c r="Y55" s="147">
        <v>0</v>
      </c>
      <c r="Z55" s="147">
        <v>0</v>
      </c>
      <c r="AA55" s="147">
        <v>0</v>
      </c>
      <c r="AB55" s="147">
        <v>0</v>
      </c>
      <c r="AC55" s="147">
        <v>0</v>
      </c>
      <c r="AD55" s="147">
        <v>0</v>
      </c>
      <c r="AE55" s="147">
        <v>0</v>
      </c>
      <c r="AF55" s="147">
        <v>0</v>
      </c>
      <c r="AG55" s="147">
        <v>0</v>
      </c>
      <c r="AH55" s="147">
        <v>0</v>
      </c>
      <c r="AI55" s="147">
        <v>0</v>
      </c>
      <c r="AJ55" s="147">
        <v>0</v>
      </c>
      <c r="AK55" s="147">
        <v>0</v>
      </c>
      <c r="AL55" s="147">
        <v>0</v>
      </c>
      <c r="AM55" s="147">
        <v>0</v>
      </c>
      <c r="AN55" s="147">
        <v>0</v>
      </c>
      <c r="AO55" s="147">
        <v>0</v>
      </c>
      <c r="AP55" s="147">
        <v>0</v>
      </c>
      <c r="AQ55" s="147">
        <v>0</v>
      </c>
      <c r="AR55" s="147">
        <v>0</v>
      </c>
      <c r="AS55" s="147">
        <v>0</v>
      </c>
      <c r="AT55" s="147">
        <v>0</v>
      </c>
      <c r="AU55" s="147">
        <v>0.7</v>
      </c>
      <c r="AV55" s="147">
        <v>0</v>
      </c>
      <c r="AW55" s="147">
        <v>6.226013769902658E-2</v>
      </c>
      <c r="AX55" s="147">
        <v>0</v>
      </c>
      <c r="AY55" s="147">
        <v>0</v>
      </c>
      <c r="AZ55" s="147">
        <v>0</v>
      </c>
      <c r="BA55" s="147">
        <v>0</v>
      </c>
      <c r="BB55" s="147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42" activePane="bottomRight" state="frozen"/>
      <selection pane="topRight" activeCell="C1" sqref="C1"/>
      <selection pane="bottomLeft" activeCell="A2" sqref="A2"/>
      <selection pane="bottomRight" activeCell="B65" sqref="B65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1.33203125" style="114" customWidth="1"/>
    <col min="5" max="6" width="11.33203125" style="113" customWidth="1"/>
    <col min="7" max="7" width="11.33203125" style="114" customWidth="1"/>
    <col min="8" max="8" width="8.83203125" style="114"/>
  </cols>
  <sheetData>
    <row r="1" spans="1:8" ht="70" x14ac:dyDescent="0.15">
      <c r="A1" s="5" t="s">
        <v>20</v>
      </c>
      <c r="B1" s="1" t="s">
        <v>0</v>
      </c>
      <c r="C1" s="158" t="s">
        <v>242</v>
      </c>
      <c r="D1" s="158" t="s">
        <v>243</v>
      </c>
      <c r="E1" s="158" t="s">
        <v>244</v>
      </c>
      <c r="F1" s="158" t="s">
        <v>255</v>
      </c>
      <c r="G1" s="158" t="s">
        <v>256</v>
      </c>
      <c r="H1"/>
    </row>
    <row r="2" spans="1:8" x14ac:dyDescent="0.15">
      <c r="A2">
        <v>1</v>
      </c>
      <c r="B2" s="157" t="s">
        <v>192</v>
      </c>
      <c r="C2" s="114">
        <v>0</v>
      </c>
      <c r="D2" s="114">
        <v>1</v>
      </c>
      <c r="E2" s="113">
        <v>0</v>
      </c>
      <c r="F2" s="113">
        <v>0</v>
      </c>
      <c r="G2" s="114">
        <f>SUM(C2:F2)</f>
        <v>1</v>
      </c>
      <c r="H2"/>
    </row>
    <row r="3" spans="1:8" x14ac:dyDescent="0.15">
      <c r="A3">
        <v>2</v>
      </c>
      <c r="B3" s="157" t="s">
        <v>193</v>
      </c>
      <c r="C3" s="114">
        <v>0</v>
      </c>
      <c r="D3" s="114">
        <v>1</v>
      </c>
      <c r="E3" s="113">
        <v>0</v>
      </c>
      <c r="F3" s="113">
        <v>0</v>
      </c>
      <c r="G3" s="114">
        <f t="shared" ref="G3:G63" si="0">SUM(C3:F3)</f>
        <v>1</v>
      </c>
      <c r="H3"/>
    </row>
    <row r="4" spans="1:8" x14ac:dyDescent="0.15">
      <c r="A4">
        <v>3</v>
      </c>
      <c r="B4" s="157" t="s">
        <v>194</v>
      </c>
      <c r="C4" s="114">
        <v>0</v>
      </c>
      <c r="D4" s="114">
        <v>1</v>
      </c>
      <c r="E4" s="113">
        <v>0</v>
      </c>
      <c r="F4" s="113">
        <v>0</v>
      </c>
      <c r="G4" s="114">
        <f t="shared" si="0"/>
        <v>1</v>
      </c>
      <c r="H4"/>
    </row>
    <row r="5" spans="1:8" x14ac:dyDescent="0.15">
      <c r="A5">
        <v>4</v>
      </c>
      <c r="B5" s="157" t="s">
        <v>195</v>
      </c>
      <c r="C5" s="114">
        <v>0</v>
      </c>
      <c r="D5" s="114">
        <v>1</v>
      </c>
      <c r="E5" s="113">
        <v>0</v>
      </c>
      <c r="F5" s="113">
        <v>0</v>
      </c>
      <c r="G5" s="114">
        <f t="shared" si="0"/>
        <v>1</v>
      </c>
      <c r="H5"/>
    </row>
    <row r="6" spans="1:8" x14ac:dyDescent="0.15">
      <c r="A6">
        <v>5</v>
      </c>
      <c r="B6" s="157" t="s">
        <v>196</v>
      </c>
      <c r="C6" s="114">
        <v>0</v>
      </c>
      <c r="D6" s="114">
        <v>1</v>
      </c>
      <c r="E6" s="113">
        <v>0</v>
      </c>
      <c r="F6" s="113">
        <v>0</v>
      </c>
      <c r="G6" s="114">
        <f t="shared" si="0"/>
        <v>1</v>
      </c>
      <c r="H6"/>
    </row>
    <row r="7" spans="1:8" x14ac:dyDescent="0.15">
      <c r="A7">
        <v>6</v>
      </c>
      <c r="B7" s="157" t="s">
        <v>197</v>
      </c>
      <c r="C7" s="114">
        <v>0</v>
      </c>
      <c r="D7" s="114">
        <v>1</v>
      </c>
      <c r="E7" s="113">
        <v>0</v>
      </c>
      <c r="F7" s="113">
        <v>0</v>
      </c>
      <c r="G7" s="114">
        <f t="shared" si="0"/>
        <v>1</v>
      </c>
      <c r="H7"/>
    </row>
    <row r="8" spans="1:8" x14ac:dyDescent="0.15">
      <c r="A8">
        <v>7</v>
      </c>
      <c r="B8" s="157" t="s">
        <v>198</v>
      </c>
      <c r="C8" s="114">
        <v>0</v>
      </c>
      <c r="D8" s="114">
        <v>1</v>
      </c>
      <c r="E8" s="113">
        <v>0</v>
      </c>
      <c r="F8" s="113">
        <v>0</v>
      </c>
      <c r="G8" s="114">
        <f t="shared" si="0"/>
        <v>1</v>
      </c>
      <c r="H8"/>
    </row>
    <row r="9" spans="1:8" x14ac:dyDescent="0.15">
      <c r="A9">
        <v>8</v>
      </c>
      <c r="B9" s="157" t="s">
        <v>199</v>
      </c>
      <c r="C9" s="114">
        <v>0</v>
      </c>
      <c r="D9" s="114">
        <v>1</v>
      </c>
      <c r="E9" s="113">
        <v>0</v>
      </c>
      <c r="F9" s="113">
        <v>0</v>
      </c>
      <c r="G9" s="114">
        <f t="shared" si="0"/>
        <v>1</v>
      </c>
      <c r="H9"/>
    </row>
    <row r="10" spans="1:8" x14ac:dyDescent="0.15">
      <c r="A10">
        <v>9</v>
      </c>
      <c r="B10" s="157" t="s">
        <v>200</v>
      </c>
      <c r="C10" s="114">
        <v>0</v>
      </c>
      <c r="D10" s="114">
        <v>1</v>
      </c>
      <c r="E10" s="113">
        <v>0</v>
      </c>
      <c r="F10" s="113">
        <v>0</v>
      </c>
      <c r="G10" s="114">
        <f t="shared" si="0"/>
        <v>1</v>
      </c>
      <c r="H10"/>
    </row>
    <row r="11" spans="1:8" x14ac:dyDescent="0.15">
      <c r="A11">
        <v>10</v>
      </c>
      <c r="B11" s="157" t="s">
        <v>201</v>
      </c>
      <c r="C11" s="114">
        <v>0</v>
      </c>
      <c r="D11" s="114">
        <v>1</v>
      </c>
      <c r="E11" s="113">
        <v>0</v>
      </c>
      <c r="F11" s="113">
        <v>0</v>
      </c>
      <c r="G11" s="114">
        <f t="shared" si="0"/>
        <v>1</v>
      </c>
      <c r="H11"/>
    </row>
    <row r="12" spans="1:8" x14ac:dyDescent="0.15">
      <c r="A12">
        <v>11</v>
      </c>
      <c r="B12" s="157" t="s">
        <v>202</v>
      </c>
      <c r="C12" s="114">
        <v>0</v>
      </c>
      <c r="D12" s="114">
        <v>1</v>
      </c>
      <c r="E12" s="113">
        <v>0</v>
      </c>
      <c r="F12" s="113">
        <v>0</v>
      </c>
      <c r="G12" s="114">
        <f t="shared" si="0"/>
        <v>1</v>
      </c>
      <c r="H12"/>
    </row>
    <row r="13" spans="1:8" x14ac:dyDescent="0.15">
      <c r="A13">
        <v>12</v>
      </c>
      <c r="B13" s="157" t="s">
        <v>203</v>
      </c>
      <c r="C13" s="114">
        <v>0</v>
      </c>
      <c r="D13" s="114">
        <v>1</v>
      </c>
      <c r="E13" s="113">
        <v>0</v>
      </c>
      <c r="F13" s="113">
        <v>0</v>
      </c>
      <c r="G13" s="114">
        <f t="shared" si="0"/>
        <v>1</v>
      </c>
      <c r="H13"/>
    </row>
    <row r="14" spans="1:8" x14ac:dyDescent="0.15">
      <c r="A14">
        <v>13</v>
      </c>
      <c r="B14" s="157" t="s">
        <v>204</v>
      </c>
      <c r="C14" s="114">
        <v>0</v>
      </c>
      <c r="D14" s="114">
        <v>1</v>
      </c>
      <c r="E14" s="113">
        <v>0</v>
      </c>
      <c r="F14" s="113">
        <v>0</v>
      </c>
      <c r="G14" s="114">
        <f t="shared" si="0"/>
        <v>1</v>
      </c>
      <c r="H14"/>
    </row>
    <row r="15" spans="1:8" x14ac:dyDescent="0.15">
      <c r="A15">
        <v>14</v>
      </c>
      <c r="B15" s="157" t="s">
        <v>205</v>
      </c>
      <c r="C15" s="114">
        <v>0</v>
      </c>
      <c r="D15" s="114">
        <v>1</v>
      </c>
      <c r="E15" s="113">
        <v>0</v>
      </c>
      <c r="F15" s="113">
        <v>0</v>
      </c>
      <c r="G15" s="114">
        <f t="shared" si="0"/>
        <v>1</v>
      </c>
      <c r="H15"/>
    </row>
    <row r="16" spans="1:8" x14ac:dyDescent="0.15">
      <c r="A16">
        <v>15</v>
      </c>
      <c r="B16" s="157" t="s">
        <v>206</v>
      </c>
      <c r="C16" s="114">
        <v>0</v>
      </c>
      <c r="D16" s="114">
        <v>1</v>
      </c>
      <c r="E16" s="113">
        <v>0</v>
      </c>
      <c r="F16" s="113">
        <v>0</v>
      </c>
      <c r="G16" s="114">
        <f t="shared" si="0"/>
        <v>1</v>
      </c>
      <c r="H16"/>
    </row>
    <row r="17" spans="1:8" ht="15" customHeight="1" x14ac:dyDescent="0.15">
      <c r="A17">
        <v>16</v>
      </c>
      <c r="B17" s="157" t="s">
        <v>207</v>
      </c>
      <c r="C17" s="114">
        <v>0</v>
      </c>
      <c r="D17" s="114">
        <v>1</v>
      </c>
      <c r="E17" s="113">
        <v>0</v>
      </c>
      <c r="F17" s="113">
        <v>0</v>
      </c>
      <c r="G17" s="114">
        <f t="shared" si="0"/>
        <v>1</v>
      </c>
      <c r="H17"/>
    </row>
    <row r="18" spans="1:8" ht="15" customHeight="1" x14ac:dyDescent="0.15">
      <c r="A18">
        <v>17</v>
      </c>
      <c r="B18" s="157" t="s">
        <v>208</v>
      </c>
      <c r="C18" s="114">
        <v>0</v>
      </c>
      <c r="D18" s="114">
        <v>1</v>
      </c>
      <c r="E18" s="113">
        <v>0</v>
      </c>
      <c r="F18" s="113">
        <v>0</v>
      </c>
      <c r="G18" s="114">
        <f t="shared" si="0"/>
        <v>1</v>
      </c>
      <c r="H18"/>
    </row>
    <row r="19" spans="1:8" ht="15" customHeight="1" x14ac:dyDescent="0.15">
      <c r="A19">
        <v>18</v>
      </c>
      <c r="B19" s="157" t="s">
        <v>209</v>
      </c>
      <c r="C19" s="114">
        <v>0</v>
      </c>
      <c r="D19" s="114">
        <v>1</v>
      </c>
      <c r="E19" s="113">
        <v>0</v>
      </c>
      <c r="F19" s="113">
        <v>0</v>
      </c>
      <c r="G19" s="114">
        <f t="shared" si="0"/>
        <v>1</v>
      </c>
      <c r="H19"/>
    </row>
    <row r="20" spans="1:8" ht="15" customHeight="1" x14ac:dyDescent="0.15">
      <c r="A20">
        <v>19</v>
      </c>
      <c r="B20" s="157" t="s">
        <v>210</v>
      </c>
      <c r="C20" s="114">
        <v>0</v>
      </c>
      <c r="D20" s="114">
        <v>1</v>
      </c>
      <c r="E20" s="113">
        <v>0</v>
      </c>
      <c r="F20" s="113">
        <v>0</v>
      </c>
      <c r="G20" s="114">
        <f t="shared" si="0"/>
        <v>1</v>
      </c>
      <c r="H20"/>
    </row>
    <row r="21" spans="1:8" ht="15" customHeight="1" x14ac:dyDescent="0.15">
      <c r="A21">
        <v>20</v>
      </c>
      <c r="B21" s="157" t="s">
        <v>211</v>
      </c>
      <c r="C21" s="114">
        <v>0</v>
      </c>
      <c r="D21" s="114">
        <v>1</v>
      </c>
      <c r="E21" s="113">
        <v>0</v>
      </c>
      <c r="F21" s="113">
        <v>0</v>
      </c>
      <c r="G21" s="114">
        <f t="shared" si="0"/>
        <v>1</v>
      </c>
      <c r="H21"/>
    </row>
    <row r="22" spans="1:8" ht="15" customHeight="1" x14ac:dyDescent="0.15">
      <c r="A22">
        <v>21</v>
      </c>
      <c r="B22" s="157" t="s">
        <v>212</v>
      </c>
      <c r="C22" s="114">
        <v>0</v>
      </c>
      <c r="D22" s="114">
        <v>1</v>
      </c>
      <c r="E22" s="113">
        <v>0</v>
      </c>
      <c r="F22" s="113">
        <v>0</v>
      </c>
      <c r="G22" s="114">
        <f t="shared" si="0"/>
        <v>1</v>
      </c>
      <c r="H22"/>
    </row>
    <row r="23" spans="1:8" ht="15" customHeight="1" x14ac:dyDescent="0.15">
      <c r="A23">
        <v>22</v>
      </c>
      <c r="B23" s="157" t="s">
        <v>213</v>
      </c>
      <c r="C23" s="114">
        <v>0</v>
      </c>
      <c r="D23" s="114">
        <v>1</v>
      </c>
      <c r="E23" s="113">
        <v>0</v>
      </c>
      <c r="F23" s="113">
        <v>0</v>
      </c>
      <c r="G23" s="114">
        <f t="shared" si="0"/>
        <v>1</v>
      </c>
      <c r="H23"/>
    </row>
    <row r="24" spans="1:8" ht="15" customHeight="1" x14ac:dyDescent="0.15">
      <c r="A24">
        <v>23</v>
      </c>
      <c r="B24" s="157" t="s">
        <v>214</v>
      </c>
      <c r="C24" s="114">
        <v>0</v>
      </c>
      <c r="D24" s="114">
        <v>1</v>
      </c>
      <c r="E24" s="113">
        <v>0</v>
      </c>
      <c r="F24" s="113">
        <v>0</v>
      </c>
      <c r="G24" s="114">
        <f t="shared" si="0"/>
        <v>1</v>
      </c>
      <c r="H24"/>
    </row>
    <row r="25" spans="1:8" ht="15" customHeight="1" x14ac:dyDescent="0.15">
      <c r="A25">
        <v>24</v>
      </c>
      <c r="B25" s="157" t="s">
        <v>215</v>
      </c>
      <c r="C25" s="114">
        <v>0</v>
      </c>
      <c r="D25" s="114">
        <v>1</v>
      </c>
      <c r="E25" s="113">
        <v>0</v>
      </c>
      <c r="F25" s="113">
        <v>0</v>
      </c>
      <c r="G25" s="114">
        <f t="shared" si="0"/>
        <v>1</v>
      </c>
      <c r="H25"/>
    </row>
    <row r="26" spans="1:8" ht="15" customHeight="1" x14ac:dyDescent="0.15">
      <c r="A26">
        <v>25</v>
      </c>
      <c r="B26" s="157" t="s">
        <v>216</v>
      </c>
      <c r="C26" s="114">
        <v>0</v>
      </c>
      <c r="D26" s="114">
        <v>1</v>
      </c>
      <c r="E26" s="113">
        <v>0</v>
      </c>
      <c r="F26" s="113">
        <v>0</v>
      </c>
      <c r="G26" s="114">
        <f t="shared" si="0"/>
        <v>1</v>
      </c>
      <c r="H26"/>
    </row>
    <row r="27" spans="1:8" ht="15" customHeight="1" x14ac:dyDescent="0.15">
      <c r="A27">
        <v>26</v>
      </c>
      <c r="B27" s="157" t="s">
        <v>217</v>
      </c>
      <c r="C27" s="114">
        <v>0</v>
      </c>
      <c r="D27" s="114">
        <v>1</v>
      </c>
      <c r="E27" s="113">
        <v>0</v>
      </c>
      <c r="F27" s="113">
        <v>0</v>
      </c>
      <c r="G27" s="114">
        <f t="shared" si="0"/>
        <v>1</v>
      </c>
      <c r="H27"/>
    </row>
    <row r="28" spans="1:8" ht="15" customHeight="1" x14ac:dyDescent="0.15">
      <c r="A28">
        <v>27</v>
      </c>
      <c r="B28" s="157" t="s">
        <v>218</v>
      </c>
      <c r="C28" s="114">
        <v>0</v>
      </c>
      <c r="D28" s="114">
        <v>1</v>
      </c>
      <c r="E28" s="113">
        <v>0</v>
      </c>
      <c r="F28" s="113">
        <v>0</v>
      </c>
      <c r="G28" s="114">
        <f t="shared" si="0"/>
        <v>1</v>
      </c>
      <c r="H28"/>
    </row>
    <row r="29" spans="1:8" ht="15" customHeight="1" x14ac:dyDescent="0.15">
      <c r="A29">
        <v>28</v>
      </c>
      <c r="B29" s="157" t="s">
        <v>219</v>
      </c>
      <c r="C29" s="114">
        <v>0</v>
      </c>
      <c r="D29" s="114">
        <v>1</v>
      </c>
      <c r="E29" s="113">
        <v>0</v>
      </c>
      <c r="F29" s="113">
        <v>0</v>
      </c>
      <c r="G29" s="114">
        <f t="shared" si="0"/>
        <v>1</v>
      </c>
      <c r="H29"/>
    </row>
    <row r="30" spans="1:8" ht="15" customHeight="1" x14ac:dyDescent="0.15">
      <c r="A30">
        <v>29</v>
      </c>
      <c r="B30" s="157" t="s">
        <v>220</v>
      </c>
      <c r="C30" s="114">
        <v>0</v>
      </c>
      <c r="D30" s="114">
        <v>1</v>
      </c>
      <c r="E30" s="113">
        <v>0</v>
      </c>
      <c r="F30" s="113">
        <v>0</v>
      </c>
      <c r="G30" s="114">
        <f t="shared" si="0"/>
        <v>1</v>
      </c>
      <c r="H30"/>
    </row>
    <row r="31" spans="1:8" ht="15" customHeight="1" x14ac:dyDescent="0.15">
      <c r="A31">
        <v>30</v>
      </c>
      <c r="B31" s="157" t="s">
        <v>221</v>
      </c>
      <c r="C31" s="114">
        <v>0</v>
      </c>
      <c r="D31" s="114">
        <v>1</v>
      </c>
      <c r="E31" s="113">
        <v>0</v>
      </c>
      <c r="F31" s="113">
        <v>0</v>
      </c>
      <c r="G31" s="114">
        <f t="shared" si="0"/>
        <v>1</v>
      </c>
      <c r="H31"/>
    </row>
    <row r="32" spans="1:8" ht="15" customHeight="1" x14ac:dyDescent="0.15">
      <c r="A32">
        <v>31</v>
      </c>
      <c r="B32" s="157" t="s">
        <v>222</v>
      </c>
      <c r="C32" s="114">
        <v>0</v>
      </c>
      <c r="D32" s="114">
        <v>1</v>
      </c>
      <c r="E32" s="113">
        <v>0</v>
      </c>
      <c r="F32" s="113">
        <v>0</v>
      </c>
      <c r="G32" s="114">
        <f t="shared" si="0"/>
        <v>1</v>
      </c>
    </row>
    <row r="33" spans="1:8" ht="15" customHeight="1" x14ac:dyDescent="0.15">
      <c r="A33">
        <v>32</v>
      </c>
      <c r="B33" s="157" t="s">
        <v>223</v>
      </c>
      <c r="C33" s="114">
        <v>0</v>
      </c>
      <c r="D33" s="114">
        <v>1</v>
      </c>
      <c r="E33" s="113">
        <v>0</v>
      </c>
      <c r="F33" s="113">
        <v>0</v>
      </c>
      <c r="G33" s="114">
        <f t="shared" si="0"/>
        <v>1</v>
      </c>
    </row>
    <row r="34" spans="1:8" ht="15" customHeight="1" x14ac:dyDescent="0.15">
      <c r="A34">
        <v>33</v>
      </c>
      <c r="B34" s="157" t="s">
        <v>224</v>
      </c>
      <c r="C34" s="114">
        <v>0</v>
      </c>
      <c r="D34" s="114">
        <v>1</v>
      </c>
      <c r="E34" s="113">
        <v>0</v>
      </c>
      <c r="F34" s="113">
        <v>0</v>
      </c>
      <c r="G34" s="114">
        <f t="shared" si="0"/>
        <v>1</v>
      </c>
    </row>
    <row r="35" spans="1:8" ht="15" customHeight="1" x14ac:dyDescent="0.15">
      <c r="A35">
        <v>34</v>
      </c>
      <c r="B35" s="157" t="s">
        <v>225</v>
      </c>
      <c r="C35" s="114">
        <v>0</v>
      </c>
      <c r="D35" s="114">
        <v>1</v>
      </c>
      <c r="E35" s="113">
        <v>0</v>
      </c>
      <c r="F35" s="113">
        <v>0</v>
      </c>
      <c r="G35" s="114">
        <f t="shared" si="0"/>
        <v>1</v>
      </c>
    </row>
    <row r="36" spans="1:8" ht="15" customHeight="1" x14ac:dyDescent="0.15">
      <c r="A36">
        <v>35</v>
      </c>
      <c r="B36" s="157" t="s">
        <v>226</v>
      </c>
      <c r="C36" s="114">
        <v>0</v>
      </c>
      <c r="D36" s="114">
        <v>1</v>
      </c>
      <c r="E36" s="114">
        <v>0</v>
      </c>
      <c r="F36" s="114">
        <v>0</v>
      </c>
      <c r="G36" s="114">
        <f t="shared" si="0"/>
        <v>1</v>
      </c>
      <c r="H36"/>
    </row>
    <row r="37" spans="1:8" ht="15" customHeight="1" x14ac:dyDescent="0.15">
      <c r="A37">
        <v>36</v>
      </c>
      <c r="B37" s="157" t="s">
        <v>227</v>
      </c>
      <c r="C37" s="114">
        <v>0</v>
      </c>
      <c r="D37" s="114">
        <v>1</v>
      </c>
      <c r="E37" s="114">
        <v>0</v>
      </c>
      <c r="F37" s="114">
        <v>0</v>
      </c>
      <c r="G37" s="114">
        <f t="shared" si="0"/>
        <v>1</v>
      </c>
      <c r="H37"/>
    </row>
    <row r="38" spans="1:8" ht="15" customHeight="1" x14ac:dyDescent="0.15">
      <c r="A38">
        <v>37</v>
      </c>
      <c r="B38" s="157" t="s">
        <v>228</v>
      </c>
      <c r="C38" s="114">
        <v>0</v>
      </c>
      <c r="D38" s="114">
        <v>1</v>
      </c>
      <c r="E38" s="114">
        <v>0</v>
      </c>
      <c r="F38" s="114">
        <v>0</v>
      </c>
      <c r="G38" s="114">
        <f t="shared" si="0"/>
        <v>1</v>
      </c>
      <c r="H38"/>
    </row>
    <row r="39" spans="1:8" ht="15" customHeight="1" x14ac:dyDescent="0.15">
      <c r="A39">
        <v>38</v>
      </c>
      <c r="B39" s="157" t="s">
        <v>229</v>
      </c>
      <c r="C39" s="114">
        <v>0</v>
      </c>
      <c r="D39" s="114">
        <v>1</v>
      </c>
      <c r="E39" s="114">
        <v>0</v>
      </c>
      <c r="F39" s="114">
        <v>0</v>
      </c>
      <c r="G39" s="114">
        <f t="shared" si="0"/>
        <v>1</v>
      </c>
      <c r="H39"/>
    </row>
    <row r="40" spans="1:8" ht="15" customHeight="1" x14ac:dyDescent="0.15">
      <c r="A40">
        <v>39</v>
      </c>
      <c r="B40" s="157" t="s">
        <v>230</v>
      </c>
      <c r="C40" s="114">
        <v>0</v>
      </c>
      <c r="D40" s="114">
        <v>1</v>
      </c>
      <c r="E40" s="114">
        <v>0</v>
      </c>
      <c r="F40" s="114">
        <v>0</v>
      </c>
      <c r="G40" s="114">
        <f t="shared" si="0"/>
        <v>1</v>
      </c>
      <c r="H40"/>
    </row>
    <row r="41" spans="1:8" ht="15" customHeight="1" x14ac:dyDescent="0.15">
      <c r="A41">
        <v>40</v>
      </c>
      <c r="B41" s="157" t="s">
        <v>231</v>
      </c>
      <c r="C41" s="114">
        <v>0</v>
      </c>
      <c r="D41" s="114">
        <v>1</v>
      </c>
      <c r="E41" s="114">
        <v>0</v>
      </c>
      <c r="F41" s="114">
        <v>0</v>
      </c>
      <c r="G41" s="114">
        <f t="shared" si="0"/>
        <v>1</v>
      </c>
      <c r="H41"/>
    </row>
    <row r="42" spans="1:8" ht="15" customHeight="1" x14ac:dyDescent="0.15">
      <c r="A42">
        <v>41</v>
      </c>
      <c r="B42" s="157" t="s">
        <v>232</v>
      </c>
      <c r="C42" s="114">
        <v>0</v>
      </c>
      <c r="D42" s="114">
        <v>1</v>
      </c>
      <c r="E42" s="114">
        <v>0</v>
      </c>
      <c r="F42" s="114">
        <v>0</v>
      </c>
      <c r="G42" s="114">
        <f t="shared" si="0"/>
        <v>1</v>
      </c>
      <c r="H42"/>
    </row>
    <row r="43" spans="1:8" ht="15" customHeight="1" x14ac:dyDescent="0.15">
      <c r="A43">
        <v>42</v>
      </c>
      <c r="B43" s="157" t="s">
        <v>233</v>
      </c>
      <c r="C43" s="114">
        <v>0</v>
      </c>
      <c r="D43" s="114">
        <v>1</v>
      </c>
      <c r="E43" s="114">
        <v>0</v>
      </c>
      <c r="F43" s="114">
        <v>0</v>
      </c>
      <c r="G43" s="114">
        <f t="shared" si="0"/>
        <v>1</v>
      </c>
      <c r="H43"/>
    </row>
    <row r="44" spans="1:8" ht="15" customHeight="1" x14ac:dyDescent="0.15">
      <c r="A44">
        <v>43</v>
      </c>
      <c r="B44" s="157" t="s">
        <v>234</v>
      </c>
      <c r="C44" s="114">
        <v>0</v>
      </c>
      <c r="D44" s="114">
        <v>1</v>
      </c>
      <c r="E44" s="113">
        <v>0</v>
      </c>
      <c r="F44" s="113">
        <v>0</v>
      </c>
      <c r="G44" s="114">
        <f t="shared" si="0"/>
        <v>1</v>
      </c>
      <c r="H44"/>
    </row>
    <row r="45" spans="1:8" ht="15" customHeight="1" x14ac:dyDescent="0.15">
      <c r="A45">
        <v>44</v>
      </c>
      <c r="B45" s="157" t="s">
        <v>235</v>
      </c>
      <c r="C45" s="114">
        <v>0</v>
      </c>
      <c r="D45" s="114">
        <v>1</v>
      </c>
      <c r="E45" s="113">
        <v>0</v>
      </c>
      <c r="F45" s="113">
        <v>0</v>
      </c>
      <c r="G45" s="114">
        <f t="shared" si="0"/>
        <v>1</v>
      </c>
      <c r="H45"/>
    </row>
    <row r="46" spans="1:8" ht="15" customHeight="1" x14ac:dyDescent="0.15">
      <c r="A46">
        <v>45</v>
      </c>
      <c r="B46" s="157" t="s">
        <v>236</v>
      </c>
      <c r="C46" s="114">
        <v>0</v>
      </c>
      <c r="D46" s="114">
        <v>1</v>
      </c>
      <c r="E46" s="114">
        <v>0</v>
      </c>
      <c r="F46" s="114">
        <v>0</v>
      </c>
      <c r="G46" s="114">
        <f t="shared" si="0"/>
        <v>1</v>
      </c>
      <c r="H46"/>
    </row>
    <row r="47" spans="1:8" ht="15" customHeight="1" x14ac:dyDescent="0.15">
      <c r="A47">
        <v>46</v>
      </c>
      <c r="B47" s="157" t="s">
        <v>237</v>
      </c>
      <c r="C47" s="114">
        <v>0</v>
      </c>
      <c r="D47" s="114">
        <v>1</v>
      </c>
      <c r="E47" s="113">
        <v>0</v>
      </c>
      <c r="F47" s="113">
        <v>0</v>
      </c>
      <c r="G47" s="114">
        <f t="shared" si="0"/>
        <v>1</v>
      </c>
      <c r="H47"/>
    </row>
    <row r="48" spans="1:8" ht="15" customHeight="1" x14ac:dyDescent="0.15">
      <c r="A48">
        <v>47</v>
      </c>
      <c r="B48" s="157" t="s">
        <v>238</v>
      </c>
      <c r="C48" s="114">
        <v>0</v>
      </c>
      <c r="D48" s="114">
        <v>1</v>
      </c>
      <c r="E48" s="113">
        <v>0</v>
      </c>
      <c r="F48" s="113">
        <v>0</v>
      </c>
      <c r="G48" s="114">
        <f t="shared" si="0"/>
        <v>1</v>
      </c>
      <c r="H48"/>
    </row>
    <row r="49" spans="1:8" ht="15" customHeight="1" x14ac:dyDescent="0.15">
      <c r="A49">
        <v>48</v>
      </c>
      <c r="B49" s="157" t="s">
        <v>239</v>
      </c>
      <c r="C49" s="114">
        <v>0</v>
      </c>
      <c r="D49" s="114">
        <v>1</v>
      </c>
      <c r="E49" s="113">
        <v>0</v>
      </c>
      <c r="F49" s="113">
        <v>0</v>
      </c>
      <c r="G49" s="114">
        <f t="shared" si="0"/>
        <v>1</v>
      </c>
      <c r="H49"/>
    </row>
    <row r="50" spans="1:8" ht="15" customHeight="1" x14ac:dyDescent="0.15">
      <c r="A50">
        <v>49</v>
      </c>
      <c r="B50" s="157" t="s">
        <v>240</v>
      </c>
      <c r="C50" s="114">
        <v>0</v>
      </c>
      <c r="D50" s="114">
        <v>1</v>
      </c>
      <c r="E50" s="113">
        <v>0</v>
      </c>
      <c r="F50" s="113">
        <v>0</v>
      </c>
      <c r="G50" s="114">
        <f t="shared" si="0"/>
        <v>1</v>
      </c>
      <c r="H50"/>
    </row>
    <row r="51" spans="1:8" ht="15" customHeight="1" x14ac:dyDescent="0.15">
      <c r="A51">
        <v>50</v>
      </c>
      <c r="B51" s="157" t="s">
        <v>241</v>
      </c>
      <c r="C51" s="114">
        <v>0</v>
      </c>
      <c r="D51" s="114">
        <v>1</v>
      </c>
      <c r="E51" s="113">
        <v>0</v>
      </c>
      <c r="F51" s="113">
        <v>0</v>
      </c>
      <c r="G51" s="114">
        <f t="shared" si="0"/>
        <v>1</v>
      </c>
      <c r="H51"/>
    </row>
    <row r="52" spans="1:8" ht="15" customHeight="1" x14ac:dyDescent="0.15">
      <c r="A52">
        <v>51</v>
      </c>
      <c r="B52" s="157" t="s">
        <v>242</v>
      </c>
      <c r="C52" s="114">
        <v>0</v>
      </c>
      <c r="D52" s="114">
        <v>1</v>
      </c>
      <c r="E52" s="113">
        <v>0</v>
      </c>
      <c r="F52" s="113">
        <v>0</v>
      </c>
      <c r="G52" s="114">
        <f t="shared" si="0"/>
        <v>1</v>
      </c>
      <c r="H52"/>
    </row>
    <row r="53" spans="1:8" ht="15" customHeight="1" x14ac:dyDescent="0.15">
      <c r="A53">
        <v>52</v>
      </c>
      <c r="B53" s="157" t="s">
        <v>243</v>
      </c>
      <c r="C53" s="114">
        <v>0</v>
      </c>
      <c r="D53" s="114">
        <v>0</v>
      </c>
      <c r="E53" s="113">
        <v>1</v>
      </c>
      <c r="F53" s="113">
        <v>0</v>
      </c>
      <c r="G53" s="114">
        <f t="shared" si="0"/>
        <v>1</v>
      </c>
      <c r="H53"/>
    </row>
    <row r="54" spans="1:8" ht="15" customHeight="1" x14ac:dyDescent="0.15">
      <c r="A54">
        <v>53</v>
      </c>
      <c r="B54" s="157" t="s">
        <v>244</v>
      </c>
      <c r="C54" s="114">
        <v>0</v>
      </c>
      <c r="D54" s="114">
        <v>0</v>
      </c>
      <c r="E54" s="113">
        <v>0</v>
      </c>
      <c r="F54" s="113">
        <v>1</v>
      </c>
      <c r="G54" s="114">
        <f t="shared" si="0"/>
        <v>1</v>
      </c>
      <c r="H54"/>
    </row>
    <row r="55" spans="1:8" ht="15" customHeight="1" x14ac:dyDescent="0.15">
      <c r="A55">
        <v>54</v>
      </c>
      <c r="B55" s="157" t="s">
        <v>245</v>
      </c>
      <c r="C55" s="114">
        <v>1</v>
      </c>
      <c r="D55" s="114">
        <v>0</v>
      </c>
      <c r="E55" s="113">
        <v>0</v>
      </c>
      <c r="F55" s="113">
        <v>0</v>
      </c>
      <c r="G55" s="114">
        <f t="shared" si="0"/>
        <v>1</v>
      </c>
      <c r="H55"/>
    </row>
    <row r="56" spans="1:8" ht="15" customHeight="1" x14ac:dyDescent="0.15">
      <c r="A56">
        <v>55</v>
      </c>
      <c r="B56" s="157" t="s">
        <v>246</v>
      </c>
      <c r="C56" s="114">
        <v>1</v>
      </c>
      <c r="D56" s="114">
        <v>0</v>
      </c>
      <c r="E56" s="113">
        <v>0</v>
      </c>
      <c r="F56" s="113">
        <v>0</v>
      </c>
      <c r="G56" s="114">
        <f t="shared" si="0"/>
        <v>1</v>
      </c>
      <c r="H56"/>
    </row>
    <row r="57" spans="1:8" ht="15" customHeight="1" x14ac:dyDescent="0.15">
      <c r="A57">
        <v>56</v>
      </c>
      <c r="B57" s="157" t="s">
        <v>247</v>
      </c>
      <c r="C57" s="114">
        <v>1</v>
      </c>
      <c r="D57" s="114">
        <v>0</v>
      </c>
      <c r="E57" s="113">
        <v>0</v>
      </c>
      <c r="F57" s="113">
        <v>0</v>
      </c>
      <c r="G57" s="114">
        <f t="shared" si="0"/>
        <v>1</v>
      </c>
      <c r="H57"/>
    </row>
    <row r="58" spans="1:8" ht="15" customHeight="1" x14ac:dyDescent="0.15">
      <c r="A58">
        <v>57</v>
      </c>
      <c r="B58" s="157" t="s">
        <v>248</v>
      </c>
      <c r="C58" s="114">
        <v>1</v>
      </c>
      <c r="D58" s="114">
        <v>0</v>
      </c>
      <c r="E58" s="113">
        <v>0</v>
      </c>
      <c r="F58" s="113">
        <v>0</v>
      </c>
      <c r="G58" s="114">
        <f t="shared" si="0"/>
        <v>1</v>
      </c>
      <c r="H58"/>
    </row>
    <row r="59" spans="1:8" ht="15" customHeight="1" x14ac:dyDescent="0.15">
      <c r="A59">
        <v>58</v>
      </c>
      <c r="B59" s="157" t="s">
        <v>249</v>
      </c>
      <c r="C59" s="114">
        <v>1</v>
      </c>
      <c r="D59" s="114">
        <v>0</v>
      </c>
      <c r="E59" s="113">
        <v>0</v>
      </c>
      <c r="F59" s="113">
        <v>0</v>
      </c>
      <c r="G59" s="114">
        <f t="shared" si="0"/>
        <v>1</v>
      </c>
      <c r="H59"/>
    </row>
    <row r="60" spans="1:8" ht="15" customHeight="1" x14ac:dyDescent="0.15">
      <c r="A60">
        <v>59</v>
      </c>
      <c r="B60" s="157" t="s">
        <v>250</v>
      </c>
      <c r="C60" s="114">
        <v>1</v>
      </c>
      <c r="D60" s="114">
        <v>0</v>
      </c>
      <c r="E60" s="113">
        <v>0</v>
      </c>
      <c r="F60" s="113">
        <v>0</v>
      </c>
      <c r="G60" s="114">
        <f t="shared" si="0"/>
        <v>1</v>
      </c>
      <c r="H60"/>
    </row>
    <row r="61" spans="1:8" ht="15" customHeight="1" x14ac:dyDescent="0.15">
      <c r="A61">
        <v>60</v>
      </c>
      <c r="B61" s="157" t="s">
        <v>251</v>
      </c>
      <c r="C61" s="114">
        <v>1</v>
      </c>
      <c r="D61" s="114">
        <v>0</v>
      </c>
      <c r="E61" s="113">
        <v>0</v>
      </c>
      <c r="F61" s="113">
        <v>0</v>
      </c>
      <c r="G61" s="114">
        <f t="shared" si="0"/>
        <v>1</v>
      </c>
      <c r="H61"/>
    </row>
    <row r="62" spans="1:8" ht="15" customHeight="1" x14ac:dyDescent="0.15">
      <c r="A62">
        <v>61</v>
      </c>
      <c r="B62" s="157" t="s">
        <v>252</v>
      </c>
      <c r="C62" s="114">
        <v>1</v>
      </c>
      <c r="D62" s="114">
        <v>0</v>
      </c>
      <c r="E62" s="113">
        <v>0</v>
      </c>
      <c r="F62" s="113">
        <v>0</v>
      </c>
      <c r="G62" s="114">
        <f t="shared" si="0"/>
        <v>1</v>
      </c>
      <c r="H62"/>
    </row>
    <row r="63" spans="1:8" ht="15" customHeight="1" x14ac:dyDescent="0.15">
      <c r="A63">
        <v>62</v>
      </c>
      <c r="B63" s="157" t="s">
        <v>253</v>
      </c>
      <c r="C63" s="114">
        <v>1</v>
      </c>
      <c r="D63" s="114">
        <v>0</v>
      </c>
      <c r="E63" s="113">
        <v>0</v>
      </c>
      <c r="F63" s="113">
        <v>0</v>
      </c>
      <c r="G63" s="114">
        <f t="shared" si="0"/>
        <v>1</v>
      </c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L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1640625" bestFit="1" customWidth="1"/>
    <col min="3" max="5" width="8.83203125" bestFit="1" customWidth="1"/>
    <col min="6" max="9" width="8.83203125" customWidth="1"/>
    <col min="10" max="10" width="8.5" customWidth="1"/>
    <col min="11" max="11" width="8.83203125" customWidth="1"/>
    <col min="12" max="12" width="10.83203125" customWidth="1"/>
  </cols>
  <sheetData>
    <row r="1" spans="1:12" s="115" customFormat="1" ht="112" x14ac:dyDescent="0.15">
      <c r="A1" s="5" t="s">
        <v>21</v>
      </c>
      <c r="B1" s="3" t="s">
        <v>0</v>
      </c>
      <c r="C1" s="160" t="s">
        <v>245</v>
      </c>
      <c r="D1" s="160" t="s">
        <v>246</v>
      </c>
      <c r="E1" s="160" t="s">
        <v>247</v>
      </c>
      <c r="F1" s="160" t="s">
        <v>248</v>
      </c>
      <c r="G1" s="160" t="s">
        <v>249</v>
      </c>
      <c r="H1" s="160" t="s">
        <v>250</v>
      </c>
      <c r="I1" s="160" t="s">
        <v>251</v>
      </c>
      <c r="J1" s="160" t="s">
        <v>252</v>
      </c>
      <c r="K1" s="160" t="s">
        <v>253</v>
      </c>
      <c r="L1" s="160" t="s">
        <v>257</v>
      </c>
    </row>
    <row r="2" spans="1:12" ht="15" customHeight="1" x14ac:dyDescent="0.15">
      <c r="A2">
        <v>1</v>
      </c>
      <c r="B2" s="159" t="s">
        <v>192</v>
      </c>
      <c r="C2">
        <v>4.9999999999999998E-8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9.9499999999999996E-6</v>
      </c>
      <c r="K2">
        <v>0</v>
      </c>
      <c r="L2">
        <v>9.9999999999999991E-6</v>
      </c>
    </row>
    <row r="3" spans="1:12" ht="15" customHeight="1" x14ac:dyDescent="0.15">
      <c r="A3">
        <v>2</v>
      </c>
      <c r="B3" s="159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ht="15" customHeight="1" x14ac:dyDescent="0.15">
      <c r="A4">
        <v>3</v>
      </c>
      <c r="B4" s="159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 ht="15" customHeight="1" x14ac:dyDescent="0.15">
      <c r="A5">
        <v>4</v>
      </c>
      <c r="B5" s="159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 ht="15" customHeight="1" x14ac:dyDescent="0.15">
      <c r="A6">
        <v>5</v>
      </c>
      <c r="B6" s="159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2" ht="15" customHeight="1" x14ac:dyDescent="0.15">
      <c r="A7">
        <v>6</v>
      </c>
      <c r="B7" s="159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2" ht="15" customHeight="1" x14ac:dyDescent="0.15">
      <c r="A8">
        <v>7</v>
      </c>
      <c r="B8" s="159" t="s">
        <v>198</v>
      </c>
      <c r="C8">
        <v>5.8900000000000003E-3</v>
      </c>
      <c r="D8">
        <v>0</v>
      </c>
      <c r="E8">
        <v>0</v>
      </c>
      <c r="F8">
        <v>0</v>
      </c>
      <c r="G8">
        <v>0</v>
      </c>
      <c r="H8">
        <v>1.9199999999999998E-2</v>
      </c>
      <c r="I8">
        <v>0</v>
      </c>
      <c r="J8">
        <v>0</v>
      </c>
      <c r="K8">
        <v>0</v>
      </c>
      <c r="L8">
        <v>2.5089999999999998E-2</v>
      </c>
    </row>
    <row r="9" spans="1:12" ht="15" customHeight="1" x14ac:dyDescent="0.15">
      <c r="A9">
        <v>8</v>
      </c>
      <c r="B9" s="159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2.2499999999999999E-4</v>
      </c>
      <c r="I9">
        <v>0</v>
      </c>
      <c r="J9">
        <v>0</v>
      </c>
      <c r="K9">
        <v>0</v>
      </c>
      <c r="L9">
        <v>2.2499999999999999E-4</v>
      </c>
    </row>
    <row r="10" spans="1:12" ht="15" customHeight="1" x14ac:dyDescent="0.15">
      <c r="A10">
        <v>9</v>
      </c>
      <c r="B10" s="159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 ht="15" customHeight="1" x14ac:dyDescent="0.15">
      <c r="A11">
        <v>10</v>
      </c>
      <c r="B11" s="159" t="s">
        <v>201</v>
      </c>
      <c r="C11">
        <v>0</v>
      </c>
      <c r="D11">
        <v>0</v>
      </c>
      <c r="E11">
        <v>0</v>
      </c>
      <c r="F11">
        <v>0.217</v>
      </c>
      <c r="G11">
        <v>0</v>
      </c>
      <c r="H11">
        <v>0</v>
      </c>
      <c r="I11">
        <v>0</v>
      </c>
      <c r="J11">
        <v>0</v>
      </c>
      <c r="K11">
        <v>0</v>
      </c>
      <c r="L11">
        <v>0.217</v>
      </c>
    </row>
    <row r="12" spans="1:12" ht="15" customHeight="1" x14ac:dyDescent="0.15">
      <c r="A12">
        <v>11</v>
      </c>
      <c r="B12" s="159" t="s">
        <v>202</v>
      </c>
      <c r="C12">
        <v>1.3299999999999999E-2</v>
      </c>
      <c r="D12">
        <v>2.4099999999999998E-3</v>
      </c>
      <c r="E12">
        <v>0</v>
      </c>
      <c r="F12">
        <v>0.35799999999999998</v>
      </c>
      <c r="G12">
        <v>0</v>
      </c>
      <c r="H12">
        <v>0</v>
      </c>
      <c r="I12">
        <v>0</v>
      </c>
      <c r="J12">
        <v>0</v>
      </c>
      <c r="K12">
        <v>0</v>
      </c>
      <c r="L12">
        <v>0.37370999999999999</v>
      </c>
    </row>
    <row r="13" spans="1:12" ht="15" customHeight="1" x14ac:dyDescent="0.15">
      <c r="A13">
        <v>12</v>
      </c>
      <c r="B13" s="159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 ht="15" customHeight="1" x14ac:dyDescent="0.15">
      <c r="A14">
        <v>13</v>
      </c>
      <c r="B14" s="159" t="s">
        <v>204</v>
      </c>
      <c r="C14">
        <v>2.6099999999999999E-3</v>
      </c>
      <c r="D14">
        <v>1.26E-4</v>
      </c>
      <c r="E14">
        <v>0</v>
      </c>
      <c r="F14">
        <v>5.5900000000000004E-4</v>
      </c>
      <c r="G14">
        <v>6.2199999999999998E-3</v>
      </c>
      <c r="H14">
        <v>0.11600000000000001</v>
      </c>
      <c r="I14">
        <v>0</v>
      </c>
      <c r="J14">
        <v>0</v>
      </c>
      <c r="K14">
        <v>0</v>
      </c>
      <c r="L14">
        <v>0.12551500000000002</v>
      </c>
    </row>
    <row r="15" spans="1:12" ht="15" customHeight="1" x14ac:dyDescent="0.15">
      <c r="A15">
        <v>14</v>
      </c>
      <c r="B15" s="159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2.81E-3</v>
      </c>
      <c r="I15">
        <v>0</v>
      </c>
      <c r="J15">
        <v>0</v>
      </c>
      <c r="K15">
        <v>0</v>
      </c>
      <c r="L15">
        <v>2.81E-3</v>
      </c>
    </row>
    <row r="16" spans="1:12" ht="15" customHeight="1" x14ac:dyDescent="0.15">
      <c r="A16">
        <v>15</v>
      </c>
      <c r="B16" s="159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ht="15" customHeight="1" x14ac:dyDescent="0.15">
      <c r="A17">
        <v>16</v>
      </c>
      <c r="B17" s="159" t="s">
        <v>207</v>
      </c>
      <c r="C17">
        <v>1.41E-2</v>
      </c>
      <c r="D17">
        <v>1.2800000000000001E-3</v>
      </c>
      <c r="E17">
        <v>3.2000000000000003E-4</v>
      </c>
      <c r="F17">
        <v>0</v>
      </c>
      <c r="G17">
        <v>3.2000000000000003E-4</v>
      </c>
      <c r="H17">
        <v>0</v>
      </c>
      <c r="I17">
        <v>0</v>
      </c>
      <c r="J17">
        <v>0</v>
      </c>
      <c r="K17">
        <v>0</v>
      </c>
      <c r="L17">
        <v>1.602E-2</v>
      </c>
    </row>
    <row r="18" spans="1:12" ht="15" customHeight="1" x14ac:dyDescent="0.15">
      <c r="A18">
        <v>17</v>
      </c>
      <c r="B18" s="159" t="s">
        <v>208</v>
      </c>
      <c r="C18">
        <v>7.9800000000000002E-5</v>
      </c>
      <c r="D18">
        <v>8.2600000000000005E-6</v>
      </c>
      <c r="E18">
        <v>5.9999999999999997E-7</v>
      </c>
      <c r="F18">
        <v>0</v>
      </c>
      <c r="G18">
        <v>2.3700000000000002E-6</v>
      </c>
      <c r="H18">
        <v>0</v>
      </c>
      <c r="I18">
        <v>0</v>
      </c>
      <c r="J18">
        <v>0</v>
      </c>
      <c r="K18">
        <v>0</v>
      </c>
      <c r="L18">
        <v>9.1030000000000014E-5</v>
      </c>
    </row>
    <row r="19" spans="1:12" ht="15" customHeight="1" x14ac:dyDescent="0.15">
      <c r="A19">
        <v>18</v>
      </c>
      <c r="B19" s="159" t="s">
        <v>209</v>
      </c>
      <c r="C19">
        <v>4.0200000000000001E-4</v>
      </c>
      <c r="D19">
        <v>7.6599999999999997E-4</v>
      </c>
      <c r="E19">
        <v>0</v>
      </c>
      <c r="F19">
        <v>1.01E-4</v>
      </c>
      <c r="G19">
        <v>7.0199999999999999E-5</v>
      </c>
      <c r="H19">
        <v>0</v>
      </c>
      <c r="I19">
        <v>0</v>
      </c>
      <c r="J19">
        <v>0</v>
      </c>
      <c r="K19">
        <v>0</v>
      </c>
      <c r="L19">
        <v>1.3392E-3</v>
      </c>
    </row>
    <row r="20" spans="1:12" ht="15" customHeight="1" x14ac:dyDescent="0.15">
      <c r="A20">
        <v>19</v>
      </c>
      <c r="B20" s="159" t="s">
        <v>210</v>
      </c>
      <c r="C20">
        <v>2.0400000000000001E-3</v>
      </c>
      <c r="D20">
        <v>3.8899999999999998E-3</v>
      </c>
      <c r="E20">
        <v>0</v>
      </c>
      <c r="F20">
        <v>5.1500000000000005E-4</v>
      </c>
      <c r="G20">
        <v>3.5599999999999998E-4</v>
      </c>
      <c r="H20">
        <v>0</v>
      </c>
      <c r="I20">
        <v>0</v>
      </c>
      <c r="J20">
        <v>0</v>
      </c>
      <c r="K20">
        <v>0</v>
      </c>
      <c r="L20">
        <v>6.8009999999999998E-3</v>
      </c>
    </row>
    <row r="21" spans="1:12" ht="15" customHeight="1" x14ac:dyDescent="0.15">
      <c r="A21">
        <v>20</v>
      </c>
      <c r="B21" s="159" t="s">
        <v>211</v>
      </c>
      <c r="C21">
        <v>1.1199999999999999E-3</v>
      </c>
      <c r="D21">
        <v>1.58E-3</v>
      </c>
      <c r="E21">
        <v>0</v>
      </c>
      <c r="F21">
        <v>6.4499999999999996E-5</v>
      </c>
      <c r="G21">
        <v>3.15E-5</v>
      </c>
      <c r="H21">
        <v>0</v>
      </c>
      <c r="I21">
        <v>0</v>
      </c>
      <c r="J21">
        <v>0</v>
      </c>
      <c r="K21">
        <v>0</v>
      </c>
      <c r="L21">
        <v>2.7959999999999999E-3</v>
      </c>
    </row>
    <row r="22" spans="1:12" ht="15" customHeight="1" x14ac:dyDescent="0.15">
      <c r="A22">
        <v>21</v>
      </c>
      <c r="B22" s="159" t="s">
        <v>212</v>
      </c>
      <c r="C22">
        <v>3.32E-3</v>
      </c>
      <c r="D22">
        <v>4.7000000000000002E-3</v>
      </c>
      <c r="E22">
        <v>0</v>
      </c>
      <c r="F22">
        <v>1.92E-4</v>
      </c>
      <c r="G22">
        <v>9.3499999999999996E-5</v>
      </c>
      <c r="H22">
        <v>0</v>
      </c>
      <c r="I22">
        <v>0</v>
      </c>
      <c r="J22">
        <v>0</v>
      </c>
      <c r="K22">
        <v>0</v>
      </c>
      <c r="L22">
        <v>8.3054999999999986E-3</v>
      </c>
    </row>
    <row r="23" spans="1:12" ht="15" customHeight="1" x14ac:dyDescent="0.15">
      <c r="A23">
        <v>22</v>
      </c>
      <c r="B23" s="159" t="s">
        <v>213</v>
      </c>
      <c r="C23">
        <v>2.3E-3</v>
      </c>
      <c r="D23">
        <v>9.7000000000000005E-4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3.2699999999999999E-3</v>
      </c>
    </row>
    <row r="24" spans="1:12" ht="15" customHeight="1" x14ac:dyDescent="0.15">
      <c r="A24">
        <v>23</v>
      </c>
      <c r="B24" s="159" t="s">
        <v>214</v>
      </c>
      <c r="C24">
        <v>8.0700000000000008E-3</v>
      </c>
      <c r="D24">
        <v>1.5299999999999999E-3</v>
      </c>
      <c r="E24">
        <v>7.4100000000000002E-6</v>
      </c>
      <c r="F24">
        <v>7.8700000000000002E-5</v>
      </c>
      <c r="G24">
        <v>1.31E-5</v>
      </c>
      <c r="H24">
        <v>5.7000000000000005E-7</v>
      </c>
      <c r="I24">
        <v>5.7000000000000005E-7</v>
      </c>
      <c r="J24">
        <v>0</v>
      </c>
      <c r="K24">
        <v>0</v>
      </c>
      <c r="L24">
        <v>9.7003499999999999E-3</v>
      </c>
    </row>
    <row r="25" spans="1:12" ht="15" customHeight="1" x14ac:dyDescent="0.15">
      <c r="A25">
        <v>24</v>
      </c>
      <c r="B25" s="159" t="s">
        <v>215</v>
      </c>
      <c r="C25">
        <v>2.0999999999999999E-3</v>
      </c>
      <c r="D25">
        <v>2.0200000000000001E-3</v>
      </c>
      <c r="E25">
        <v>3.7699999999999999E-6</v>
      </c>
      <c r="F25">
        <v>6.8700000000000003E-5</v>
      </c>
      <c r="G25">
        <v>1.65E-4</v>
      </c>
      <c r="H25">
        <v>8.6999999999999997E-6</v>
      </c>
      <c r="I25">
        <v>3.7699999999999999E-6</v>
      </c>
      <c r="J25">
        <v>0</v>
      </c>
      <c r="K25">
        <v>0</v>
      </c>
      <c r="L25">
        <v>4.369940000000001E-3</v>
      </c>
    </row>
    <row r="26" spans="1:12" ht="15" customHeight="1" x14ac:dyDescent="0.15">
      <c r="A26">
        <v>25</v>
      </c>
      <c r="B26" s="159" t="s">
        <v>216</v>
      </c>
      <c r="C26">
        <v>6.7699999999999996E-2</v>
      </c>
      <c r="D26">
        <v>2.4599999999999999E-3</v>
      </c>
      <c r="E26">
        <v>2.4599999999999999E-3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7.2620000000000004E-2</v>
      </c>
    </row>
    <row r="27" spans="1:12" ht="15" customHeight="1" x14ac:dyDescent="0.15">
      <c r="A27">
        <v>26</v>
      </c>
      <c r="B27" s="159" t="s">
        <v>217</v>
      </c>
      <c r="C27">
        <v>1.17E-3</v>
      </c>
      <c r="D27">
        <v>0</v>
      </c>
      <c r="E27">
        <v>1.06E-4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1.276E-3</v>
      </c>
    </row>
    <row r="28" spans="1:12" ht="15" customHeight="1" x14ac:dyDescent="0.15">
      <c r="A28">
        <v>27</v>
      </c>
      <c r="B28" s="159" t="s">
        <v>218</v>
      </c>
      <c r="C28">
        <v>1.9699999999999999E-2</v>
      </c>
      <c r="D28">
        <v>7.9100000000000004E-4</v>
      </c>
      <c r="E28">
        <v>1.1900000000000001E-4</v>
      </c>
      <c r="F28">
        <v>6.9099999999999999E-6</v>
      </c>
      <c r="G28">
        <v>3.6499999999999998E-4</v>
      </c>
      <c r="H28">
        <v>1.73E-6</v>
      </c>
      <c r="I28">
        <v>1.11E-4</v>
      </c>
      <c r="J28">
        <v>0</v>
      </c>
      <c r="K28">
        <v>0</v>
      </c>
      <c r="L28">
        <v>2.1094639999999998E-2</v>
      </c>
    </row>
    <row r="29" spans="1:12" ht="15" customHeight="1" x14ac:dyDescent="0.15">
      <c r="A29">
        <v>28</v>
      </c>
      <c r="B29" s="159" t="s">
        <v>219</v>
      </c>
      <c r="C29">
        <v>2.2499999999999998E-3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2.2499999999999998E-3</v>
      </c>
    </row>
    <row r="30" spans="1:12" ht="15" customHeight="1" x14ac:dyDescent="0.15">
      <c r="A30">
        <v>29</v>
      </c>
      <c r="B30" s="159" t="s">
        <v>220</v>
      </c>
      <c r="C30">
        <v>4.5599999999999998E-3</v>
      </c>
      <c r="D30">
        <v>2.4000000000000001E-4</v>
      </c>
      <c r="E30">
        <v>2.4000000000000001E-4</v>
      </c>
      <c r="F30">
        <v>0</v>
      </c>
      <c r="G30">
        <v>3.1199999999999999E-3</v>
      </c>
      <c r="H30">
        <v>0</v>
      </c>
      <c r="I30">
        <v>0</v>
      </c>
      <c r="J30">
        <v>0</v>
      </c>
      <c r="K30">
        <v>0</v>
      </c>
      <c r="L30">
        <v>8.1599999999999989E-3</v>
      </c>
    </row>
    <row r="31" spans="1:12" ht="15" customHeight="1" x14ac:dyDescent="0.15">
      <c r="A31">
        <v>30</v>
      </c>
      <c r="B31" s="159" t="s">
        <v>221</v>
      </c>
      <c r="C31">
        <v>4.7800000000000004E-3</v>
      </c>
      <c r="D31">
        <v>0</v>
      </c>
      <c r="E31">
        <v>0</v>
      </c>
      <c r="F31">
        <v>0</v>
      </c>
      <c r="G31">
        <v>4.7800000000000004E-3</v>
      </c>
      <c r="H31">
        <v>0</v>
      </c>
      <c r="I31">
        <v>0</v>
      </c>
      <c r="J31">
        <v>0</v>
      </c>
      <c r="K31">
        <v>0</v>
      </c>
      <c r="L31">
        <v>9.5600000000000008E-3</v>
      </c>
    </row>
    <row r="32" spans="1:12" ht="15" customHeight="1" x14ac:dyDescent="0.15">
      <c r="A32">
        <v>31</v>
      </c>
      <c r="B32" s="159" t="s">
        <v>222</v>
      </c>
      <c r="C32">
        <v>1.5E-3</v>
      </c>
      <c r="D32">
        <v>4.3900000000000003E-6</v>
      </c>
      <c r="E32">
        <v>2.3900000000000002E-5</v>
      </c>
      <c r="F32">
        <v>5.3700000000000003E-6</v>
      </c>
      <c r="G32">
        <v>1.25E-4</v>
      </c>
      <c r="H32">
        <v>3.9999999999999998E-6</v>
      </c>
      <c r="I32">
        <v>2.4600000000000002E-4</v>
      </c>
      <c r="J32">
        <v>0</v>
      </c>
      <c r="K32">
        <v>0</v>
      </c>
      <c r="L32">
        <v>1.9086600000000004E-3</v>
      </c>
    </row>
    <row r="33" spans="1:12" ht="15" customHeight="1" x14ac:dyDescent="0.15">
      <c r="A33">
        <v>32</v>
      </c>
      <c r="B33" s="159" t="s">
        <v>223</v>
      </c>
      <c r="C33">
        <v>2.93E-2</v>
      </c>
      <c r="D33">
        <v>2.5699999999999998E-3</v>
      </c>
      <c r="E33">
        <v>2.2699999999999999E-4</v>
      </c>
      <c r="F33">
        <v>1.9699999999999999E-4</v>
      </c>
      <c r="G33">
        <v>3.8700000000000002E-3</v>
      </c>
      <c r="H33">
        <v>1.21E-4</v>
      </c>
      <c r="I33">
        <v>1.17E-3</v>
      </c>
      <c r="J33">
        <v>0</v>
      </c>
      <c r="K33">
        <v>0</v>
      </c>
      <c r="L33">
        <v>3.7455000000000002E-2</v>
      </c>
    </row>
    <row r="34" spans="1:12" ht="15" customHeight="1" x14ac:dyDescent="0.15">
      <c r="A34">
        <v>33</v>
      </c>
      <c r="B34" s="159" t="s">
        <v>224</v>
      </c>
      <c r="C34">
        <v>4.7499999999999999E-3</v>
      </c>
      <c r="D34">
        <v>0</v>
      </c>
      <c r="E34">
        <v>0</v>
      </c>
      <c r="F34">
        <v>0</v>
      </c>
      <c r="G34">
        <v>3.8899999999999998E-3</v>
      </c>
      <c r="H34">
        <v>0</v>
      </c>
      <c r="I34">
        <v>4.3199999999999998E-4</v>
      </c>
      <c r="J34">
        <v>0</v>
      </c>
      <c r="K34">
        <v>0</v>
      </c>
      <c r="L34">
        <v>9.0720000000000002E-3</v>
      </c>
    </row>
    <row r="35" spans="1:12" ht="15" customHeight="1" x14ac:dyDescent="0.15">
      <c r="A35">
        <v>34</v>
      </c>
      <c r="B35" s="159" t="s">
        <v>225</v>
      </c>
      <c r="C35">
        <v>5.6100000000000004E-3</v>
      </c>
      <c r="D35">
        <v>1.6999999999999999E-3</v>
      </c>
      <c r="E35">
        <v>0</v>
      </c>
      <c r="F35">
        <v>2.32E-4</v>
      </c>
      <c r="G35">
        <v>2.0899999999999998E-3</v>
      </c>
      <c r="H35">
        <v>0</v>
      </c>
      <c r="I35">
        <v>0</v>
      </c>
      <c r="J35">
        <v>0</v>
      </c>
      <c r="K35">
        <v>0</v>
      </c>
      <c r="L35">
        <v>9.6319999999999999E-3</v>
      </c>
    </row>
    <row r="36" spans="1:12" ht="15" customHeight="1" x14ac:dyDescent="0.15">
      <c r="A36">
        <v>35</v>
      </c>
      <c r="B36" s="159" t="s">
        <v>226</v>
      </c>
      <c r="C36">
        <v>7.0400000000000003E-3</v>
      </c>
      <c r="D36">
        <v>7.6000000000000004E-4</v>
      </c>
      <c r="E36">
        <v>0</v>
      </c>
      <c r="F36">
        <v>0</v>
      </c>
      <c r="G36">
        <v>4.6899999999999997E-3</v>
      </c>
      <c r="H36">
        <v>0</v>
      </c>
      <c r="I36">
        <v>6.2399999999999999E-3</v>
      </c>
      <c r="J36">
        <v>0</v>
      </c>
      <c r="K36">
        <v>0</v>
      </c>
      <c r="L36">
        <v>1.873E-2</v>
      </c>
    </row>
    <row r="37" spans="1:12" ht="15" customHeight="1" x14ac:dyDescent="0.15">
      <c r="A37">
        <v>36</v>
      </c>
      <c r="B37" s="159" t="s">
        <v>227</v>
      </c>
      <c r="C37">
        <v>2.0899999999999998E-2</v>
      </c>
      <c r="D37">
        <v>0</v>
      </c>
      <c r="E37">
        <v>8.5900000000000004E-3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2.9489999999999999E-2</v>
      </c>
    </row>
    <row r="38" spans="1:12" ht="15" customHeight="1" x14ac:dyDescent="0.15">
      <c r="A38">
        <v>37</v>
      </c>
      <c r="B38" s="159" t="s">
        <v>228</v>
      </c>
      <c r="C38">
        <v>3.8000000000000002E-4</v>
      </c>
      <c r="D38">
        <v>2.55E-5</v>
      </c>
      <c r="E38">
        <v>0</v>
      </c>
      <c r="F38">
        <v>0</v>
      </c>
      <c r="G38">
        <v>3.4000000000000001E-6</v>
      </c>
      <c r="H38">
        <v>0</v>
      </c>
      <c r="I38">
        <v>0</v>
      </c>
      <c r="J38">
        <v>0</v>
      </c>
      <c r="K38">
        <v>0</v>
      </c>
      <c r="L38">
        <v>4.0890000000000002E-4</v>
      </c>
    </row>
    <row r="39" spans="1:12" ht="15" customHeight="1" x14ac:dyDescent="0.15">
      <c r="A39">
        <v>38</v>
      </c>
      <c r="B39" s="159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</row>
    <row r="40" spans="1:12" ht="15" customHeight="1" x14ac:dyDescent="0.15">
      <c r="A40">
        <v>39</v>
      </c>
      <c r="B40" s="159" t="s">
        <v>230</v>
      </c>
      <c r="C40">
        <v>6.3599999999999996E-4</v>
      </c>
      <c r="D40">
        <v>0</v>
      </c>
      <c r="E40">
        <v>1.21E-2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1.2735999999999999E-2</v>
      </c>
    </row>
    <row r="41" spans="1:12" ht="15" customHeight="1" x14ac:dyDescent="0.15">
      <c r="A41">
        <v>40</v>
      </c>
      <c r="B41" s="159" t="s">
        <v>231</v>
      </c>
      <c r="C41">
        <v>0</v>
      </c>
      <c r="D41">
        <v>0</v>
      </c>
      <c r="E41">
        <v>2.2800000000000001E-2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2.2800000000000001E-2</v>
      </c>
    </row>
    <row r="42" spans="1:12" ht="15" customHeight="1" x14ac:dyDescent="0.15">
      <c r="A42">
        <v>41</v>
      </c>
      <c r="B42" s="159" t="s">
        <v>232</v>
      </c>
      <c r="C42">
        <v>2.1800000000000001E-4</v>
      </c>
      <c r="D42">
        <v>0</v>
      </c>
      <c r="E42">
        <v>2.1899999999999999E-2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2.2117999999999999E-2</v>
      </c>
    </row>
    <row r="43" spans="1:12" ht="15" customHeight="1" x14ac:dyDescent="0.15">
      <c r="A43">
        <v>42</v>
      </c>
      <c r="B43" s="159" t="s">
        <v>233</v>
      </c>
      <c r="C43">
        <v>1.01E-3</v>
      </c>
      <c r="D43">
        <v>0</v>
      </c>
      <c r="E43">
        <v>8.1199999999999994E-2</v>
      </c>
      <c r="F43">
        <v>0</v>
      </c>
      <c r="G43">
        <v>0</v>
      </c>
      <c r="H43">
        <v>0</v>
      </c>
      <c r="I43">
        <v>4.6600000000000001E-3</v>
      </c>
      <c r="J43">
        <v>0</v>
      </c>
      <c r="K43">
        <v>0</v>
      </c>
      <c r="L43">
        <v>8.6869999999999989E-2</v>
      </c>
    </row>
    <row r="44" spans="1:12" ht="15" customHeight="1" x14ac:dyDescent="0.15">
      <c r="A44">
        <v>43</v>
      </c>
      <c r="B44" s="159" t="s">
        <v>234</v>
      </c>
      <c r="C44">
        <v>1.3899999999999999E-2</v>
      </c>
      <c r="D44">
        <v>0</v>
      </c>
      <c r="E44">
        <v>0.14699999999999999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0.16089999999999999</v>
      </c>
    </row>
    <row r="45" spans="1:12" ht="15" customHeight="1" x14ac:dyDescent="0.15">
      <c r="A45">
        <v>44</v>
      </c>
      <c r="B45" s="159" t="s">
        <v>235</v>
      </c>
      <c r="C45">
        <v>8.7499999999999999E-5</v>
      </c>
      <c r="D45">
        <v>0</v>
      </c>
      <c r="E45">
        <v>2.19E-5</v>
      </c>
      <c r="F45">
        <v>0</v>
      </c>
      <c r="G45">
        <v>4.3699999999999998E-5</v>
      </c>
      <c r="H45">
        <v>0</v>
      </c>
      <c r="I45">
        <v>8.7499999999999999E-5</v>
      </c>
      <c r="J45">
        <v>0</v>
      </c>
      <c r="K45">
        <v>1.0900000000000001E-4</v>
      </c>
      <c r="L45">
        <v>3.4959999999999999E-4</v>
      </c>
    </row>
    <row r="46" spans="1:12" ht="15" customHeight="1" x14ac:dyDescent="0.15">
      <c r="A46">
        <v>45</v>
      </c>
      <c r="B46" s="159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2.4000000000000001E-4</v>
      </c>
      <c r="L46">
        <v>2.4000000000000001E-4</v>
      </c>
    </row>
    <row r="47" spans="1:12" ht="15" customHeight="1" x14ac:dyDescent="0.15">
      <c r="A47">
        <v>46</v>
      </c>
      <c r="B47" s="159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1:12" ht="15" customHeight="1" x14ac:dyDescent="0.15">
      <c r="A48">
        <v>47</v>
      </c>
      <c r="B48" s="159" t="s">
        <v>238</v>
      </c>
      <c r="C48">
        <v>3.8100000000000002E-2</v>
      </c>
      <c r="D48">
        <v>6.3200000000000001E-3</v>
      </c>
      <c r="E48">
        <v>1.7000000000000001E-4</v>
      </c>
      <c r="F48">
        <v>3.1599999999999998E-4</v>
      </c>
      <c r="G48">
        <v>9.0000000000000006E-5</v>
      </c>
      <c r="H48">
        <v>1.2199999999999999E-3</v>
      </c>
      <c r="I48">
        <v>8.3599999999999999E-5</v>
      </c>
      <c r="J48">
        <v>0</v>
      </c>
      <c r="K48">
        <v>0</v>
      </c>
      <c r="L48">
        <v>4.6299600000000003E-2</v>
      </c>
    </row>
    <row r="49" spans="1:12" ht="15" customHeight="1" x14ac:dyDescent="0.15">
      <c r="A49">
        <v>48</v>
      </c>
      <c r="B49" s="159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</row>
    <row r="50" spans="1:12" x14ac:dyDescent="0.15">
      <c r="A50">
        <v>49</v>
      </c>
      <c r="B50" s="159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1:12" x14ac:dyDescent="0.15">
      <c r="A51">
        <v>50</v>
      </c>
      <c r="B51" s="159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 x14ac:dyDescent="0.15">
      <c r="A52">
        <v>51</v>
      </c>
      <c r="B52" s="159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 x14ac:dyDescent="0.15">
      <c r="A53">
        <v>52</v>
      </c>
      <c r="B53" s="159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 x14ac:dyDescent="0.15">
      <c r="A54">
        <v>53</v>
      </c>
      <c r="B54" s="159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L5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1640625" bestFit="1" customWidth="1"/>
    <col min="3" max="5" width="8.83203125" bestFit="1" customWidth="1"/>
    <col min="6" max="7" width="8.83203125" customWidth="1"/>
    <col min="8" max="11" width="2.33203125" customWidth="1"/>
    <col min="12" max="12" width="9.83203125" customWidth="1"/>
  </cols>
  <sheetData>
    <row r="1" spans="1:12" s="115" customFormat="1" ht="112" x14ac:dyDescent="0.15">
      <c r="A1" s="5" t="s">
        <v>22</v>
      </c>
      <c r="B1" s="3" t="s">
        <v>0</v>
      </c>
      <c r="C1" s="162" t="s">
        <v>245</v>
      </c>
      <c r="D1" s="162" t="s">
        <v>246</v>
      </c>
      <c r="E1" s="162" t="s">
        <v>247</v>
      </c>
      <c r="F1" s="162" t="s">
        <v>248</v>
      </c>
      <c r="G1" s="162" t="s">
        <v>249</v>
      </c>
      <c r="H1" s="162" t="s">
        <v>250</v>
      </c>
      <c r="I1" s="162" t="s">
        <v>251</v>
      </c>
      <c r="J1" s="162" t="s">
        <v>252</v>
      </c>
      <c r="K1" s="162" t="s">
        <v>253</v>
      </c>
      <c r="L1" s="162" t="s">
        <v>257</v>
      </c>
    </row>
    <row r="2" spans="1:12" x14ac:dyDescent="0.15">
      <c r="A2">
        <v>1</v>
      </c>
      <c r="B2" s="161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15">
      <c r="A3">
        <v>2</v>
      </c>
      <c r="B3" s="161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x14ac:dyDescent="0.15">
      <c r="A4">
        <v>3</v>
      </c>
      <c r="B4" s="161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 x14ac:dyDescent="0.15">
      <c r="A5">
        <v>4</v>
      </c>
      <c r="B5" s="161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 x14ac:dyDescent="0.15">
      <c r="A6">
        <v>5</v>
      </c>
      <c r="B6" s="161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2" x14ac:dyDescent="0.15">
      <c r="A7">
        <v>6</v>
      </c>
      <c r="B7" s="161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2" x14ac:dyDescent="0.15">
      <c r="A8">
        <v>7</v>
      </c>
      <c r="B8" s="161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</row>
    <row r="9" spans="1:12" x14ac:dyDescent="0.15">
      <c r="A9">
        <v>8</v>
      </c>
      <c r="B9" s="161" t="s">
        <v>199</v>
      </c>
      <c r="C9">
        <v>0</v>
      </c>
      <c r="D9">
        <v>2.0000000000000002E-5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2.0000000000000002E-5</v>
      </c>
    </row>
    <row r="10" spans="1:12" x14ac:dyDescent="0.15">
      <c r="A10">
        <v>9</v>
      </c>
      <c r="B10" s="161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 x14ac:dyDescent="0.15">
      <c r="A11">
        <v>10</v>
      </c>
      <c r="B11" s="161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15">
      <c r="A12">
        <v>11</v>
      </c>
      <c r="B12" s="161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15">
      <c r="A13">
        <v>12</v>
      </c>
      <c r="B13" s="161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 x14ac:dyDescent="0.15">
      <c r="A14">
        <v>13</v>
      </c>
      <c r="B14" s="161" t="s">
        <v>204</v>
      </c>
      <c r="C14">
        <v>3.2699999999999998E-4</v>
      </c>
      <c r="D14">
        <v>1.1000000000000001E-3</v>
      </c>
      <c r="E14">
        <v>0</v>
      </c>
      <c r="F14">
        <v>5.8799999999999998E-4</v>
      </c>
      <c r="G14">
        <v>0</v>
      </c>
      <c r="H14">
        <v>0</v>
      </c>
      <c r="I14">
        <v>0</v>
      </c>
      <c r="J14">
        <v>0</v>
      </c>
      <c r="K14">
        <v>0</v>
      </c>
      <c r="L14">
        <v>2.0150000000000003E-3</v>
      </c>
    </row>
    <row r="15" spans="1:12" x14ac:dyDescent="0.15">
      <c r="A15">
        <v>14</v>
      </c>
      <c r="B15" s="161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1:12" x14ac:dyDescent="0.15">
      <c r="A16">
        <v>15</v>
      </c>
      <c r="B16" s="161" t="s">
        <v>206</v>
      </c>
      <c r="C16">
        <v>0</v>
      </c>
      <c r="D16">
        <v>2.1999999999999999E-2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2.1999999999999999E-2</v>
      </c>
    </row>
    <row r="17" spans="1:12" x14ac:dyDescent="0.15">
      <c r="A17">
        <v>16</v>
      </c>
      <c r="B17" s="161" t="s">
        <v>207</v>
      </c>
      <c r="C17">
        <v>1.47E-2</v>
      </c>
      <c r="D17">
        <v>1.92E-3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1.6619999999999999E-2</v>
      </c>
    </row>
    <row r="18" spans="1:12" x14ac:dyDescent="0.15">
      <c r="A18">
        <v>17</v>
      </c>
      <c r="B18" s="161" t="s">
        <v>208</v>
      </c>
      <c r="C18">
        <v>7.9999999999999996E-6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7.9999999999999996E-6</v>
      </c>
    </row>
    <row r="19" spans="1:12" x14ac:dyDescent="0.15">
      <c r="A19">
        <v>18</v>
      </c>
      <c r="B19" s="161" t="s">
        <v>209</v>
      </c>
      <c r="C19">
        <v>0</v>
      </c>
      <c r="D19">
        <v>0</v>
      </c>
      <c r="E19">
        <v>0</v>
      </c>
      <c r="F19">
        <v>1.4999999999999999E-4</v>
      </c>
      <c r="G19">
        <v>1.4999999999999999E-4</v>
      </c>
      <c r="H19">
        <v>0</v>
      </c>
      <c r="I19">
        <v>0</v>
      </c>
      <c r="J19">
        <v>0</v>
      </c>
      <c r="K19">
        <v>0</v>
      </c>
      <c r="L19">
        <v>2.9999999999999997E-4</v>
      </c>
    </row>
    <row r="20" spans="1:12" x14ac:dyDescent="0.15">
      <c r="A20">
        <v>19</v>
      </c>
      <c r="B20" s="161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15">
      <c r="A21">
        <v>20</v>
      </c>
      <c r="B21" s="161" t="s">
        <v>211</v>
      </c>
      <c r="C21">
        <v>1.4599999999999999E-3</v>
      </c>
      <c r="D21">
        <v>1.46E-4</v>
      </c>
      <c r="E21">
        <v>0</v>
      </c>
      <c r="F21">
        <v>2.9300000000000002E-4</v>
      </c>
      <c r="G21">
        <v>0</v>
      </c>
      <c r="H21">
        <v>0</v>
      </c>
      <c r="I21">
        <v>0</v>
      </c>
      <c r="J21">
        <v>0</v>
      </c>
      <c r="K21">
        <v>0</v>
      </c>
      <c r="L21">
        <v>1.8990000000000001E-3</v>
      </c>
    </row>
    <row r="22" spans="1:12" x14ac:dyDescent="0.15">
      <c r="A22">
        <v>21</v>
      </c>
      <c r="B22" s="161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2" x14ac:dyDescent="0.15">
      <c r="A23">
        <v>22</v>
      </c>
      <c r="B23" s="161" t="s">
        <v>213</v>
      </c>
      <c r="C23">
        <v>5.0499999999999998E-3</v>
      </c>
      <c r="D23">
        <v>8.9099999999999997E-4</v>
      </c>
      <c r="E23">
        <v>0</v>
      </c>
      <c r="F23">
        <v>0</v>
      </c>
      <c r="G23">
        <v>1.49E-3</v>
      </c>
      <c r="H23">
        <v>0</v>
      </c>
      <c r="I23">
        <v>0</v>
      </c>
      <c r="J23">
        <v>0</v>
      </c>
      <c r="K23">
        <v>0</v>
      </c>
      <c r="L23">
        <v>7.4310000000000001E-3</v>
      </c>
    </row>
    <row r="24" spans="1:12" x14ac:dyDescent="0.15">
      <c r="A24">
        <v>23</v>
      </c>
      <c r="B24" s="161" t="s">
        <v>214</v>
      </c>
      <c r="C24">
        <v>6.4700000000000001E-4</v>
      </c>
      <c r="D24">
        <v>2.9099999999999998E-3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3.5569999999999998E-3</v>
      </c>
    </row>
    <row r="25" spans="1:12" x14ac:dyDescent="0.15">
      <c r="A25">
        <v>24</v>
      </c>
      <c r="B25" s="161" t="s">
        <v>215</v>
      </c>
      <c r="C25">
        <v>2.9100000000000003E-4</v>
      </c>
      <c r="D25">
        <v>1.31E-3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1.601E-3</v>
      </c>
    </row>
    <row r="26" spans="1:12" x14ac:dyDescent="0.15">
      <c r="A26">
        <v>25</v>
      </c>
      <c r="B26" s="161" t="s">
        <v>216</v>
      </c>
      <c r="C26">
        <v>6.0299999999999999E-2</v>
      </c>
      <c r="D26">
        <v>1.23E-3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6.1530000000000001E-2</v>
      </c>
    </row>
    <row r="27" spans="1:12" x14ac:dyDescent="0.15">
      <c r="A27">
        <v>26</v>
      </c>
      <c r="B27" s="161" t="s">
        <v>217</v>
      </c>
      <c r="C27">
        <v>4.2999999999999999E-4</v>
      </c>
      <c r="D27">
        <v>6.1199999999999997E-5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4.9120000000000001E-4</v>
      </c>
    </row>
    <row r="28" spans="1:12" x14ac:dyDescent="0.15">
      <c r="A28">
        <v>27</v>
      </c>
      <c r="B28" s="161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2" x14ac:dyDescent="0.15">
      <c r="A29">
        <v>28</v>
      </c>
      <c r="B29" s="161" t="s">
        <v>219</v>
      </c>
      <c r="C29">
        <v>2.9799999999999998E-4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2.9799999999999998E-4</v>
      </c>
    </row>
    <row r="30" spans="1:12" x14ac:dyDescent="0.15">
      <c r="A30">
        <v>29</v>
      </c>
      <c r="B30" s="161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x14ac:dyDescent="0.15">
      <c r="A31">
        <v>30</v>
      </c>
      <c r="B31" s="161" t="s">
        <v>221</v>
      </c>
      <c r="C31">
        <v>4.46E-4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4.46E-4</v>
      </c>
    </row>
    <row r="32" spans="1:12" x14ac:dyDescent="0.15">
      <c r="A32">
        <v>31</v>
      </c>
      <c r="B32" s="161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 x14ac:dyDescent="0.15">
      <c r="A33">
        <v>32</v>
      </c>
      <c r="B33" s="161" t="s">
        <v>223</v>
      </c>
      <c r="C33">
        <v>5.9899999999999997E-3</v>
      </c>
      <c r="D33">
        <v>5.0000000000000001E-4</v>
      </c>
      <c r="E33">
        <v>0</v>
      </c>
      <c r="F33">
        <v>5.0000000000000001E-4</v>
      </c>
      <c r="G33">
        <v>0</v>
      </c>
      <c r="H33">
        <v>0</v>
      </c>
      <c r="I33">
        <v>0</v>
      </c>
      <c r="J33">
        <v>0</v>
      </c>
      <c r="K33">
        <v>0</v>
      </c>
      <c r="L33">
        <v>6.9899999999999997E-3</v>
      </c>
    </row>
    <row r="34" spans="1:12" x14ac:dyDescent="0.15">
      <c r="A34">
        <v>33</v>
      </c>
      <c r="B34" s="161" t="s">
        <v>224</v>
      </c>
      <c r="C34">
        <v>7.7799999999999996E-3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7.7799999999999996E-3</v>
      </c>
    </row>
    <row r="35" spans="1:12" x14ac:dyDescent="0.15">
      <c r="A35">
        <v>34</v>
      </c>
      <c r="B35" s="161" t="s">
        <v>225</v>
      </c>
      <c r="C35">
        <v>0</v>
      </c>
      <c r="D35">
        <v>0</v>
      </c>
      <c r="E35">
        <v>0</v>
      </c>
      <c r="F35">
        <v>6.02E-4</v>
      </c>
      <c r="G35">
        <v>2.0100000000000001E-4</v>
      </c>
      <c r="H35">
        <v>0</v>
      </c>
      <c r="I35">
        <v>0</v>
      </c>
      <c r="J35">
        <v>0</v>
      </c>
      <c r="K35">
        <v>0</v>
      </c>
      <c r="L35">
        <v>8.03E-4</v>
      </c>
    </row>
    <row r="36" spans="1:12" x14ac:dyDescent="0.15">
      <c r="A36">
        <v>35</v>
      </c>
      <c r="B36" s="161" t="s">
        <v>226</v>
      </c>
      <c r="C36">
        <v>0</v>
      </c>
      <c r="D36">
        <v>0</v>
      </c>
      <c r="E36">
        <v>0</v>
      </c>
      <c r="F36">
        <v>0</v>
      </c>
      <c r="G36">
        <v>1.56E-3</v>
      </c>
      <c r="H36">
        <v>0</v>
      </c>
      <c r="I36">
        <v>0</v>
      </c>
      <c r="J36">
        <v>0</v>
      </c>
      <c r="K36">
        <v>0</v>
      </c>
      <c r="L36">
        <v>1.56E-3</v>
      </c>
    </row>
    <row r="37" spans="1:12" x14ac:dyDescent="0.15">
      <c r="A37">
        <v>36</v>
      </c>
      <c r="B37" s="161" t="s">
        <v>227</v>
      </c>
      <c r="C37">
        <v>2.2100000000000002E-2</v>
      </c>
      <c r="D37">
        <v>0</v>
      </c>
      <c r="E37">
        <v>1.23E-3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2.333E-2</v>
      </c>
    </row>
    <row r="38" spans="1:12" x14ac:dyDescent="0.15">
      <c r="A38">
        <v>37</v>
      </c>
      <c r="B38" s="161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15">
      <c r="A39">
        <v>38</v>
      </c>
      <c r="B39" s="161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</row>
    <row r="40" spans="1:12" x14ac:dyDescent="0.15">
      <c r="A40">
        <v>39</v>
      </c>
      <c r="B40" s="161" t="s">
        <v>230</v>
      </c>
      <c r="C40">
        <v>0</v>
      </c>
      <c r="D40">
        <v>0</v>
      </c>
      <c r="E40">
        <v>7.9500000000000003E-4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7.9500000000000003E-4</v>
      </c>
    </row>
    <row r="41" spans="1:12" x14ac:dyDescent="0.15">
      <c r="A41">
        <v>40</v>
      </c>
      <c r="B41" s="161" t="s">
        <v>231</v>
      </c>
      <c r="C41">
        <v>0</v>
      </c>
      <c r="D41">
        <v>0</v>
      </c>
      <c r="E41">
        <v>2.8500000000000001E-3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2.8500000000000001E-3</v>
      </c>
    </row>
    <row r="42" spans="1:12" x14ac:dyDescent="0.15">
      <c r="A42">
        <v>41</v>
      </c>
      <c r="B42" s="161" t="s">
        <v>232</v>
      </c>
      <c r="C42">
        <v>0</v>
      </c>
      <c r="D42">
        <v>0</v>
      </c>
      <c r="E42">
        <v>1.07E-3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1.07E-3</v>
      </c>
    </row>
    <row r="43" spans="1:12" x14ac:dyDescent="0.15">
      <c r="A43">
        <v>42</v>
      </c>
      <c r="B43" s="161" t="s">
        <v>233</v>
      </c>
      <c r="C43">
        <v>3.2599999999999999E-3</v>
      </c>
      <c r="D43">
        <v>0</v>
      </c>
      <c r="E43">
        <v>5.6299999999999996E-3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8.8899999999999986E-3</v>
      </c>
    </row>
    <row r="44" spans="1:12" x14ac:dyDescent="0.15">
      <c r="A44">
        <v>43</v>
      </c>
      <c r="B44" s="161" t="s">
        <v>234</v>
      </c>
      <c r="C44">
        <v>8.8699999999999994E-3</v>
      </c>
      <c r="D44">
        <v>0</v>
      </c>
      <c r="E44">
        <v>3.8E-3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1.2669999999999999E-2</v>
      </c>
    </row>
    <row r="45" spans="1:12" x14ac:dyDescent="0.15">
      <c r="A45">
        <v>44</v>
      </c>
      <c r="B45" s="161" t="s">
        <v>235</v>
      </c>
      <c r="C45">
        <v>1.9999999999999999E-6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1.9999999999999999E-6</v>
      </c>
    </row>
    <row r="46" spans="1:12" x14ac:dyDescent="0.15">
      <c r="A46">
        <v>45</v>
      </c>
      <c r="B46" s="161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</row>
    <row r="47" spans="1:12" x14ac:dyDescent="0.15">
      <c r="A47">
        <v>46</v>
      </c>
      <c r="B47" s="161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1:12" x14ac:dyDescent="0.15">
      <c r="A48">
        <v>47</v>
      </c>
      <c r="B48" s="161" t="s">
        <v>238</v>
      </c>
      <c r="C48">
        <v>2.41E-4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2.41E-4</v>
      </c>
    </row>
    <row r="49" spans="1:12" x14ac:dyDescent="0.15">
      <c r="A49">
        <v>48</v>
      </c>
      <c r="B49" s="161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</row>
    <row r="50" spans="1:12" x14ac:dyDescent="0.15">
      <c r="A50">
        <v>49</v>
      </c>
      <c r="B50" s="161" t="s">
        <v>240</v>
      </c>
      <c r="C50">
        <v>0</v>
      </c>
      <c r="D50">
        <v>0</v>
      </c>
      <c r="E50">
        <v>1.07E-4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1.07E-4</v>
      </c>
    </row>
    <row r="51" spans="1:12" x14ac:dyDescent="0.15">
      <c r="A51">
        <v>50</v>
      </c>
      <c r="B51" s="161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 x14ac:dyDescent="0.15">
      <c r="A52">
        <v>51</v>
      </c>
      <c r="B52" s="161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 x14ac:dyDescent="0.15">
      <c r="A53">
        <v>52</v>
      </c>
      <c r="B53" s="161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 x14ac:dyDescent="0.15">
      <c r="A54">
        <v>53</v>
      </c>
      <c r="B54" s="161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6.1640625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63" t="s">
        <v>192</v>
      </c>
      <c r="F2">
        <v>0.98</v>
      </c>
      <c r="G2">
        <v>0.8</v>
      </c>
      <c r="H2">
        <v>0.8</v>
      </c>
      <c r="I2">
        <v>0</v>
      </c>
      <c r="J2" s="114">
        <v>0</v>
      </c>
      <c r="K2" s="114">
        <v>0</v>
      </c>
    </row>
    <row r="3" spans="1:42" x14ac:dyDescent="0.15">
      <c r="A3" s="123" t="s">
        <v>75</v>
      </c>
      <c r="B3" s="125">
        <v>1</v>
      </c>
      <c r="D3">
        <v>2</v>
      </c>
      <c r="E3" s="163" t="s">
        <v>193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63" t="s">
        <v>194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63" t="s">
        <v>195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63" t="s">
        <v>196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63" t="s">
        <v>197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63" t="s">
        <v>198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63" t="s">
        <v>199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63" t="s">
        <v>200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63" t="s">
        <v>201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63" t="s">
        <v>202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63" t="s">
        <v>203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63" t="s">
        <v>204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63" t="s">
        <v>205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63" t="s">
        <v>206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63" t="s">
        <v>207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63" t="s">
        <v>208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63" t="s">
        <v>209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63" t="s">
        <v>210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63" t="s">
        <v>211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63" t="s">
        <v>212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63" t="s">
        <v>213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63" t="s">
        <v>214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63" t="s">
        <v>215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63" t="s">
        <v>216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63" t="s">
        <v>217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63" t="s">
        <v>218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63" t="s">
        <v>219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63" t="s">
        <v>220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63" t="s">
        <v>221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63" t="s">
        <v>222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63" t="s">
        <v>223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63" t="s">
        <v>224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63" t="s">
        <v>225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63" t="s">
        <v>226</v>
      </c>
      <c r="F36">
        <v>0.98</v>
      </c>
      <c r="G36">
        <v>0.8</v>
      </c>
      <c r="H36">
        <v>0.8</v>
      </c>
      <c r="I36">
        <v>0.8</v>
      </c>
      <c r="J36" s="114">
        <v>0.25</v>
      </c>
      <c r="K36" s="114">
        <v>0.05</v>
      </c>
      <c r="Y36"/>
      <c r="AC36"/>
      <c r="AG36"/>
    </row>
    <row r="37" spans="4:33" ht="15" customHeight="1" x14ac:dyDescent="0.15">
      <c r="D37">
        <v>36</v>
      </c>
      <c r="E37" s="163" t="s">
        <v>227</v>
      </c>
      <c r="F37">
        <v>0.98</v>
      </c>
      <c r="G37">
        <v>0.8</v>
      </c>
      <c r="H37">
        <v>0.8</v>
      </c>
      <c r="I37">
        <v>0.8</v>
      </c>
      <c r="J37" s="114">
        <v>0.25</v>
      </c>
      <c r="K37" s="114">
        <v>0.05</v>
      </c>
      <c r="Y37"/>
      <c r="AC37"/>
      <c r="AG37"/>
    </row>
    <row r="38" spans="4:33" ht="15" customHeight="1" x14ac:dyDescent="0.15">
      <c r="D38">
        <v>37</v>
      </c>
      <c r="E38" s="163" t="s">
        <v>228</v>
      </c>
      <c r="F38">
        <v>0.98</v>
      </c>
      <c r="G38">
        <v>0.8</v>
      </c>
      <c r="H38">
        <v>0.8</v>
      </c>
      <c r="I38">
        <v>0.8</v>
      </c>
      <c r="J38" s="114">
        <v>0.25</v>
      </c>
      <c r="K38" s="114">
        <v>0.05</v>
      </c>
      <c r="Y38"/>
      <c r="AC38"/>
      <c r="AG38"/>
    </row>
    <row r="39" spans="4:33" ht="15" customHeight="1" x14ac:dyDescent="0.15">
      <c r="D39">
        <v>38</v>
      </c>
      <c r="E39" s="163" t="s">
        <v>229</v>
      </c>
      <c r="F39">
        <v>0.98</v>
      </c>
      <c r="G39">
        <v>0.8</v>
      </c>
      <c r="H39">
        <v>0.8</v>
      </c>
      <c r="I39">
        <v>0.8</v>
      </c>
      <c r="J39" s="114">
        <v>0.25</v>
      </c>
      <c r="K39" s="114">
        <v>0.05</v>
      </c>
    </row>
    <row r="40" spans="4:33" ht="15" customHeight="1" x14ac:dyDescent="0.15">
      <c r="D40">
        <v>39</v>
      </c>
      <c r="E40" s="163" t="s">
        <v>230</v>
      </c>
      <c r="F40">
        <v>0.98</v>
      </c>
      <c r="G40">
        <v>0.8</v>
      </c>
      <c r="H40">
        <v>0.8</v>
      </c>
      <c r="I40">
        <v>0.8</v>
      </c>
      <c r="J40" s="114">
        <v>0.25</v>
      </c>
      <c r="K40" s="114">
        <v>0.05</v>
      </c>
      <c r="Y40"/>
      <c r="AC40"/>
      <c r="AG40"/>
    </row>
    <row r="41" spans="4:33" ht="15" customHeight="1" x14ac:dyDescent="0.15">
      <c r="D41">
        <v>40</v>
      </c>
      <c r="E41" s="163" t="s">
        <v>231</v>
      </c>
      <c r="F41">
        <v>0.98</v>
      </c>
      <c r="G41">
        <v>0.8</v>
      </c>
      <c r="H41">
        <v>0.8</v>
      </c>
      <c r="I41">
        <v>0.8</v>
      </c>
      <c r="J41" s="114">
        <v>0.25</v>
      </c>
      <c r="K41" s="114">
        <v>0.05</v>
      </c>
      <c r="Y41"/>
      <c r="AC41"/>
      <c r="AG41"/>
    </row>
    <row r="42" spans="4:33" ht="15" customHeight="1" x14ac:dyDescent="0.15">
      <c r="D42">
        <v>41</v>
      </c>
      <c r="E42" s="163" t="s">
        <v>232</v>
      </c>
      <c r="F42">
        <v>0.98</v>
      </c>
      <c r="G42">
        <v>0.8</v>
      </c>
      <c r="H42">
        <v>0.8</v>
      </c>
      <c r="I42">
        <v>0.8</v>
      </c>
      <c r="J42" s="114">
        <v>0.25</v>
      </c>
      <c r="K42" s="114">
        <v>0.05</v>
      </c>
      <c r="Y42"/>
      <c r="AC42"/>
      <c r="AG42"/>
    </row>
    <row r="43" spans="4:33" ht="15" customHeight="1" x14ac:dyDescent="0.15">
      <c r="D43">
        <v>42</v>
      </c>
      <c r="E43" s="163" t="s">
        <v>233</v>
      </c>
      <c r="F43">
        <v>0.98</v>
      </c>
      <c r="G43">
        <v>0.8</v>
      </c>
      <c r="H43">
        <v>0.8</v>
      </c>
      <c r="I43">
        <v>0.8</v>
      </c>
      <c r="J43" s="114">
        <v>0.25</v>
      </c>
      <c r="K43" s="114">
        <v>0.05</v>
      </c>
      <c r="Y43"/>
      <c r="AC43"/>
      <c r="AG43"/>
    </row>
    <row r="44" spans="4:33" ht="15" customHeight="1" x14ac:dyDescent="0.15">
      <c r="D44">
        <v>43</v>
      </c>
      <c r="E44" s="163" t="s">
        <v>234</v>
      </c>
      <c r="F44">
        <v>0.98</v>
      </c>
      <c r="G44">
        <v>0.8</v>
      </c>
      <c r="H44">
        <v>0.8</v>
      </c>
      <c r="I44">
        <v>0.8</v>
      </c>
      <c r="J44" s="114">
        <v>0.25</v>
      </c>
      <c r="K44" s="114">
        <v>0.05</v>
      </c>
      <c r="Y44"/>
      <c r="AC44"/>
      <c r="AG44"/>
    </row>
    <row r="45" spans="4:33" ht="15" customHeight="1" x14ac:dyDescent="0.15">
      <c r="D45">
        <v>44</v>
      </c>
      <c r="E45" s="163" t="s">
        <v>235</v>
      </c>
      <c r="F45">
        <v>0.98</v>
      </c>
      <c r="G45">
        <v>0.8</v>
      </c>
      <c r="H45">
        <v>0.8</v>
      </c>
      <c r="I45">
        <v>0.8</v>
      </c>
      <c r="J45" s="114">
        <v>0.25</v>
      </c>
      <c r="K45" s="114">
        <v>0.05</v>
      </c>
      <c r="Y45"/>
      <c r="AC45"/>
      <c r="AG45"/>
    </row>
    <row r="46" spans="4:33" ht="15" customHeight="1" x14ac:dyDescent="0.15">
      <c r="D46">
        <v>45</v>
      </c>
      <c r="E46" s="163" t="s">
        <v>236</v>
      </c>
      <c r="F46">
        <v>0.98</v>
      </c>
      <c r="G46">
        <v>0.8</v>
      </c>
      <c r="H46">
        <v>0.8</v>
      </c>
      <c r="I46">
        <v>0.8</v>
      </c>
      <c r="J46" s="114">
        <v>0.25</v>
      </c>
      <c r="K46" s="114">
        <v>0.05</v>
      </c>
      <c r="Y46"/>
      <c r="AC46"/>
      <c r="AG46"/>
    </row>
    <row r="47" spans="4:33" ht="15" customHeight="1" x14ac:dyDescent="0.15">
      <c r="D47">
        <v>46</v>
      </c>
      <c r="E47" s="163" t="s">
        <v>237</v>
      </c>
      <c r="F47">
        <v>0.98</v>
      </c>
      <c r="G47">
        <v>0.8</v>
      </c>
      <c r="H47">
        <v>0.8</v>
      </c>
      <c r="I47">
        <v>0.8</v>
      </c>
      <c r="J47" s="114">
        <v>0.25</v>
      </c>
      <c r="K47" s="114">
        <v>0.05</v>
      </c>
      <c r="Y47"/>
      <c r="AC47"/>
      <c r="AG47"/>
    </row>
    <row r="48" spans="4:33" ht="15" customHeight="1" x14ac:dyDescent="0.15">
      <c r="D48">
        <v>47</v>
      </c>
      <c r="E48" s="163" t="s">
        <v>238</v>
      </c>
      <c r="F48">
        <v>0.98</v>
      </c>
      <c r="G48">
        <v>0.8</v>
      </c>
      <c r="H48">
        <v>0.8</v>
      </c>
      <c r="I48">
        <v>0.8</v>
      </c>
      <c r="J48" s="114">
        <v>0.25</v>
      </c>
      <c r="K48" s="114">
        <v>0.05</v>
      </c>
      <c r="Y48"/>
      <c r="AC48"/>
      <c r="AG48"/>
    </row>
    <row r="49" spans="4:33" ht="15" customHeight="1" x14ac:dyDescent="0.15">
      <c r="D49">
        <v>48</v>
      </c>
      <c r="E49" s="163" t="s">
        <v>239</v>
      </c>
      <c r="F49">
        <v>0.98</v>
      </c>
      <c r="G49">
        <v>0.8</v>
      </c>
      <c r="H49">
        <v>0.8</v>
      </c>
      <c r="I49">
        <v>0.8</v>
      </c>
      <c r="J49" s="114">
        <v>0.25</v>
      </c>
      <c r="K49" s="114">
        <v>0.05</v>
      </c>
      <c r="Y49"/>
      <c r="AC49"/>
      <c r="AG49"/>
    </row>
    <row r="50" spans="4:33" ht="15" customHeight="1" x14ac:dyDescent="0.15">
      <c r="D50">
        <v>49</v>
      </c>
      <c r="E50" s="163" t="s">
        <v>240</v>
      </c>
      <c r="F50">
        <v>0.98</v>
      </c>
      <c r="G50">
        <v>0.8</v>
      </c>
      <c r="H50">
        <v>0.8</v>
      </c>
      <c r="I50">
        <v>0.8</v>
      </c>
      <c r="J50" s="114">
        <v>0.25</v>
      </c>
      <c r="K50" s="114">
        <v>0.05</v>
      </c>
      <c r="Y50"/>
      <c r="AC50"/>
      <c r="AG50"/>
    </row>
    <row r="51" spans="4:33" ht="15" customHeight="1" x14ac:dyDescent="0.15">
      <c r="D51">
        <v>50</v>
      </c>
      <c r="E51" s="163" t="s">
        <v>241</v>
      </c>
      <c r="F51">
        <v>0.98</v>
      </c>
      <c r="G51">
        <v>0.8</v>
      </c>
      <c r="H51">
        <v>0.8</v>
      </c>
      <c r="I51">
        <v>0.8</v>
      </c>
      <c r="J51" s="114">
        <v>0.25</v>
      </c>
      <c r="K51" s="114">
        <v>0.05</v>
      </c>
      <c r="Y51"/>
      <c r="AC51"/>
      <c r="AG51"/>
    </row>
    <row r="52" spans="4:33" ht="15" customHeight="1" x14ac:dyDescent="0.15">
      <c r="D52">
        <v>51</v>
      </c>
      <c r="E52" s="163" t="s">
        <v>242</v>
      </c>
      <c r="F52">
        <v>0.98</v>
      </c>
      <c r="G52">
        <v>0.8</v>
      </c>
      <c r="H52">
        <v>0</v>
      </c>
      <c r="I52">
        <v>0</v>
      </c>
      <c r="J52" s="114">
        <v>0</v>
      </c>
      <c r="K52" s="114">
        <v>0</v>
      </c>
      <c r="Y52"/>
      <c r="AC52"/>
      <c r="AG52"/>
    </row>
    <row r="53" spans="4:33" ht="15" customHeight="1" x14ac:dyDescent="0.15">
      <c r="D53">
        <v>52</v>
      </c>
      <c r="E53" s="163" t="s">
        <v>243</v>
      </c>
      <c r="F53">
        <v>0.98</v>
      </c>
      <c r="G53">
        <v>0.8</v>
      </c>
      <c r="H53">
        <v>0</v>
      </c>
      <c r="I53">
        <v>0</v>
      </c>
      <c r="J53" s="114">
        <v>0</v>
      </c>
      <c r="K53" s="114">
        <v>0</v>
      </c>
      <c r="Y53"/>
      <c r="AC53"/>
      <c r="AG53"/>
    </row>
    <row r="54" spans="4:33" ht="15" customHeight="1" x14ac:dyDescent="0.15">
      <c r="D54">
        <v>53</v>
      </c>
      <c r="E54" s="163" t="s">
        <v>244</v>
      </c>
      <c r="F54">
        <v>0.98</v>
      </c>
      <c r="G54">
        <v>0.8</v>
      </c>
      <c r="H54">
        <v>0</v>
      </c>
      <c r="I54">
        <v>0</v>
      </c>
      <c r="J54" s="114">
        <v>0</v>
      </c>
      <c r="K54" s="114">
        <v>0</v>
      </c>
      <c r="Y54"/>
      <c r="AC54"/>
      <c r="AG54"/>
    </row>
    <row r="55" spans="4:33" ht="15" customHeight="1" x14ac:dyDescent="0.15">
      <c r="J55"/>
      <c r="K55"/>
      <c r="Y55"/>
      <c r="AC55"/>
      <c r="AG55"/>
    </row>
    <row r="56" spans="4:33" ht="15" customHeight="1" x14ac:dyDescent="0.15">
      <c r="J56"/>
      <c r="K56"/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B55"/>
  <sheetViews>
    <sheetView workbookViewId="0">
      <selection activeCell="A3" sqref="A3"/>
    </sheetView>
  </sheetViews>
  <sheetFormatPr baseColWidth="10" defaultRowHeight="13" x14ac:dyDescent="0.15"/>
  <cols>
    <col min="1" max="1" width="21.6640625" style="112" bestFit="1" customWidth="1"/>
    <col min="2" max="2" width="2.33203125" style="112" customWidth="1"/>
    <col min="3" max="51" width="3.83203125" style="112" customWidth="1"/>
    <col min="52" max="54" width="2.33203125" style="112" customWidth="1"/>
    <col min="55" max="16384" width="10.83203125" style="112"/>
  </cols>
  <sheetData>
    <row r="1" spans="1:54" x14ac:dyDescent="0.15">
      <c r="A1" s="63" t="s">
        <v>118</v>
      </c>
      <c r="B1" s="165" t="s">
        <v>192</v>
      </c>
      <c r="C1" s="165" t="s">
        <v>193</v>
      </c>
      <c r="D1" s="165" t="s">
        <v>194</v>
      </c>
      <c r="E1" s="165" t="s">
        <v>195</v>
      </c>
      <c r="F1" s="165" t="s">
        <v>196</v>
      </c>
      <c r="G1" s="165" t="s">
        <v>197</v>
      </c>
      <c r="H1" s="165" t="s">
        <v>198</v>
      </c>
      <c r="I1" s="165" t="s">
        <v>199</v>
      </c>
      <c r="J1" s="165" t="s">
        <v>200</v>
      </c>
      <c r="K1" s="165" t="s">
        <v>201</v>
      </c>
      <c r="L1" s="165" t="s">
        <v>202</v>
      </c>
      <c r="M1" s="165" t="s">
        <v>203</v>
      </c>
      <c r="N1" s="165" t="s">
        <v>204</v>
      </c>
      <c r="O1" s="165" t="s">
        <v>205</v>
      </c>
      <c r="P1" s="165" t="s">
        <v>206</v>
      </c>
      <c r="Q1" s="165" t="s">
        <v>207</v>
      </c>
      <c r="R1" s="165" t="s">
        <v>208</v>
      </c>
      <c r="S1" s="165" t="s">
        <v>209</v>
      </c>
      <c r="T1" s="165" t="s">
        <v>210</v>
      </c>
      <c r="U1" s="165" t="s">
        <v>211</v>
      </c>
      <c r="V1" s="165" t="s">
        <v>212</v>
      </c>
      <c r="W1" s="165" t="s">
        <v>213</v>
      </c>
      <c r="X1" s="165" t="s">
        <v>214</v>
      </c>
      <c r="Y1" s="165" t="s">
        <v>215</v>
      </c>
      <c r="Z1" s="165" t="s">
        <v>216</v>
      </c>
      <c r="AA1" s="165" t="s">
        <v>217</v>
      </c>
      <c r="AB1" s="165" t="s">
        <v>218</v>
      </c>
      <c r="AC1" s="165" t="s">
        <v>219</v>
      </c>
      <c r="AD1" s="165" t="s">
        <v>220</v>
      </c>
      <c r="AE1" s="165" t="s">
        <v>221</v>
      </c>
      <c r="AF1" s="165" t="s">
        <v>222</v>
      </c>
      <c r="AG1" s="165" t="s">
        <v>223</v>
      </c>
      <c r="AH1" s="165" t="s">
        <v>224</v>
      </c>
      <c r="AI1" s="165" t="s">
        <v>225</v>
      </c>
      <c r="AJ1" s="165" t="s">
        <v>226</v>
      </c>
      <c r="AK1" s="165" t="s">
        <v>227</v>
      </c>
      <c r="AL1" s="165" t="s">
        <v>228</v>
      </c>
      <c r="AM1" s="165" t="s">
        <v>229</v>
      </c>
      <c r="AN1" s="165" t="s">
        <v>230</v>
      </c>
      <c r="AO1" s="165" t="s">
        <v>231</v>
      </c>
      <c r="AP1" s="165" t="s">
        <v>232</v>
      </c>
      <c r="AQ1" s="165" t="s">
        <v>233</v>
      </c>
      <c r="AR1" s="165" t="s">
        <v>234</v>
      </c>
      <c r="AS1" s="165" t="s">
        <v>235</v>
      </c>
      <c r="AT1" s="165" t="s">
        <v>236</v>
      </c>
      <c r="AU1" s="165" t="s">
        <v>237</v>
      </c>
      <c r="AV1" s="165" t="s">
        <v>238</v>
      </c>
      <c r="AW1" s="165" t="s">
        <v>239</v>
      </c>
      <c r="AX1" s="165" t="s">
        <v>240</v>
      </c>
      <c r="AY1" s="165" t="s">
        <v>241</v>
      </c>
      <c r="AZ1" s="165" t="s">
        <v>242</v>
      </c>
      <c r="BA1" s="165" t="s">
        <v>243</v>
      </c>
      <c r="BB1" s="165" t="s">
        <v>244</v>
      </c>
    </row>
    <row r="2" spans="1:54" customFormat="1" x14ac:dyDescent="0.15">
      <c r="A2" s="164" t="s">
        <v>192</v>
      </c>
      <c r="B2" s="112">
        <v>0</v>
      </c>
      <c r="C2" s="112">
        <v>0.8</v>
      </c>
      <c r="D2" s="112">
        <v>0.8</v>
      </c>
      <c r="E2" s="112">
        <v>0</v>
      </c>
      <c r="F2" s="112">
        <v>0</v>
      </c>
      <c r="G2" s="112">
        <v>0.8</v>
      </c>
      <c r="H2" s="112">
        <v>0.8</v>
      </c>
      <c r="I2" s="112">
        <v>0</v>
      </c>
      <c r="J2" s="112">
        <v>0.8</v>
      </c>
      <c r="K2" s="112">
        <v>0.8</v>
      </c>
      <c r="L2" s="112">
        <v>0.8</v>
      </c>
      <c r="M2" s="112">
        <v>0</v>
      </c>
      <c r="N2" s="112">
        <v>0</v>
      </c>
      <c r="O2" s="112">
        <v>0.8</v>
      </c>
      <c r="P2" s="112">
        <v>0.8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0.8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0.8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</row>
    <row r="3" spans="1:54" customFormat="1" x14ac:dyDescent="0.15">
      <c r="A3" s="164" t="s">
        <v>193</v>
      </c>
      <c r="B3" s="112">
        <v>0</v>
      </c>
      <c r="C3" s="112">
        <v>0.8</v>
      </c>
      <c r="D3" s="112">
        <v>0.8</v>
      </c>
      <c r="E3" s="112">
        <v>0</v>
      </c>
      <c r="F3" s="112">
        <v>0</v>
      </c>
      <c r="G3" s="112">
        <v>0.8</v>
      </c>
      <c r="H3" s="112">
        <v>0.8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0.8</v>
      </c>
      <c r="Q3" s="112">
        <v>0.8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0.8</v>
      </c>
      <c r="Y3" s="112">
        <v>0.8</v>
      </c>
      <c r="Z3" s="112">
        <v>0</v>
      </c>
      <c r="AA3" s="112">
        <v>0</v>
      </c>
      <c r="AB3" s="112">
        <v>0.8</v>
      </c>
      <c r="AC3" s="112">
        <v>0.8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0.8</v>
      </c>
      <c r="AO3" s="112">
        <v>0.8</v>
      </c>
      <c r="AP3" s="112">
        <v>0.8</v>
      </c>
      <c r="AQ3" s="112">
        <v>0.8</v>
      </c>
      <c r="AR3" s="112">
        <v>0.8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</row>
    <row r="4" spans="1:54" customFormat="1" x14ac:dyDescent="0.15">
      <c r="A4" s="164" t="s">
        <v>194</v>
      </c>
      <c r="B4" s="112">
        <v>0</v>
      </c>
      <c r="C4" s="112">
        <v>0</v>
      </c>
      <c r="D4" s="112">
        <v>0.8</v>
      </c>
      <c r="E4" s="112">
        <v>0.8</v>
      </c>
      <c r="F4" s="112">
        <v>0</v>
      </c>
      <c r="G4" s="112">
        <v>0.8</v>
      </c>
      <c r="H4" s="112">
        <v>0.8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0.8</v>
      </c>
      <c r="Q4" s="112">
        <v>0.8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0.8</v>
      </c>
      <c r="Y4" s="112">
        <v>0.8</v>
      </c>
      <c r="Z4" s="112">
        <v>0</v>
      </c>
      <c r="AA4" s="112">
        <v>0</v>
      </c>
      <c r="AB4" s="112">
        <v>0.8</v>
      </c>
      <c r="AC4" s="112">
        <v>0.8</v>
      </c>
      <c r="AD4" s="112">
        <v>0.8</v>
      </c>
      <c r="AE4" s="112">
        <v>0</v>
      </c>
      <c r="AF4" s="112">
        <v>0</v>
      </c>
      <c r="AG4" s="112">
        <v>0.8</v>
      </c>
      <c r="AH4" s="112">
        <v>0.8</v>
      </c>
      <c r="AI4" s="112">
        <v>0</v>
      </c>
      <c r="AJ4" s="112">
        <v>0</v>
      </c>
      <c r="AK4" s="112">
        <v>0</v>
      </c>
      <c r="AL4" s="112">
        <v>0</v>
      </c>
      <c r="AM4" s="112">
        <v>0.8</v>
      </c>
      <c r="AN4" s="112">
        <v>0.8</v>
      </c>
      <c r="AO4" s="112">
        <v>0.8</v>
      </c>
      <c r="AP4" s="112">
        <v>0.8</v>
      </c>
      <c r="AQ4" s="112">
        <v>0.8</v>
      </c>
      <c r="AR4" s="112">
        <v>0.8</v>
      </c>
      <c r="AS4" s="112">
        <v>0</v>
      </c>
      <c r="AT4" s="112">
        <v>0</v>
      </c>
      <c r="AU4" s="112">
        <v>0.8</v>
      </c>
      <c r="AV4" s="112">
        <v>0</v>
      </c>
      <c r="AW4" s="112">
        <v>0.8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</row>
    <row r="5" spans="1:54" customFormat="1" x14ac:dyDescent="0.15">
      <c r="A5" s="164" t="s">
        <v>195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0.8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0.8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0.8</v>
      </c>
      <c r="AP5" s="112">
        <v>0</v>
      </c>
      <c r="AQ5" s="112">
        <v>0.8</v>
      </c>
      <c r="AR5" s="112">
        <v>0.8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</row>
    <row r="6" spans="1:54" customFormat="1" x14ac:dyDescent="0.15">
      <c r="A6" s="164" t="s">
        <v>196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0.8</v>
      </c>
      <c r="H6" s="112">
        <v>0.8</v>
      </c>
      <c r="I6" s="112">
        <v>0.8</v>
      </c>
      <c r="J6" s="112">
        <v>0.8</v>
      </c>
      <c r="K6" s="112">
        <v>0</v>
      </c>
      <c r="L6" s="112">
        <v>0</v>
      </c>
      <c r="M6" s="112">
        <v>0</v>
      </c>
      <c r="N6" s="112">
        <v>0</v>
      </c>
      <c r="O6" s="112">
        <v>0.8</v>
      </c>
      <c r="P6" s="112">
        <v>0.8</v>
      </c>
      <c r="Q6" s="112">
        <v>0.8</v>
      </c>
      <c r="R6" s="112">
        <v>0.8</v>
      </c>
      <c r="S6" s="112">
        <v>0.8</v>
      </c>
      <c r="T6" s="112">
        <v>0.8</v>
      </c>
      <c r="U6" s="112">
        <v>0.8</v>
      </c>
      <c r="V6" s="112">
        <v>0.8</v>
      </c>
      <c r="W6" s="112">
        <v>0.8</v>
      </c>
      <c r="X6" s="112">
        <v>0.8</v>
      </c>
      <c r="Y6" s="112">
        <v>0.8</v>
      </c>
      <c r="Z6" s="112">
        <v>0.8</v>
      </c>
      <c r="AA6" s="112">
        <v>0.8</v>
      </c>
      <c r="AB6" s="112">
        <v>0.8</v>
      </c>
      <c r="AC6" s="112">
        <v>0.8</v>
      </c>
      <c r="AD6" s="112">
        <v>0.8</v>
      </c>
      <c r="AE6" s="112">
        <v>0.8</v>
      </c>
      <c r="AF6" s="112">
        <v>0.8</v>
      </c>
      <c r="AG6" s="112">
        <v>0.8</v>
      </c>
      <c r="AH6" s="112">
        <v>0.8</v>
      </c>
      <c r="AI6" s="112">
        <v>0</v>
      </c>
      <c r="AJ6" s="112">
        <v>0</v>
      </c>
      <c r="AK6" s="112">
        <v>0.8</v>
      </c>
      <c r="AL6" s="112">
        <v>0</v>
      </c>
      <c r="AM6" s="112">
        <v>0.8</v>
      </c>
      <c r="AN6" s="112">
        <v>0</v>
      </c>
      <c r="AO6" s="112">
        <v>0</v>
      </c>
      <c r="AP6" s="112">
        <v>0</v>
      </c>
      <c r="AQ6" s="112">
        <v>0.8</v>
      </c>
      <c r="AR6" s="112">
        <v>0.8</v>
      </c>
      <c r="AS6" s="112">
        <v>0.8</v>
      </c>
      <c r="AT6" s="112">
        <v>0.8</v>
      </c>
      <c r="AU6" s="112">
        <v>0</v>
      </c>
      <c r="AV6" s="112">
        <v>0.8</v>
      </c>
      <c r="AW6" s="112">
        <v>0.8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</row>
    <row r="7" spans="1:54" customFormat="1" x14ac:dyDescent="0.15">
      <c r="A7" s="164" t="s">
        <v>197</v>
      </c>
      <c r="B7" s="112">
        <v>0</v>
      </c>
      <c r="C7" s="112">
        <v>0</v>
      </c>
      <c r="D7" s="112">
        <v>0</v>
      </c>
      <c r="E7" s="112">
        <v>0</v>
      </c>
      <c r="F7" s="112">
        <v>0</v>
      </c>
      <c r="G7" s="112">
        <v>0</v>
      </c>
      <c r="H7" s="112">
        <v>0</v>
      </c>
      <c r="I7" s="112">
        <v>0</v>
      </c>
      <c r="J7" s="112">
        <v>0.8</v>
      </c>
      <c r="K7" s="112">
        <v>0</v>
      </c>
      <c r="L7" s="112">
        <v>0</v>
      </c>
      <c r="M7" s="112">
        <v>0</v>
      </c>
      <c r="N7" s="112">
        <v>0</v>
      </c>
      <c r="O7" s="112">
        <v>0.8</v>
      </c>
      <c r="P7" s="112">
        <v>0.8</v>
      </c>
      <c r="Q7" s="112">
        <v>0</v>
      </c>
      <c r="R7" s="112">
        <v>0</v>
      </c>
      <c r="S7" s="112">
        <v>0.8</v>
      </c>
      <c r="T7" s="112">
        <v>0.8</v>
      </c>
      <c r="U7" s="112">
        <v>0</v>
      </c>
      <c r="V7" s="112">
        <v>0</v>
      </c>
      <c r="W7" s="112">
        <v>0.8</v>
      </c>
      <c r="X7" s="112">
        <v>0.8</v>
      </c>
      <c r="Y7" s="112">
        <v>0.8</v>
      </c>
      <c r="Z7" s="112">
        <v>0</v>
      </c>
      <c r="AA7" s="112">
        <v>0</v>
      </c>
      <c r="AB7" s="112">
        <v>0.8</v>
      </c>
      <c r="AC7" s="112">
        <v>0.8</v>
      </c>
      <c r="AD7" s="112">
        <v>0.8</v>
      </c>
      <c r="AE7" s="112">
        <v>0</v>
      </c>
      <c r="AF7" s="112">
        <v>0.8</v>
      </c>
      <c r="AG7" s="112">
        <v>0</v>
      </c>
      <c r="AH7" s="112">
        <v>0.8</v>
      </c>
      <c r="AI7" s="112">
        <v>0</v>
      </c>
      <c r="AJ7" s="112">
        <v>0</v>
      </c>
      <c r="AK7" s="112">
        <v>0</v>
      </c>
      <c r="AL7" s="112">
        <v>0.8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</row>
    <row r="8" spans="1:54" customFormat="1" x14ac:dyDescent="0.15">
      <c r="A8" s="164" t="s">
        <v>198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0</v>
      </c>
      <c r="I8" s="112">
        <v>0.8</v>
      </c>
      <c r="J8" s="112">
        <v>0</v>
      </c>
      <c r="K8" s="112">
        <v>0</v>
      </c>
      <c r="L8" s="112">
        <v>0</v>
      </c>
      <c r="M8" s="112">
        <v>0.8</v>
      </c>
      <c r="N8" s="112">
        <v>0.8</v>
      </c>
      <c r="O8" s="112">
        <v>0.8</v>
      </c>
      <c r="P8" s="112">
        <v>0.8</v>
      </c>
      <c r="Q8" s="112">
        <v>0.8</v>
      </c>
      <c r="R8" s="112">
        <v>0.8</v>
      </c>
      <c r="S8" s="112">
        <v>0</v>
      </c>
      <c r="T8" s="112">
        <v>0</v>
      </c>
      <c r="U8" s="112">
        <v>0.8</v>
      </c>
      <c r="V8" s="112">
        <v>0.8</v>
      </c>
      <c r="W8" s="112">
        <v>0.8</v>
      </c>
      <c r="X8" s="112">
        <v>0</v>
      </c>
      <c r="Y8" s="112">
        <v>0.8</v>
      </c>
      <c r="Z8" s="112">
        <v>0.8</v>
      </c>
      <c r="AA8" s="112">
        <v>0.8</v>
      </c>
      <c r="AB8" s="112">
        <v>0.8</v>
      </c>
      <c r="AC8" s="112">
        <v>0.8</v>
      </c>
      <c r="AD8" s="112">
        <v>0.8</v>
      </c>
      <c r="AE8" s="112">
        <v>0.8</v>
      </c>
      <c r="AF8" s="112">
        <v>0.8</v>
      </c>
      <c r="AG8" s="112">
        <v>0.8</v>
      </c>
      <c r="AH8" s="112">
        <v>0.8</v>
      </c>
      <c r="AI8" s="112">
        <v>0</v>
      </c>
      <c r="AJ8" s="112">
        <v>0.8</v>
      </c>
      <c r="AK8" s="112">
        <v>0.8</v>
      </c>
      <c r="AL8" s="112">
        <v>0.8</v>
      </c>
      <c r="AM8" s="112">
        <v>0</v>
      </c>
      <c r="AN8" s="112">
        <v>0</v>
      </c>
      <c r="AO8" s="112">
        <v>0</v>
      </c>
      <c r="AP8" s="112">
        <v>0</v>
      </c>
      <c r="AQ8" s="112">
        <v>0.8</v>
      </c>
      <c r="AR8" s="112">
        <v>0.8</v>
      </c>
      <c r="AS8" s="112">
        <v>0.8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</row>
    <row r="9" spans="1:54" customFormat="1" x14ac:dyDescent="0.15">
      <c r="A9" s="164" t="s">
        <v>199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0.8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0.8</v>
      </c>
      <c r="AD9" s="112">
        <v>0</v>
      </c>
      <c r="AE9" s="112">
        <v>0</v>
      </c>
      <c r="AF9" s="112">
        <v>0.8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</row>
    <row r="10" spans="1:54" customFormat="1" x14ac:dyDescent="0.15">
      <c r="A10" s="164" t="s">
        <v>200</v>
      </c>
      <c r="B10" s="112">
        <v>0</v>
      </c>
      <c r="C10" s="112">
        <v>0</v>
      </c>
      <c r="D10" s="112">
        <v>0</v>
      </c>
      <c r="E10" s="112">
        <v>0</v>
      </c>
      <c r="F10" s="112">
        <v>0</v>
      </c>
      <c r="G10" s="112">
        <v>0</v>
      </c>
      <c r="H10" s="112">
        <v>0</v>
      </c>
      <c r="I10" s="112">
        <v>0.8</v>
      </c>
      <c r="J10" s="112">
        <v>0.8</v>
      </c>
      <c r="K10" s="112">
        <v>0</v>
      </c>
      <c r="L10" s="112">
        <v>0</v>
      </c>
      <c r="M10" s="112">
        <v>0</v>
      </c>
      <c r="N10" s="112">
        <v>0</v>
      </c>
      <c r="O10" s="112">
        <v>0.8</v>
      </c>
      <c r="P10" s="112">
        <v>0.8</v>
      </c>
      <c r="Q10" s="112">
        <v>0.8</v>
      </c>
      <c r="R10" s="112">
        <v>0.8</v>
      </c>
      <c r="S10" s="112">
        <v>0</v>
      </c>
      <c r="T10" s="112">
        <v>0</v>
      </c>
      <c r="U10" s="112">
        <v>0.8</v>
      </c>
      <c r="V10" s="112">
        <v>0.8</v>
      </c>
      <c r="W10" s="112">
        <v>0.8</v>
      </c>
      <c r="X10" s="112">
        <v>0.8</v>
      </c>
      <c r="Y10" s="112">
        <v>0</v>
      </c>
      <c r="Z10" s="112">
        <v>0</v>
      </c>
      <c r="AA10" s="112">
        <v>0</v>
      </c>
      <c r="AB10" s="112">
        <v>0.8</v>
      </c>
      <c r="AC10" s="112">
        <v>0.8</v>
      </c>
      <c r="AD10" s="112">
        <v>0.8</v>
      </c>
      <c r="AE10" s="112">
        <v>0</v>
      </c>
      <c r="AF10" s="112">
        <v>0.8</v>
      </c>
      <c r="AG10" s="112">
        <v>0.8</v>
      </c>
      <c r="AH10" s="112">
        <v>0.8</v>
      </c>
      <c r="AI10" s="112">
        <v>0</v>
      </c>
      <c r="AJ10" s="112">
        <v>0</v>
      </c>
      <c r="AK10" s="112">
        <v>0</v>
      </c>
      <c r="AL10" s="112">
        <v>0.8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0.8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</row>
    <row r="11" spans="1:54" customFormat="1" x14ac:dyDescent="0.15">
      <c r="A11" s="164" t="s">
        <v>201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0.8</v>
      </c>
      <c r="J11" s="112">
        <v>0.8</v>
      </c>
      <c r="K11" s="112">
        <v>0</v>
      </c>
      <c r="L11" s="112">
        <v>0</v>
      </c>
      <c r="M11" s="112">
        <v>0.8</v>
      </c>
      <c r="N11" s="112">
        <v>0.8</v>
      </c>
      <c r="O11" s="112">
        <v>0.8</v>
      </c>
      <c r="P11" s="112">
        <v>0.8</v>
      </c>
      <c r="Q11" s="112">
        <v>0.8</v>
      </c>
      <c r="R11" s="112">
        <v>0.8</v>
      </c>
      <c r="S11" s="112">
        <v>0.8</v>
      </c>
      <c r="T11" s="112">
        <v>0.8</v>
      </c>
      <c r="U11" s="112">
        <v>0.8</v>
      </c>
      <c r="V11" s="112">
        <v>0.8</v>
      </c>
      <c r="W11" s="112">
        <v>0.8</v>
      </c>
      <c r="X11" s="112">
        <v>0.8</v>
      </c>
      <c r="Y11" s="112">
        <v>0.8</v>
      </c>
      <c r="Z11" s="112">
        <v>0.8</v>
      </c>
      <c r="AA11" s="112">
        <v>0</v>
      </c>
      <c r="AB11" s="112">
        <v>0.8</v>
      </c>
      <c r="AC11" s="112">
        <v>0.8</v>
      </c>
      <c r="AD11" s="112">
        <v>0.8</v>
      </c>
      <c r="AE11" s="112">
        <v>0</v>
      </c>
      <c r="AF11" s="112">
        <v>0.8</v>
      </c>
      <c r="AG11" s="112">
        <v>0.8</v>
      </c>
      <c r="AH11" s="112">
        <v>0.8</v>
      </c>
      <c r="AI11" s="112">
        <v>0</v>
      </c>
      <c r="AJ11" s="112">
        <v>0</v>
      </c>
      <c r="AK11" s="112">
        <v>0.8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0.8</v>
      </c>
      <c r="AT11" s="112">
        <v>0</v>
      </c>
      <c r="AU11" s="112">
        <v>0</v>
      </c>
      <c r="AV11" s="112">
        <v>0</v>
      </c>
      <c r="AW11" s="112">
        <v>0</v>
      </c>
      <c r="AX11" s="112">
        <v>0.8</v>
      </c>
      <c r="AY11" s="112">
        <v>0</v>
      </c>
      <c r="AZ11" s="112">
        <v>0</v>
      </c>
      <c r="BA11" s="112">
        <v>0</v>
      </c>
      <c r="BB11" s="112">
        <v>0</v>
      </c>
    </row>
    <row r="12" spans="1:54" customFormat="1" x14ac:dyDescent="0.15">
      <c r="A12" s="164" t="s">
        <v>202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0.8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</row>
    <row r="13" spans="1:54" customFormat="1" x14ac:dyDescent="0.15">
      <c r="A13" s="164" t="s">
        <v>203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0.8</v>
      </c>
      <c r="J13" s="112">
        <v>0</v>
      </c>
      <c r="K13" s="112">
        <v>0</v>
      </c>
      <c r="L13" s="112">
        <v>0</v>
      </c>
      <c r="M13" s="112">
        <v>0.8</v>
      </c>
      <c r="N13" s="112">
        <v>0.8</v>
      </c>
      <c r="O13" s="112">
        <v>0.8</v>
      </c>
      <c r="P13" s="112">
        <v>0.8</v>
      </c>
      <c r="Q13" s="112">
        <v>0.8</v>
      </c>
      <c r="R13" s="112">
        <v>0.8</v>
      </c>
      <c r="S13" s="112">
        <v>0.8</v>
      </c>
      <c r="T13" s="112">
        <v>0.8</v>
      </c>
      <c r="U13" s="112">
        <v>0</v>
      </c>
      <c r="V13" s="112">
        <v>0</v>
      </c>
      <c r="W13" s="112">
        <v>0.8</v>
      </c>
      <c r="X13" s="112">
        <v>0</v>
      </c>
      <c r="Y13" s="112">
        <v>0.8</v>
      </c>
      <c r="Z13" s="112">
        <v>0.8</v>
      </c>
      <c r="AA13" s="112">
        <v>0.8</v>
      </c>
      <c r="AB13" s="112">
        <v>0.8</v>
      </c>
      <c r="AC13" s="112">
        <v>0.8</v>
      </c>
      <c r="AD13" s="112">
        <v>0.8</v>
      </c>
      <c r="AE13" s="112">
        <v>0</v>
      </c>
      <c r="AF13" s="112">
        <v>0.8</v>
      </c>
      <c r="AG13" s="112">
        <v>0.8</v>
      </c>
      <c r="AH13" s="112">
        <v>0.8</v>
      </c>
      <c r="AI13" s="112">
        <v>0.8</v>
      </c>
      <c r="AJ13" s="112">
        <v>0.8</v>
      </c>
      <c r="AK13" s="112">
        <v>0.8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0.8</v>
      </c>
      <c r="AR13" s="112">
        <v>0</v>
      </c>
      <c r="AS13" s="112">
        <v>0.8</v>
      </c>
      <c r="AT13" s="112">
        <v>0</v>
      </c>
      <c r="AU13" s="112">
        <v>0</v>
      </c>
      <c r="AV13" s="112">
        <v>0.8</v>
      </c>
      <c r="AW13" s="112">
        <v>0.8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</row>
    <row r="14" spans="1:54" customFormat="1" x14ac:dyDescent="0.15">
      <c r="A14" s="164" t="s">
        <v>204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0.8</v>
      </c>
      <c r="AG14" s="112">
        <v>0.8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</row>
    <row r="15" spans="1:54" customFormat="1" x14ac:dyDescent="0.15">
      <c r="A15" s="164" t="s">
        <v>205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0.8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</row>
    <row r="16" spans="1:54" customFormat="1" x14ac:dyDescent="0.15">
      <c r="A16" s="164" t="s">
        <v>206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0.8</v>
      </c>
      <c r="P16" s="112">
        <v>0.8</v>
      </c>
      <c r="Q16" s="112">
        <v>0.8</v>
      </c>
      <c r="R16" s="112">
        <v>0.8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0.8</v>
      </c>
      <c r="Z16" s="112">
        <v>0.8</v>
      </c>
      <c r="AA16" s="112">
        <v>0</v>
      </c>
      <c r="AB16" s="112">
        <v>0</v>
      </c>
      <c r="AC16" s="112">
        <v>0.8</v>
      </c>
      <c r="AD16" s="112">
        <v>0.8</v>
      </c>
      <c r="AE16" s="112">
        <v>0.8</v>
      </c>
      <c r="AF16" s="112">
        <v>0.8</v>
      </c>
      <c r="AG16" s="112">
        <v>0.8</v>
      </c>
      <c r="AH16" s="112">
        <v>0</v>
      </c>
      <c r="AI16" s="112">
        <v>0.8</v>
      </c>
      <c r="AJ16" s="112">
        <v>0.8</v>
      </c>
      <c r="AK16" s="112">
        <v>0</v>
      </c>
      <c r="AL16" s="112">
        <v>0.8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0.8</v>
      </c>
      <c r="AS16" s="112">
        <v>0.8</v>
      </c>
      <c r="AT16" s="112">
        <v>0.8</v>
      </c>
      <c r="AU16" s="112">
        <v>0</v>
      </c>
      <c r="AV16" s="112">
        <v>0.8</v>
      </c>
      <c r="AW16" s="112">
        <v>0</v>
      </c>
      <c r="AX16" s="112">
        <v>0</v>
      </c>
      <c r="AY16" s="112">
        <v>0.8</v>
      </c>
      <c r="AZ16" s="112">
        <v>0</v>
      </c>
      <c r="BA16" s="112">
        <v>0</v>
      </c>
      <c r="BB16" s="112">
        <v>0</v>
      </c>
    </row>
    <row r="17" spans="1:54" customFormat="1" x14ac:dyDescent="0.15">
      <c r="A17" s="164" t="s">
        <v>207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0.8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0.8</v>
      </c>
      <c r="AC17" s="112">
        <v>0.8</v>
      </c>
      <c r="AD17" s="112">
        <v>0.8</v>
      </c>
      <c r="AE17" s="112">
        <v>0.8</v>
      </c>
      <c r="AF17" s="112">
        <v>0.8</v>
      </c>
      <c r="AG17" s="112">
        <v>0.8</v>
      </c>
      <c r="AH17" s="112">
        <v>0.8</v>
      </c>
      <c r="AI17" s="112">
        <v>0.8</v>
      </c>
      <c r="AJ17" s="112">
        <v>0.8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0.8</v>
      </c>
      <c r="AR17" s="112">
        <v>0.8</v>
      </c>
      <c r="AS17" s="112">
        <v>0</v>
      </c>
      <c r="AT17" s="112">
        <v>0.8</v>
      </c>
      <c r="AU17" s="112">
        <v>0</v>
      </c>
      <c r="AV17" s="112">
        <v>0.8</v>
      </c>
      <c r="AW17" s="112">
        <v>0.8</v>
      </c>
      <c r="AX17" s="112">
        <v>0</v>
      </c>
      <c r="AY17" s="112">
        <v>0.8</v>
      </c>
      <c r="AZ17" s="112">
        <v>0</v>
      </c>
      <c r="BA17" s="112">
        <v>0</v>
      </c>
      <c r="BB17" s="112">
        <v>0</v>
      </c>
    </row>
    <row r="18" spans="1:54" customFormat="1" x14ac:dyDescent="0.15">
      <c r="A18" s="164" t="s">
        <v>208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0.8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</row>
    <row r="19" spans="1:54" customFormat="1" x14ac:dyDescent="0.15">
      <c r="A19" s="164" t="s">
        <v>209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0.8</v>
      </c>
      <c r="AC19" s="112">
        <v>0</v>
      </c>
      <c r="AD19" s="112">
        <v>0.8</v>
      </c>
      <c r="AE19" s="112">
        <v>0</v>
      </c>
      <c r="AF19" s="112">
        <v>0.8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0.8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</row>
    <row r="20" spans="1:54" customFormat="1" x14ac:dyDescent="0.15">
      <c r="A20" s="164" t="s">
        <v>210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0.8</v>
      </c>
      <c r="AZ20" s="112">
        <v>0</v>
      </c>
      <c r="BA20" s="112">
        <v>0</v>
      </c>
      <c r="BB20" s="112">
        <v>0</v>
      </c>
    </row>
    <row r="21" spans="1:54" customFormat="1" x14ac:dyDescent="0.15">
      <c r="A21" s="164" t="s">
        <v>211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0.8</v>
      </c>
      <c r="AE21" s="112">
        <v>0</v>
      </c>
      <c r="AF21" s="112">
        <v>0.8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0.8</v>
      </c>
      <c r="AU21" s="112">
        <v>0</v>
      </c>
      <c r="AV21" s="112">
        <v>0.8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</row>
    <row r="22" spans="1:54" customFormat="1" x14ac:dyDescent="0.15">
      <c r="A22" s="164" t="s">
        <v>212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0.8</v>
      </c>
      <c r="AZ22" s="112">
        <v>0</v>
      </c>
      <c r="BA22" s="112">
        <v>0</v>
      </c>
      <c r="BB22" s="112">
        <v>0</v>
      </c>
    </row>
    <row r="23" spans="1:54" customFormat="1" x14ac:dyDescent="0.15">
      <c r="A23" s="164" t="s">
        <v>213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0.8</v>
      </c>
      <c r="AC23" s="112">
        <v>0.8</v>
      </c>
      <c r="AD23" s="112">
        <v>0.8</v>
      </c>
      <c r="AE23" s="112">
        <v>0</v>
      </c>
      <c r="AF23" s="112">
        <v>0.8</v>
      </c>
      <c r="AG23" s="112">
        <v>0.8</v>
      </c>
      <c r="AH23" s="112">
        <v>0.8</v>
      </c>
      <c r="AI23" s="112">
        <v>0.8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0.8</v>
      </c>
      <c r="AR23" s="112">
        <v>0</v>
      </c>
      <c r="AS23" s="112">
        <v>0</v>
      </c>
      <c r="AT23" s="112">
        <v>0.8</v>
      </c>
      <c r="AU23" s="112">
        <v>0</v>
      </c>
      <c r="AV23" s="112">
        <v>0</v>
      </c>
      <c r="AW23" s="112">
        <v>0</v>
      </c>
      <c r="AX23" s="112">
        <v>0</v>
      </c>
      <c r="AY23" s="112">
        <v>0.8</v>
      </c>
      <c r="AZ23" s="112">
        <v>0</v>
      </c>
      <c r="BA23" s="112">
        <v>0</v>
      </c>
      <c r="BB23" s="112">
        <v>0</v>
      </c>
    </row>
    <row r="24" spans="1:54" customFormat="1" x14ac:dyDescent="0.15">
      <c r="A24" s="164" t="s">
        <v>214</v>
      </c>
      <c r="B24" s="112">
        <v>0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0.8</v>
      </c>
      <c r="AE24" s="112">
        <v>0</v>
      </c>
      <c r="AF24" s="112">
        <v>0</v>
      </c>
      <c r="AG24" s="112">
        <v>0</v>
      </c>
      <c r="AH24" s="112">
        <v>0</v>
      </c>
      <c r="AI24" s="112">
        <v>0.8</v>
      </c>
      <c r="AJ24" s="112">
        <v>0.8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0.8</v>
      </c>
      <c r="AZ24" s="112">
        <v>0</v>
      </c>
      <c r="BA24" s="112">
        <v>0</v>
      </c>
      <c r="BB24" s="112">
        <v>0</v>
      </c>
    </row>
    <row r="25" spans="1:54" customFormat="1" x14ac:dyDescent="0.15">
      <c r="A25" s="164" t="s">
        <v>215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0.8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0.8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0.8</v>
      </c>
      <c r="AZ25" s="112">
        <v>0</v>
      </c>
      <c r="BA25" s="112">
        <v>0</v>
      </c>
      <c r="BB25" s="112">
        <v>0</v>
      </c>
    </row>
    <row r="26" spans="1:54" customFormat="1" x14ac:dyDescent="0.15">
      <c r="A26" s="164" t="s">
        <v>216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0</v>
      </c>
      <c r="AC26" s="112">
        <v>0</v>
      </c>
      <c r="AD26" s="112">
        <v>0</v>
      </c>
      <c r="AE26" s="112">
        <v>0.8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0.8</v>
      </c>
      <c r="AS26" s="112">
        <v>0</v>
      </c>
      <c r="AT26" s="112">
        <v>0.8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</row>
    <row r="27" spans="1:54" customFormat="1" x14ac:dyDescent="0.15">
      <c r="A27" s="164" t="s">
        <v>217</v>
      </c>
      <c r="B27" s="112">
        <v>0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2">
        <v>0</v>
      </c>
      <c r="Q27" s="112">
        <v>0.8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0.8</v>
      </c>
      <c r="AA27" s="112">
        <v>0</v>
      </c>
      <c r="AB27" s="112">
        <v>0.8</v>
      </c>
      <c r="AC27" s="112">
        <v>0.8</v>
      </c>
      <c r="AD27" s="112">
        <v>0.8</v>
      </c>
      <c r="AE27" s="112">
        <v>0.8</v>
      </c>
      <c r="AF27" s="112">
        <v>0.8</v>
      </c>
      <c r="AG27" s="112">
        <v>0.8</v>
      </c>
      <c r="AH27" s="112">
        <v>0.8</v>
      </c>
      <c r="AI27" s="112">
        <v>0.8</v>
      </c>
      <c r="AJ27" s="112">
        <v>0.8</v>
      </c>
      <c r="AK27" s="112">
        <v>0</v>
      </c>
      <c r="AL27" s="112">
        <v>0</v>
      </c>
      <c r="AM27" s="112">
        <v>0</v>
      </c>
      <c r="AN27" s="112">
        <v>0</v>
      </c>
      <c r="AO27" s="112">
        <v>0</v>
      </c>
      <c r="AP27" s="112">
        <v>0</v>
      </c>
      <c r="AQ27" s="112">
        <v>0.8</v>
      </c>
      <c r="AR27" s="112">
        <v>0.8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0.8</v>
      </c>
      <c r="AY27" s="112">
        <v>0.8</v>
      </c>
      <c r="AZ27" s="112">
        <v>0</v>
      </c>
      <c r="BA27" s="112">
        <v>0</v>
      </c>
      <c r="BB27" s="112">
        <v>0</v>
      </c>
    </row>
    <row r="28" spans="1:54" customFormat="1" x14ac:dyDescent="0.15">
      <c r="A28" s="164" t="s">
        <v>218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</v>
      </c>
      <c r="AD28" s="112">
        <v>0.8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</row>
    <row r="29" spans="1:54" customFormat="1" x14ac:dyDescent="0.15">
      <c r="A29" s="164" t="s">
        <v>219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0.8</v>
      </c>
      <c r="AA29" s="112">
        <v>0</v>
      </c>
      <c r="AB29" s="112">
        <v>0.8</v>
      </c>
      <c r="AC29" s="112">
        <v>0.8</v>
      </c>
      <c r="AD29" s="112">
        <v>0.8</v>
      </c>
      <c r="AE29" s="112">
        <v>0</v>
      </c>
      <c r="AF29" s="112">
        <v>0</v>
      </c>
      <c r="AG29" s="112">
        <v>0</v>
      </c>
      <c r="AH29" s="112">
        <v>0.8</v>
      </c>
      <c r="AI29" s="112">
        <v>0.8</v>
      </c>
      <c r="AJ29" s="112">
        <v>0.8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  <c r="AP29" s="112">
        <v>0</v>
      </c>
      <c r="AQ29" s="112">
        <v>0.8</v>
      </c>
      <c r="AR29" s="112">
        <v>0.8</v>
      </c>
      <c r="AS29" s="112">
        <v>0</v>
      </c>
      <c r="AT29" s="112">
        <v>0</v>
      </c>
      <c r="AU29" s="112">
        <v>0</v>
      </c>
      <c r="AV29" s="112">
        <v>0</v>
      </c>
      <c r="AW29" s="112">
        <v>0.8</v>
      </c>
      <c r="AX29" s="112">
        <v>0.8</v>
      </c>
      <c r="AY29" s="112">
        <v>0.8</v>
      </c>
      <c r="AZ29" s="112">
        <v>0</v>
      </c>
      <c r="BA29" s="112">
        <v>0</v>
      </c>
      <c r="BB29" s="112">
        <v>0</v>
      </c>
    </row>
    <row r="30" spans="1:54" customFormat="1" x14ac:dyDescent="0.15">
      <c r="A30" s="164" t="s">
        <v>220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0</v>
      </c>
      <c r="AC30" s="112">
        <v>0</v>
      </c>
      <c r="AD30" s="112">
        <v>0</v>
      </c>
      <c r="AE30" s="112">
        <v>0</v>
      </c>
      <c r="AF30" s="112">
        <v>0</v>
      </c>
      <c r="AG30" s="112">
        <v>0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</row>
    <row r="31" spans="1:54" customFormat="1" x14ac:dyDescent="0.15">
      <c r="A31" s="164" t="s">
        <v>221</v>
      </c>
      <c r="B31" s="112">
        <v>0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0.8</v>
      </c>
      <c r="AF31" s="112">
        <v>0</v>
      </c>
      <c r="AG31" s="112">
        <v>0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0.8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</row>
    <row r="32" spans="1:54" customFormat="1" x14ac:dyDescent="0.15">
      <c r="A32" s="164" t="s">
        <v>222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0.8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</row>
    <row r="33" spans="1:54" x14ac:dyDescent="0.15">
      <c r="A33" s="164" t="s">
        <v>223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0</v>
      </c>
      <c r="AF33" s="112">
        <v>0</v>
      </c>
      <c r="AG33" s="112">
        <v>0.8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</row>
    <row r="34" spans="1:54" x14ac:dyDescent="0.15">
      <c r="A34" s="164" t="s">
        <v>224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0.8</v>
      </c>
      <c r="AC34" s="112">
        <v>0</v>
      </c>
      <c r="AD34" s="112">
        <v>0.8</v>
      </c>
      <c r="AE34" s="112">
        <v>0.8</v>
      </c>
      <c r="AF34" s="112">
        <v>0.8</v>
      </c>
      <c r="AG34" s="112">
        <v>0.8</v>
      </c>
      <c r="AH34" s="112">
        <v>0.8</v>
      </c>
      <c r="AI34" s="112">
        <v>0</v>
      </c>
      <c r="AJ34" s="112">
        <v>0.8</v>
      </c>
      <c r="AK34" s="112">
        <v>0</v>
      </c>
      <c r="AL34" s="112">
        <v>0.8</v>
      </c>
      <c r="AM34" s="112">
        <v>0</v>
      </c>
      <c r="AN34" s="112">
        <v>0</v>
      </c>
      <c r="AO34" s="112">
        <v>0</v>
      </c>
      <c r="AP34" s="112">
        <v>0</v>
      </c>
      <c r="AQ34" s="112">
        <v>0.8</v>
      </c>
      <c r="AR34" s="112">
        <v>0.8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0.8</v>
      </c>
      <c r="AY34" s="112">
        <v>0.8</v>
      </c>
      <c r="AZ34" s="112">
        <v>0</v>
      </c>
      <c r="BA34" s="112">
        <v>0</v>
      </c>
      <c r="BB34" s="112">
        <v>0</v>
      </c>
    </row>
    <row r="35" spans="1:54" x14ac:dyDescent="0.15">
      <c r="A35" s="164" t="s">
        <v>225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0.8</v>
      </c>
      <c r="AZ35" s="112">
        <v>0</v>
      </c>
      <c r="BA35" s="112">
        <v>0</v>
      </c>
      <c r="BB35" s="112">
        <v>0</v>
      </c>
    </row>
    <row r="36" spans="1:54" x14ac:dyDescent="0.15">
      <c r="A36" s="164" t="s">
        <v>226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0.8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0.8</v>
      </c>
      <c r="AZ36" s="112">
        <v>0</v>
      </c>
      <c r="BA36" s="112">
        <v>0</v>
      </c>
      <c r="BB36" s="112">
        <v>0</v>
      </c>
    </row>
    <row r="37" spans="1:54" x14ac:dyDescent="0.15">
      <c r="A37" s="164" t="s">
        <v>227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0.8</v>
      </c>
      <c r="AW37" s="112">
        <v>0</v>
      </c>
      <c r="AX37" s="112">
        <v>0.8</v>
      </c>
      <c r="AY37" s="112">
        <v>0</v>
      </c>
      <c r="AZ37" s="112">
        <v>0</v>
      </c>
      <c r="BA37" s="112">
        <v>0</v>
      </c>
      <c r="BB37" s="112">
        <v>0</v>
      </c>
    </row>
    <row r="38" spans="1:54" x14ac:dyDescent="0.15">
      <c r="A38" s="164" t="s">
        <v>228</v>
      </c>
      <c r="B38" s="112">
        <v>0</v>
      </c>
      <c r="C38" s="112">
        <v>0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</row>
    <row r="39" spans="1:54" x14ac:dyDescent="0.15">
      <c r="A39" s="164" t="s">
        <v>229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0.8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0.8</v>
      </c>
      <c r="Y39" s="112">
        <v>0</v>
      </c>
      <c r="Z39" s="112">
        <v>0</v>
      </c>
      <c r="AA39" s="112">
        <v>0</v>
      </c>
      <c r="AB39" s="112">
        <v>0.8</v>
      </c>
      <c r="AC39" s="112">
        <v>0.8</v>
      </c>
      <c r="AD39" s="112">
        <v>0.8</v>
      </c>
      <c r="AE39" s="112">
        <v>0</v>
      </c>
      <c r="AF39" s="112">
        <v>0.8</v>
      </c>
      <c r="AG39" s="112">
        <v>0.8</v>
      </c>
      <c r="AH39" s="112">
        <v>0.8</v>
      </c>
      <c r="AI39" s="112">
        <v>0</v>
      </c>
      <c r="AJ39" s="112">
        <v>0.8</v>
      </c>
      <c r="AK39" s="112">
        <v>0</v>
      </c>
      <c r="AL39" s="112">
        <v>0.8</v>
      </c>
      <c r="AM39" s="112">
        <v>0</v>
      </c>
      <c r="AN39" s="112">
        <v>0</v>
      </c>
      <c r="AO39" s="112">
        <v>0</v>
      </c>
      <c r="AP39" s="112">
        <v>0</v>
      </c>
      <c r="AQ39" s="112">
        <v>0.8</v>
      </c>
      <c r="AR39" s="112">
        <v>0.8</v>
      </c>
      <c r="AS39" s="112">
        <v>0</v>
      </c>
      <c r="AT39" s="112">
        <v>0</v>
      </c>
      <c r="AU39" s="112">
        <v>0</v>
      </c>
      <c r="AV39" s="112">
        <v>0.8</v>
      </c>
      <c r="AW39" s="112">
        <v>0.8</v>
      </c>
      <c r="AX39" s="112">
        <v>0</v>
      </c>
      <c r="AY39" s="112">
        <v>0.8</v>
      </c>
      <c r="AZ39" s="112">
        <v>0</v>
      </c>
      <c r="BA39" s="112">
        <v>0</v>
      </c>
      <c r="BB39" s="112">
        <v>0</v>
      </c>
    </row>
    <row r="40" spans="1:54" x14ac:dyDescent="0.15">
      <c r="A40" s="164" t="s">
        <v>230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0.8</v>
      </c>
      <c r="Y40" s="112">
        <v>0.8</v>
      </c>
      <c r="Z40" s="112">
        <v>0</v>
      </c>
      <c r="AA40" s="112">
        <v>0</v>
      </c>
      <c r="AB40" s="112">
        <v>0.8</v>
      </c>
      <c r="AC40" s="112">
        <v>0</v>
      </c>
      <c r="AD40" s="112">
        <v>0.8</v>
      </c>
      <c r="AE40" s="112">
        <v>0.8</v>
      </c>
      <c r="AF40" s="112">
        <v>0.8</v>
      </c>
      <c r="AG40" s="112">
        <v>0.8</v>
      </c>
      <c r="AH40" s="112">
        <v>0.8</v>
      </c>
      <c r="AI40" s="112">
        <v>0.8</v>
      </c>
      <c r="AJ40" s="112">
        <v>0.8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0.8</v>
      </c>
      <c r="AR40" s="112">
        <v>0.8</v>
      </c>
      <c r="AS40" s="112">
        <v>0</v>
      </c>
      <c r="AT40" s="112">
        <v>0.8</v>
      </c>
      <c r="AU40" s="112">
        <v>0</v>
      </c>
      <c r="AV40" s="112">
        <v>0.8</v>
      </c>
      <c r="AW40" s="112">
        <v>0.8</v>
      </c>
      <c r="AX40" s="112">
        <v>0.8</v>
      </c>
      <c r="AY40" s="112">
        <v>0.8</v>
      </c>
      <c r="AZ40" s="112">
        <v>0</v>
      </c>
      <c r="BA40" s="112">
        <v>0</v>
      </c>
      <c r="BB40" s="112">
        <v>0</v>
      </c>
    </row>
    <row r="41" spans="1:54" x14ac:dyDescent="0.15">
      <c r="A41" s="164" t="s">
        <v>231</v>
      </c>
      <c r="B41" s="112">
        <v>0</v>
      </c>
      <c r="C41" s="112">
        <v>0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0.8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0.8</v>
      </c>
      <c r="Y41" s="112">
        <v>0.8</v>
      </c>
      <c r="Z41" s="112">
        <v>0</v>
      </c>
      <c r="AA41" s="112">
        <v>0</v>
      </c>
      <c r="AB41" s="112">
        <v>0.8</v>
      </c>
      <c r="AC41" s="112">
        <v>0.8</v>
      </c>
      <c r="AD41" s="112">
        <v>0.8</v>
      </c>
      <c r="AE41" s="112">
        <v>0.8</v>
      </c>
      <c r="AF41" s="112">
        <v>0.8</v>
      </c>
      <c r="AG41" s="112">
        <v>0.8</v>
      </c>
      <c r="AH41" s="112">
        <v>0.8</v>
      </c>
      <c r="AI41" s="112">
        <v>0</v>
      </c>
      <c r="AJ41" s="112">
        <v>0.8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0.8</v>
      </c>
      <c r="AR41" s="112">
        <v>0.8</v>
      </c>
      <c r="AS41" s="112">
        <v>0</v>
      </c>
      <c r="AT41" s="112">
        <v>0.8</v>
      </c>
      <c r="AU41" s="112">
        <v>0</v>
      </c>
      <c r="AV41" s="112">
        <v>0</v>
      </c>
      <c r="AW41" s="112">
        <v>0.8</v>
      </c>
      <c r="AX41" s="112">
        <v>0.8</v>
      </c>
      <c r="AY41" s="112">
        <v>0</v>
      </c>
      <c r="AZ41" s="112">
        <v>0</v>
      </c>
      <c r="BA41" s="112">
        <v>0</v>
      </c>
      <c r="BB41" s="112">
        <v>0</v>
      </c>
    </row>
    <row r="42" spans="1:54" x14ac:dyDescent="0.15">
      <c r="A42" s="164" t="s">
        <v>232</v>
      </c>
      <c r="B42" s="112">
        <v>0</v>
      </c>
      <c r="C42" s="112">
        <v>0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0.8</v>
      </c>
      <c r="Y42" s="112">
        <v>0.8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0.8</v>
      </c>
      <c r="AF42" s="112">
        <v>0.8</v>
      </c>
      <c r="AG42" s="112">
        <v>0.8</v>
      </c>
      <c r="AH42" s="112">
        <v>0</v>
      </c>
      <c r="AI42" s="112">
        <v>0</v>
      </c>
      <c r="AJ42" s="112">
        <v>0.8</v>
      </c>
      <c r="AK42" s="112">
        <v>0</v>
      </c>
      <c r="AL42" s="112">
        <v>0.8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0.8</v>
      </c>
      <c r="AS42" s="112">
        <v>0</v>
      </c>
      <c r="AT42" s="112">
        <v>0</v>
      </c>
      <c r="AU42" s="112">
        <v>0</v>
      </c>
      <c r="AV42" s="112">
        <v>0</v>
      </c>
      <c r="AW42" s="112">
        <v>0.8</v>
      </c>
      <c r="AX42" s="112">
        <v>0.8</v>
      </c>
      <c r="AY42" s="112">
        <v>0</v>
      </c>
      <c r="AZ42" s="112">
        <v>0</v>
      </c>
      <c r="BA42" s="112">
        <v>0</v>
      </c>
      <c r="BB42" s="112">
        <v>0</v>
      </c>
    </row>
    <row r="43" spans="1:54" x14ac:dyDescent="0.15">
      <c r="A43" s="164" t="s">
        <v>233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0.8</v>
      </c>
      <c r="AC43" s="112">
        <v>0</v>
      </c>
      <c r="AD43" s="112">
        <v>0.8</v>
      </c>
      <c r="AE43" s="112">
        <v>0.8</v>
      </c>
      <c r="AF43" s="112">
        <v>0</v>
      </c>
      <c r="AG43" s="112">
        <v>0.8</v>
      </c>
      <c r="AH43" s="112">
        <v>0</v>
      </c>
      <c r="AI43" s="112">
        <v>0.8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0.8</v>
      </c>
      <c r="AR43" s="112">
        <v>0</v>
      </c>
      <c r="AS43" s="112">
        <v>0</v>
      </c>
      <c r="AT43" s="112">
        <v>0.8</v>
      </c>
      <c r="AU43" s="112">
        <v>0</v>
      </c>
      <c r="AV43" s="112">
        <v>0.8</v>
      </c>
      <c r="AW43" s="112">
        <v>0.8</v>
      </c>
      <c r="AX43" s="112">
        <v>0.8</v>
      </c>
      <c r="AY43" s="112">
        <v>0.8</v>
      </c>
      <c r="AZ43" s="112">
        <v>0</v>
      </c>
      <c r="BA43" s="112">
        <v>0</v>
      </c>
      <c r="BB43" s="112">
        <v>0</v>
      </c>
    </row>
    <row r="44" spans="1:54" x14ac:dyDescent="0.15">
      <c r="A44" s="164" t="s">
        <v>234</v>
      </c>
      <c r="B44" s="112">
        <v>0</v>
      </c>
      <c r="C44" s="112">
        <v>0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0.8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0.8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0.8</v>
      </c>
      <c r="AU44" s="112">
        <v>0</v>
      </c>
      <c r="AV44" s="112">
        <v>0.8</v>
      </c>
      <c r="AW44" s="112">
        <v>0</v>
      </c>
      <c r="AX44" s="112">
        <v>0.8</v>
      </c>
      <c r="AY44" s="112">
        <v>0.8</v>
      </c>
      <c r="AZ44" s="112">
        <v>0</v>
      </c>
      <c r="BA44" s="112">
        <v>0</v>
      </c>
      <c r="BB44" s="112">
        <v>0</v>
      </c>
    </row>
    <row r="45" spans="1:54" x14ac:dyDescent="0.15">
      <c r="A45" s="164" t="s">
        <v>235</v>
      </c>
      <c r="B45" s="112">
        <v>0</v>
      </c>
      <c r="C45" s="112">
        <v>0</v>
      </c>
      <c r="D45" s="112">
        <v>0</v>
      </c>
      <c r="E45" s="112">
        <v>0</v>
      </c>
      <c r="F45" s="112"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0</v>
      </c>
      <c r="L45" s="112">
        <v>0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112">
        <v>0</v>
      </c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0</v>
      </c>
      <c r="AC45" s="112">
        <v>0</v>
      </c>
      <c r="AD45" s="112">
        <v>0</v>
      </c>
      <c r="AE45" s="112">
        <v>0</v>
      </c>
      <c r="AF45" s="112">
        <v>0</v>
      </c>
      <c r="AG45" s="112">
        <v>0</v>
      </c>
      <c r="AH45" s="112">
        <v>0</v>
      </c>
      <c r="AI45" s="112">
        <v>0</v>
      </c>
      <c r="AJ45" s="112">
        <v>0</v>
      </c>
      <c r="AK45" s="112">
        <v>0</v>
      </c>
      <c r="AL45" s="112">
        <v>0</v>
      </c>
      <c r="AM45" s="112">
        <v>0</v>
      </c>
      <c r="AN45" s="112">
        <v>0</v>
      </c>
      <c r="AO45" s="112">
        <v>0</v>
      </c>
      <c r="AP45" s="112">
        <v>0</v>
      </c>
      <c r="AQ45" s="112">
        <v>0</v>
      </c>
      <c r="AR45" s="112">
        <v>0</v>
      </c>
      <c r="AS45" s="112">
        <v>0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</v>
      </c>
      <c r="BB45" s="112">
        <v>0</v>
      </c>
    </row>
    <row r="46" spans="1:54" x14ac:dyDescent="0.15">
      <c r="A46" s="164" t="s">
        <v>236</v>
      </c>
      <c r="B46" s="112">
        <v>0</v>
      </c>
      <c r="C46" s="112">
        <v>0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0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112">
        <v>0</v>
      </c>
      <c r="Z46" s="112">
        <v>0</v>
      </c>
      <c r="AA46" s="112">
        <v>0</v>
      </c>
      <c r="AB46" s="112">
        <v>0</v>
      </c>
      <c r="AC46" s="112">
        <v>0</v>
      </c>
      <c r="AD46" s="112">
        <v>0</v>
      </c>
      <c r="AE46" s="112">
        <v>0</v>
      </c>
      <c r="AF46" s="112">
        <v>0</v>
      </c>
      <c r="AG46" s="112">
        <v>0</v>
      </c>
      <c r="AH46" s="112">
        <v>0</v>
      </c>
      <c r="AI46" s="112">
        <v>0</v>
      </c>
      <c r="AJ46" s="112">
        <v>0</v>
      </c>
      <c r="AK46" s="112">
        <v>0</v>
      </c>
      <c r="AL46" s="112">
        <v>0</v>
      </c>
      <c r="AM46" s="112">
        <v>0</v>
      </c>
      <c r="AN46" s="112">
        <v>0</v>
      </c>
      <c r="AO46" s="112">
        <v>0</v>
      </c>
      <c r="AP46" s="112">
        <v>0</v>
      </c>
      <c r="AQ46" s="112">
        <v>0</v>
      </c>
      <c r="AR46" s="112">
        <v>0</v>
      </c>
      <c r="AS46" s="112">
        <v>0</v>
      </c>
      <c r="AT46" s="112">
        <v>0.8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</row>
    <row r="47" spans="1:54" x14ac:dyDescent="0.15">
      <c r="A47" s="164" t="s">
        <v>237</v>
      </c>
      <c r="B47" s="112">
        <v>0</v>
      </c>
      <c r="C47" s="112">
        <v>0</v>
      </c>
      <c r="D47" s="112">
        <v>0</v>
      </c>
      <c r="E47" s="112">
        <v>0</v>
      </c>
      <c r="F47" s="112">
        <v>0</v>
      </c>
      <c r="G47" s="112">
        <v>0</v>
      </c>
      <c r="H47" s="112">
        <v>0</v>
      </c>
      <c r="I47" s="112">
        <v>0</v>
      </c>
      <c r="J47" s="112">
        <v>0</v>
      </c>
      <c r="K47" s="112">
        <v>0</v>
      </c>
      <c r="L47" s="112">
        <v>0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112">
        <v>0</v>
      </c>
      <c r="Z47" s="112">
        <v>0</v>
      </c>
      <c r="AA47" s="112">
        <v>0</v>
      </c>
      <c r="AB47" s="112">
        <v>0</v>
      </c>
      <c r="AC47" s="112">
        <v>0</v>
      </c>
      <c r="AD47" s="112">
        <v>0</v>
      </c>
      <c r="AE47" s="112">
        <v>0</v>
      </c>
      <c r="AF47" s="112">
        <v>0</v>
      </c>
      <c r="AG47" s="112">
        <v>0</v>
      </c>
      <c r="AH47" s="112">
        <v>0</v>
      </c>
      <c r="AI47" s="112">
        <v>0</v>
      </c>
      <c r="AJ47" s="112">
        <v>0</v>
      </c>
      <c r="AK47" s="112">
        <v>0</v>
      </c>
      <c r="AL47" s="112">
        <v>0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0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</row>
    <row r="48" spans="1:54" x14ac:dyDescent="0.15">
      <c r="A48" s="164" t="s">
        <v>238</v>
      </c>
      <c r="B48" s="112">
        <v>0</v>
      </c>
      <c r="C48" s="112">
        <v>0</v>
      </c>
      <c r="D48" s="112">
        <v>0</v>
      </c>
      <c r="E48" s="112">
        <v>0</v>
      </c>
      <c r="F48" s="112">
        <v>0</v>
      </c>
      <c r="G48" s="112">
        <v>0</v>
      </c>
      <c r="H48" s="112">
        <v>0</v>
      </c>
      <c r="I48" s="112">
        <v>0</v>
      </c>
      <c r="J48" s="112">
        <v>0</v>
      </c>
      <c r="K48" s="112">
        <v>0</v>
      </c>
      <c r="L48" s="112">
        <v>0</v>
      </c>
      <c r="M48" s="112">
        <v>0</v>
      </c>
      <c r="N48" s="112">
        <v>0</v>
      </c>
      <c r="O48" s="112">
        <v>0</v>
      </c>
      <c r="P48" s="112">
        <v>0</v>
      </c>
      <c r="Q48" s="112">
        <v>0.8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0.8</v>
      </c>
      <c r="X48" s="112">
        <v>0</v>
      </c>
      <c r="Y48" s="112">
        <v>0</v>
      </c>
      <c r="Z48" s="112">
        <v>0.8</v>
      </c>
      <c r="AA48" s="112">
        <v>0</v>
      </c>
      <c r="AB48" s="112">
        <v>0.8</v>
      </c>
      <c r="AC48" s="112">
        <v>0.8</v>
      </c>
      <c r="AD48" s="112">
        <v>0.8</v>
      </c>
      <c r="AE48" s="112">
        <v>0.8</v>
      </c>
      <c r="AF48" s="112">
        <v>0.8</v>
      </c>
      <c r="AG48" s="112">
        <v>0.8</v>
      </c>
      <c r="AH48" s="112">
        <v>0.8</v>
      </c>
      <c r="AI48" s="112">
        <v>0.8</v>
      </c>
      <c r="AJ48" s="112">
        <v>0.8</v>
      </c>
      <c r="AK48" s="112">
        <v>0</v>
      </c>
      <c r="AL48" s="112">
        <v>0.8</v>
      </c>
      <c r="AM48" s="112">
        <v>0</v>
      </c>
      <c r="AN48" s="112">
        <v>0</v>
      </c>
      <c r="AO48" s="112">
        <v>0</v>
      </c>
      <c r="AP48" s="112">
        <v>0</v>
      </c>
      <c r="AQ48" s="112">
        <v>0.8</v>
      </c>
      <c r="AR48" s="112">
        <v>0.8</v>
      </c>
      <c r="AS48" s="112">
        <v>0</v>
      </c>
      <c r="AT48" s="112">
        <v>0.8</v>
      </c>
      <c r="AU48" s="112">
        <v>0</v>
      </c>
      <c r="AV48" s="112">
        <v>0.8</v>
      </c>
      <c r="AW48" s="112">
        <v>0</v>
      </c>
      <c r="AX48" s="112">
        <v>0.8</v>
      </c>
      <c r="AY48" s="112">
        <v>0.8</v>
      </c>
      <c r="AZ48" s="112">
        <v>0</v>
      </c>
      <c r="BA48" s="112">
        <v>0</v>
      </c>
      <c r="BB48" s="112">
        <v>0</v>
      </c>
    </row>
    <row r="49" spans="1:54" x14ac:dyDescent="0.15">
      <c r="A49" s="164" t="s">
        <v>239</v>
      </c>
      <c r="B49" s="112">
        <v>0</v>
      </c>
      <c r="C49" s="112">
        <v>0</v>
      </c>
      <c r="D49" s="112">
        <v>0</v>
      </c>
      <c r="E49" s="112">
        <v>0</v>
      </c>
      <c r="F49" s="112">
        <v>0</v>
      </c>
      <c r="G49" s="112">
        <v>0</v>
      </c>
      <c r="H49" s="112">
        <v>0</v>
      </c>
      <c r="I49" s="112">
        <v>0</v>
      </c>
      <c r="J49" s="112">
        <v>0</v>
      </c>
      <c r="K49" s="112">
        <v>0</v>
      </c>
      <c r="L49" s="112">
        <v>0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112">
        <v>0</v>
      </c>
      <c r="Y49" s="112">
        <v>0</v>
      </c>
      <c r="Z49" s="112">
        <v>0</v>
      </c>
      <c r="AA49" s="112">
        <v>0</v>
      </c>
      <c r="AB49" s="112">
        <v>0</v>
      </c>
      <c r="AC49" s="112">
        <v>0</v>
      </c>
      <c r="AD49" s="112">
        <v>0</v>
      </c>
      <c r="AE49" s="112">
        <v>0</v>
      </c>
      <c r="AF49" s="112">
        <v>0</v>
      </c>
      <c r="AG49" s="112">
        <v>0</v>
      </c>
      <c r="AH49" s="112">
        <v>0</v>
      </c>
      <c r="AI49" s="112">
        <v>0</v>
      </c>
      <c r="AJ49" s="112">
        <v>0</v>
      </c>
      <c r="AK49" s="112">
        <v>0</v>
      </c>
      <c r="AL49" s="112">
        <v>0</v>
      </c>
      <c r="AM49" s="112">
        <v>0</v>
      </c>
      <c r="AN49" s="112">
        <v>0</v>
      </c>
      <c r="AO49" s="112">
        <v>0</v>
      </c>
      <c r="AP49" s="112">
        <v>0</v>
      </c>
      <c r="AQ49" s="112">
        <v>0</v>
      </c>
      <c r="AR49" s="112">
        <v>0</v>
      </c>
      <c r="AS49" s="112">
        <v>0</v>
      </c>
      <c r="AT49" s="112">
        <v>0.8</v>
      </c>
      <c r="AU49" s="112">
        <v>0</v>
      </c>
      <c r="AV49" s="112">
        <v>0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</row>
    <row r="50" spans="1:54" x14ac:dyDescent="0.15">
      <c r="A50" s="164" t="s">
        <v>240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0</v>
      </c>
      <c r="Y50" s="112">
        <v>0</v>
      </c>
      <c r="Z50" s="112">
        <v>0</v>
      </c>
      <c r="AA50" s="112">
        <v>0</v>
      </c>
      <c r="AB50" s="112">
        <v>0</v>
      </c>
      <c r="AC50" s="112">
        <v>0</v>
      </c>
      <c r="AD50" s="112">
        <v>0</v>
      </c>
      <c r="AE50" s="112">
        <v>0</v>
      </c>
      <c r="AF50" s="112">
        <v>0</v>
      </c>
      <c r="AG50" s="112">
        <v>0</v>
      </c>
      <c r="AH50" s="112">
        <v>0</v>
      </c>
      <c r="AI50" s="112">
        <v>0</v>
      </c>
      <c r="AJ50" s="112">
        <v>0</v>
      </c>
      <c r="AK50" s="112">
        <v>0</v>
      </c>
      <c r="AL50" s="112">
        <v>0</v>
      </c>
      <c r="AM50" s="112">
        <v>0</v>
      </c>
      <c r="AN50" s="112">
        <v>0</v>
      </c>
      <c r="AO50" s="112">
        <v>0</v>
      </c>
      <c r="AP50" s="112">
        <v>0</v>
      </c>
      <c r="AQ50" s="112">
        <v>0</v>
      </c>
      <c r="AR50" s="112">
        <v>0</v>
      </c>
      <c r="AS50" s="112">
        <v>0</v>
      </c>
      <c r="AT50" s="112">
        <v>0.8</v>
      </c>
      <c r="AU50" s="112">
        <v>0</v>
      </c>
      <c r="AV50" s="112">
        <v>0</v>
      </c>
      <c r="AW50" s="112">
        <v>0</v>
      </c>
      <c r="AX50" s="112">
        <v>0</v>
      </c>
      <c r="AY50" s="112">
        <v>0</v>
      </c>
      <c r="AZ50" s="112">
        <v>0</v>
      </c>
      <c r="BA50" s="112">
        <v>0</v>
      </c>
      <c r="BB50" s="112">
        <v>0</v>
      </c>
    </row>
    <row r="51" spans="1:54" x14ac:dyDescent="0.15">
      <c r="A51" s="164" t="s">
        <v>241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0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0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0</v>
      </c>
      <c r="AH51" s="112">
        <v>0</v>
      </c>
      <c r="AI51" s="112">
        <v>0</v>
      </c>
      <c r="AJ51" s="112">
        <v>0</v>
      </c>
      <c r="AK51" s="112">
        <v>0</v>
      </c>
      <c r="AL51" s="112">
        <v>0</v>
      </c>
      <c r="AM51" s="112">
        <v>0</v>
      </c>
      <c r="AN51" s="112">
        <v>0</v>
      </c>
      <c r="AO51" s="112">
        <v>0</v>
      </c>
      <c r="AP51" s="112">
        <v>0</v>
      </c>
      <c r="AQ51" s="112">
        <v>0</v>
      </c>
      <c r="AR51" s="112">
        <v>0</v>
      </c>
      <c r="AS51" s="112">
        <v>0</v>
      </c>
      <c r="AT51" s="112">
        <v>0.8</v>
      </c>
      <c r="AU51" s="112">
        <v>0</v>
      </c>
      <c r="AV51" s="112">
        <v>0</v>
      </c>
      <c r="AW51" s="112">
        <v>0</v>
      </c>
      <c r="AX51" s="112">
        <v>0</v>
      </c>
      <c r="AY51" s="112">
        <v>0</v>
      </c>
      <c r="AZ51" s="112">
        <v>0</v>
      </c>
      <c r="BA51" s="112">
        <v>0</v>
      </c>
      <c r="BB51" s="112">
        <v>0</v>
      </c>
    </row>
    <row r="52" spans="1:54" x14ac:dyDescent="0.15">
      <c r="A52" s="164" t="s">
        <v>242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0</v>
      </c>
      <c r="AH52" s="112">
        <v>0</v>
      </c>
      <c r="AI52" s="112">
        <v>0</v>
      </c>
      <c r="AJ52" s="112">
        <v>0</v>
      </c>
      <c r="AK52" s="112">
        <v>0</v>
      </c>
      <c r="AL52" s="112">
        <v>0</v>
      </c>
      <c r="AM52" s="112">
        <v>0</v>
      </c>
      <c r="AN52" s="112">
        <v>0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0.8</v>
      </c>
      <c r="AU52" s="112">
        <v>0</v>
      </c>
      <c r="AV52" s="112">
        <v>0</v>
      </c>
      <c r="AW52" s="112">
        <v>0.8</v>
      </c>
      <c r="AX52" s="112">
        <v>0</v>
      </c>
      <c r="AY52" s="112">
        <v>0</v>
      </c>
      <c r="AZ52" s="112">
        <v>0</v>
      </c>
      <c r="BA52" s="112">
        <v>0</v>
      </c>
      <c r="BB52" s="112">
        <v>0</v>
      </c>
    </row>
    <row r="53" spans="1:54" x14ac:dyDescent="0.15">
      <c r="A53" s="164" t="s">
        <v>243</v>
      </c>
      <c r="B53" s="112">
        <v>0</v>
      </c>
      <c r="C53" s="112">
        <v>0</v>
      </c>
      <c r="D53" s="112">
        <v>0.8</v>
      </c>
      <c r="E53" s="112">
        <v>0</v>
      </c>
      <c r="F53" s="112">
        <v>0.8</v>
      </c>
      <c r="G53" s="112">
        <v>0.8</v>
      </c>
      <c r="H53" s="112">
        <v>0.8</v>
      </c>
      <c r="I53" s="112">
        <v>0</v>
      </c>
      <c r="J53" s="112">
        <v>0.8</v>
      </c>
      <c r="K53" s="112">
        <v>0.8</v>
      </c>
      <c r="L53" s="112">
        <v>0.8</v>
      </c>
      <c r="M53" s="112">
        <v>0.8</v>
      </c>
      <c r="N53" s="112">
        <v>0.8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0</v>
      </c>
      <c r="AJ53" s="112">
        <v>0</v>
      </c>
      <c r="AK53" s="112">
        <v>0</v>
      </c>
      <c r="AL53" s="112">
        <v>0</v>
      </c>
      <c r="AM53" s="112">
        <v>0</v>
      </c>
      <c r="AN53" s="112">
        <v>0</v>
      </c>
      <c r="AO53" s="112">
        <v>0</v>
      </c>
      <c r="AP53" s="112">
        <v>0</v>
      </c>
      <c r="AQ53" s="112">
        <v>0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  <c r="BA53" s="112">
        <v>0</v>
      </c>
      <c r="BB53" s="112">
        <v>0</v>
      </c>
    </row>
    <row r="54" spans="1:54" x14ac:dyDescent="0.15">
      <c r="A54" s="164" t="s">
        <v>244</v>
      </c>
      <c r="B54" s="112">
        <v>0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0</v>
      </c>
      <c r="Y54" s="112">
        <v>0</v>
      </c>
      <c r="Z54" s="112">
        <v>0</v>
      </c>
      <c r="AA54" s="112">
        <v>0</v>
      </c>
      <c r="AB54" s="112">
        <v>0</v>
      </c>
      <c r="AC54" s="112">
        <v>0</v>
      </c>
      <c r="AD54" s="112">
        <v>0</v>
      </c>
      <c r="AE54" s="112">
        <v>0</v>
      </c>
      <c r="AF54" s="112">
        <v>0</v>
      </c>
      <c r="AG54" s="112">
        <v>0</v>
      </c>
      <c r="AH54" s="112">
        <v>0</v>
      </c>
      <c r="AI54" s="112">
        <v>0</v>
      </c>
      <c r="AJ54" s="112">
        <v>0</v>
      </c>
      <c r="AK54" s="112">
        <v>0</v>
      </c>
      <c r="AL54" s="112">
        <v>0</v>
      </c>
      <c r="AM54" s="112">
        <v>0</v>
      </c>
      <c r="AN54" s="112">
        <v>0</v>
      </c>
      <c r="AO54" s="112">
        <v>0</v>
      </c>
      <c r="AP54" s="112">
        <v>0</v>
      </c>
      <c r="AQ54" s="112">
        <v>0</v>
      </c>
      <c r="AR54" s="112">
        <v>0</v>
      </c>
      <c r="AS54" s="112">
        <v>0</v>
      </c>
      <c r="AT54" s="112">
        <v>0</v>
      </c>
      <c r="AU54" s="112">
        <v>0</v>
      </c>
      <c r="AV54" s="112">
        <v>0</v>
      </c>
      <c r="AW54" s="112">
        <v>0</v>
      </c>
      <c r="AX54" s="112">
        <v>0</v>
      </c>
      <c r="AY54" s="112">
        <v>0</v>
      </c>
      <c r="AZ54" s="112">
        <v>0</v>
      </c>
      <c r="BA54" s="112">
        <v>0</v>
      </c>
      <c r="BB54" s="112">
        <v>0</v>
      </c>
    </row>
    <row r="55" spans="1:54" x14ac:dyDescent="0.15">
      <c r="A55" s="164" t="s">
        <v>254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0</v>
      </c>
      <c r="AM55" s="112">
        <v>0</v>
      </c>
      <c r="AN55" s="112">
        <v>0</v>
      </c>
      <c r="AO55" s="112">
        <v>0</v>
      </c>
      <c r="AP55" s="112">
        <v>0</v>
      </c>
      <c r="AQ55" s="112">
        <v>0</v>
      </c>
      <c r="AR55" s="112">
        <v>0</v>
      </c>
      <c r="AS55" s="112">
        <v>0</v>
      </c>
      <c r="AT55" s="112">
        <v>0</v>
      </c>
      <c r="AU55" s="112">
        <v>0.8</v>
      </c>
      <c r="AV55" s="112">
        <v>0</v>
      </c>
      <c r="AW55" s="112">
        <v>0.8</v>
      </c>
      <c r="AX55" s="112">
        <v>0</v>
      </c>
      <c r="AY55" s="112">
        <v>0</v>
      </c>
      <c r="AZ55" s="112">
        <v>0</v>
      </c>
      <c r="BA55" s="112">
        <v>0</v>
      </c>
      <c r="BB55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B55"/>
  <sheetViews>
    <sheetView workbookViewId="0">
      <selection activeCell="A3" sqref="A3"/>
    </sheetView>
  </sheetViews>
  <sheetFormatPr baseColWidth="10" defaultRowHeight="13" x14ac:dyDescent="0.15"/>
  <cols>
    <col min="1" max="1" width="21.6640625" style="112" bestFit="1" customWidth="1"/>
    <col min="2" max="54" width="2.33203125" style="112" customWidth="1"/>
    <col min="55" max="16384" width="10.83203125" style="112"/>
  </cols>
  <sheetData>
    <row r="1" spans="1:54" x14ac:dyDescent="0.15">
      <c r="A1" s="63" t="s">
        <v>139</v>
      </c>
      <c r="B1" s="167" t="s">
        <v>192</v>
      </c>
      <c r="C1" s="167" t="s">
        <v>193</v>
      </c>
      <c r="D1" s="167" t="s">
        <v>194</v>
      </c>
      <c r="E1" s="167" t="s">
        <v>195</v>
      </c>
      <c r="F1" s="167" t="s">
        <v>196</v>
      </c>
      <c r="G1" s="167" t="s">
        <v>197</v>
      </c>
      <c r="H1" s="167" t="s">
        <v>198</v>
      </c>
      <c r="I1" s="167" t="s">
        <v>199</v>
      </c>
      <c r="J1" s="167" t="s">
        <v>200</v>
      </c>
      <c r="K1" s="167" t="s">
        <v>201</v>
      </c>
      <c r="L1" s="167" t="s">
        <v>202</v>
      </c>
      <c r="M1" s="167" t="s">
        <v>203</v>
      </c>
      <c r="N1" s="167" t="s">
        <v>204</v>
      </c>
      <c r="O1" s="167" t="s">
        <v>205</v>
      </c>
      <c r="P1" s="167" t="s">
        <v>206</v>
      </c>
      <c r="Q1" s="167" t="s">
        <v>207</v>
      </c>
      <c r="R1" s="167" t="s">
        <v>208</v>
      </c>
      <c r="S1" s="167" t="s">
        <v>209</v>
      </c>
      <c r="T1" s="167" t="s">
        <v>210</v>
      </c>
      <c r="U1" s="167" t="s">
        <v>211</v>
      </c>
      <c r="V1" s="167" t="s">
        <v>212</v>
      </c>
      <c r="W1" s="167" t="s">
        <v>213</v>
      </c>
      <c r="X1" s="167" t="s">
        <v>214</v>
      </c>
      <c r="Y1" s="167" t="s">
        <v>215</v>
      </c>
      <c r="Z1" s="167" t="s">
        <v>216</v>
      </c>
      <c r="AA1" s="167" t="s">
        <v>217</v>
      </c>
      <c r="AB1" s="167" t="s">
        <v>218</v>
      </c>
      <c r="AC1" s="167" t="s">
        <v>219</v>
      </c>
      <c r="AD1" s="167" t="s">
        <v>220</v>
      </c>
      <c r="AE1" s="167" t="s">
        <v>221</v>
      </c>
      <c r="AF1" s="167" t="s">
        <v>222</v>
      </c>
      <c r="AG1" s="167" t="s">
        <v>223</v>
      </c>
      <c r="AH1" s="167" t="s">
        <v>224</v>
      </c>
      <c r="AI1" s="167" t="s">
        <v>225</v>
      </c>
      <c r="AJ1" s="167" t="s">
        <v>226</v>
      </c>
      <c r="AK1" s="167" t="s">
        <v>227</v>
      </c>
      <c r="AL1" s="167" t="s">
        <v>228</v>
      </c>
      <c r="AM1" s="167" t="s">
        <v>229</v>
      </c>
      <c r="AN1" s="167" t="s">
        <v>230</v>
      </c>
      <c r="AO1" s="167" t="s">
        <v>231</v>
      </c>
      <c r="AP1" s="167" t="s">
        <v>232</v>
      </c>
      <c r="AQ1" s="167" t="s">
        <v>233</v>
      </c>
      <c r="AR1" s="167" t="s">
        <v>234</v>
      </c>
      <c r="AS1" s="167" t="s">
        <v>235</v>
      </c>
      <c r="AT1" s="167" t="s">
        <v>236</v>
      </c>
      <c r="AU1" s="167" t="s">
        <v>237</v>
      </c>
      <c r="AV1" s="167" t="s">
        <v>238</v>
      </c>
      <c r="AW1" s="167" t="s">
        <v>239</v>
      </c>
      <c r="AX1" s="167" t="s">
        <v>240</v>
      </c>
      <c r="AY1" s="167" t="s">
        <v>241</v>
      </c>
      <c r="AZ1" s="167" t="s">
        <v>242</v>
      </c>
      <c r="BA1" s="167" t="s">
        <v>243</v>
      </c>
      <c r="BB1" s="167" t="s">
        <v>244</v>
      </c>
    </row>
    <row r="2" spans="1:54" customFormat="1" x14ac:dyDescent="0.15">
      <c r="A2" s="166" t="s">
        <v>192</v>
      </c>
      <c r="B2" s="112">
        <v>0</v>
      </c>
      <c r="C2" s="112">
        <v>1</v>
      </c>
      <c r="D2" s="112">
        <v>1</v>
      </c>
      <c r="E2" s="112">
        <v>0</v>
      </c>
      <c r="F2" s="112">
        <v>0</v>
      </c>
      <c r="G2" s="112">
        <v>1</v>
      </c>
      <c r="H2" s="112">
        <v>1</v>
      </c>
      <c r="I2" s="112">
        <v>0</v>
      </c>
      <c r="J2" s="112">
        <v>1</v>
      </c>
      <c r="K2" s="112">
        <v>1</v>
      </c>
      <c r="L2" s="112">
        <v>1</v>
      </c>
      <c r="M2" s="112">
        <v>0</v>
      </c>
      <c r="N2" s="112">
        <v>0</v>
      </c>
      <c r="O2" s="112">
        <v>1</v>
      </c>
      <c r="P2" s="112">
        <v>1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1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1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</row>
    <row r="3" spans="1:54" customFormat="1" x14ac:dyDescent="0.15">
      <c r="A3" s="166" t="s">
        <v>193</v>
      </c>
      <c r="B3" s="112">
        <v>0</v>
      </c>
      <c r="C3" s="112">
        <v>1</v>
      </c>
      <c r="D3" s="112">
        <v>1</v>
      </c>
      <c r="E3" s="112">
        <v>0</v>
      </c>
      <c r="F3" s="112">
        <v>0</v>
      </c>
      <c r="G3" s="112">
        <v>1</v>
      </c>
      <c r="H3" s="112">
        <v>1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1</v>
      </c>
      <c r="Q3" s="112">
        <v>1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1</v>
      </c>
      <c r="Y3" s="112">
        <v>1</v>
      </c>
      <c r="Z3" s="112">
        <v>0</v>
      </c>
      <c r="AA3" s="112">
        <v>0</v>
      </c>
      <c r="AB3" s="112">
        <v>1</v>
      </c>
      <c r="AC3" s="112">
        <v>1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1</v>
      </c>
      <c r="AO3" s="112">
        <v>1</v>
      </c>
      <c r="AP3" s="112">
        <v>1</v>
      </c>
      <c r="AQ3" s="112">
        <v>1</v>
      </c>
      <c r="AR3" s="112">
        <v>1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</row>
    <row r="4" spans="1:54" customFormat="1" x14ac:dyDescent="0.15">
      <c r="A4" s="166" t="s">
        <v>194</v>
      </c>
      <c r="B4" s="112">
        <v>0</v>
      </c>
      <c r="C4" s="112">
        <v>0</v>
      </c>
      <c r="D4" s="112">
        <v>1</v>
      </c>
      <c r="E4" s="112">
        <v>1</v>
      </c>
      <c r="F4" s="112">
        <v>0</v>
      </c>
      <c r="G4" s="112">
        <v>1</v>
      </c>
      <c r="H4" s="112">
        <v>1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1</v>
      </c>
      <c r="Q4" s="112">
        <v>1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1</v>
      </c>
      <c r="Y4" s="112">
        <v>1</v>
      </c>
      <c r="Z4" s="112">
        <v>0</v>
      </c>
      <c r="AA4" s="112">
        <v>0</v>
      </c>
      <c r="AB4" s="112">
        <v>1</v>
      </c>
      <c r="AC4" s="112">
        <v>1</v>
      </c>
      <c r="AD4" s="112">
        <v>1</v>
      </c>
      <c r="AE4" s="112">
        <v>0</v>
      </c>
      <c r="AF4" s="112">
        <v>0</v>
      </c>
      <c r="AG4" s="112">
        <v>1</v>
      </c>
      <c r="AH4" s="112">
        <v>1</v>
      </c>
      <c r="AI4" s="112">
        <v>0</v>
      </c>
      <c r="AJ4" s="112">
        <v>0</v>
      </c>
      <c r="AK4" s="112">
        <v>0</v>
      </c>
      <c r="AL4" s="112">
        <v>0</v>
      </c>
      <c r="AM4" s="112">
        <v>1</v>
      </c>
      <c r="AN4" s="112">
        <v>1</v>
      </c>
      <c r="AO4" s="112">
        <v>1</v>
      </c>
      <c r="AP4" s="112">
        <v>1</v>
      </c>
      <c r="AQ4" s="112">
        <v>1</v>
      </c>
      <c r="AR4" s="112">
        <v>1</v>
      </c>
      <c r="AS4" s="112">
        <v>0</v>
      </c>
      <c r="AT4" s="112">
        <v>0</v>
      </c>
      <c r="AU4" s="112">
        <v>1</v>
      </c>
      <c r="AV4" s="112">
        <v>0</v>
      </c>
      <c r="AW4" s="112">
        <v>1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</row>
    <row r="5" spans="1:54" customFormat="1" x14ac:dyDescent="0.15">
      <c r="A5" s="166" t="s">
        <v>195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1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1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1</v>
      </c>
      <c r="AP5" s="112">
        <v>0</v>
      </c>
      <c r="AQ5" s="112">
        <v>1</v>
      </c>
      <c r="AR5" s="112">
        <v>1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</row>
    <row r="6" spans="1:54" customFormat="1" x14ac:dyDescent="0.15">
      <c r="A6" s="166" t="s">
        <v>196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1</v>
      </c>
      <c r="H6" s="112">
        <v>1</v>
      </c>
      <c r="I6" s="112">
        <v>1</v>
      </c>
      <c r="J6" s="112">
        <v>1</v>
      </c>
      <c r="K6" s="112">
        <v>0</v>
      </c>
      <c r="L6" s="112">
        <v>0</v>
      </c>
      <c r="M6" s="112">
        <v>0</v>
      </c>
      <c r="N6" s="112">
        <v>0</v>
      </c>
      <c r="O6" s="112">
        <v>1</v>
      </c>
      <c r="P6" s="112">
        <v>1</v>
      </c>
      <c r="Q6" s="112">
        <v>1</v>
      </c>
      <c r="R6" s="112">
        <v>1</v>
      </c>
      <c r="S6" s="112">
        <v>1</v>
      </c>
      <c r="T6" s="112">
        <v>1</v>
      </c>
      <c r="U6" s="112">
        <v>1</v>
      </c>
      <c r="V6" s="112">
        <v>1</v>
      </c>
      <c r="W6" s="112">
        <v>1</v>
      </c>
      <c r="X6" s="112">
        <v>1</v>
      </c>
      <c r="Y6" s="112">
        <v>1</v>
      </c>
      <c r="Z6" s="112">
        <v>1</v>
      </c>
      <c r="AA6" s="112">
        <v>1</v>
      </c>
      <c r="AB6" s="112">
        <v>1</v>
      </c>
      <c r="AC6" s="112">
        <v>1</v>
      </c>
      <c r="AD6" s="112">
        <v>1</v>
      </c>
      <c r="AE6" s="112">
        <v>1</v>
      </c>
      <c r="AF6" s="112">
        <v>1</v>
      </c>
      <c r="AG6" s="112">
        <v>1</v>
      </c>
      <c r="AH6" s="112">
        <v>1</v>
      </c>
      <c r="AI6" s="112">
        <v>0</v>
      </c>
      <c r="AJ6" s="112">
        <v>0</v>
      </c>
      <c r="AK6" s="112">
        <v>1</v>
      </c>
      <c r="AL6" s="112">
        <v>0</v>
      </c>
      <c r="AM6" s="112">
        <v>1</v>
      </c>
      <c r="AN6" s="112">
        <v>0</v>
      </c>
      <c r="AO6" s="112">
        <v>0</v>
      </c>
      <c r="AP6" s="112">
        <v>0</v>
      </c>
      <c r="AQ6" s="112">
        <v>1</v>
      </c>
      <c r="AR6" s="112">
        <v>1</v>
      </c>
      <c r="AS6" s="112">
        <v>1</v>
      </c>
      <c r="AT6" s="112">
        <v>1</v>
      </c>
      <c r="AU6" s="112">
        <v>0</v>
      </c>
      <c r="AV6" s="112">
        <v>1</v>
      </c>
      <c r="AW6" s="112">
        <v>1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</row>
    <row r="7" spans="1:54" customFormat="1" x14ac:dyDescent="0.15">
      <c r="A7" s="166" t="s">
        <v>197</v>
      </c>
      <c r="B7" s="112">
        <v>0</v>
      </c>
      <c r="C7" s="112">
        <v>0</v>
      </c>
      <c r="D7" s="112">
        <v>0</v>
      </c>
      <c r="E7" s="112">
        <v>0</v>
      </c>
      <c r="F7" s="112">
        <v>0</v>
      </c>
      <c r="G7" s="112">
        <v>0</v>
      </c>
      <c r="H7" s="112">
        <v>0</v>
      </c>
      <c r="I7" s="112">
        <v>0</v>
      </c>
      <c r="J7" s="112">
        <v>1</v>
      </c>
      <c r="K7" s="112">
        <v>0</v>
      </c>
      <c r="L7" s="112">
        <v>0</v>
      </c>
      <c r="M7" s="112">
        <v>0</v>
      </c>
      <c r="N7" s="112">
        <v>0</v>
      </c>
      <c r="O7" s="112">
        <v>1</v>
      </c>
      <c r="P7" s="112">
        <v>1</v>
      </c>
      <c r="Q7" s="112">
        <v>0</v>
      </c>
      <c r="R7" s="112">
        <v>0</v>
      </c>
      <c r="S7" s="112">
        <v>1</v>
      </c>
      <c r="T7" s="112">
        <v>1</v>
      </c>
      <c r="U7" s="112">
        <v>0</v>
      </c>
      <c r="V7" s="112">
        <v>0</v>
      </c>
      <c r="W7" s="112">
        <v>1</v>
      </c>
      <c r="X7" s="112">
        <v>1</v>
      </c>
      <c r="Y7" s="112">
        <v>1</v>
      </c>
      <c r="Z7" s="112">
        <v>0</v>
      </c>
      <c r="AA7" s="112">
        <v>0</v>
      </c>
      <c r="AB7" s="112">
        <v>1</v>
      </c>
      <c r="AC7" s="112">
        <v>1</v>
      </c>
      <c r="AD7" s="112">
        <v>1</v>
      </c>
      <c r="AE7" s="112">
        <v>0</v>
      </c>
      <c r="AF7" s="112">
        <v>1</v>
      </c>
      <c r="AG7" s="112">
        <v>0</v>
      </c>
      <c r="AH7" s="112">
        <v>1</v>
      </c>
      <c r="AI7" s="112">
        <v>0</v>
      </c>
      <c r="AJ7" s="112">
        <v>0</v>
      </c>
      <c r="AK7" s="112">
        <v>0</v>
      </c>
      <c r="AL7" s="112">
        <v>1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</row>
    <row r="8" spans="1:54" customFormat="1" x14ac:dyDescent="0.15">
      <c r="A8" s="166" t="s">
        <v>198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0</v>
      </c>
      <c r="I8" s="112">
        <v>1</v>
      </c>
      <c r="J8" s="112">
        <v>0</v>
      </c>
      <c r="K8" s="112">
        <v>0</v>
      </c>
      <c r="L8" s="112">
        <v>0</v>
      </c>
      <c r="M8" s="112">
        <v>1</v>
      </c>
      <c r="N8" s="112">
        <v>1</v>
      </c>
      <c r="O8" s="112">
        <v>1</v>
      </c>
      <c r="P8" s="112">
        <v>1</v>
      </c>
      <c r="Q8" s="112">
        <v>1</v>
      </c>
      <c r="R8" s="112">
        <v>1</v>
      </c>
      <c r="S8" s="112">
        <v>0</v>
      </c>
      <c r="T8" s="112">
        <v>0</v>
      </c>
      <c r="U8" s="112">
        <v>1</v>
      </c>
      <c r="V8" s="112">
        <v>1</v>
      </c>
      <c r="W8" s="112">
        <v>1</v>
      </c>
      <c r="X8" s="112">
        <v>0</v>
      </c>
      <c r="Y8" s="112">
        <v>1</v>
      </c>
      <c r="Z8" s="112">
        <v>1</v>
      </c>
      <c r="AA8" s="112">
        <v>1</v>
      </c>
      <c r="AB8" s="112">
        <v>1</v>
      </c>
      <c r="AC8" s="112">
        <v>1</v>
      </c>
      <c r="AD8" s="112">
        <v>1</v>
      </c>
      <c r="AE8" s="112">
        <v>1</v>
      </c>
      <c r="AF8" s="112">
        <v>1</v>
      </c>
      <c r="AG8" s="112">
        <v>1</v>
      </c>
      <c r="AH8" s="112">
        <v>1</v>
      </c>
      <c r="AI8" s="112">
        <v>0</v>
      </c>
      <c r="AJ8" s="112">
        <v>1</v>
      </c>
      <c r="AK8" s="112">
        <v>1</v>
      </c>
      <c r="AL8" s="112">
        <v>1</v>
      </c>
      <c r="AM8" s="112">
        <v>0</v>
      </c>
      <c r="AN8" s="112">
        <v>0</v>
      </c>
      <c r="AO8" s="112">
        <v>0</v>
      </c>
      <c r="AP8" s="112">
        <v>0</v>
      </c>
      <c r="AQ8" s="112">
        <v>1</v>
      </c>
      <c r="AR8" s="112">
        <v>1</v>
      </c>
      <c r="AS8" s="112">
        <v>1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</row>
    <row r="9" spans="1:54" customFormat="1" x14ac:dyDescent="0.15">
      <c r="A9" s="166" t="s">
        <v>199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1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1</v>
      </c>
      <c r="AD9" s="112">
        <v>0</v>
      </c>
      <c r="AE9" s="112">
        <v>0</v>
      </c>
      <c r="AF9" s="112">
        <v>1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</row>
    <row r="10" spans="1:54" customFormat="1" x14ac:dyDescent="0.15">
      <c r="A10" s="166" t="s">
        <v>200</v>
      </c>
      <c r="B10" s="112">
        <v>0</v>
      </c>
      <c r="C10" s="112">
        <v>0</v>
      </c>
      <c r="D10" s="112">
        <v>0</v>
      </c>
      <c r="E10" s="112">
        <v>0</v>
      </c>
      <c r="F10" s="112">
        <v>0</v>
      </c>
      <c r="G10" s="112">
        <v>0</v>
      </c>
      <c r="H10" s="112">
        <v>0</v>
      </c>
      <c r="I10" s="112">
        <v>1</v>
      </c>
      <c r="J10" s="112">
        <v>1</v>
      </c>
      <c r="K10" s="112">
        <v>0</v>
      </c>
      <c r="L10" s="112">
        <v>0</v>
      </c>
      <c r="M10" s="112">
        <v>0</v>
      </c>
      <c r="N10" s="112">
        <v>0</v>
      </c>
      <c r="O10" s="112">
        <v>1</v>
      </c>
      <c r="P10" s="112">
        <v>1</v>
      </c>
      <c r="Q10" s="112">
        <v>1</v>
      </c>
      <c r="R10" s="112">
        <v>1</v>
      </c>
      <c r="S10" s="112">
        <v>0</v>
      </c>
      <c r="T10" s="112">
        <v>0</v>
      </c>
      <c r="U10" s="112">
        <v>1</v>
      </c>
      <c r="V10" s="112">
        <v>1</v>
      </c>
      <c r="W10" s="112">
        <v>1</v>
      </c>
      <c r="X10" s="112">
        <v>1</v>
      </c>
      <c r="Y10" s="112">
        <v>0</v>
      </c>
      <c r="Z10" s="112">
        <v>0</v>
      </c>
      <c r="AA10" s="112">
        <v>0</v>
      </c>
      <c r="AB10" s="112">
        <v>1</v>
      </c>
      <c r="AC10" s="112">
        <v>1</v>
      </c>
      <c r="AD10" s="112">
        <v>1</v>
      </c>
      <c r="AE10" s="112">
        <v>0</v>
      </c>
      <c r="AF10" s="112">
        <v>1</v>
      </c>
      <c r="AG10" s="112">
        <v>1</v>
      </c>
      <c r="AH10" s="112">
        <v>1</v>
      </c>
      <c r="AI10" s="112">
        <v>0</v>
      </c>
      <c r="AJ10" s="112">
        <v>0</v>
      </c>
      <c r="AK10" s="112">
        <v>0</v>
      </c>
      <c r="AL10" s="112">
        <v>1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1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</row>
    <row r="11" spans="1:54" customFormat="1" x14ac:dyDescent="0.15">
      <c r="A11" s="166" t="s">
        <v>201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1</v>
      </c>
      <c r="J11" s="112">
        <v>1</v>
      </c>
      <c r="K11" s="112">
        <v>0</v>
      </c>
      <c r="L11" s="112">
        <v>0</v>
      </c>
      <c r="M11" s="112">
        <v>1</v>
      </c>
      <c r="N11" s="112">
        <v>1</v>
      </c>
      <c r="O11" s="112">
        <v>1</v>
      </c>
      <c r="P11" s="112">
        <v>1</v>
      </c>
      <c r="Q11" s="112">
        <v>1</v>
      </c>
      <c r="R11" s="112">
        <v>1</v>
      </c>
      <c r="S11" s="112">
        <v>1</v>
      </c>
      <c r="T11" s="112">
        <v>1</v>
      </c>
      <c r="U11" s="112">
        <v>1</v>
      </c>
      <c r="V11" s="112">
        <v>1</v>
      </c>
      <c r="W11" s="112">
        <v>1</v>
      </c>
      <c r="X11" s="112">
        <v>1</v>
      </c>
      <c r="Y11" s="112">
        <v>1</v>
      </c>
      <c r="Z11" s="112">
        <v>1</v>
      </c>
      <c r="AA11" s="112">
        <v>0</v>
      </c>
      <c r="AB11" s="112">
        <v>1</v>
      </c>
      <c r="AC11" s="112">
        <v>1</v>
      </c>
      <c r="AD11" s="112">
        <v>1</v>
      </c>
      <c r="AE11" s="112">
        <v>0</v>
      </c>
      <c r="AF11" s="112">
        <v>1</v>
      </c>
      <c r="AG11" s="112">
        <v>1</v>
      </c>
      <c r="AH11" s="112">
        <v>1</v>
      </c>
      <c r="AI11" s="112">
        <v>0</v>
      </c>
      <c r="AJ11" s="112">
        <v>0</v>
      </c>
      <c r="AK11" s="112">
        <v>1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1</v>
      </c>
      <c r="AT11" s="112">
        <v>0</v>
      </c>
      <c r="AU11" s="112">
        <v>0</v>
      </c>
      <c r="AV11" s="112">
        <v>0</v>
      </c>
      <c r="AW11" s="112">
        <v>0</v>
      </c>
      <c r="AX11" s="112">
        <v>1</v>
      </c>
      <c r="AY11" s="112">
        <v>0</v>
      </c>
      <c r="AZ11" s="112">
        <v>0</v>
      </c>
      <c r="BA11" s="112">
        <v>0</v>
      </c>
      <c r="BB11" s="112">
        <v>0</v>
      </c>
    </row>
    <row r="12" spans="1:54" customFormat="1" x14ac:dyDescent="0.15">
      <c r="A12" s="166" t="s">
        <v>202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1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</row>
    <row r="13" spans="1:54" customFormat="1" x14ac:dyDescent="0.15">
      <c r="A13" s="166" t="s">
        <v>203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1</v>
      </c>
      <c r="J13" s="112">
        <v>0</v>
      </c>
      <c r="K13" s="112">
        <v>0</v>
      </c>
      <c r="L13" s="112">
        <v>0</v>
      </c>
      <c r="M13" s="112">
        <v>1</v>
      </c>
      <c r="N13" s="112">
        <v>1</v>
      </c>
      <c r="O13" s="112">
        <v>1</v>
      </c>
      <c r="P13" s="112">
        <v>1</v>
      </c>
      <c r="Q13" s="112">
        <v>1</v>
      </c>
      <c r="R13" s="112">
        <v>1</v>
      </c>
      <c r="S13" s="112">
        <v>1</v>
      </c>
      <c r="T13" s="112">
        <v>1</v>
      </c>
      <c r="U13" s="112">
        <v>0</v>
      </c>
      <c r="V13" s="112">
        <v>0</v>
      </c>
      <c r="W13" s="112">
        <v>1</v>
      </c>
      <c r="X13" s="112">
        <v>0</v>
      </c>
      <c r="Y13" s="112">
        <v>1</v>
      </c>
      <c r="Z13" s="112">
        <v>1</v>
      </c>
      <c r="AA13" s="112">
        <v>1</v>
      </c>
      <c r="AB13" s="112">
        <v>1</v>
      </c>
      <c r="AC13" s="112">
        <v>1</v>
      </c>
      <c r="AD13" s="112">
        <v>1</v>
      </c>
      <c r="AE13" s="112">
        <v>0</v>
      </c>
      <c r="AF13" s="112">
        <v>1</v>
      </c>
      <c r="AG13" s="112">
        <v>1</v>
      </c>
      <c r="AH13" s="112">
        <v>1</v>
      </c>
      <c r="AI13" s="112">
        <v>1</v>
      </c>
      <c r="AJ13" s="112">
        <v>1</v>
      </c>
      <c r="AK13" s="112">
        <v>1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1</v>
      </c>
      <c r="AR13" s="112">
        <v>0</v>
      </c>
      <c r="AS13" s="112">
        <v>1</v>
      </c>
      <c r="AT13" s="112">
        <v>0</v>
      </c>
      <c r="AU13" s="112">
        <v>0</v>
      </c>
      <c r="AV13" s="112">
        <v>1</v>
      </c>
      <c r="AW13" s="112">
        <v>1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</row>
    <row r="14" spans="1:54" customFormat="1" x14ac:dyDescent="0.15">
      <c r="A14" s="166" t="s">
        <v>204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1</v>
      </c>
      <c r="AG14" s="112">
        <v>1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</row>
    <row r="15" spans="1:54" customFormat="1" x14ac:dyDescent="0.15">
      <c r="A15" s="166" t="s">
        <v>205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1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</row>
    <row r="16" spans="1:54" customFormat="1" x14ac:dyDescent="0.15">
      <c r="A16" s="166" t="s">
        <v>206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1</v>
      </c>
      <c r="P16" s="112">
        <v>1</v>
      </c>
      <c r="Q16" s="112">
        <v>1</v>
      </c>
      <c r="R16" s="112">
        <v>1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1</v>
      </c>
      <c r="Z16" s="112">
        <v>1</v>
      </c>
      <c r="AA16" s="112">
        <v>0</v>
      </c>
      <c r="AB16" s="112">
        <v>0</v>
      </c>
      <c r="AC16" s="112">
        <v>1</v>
      </c>
      <c r="AD16" s="112">
        <v>1</v>
      </c>
      <c r="AE16" s="112">
        <v>1</v>
      </c>
      <c r="AF16" s="112">
        <v>1</v>
      </c>
      <c r="AG16" s="112">
        <v>1</v>
      </c>
      <c r="AH16" s="112">
        <v>0</v>
      </c>
      <c r="AI16" s="112">
        <v>1</v>
      </c>
      <c r="AJ16" s="112">
        <v>1</v>
      </c>
      <c r="AK16" s="112">
        <v>0</v>
      </c>
      <c r="AL16" s="112">
        <v>1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1</v>
      </c>
      <c r="AS16" s="112">
        <v>1</v>
      </c>
      <c r="AT16" s="112">
        <v>1</v>
      </c>
      <c r="AU16" s="112">
        <v>0</v>
      </c>
      <c r="AV16" s="112">
        <v>1</v>
      </c>
      <c r="AW16" s="112">
        <v>0</v>
      </c>
      <c r="AX16" s="112">
        <v>0</v>
      </c>
      <c r="AY16" s="112">
        <v>1</v>
      </c>
      <c r="AZ16" s="112">
        <v>0</v>
      </c>
      <c r="BA16" s="112">
        <v>0</v>
      </c>
      <c r="BB16" s="112">
        <v>0</v>
      </c>
    </row>
    <row r="17" spans="1:54" customFormat="1" x14ac:dyDescent="0.15">
      <c r="A17" s="166" t="s">
        <v>207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1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1</v>
      </c>
      <c r="AC17" s="112">
        <v>1</v>
      </c>
      <c r="AD17" s="112">
        <v>1</v>
      </c>
      <c r="AE17" s="112">
        <v>1</v>
      </c>
      <c r="AF17" s="112">
        <v>1</v>
      </c>
      <c r="AG17" s="112">
        <v>1</v>
      </c>
      <c r="AH17" s="112">
        <v>1</v>
      </c>
      <c r="AI17" s="112">
        <v>1</v>
      </c>
      <c r="AJ17" s="112">
        <v>1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1</v>
      </c>
      <c r="AR17" s="112">
        <v>1</v>
      </c>
      <c r="AS17" s="112">
        <v>0</v>
      </c>
      <c r="AT17" s="112">
        <v>1</v>
      </c>
      <c r="AU17" s="112">
        <v>0</v>
      </c>
      <c r="AV17" s="112">
        <v>1</v>
      </c>
      <c r="AW17" s="112">
        <v>1</v>
      </c>
      <c r="AX17" s="112">
        <v>0</v>
      </c>
      <c r="AY17" s="112">
        <v>1</v>
      </c>
      <c r="AZ17" s="112">
        <v>0</v>
      </c>
      <c r="BA17" s="112">
        <v>0</v>
      </c>
      <c r="BB17" s="112">
        <v>0</v>
      </c>
    </row>
    <row r="18" spans="1:54" customFormat="1" x14ac:dyDescent="0.15">
      <c r="A18" s="166" t="s">
        <v>208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1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</row>
    <row r="19" spans="1:54" customFormat="1" x14ac:dyDescent="0.15">
      <c r="A19" s="166" t="s">
        <v>209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1</v>
      </c>
      <c r="AC19" s="112">
        <v>0</v>
      </c>
      <c r="AD19" s="112">
        <v>1</v>
      </c>
      <c r="AE19" s="112">
        <v>0</v>
      </c>
      <c r="AF19" s="112">
        <v>1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1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</row>
    <row r="20" spans="1:54" customFormat="1" x14ac:dyDescent="0.15">
      <c r="A20" s="166" t="s">
        <v>210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1</v>
      </c>
      <c r="AZ20" s="112">
        <v>0</v>
      </c>
      <c r="BA20" s="112">
        <v>0</v>
      </c>
      <c r="BB20" s="112">
        <v>0</v>
      </c>
    </row>
    <row r="21" spans="1:54" customFormat="1" x14ac:dyDescent="0.15">
      <c r="A21" s="166" t="s">
        <v>211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1</v>
      </c>
      <c r="AE21" s="112">
        <v>0</v>
      </c>
      <c r="AF21" s="112">
        <v>1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1</v>
      </c>
      <c r="AU21" s="112">
        <v>0</v>
      </c>
      <c r="AV21" s="112">
        <v>1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</row>
    <row r="22" spans="1:54" customFormat="1" x14ac:dyDescent="0.15">
      <c r="A22" s="166" t="s">
        <v>212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1</v>
      </c>
      <c r="AZ22" s="112">
        <v>0</v>
      </c>
      <c r="BA22" s="112">
        <v>0</v>
      </c>
      <c r="BB22" s="112">
        <v>0</v>
      </c>
    </row>
    <row r="23" spans="1:54" customFormat="1" x14ac:dyDescent="0.15">
      <c r="A23" s="166" t="s">
        <v>213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1</v>
      </c>
      <c r="AC23" s="112">
        <v>1</v>
      </c>
      <c r="AD23" s="112">
        <v>1</v>
      </c>
      <c r="AE23" s="112">
        <v>0</v>
      </c>
      <c r="AF23" s="112">
        <v>1</v>
      </c>
      <c r="AG23" s="112">
        <v>1</v>
      </c>
      <c r="AH23" s="112">
        <v>1</v>
      </c>
      <c r="AI23" s="112">
        <v>1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1</v>
      </c>
      <c r="AR23" s="112">
        <v>0</v>
      </c>
      <c r="AS23" s="112">
        <v>0</v>
      </c>
      <c r="AT23" s="112">
        <v>1</v>
      </c>
      <c r="AU23" s="112">
        <v>0</v>
      </c>
      <c r="AV23" s="112">
        <v>0</v>
      </c>
      <c r="AW23" s="112">
        <v>0</v>
      </c>
      <c r="AX23" s="112">
        <v>0</v>
      </c>
      <c r="AY23" s="112">
        <v>1</v>
      </c>
      <c r="AZ23" s="112">
        <v>0</v>
      </c>
      <c r="BA23" s="112">
        <v>0</v>
      </c>
      <c r="BB23" s="112">
        <v>0</v>
      </c>
    </row>
    <row r="24" spans="1:54" customFormat="1" x14ac:dyDescent="0.15">
      <c r="A24" s="166" t="s">
        <v>214</v>
      </c>
      <c r="B24" s="112">
        <v>0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1</v>
      </c>
      <c r="AE24" s="112">
        <v>0</v>
      </c>
      <c r="AF24" s="112">
        <v>0</v>
      </c>
      <c r="AG24" s="112">
        <v>0</v>
      </c>
      <c r="AH24" s="112">
        <v>0</v>
      </c>
      <c r="AI24" s="112">
        <v>1</v>
      </c>
      <c r="AJ24" s="112">
        <v>1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1</v>
      </c>
      <c r="AZ24" s="112">
        <v>0</v>
      </c>
      <c r="BA24" s="112">
        <v>0</v>
      </c>
      <c r="BB24" s="112">
        <v>0</v>
      </c>
    </row>
    <row r="25" spans="1:54" customFormat="1" x14ac:dyDescent="0.15">
      <c r="A25" s="166" t="s">
        <v>215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1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1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1</v>
      </c>
      <c r="AZ25" s="112">
        <v>0</v>
      </c>
      <c r="BA25" s="112">
        <v>0</v>
      </c>
      <c r="BB25" s="112">
        <v>0</v>
      </c>
    </row>
    <row r="26" spans="1:54" customFormat="1" x14ac:dyDescent="0.15">
      <c r="A26" s="166" t="s">
        <v>216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0</v>
      </c>
      <c r="AC26" s="112">
        <v>0</v>
      </c>
      <c r="AD26" s="112">
        <v>0</v>
      </c>
      <c r="AE26" s="112">
        <v>1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1</v>
      </c>
      <c r="AS26" s="112">
        <v>0</v>
      </c>
      <c r="AT26" s="112">
        <v>1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</row>
    <row r="27" spans="1:54" customFormat="1" x14ac:dyDescent="0.15">
      <c r="A27" s="166" t="s">
        <v>217</v>
      </c>
      <c r="B27" s="112">
        <v>0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2">
        <v>0</v>
      </c>
      <c r="Q27" s="112">
        <v>1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1</v>
      </c>
      <c r="AA27" s="112">
        <v>0</v>
      </c>
      <c r="AB27" s="112">
        <v>1</v>
      </c>
      <c r="AC27" s="112">
        <v>1</v>
      </c>
      <c r="AD27" s="112">
        <v>1</v>
      </c>
      <c r="AE27" s="112">
        <v>1</v>
      </c>
      <c r="AF27" s="112">
        <v>1</v>
      </c>
      <c r="AG27" s="112">
        <v>1</v>
      </c>
      <c r="AH27" s="112">
        <v>1</v>
      </c>
      <c r="AI27" s="112">
        <v>1</v>
      </c>
      <c r="AJ27" s="112">
        <v>1</v>
      </c>
      <c r="AK27" s="112">
        <v>0</v>
      </c>
      <c r="AL27" s="112">
        <v>0</v>
      </c>
      <c r="AM27" s="112">
        <v>0</v>
      </c>
      <c r="AN27" s="112">
        <v>0</v>
      </c>
      <c r="AO27" s="112">
        <v>0</v>
      </c>
      <c r="AP27" s="112">
        <v>0</v>
      </c>
      <c r="AQ27" s="112">
        <v>1</v>
      </c>
      <c r="AR27" s="112">
        <v>1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1</v>
      </c>
      <c r="AY27" s="112">
        <v>1</v>
      </c>
      <c r="AZ27" s="112">
        <v>0</v>
      </c>
      <c r="BA27" s="112">
        <v>0</v>
      </c>
      <c r="BB27" s="112">
        <v>0</v>
      </c>
    </row>
    <row r="28" spans="1:54" customFormat="1" x14ac:dyDescent="0.15">
      <c r="A28" s="166" t="s">
        <v>218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</v>
      </c>
      <c r="AD28" s="112">
        <v>1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</row>
    <row r="29" spans="1:54" customFormat="1" x14ac:dyDescent="0.15">
      <c r="A29" s="166" t="s">
        <v>219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1</v>
      </c>
      <c r="AA29" s="112">
        <v>0</v>
      </c>
      <c r="AB29" s="112">
        <v>1</v>
      </c>
      <c r="AC29" s="112">
        <v>1</v>
      </c>
      <c r="AD29" s="112">
        <v>1</v>
      </c>
      <c r="AE29" s="112">
        <v>0</v>
      </c>
      <c r="AF29" s="112">
        <v>0</v>
      </c>
      <c r="AG29" s="112">
        <v>0</v>
      </c>
      <c r="AH29" s="112">
        <v>1</v>
      </c>
      <c r="AI29" s="112">
        <v>1</v>
      </c>
      <c r="AJ29" s="112">
        <v>1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  <c r="AP29" s="112">
        <v>0</v>
      </c>
      <c r="AQ29" s="112">
        <v>1</v>
      </c>
      <c r="AR29" s="112">
        <v>1</v>
      </c>
      <c r="AS29" s="112">
        <v>0</v>
      </c>
      <c r="AT29" s="112">
        <v>0</v>
      </c>
      <c r="AU29" s="112">
        <v>0</v>
      </c>
      <c r="AV29" s="112">
        <v>0</v>
      </c>
      <c r="AW29" s="112">
        <v>1</v>
      </c>
      <c r="AX29" s="112">
        <v>1</v>
      </c>
      <c r="AY29" s="112">
        <v>1</v>
      </c>
      <c r="AZ29" s="112">
        <v>0</v>
      </c>
      <c r="BA29" s="112">
        <v>0</v>
      </c>
      <c r="BB29" s="112">
        <v>0</v>
      </c>
    </row>
    <row r="30" spans="1:54" customFormat="1" x14ac:dyDescent="0.15">
      <c r="A30" s="166" t="s">
        <v>220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0</v>
      </c>
      <c r="AC30" s="112">
        <v>0</v>
      </c>
      <c r="AD30" s="112">
        <v>0</v>
      </c>
      <c r="AE30" s="112">
        <v>0</v>
      </c>
      <c r="AF30" s="112">
        <v>0</v>
      </c>
      <c r="AG30" s="112">
        <v>0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</row>
    <row r="31" spans="1:54" customFormat="1" x14ac:dyDescent="0.15">
      <c r="A31" s="166" t="s">
        <v>221</v>
      </c>
      <c r="B31" s="112">
        <v>0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1</v>
      </c>
      <c r="AF31" s="112">
        <v>0</v>
      </c>
      <c r="AG31" s="112">
        <v>0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1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</row>
    <row r="32" spans="1:54" x14ac:dyDescent="0.15">
      <c r="A32" s="166" t="s">
        <v>222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1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</row>
    <row r="33" spans="1:54" x14ac:dyDescent="0.15">
      <c r="A33" s="166" t="s">
        <v>223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0</v>
      </c>
      <c r="AF33" s="112">
        <v>0</v>
      </c>
      <c r="AG33" s="112">
        <v>1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</row>
    <row r="34" spans="1:54" x14ac:dyDescent="0.15">
      <c r="A34" s="166" t="s">
        <v>224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1</v>
      </c>
      <c r="AC34" s="112">
        <v>0</v>
      </c>
      <c r="AD34" s="112">
        <v>1</v>
      </c>
      <c r="AE34" s="112">
        <v>1</v>
      </c>
      <c r="AF34" s="112">
        <v>1</v>
      </c>
      <c r="AG34" s="112">
        <v>1</v>
      </c>
      <c r="AH34" s="112">
        <v>1</v>
      </c>
      <c r="AI34" s="112">
        <v>0</v>
      </c>
      <c r="AJ34" s="112">
        <v>1</v>
      </c>
      <c r="AK34" s="112">
        <v>0</v>
      </c>
      <c r="AL34" s="112">
        <v>1</v>
      </c>
      <c r="AM34" s="112">
        <v>0</v>
      </c>
      <c r="AN34" s="112">
        <v>0</v>
      </c>
      <c r="AO34" s="112">
        <v>0</v>
      </c>
      <c r="AP34" s="112">
        <v>0</v>
      </c>
      <c r="AQ34" s="112">
        <v>1</v>
      </c>
      <c r="AR34" s="112">
        <v>1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1</v>
      </c>
      <c r="AY34" s="112">
        <v>1</v>
      </c>
      <c r="AZ34" s="112">
        <v>0</v>
      </c>
      <c r="BA34" s="112">
        <v>0</v>
      </c>
      <c r="BB34" s="112">
        <v>0</v>
      </c>
    </row>
    <row r="35" spans="1:54" x14ac:dyDescent="0.15">
      <c r="A35" s="166" t="s">
        <v>225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1</v>
      </c>
      <c r="AZ35" s="112">
        <v>0</v>
      </c>
      <c r="BA35" s="112">
        <v>0</v>
      </c>
      <c r="BB35" s="112">
        <v>0</v>
      </c>
    </row>
    <row r="36" spans="1:54" x14ac:dyDescent="0.15">
      <c r="A36" s="166" t="s">
        <v>226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1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1</v>
      </c>
      <c r="AZ36" s="112">
        <v>0</v>
      </c>
      <c r="BA36" s="112">
        <v>0</v>
      </c>
      <c r="BB36" s="112">
        <v>0</v>
      </c>
    </row>
    <row r="37" spans="1:54" x14ac:dyDescent="0.15">
      <c r="A37" s="166" t="s">
        <v>227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1</v>
      </c>
      <c r="AW37" s="112">
        <v>0</v>
      </c>
      <c r="AX37" s="112">
        <v>1</v>
      </c>
      <c r="AY37" s="112">
        <v>0</v>
      </c>
      <c r="AZ37" s="112">
        <v>0</v>
      </c>
      <c r="BA37" s="112">
        <v>0</v>
      </c>
      <c r="BB37" s="112">
        <v>0</v>
      </c>
    </row>
    <row r="38" spans="1:54" x14ac:dyDescent="0.15">
      <c r="A38" s="166" t="s">
        <v>228</v>
      </c>
      <c r="B38" s="112">
        <v>0</v>
      </c>
      <c r="C38" s="112">
        <v>0</v>
      </c>
      <c r="D38" s="112">
        <v>0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</v>
      </c>
      <c r="AG38" s="112">
        <v>0</v>
      </c>
      <c r="AH38" s="112">
        <v>0</v>
      </c>
      <c r="AI38" s="112">
        <v>0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</row>
    <row r="39" spans="1:54" x14ac:dyDescent="0.15">
      <c r="A39" s="166" t="s">
        <v>229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1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1</v>
      </c>
      <c r="Y39" s="112">
        <v>0</v>
      </c>
      <c r="Z39" s="112">
        <v>0</v>
      </c>
      <c r="AA39" s="112">
        <v>0</v>
      </c>
      <c r="AB39" s="112">
        <v>1</v>
      </c>
      <c r="AC39" s="112">
        <v>1</v>
      </c>
      <c r="AD39" s="112">
        <v>1</v>
      </c>
      <c r="AE39" s="112">
        <v>0</v>
      </c>
      <c r="AF39" s="112">
        <v>1</v>
      </c>
      <c r="AG39" s="112">
        <v>1</v>
      </c>
      <c r="AH39" s="112">
        <v>1</v>
      </c>
      <c r="AI39" s="112">
        <v>0</v>
      </c>
      <c r="AJ39" s="112">
        <v>1</v>
      </c>
      <c r="AK39" s="112">
        <v>0</v>
      </c>
      <c r="AL39" s="112">
        <v>1</v>
      </c>
      <c r="AM39" s="112">
        <v>0</v>
      </c>
      <c r="AN39" s="112">
        <v>0</v>
      </c>
      <c r="AO39" s="112">
        <v>0</v>
      </c>
      <c r="AP39" s="112">
        <v>0</v>
      </c>
      <c r="AQ39" s="112">
        <v>1</v>
      </c>
      <c r="AR39" s="112">
        <v>1</v>
      </c>
      <c r="AS39" s="112">
        <v>0</v>
      </c>
      <c r="AT39" s="112">
        <v>0</v>
      </c>
      <c r="AU39" s="112">
        <v>0</v>
      </c>
      <c r="AV39" s="112">
        <v>1</v>
      </c>
      <c r="AW39" s="112">
        <v>1</v>
      </c>
      <c r="AX39" s="112">
        <v>0</v>
      </c>
      <c r="AY39" s="112">
        <v>1</v>
      </c>
      <c r="AZ39" s="112">
        <v>0</v>
      </c>
      <c r="BA39" s="112">
        <v>0</v>
      </c>
      <c r="BB39" s="112">
        <v>0</v>
      </c>
    </row>
    <row r="40" spans="1:54" x14ac:dyDescent="0.15">
      <c r="A40" s="166" t="s">
        <v>230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1</v>
      </c>
      <c r="Y40" s="112">
        <v>1</v>
      </c>
      <c r="Z40" s="112">
        <v>0</v>
      </c>
      <c r="AA40" s="112">
        <v>0</v>
      </c>
      <c r="AB40" s="112">
        <v>1</v>
      </c>
      <c r="AC40" s="112">
        <v>0</v>
      </c>
      <c r="AD40" s="112">
        <v>1</v>
      </c>
      <c r="AE40" s="112">
        <v>1</v>
      </c>
      <c r="AF40" s="112">
        <v>1</v>
      </c>
      <c r="AG40" s="112">
        <v>1</v>
      </c>
      <c r="AH40" s="112">
        <v>1</v>
      </c>
      <c r="AI40" s="112">
        <v>1</v>
      </c>
      <c r="AJ40" s="112">
        <v>1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1</v>
      </c>
      <c r="AR40" s="112">
        <v>1</v>
      </c>
      <c r="AS40" s="112">
        <v>0</v>
      </c>
      <c r="AT40" s="112">
        <v>1</v>
      </c>
      <c r="AU40" s="112">
        <v>0</v>
      </c>
      <c r="AV40" s="112">
        <v>1</v>
      </c>
      <c r="AW40" s="112">
        <v>1</v>
      </c>
      <c r="AX40" s="112">
        <v>1</v>
      </c>
      <c r="AY40" s="112">
        <v>1</v>
      </c>
      <c r="AZ40" s="112">
        <v>0</v>
      </c>
      <c r="BA40" s="112">
        <v>0</v>
      </c>
      <c r="BB40" s="112">
        <v>0</v>
      </c>
    </row>
    <row r="41" spans="1:54" x14ac:dyDescent="0.15">
      <c r="A41" s="166" t="s">
        <v>231</v>
      </c>
      <c r="B41" s="112">
        <v>0</v>
      </c>
      <c r="C41" s="112">
        <v>0</v>
      </c>
      <c r="D41" s="112">
        <v>0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1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1</v>
      </c>
      <c r="Y41" s="112">
        <v>1</v>
      </c>
      <c r="Z41" s="112">
        <v>0</v>
      </c>
      <c r="AA41" s="112">
        <v>0</v>
      </c>
      <c r="AB41" s="112">
        <v>1</v>
      </c>
      <c r="AC41" s="112">
        <v>1</v>
      </c>
      <c r="AD41" s="112">
        <v>1</v>
      </c>
      <c r="AE41" s="112">
        <v>1</v>
      </c>
      <c r="AF41" s="112">
        <v>1</v>
      </c>
      <c r="AG41" s="112">
        <v>1</v>
      </c>
      <c r="AH41" s="112">
        <v>1</v>
      </c>
      <c r="AI41" s="112">
        <v>0</v>
      </c>
      <c r="AJ41" s="112">
        <v>1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1</v>
      </c>
      <c r="AR41" s="112">
        <v>1</v>
      </c>
      <c r="AS41" s="112">
        <v>0</v>
      </c>
      <c r="AT41" s="112">
        <v>1</v>
      </c>
      <c r="AU41" s="112">
        <v>0</v>
      </c>
      <c r="AV41" s="112">
        <v>0</v>
      </c>
      <c r="AW41" s="112">
        <v>1</v>
      </c>
      <c r="AX41" s="112">
        <v>1</v>
      </c>
      <c r="AY41" s="112">
        <v>0</v>
      </c>
      <c r="AZ41" s="112">
        <v>0</v>
      </c>
      <c r="BA41" s="112">
        <v>0</v>
      </c>
      <c r="BB41" s="112">
        <v>0</v>
      </c>
    </row>
    <row r="42" spans="1:54" x14ac:dyDescent="0.15">
      <c r="A42" s="166" t="s">
        <v>232</v>
      </c>
      <c r="B42" s="112">
        <v>0</v>
      </c>
      <c r="C42" s="112">
        <v>0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1</v>
      </c>
      <c r="Y42" s="112">
        <v>1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1</v>
      </c>
      <c r="AF42" s="112">
        <v>1</v>
      </c>
      <c r="AG42" s="112">
        <v>1</v>
      </c>
      <c r="AH42" s="112">
        <v>0</v>
      </c>
      <c r="AI42" s="112">
        <v>0</v>
      </c>
      <c r="AJ42" s="112">
        <v>1</v>
      </c>
      <c r="AK42" s="112">
        <v>0</v>
      </c>
      <c r="AL42" s="112">
        <v>1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1</v>
      </c>
      <c r="AS42" s="112">
        <v>0</v>
      </c>
      <c r="AT42" s="112">
        <v>0</v>
      </c>
      <c r="AU42" s="112">
        <v>0</v>
      </c>
      <c r="AV42" s="112">
        <v>0</v>
      </c>
      <c r="AW42" s="112">
        <v>1</v>
      </c>
      <c r="AX42" s="112">
        <v>1</v>
      </c>
      <c r="AY42" s="112">
        <v>0</v>
      </c>
      <c r="AZ42" s="112">
        <v>0</v>
      </c>
      <c r="BA42" s="112">
        <v>0</v>
      </c>
      <c r="BB42" s="112">
        <v>0</v>
      </c>
    </row>
    <row r="43" spans="1:54" x14ac:dyDescent="0.15">
      <c r="A43" s="166" t="s">
        <v>233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1</v>
      </c>
      <c r="AC43" s="112">
        <v>0</v>
      </c>
      <c r="AD43" s="112">
        <v>1</v>
      </c>
      <c r="AE43" s="112">
        <v>1</v>
      </c>
      <c r="AF43" s="112">
        <v>0</v>
      </c>
      <c r="AG43" s="112">
        <v>1</v>
      </c>
      <c r="AH43" s="112">
        <v>0</v>
      </c>
      <c r="AI43" s="112">
        <v>1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1</v>
      </c>
      <c r="AR43" s="112">
        <v>0</v>
      </c>
      <c r="AS43" s="112">
        <v>0</v>
      </c>
      <c r="AT43" s="112">
        <v>1</v>
      </c>
      <c r="AU43" s="112">
        <v>0</v>
      </c>
      <c r="AV43" s="112">
        <v>1</v>
      </c>
      <c r="AW43" s="112">
        <v>1</v>
      </c>
      <c r="AX43" s="112">
        <v>1</v>
      </c>
      <c r="AY43" s="112">
        <v>1</v>
      </c>
      <c r="AZ43" s="112">
        <v>0</v>
      </c>
      <c r="BA43" s="112">
        <v>0</v>
      </c>
      <c r="BB43" s="112">
        <v>0</v>
      </c>
    </row>
    <row r="44" spans="1:54" x14ac:dyDescent="0.15">
      <c r="A44" s="166" t="s">
        <v>234</v>
      </c>
      <c r="B44" s="112">
        <v>0</v>
      </c>
      <c r="C44" s="112">
        <v>0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1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1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1</v>
      </c>
      <c r="AU44" s="112">
        <v>0</v>
      </c>
      <c r="AV44" s="112">
        <v>1</v>
      </c>
      <c r="AW44" s="112">
        <v>0</v>
      </c>
      <c r="AX44" s="112">
        <v>1</v>
      </c>
      <c r="AY44" s="112">
        <v>1</v>
      </c>
      <c r="AZ44" s="112">
        <v>0</v>
      </c>
      <c r="BA44" s="112">
        <v>0</v>
      </c>
      <c r="BB44" s="112">
        <v>0</v>
      </c>
    </row>
    <row r="45" spans="1:54" x14ac:dyDescent="0.15">
      <c r="A45" s="166" t="s">
        <v>235</v>
      </c>
      <c r="B45" s="112">
        <v>0</v>
      </c>
      <c r="C45" s="112">
        <v>0</v>
      </c>
      <c r="D45" s="112">
        <v>0</v>
      </c>
      <c r="E45" s="112">
        <v>0</v>
      </c>
      <c r="F45" s="112"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0</v>
      </c>
      <c r="L45" s="112">
        <v>0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112">
        <v>0</v>
      </c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0</v>
      </c>
      <c r="AC45" s="112">
        <v>0</v>
      </c>
      <c r="AD45" s="112">
        <v>0</v>
      </c>
      <c r="AE45" s="112">
        <v>0</v>
      </c>
      <c r="AF45" s="112">
        <v>0</v>
      </c>
      <c r="AG45" s="112">
        <v>0</v>
      </c>
      <c r="AH45" s="112">
        <v>0</v>
      </c>
      <c r="AI45" s="112">
        <v>0</v>
      </c>
      <c r="AJ45" s="112">
        <v>0</v>
      </c>
      <c r="AK45" s="112">
        <v>0</v>
      </c>
      <c r="AL45" s="112">
        <v>0</v>
      </c>
      <c r="AM45" s="112">
        <v>0</v>
      </c>
      <c r="AN45" s="112">
        <v>0</v>
      </c>
      <c r="AO45" s="112">
        <v>0</v>
      </c>
      <c r="AP45" s="112">
        <v>0</v>
      </c>
      <c r="AQ45" s="112">
        <v>0</v>
      </c>
      <c r="AR45" s="112">
        <v>0</v>
      </c>
      <c r="AS45" s="112">
        <v>0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</v>
      </c>
      <c r="BB45" s="112">
        <v>0</v>
      </c>
    </row>
    <row r="46" spans="1:54" x14ac:dyDescent="0.15">
      <c r="A46" s="166" t="s">
        <v>236</v>
      </c>
      <c r="B46" s="112">
        <v>0</v>
      </c>
      <c r="C46" s="112">
        <v>0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0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112">
        <v>0</v>
      </c>
      <c r="Z46" s="112">
        <v>0</v>
      </c>
      <c r="AA46" s="112">
        <v>0</v>
      </c>
      <c r="AB46" s="112">
        <v>0</v>
      </c>
      <c r="AC46" s="112">
        <v>0</v>
      </c>
      <c r="AD46" s="112">
        <v>0</v>
      </c>
      <c r="AE46" s="112">
        <v>0</v>
      </c>
      <c r="AF46" s="112">
        <v>0</v>
      </c>
      <c r="AG46" s="112">
        <v>0</v>
      </c>
      <c r="AH46" s="112">
        <v>0</v>
      </c>
      <c r="AI46" s="112">
        <v>0</v>
      </c>
      <c r="AJ46" s="112">
        <v>0</v>
      </c>
      <c r="AK46" s="112">
        <v>0</v>
      </c>
      <c r="AL46" s="112">
        <v>0</v>
      </c>
      <c r="AM46" s="112">
        <v>0</v>
      </c>
      <c r="AN46" s="112">
        <v>0</v>
      </c>
      <c r="AO46" s="112">
        <v>0</v>
      </c>
      <c r="AP46" s="112">
        <v>0</v>
      </c>
      <c r="AQ46" s="112">
        <v>0</v>
      </c>
      <c r="AR46" s="112">
        <v>0</v>
      </c>
      <c r="AS46" s="112">
        <v>0</v>
      </c>
      <c r="AT46" s="112">
        <v>1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</row>
    <row r="47" spans="1:54" x14ac:dyDescent="0.15">
      <c r="A47" s="166" t="s">
        <v>237</v>
      </c>
      <c r="B47" s="112">
        <v>0</v>
      </c>
      <c r="C47" s="112">
        <v>0</v>
      </c>
      <c r="D47" s="112">
        <v>0</v>
      </c>
      <c r="E47" s="112">
        <v>0</v>
      </c>
      <c r="F47" s="112">
        <v>0</v>
      </c>
      <c r="G47" s="112">
        <v>0</v>
      </c>
      <c r="H47" s="112">
        <v>0</v>
      </c>
      <c r="I47" s="112">
        <v>0</v>
      </c>
      <c r="J47" s="112">
        <v>0</v>
      </c>
      <c r="K47" s="112">
        <v>0</v>
      </c>
      <c r="L47" s="112">
        <v>0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112">
        <v>0</v>
      </c>
      <c r="Z47" s="112">
        <v>0</v>
      </c>
      <c r="AA47" s="112">
        <v>0</v>
      </c>
      <c r="AB47" s="112">
        <v>0</v>
      </c>
      <c r="AC47" s="112">
        <v>0</v>
      </c>
      <c r="AD47" s="112">
        <v>0</v>
      </c>
      <c r="AE47" s="112">
        <v>0</v>
      </c>
      <c r="AF47" s="112">
        <v>0</v>
      </c>
      <c r="AG47" s="112">
        <v>0</v>
      </c>
      <c r="AH47" s="112">
        <v>0</v>
      </c>
      <c r="AI47" s="112">
        <v>0</v>
      </c>
      <c r="AJ47" s="112">
        <v>0</v>
      </c>
      <c r="AK47" s="112">
        <v>0</v>
      </c>
      <c r="AL47" s="112">
        <v>0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0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</row>
    <row r="48" spans="1:54" x14ac:dyDescent="0.15">
      <c r="A48" s="166" t="s">
        <v>238</v>
      </c>
      <c r="B48" s="112">
        <v>0</v>
      </c>
      <c r="C48" s="112">
        <v>0</v>
      </c>
      <c r="D48" s="112">
        <v>0</v>
      </c>
      <c r="E48" s="112">
        <v>0</v>
      </c>
      <c r="F48" s="112">
        <v>0</v>
      </c>
      <c r="G48" s="112">
        <v>0</v>
      </c>
      <c r="H48" s="112">
        <v>0</v>
      </c>
      <c r="I48" s="112">
        <v>0</v>
      </c>
      <c r="J48" s="112">
        <v>0</v>
      </c>
      <c r="K48" s="112">
        <v>0</v>
      </c>
      <c r="L48" s="112">
        <v>0</v>
      </c>
      <c r="M48" s="112">
        <v>0</v>
      </c>
      <c r="N48" s="112">
        <v>0</v>
      </c>
      <c r="O48" s="112">
        <v>0</v>
      </c>
      <c r="P48" s="112">
        <v>0</v>
      </c>
      <c r="Q48" s="112">
        <v>1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1</v>
      </c>
      <c r="X48" s="112">
        <v>0</v>
      </c>
      <c r="Y48" s="112">
        <v>0</v>
      </c>
      <c r="Z48" s="112">
        <v>1</v>
      </c>
      <c r="AA48" s="112">
        <v>0</v>
      </c>
      <c r="AB48" s="112">
        <v>1</v>
      </c>
      <c r="AC48" s="112">
        <v>1</v>
      </c>
      <c r="AD48" s="112">
        <v>1</v>
      </c>
      <c r="AE48" s="112">
        <v>1</v>
      </c>
      <c r="AF48" s="112">
        <v>1</v>
      </c>
      <c r="AG48" s="112">
        <v>1</v>
      </c>
      <c r="AH48" s="112">
        <v>1</v>
      </c>
      <c r="AI48" s="112">
        <v>1</v>
      </c>
      <c r="AJ48" s="112">
        <v>1</v>
      </c>
      <c r="AK48" s="112">
        <v>0</v>
      </c>
      <c r="AL48" s="112">
        <v>1</v>
      </c>
      <c r="AM48" s="112">
        <v>0</v>
      </c>
      <c r="AN48" s="112">
        <v>0</v>
      </c>
      <c r="AO48" s="112">
        <v>0</v>
      </c>
      <c r="AP48" s="112">
        <v>0</v>
      </c>
      <c r="AQ48" s="112">
        <v>1</v>
      </c>
      <c r="AR48" s="112">
        <v>1</v>
      </c>
      <c r="AS48" s="112">
        <v>0</v>
      </c>
      <c r="AT48" s="112">
        <v>1</v>
      </c>
      <c r="AU48" s="112">
        <v>0</v>
      </c>
      <c r="AV48" s="112">
        <v>1</v>
      </c>
      <c r="AW48" s="112">
        <v>0</v>
      </c>
      <c r="AX48" s="112">
        <v>1</v>
      </c>
      <c r="AY48" s="112">
        <v>1</v>
      </c>
      <c r="AZ48" s="112">
        <v>0</v>
      </c>
      <c r="BA48" s="112">
        <v>0</v>
      </c>
      <c r="BB48" s="112">
        <v>0</v>
      </c>
    </row>
    <row r="49" spans="1:54" x14ac:dyDescent="0.15">
      <c r="A49" s="166" t="s">
        <v>239</v>
      </c>
      <c r="B49" s="112">
        <v>0</v>
      </c>
      <c r="C49" s="112">
        <v>0</v>
      </c>
      <c r="D49" s="112">
        <v>0</v>
      </c>
      <c r="E49" s="112">
        <v>0</v>
      </c>
      <c r="F49" s="112">
        <v>0</v>
      </c>
      <c r="G49" s="112">
        <v>0</v>
      </c>
      <c r="H49" s="112">
        <v>0</v>
      </c>
      <c r="I49" s="112">
        <v>0</v>
      </c>
      <c r="J49" s="112">
        <v>0</v>
      </c>
      <c r="K49" s="112">
        <v>0</v>
      </c>
      <c r="L49" s="112">
        <v>0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112">
        <v>0</v>
      </c>
      <c r="Y49" s="112">
        <v>0</v>
      </c>
      <c r="Z49" s="112">
        <v>0</v>
      </c>
      <c r="AA49" s="112">
        <v>0</v>
      </c>
      <c r="AB49" s="112">
        <v>0</v>
      </c>
      <c r="AC49" s="112">
        <v>0</v>
      </c>
      <c r="AD49" s="112">
        <v>0</v>
      </c>
      <c r="AE49" s="112">
        <v>0</v>
      </c>
      <c r="AF49" s="112">
        <v>0</v>
      </c>
      <c r="AG49" s="112">
        <v>0</v>
      </c>
      <c r="AH49" s="112">
        <v>0</v>
      </c>
      <c r="AI49" s="112">
        <v>0</v>
      </c>
      <c r="AJ49" s="112">
        <v>0</v>
      </c>
      <c r="AK49" s="112">
        <v>0</v>
      </c>
      <c r="AL49" s="112">
        <v>0</v>
      </c>
      <c r="AM49" s="112">
        <v>0</v>
      </c>
      <c r="AN49" s="112">
        <v>0</v>
      </c>
      <c r="AO49" s="112">
        <v>0</v>
      </c>
      <c r="AP49" s="112">
        <v>0</v>
      </c>
      <c r="AQ49" s="112">
        <v>0</v>
      </c>
      <c r="AR49" s="112">
        <v>0</v>
      </c>
      <c r="AS49" s="112">
        <v>0</v>
      </c>
      <c r="AT49" s="112">
        <v>1</v>
      </c>
      <c r="AU49" s="112">
        <v>0</v>
      </c>
      <c r="AV49" s="112">
        <v>0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</row>
    <row r="50" spans="1:54" x14ac:dyDescent="0.15">
      <c r="A50" s="166" t="s">
        <v>240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0</v>
      </c>
      <c r="Y50" s="112">
        <v>0</v>
      </c>
      <c r="Z50" s="112">
        <v>0</v>
      </c>
      <c r="AA50" s="112">
        <v>0</v>
      </c>
      <c r="AB50" s="112">
        <v>0</v>
      </c>
      <c r="AC50" s="112">
        <v>0</v>
      </c>
      <c r="AD50" s="112">
        <v>0</v>
      </c>
      <c r="AE50" s="112">
        <v>0</v>
      </c>
      <c r="AF50" s="112">
        <v>0</v>
      </c>
      <c r="AG50" s="112">
        <v>0</v>
      </c>
      <c r="AH50" s="112">
        <v>0</v>
      </c>
      <c r="AI50" s="112">
        <v>0</v>
      </c>
      <c r="AJ50" s="112">
        <v>0</v>
      </c>
      <c r="AK50" s="112">
        <v>0</v>
      </c>
      <c r="AL50" s="112">
        <v>0</v>
      </c>
      <c r="AM50" s="112">
        <v>0</v>
      </c>
      <c r="AN50" s="112">
        <v>0</v>
      </c>
      <c r="AO50" s="112">
        <v>0</v>
      </c>
      <c r="AP50" s="112">
        <v>0</v>
      </c>
      <c r="AQ50" s="112">
        <v>0</v>
      </c>
      <c r="AR50" s="112">
        <v>0</v>
      </c>
      <c r="AS50" s="112">
        <v>0</v>
      </c>
      <c r="AT50" s="112">
        <v>1</v>
      </c>
      <c r="AU50" s="112">
        <v>0</v>
      </c>
      <c r="AV50" s="112">
        <v>0</v>
      </c>
      <c r="AW50" s="112">
        <v>0</v>
      </c>
      <c r="AX50" s="112">
        <v>0</v>
      </c>
      <c r="AY50" s="112">
        <v>0</v>
      </c>
      <c r="AZ50" s="112">
        <v>0</v>
      </c>
      <c r="BA50" s="112">
        <v>0</v>
      </c>
      <c r="BB50" s="112">
        <v>0</v>
      </c>
    </row>
    <row r="51" spans="1:54" x14ac:dyDescent="0.15">
      <c r="A51" s="166" t="s">
        <v>241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0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0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0</v>
      </c>
      <c r="AH51" s="112">
        <v>0</v>
      </c>
      <c r="AI51" s="112">
        <v>0</v>
      </c>
      <c r="AJ51" s="112">
        <v>0</v>
      </c>
      <c r="AK51" s="112">
        <v>0</v>
      </c>
      <c r="AL51" s="112">
        <v>0</v>
      </c>
      <c r="AM51" s="112">
        <v>0</v>
      </c>
      <c r="AN51" s="112">
        <v>0</v>
      </c>
      <c r="AO51" s="112">
        <v>0</v>
      </c>
      <c r="AP51" s="112">
        <v>0</v>
      </c>
      <c r="AQ51" s="112">
        <v>0</v>
      </c>
      <c r="AR51" s="112">
        <v>0</v>
      </c>
      <c r="AS51" s="112">
        <v>0</v>
      </c>
      <c r="AT51" s="112">
        <v>1</v>
      </c>
      <c r="AU51" s="112">
        <v>0</v>
      </c>
      <c r="AV51" s="112">
        <v>0</v>
      </c>
      <c r="AW51" s="112">
        <v>0</v>
      </c>
      <c r="AX51" s="112">
        <v>0</v>
      </c>
      <c r="AY51" s="112">
        <v>0</v>
      </c>
      <c r="AZ51" s="112">
        <v>0</v>
      </c>
      <c r="BA51" s="112">
        <v>0</v>
      </c>
      <c r="BB51" s="112">
        <v>0</v>
      </c>
    </row>
    <row r="52" spans="1:54" x14ac:dyDescent="0.15">
      <c r="A52" s="166" t="s">
        <v>242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0</v>
      </c>
      <c r="AH52" s="112">
        <v>0</v>
      </c>
      <c r="AI52" s="112">
        <v>0</v>
      </c>
      <c r="AJ52" s="112">
        <v>0</v>
      </c>
      <c r="AK52" s="112">
        <v>0</v>
      </c>
      <c r="AL52" s="112">
        <v>0</v>
      </c>
      <c r="AM52" s="112">
        <v>0</v>
      </c>
      <c r="AN52" s="112">
        <v>0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1</v>
      </c>
      <c r="AU52" s="112">
        <v>0</v>
      </c>
      <c r="AV52" s="112">
        <v>0</v>
      </c>
      <c r="AW52" s="112">
        <v>1</v>
      </c>
      <c r="AX52" s="112">
        <v>0</v>
      </c>
      <c r="AY52" s="112">
        <v>0</v>
      </c>
      <c r="AZ52" s="112">
        <v>0</v>
      </c>
      <c r="BA52" s="112">
        <v>0</v>
      </c>
      <c r="BB52" s="112">
        <v>0</v>
      </c>
    </row>
    <row r="53" spans="1:54" x14ac:dyDescent="0.15">
      <c r="A53" s="166" t="s">
        <v>243</v>
      </c>
      <c r="B53" s="112">
        <v>0</v>
      </c>
      <c r="C53" s="112">
        <v>0</v>
      </c>
      <c r="D53" s="112">
        <v>1</v>
      </c>
      <c r="E53" s="112">
        <v>0</v>
      </c>
      <c r="F53" s="112">
        <v>1</v>
      </c>
      <c r="G53" s="112">
        <v>1</v>
      </c>
      <c r="H53" s="112">
        <v>1</v>
      </c>
      <c r="I53" s="112">
        <v>0</v>
      </c>
      <c r="J53" s="112">
        <v>1</v>
      </c>
      <c r="K53" s="112">
        <v>1</v>
      </c>
      <c r="L53" s="112">
        <v>1</v>
      </c>
      <c r="M53" s="112">
        <v>1</v>
      </c>
      <c r="N53" s="112">
        <v>1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0</v>
      </c>
      <c r="AJ53" s="112">
        <v>0</v>
      </c>
      <c r="AK53" s="112">
        <v>0</v>
      </c>
      <c r="AL53" s="112">
        <v>0</v>
      </c>
      <c r="AM53" s="112">
        <v>0</v>
      </c>
      <c r="AN53" s="112">
        <v>0</v>
      </c>
      <c r="AO53" s="112">
        <v>0</v>
      </c>
      <c r="AP53" s="112">
        <v>0</v>
      </c>
      <c r="AQ53" s="112">
        <v>0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  <c r="BA53" s="112">
        <v>0</v>
      </c>
      <c r="BB53" s="112">
        <v>0</v>
      </c>
    </row>
    <row r="54" spans="1:54" x14ac:dyDescent="0.15">
      <c r="A54" s="166" t="s">
        <v>244</v>
      </c>
      <c r="B54" s="112">
        <v>0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0</v>
      </c>
      <c r="Y54" s="112">
        <v>0</v>
      </c>
      <c r="Z54" s="112">
        <v>0</v>
      </c>
      <c r="AA54" s="112">
        <v>0</v>
      </c>
      <c r="AB54" s="112">
        <v>0</v>
      </c>
      <c r="AC54" s="112">
        <v>0</v>
      </c>
      <c r="AD54" s="112">
        <v>0</v>
      </c>
      <c r="AE54" s="112">
        <v>0</v>
      </c>
      <c r="AF54" s="112">
        <v>0</v>
      </c>
      <c r="AG54" s="112">
        <v>0</v>
      </c>
      <c r="AH54" s="112">
        <v>0</v>
      </c>
      <c r="AI54" s="112">
        <v>0</v>
      </c>
      <c r="AJ54" s="112">
        <v>0</v>
      </c>
      <c r="AK54" s="112">
        <v>0</v>
      </c>
      <c r="AL54" s="112">
        <v>0</v>
      </c>
      <c r="AM54" s="112">
        <v>0</v>
      </c>
      <c r="AN54" s="112">
        <v>0</v>
      </c>
      <c r="AO54" s="112">
        <v>0</v>
      </c>
      <c r="AP54" s="112">
        <v>0</v>
      </c>
      <c r="AQ54" s="112">
        <v>0</v>
      </c>
      <c r="AR54" s="112">
        <v>0</v>
      </c>
      <c r="AS54" s="112">
        <v>0</v>
      </c>
      <c r="AT54" s="112">
        <v>0</v>
      </c>
      <c r="AU54" s="112">
        <v>0</v>
      </c>
      <c r="AV54" s="112">
        <v>0</v>
      </c>
      <c r="AW54" s="112">
        <v>0</v>
      </c>
      <c r="AX54" s="112">
        <v>0</v>
      </c>
      <c r="AY54" s="112">
        <v>0</v>
      </c>
      <c r="AZ54" s="112">
        <v>0</v>
      </c>
      <c r="BA54" s="112">
        <v>0</v>
      </c>
      <c r="BB54" s="112">
        <v>0</v>
      </c>
    </row>
    <row r="55" spans="1:54" x14ac:dyDescent="0.15">
      <c r="A55" s="166" t="s">
        <v>254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0</v>
      </c>
      <c r="AM55" s="112">
        <v>0</v>
      </c>
      <c r="AN55" s="112">
        <v>0</v>
      </c>
      <c r="AO55" s="112">
        <v>0</v>
      </c>
      <c r="AP55" s="112">
        <v>0</v>
      </c>
      <c r="AQ55" s="112">
        <v>0</v>
      </c>
      <c r="AR55" s="112">
        <v>0</v>
      </c>
      <c r="AS55" s="112">
        <v>0</v>
      </c>
      <c r="AT55" s="112">
        <v>0</v>
      </c>
      <c r="AU55" s="112">
        <v>1</v>
      </c>
      <c r="AV55" s="112">
        <v>0</v>
      </c>
      <c r="AW55" s="112">
        <v>1</v>
      </c>
      <c r="AX55" s="112">
        <v>0</v>
      </c>
      <c r="AY55" s="112">
        <v>0</v>
      </c>
      <c r="AZ55" s="112">
        <v>0</v>
      </c>
      <c r="BA55" s="112">
        <v>0</v>
      </c>
      <c r="BB55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K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1640625" bestFit="1" customWidth="1"/>
    <col min="3" max="4" width="3.83203125" bestFit="1" customWidth="1"/>
    <col min="5" max="11" width="3.83203125" customWidth="1"/>
  </cols>
  <sheetData>
    <row r="1" spans="1:11" ht="112" x14ac:dyDescent="0.15">
      <c r="A1" s="5" t="s">
        <v>83</v>
      </c>
      <c r="B1" s="3" t="s">
        <v>0</v>
      </c>
      <c r="C1" s="169" t="s">
        <v>245</v>
      </c>
      <c r="D1" s="169" t="s">
        <v>246</v>
      </c>
      <c r="E1" s="169" t="s">
        <v>247</v>
      </c>
      <c r="F1" s="169" t="s">
        <v>248</v>
      </c>
      <c r="G1" s="169" t="s">
        <v>249</v>
      </c>
      <c r="H1" s="169" t="s">
        <v>250</v>
      </c>
      <c r="I1" s="169" t="s">
        <v>251</v>
      </c>
      <c r="J1" s="169" t="s">
        <v>252</v>
      </c>
      <c r="K1" s="169" t="s">
        <v>253</v>
      </c>
    </row>
    <row r="2" spans="1:11" x14ac:dyDescent="0.15">
      <c r="A2">
        <v>1</v>
      </c>
      <c r="B2" s="168" t="s">
        <v>192</v>
      </c>
      <c r="C2">
        <v>0.8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0.8</v>
      </c>
      <c r="K2">
        <v>0</v>
      </c>
    </row>
    <row r="3" spans="1:11" x14ac:dyDescent="0.15">
      <c r="A3">
        <v>2</v>
      </c>
      <c r="B3" s="168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168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15">
      <c r="A5">
        <v>4</v>
      </c>
      <c r="B5" s="168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15">
      <c r="A6">
        <v>5</v>
      </c>
      <c r="B6" s="168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15">
      <c r="A7">
        <v>6</v>
      </c>
      <c r="B7" s="168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15">
      <c r="A8">
        <v>7</v>
      </c>
      <c r="B8" s="168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0.8</v>
      </c>
      <c r="I8">
        <v>0</v>
      </c>
      <c r="J8">
        <v>0</v>
      </c>
      <c r="K8">
        <v>0</v>
      </c>
    </row>
    <row r="9" spans="1:11" x14ac:dyDescent="0.15">
      <c r="A9">
        <v>8</v>
      </c>
      <c r="B9" s="168" t="s">
        <v>199</v>
      </c>
      <c r="C9">
        <v>0</v>
      </c>
      <c r="D9">
        <v>0.8</v>
      </c>
      <c r="E9">
        <v>0</v>
      </c>
      <c r="F9">
        <v>0</v>
      </c>
      <c r="G9">
        <v>0</v>
      </c>
      <c r="H9">
        <v>0.8</v>
      </c>
      <c r="I9">
        <v>0</v>
      </c>
      <c r="J9">
        <v>0</v>
      </c>
      <c r="K9">
        <v>0</v>
      </c>
    </row>
    <row r="10" spans="1:11" x14ac:dyDescent="0.15">
      <c r="A10">
        <v>9</v>
      </c>
      <c r="B10" s="168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15">
      <c r="A11">
        <v>10</v>
      </c>
      <c r="B11" s="168" t="s">
        <v>201</v>
      </c>
      <c r="C11">
        <v>0</v>
      </c>
      <c r="D11">
        <v>0</v>
      </c>
      <c r="E11">
        <v>0</v>
      </c>
      <c r="F11">
        <v>0.8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15">
      <c r="A12">
        <v>11</v>
      </c>
      <c r="B12" s="168" t="s">
        <v>202</v>
      </c>
      <c r="C12">
        <v>0.8</v>
      </c>
      <c r="D12">
        <v>0.8</v>
      </c>
      <c r="E12">
        <v>0</v>
      </c>
      <c r="F12">
        <v>0.8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15">
      <c r="A13">
        <v>12</v>
      </c>
      <c r="B13" s="168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</row>
    <row r="14" spans="1:11" x14ac:dyDescent="0.15">
      <c r="A14">
        <v>13</v>
      </c>
      <c r="B14" s="168" t="s">
        <v>204</v>
      </c>
      <c r="C14">
        <v>0.8</v>
      </c>
      <c r="D14">
        <v>0.8</v>
      </c>
      <c r="E14">
        <v>0</v>
      </c>
      <c r="F14">
        <v>0.8</v>
      </c>
      <c r="G14">
        <v>0.8</v>
      </c>
      <c r="H14">
        <v>0.8</v>
      </c>
      <c r="I14">
        <v>0</v>
      </c>
      <c r="J14">
        <v>0</v>
      </c>
      <c r="K14">
        <v>0</v>
      </c>
    </row>
    <row r="15" spans="1:11" x14ac:dyDescent="0.15">
      <c r="A15">
        <v>14</v>
      </c>
      <c r="B15" s="168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0.8</v>
      </c>
      <c r="I15">
        <v>0</v>
      </c>
      <c r="J15">
        <v>0</v>
      </c>
      <c r="K15">
        <v>0</v>
      </c>
    </row>
    <row r="16" spans="1:11" x14ac:dyDescent="0.15">
      <c r="A16">
        <v>15</v>
      </c>
      <c r="B16" s="168" t="s">
        <v>206</v>
      </c>
      <c r="C16">
        <v>0</v>
      </c>
      <c r="D16">
        <v>0.8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15">
      <c r="A17">
        <v>16</v>
      </c>
      <c r="B17" s="168" t="s">
        <v>207</v>
      </c>
      <c r="C17">
        <v>0.8</v>
      </c>
      <c r="D17">
        <v>0.8</v>
      </c>
      <c r="E17">
        <v>0.8</v>
      </c>
      <c r="F17">
        <v>0</v>
      </c>
      <c r="G17">
        <v>0.8</v>
      </c>
      <c r="H17">
        <v>0</v>
      </c>
      <c r="I17">
        <v>0</v>
      </c>
      <c r="J17">
        <v>0</v>
      </c>
      <c r="K17">
        <v>0</v>
      </c>
    </row>
    <row r="18" spans="1:11" x14ac:dyDescent="0.15">
      <c r="A18">
        <v>17</v>
      </c>
      <c r="B18" s="168" t="s">
        <v>208</v>
      </c>
      <c r="C18">
        <v>0.8</v>
      </c>
      <c r="D18">
        <v>0.8</v>
      </c>
      <c r="E18">
        <v>0.8</v>
      </c>
      <c r="F18">
        <v>0</v>
      </c>
      <c r="G18">
        <v>0.8</v>
      </c>
      <c r="H18">
        <v>0</v>
      </c>
      <c r="I18">
        <v>0</v>
      </c>
      <c r="J18">
        <v>0</v>
      </c>
      <c r="K18">
        <v>0</v>
      </c>
    </row>
    <row r="19" spans="1:11" x14ac:dyDescent="0.15">
      <c r="A19">
        <v>18</v>
      </c>
      <c r="B19" s="168" t="s">
        <v>209</v>
      </c>
      <c r="C19">
        <v>0.8</v>
      </c>
      <c r="D19">
        <v>0.8</v>
      </c>
      <c r="E19">
        <v>0</v>
      </c>
      <c r="F19">
        <v>0.8</v>
      </c>
      <c r="G19">
        <v>0.8</v>
      </c>
      <c r="H19">
        <v>0</v>
      </c>
      <c r="I19">
        <v>0</v>
      </c>
      <c r="J19">
        <v>0</v>
      </c>
      <c r="K19">
        <v>0</v>
      </c>
    </row>
    <row r="20" spans="1:11" x14ac:dyDescent="0.15">
      <c r="A20">
        <v>19</v>
      </c>
      <c r="B20" s="168" t="s">
        <v>210</v>
      </c>
      <c r="C20">
        <v>0.8</v>
      </c>
      <c r="D20">
        <v>0.8</v>
      </c>
      <c r="E20">
        <v>0</v>
      </c>
      <c r="F20">
        <v>0.8</v>
      </c>
      <c r="G20">
        <v>0.8</v>
      </c>
      <c r="H20">
        <v>0</v>
      </c>
      <c r="I20">
        <v>0</v>
      </c>
      <c r="J20">
        <v>0</v>
      </c>
      <c r="K20">
        <v>0</v>
      </c>
    </row>
    <row r="21" spans="1:11" x14ac:dyDescent="0.15">
      <c r="A21">
        <v>20</v>
      </c>
      <c r="B21" s="168" t="s">
        <v>211</v>
      </c>
      <c r="C21">
        <v>0.8</v>
      </c>
      <c r="D21">
        <v>0.8</v>
      </c>
      <c r="E21">
        <v>0</v>
      </c>
      <c r="F21">
        <v>0.8</v>
      </c>
      <c r="G21">
        <v>0.8</v>
      </c>
      <c r="H21">
        <v>0</v>
      </c>
      <c r="I21">
        <v>0</v>
      </c>
      <c r="J21">
        <v>0</v>
      </c>
      <c r="K21">
        <v>0</v>
      </c>
    </row>
    <row r="22" spans="1:11" x14ac:dyDescent="0.15">
      <c r="A22">
        <v>21</v>
      </c>
      <c r="B22" s="168" t="s">
        <v>212</v>
      </c>
      <c r="C22">
        <v>0.8</v>
      </c>
      <c r="D22">
        <v>0.8</v>
      </c>
      <c r="E22">
        <v>0</v>
      </c>
      <c r="F22">
        <v>0.8</v>
      </c>
      <c r="G22">
        <v>0.8</v>
      </c>
      <c r="H22">
        <v>0</v>
      </c>
      <c r="I22">
        <v>0</v>
      </c>
      <c r="J22">
        <v>0</v>
      </c>
      <c r="K22">
        <v>0</v>
      </c>
    </row>
    <row r="23" spans="1:11" x14ac:dyDescent="0.15">
      <c r="A23">
        <v>22</v>
      </c>
      <c r="B23" s="168" t="s">
        <v>213</v>
      </c>
      <c r="C23">
        <v>0.8</v>
      </c>
      <c r="D23">
        <v>0.8</v>
      </c>
      <c r="E23">
        <v>0</v>
      </c>
      <c r="F23">
        <v>0</v>
      </c>
      <c r="G23">
        <v>0.8</v>
      </c>
      <c r="H23">
        <v>0</v>
      </c>
      <c r="I23">
        <v>0</v>
      </c>
      <c r="J23">
        <v>0</v>
      </c>
      <c r="K23">
        <v>0</v>
      </c>
    </row>
    <row r="24" spans="1:11" x14ac:dyDescent="0.15">
      <c r="A24">
        <v>23</v>
      </c>
      <c r="B24" s="168" t="s">
        <v>214</v>
      </c>
      <c r="C24">
        <v>0.8</v>
      </c>
      <c r="D24">
        <v>0.8</v>
      </c>
      <c r="E24">
        <v>0.8</v>
      </c>
      <c r="F24">
        <v>0.8</v>
      </c>
      <c r="G24">
        <v>0.8</v>
      </c>
      <c r="H24">
        <v>0.8</v>
      </c>
      <c r="I24">
        <v>0.8</v>
      </c>
      <c r="J24">
        <v>0</v>
      </c>
      <c r="K24">
        <v>0</v>
      </c>
    </row>
    <row r="25" spans="1:11" x14ac:dyDescent="0.15">
      <c r="A25">
        <v>24</v>
      </c>
      <c r="B25" s="168" t="s">
        <v>215</v>
      </c>
      <c r="C25">
        <v>0.8</v>
      </c>
      <c r="D25">
        <v>0.8</v>
      </c>
      <c r="E25">
        <v>0.8</v>
      </c>
      <c r="F25">
        <v>0.8</v>
      </c>
      <c r="G25">
        <v>0.8</v>
      </c>
      <c r="H25">
        <v>0.8</v>
      </c>
      <c r="I25">
        <v>0.8</v>
      </c>
      <c r="J25">
        <v>0</v>
      </c>
      <c r="K25">
        <v>0</v>
      </c>
    </row>
    <row r="26" spans="1:11" x14ac:dyDescent="0.15">
      <c r="A26">
        <v>25</v>
      </c>
      <c r="B26" s="168" t="s">
        <v>216</v>
      </c>
      <c r="C26">
        <v>0.8</v>
      </c>
      <c r="D26">
        <v>0.8</v>
      </c>
      <c r="E26">
        <v>0.8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15">
      <c r="A27">
        <v>26</v>
      </c>
      <c r="B27" s="168" t="s">
        <v>217</v>
      </c>
      <c r="C27">
        <v>0.8</v>
      </c>
      <c r="D27">
        <v>0.8</v>
      </c>
      <c r="E27">
        <v>0.8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15">
      <c r="A28">
        <v>27</v>
      </c>
      <c r="B28" s="168" t="s">
        <v>218</v>
      </c>
      <c r="C28">
        <v>0.8</v>
      </c>
      <c r="D28">
        <v>0.8</v>
      </c>
      <c r="E28">
        <v>0.8</v>
      </c>
      <c r="F28">
        <v>0.8</v>
      </c>
      <c r="G28">
        <v>0.8</v>
      </c>
      <c r="H28">
        <v>0.8</v>
      </c>
      <c r="I28">
        <v>0.8</v>
      </c>
      <c r="J28">
        <v>0</v>
      </c>
      <c r="K28">
        <v>0</v>
      </c>
    </row>
    <row r="29" spans="1:11" x14ac:dyDescent="0.15">
      <c r="A29">
        <v>28</v>
      </c>
      <c r="B29" s="168" t="s">
        <v>219</v>
      </c>
      <c r="C29">
        <v>0.8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15">
      <c r="A30">
        <v>29</v>
      </c>
      <c r="B30" s="168" t="s">
        <v>220</v>
      </c>
      <c r="C30">
        <v>0.8</v>
      </c>
      <c r="D30">
        <v>0.8</v>
      </c>
      <c r="E30">
        <v>0.8</v>
      </c>
      <c r="F30">
        <v>0</v>
      </c>
      <c r="G30">
        <v>0.8</v>
      </c>
      <c r="H30">
        <v>0</v>
      </c>
      <c r="I30">
        <v>0</v>
      </c>
      <c r="J30">
        <v>0</v>
      </c>
      <c r="K30">
        <v>0</v>
      </c>
    </row>
    <row r="31" spans="1:11" x14ac:dyDescent="0.15">
      <c r="A31">
        <v>30</v>
      </c>
      <c r="B31" s="168" t="s">
        <v>221</v>
      </c>
      <c r="C31">
        <v>0.8</v>
      </c>
      <c r="D31">
        <v>0</v>
      </c>
      <c r="E31">
        <v>0</v>
      </c>
      <c r="F31">
        <v>0</v>
      </c>
      <c r="G31">
        <v>0.8</v>
      </c>
      <c r="H31">
        <v>0</v>
      </c>
      <c r="I31">
        <v>0</v>
      </c>
      <c r="J31">
        <v>0</v>
      </c>
      <c r="K31">
        <v>0</v>
      </c>
    </row>
    <row r="32" spans="1:11" x14ac:dyDescent="0.15">
      <c r="A32">
        <v>31</v>
      </c>
      <c r="B32" s="168" t="s">
        <v>222</v>
      </c>
      <c r="C32">
        <v>0.8</v>
      </c>
      <c r="D32">
        <v>0.8</v>
      </c>
      <c r="E32">
        <v>0.8</v>
      </c>
      <c r="F32">
        <v>0.8</v>
      </c>
      <c r="G32">
        <v>0.8</v>
      </c>
      <c r="H32">
        <v>0.8</v>
      </c>
      <c r="I32">
        <v>0.8</v>
      </c>
      <c r="J32">
        <v>0</v>
      </c>
      <c r="K32">
        <v>0</v>
      </c>
    </row>
    <row r="33" spans="1:11" x14ac:dyDescent="0.15">
      <c r="A33">
        <v>32</v>
      </c>
      <c r="B33" s="168" t="s">
        <v>223</v>
      </c>
      <c r="C33">
        <v>0.8</v>
      </c>
      <c r="D33">
        <v>0.8</v>
      </c>
      <c r="E33">
        <v>0.8</v>
      </c>
      <c r="F33">
        <v>0.8</v>
      </c>
      <c r="G33">
        <v>0.8</v>
      </c>
      <c r="H33">
        <v>0.8</v>
      </c>
      <c r="I33">
        <v>0.8</v>
      </c>
      <c r="J33">
        <v>0</v>
      </c>
      <c r="K33">
        <v>0</v>
      </c>
    </row>
    <row r="34" spans="1:11" x14ac:dyDescent="0.15">
      <c r="A34">
        <v>33</v>
      </c>
      <c r="B34" s="168" t="s">
        <v>224</v>
      </c>
      <c r="C34">
        <v>0.8</v>
      </c>
      <c r="D34">
        <v>0</v>
      </c>
      <c r="E34">
        <v>0</v>
      </c>
      <c r="F34">
        <v>0</v>
      </c>
      <c r="G34">
        <v>0.8</v>
      </c>
      <c r="H34">
        <v>0</v>
      </c>
      <c r="I34">
        <v>0.8</v>
      </c>
      <c r="J34">
        <v>0</v>
      </c>
      <c r="K34">
        <v>0</v>
      </c>
    </row>
    <row r="35" spans="1:11" x14ac:dyDescent="0.15">
      <c r="A35">
        <v>34</v>
      </c>
      <c r="B35" s="168" t="s">
        <v>225</v>
      </c>
      <c r="C35">
        <v>0.8</v>
      </c>
      <c r="D35">
        <v>0.8</v>
      </c>
      <c r="E35">
        <v>0</v>
      </c>
      <c r="F35">
        <v>0.8</v>
      </c>
      <c r="G35">
        <v>0.8</v>
      </c>
      <c r="H35">
        <v>0</v>
      </c>
      <c r="I35">
        <v>0</v>
      </c>
      <c r="J35">
        <v>0</v>
      </c>
      <c r="K35">
        <v>0</v>
      </c>
    </row>
    <row r="36" spans="1:11" x14ac:dyDescent="0.15">
      <c r="A36">
        <v>35</v>
      </c>
      <c r="B36" s="168" t="s">
        <v>226</v>
      </c>
      <c r="C36">
        <v>0.8</v>
      </c>
      <c r="D36">
        <v>0.8</v>
      </c>
      <c r="E36">
        <v>0</v>
      </c>
      <c r="F36">
        <v>0</v>
      </c>
      <c r="G36">
        <v>0.8</v>
      </c>
      <c r="H36">
        <v>0</v>
      </c>
      <c r="I36">
        <v>0.8</v>
      </c>
      <c r="J36">
        <v>0</v>
      </c>
      <c r="K36">
        <v>0</v>
      </c>
    </row>
    <row r="37" spans="1:11" x14ac:dyDescent="0.15">
      <c r="A37">
        <v>36</v>
      </c>
      <c r="B37" s="168" t="s">
        <v>227</v>
      </c>
      <c r="C37">
        <v>0.8</v>
      </c>
      <c r="D37">
        <v>0</v>
      </c>
      <c r="E37">
        <v>0.8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 x14ac:dyDescent="0.15">
      <c r="A38">
        <v>37</v>
      </c>
      <c r="B38" s="168" t="s">
        <v>228</v>
      </c>
      <c r="C38">
        <v>0.8</v>
      </c>
      <c r="D38">
        <v>0.8</v>
      </c>
      <c r="E38">
        <v>0</v>
      </c>
      <c r="F38">
        <v>0</v>
      </c>
      <c r="G38">
        <v>0.8</v>
      </c>
      <c r="H38">
        <v>0</v>
      </c>
      <c r="I38">
        <v>0</v>
      </c>
      <c r="J38">
        <v>0</v>
      </c>
      <c r="K38">
        <v>0</v>
      </c>
    </row>
    <row r="39" spans="1:11" x14ac:dyDescent="0.15">
      <c r="A39">
        <v>38</v>
      </c>
      <c r="B39" s="168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1:11" x14ac:dyDescent="0.15">
      <c r="A40">
        <v>39</v>
      </c>
      <c r="B40" s="168" t="s">
        <v>230</v>
      </c>
      <c r="C40">
        <v>0.8</v>
      </c>
      <c r="D40">
        <v>0</v>
      </c>
      <c r="E40">
        <v>0.8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1:11" x14ac:dyDescent="0.15">
      <c r="A41">
        <v>40</v>
      </c>
      <c r="B41" s="168" t="s">
        <v>231</v>
      </c>
      <c r="C41">
        <v>0</v>
      </c>
      <c r="D41">
        <v>0</v>
      </c>
      <c r="E41">
        <v>0.8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1:11" x14ac:dyDescent="0.15">
      <c r="A42">
        <v>41</v>
      </c>
      <c r="B42" s="168" t="s">
        <v>232</v>
      </c>
      <c r="C42">
        <v>0.8</v>
      </c>
      <c r="D42">
        <v>0</v>
      </c>
      <c r="E42">
        <v>0.8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</row>
    <row r="43" spans="1:11" x14ac:dyDescent="0.15">
      <c r="A43">
        <v>42</v>
      </c>
      <c r="B43" s="168" t="s">
        <v>233</v>
      </c>
      <c r="C43">
        <v>0.8</v>
      </c>
      <c r="D43">
        <v>0</v>
      </c>
      <c r="E43">
        <v>0.8</v>
      </c>
      <c r="F43">
        <v>0</v>
      </c>
      <c r="G43">
        <v>0</v>
      </c>
      <c r="H43">
        <v>0</v>
      </c>
      <c r="I43">
        <v>0.8</v>
      </c>
      <c r="J43">
        <v>0</v>
      </c>
      <c r="K43">
        <v>0</v>
      </c>
    </row>
    <row r="44" spans="1:11" x14ac:dyDescent="0.15">
      <c r="A44">
        <v>43</v>
      </c>
      <c r="B44" s="168" t="s">
        <v>234</v>
      </c>
      <c r="C44">
        <v>0.8</v>
      </c>
      <c r="D44">
        <v>0</v>
      </c>
      <c r="E44">
        <v>0.8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</row>
    <row r="45" spans="1:11" x14ac:dyDescent="0.15">
      <c r="A45">
        <v>44</v>
      </c>
      <c r="B45" s="168" t="s">
        <v>235</v>
      </c>
      <c r="C45">
        <v>0.8</v>
      </c>
      <c r="D45">
        <v>0</v>
      </c>
      <c r="E45">
        <v>0.8</v>
      </c>
      <c r="F45">
        <v>0</v>
      </c>
      <c r="G45">
        <v>0.8</v>
      </c>
      <c r="H45">
        <v>0</v>
      </c>
      <c r="I45">
        <v>0.8</v>
      </c>
      <c r="J45">
        <v>0</v>
      </c>
      <c r="K45">
        <v>0.8</v>
      </c>
    </row>
    <row r="46" spans="1:11" x14ac:dyDescent="0.15">
      <c r="A46">
        <v>45</v>
      </c>
      <c r="B46" s="168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0.8</v>
      </c>
    </row>
    <row r="47" spans="1:11" x14ac:dyDescent="0.15">
      <c r="A47">
        <v>46</v>
      </c>
      <c r="B47" s="168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11" x14ac:dyDescent="0.15">
      <c r="A48">
        <v>47</v>
      </c>
      <c r="B48" s="168" t="s">
        <v>238</v>
      </c>
      <c r="C48">
        <v>0.8</v>
      </c>
      <c r="D48">
        <v>0.8</v>
      </c>
      <c r="E48">
        <v>0.8</v>
      </c>
      <c r="F48">
        <v>0.8</v>
      </c>
      <c r="G48">
        <v>0.8</v>
      </c>
      <c r="H48">
        <v>0.8</v>
      </c>
      <c r="I48">
        <v>0.8</v>
      </c>
      <c r="J48">
        <v>0</v>
      </c>
      <c r="K48">
        <v>0</v>
      </c>
    </row>
    <row r="49" spans="1:11" x14ac:dyDescent="0.15">
      <c r="A49">
        <v>48</v>
      </c>
      <c r="B49" s="168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1:11" x14ac:dyDescent="0.15">
      <c r="A50">
        <v>49</v>
      </c>
      <c r="B50" s="168" t="s">
        <v>240</v>
      </c>
      <c r="C50">
        <v>0</v>
      </c>
      <c r="D50">
        <v>0</v>
      </c>
      <c r="E50">
        <v>0.8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1:11" x14ac:dyDescent="0.15">
      <c r="A51">
        <v>50</v>
      </c>
      <c r="B51" s="168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1:11" x14ac:dyDescent="0.15">
      <c r="A52">
        <v>51</v>
      </c>
      <c r="B52" s="168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1" x14ac:dyDescent="0.15">
      <c r="A53">
        <v>52</v>
      </c>
      <c r="B53" s="168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 x14ac:dyDescent="0.15">
      <c r="A54">
        <v>53</v>
      </c>
      <c r="B54" s="168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K54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1640625" bestFit="1" customWidth="1"/>
    <col min="3" max="4" width="3.83203125" bestFit="1" customWidth="1"/>
    <col min="5" max="11" width="3.83203125" customWidth="1"/>
  </cols>
  <sheetData>
    <row r="1" spans="1:11" ht="112" x14ac:dyDescent="0.15">
      <c r="A1" s="5" t="s">
        <v>82</v>
      </c>
      <c r="B1" s="3" t="s">
        <v>0</v>
      </c>
      <c r="C1" s="171" t="s">
        <v>245</v>
      </c>
      <c r="D1" s="171" t="s">
        <v>246</v>
      </c>
      <c r="E1" s="171" t="s">
        <v>247</v>
      </c>
      <c r="F1" s="171" t="s">
        <v>248</v>
      </c>
      <c r="G1" s="171" t="s">
        <v>249</v>
      </c>
      <c r="H1" s="171" t="s">
        <v>250</v>
      </c>
      <c r="I1" s="171" t="s">
        <v>251</v>
      </c>
      <c r="J1" s="171" t="s">
        <v>252</v>
      </c>
      <c r="K1" s="171" t="s">
        <v>253</v>
      </c>
    </row>
    <row r="2" spans="1:11" x14ac:dyDescent="0.15">
      <c r="A2">
        <v>1</v>
      </c>
      <c r="B2" s="170" t="s">
        <v>192</v>
      </c>
      <c r="C2">
        <v>0.8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0.8</v>
      </c>
      <c r="K2">
        <v>0</v>
      </c>
    </row>
    <row r="3" spans="1:11" x14ac:dyDescent="0.15">
      <c r="A3">
        <v>2</v>
      </c>
      <c r="B3" s="170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170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15">
      <c r="A5">
        <v>4</v>
      </c>
      <c r="B5" s="170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15">
      <c r="A6">
        <v>5</v>
      </c>
      <c r="B6" s="170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15">
      <c r="A7">
        <v>6</v>
      </c>
      <c r="B7" s="170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15">
      <c r="A8">
        <v>7</v>
      </c>
      <c r="B8" s="170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0.8</v>
      </c>
      <c r="I8">
        <v>0</v>
      </c>
      <c r="J8">
        <v>0</v>
      </c>
      <c r="K8">
        <v>0</v>
      </c>
    </row>
    <row r="9" spans="1:11" x14ac:dyDescent="0.15">
      <c r="A9">
        <v>8</v>
      </c>
      <c r="B9" s="170" t="s">
        <v>199</v>
      </c>
      <c r="C9">
        <v>0</v>
      </c>
      <c r="D9">
        <v>0.8</v>
      </c>
      <c r="E9">
        <v>0</v>
      </c>
      <c r="F9">
        <v>0</v>
      </c>
      <c r="G9">
        <v>0</v>
      </c>
      <c r="H9">
        <v>0.8</v>
      </c>
      <c r="I9">
        <v>0</v>
      </c>
      <c r="J9">
        <v>0</v>
      </c>
      <c r="K9">
        <v>0</v>
      </c>
    </row>
    <row r="10" spans="1:11" x14ac:dyDescent="0.15">
      <c r="A10">
        <v>9</v>
      </c>
      <c r="B10" s="170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15">
      <c r="A11">
        <v>10</v>
      </c>
      <c r="B11" s="170" t="s">
        <v>201</v>
      </c>
      <c r="C11">
        <v>0</v>
      </c>
      <c r="D11">
        <v>0</v>
      </c>
      <c r="E11">
        <v>0</v>
      </c>
      <c r="F11">
        <v>0.8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15">
      <c r="A12">
        <v>11</v>
      </c>
      <c r="B12" s="170" t="s">
        <v>202</v>
      </c>
      <c r="C12">
        <v>0.8</v>
      </c>
      <c r="D12">
        <v>0.8</v>
      </c>
      <c r="E12">
        <v>0</v>
      </c>
      <c r="F12">
        <v>0.8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15">
      <c r="A13">
        <v>12</v>
      </c>
      <c r="B13" s="170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</row>
    <row r="14" spans="1:11" x14ac:dyDescent="0.15">
      <c r="A14">
        <v>13</v>
      </c>
      <c r="B14" s="170" t="s">
        <v>204</v>
      </c>
      <c r="C14">
        <v>0.8</v>
      </c>
      <c r="D14">
        <v>0.8</v>
      </c>
      <c r="E14">
        <v>0</v>
      </c>
      <c r="F14">
        <v>0.8</v>
      </c>
      <c r="G14">
        <v>0.8</v>
      </c>
      <c r="H14">
        <v>0.8</v>
      </c>
      <c r="I14">
        <v>0</v>
      </c>
      <c r="J14">
        <v>0</v>
      </c>
      <c r="K14">
        <v>0</v>
      </c>
    </row>
    <row r="15" spans="1:11" x14ac:dyDescent="0.15">
      <c r="A15">
        <v>14</v>
      </c>
      <c r="B15" s="170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0.8</v>
      </c>
      <c r="I15">
        <v>0</v>
      </c>
      <c r="J15">
        <v>0</v>
      </c>
      <c r="K15">
        <v>0</v>
      </c>
    </row>
    <row r="16" spans="1:11" x14ac:dyDescent="0.15">
      <c r="A16">
        <v>15</v>
      </c>
      <c r="B16" s="170" t="s">
        <v>206</v>
      </c>
      <c r="C16">
        <v>0</v>
      </c>
      <c r="D16">
        <v>0.8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15">
      <c r="A17">
        <v>16</v>
      </c>
      <c r="B17" s="170" t="s">
        <v>207</v>
      </c>
      <c r="C17">
        <v>0.8</v>
      </c>
      <c r="D17">
        <v>0.8</v>
      </c>
      <c r="E17">
        <v>0.8</v>
      </c>
      <c r="F17">
        <v>0</v>
      </c>
      <c r="G17">
        <v>0.8</v>
      </c>
      <c r="H17">
        <v>0</v>
      </c>
      <c r="I17">
        <v>0</v>
      </c>
      <c r="J17">
        <v>0</v>
      </c>
      <c r="K17">
        <v>0</v>
      </c>
    </row>
    <row r="18" spans="1:11" x14ac:dyDescent="0.15">
      <c r="A18">
        <v>17</v>
      </c>
      <c r="B18" s="170" t="s">
        <v>208</v>
      </c>
      <c r="C18">
        <v>0.8</v>
      </c>
      <c r="D18">
        <v>0.8</v>
      </c>
      <c r="E18">
        <v>0.8</v>
      </c>
      <c r="F18">
        <v>0</v>
      </c>
      <c r="G18">
        <v>0.8</v>
      </c>
      <c r="H18">
        <v>0</v>
      </c>
      <c r="I18">
        <v>0</v>
      </c>
      <c r="J18">
        <v>0</v>
      </c>
      <c r="K18">
        <v>0</v>
      </c>
    </row>
    <row r="19" spans="1:11" x14ac:dyDescent="0.15">
      <c r="A19">
        <v>18</v>
      </c>
      <c r="B19" s="170" t="s">
        <v>209</v>
      </c>
      <c r="C19">
        <v>0.8</v>
      </c>
      <c r="D19">
        <v>0.8</v>
      </c>
      <c r="E19">
        <v>0</v>
      </c>
      <c r="F19">
        <v>0.8</v>
      </c>
      <c r="G19">
        <v>0.8</v>
      </c>
      <c r="H19">
        <v>0</v>
      </c>
      <c r="I19">
        <v>0</v>
      </c>
      <c r="J19">
        <v>0</v>
      </c>
      <c r="K19">
        <v>0</v>
      </c>
    </row>
    <row r="20" spans="1:11" x14ac:dyDescent="0.15">
      <c r="A20">
        <v>19</v>
      </c>
      <c r="B20" s="170" t="s">
        <v>210</v>
      </c>
      <c r="C20">
        <v>0.8</v>
      </c>
      <c r="D20">
        <v>0.8</v>
      </c>
      <c r="E20">
        <v>0</v>
      </c>
      <c r="F20">
        <v>0.8</v>
      </c>
      <c r="G20">
        <v>0.8</v>
      </c>
      <c r="H20">
        <v>0</v>
      </c>
      <c r="I20">
        <v>0</v>
      </c>
      <c r="J20">
        <v>0</v>
      </c>
      <c r="K20">
        <v>0</v>
      </c>
    </row>
    <row r="21" spans="1:11" x14ac:dyDescent="0.15">
      <c r="A21">
        <v>20</v>
      </c>
      <c r="B21" s="170" t="s">
        <v>211</v>
      </c>
      <c r="C21">
        <v>0.8</v>
      </c>
      <c r="D21">
        <v>0.8</v>
      </c>
      <c r="E21">
        <v>0</v>
      </c>
      <c r="F21">
        <v>0.8</v>
      </c>
      <c r="G21">
        <v>0.8</v>
      </c>
      <c r="H21">
        <v>0</v>
      </c>
      <c r="I21">
        <v>0</v>
      </c>
      <c r="J21">
        <v>0</v>
      </c>
      <c r="K21">
        <v>0</v>
      </c>
    </row>
    <row r="22" spans="1:11" x14ac:dyDescent="0.15">
      <c r="A22">
        <v>21</v>
      </c>
      <c r="B22" s="170" t="s">
        <v>212</v>
      </c>
      <c r="C22">
        <v>0.8</v>
      </c>
      <c r="D22">
        <v>0.8</v>
      </c>
      <c r="E22">
        <v>0</v>
      </c>
      <c r="F22">
        <v>0.8</v>
      </c>
      <c r="G22">
        <v>0.8</v>
      </c>
      <c r="H22">
        <v>0</v>
      </c>
      <c r="I22">
        <v>0</v>
      </c>
      <c r="J22">
        <v>0</v>
      </c>
      <c r="K22">
        <v>0</v>
      </c>
    </row>
    <row r="23" spans="1:11" x14ac:dyDescent="0.15">
      <c r="A23">
        <v>22</v>
      </c>
      <c r="B23" s="170" t="s">
        <v>213</v>
      </c>
      <c r="C23">
        <v>0.8</v>
      </c>
      <c r="D23">
        <v>0.8</v>
      </c>
      <c r="E23">
        <v>0</v>
      </c>
      <c r="F23">
        <v>0</v>
      </c>
      <c r="G23">
        <v>0.8</v>
      </c>
      <c r="H23">
        <v>0</v>
      </c>
      <c r="I23">
        <v>0</v>
      </c>
      <c r="J23">
        <v>0</v>
      </c>
      <c r="K23">
        <v>0</v>
      </c>
    </row>
    <row r="24" spans="1:11" x14ac:dyDescent="0.15">
      <c r="A24">
        <v>23</v>
      </c>
      <c r="B24" s="170" t="s">
        <v>214</v>
      </c>
      <c r="C24">
        <v>0.8</v>
      </c>
      <c r="D24">
        <v>0.8</v>
      </c>
      <c r="E24">
        <v>0.8</v>
      </c>
      <c r="F24">
        <v>0.8</v>
      </c>
      <c r="G24">
        <v>0.8</v>
      </c>
      <c r="H24">
        <v>0.8</v>
      </c>
      <c r="I24">
        <v>0.8</v>
      </c>
      <c r="J24">
        <v>0</v>
      </c>
      <c r="K24">
        <v>0</v>
      </c>
    </row>
    <row r="25" spans="1:11" x14ac:dyDescent="0.15">
      <c r="A25">
        <v>24</v>
      </c>
      <c r="B25" s="170" t="s">
        <v>215</v>
      </c>
      <c r="C25">
        <v>0.8</v>
      </c>
      <c r="D25">
        <v>0.8</v>
      </c>
      <c r="E25">
        <v>0.8</v>
      </c>
      <c r="F25">
        <v>0.8</v>
      </c>
      <c r="G25">
        <v>0.8</v>
      </c>
      <c r="H25">
        <v>0.8</v>
      </c>
      <c r="I25">
        <v>0.8</v>
      </c>
      <c r="J25">
        <v>0</v>
      </c>
      <c r="K25">
        <v>0</v>
      </c>
    </row>
    <row r="26" spans="1:11" x14ac:dyDescent="0.15">
      <c r="A26">
        <v>25</v>
      </c>
      <c r="B26" s="170" t="s">
        <v>216</v>
      </c>
      <c r="C26">
        <v>0.8</v>
      </c>
      <c r="D26">
        <v>0.8</v>
      </c>
      <c r="E26">
        <v>0.8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15">
      <c r="A27">
        <v>26</v>
      </c>
      <c r="B27" s="170" t="s">
        <v>217</v>
      </c>
      <c r="C27">
        <v>0.8</v>
      </c>
      <c r="D27">
        <v>0.8</v>
      </c>
      <c r="E27">
        <v>0.8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15">
      <c r="A28">
        <v>27</v>
      </c>
      <c r="B28" s="170" t="s">
        <v>218</v>
      </c>
      <c r="C28">
        <v>0.8</v>
      </c>
      <c r="D28">
        <v>0.8</v>
      </c>
      <c r="E28">
        <v>0.8</v>
      </c>
      <c r="F28">
        <v>0.8</v>
      </c>
      <c r="G28">
        <v>0.8</v>
      </c>
      <c r="H28">
        <v>0.8</v>
      </c>
      <c r="I28">
        <v>0.8</v>
      </c>
      <c r="J28">
        <v>0</v>
      </c>
      <c r="K28">
        <v>0</v>
      </c>
    </row>
    <row r="29" spans="1:11" x14ac:dyDescent="0.15">
      <c r="A29">
        <v>28</v>
      </c>
      <c r="B29" s="170" t="s">
        <v>219</v>
      </c>
      <c r="C29">
        <v>0.8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15">
      <c r="A30">
        <v>29</v>
      </c>
      <c r="B30" s="170" t="s">
        <v>220</v>
      </c>
      <c r="C30">
        <v>0.8</v>
      </c>
      <c r="D30">
        <v>0.8</v>
      </c>
      <c r="E30">
        <v>0.8</v>
      </c>
      <c r="F30">
        <v>0</v>
      </c>
      <c r="G30">
        <v>0.8</v>
      </c>
      <c r="H30">
        <v>0</v>
      </c>
      <c r="I30">
        <v>0</v>
      </c>
      <c r="J30">
        <v>0</v>
      </c>
      <c r="K30">
        <v>0</v>
      </c>
    </row>
    <row r="31" spans="1:11" x14ac:dyDescent="0.15">
      <c r="A31">
        <v>30</v>
      </c>
      <c r="B31" s="170" t="s">
        <v>221</v>
      </c>
      <c r="C31">
        <v>0.8</v>
      </c>
      <c r="D31">
        <v>0</v>
      </c>
      <c r="E31">
        <v>0</v>
      </c>
      <c r="F31">
        <v>0</v>
      </c>
      <c r="G31">
        <v>0.8</v>
      </c>
      <c r="H31">
        <v>0</v>
      </c>
      <c r="I31">
        <v>0</v>
      </c>
      <c r="J31">
        <v>0</v>
      </c>
      <c r="K31">
        <v>0</v>
      </c>
    </row>
    <row r="32" spans="1:11" x14ac:dyDescent="0.15">
      <c r="A32">
        <v>31</v>
      </c>
      <c r="B32" s="170" t="s">
        <v>222</v>
      </c>
      <c r="C32">
        <v>0.8</v>
      </c>
      <c r="D32">
        <v>0.8</v>
      </c>
      <c r="E32">
        <v>0.8</v>
      </c>
      <c r="F32">
        <v>0.8</v>
      </c>
      <c r="G32">
        <v>0.8</v>
      </c>
      <c r="H32">
        <v>0.8</v>
      </c>
      <c r="I32">
        <v>0.8</v>
      </c>
      <c r="J32">
        <v>0</v>
      </c>
      <c r="K32">
        <v>0</v>
      </c>
    </row>
    <row r="33" spans="1:11" x14ac:dyDescent="0.15">
      <c r="A33">
        <v>32</v>
      </c>
      <c r="B33" s="170" t="s">
        <v>223</v>
      </c>
      <c r="C33">
        <v>0.8</v>
      </c>
      <c r="D33">
        <v>0.8</v>
      </c>
      <c r="E33">
        <v>0.8</v>
      </c>
      <c r="F33">
        <v>0.8</v>
      </c>
      <c r="G33">
        <v>0.8</v>
      </c>
      <c r="H33">
        <v>0.8</v>
      </c>
      <c r="I33">
        <v>0.8</v>
      </c>
      <c r="J33">
        <v>0</v>
      </c>
      <c r="K33">
        <v>0</v>
      </c>
    </row>
    <row r="34" spans="1:11" x14ac:dyDescent="0.15">
      <c r="A34">
        <v>33</v>
      </c>
      <c r="B34" s="170" t="s">
        <v>224</v>
      </c>
      <c r="C34">
        <v>0.8</v>
      </c>
      <c r="D34">
        <v>0</v>
      </c>
      <c r="E34">
        <v>0</v>
      </c>
      <c r="F34">
        <v>0</v>
      </c>
      <c r="G34">
        <v>0.8</v>
      </c>
      <c r="H34">
        <v>0</v>
      </c>
      <c r="I34">
        <v>0.8</v>
      </c>
      <c r="J34">
        <v>0</v>
      </c>
      <c r="K34">
        <v>0</v>
      </c>
    </row>
    <row r="35" spans="1:11" x14ac:dyDescent="0.15">
      <c r="A35">
        <v>34</v>
      </c>
      <c r="B35" s="170" t="s">
        <v>225</v>
      </c>
      <c r="C35">
        <v>0.8</v>
      </c>
      <c r="D35">
        <v>0.8</v>
      </c>
      <c r="E35">
        <v>0</v>
      </c>
      <c r="F35">
        <v>0.8</v>
      </c>
      <c r="G35">
        <v>0.8</v>
      </c>
      <c r="H35">
        <v>0</v>
      </c>
      <c r="I35">
        <v>0</v>
      </c>
      <c r="J35">
        <v>0</v>
      </c>
      <c r="K35">
        <v>0</v>
      </c>
    </row>
    <row r="36" spans="1:11" x14ac:dyDescent="0.15">
      <c r="A36">
        <v>35</v>
      </c>
      <c r="B36" s="170" t="s">
        <v>226</v>
      </c>
      <c r="C36">
        <v>0.8</v>
      </c>
      <c r="D36">
        <v>0.8</v>
      </c>
      <c r="E36">
        <v>0</v>
      </c>
      <c r="F36">
        <v>0</v>
      </c>
      <c r="G36">
        <v>0.8</v>
      </c>
      <c r="H36">
        <v>0</v>
      </c>
      <c r="I36">
        <v>0.8</v>
      </c>
      <c r="J36">
        <v>0</v>
      </c>
      <c r="K36">
        <v>0</v>
      </c>
    </row>
    <row r="37" spans="1:11" x14ac:dyDescent="0.15">
      <c r="A37">
        <v>36</v>
      </c>
      <c r="B37" s="170" t="s">
        <v>227</v>
      </c>
      <c r="C37">
        <v>0.8</v>
      </c>
      <c r="D37">
        <v>0</v>
      </c>
      <c r="E37">
        <v>0.8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 x14ac:dyDescent="0.15">
      <c r="A38">
        <v>37</v>
      </c>
      <c r="B38" s="170" t="s">
        <v>228</v>
      </c>
      <c r="C38">
        <v>0.8</v>
      </c>
      <c r="D38">
        <v>0.8</v>
      </c>
      <c r="E38">
        <v>0</v>
      </c>
      <c r="F38">
        <v>0</v>
      </c>
      <c r="G38">
        <v>0.8</v>
      </c>
      <c r="H38">
        <v>0</v>
      </c>
      <c r="I38">
        <v>0</v>
      </c>
      <c r="J38">
        <v>0</v>
      </c>
      <c r="K38">
        <v>0</v>
      </c>
    </row>
    <row r="39" spans="1:11" x14ac:dyDescent="0.15">
      <c r="A39">
        <v>38</v>
      </c>
      <c r="B39" s="170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1:11" x14ac:dyDescent="0.15">
      <c r="A40">
        <v>39</v>
      </c>
      <c r="B40" s="170" t="s">
        <v>230</v>
      </c>
      <c r="C40">
        <v>0.8</v>
      </c>
      <c r="D40">
        <v>0</v>
      </c>
      <c r="E40">
        <v>0.8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1:11" x14ac:dyDescent="0.15">
      <c r="A41">
        <v>40</v>
      </c>
      <c r="B41" s="170" t="s">
        <v>231</v>
      </c>
      <c r="C41">
        <v>0</v>
      </c>
      <c r="D41">
        <v>0</v>
      </c>
      <c r="E41">
        <v>0.8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1:11" x14ac:dyDescent="0.15">
      <c r="A42">
        <v>41</v>
      </c>
      <c r="B42" s="170" t="s">
        <v>232</v>
      </c>
      <c r="C42">
        <v>0.8</v>
      </c>
      <c r="D42">
        <v>0</v>
      </c>
      <c r="E42">
        <v>0.8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</row>
    <row r="43" spans="1:11" x14ac:dyDescent="0.15">
      <c r="A43">
        <v>42</v>
      </c>
      <c r="B43" s="170" t="s">
        <v>233</v>
      </c>
      <c r="C43">
        <v>0.8</v>
      </c>
      <c r="D43">
        <v>0</v>
      </c>
      <c r="E43">
        <v>0.8</v>
      </c>
      <c r="F43">
        <v>0</v>
      </c>
      <c r="G43">
        <v>0</v>
      </c>
      <c r="H43">
        <v>0</v>
      </c>
      <c r="I43">
        <v>0.8</v>
      </c>
      <c r="J43">
        <v>0</v>
      </c>
      <c r="K43">
        <v>0</v>
      </c>
    </row>
    <row r="44" spans="1:11" x14ac:dyDescent="0.15">
      <c r="A44">
        <v>43</v>
      </c>
      <c r="B44" s="170" t="s">
        <v>234</v>
      </c>
      <c r="C44">
        <v>0.8</v>
      </c>
      <c r="D44">
        <v>0</v>
      </c>
      <c r="E44">
        <v>0.8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</row>
    <row r="45" spans="1:11" x14ac:dyDescent="0.15">
      <c r="A45">
        <v>44</v>
      </c>
      <c r="B45" s="170" t="s">
        <v>235</v>
      </c>
      <c r="C45">
        <v>0.8</v>
      </c>
      <c r="D45">
        <v>0</v>
      </c>
      <c r="E45">
        <v>0.8</v>
      </c>
      <c r="F45">
        <v>0</v>
      </c>
      <c r="G45">
        <v>0.8</v>
      </c>
      <c r="H45">
        <v>0</v>
      </c>
      <c r="I45">
        <v>0.8</v>
      </c>
      <c r="J45">
        <v>0</v>
      </c>
      <c r="K45">
        <v>0.8</v>
      </c>
    </row>
    <row r="46" spans="1:11" x14ac:dyDescent="0.15">
      <c r="A46">
        <v>45</v>
      </c>
      <c r="B46" s="170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0.8</v>
      </c>
    </row>
    <row r="47" spans="1:11" x14ac:dyDescent="0.15">
      <c r="A47">
        <v>46</v>
      </c>
      <c r="B47" s="170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11" x14ac:dyDescent="0.15">
      <c r="A48">
        <v>47</v>
      </c>
      <c r="B48" s="170" t="s">
        <v>238</v>
      </c>
      <c r="C48">
        <v>0.8</v>
      </c>
      <c r="D48">
        <v>0.8</v>
      </c>
      <c r="E48">
        <v>0.8</v>
      </c>
      <c r="F48">
        <v>0.8</v>
      </c>
      <c r="G48">
        <v>0.8</v>
      </c>
      <c r="H48">
        <v>0.8</v>
      </c>
      <c r="I48">
        <v>0.8</v>
      </c>
      <c r="J48">
        <v>0</v>
      </c>
      <c r="K48">
        <v>0</v>
      </c>
    </row>
    <row r="49" spans="1:11" x14ac:dyDescent="0.15">
      <c r="A49">
        <v>48</v>
      </c>
      <c r="B49" s="170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1:11" x14ac:dyDescent="0.15">
      <c r="A50">
        <v>49</v>
      </c>
      <c r="B50" s="170" t="s">
        <v>240</v>
      </c>
      <c r="C50">
        <v>0</v>
      </c>
      <c r="D50">
        <v>0</v>
      </c>
      <c r="E50">
        <v>0.8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1:11" x14ac:dyDescent="0.15">
      <c r="A51">
        <v>50</v>
      </c>
      <c r="B51" s="170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1:11" x14ac:dyDescent="0.15">
      <c r="A52">
        <v>51</v>
      </c>
      <c r="B52" s="170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1" x14ac:dyDescent="0.15">
      <c r="A53">
        <v>52</v>
      </c>
      <c r="B53" s="170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 x14ac:dyDescent="0.15">
      <c r="A54">
        <v>53</v>
      </c>
      <c r="B54" s="170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8" sqref="K38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3" max="13" width="12.83203125" bestFit="1" customWidth="1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245">
        <v>1</v>
      </c>
      <c r="B2" s="245" t="s">
        <v>192</v>
      </c>
      <c r="C2" s="8">
        <v>1</v>
      </c>
      <c r="D2" s="9">
        <v>118.90000152587891</v>
      </c>
      <c r="E2" s="9">
        <v>24.799999237060547</v>
      </c>
      <c r="F2" s="10"/>
      <c r="G2" s="9">
        <v>0.25976255536079407</v>
      </c>
      <c r="H2" s="10"/>
      <c r="I2">
        <v>1.0000000656873453E-5</v>
      </c>
      <c r="J2"/>
    </row>
    <row r="3" spans="1:10" ht="15" customHeight="1" x14ac:dyDescent="0.15">
      <c r="A3" s="246">
        <v>2</v>
      </c>
      <c r="B3" s="246" t="s">
        <v>193</v>
      </c>
      <c r="C3" s="8">
        <v>2.055556058883667</v>
      </c>
      <c r="D3" s="9">
        <v>2.6292500495910645</v>
      </c>
      <c r="E3" s="9">
        <v>45.279998779296875</v>
      </c>
      <c r="F3" s="9">
        <v>120</v>
      </c>
      <c r="G3" s="9">
        <v>0.63328564167022705</v>
      </c>
      <c r="H3" s="9">
        <v>0.37733331322669983</v>
      </c>
      <c r="I3">
        <v>0</v>
      </c>
      <c r="J3"/>
    </row>
    <row r="4" spans="1:10" ht="15" customHeight="1" x14ac:dyDescent="0.15">
      <c r="A4" s="247">
        <v>3</v>
      </c>
      <c r="B4" s="247" t="s">
        <v>194</v>
      </c>
      <c r="C4" s="8">
        <v>2.1601362228393555</v>
      </c>
      <c r="D4" s="9">
        <v>5.8707499504089355</v>
      </c>
      <c r="E4" s="9">
        <v>39.080001831054688</v>
      </c>
      <c r="F4" s="9">
        <v>80</v>
      </c>
      <c r="G4" s="9">
        <v>0.51082438230514526</v>
      </c>
      <c r="H4" s="9">
        <v>0.48850002884864807</v>
      </c>
      <c r="I4">
        <v>0</v>
      </c>
      <c r="J4"/>
    </row>
    <row r="5" spans="1:10" ht="15" customHeight="1" x14ac:dyDescent="0.15">
      <c r="A5" s="248">
        <v>4</v>
      </c>
      <c r="B5" s="248" t="s">
        <v>195</v>
      </c>
      <c r="C5" s="8">
        <v>3.1601362228393555</v>
      </c>
      <c r="D5" s="9">
        <v>1.1000000238418579</v>
      </c>
      <c r="E5" s="9">
        <v>18</v>
      </c>
      <c r="F5" s="9">
        <v>38</v>
      </c>
      <c r="G5" s="9">
        <v>3.6605749279260635E-2</v>
      </c>
      <c r="H5" s="9">
        <v>0.47368422150611877</v>
      </c>
      <c r="I5">
        <v>0</v>
      </c>
      <c r="J5"/>
    </row>
    <row r="6" spans="1:10" ht="15" customHeight="1" x14ac:dyDescent="0.15">
      <c r="A6" s="249">
        <v>5</v>
      </c>
      <c r="B6" s="249" t="s">
        <v>196</v>
      </c>
      <c r="C6" s="8">
        <v>2</v>
      </c>
      <c r="D6" s="9">
        <v>13.642000198364258</v>
      </c>
      <c r="E6" s="9">
        <v>3</v>
      </c>
      <c r="F6" s="9">
        <v>20</v>
      </c>
      <c r="G6" s="9">
        <v>0.69428777694702148</v>
      </c>
      <c r="H6" s="9">
        <v>0.15000000596046448</v>
      </c>
      <c r="I6">
        <v>0</v>
      </c>
      <c r="J6"/>
    </row>
    <row r="7" spans="1:10" ht="15" customHeight="1" x14ac:dyDescent="0.15">
      <c r="A7" s="250">
        <v>6</v>
      </c>
      <c r="B7" s="250" t="s">
        <v>197</v>
      </c>
      <c r="C7" s="8">
        <v>2.6063745021820068</v>
      </c>
      <c r="D7" s="9">
        <v>5.070000171661377</v>
      </c>
      <c r="E7" s="9">
        <v>0.30000001192092896</v>
      </c>
      <c r="F7" s="9">
        <v>2</v>
      </c>
      <c r="G7" s="9">
        <v>0.26736077666282654</v>
      </c>
      <c r="H7" s="9">
        <v>0.15000000596046448</v>
      </c>
      <c r="I7">
        <v>0</v>
      </c>
      <c r="J7"/>
    </row>
    <row r="8" spans="1:10" ht="15" customHeight="1" x14ac:dyDescent="0.15">
      <c r="A8" s="251">
        <v>7</v>
      </c>
      <c r="B8" s="251" t="s">
        <v>198</v>
      </c>
      <c r="C8" s="8">
        <v>2.4345536231994629</v>
      </c>
      <c r="D8" s="9">
        <v>4.8859548568725586</v>
      </c>
      <c r="E8" s="9">
        <v>3.9600000381469727</v>
      </c>
      <c r="F8" s="9">
        <v>13.199999809265137</v>
      </c>
      <c r="G8" s="9">
        <v>0.90000176429748535</v>
      </c>
      <c r="H8" s="9">
        <v>0.30000001192092896</v>
      </c>
      <c r="I8">
        <v>2.509000152349472E-2</v>
      </c>
      <c r="J8"/>
    </row>
    <row r="9" spans="1:10" ht="15" customHeight="1" x14ac:dyDescent="0.15">
      <c r="A9" s="252">
        <v>8</v>
      </c>
      <c r="B9" s="252" t="s">
        <v>199</v>
      </c>
      <c r="C9" s="8">
        <v>3.049365758895874</v>
      </c>
      <c r="D9" s="9">
        <v>0.54750001430511475</v>
      </c>
      <c r="E9" s="9">
        <v>0.64099997282028198</v>
      </c>
      <c r="F9" s="9">
        <v>8.0299997329711914</v>
      </c>
      <c r="G9" s="9">
        <v>5.6293699890375137E-2</v>
      </c>
      <c r="H9" s="9">
        <v>7.9825654625892639E-2</v>
      </c>
      <c r="I9">
        <v>2.4500000290572643E-4</v>
      </c>
      <c r="J9"/>
    </row>
    <row r="10" spans="1:10" ht="15" customHeight="1" x14ac:dyDescent="0.15">
      <c r="A10" s="253">
        <v>9</v>
      </c>
      <c r="B10" s="253" t="s">
        <v>200</v>
      </c>
      <c r="C10" s="8">
        <v>2.2302532196044922</v>
      </c>
      <c r="D10" s="9">
        <v>8.8260002136230469</v>
      </c>
      <c r="E10" s="9">
        <v>0.66200000047683716</v>
      </c>
      <c r="F10" s="9">
        <v>6.934999942779541</v>
      </c>
      <c r="G10" s="9">
        <v>0.75869333744049072</v>
      </c>
      <c r="H10" s="9">
        <v>9.545782208442688E-2</v>
      </c>
      <c r="I10">
        <v>0</v>
      </c>
      <c r="J10"/>
    </row>
    <row r="11" spans="1:10" ht="15" customHeight="1" x14ac:dyDescent="0.15">
      <c r="A11" s="254">
        <v>10</v>
      </c>
      <c r="B11" s="254" t="s">
        <v>201</v>
      </c>
      <c r="C11" s="8">
        <v>2</v>
      </c>
      <c r="D11" s="9">
        <v>17.409999847412109</v>
      </c>
      <c r="E11" s="9">
        <v>0.88870400190353394</v>
      </c>
      <c r="F11" s="9">
        <v>9.8744888305664062</v>
      </c>
      <c r="G11" s="9">
        <v>0.79269039630889893</v>
      </c>
      <c r="H11" s="9">
        <v>9.0000003576278687E-2</v>
      </c>
      <c r="I11">
        <v>0.21699999272823334</v>
      </c>
      <c r="J11"/>
    </row>
    <row r="12" spans="1:10" ht="15" customHeight="1" x14ac:dyDescent="0.15">
      <c r="A12" s="255">
        <v>11</v>
      </c>
      <c r="B12" s="255" t="s">
        <v>202</v>
      </c>
      <c r="C12" s="8">
        <v>2</v>
      </c>
      <c r="D12" s="9">
        <v>1.2000000476837158</v>
      </c>
      <c r="E12" s="9">
        <v>0.5</v>
      </c>
      <c r="F12" s="9">
        <v>5.5555553436279297</v>
      </c>
      <c r="G12" s="9">
        <v>0.6230430006980896</v>
      </c>
      <c r="H12" s="9">
        <v>9.0000003576278687E-2</v>
      </c>
      <c r="I12">
        <v>0.37371000647544861</v>
      </c>
      <c r="J12"/>
    </row>
    <row r="13" spans="1:10" ht="15" customHeight="1" x14ac:dyDescent="0.15">
      <c r="A13" s="256">
        <v>12</v>
      </c>
      <c r="B13" s="256" t="s">
        <v>203</v>
      </c>
      <c r="C13" s="8">
        <v>2.2978582382202148</v>
      </c>
      <c r="D13" s="9">
        <v>5.1570000648498535</v>
      </c>
      <c r="E13" s="9">
        <v>1.9470000267028809</v>
      </c>
      <c r="F13" s="9">
        <v>12.979999542236328</v>
      </c>
      <c r="G13" s="9">
        <v>0.75802189111709595</v>
      </c>
      <c r="H13" s="9">
        <v>0.15000000596046448</v>
      </c>
      <c r="I13">
        <v>0</v>
      </c>
      <c r="J13"/>
    </row>
    <row r="14" spans="1:10" ht="15" customHeight="1" x14ac:dyDescent="0.15">
      <c r="A14" s="257">
        <v>13</v>
      </c>
      <c r="B14" s="257" t="s">
        <v>204</v>
      </c>
      <c r="C14" s="8">
        <v>2.4377026557922363</v>
      </c>
      <c r="D14" s="9">
        <v>0.76649999618530273</v>
      </c>
      <c r="E14" s="9">
        <v>0.60000002384185791</v>
      </c>
      <c r="F14" s="9">
        <v>4</v>
      </c>
      <c r="G14" s="9">
        <v>0.36023476719856262</v>
      </c>
      <c r="H14" s="9">
        <v>0.15000000596046448</v>
      </c>
      <c r="I14">
        <v>0.12752999365329742</v>
      </c>
      <c r="J14"/>
    </row>
    <row r="15" spans="1:10" ht="15" customHeight="1" x14ac:dyDescent="0.15">
      <c r="A15" s="258">
        <v>14</v>
      </c>
      <c r="B15" s="258" t="s">
        <v>205</v>
      </c>
      <c r="C15" s="8">
        <v>3.1001005172729492</v>
      </c>
      <c r="D15" s="9">
        <v>1.5300000086426735E-2</v>
      </c>
      <c r="E15" s="9">
        <v>0.51499998569488525</v>
      </c>
      <c r="F15" s="9">
        <v>5.8499999046325684</v>
      </c>
      <c r="G15" s="9">
        <v>0.48027133941650391</v>
      </c>
      <c r="H15" s="9">
        <v>8.8034190237522125E-2</v>
      </c>
      <c r="I15">
        <v>2.8099999763071537E-3</v>
      </c>
      <c r="J15"/>
    </row>
    <row r="16" spans="1:10" ht="15" customHeight="1" x14ac:dyDescent="0.15">
      <c r="A16" s="259">
        <v>15</v>
      </c>
      <c r="B16" s="259" t="s">
        <v>206</v>
      </c>
      <c r="C16" s="8">
        <v>3.0920689105987549</v>
      </c>
      <c r="D16" s="9">
        <v>1.0199999809265137</v>
      </c>
      <c r="E16" s="9">
        <v>1.5729999542236328</v>
      </c>
      <c r="F16" s="9">
        <v>9.6604299545288086</v>
      </c>
      <c r="G16" s="9">
        <v>0.90076309442520142</v>
      </c>
      <c r="H16" s="9">
        <v>0.16282919049263</v>
      </c>
      <c r="I16">
        <v>2.199999988079071E-2</v>
      </c>
      <c r="J16"/>
    </row>
    <row r="17" spans="1:10" ht="15" customHeight="1" x14ac:dyDescent="0.15">
      <c r="A17" s="260">
        <v>16</v>
      </c>
      <c r="B17" s="260" t="s">
        <v>207</v>
      </c>
      <c r="C17" s="8">
        <v>3.3562717437744141</v>
      </c>
      <c r="D17" s="9">
        <v>0.77934998273849487</v>
      </c>
      <c r="E17" s="9">
        <v>1.2719999551773071</v>
      </c>
      <c r="F17" s="9">
        <v>5.9279999732971191</v>
      </c>
      <c r="G17" s="9">
        <v>0.9243512749671936</v>
      </c>
      <c r="H17" s="9">
        <v>0.21457488834857941</v>
      </c>
      <c r="I17">
        <v>3.2639995217323303E-2</v>
      </c>
      <c r="J17"/>
    </row>
    <row r="18" spans="1:10" ht="15" customHeight="1" x14ac:dyDescent="0.15">
      <c r="A18" s="261">
        <v>17</v>
      </c>
      <c r="B18" s="261" t="s">
        <v>208</v>
      </c>
      <c r="C18" s="8">
        <v>3.2206871509552002</v>
      </c>
      <c r="D18" s="9">
        <v>7.6999999582767487E-2</v>
      </c>
      <c r="E18" s="9">
        <v>0.51999998092651367</v>
      </c>
      <c r="F18" s="9">
        <v>5.7005929946899414</v>
      </c>
      <c r="G18" s="9">
        <v>0.89999818801879883</v>
      </c>
      <c r="H18" s="9">
        <v>9.1218575835227966E-2</v>
      </c>
      <c r="I18">
        <v>9.9029995908495039E-5</v>
      </c>
      <c r="J18"/>
    </row>
    <row r="19" spans="1:10" ht="15" customHeight="1" x14ac:dyDescent="0.15">
      <c r="A19" s="262">
        <v>18</v>
      </c>
      <c r="B19" s="262" t="s">
        <v>209</v>
      </c>
      <c r="C19" s="8">
        <v>3.0111732482910156</v>
      </c>
      <c r="D19" s="9">
        <v>1.8256492912769318E-2</v>
      </c>
      <c r="E19" s="9">
        <v>0.64999997615814209</v>
      </c>
      <c r="F19" s="9">
        <v>9.8142223358154297</v>
      </c>
      <c r="G19" s="9">
        <v>0.35466563701629639</v>
      </c>
      <c r="H19" s="9">
        <v>6.6230408847332001E-2</v>
      </c>
      <c r="I19">
        <v>1.6392001416534185E-3</v>
      </c>
      <c r="J19"/>
    </row>
    <row r="20" spans="1:10" ht="15" customHeight="1" x14ac:dyDescent="0.15">
      <c r="A20" s="263">
        <v>19</v>
      </c>
      <c r="B20" s="263" t="s">
        <v>210</v>
      </c>
      <c r="C20" s="8">
        <v>3.0111839771270752</v>
      </c>
      <c r="D20" s="9">
        <v>4.8749998211860657E-2</v>
      </c>
      <c r="E20" s="9">
        <v>0.43000000715255737</v>
      </c>
      <c r="F20" s="9">
        <v>5.1751527786254883</v>
      </c>
      <c r="G20" s="9">
        <v>0.3300449550151825</v>
      </c>
      <c r="H20" s="9">
        <v>8.3089336752891541E-2</v>
      </c>
      <c r="I20">
        <v>6.8009998649358749E-3</v>
      </c>
      <c r="J20"/>
    </row>
    <row r="21" spans="1:10" ht="15" customHeight="1" x14ac:dyDescent="0.15">
      <c r="A21" s="264">
        <v>20</v>
      </c>
      <c r="B21" s="264" t="s">
        <v>211</v>
      </c>
      <c r="C21" s="8">
        <v>3.0033273696899414</v>
      </c>
      <c r="D21" s="9">
        <v>1.5753190964460373E-2</v>
      </c>
      <c r="E21" s="9">
        <v>1.3500000238418579</v>
      </c>
      <c r="F21" s="9">
        <v>11.186376571655273</v>
      </c>
      <c r="G21" s="9">
        <v>0.55266481637954712</v>
      </c>
      <c r="H21" s="9">
        <v>0.12068251520395279</v>
      </c>
      <c r="I21">
        <v>4.6950001269578934E-3</v>
      </c>
      <c r="J21"/>
    </row>
    <row r="22" spans="1:10" ht="15" customHeight="1" x14ac:dyDescent="0.15">
      <c r="A22" s="265">
        <v>21</v>
      </c>
      <c r="B22" s="265" t="s">
        <v>212</v>
      </c>
      <c r="C22" s="8">
        <v>3.0033273696899414</v>
      </c>
      <c r="D22" s="9">
        <v>2.1180000156164169E-2</v>
      </c>
      <c r="E22" s="9">
        <v>0.75470000505447388</v>
      </c>
      <c r="F22" s="9">
        <v>4.1841812133789062</v>
      </c>
      <c r="G22" s="9">
        <v>0.655659019947052</v>
      </c>
      <c r="H22" s="9">
        <v>0.18036982417106628</v>
      </c>
      <c r="I22">
        <v>8.305499330163002E-3</v>
      </c>
      <c r="J22"/>
    </row>
    <row r="23" spans="1:10" ht="15" customHeight="1" x14ac:dyDescent="0.15">
      <c r="A23" s="266">
        <v>22</v>
      </c>
      <c r="B23" s="266" t="s">
        <v>213</v>
      </c>
      <c r="C23" s="8">
        <v>3.1867599487304688</v>
      </c>
      <c r="D23" s="9">
        <v>4.6760000288486481E-2</v>
      </c>
      <c r="E23" s="9">
        <v>0.75300002098083496</v>
      </c>
      <c r="F23" s="9">
        <v>6.000999927520752</v>
      </c>
      <c r="G23" s="9">
        <v>0.6579013466835022</v>
      </c>
      <c r="H23" s="9">
        <v>0.1254790872335434</v>
      </c>
      <c r="I23">
        <v>1.070099975913763E-2</v>
      </c>
      <c r="J23"/>
    </row>
    <row r="24" spans="1:10" ht="15" customHeight="1" x14ac:dyDescent="0.15">
      <c r="A24" s="267">
        <v>23</v>
      </c>
      <c r="B24" s="267" t="s">
        <v>214</v>
      </c>
      <c r="C24" s="8">
        <v>3.1368985176086426</v>
      </c>
      <c r="D24" s="9">
        <v>3.7863001227378845E-2</v>
      </c>
      <c r="E24" s="9">
        <v>0.59899997711181641</v>
      </c>
      <c r="F24" s="9">
        <v>5.315000057220459</v>
      </c>
      <c r="G24" s="9">
        <v>0.90000027418136597</v>
      </c>
      <c r="H24" s="9">
        <v>0.11269990354776382</v>
      </c>
      <c r="I24">
        <v>1.3257349841296673E-2</v>
      </c>
      <c r="J24"/>
    </row>
    <row r="25" spans="1:10" ht="15" customHeight="1" x14ac:dyDescent="0.15">
      <c r="A25" s="268">
        <v>24</v>
      </c>
      <c r="B25" s="268" t="s">
        <v>215</v>
      </c>
      <c r="C25" s="8">
        <v>3.8336563110351562</v>
      </c>
      <c r="D25" s="9">
        <v>0.1324400007724762</v>
      </c>
      <c r="E25" s="9">
        <v>0.37000000476837158</v>
      </c>
      <c r="F25" s="9">
        <v>4.9619998931884766</v>
      </c>
      <c r="G25" s="9">
        <v>0.21752998232841492</v>
      </c>
      <c r="H25" s="9">
        <v>7.4566707015037537E-2</v>
      </c>
      <c r="I25">
        <v>5.9709399938583374E-3</v>
      </c>
      <c r="J25"/>
    </row>
    <row r="26" spans="1:10" ht="15" customHeight="1" x14ac:dyDescent="0.15">
      <c r="A26" s="269">
        <v>25</v>
      </c>
      <c r="B26" s="269" t="s">
        <v>216</v>
      </c>
      <c r="C26" s="8">
        <v>3.3368425369262695</v>
      </c>
      <c r="D26" s="9">
        <v>0.40040001273155212</v>
      </c>
      <c r="E26" s="9">
        <v>0.57400000095367432</v>
      </c>
      <c r="F26" s="9">
        <v>5.7579998970031738</v>
      </c>
      <c r="G26" s="9">
        <v>0.6828913688659668</v>
      </c>
      <c r="H26" s="9">
        <v>9.9687390029430389E-2</v>
      </c>
      <c r="I26">
        <v>0.13414999842643738</v>
      </c>
      <c r="J26"/>
    </row>
    <row r="27" spans="1:10" ht="15" customHeight="1" x14ac:dyDescent="0.15">
      <c r="A27" s="270">
        <v>26</v>
      </c>
      <c r="B27" s="270" t="s">
        <v>217</v>
      </c>
      <c r="C27" s="8">
        <v>3.2939085960388184</v>
      </c>
      <c r="D27" s="9">
        <v>1.5550228767096996E-2</v>
      </c>
      <c r="E27" s="9">
        <v>1.6000000238418579</v>
      </c>
      <c r="F27" s="9">
        <v>14.894323348999023</v>
      </c>
      <c r="G27" s="9">
        <v>0.90046429634094238</v>
      </c>
      <c r="H27" s="9">
        <v>0.10742347687482834</v>
      </c>
      <c r="I27">
        <v>1.7671999521553516E-3</v>
      </c>
      <c r="J27"/>
    </row>
    <row r="28" spans="1:10" ht="15" customHeight="1" x14ac:dyDescent="0.15">
      <c r="A28" s="271">
        <v>27</v>
      </c>
      <c r="B28" s="271" t="s">
        <v>218</v>
      </c>
      <c r="C28" s="8">
        <v>4.0489416122436523</v>
      </c>
      <c r="D28" s="9">
        <v>5.4850999265909195E-2</v>
      </c>
      <c r="E28" s="9">
        <v>0.7879670262336731</v>
      </c>
      <c r="F28" s="9">
        <v>5.6309928894042969</v>
      </c>
      <c r="G28" s="9">
        <v>0.512675940990448</v>
      </c>
      <c r="H28" s="9">
        <v>0.13993394374847412</v>
      </c>
      <c r="I28">
        <v>2.1094642579555511E-2</v>
      </c>
      <c r="J28"/>
    </row>
    <row r="29" spans="1:10" ht="15" customHeight="1" x14ac:dyDescent="0.15">
      <c r="A29" s="272">
        <v>28</v>
      </c>
      <c r="B29" s="272" t="s">
        <v>219</v>
      </c>
      <c r="C29" s="8">
        <v>3.4477882385253906</v>
      </c>
      <c r="D29" s="9">
        <v>8.6322445422410965E-3</v>
      </c>
      <c r="E29" s="9">
        <v>1.6200000047683716</v>
      </c>
      <c r="F29" s="9">
        <v>8.6012887954711914</v>
      </c>
      <c r="G29" s="9">
        <v>0.78034281730651855</v>
      </c>
      <c r="H29" s="9">
        <v>0.18834386765956879</v>
      </c>
      <c r="I29">
        <v>2.54799984395504E-3</v>
      </c>
      <c r="J29"/>
    </row>
    <row r="30" spans="1:10" ht="15" customHeight="1" x14ac:dyDescent="0.15">
      <c r="A30" s="273">
        <v>29</v>
      </c>
      <c r="B30" s="273" t="s">
        <v>220</v>
      </c>
      <c r="C30" s="8">
        <v>3.9221041202545166</v>
      </c>
      <c r="D30" s="9">
        <v>1.7177000641822815E-2</v>
      </c>
      <c r="E30" s="9">
        <v>0.81000000238418579</v>
      </c>
      <c r="F30" s="9">
        <v>3.4601690769195557</v>
      </c>
      <c r="G30" s="9">
        <v>0.58648622035980225</v>
      </c>
      <c r="H30" s="9">
        <v>0.23409260809421539</v>
      </c>
      <c r="I30">
        <v>8.1599997356534004E-3</v>
      </c>
      <c r="J30"/>
    </row>
    <row r="31" spans="1:10" ht="15" customHeight="1" x14ac:dyDescent="0.15">
      <c r="A31" s="274">
        <v>30</v>
      </c>
      <c r="B31" s="274" t="s">
        <v>221</v>
      </c>
      <c r="C31" s="8">
        <v>4.3984184265136719</v>
      </c>
      <c r="D31" s="9">
        <v>4.5056000351905823E-2</v>
      </c>
      <c r="E31" s="9">
        <v>0.43999999761581421</v>
      </c>
      <c r="F31" s="9">
        <v>3.871999979019165</v>
      </c>
      <c r="G31" s="9">
        <v>0.71315371990203857</v>
      </c>
      <c r="H31" s="9">
        <v>0.11363636702299118</v>
      </c>
      <c r="I31">
        <v>1.000600028783083E-2</v>
      </c>
      <c r="J31"/>
    </row>
    <row r="32" spans="1:10" ht="15" customHeight="1" x14ac:dyDescent="0.15">
      <c r="A32" s="275">
        <v>31</v>
      </c>
      <c r="B32" s="275" t="s">
        <v>222</v>
      </c>
      <c r="C32" s="8">
        <v>3.3604516983032227</v>
      </c>
      <c r="D32" s="9">
        <v>0.27669000625610352</v>
      </c>
      <c r="E32" s="9">
        <v>0.37999999523162842</v>
      </c>
      <c r="F32" s="9">
        <v>4.7740001678466797</v>
      </c>
      <c r="G32" s="9">
        <v>1.9384479150176048E-2</v>
      </c>
      <c r="H32" s="9">
        <v>7.9597815871238708E-2</v>
      </c>
      <c r="I32">
        <v>1.9086600514128804E-3</v>
      </c>
      <c r="J32"/>
    </row>
    <row r="33" spans="1:10" ht="15" customHeight="1" x14ac:dyDescent="0.15">
      <c r="A33" s="276">
        <v>32</v>
      </c>
      <c r="B33" s="276" t="s">
        <v>223</v>
      </c>
      <c r="C33" s="8">
        <v>3.4024982452392578</v>
      </c>
      <c r="D33" s="9">
        <v>0.23925000429153442</v>
      </c>
      <c r="E33" s="9">
        <v>0.60000002384185791</v>
      </c>
      <c r="F33" s="9">
        <v>4.2280001640319824</v>
      </c>
      <c r="G33" s="9">
        <v>0.31027272343635559</v>
      </c>
      <c r="H33" s="9">
        <v>0.14191107451915741</v>
      </c>
      <c r="I33">
        <v>4.444500058889389E-2</v>
      </c>
      <c r="J33"/>
    </row>
    <row r="34" spans="1:10" ht="15" customHeight="1" x14ac:dyDescent="0.15">
      <c r="A34" s="277">
        <v>33</v>
      </c>
      <c r="B34" s="277" t="s">
        <v>224</v>
      </c>
      <c r="C34" s="8">
        <v>3.7632935047149658</v>
      </c>
      <c r="D34" s="9">
        <v>0.22273999452590942</v>
      </c>
      <c r="E34" s="9">
        <v>0.82800000905990601</v>
      </c>
      <c r="F34" s="9">
        <v>4.0529999732971191</v>
      </c>
      <c r="G34" s="9">
        <v>0.75844001770019531</v>
      </c>
      <c r="H34" s="9">
        <v>0.20429311692714691</v>
      </c>
      <c r="I34">
        <v>1.6851998865604401E-2</v>
      </c>
      <c r="J34"/>
    </row>
    <row r="35" spans="1:10" ht="15" customHeight="1" x14ac:dyDescent="0.15">
      <c r="A35" s="278">
        <v>34</v>
      </c>
      <c r="B35" s="278" t="s">
        <v>225</v>
      </c>
      <c r="C35" s="8">
        <v>4.1554250717163086</v>
      </c>
      <c r="D35" s="9">
        <v>0.12835000455379486</v>
      </c>
      <c r="E35" s="9">
        <v>0.41100001335144043</v>
      </c>
      <c r="F35" s="9">
        <v>2.8310000896453857</v>
      </c>
      <c r="G35" s="9">
        <v>0.35604262351989746</v>
      </c>
      <c r="H35" s="9">
        <v>0.14517837762832642</v>
      </c>
      <c r="I35">
        <v>1.0435000061988831E-2</v>
      </c>
      <c r="J35"/>
    </row>
    <row r="36" spans="1:10" ht="15" customHeight="1" x14ac:dyDescent="0.15">
      <c r="A36" s="279">
        <v>35</v>
      </c>
      <c r="B36" s="279" t="s">
        <v>226</v>
      </c>
      <c r="C36" s="8">
        <v>3.953657865524292</v>
      </c>
      <c r="D36" s="9">
        <v>0.27399998903274536</v>
      </c>
      <c r="E36" s="9">
        <v>0.25</v>
      </c>
      <c r="F36" s="9">
        <v>3.062000036239624</v>
      </c>
      <c r="G36" s="9">
        <v>0.45312187075614929</v>
      </c>
      <c r="H36" s="9">
        <v>8.1645980477333069E-2</v>
      </c>
      <c r="I36">
        <v>2.029000036418438E-2</v>
      </c>
      <c r="J36"/>
    </row>
    <row r="37" spans="1:10" ht="15" customHeight="1" x14ac:dyDescent="0.15">
      <c r="A37" s="280">
        <v>36</v>
      </c>
      <c r="B37" s="280" t="s">
        <v>227</v>
      </c>
      <c r="C37" s="8">
        <v>3.0050046443939209</v>
      </c>
      <c r="D37" s="9">
        <v>0.17700000107288361</v>
      </c>
      <c r="E37" s="9">
        <v>0.61299997568130493</v>
      </c>
      <c r="F37" s="9">
        <v>4.6090002059936523</v>
      </c>
      <c r="G37" s="9">
        <v>0.70369064807891846</v>
      </c>
      <c r="H37" s="9">
        <v>0.13300064206123352</v>
      </c>
      <c r="I37">
        <v>5.2819997072219849E-2</v>
      </c>
      <c r="J37"/>
    </row>
    <row r="38" spans="1:10" ht="15" customHeight="1" x14ac:dyDescent="0.15">
      <c r="A38" s="281">
        <v>37</v>
      </c>
      <c r="B38" s="281" t="s">
        <v>228</v>
      </c>
      <c r="C38" s="8">
        <v>4.2107710838317871</v>
      </c>
      <c r="D38" s="9">
        <v>1.0499999858438969E-2</v>
      </c>
      <c r="E38" s="9">
        <v>0.65200001001358032</v>
      </c>
      <c r="F38" s="9">
        <v>4.9939999580383301</v>
      </c>
      <c r="G38" s="9">
        <v>5.9728309512138367E-2</v>
      </c>
      <c r="H38" s="9">
        <v>0.13055667281150818</v>
      </c>
      <c r="I38">
        <v>4.0889999945648015E-4</v>
      </c>
      <c r="J38"/>
    </row>
    <row r="39" spans="1:10" ht="15" customHeight="1" x14ac:dyDescent="0.15">
      <c r="A39" s="282">
        <v>38</v>
      </c>
      <c r="B39" s="282" t="s">
        <v>229</v>
      </c>
      <c r="C39" s="8">
        <v>3.1289286613464355</v>
      </c>
      <c r="D39" s="9">
        <v>2.7860589027404785</v>
      </c>
      <c r="E39" s="9">
        <v>1.2899999618530273</v>
      </c>
      <c r="F39" s="9">
        <v>10.142000198364258</v>
      </c>
      <c r="G39" s="9">
        <v>0.90012335777282715</v>
      </c>
      <c r="H39" s="9">
        <v>0.12719383835792542</v>
      </c>
      <c r="I39">
        <v>0</v>
      </c>
      <c r="J39"/>
    </row>
    <row r="40" spans="1:10" ht="15" customHeight="1" x14ac:dyDescent="0.15">
      <c r="A40" s="283">
        <v>39</v>
      </c>
      <c r="B40" s="283" t="s">
        <v>230</v>
      </c>
      <c r="C40" s="8">
        <v>3.0973880290985107</v>
      </c>
      <c r="D40" s="9">
        <v>5.1908001303672791E-2</v>
      </c>
      <c r="E40" s="9">
        <v>0.99699997901916504</v>
      </c>
      <c r="F40" s="9">
        <v>6.3540000915527344</v>
      </c>
      <c r="G40" s="9">
        <v>0.900035560131073</v>
      </c>
      <c r="H40" s="9">
        <v>0.1569090336561203</v>
      </c>
      <c r="I40">
        <v>1.3531000353395939E-2</v>
      </c>
      <c r="J40"/>
    </row>
    <row r="41" spans="1:10" ht="15" customHeight="1" x14ac:dyDescent="0.15">
      <c r="A41" s="284">
        <v>40</v>
      </c>
      <c r="B41" s="284" t="s">
        <v>231</v>
      </c>
      <c r="C41" s="8">
        <v>3.13167405128479</v>
      </c>
      <c r="D41" s="9">
        <v>0.29199999570846558</v>
      </c>
      <c r="E41" s="9">
        <v>1.2100000381469727</v>
      </c>
      <c r="F41" s="9">
        <v>9.680999755859375</v>
      </c>
      <c r="G41" s="9">
        <v>0.89938896894454956</v>
      </c>
      <c r="H41" s="9">
        <v>0.12498709559440613</v>
      </c>
      <c r="I41">
        <v>2.565000019967556E-2</v>
      </c>
      <c r="J41"/>
    </row>
    <row r="42" spans="1:10" ht="15" customHeight="1" x14ac:dyDescent="0.15">
      <c r="A42" s="285">
        <v>41</v>
      </c>
      <c r="B42" s="285" t="s">
        <v>232</v>
      </c>
      <c r="C42" s="8">
        <v>3.1183042526245117</v>
      </c>
      <c r="D42" s="9">
        <v>0.40591999888420105</v>
      </c>
      <c r="E42" s="9">
        <v>0.63899999856948853</v>
      </c>
      <c r="F42" s="9">
        <v>7.9219999313354492</v>
      </c>
      <c r="G42" s="9">
        <v>0.95363277196884155</v>
      </c>
      <c r="H42" s="9">
        <v>8.0661453306674957E-2</v>
      </c>
      <c r="I42">
        <v>2.3188000544905663E-2</v>
      </c>
      <c r="J42"/>
    </row>
    <row r="43" spans="1:10" ht="15" customHeight="1" x14ac:dyDescent="0.15">
      <c r="A43" s="286">
        <v>42</v>
      </c>
      <c r="B43" s="286" t="s">
        <v>233</v>
      </c>
      <c r="C43" s="8">
        <v>3.4015476703643799</v>
      </c>
      <c r="D43" s="9">
        <v>1.6355999708175659</v>
      </c>
      <c r="E43" s="9">
        <v>0.3619999885559082</v>
      </c>
      <c r="F43" s="9">
        <v>6</v>
      </c>
      <c r="G43" s="9">
        <v>0.39700412750244141</v>
      </c>
      <c r="H43" s="9">
        <v>6.0333330184221268E-2</v>
      </c>
      <c r="I43">
        <v>9.5760010182857513E-2</v>
      </c>
      <c r="J43"/>
    </row>
    <row r="44" spans="1:10" ht="15" customHeight="1" x14ac:dyDescent="0.15">
      <c r="A44" s="287">
        <v>43</v>
      </c>
      <c r="B44" s="287" t="s">
        <v>234</v>
      </c>
      <c r="C44" s="8">
        <v>3.5389564037322998</v>
      </c>
      <c r="D44" s="9">
        <v>0.61952000856399536</v>
      </c>
      <c r="E44" s="9">
        <v>0.39399999380111694</v>
      </c>
      <c r="F44" s="9">
        <v>5.5630002021789551</v>
      </c>
      <c r="G44" s="9">
        <v>0.90001386404037476</v>
      </c>
      <c r="H44" s="9">
        <v>7.0825092494487762E-2</v>
      </c>
      <c r="I44">
        <v>0.17356999218463898</v>
      </c>
      <c r="J44"/>
    </row>
    <row r="45" spans="1:10" ht="15" customHeight="1" x14ac:dyDescent="0.15">
      <c r="A45" s="288">
        <v>44</v>
      </c>
      <c r="B45" s="288" t="s">
        <v>235</v>
      </c>
      <c r="C45" s="8">
        <v>3.3919367790222168</v>
      </c>
      <c r="D45" s="9">
        <v>8.2687996327877045E-2</v>
      </c>
      <c r="E45" s="9">
        <v>0.42199999094009399</v>
      </c>
      <c r="F45" s="9">
        <v>3.9140000343322754</v>
      </c>
      <c r="G45" s="9">
        <v>1.0076134465634823E-2</v>
      </c>
      <c r="H45" s="9">
        <v>0.10781808197498322</v>
      </c>
      <c r="I45">
        <v>3.5159999970346689E-4</v>
      </c>
      <c r="J45"/>
    </row>
    <row r="46" spans="1:10" ht="15" customHeight="1" x14ac:dyDescent="0.15">
      <c r="A46" s="289">
        <v>45</v>
      </c>
      <c r="B46" s="289" t="s">
        <v>236</v>
      </c>
      <c r="C46" s="8">
        <v>4.3597149848937988</v>
      </c>
      <c r="D46" s="9">
        <v>4.3999999761581421E-3</v>
      </c>
      <c r="E46" s="9">
        <v>0.23600000143051147</v>
      </c>
      <c r="F46" s="9">
        <v>2.5260000228881836</v>
      </c>
      <c r="G46" s="9">
        <v>0.35771414637565613</v>
      </c>
      <c r="H46" s="9">
        <v>9.3428343534469604E-2</v>
      </c>
      <c r="I46">
        <v>2.3999999393709004E-4</v>
      </c>
      <c r="J46"/>
    </row>
    <row r="47" spans="1:10" ht="15" customHeight="1" x14ac:dyDescent="0.15">
      <c r="A47" s="290">
        <v>46</v>
      </c>
      <c r="B47" s="290" t="s">
        <v>237</v>
      </c>
      <c r="C47" s="8">
        <v>3.1601362228393555</v>
      </c>
      <c r="D47" s="9">
        <v>3.4000001847743988E-2</v>
      </c>
      <c r="E47" s="9">
        <v>7.0000000298023224E-2</v>
      </c>
      <c r="F47" s="9">
        <v>3.7000000476837158</v>
      </c>
      <c r="G47" s="7">
        <v>0</v>
      </c>
      <c r="H47" s="9">
        <v>1.8918918445706367E-2</v>
      </c>
      <c r="I47">
        <v>0</v>
      </c>
      <c r="J47"/>
    </row>
    <row r="48" spans="1:10" ht="15" customHeight="1" x14ac:dyDescent="0.15">
      <c r="A48" s="291">
        <v>47</v>
      </c>
      <c r="B48" s="291" t="s">
        <v>238</v>
      </c>
      <c r="C48" s="8">
        <v>3.4268431663513184</v>
      </c>
      <c r="D48" s="9">
        <v>0.32620000839233398</v>
      </c>
      <c r="E48" s="9">
        <v>2.1930000782012939</v>
      </c>
      <c r="F48" s="9">
        <v>15</v>
      </c>
      <c r="G48" s="9">
        <v>0.90010672807693481</v>
      </c>
      <c r="H48" s="9">
        <v>0.14620000123977661</v>
      </c>
      <c r="I48">
        <v>4.6540599316358566E-2</v>
      </c>
      <c r="J48"/>
    </row>
    <row r="49" spans="1:10" ht="15" customHeight="1" x14ac:dyDescent="0.15">
      <c r="A49" s="292">
        <v>48</v>
      </c>
      <c r="B49" s="292" t="s">
        <v>239</v>
      </c>
      <c r="C49" s="8">
        <v>3.5083742141723633</v>
      </c>
      <c r="D49" s="9">
        <v>1.0799999581649899E-3</v>
      </c>
      <c r="E49" s="9">
        <v>0.40000000596046448</v>
      </c>
      <c r="F49" s="9">
        <v>72.120002746582031</v>
      </c>
      <c r="G49" s="9">
        <v>2.9966462403535843E-2</v>
      </c>
      <c r="H49" s="9">
        <v>5.5463113822042942E-3</v>
      </c>
      <c r="I49">
        <v>0</v>
      </c>
      <c r="J49"/>
    </row>
    <row r="50" spans="1:10" ht="15" customHeight="1" x14ac:dyDescent="0.15">
      <c r="A50" s="293">
        <v>49</v>
      </c>
      <c r="B50" s="293" t="s">
        <v>240</v>
      </c>
      <c r="C50" s="8">
        <v>4.3649077415466309</v>
      </c>
      <c r="D50" s="9">
        <v>5.7600000873208046E-3</v>
      </c>
      <c r="E50" s="9">
        <v>0.40000000596046448</v>
      </c>
      <c r="F50" s="9">
        <v>13.72700023651123</v>
      </c>
      <c r="G50" s="9">
        <v>0.11948931962251663</v>
      </c>
      <c r="H50" s="9">
        <v>2.9139650985598564E-2</v>
      </c>
      <c r="I50">
        <v>1.0699999984353781E-4</v>
      </c>
      <c r="J50"/>
    </row>
    <row r="51" spans="1:10" ht="15" customHeight="1" x14ac:dyDescent="0.15">
      <c r="A51" s="294">
        <v>50</v>
      </c>
      <c r="B51" s="294" t="s">
        <v>241</v>
      </c>
      <c r="C51" s="8">
        <v>4.6292891502380371</v>
      </c>
      <c r="D51" s="9">
        <v>3.0000000260770321E-3</v>
      </c>
      <c r="E51" s="9">
        <v>3.9999999105930328E-2</v>
      </c>
      <c r="F51" s="9">
        <v>13.319999694824219</v>
      </c>
      <c r="G51" s="9">
        <v>0.27385491132736206</v>
      </c>
      <c r="H51" s="9">
        <v>3.0030030757188797E-3</v>
      </c>
      <c r="I51">
        <v>0</v>
      </c>
      <c r="J51"/>
    </row>
    <row r="52" spans="1:10" ht="15" customHeight="1" x14ac:dyDescent="0.15">
      <c r="A52" s="295">
        <v>51</v>
      </c>
      <c r="B52" s="295" t="s">
        <v>242</v>
      </c>
      <c r="C52" s="8">
        <v>1</v>
      </c>
      <c r="D52" s="9">
        <v>0.18530400097370148</v>
      </c>
      <c r="E52" s="10"/>
      <c r="F52" s="10"/>
      <c r="G52" s="9">
        <v>0.1043161153793335</v>
      </c>
      <c r="H52" s="10"/>
      <c r="I52">
        <v>0</v>
      </c>
      <c r="J52"/>
    </row>
    <row r="53" spans="1:10" ht="15" customHeight="1" x14ac:dyDescent="0.15">
      <c r="A53" s="296">
        <v>52</v>
      </c>
      <c r="B53" s="296" t="s">
        <v>243</v>
      </c>
      <c r="C53" s="8">
        <v>1</v>
      </c>
      <c r="D53" s="9">
        <v>1</v>
      </c>
      <c r="E53" s="10"/>
      <c r="F53" s="10"/>
      <c r="G53" s="9">
        <v>0.1853463351726532</v>
      </c>
      <c r="H53" s="10"/>
      <c r="I53">
        <v>0</v>
      </c>
      <c r="J53"/>
    </row>
    <row r="54" spans="1:10" ht="15" customHeight="1" x14ac:dyDescent="0.15">
      <c r="A54" s="297">
        <v>53</v>
      </c>
      <c r="B54" s="297" t="s">
        <v>244</v>
      </c>
      <c r="C54" s="8">
        <v>1</v>
      </c>
      <c r="D54" s="9">
        <v>5</v>
      </c>
      <c r="E54" s="10"/>
      <c r="F54" s="10"/>
      <c r="G54" s="7">
        <v>0</v>
      </c>
      <c r="H54" s="10"/>
      <c r="I54">
        <v>0</v>
      </c>
      <c r="J54"/>
    </row>
    <row r="55" spans="1:10" ht="15" customHeight="1" x14ac:dyDescent="0.15">
      <c r="A55" s="298">
        <v>54</v>
      </c>
      <c r="B55" s="298" t="s">
        <v>245</v>
      </c>
      <c r="C55" s="8">
        <v>4.3457927703857422</v>
      </c>
      <c r="D55" s="10"/>
      <c r="E55" s="10"/>
      <c r="F55" s="10"/>
      <c r="G55" s="10"/>
      <c r="H55" s="10"/>
      <c r="I55">
        <v>0.41112330555915833</v>
      </c>
      <c r="J55"/>
    </row>
    <row r="56" spans="1:10" ht="15" customHeight="1" x14ac:dyDescent="0.15">
      <c r="A56" s="299">
        <v>55</v>
      </c>
      <c r="B56" s="299" t="s">
        <v>246</v>
      </c>
      <c r="C56" s="8">
        <v>4.193852424621582</v>
      </c>
      <c r="D56" s="10"/>
      <c r="E56" s="10"/>
      <c r="F56" s="10"/>
      <c r="G56" s="10"/>
      <c r="H56" s="10"/>
      <c r="I56">
        <v>6.6239349544048309E-2</v>
      </c>
      <c r="J56"/>
    </row>
    <row r="57" spans="1:10" ht="15" customHeight="1" x14ac:dyDescent="0.15">
      <c r="A57" s="300">
        <v>56</v>
      </c>
      <c r="B57" s="300" t="s">
        <v>247</v>
      </c>
      <c r="C57" s="8">
        <v>4.4002680778503418</v>
      </c>
      <c r="D57" s="10"/>
      <c r="E57" s="10"/>
      <c r="F57" s="10"/>
      <c r="G57" s="10"/>
      <c r="H57" s="10"/>
      <c r="I57">
        <v>0.31277155876159668</v>
      </c>
      <c r="J57"/>
    </row>
    <row r="58" spans="1:10" ht="15" customHeight="1" x14ac:dyDescent="0.15">
      <c r="A58" s="301">
        <v>57</v>
      </c>
      <c r="B58" s="301" t="s">
        <v>248</v>
      </c>
      <c r="C58" s="8">
        <v>3.0091304779052734</v>
      </c>
      <c r="D58" s="10"/>
      <c r="E58" s="10"/>
      <c r="F58" s="10"/>
      <c r="G58" s="10"/>
      <c r="H58" s="10"/>
      <c r="I58">
        <v>0.57946914434432983</v>
      </c>
      <c r="J58"/>
    </row>
    <row r="59" spans="1:10" ht="15" customHeight="1" x14ac:dyDescent="0.15">
      <c r="A59" s="302">
        <v>58</v>
      </c>
      <c r="B59" s="302" t="s">
        <v>249</v>
      </c>
      <c r="C59" s="8">
        <v>4.5994358062744141</v>
      </c>
      <c r="D59" s="10"/>
      <c r="E59" s="10"/>
      <c r="F59" s="10"/>
      <c r="G59" s="10"/>
      <c r="H59" s="10"/>
      <c r="I59">
        <v>3.3739771693944931E-2</v>
      </c>
      <c r="J59"/>
    </row>
    <row r="60" spans="1:10" ht="15" customHeight="1" x14ac:dyDescent="0.15">
      <c r="A60" s="303">
        <v>59</v>
      </c>
      <c r="B60" s="303" t="s">
        <v>250</v>
      </c>
      <c r="C60" s="8">
        <v>3.4612081050872803</v>
      </c>
      <c r="D60" s="10"/>
      <c r="E60" s="10"/>
      <c r="F60" s="10"/>
      <c r="G60" s="10"/>
      <c r="H60" s="10"/>
      <c r="I60">
        <v>0.13959099352359772</v>
      </c>
      <c r="J60"/>
    </row>
    <row r="61" spans="1:10" ht="15" customHeight="1" x14ac:dyDescent="0.15">
      <c r="A61" s="304">
        <v>60</v>
      </c>
      <c r="B61" s="304" t="s">
        <v>251</v>
      </c>
      <c r="C61" s="8">
        <v>4.6828837394714355</v>
      </c>
      <c r="D61" s="10"/>
      <c r="E61" s="10"/>
      <c r="F61" s="10"/>
      <c r="G61" s="10"/>
      <c r="H61" s="10"/>
      <c r="I61">
        <v>1.3034439645707607E-2</v>
      </c>
      <c r="J61"/>
    </row>
    <row r="62" spans="1:10" ht="15" customHeight="1" x14ac:dyDescent="0.15">
      <c r="A62" s="305">
        <v>61</v>
      </c>
      <c r="B62" s="305" t="s">
        <v>252</v>
      </c>
      <c r="C62" s="8">
        <v>2</v>
      </c>
      <c r="D62" s="10"/>
      <c r="E62" s="10"/>
      <c r="F62" s="10"/>
      <c r="G62" s="10"/>
      <c r="H62" s="10"/>
      <c r="I62">
        <v>9.9500002761487849E-6</v>
      </c>
      <c r="J62"/>
    </row>
    <row r="63" spans="1:10" ht="15" customHeight="1" x14ac:dyDescent="0.15">
      <c r="A63" s="306">
        <v>62</v>
      </c>
      <c r="B63" s="306" t="s">
        <v>253</v>
      </c>
      <c r="C63" s="8">
        <v>5.0574579238891602</v>
      </c>
      <c r="D63" s="10"/>
      <c r="E63" s="10"/>
      <c r="F63" s="10"/>
      <c r="G63" s="10"/>
      <c r="H63" s="10"/>
      <c r="I63">
        <v>3.4899997990578413E-4</v>
      </c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258</v>
      </c>
      <c r="E1" t="s">
        <v>259</v>
      </c>
      <c r="F1" t="s">
        <v>260</v>
      </c>
      <c r="G1" t="s">
        <v>261</v>
      </c>
      <c r="H1" t="s">
        <v>262</v>
      </c>
      <c r="I1" t="s">
        <v>263</v>
      </c>
      <c r="J1" t="s">
        <v>264</v>
      </c>
      <c r="K1" t="s">
        <v>265</v>
      </c>
      <c r="L1" t="s">
        <v>266</v>
      </c>
      <c r="M1" t="s">
        <v>192</v>
      </c>
      <c r="N1" t="s">
        <v>193</v>
      </c>
      <c r="O1" t="s">
        <v>194</v>
      </c>
      <c r="P1" t="s">
        <v>195</v>
      </c>
      <c r="Q1" t="s">
        <v>196</v>
      </c>
      <c r="R1" t="s">
        <v>197</v>
      </c>
      <c r="S1" t="s">
        <v>198</v>
      </c>
      <c r="T1" t="s">
        <v>199</v>
      </c>
      <c r="U1" t="s">
        <v>200</v>
      </c>
      <c r="V1" t="s">
        <v>201</v>
      </c>
      <c r="W1" t="s">
        <v>202</v>
      </c>
      <c r="X1" t="s">
        <v>203</v>
      </c>
      <c r="Y1" t="s">
        <v>204</v>
      </c>
      <c r="Z1" t="s">
        <v>205</v>
      </c>
      <c r="AA1" t="s">
        <v>206</v>
      </c>
      <c r="AB1" t="s">
        <v>207</v>
      </c>
      <c r="AC1" t="s">
        <v>208</v>
      </c>
      <c r="AD1" t="s">
        <v>209</v>
      </c>
      <c r="AE1" t="s">
        <v>210</v>
      </c>
      <c r="AF1" t="s">
        <v>211</v>
      </c>
      <c r="AG1" t="s">
        <v>212</v>
      </c>
      <c r="AH1" t="s">
        <v>213</v>
      </c>
      <c r="AI1" t="s">
        <v>214</v>
      </c>
      <c r="AJ1" t="s">
        <v>215</v>
      </c>
      <c r="AK1" t="s">
        <v>216</v>
      </c>
      <c r="AL1" t="s">
        <v>217</v>
      </c>
      <c r="AM1" t="s">
        <v>218</v>
      </c>
      <c r="AN1" t="s">
        <v>219</v>
      </c>
      <c r="AO1" t="s">
        <v>220</v>
      </c>
      <c r="AP1" t="s">
        <v>221</v>
      </c>
      <c r="AQ1" t="s">
        <v>222</v>
      </c>
      <c r="AR1" t="s">
        <v>223</v>
      </c>
      <c r="AS1" t="s">
        <v>224</v>
      </c>
      <c r="AT1" t="s">
        <v>225</v>
      </c>
      <c r="AU1" t="s">
        <v>226</v>
      </c>
      <c r="AV1" t="s">
        <v>227</v>
      </c>
      <c r="AW1" t="s">
        <v>228</v>
      </c>
      <c r="AX1" t="s">
        <v>229</v>
      </c>
      <c r="AY1" t="s">
        <v>230</v>
      </c>
      <c r="AZ1" t="s">
        <v>231</v>
      </c>
      <c r="BA1" t="s">
        <v>232</v>
      </c>
      <c r="BB1" t="s">
        <v>233</v>
      </c>
      <c r="BC1" t="s">
        <v>234</v>
      </c>
      <c r="BD1" t="s">
        <v>235</v>
      </c>
      <c r="BE1" t="s">
        <v>236</v>
      </c>
      <c r="BF1" t="s">
        <v>237</v>
      </c>
      <c r="BG1" t="s">
        <v>238</v>
      </c>
      <c r="BH1" t="s">
        <v>239</v>
      </c>
      <c r="BI1" t="s">
        <v>240</v>
      </c>
      <c r="BJ1" t="s">
        <v>241</v>
      </c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24.799999237060547</v>
      </c>
      <c r="C2">
        <v>18.357887268066406</v>
      </c>
      <c r="D2" s="9">
        <v>4.2052145099447102E-10</v>
      </c>
      <c r="E2"/>
      <c r="F2"/>
      <c r="G2"/>
      <c r="H2"/>
      <c r="I2"/>
      <c r="J2"/>
      <c r="K2" s="11">
        <v>8.3683765694786416E-8</v>
      </c>
      <c r="L2"/>
      <c r="M2"/>
      <c r="N2" s="193">
        <v>2.5139114856719971</v>
      </c>
      <c r="O2" s="236">
        <v>3.0938236713409424</v>
      </c>
      <c r="P2"/>
      <c r="Q2"/>
      <c r="R2" s="11">
        <v>8.5281757637858391E-3</v>
      </c>
      <c r="S2" s="14">
        <v>4.610631987452507E-2</v>
      </c>
      <c r="T2"/>
      <c r="U2" s="14">
        <v>2.6183180510997772E-2</v>
      </c>
      <c r="V2" s="148">
        <v>0.72293883562088013</v>
      </c>
      <c r="W2" s="14">
        <v>2.8034761548042297E-2</v>
      </c>
      <c r="X2"/>
      <c r="Y2"/>
      <c r="Z2" s="11">
        <v>6.473379471572116E-5</v>
      </c>
      <c r="AA2" s="11">
        <v>1.5854462844799855E-6</v>
      </c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 s="11">
        <v>8.3587019616970792E-6</v>
      </c>
      <c r="AT2"/>
      <c r="AU2"/>
      <c r="AV2"/>
      <c r="AW2"/>
      <c r="AX2"/>
      <c r="AY2"/>
      <c r="AZ2"/>
      <c r="BA2"/>
      <c r="BB2"/>
      <c r="BC2"/>
      <c r="BD2"/>
      <c r="BE2"/>
      <c r="BF2"/>
      <c r="BG2" s="11">
        <v>2.5107786059379578E-3</v>
      </c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45.279998779296875</v>
      </c>
      <c r="C3">
        <v>16.604825973510742</v>
      </c>
      <c r="D3"/>
      <c r="E3"/>
      <c r="F3"/>
      <c r="G3"/>
      <c r="H3"/>
      <c r="I3"/>
      <c r="J3"/>
      <c r="K3"/>
      <c r="L3"/>
      <c r="M3"/>
      <c r="N3" s="221">
        <v>6.3158402442932129</v>
      </c>
      <c r="O3" s="243">
        <v>17.488643646240234</v>
      </c>
      <c r="P3"/>
      <c r="Q3"/>
      <c r="R3" s="17">
        <v>0.57849198579788208</v>
      </c>
      <c r="S3" s="191">
        <v>3.0715548992156982</v>
      </c>
      <c r="T3"/>
      <c r="U3"/>
      <c r="V3"/>
      <c r="W3"/>
      <c r="X3"/>
      <c r="Y3"/>
      <c r="Z3"/>
      <c r="AA3" s="11">
        <v>3.7357959081418812E-4</v>
      </c>
      <c r="AB3" s="14">
        <v>5.1392890512943268E-2</v>
      </c>
      <c r="AC3"/>
      <c r="AD3"/>
      <c r="AE3"/>
      <c r="AF3"/>
      <c r="AG3"/>
      <c r="AH3"/>
      <c r="AI3" s="11">
        <v>6.90842280164361E-4</v>
      </c>
      <c r="AJ3" s="11">
        <v>4.2199888412142172E-5</v>
      </c>
      <c r="AK3"/>
      <c r="AL3"/>
      <c r="AM3" s="11">
        <v>6.3381819054484367E-3</v>
      </c>
      <c r="AN3" s="11">
        <v>3.0486849027511198E-6</v>
      </c>
      <c r="AO3"/>
      <c r="AP3"/>
      <c r="AQ3"/>
      <c r="AR3"/>
      <c r="AS3"/>
      <c r="AT3"/>
      <c r="AU3"/>
      <c r="AV3"/>
      <c r="AW3"/>
      <c r="AX3"/>
      <c r="AY3" s="14">
        <v>7.5266361236572266E-2</v>
      </c>
      <c r="AZ3" s="15">
        <v>0.42454329133033752</v>
      </c>
      <c r="BA3" s="18">
        <v>0.48921909928321838</v>
      </c>
      <c r="BB3" s="12">
        <v>0.1472429484128952</v>
      </c>
      <c r="BC3" s="11">
        <v>2.5532165542244911E-2</v>
      </c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39.080001831054688</v>
      </c>
      <c r="C4">
        <v>19.116983413696289</v>
      </c>
      <c r="D4"/>
      <c r="E4"/>
      <c r="F4"/>
      <c r="G4"/>
      <c r="H4"/>
      <c r="I4"/>
      <c r="J4"/>
      <c r="K4"/>
      <c r="L4"/>
      <c r="M4"/>
      <c r="N4"/>
      <c r="O4" s="145">
        <v>3.9162361621856689</v>
      </c>
      <c r="P4" s="110">
        <v>7.1200442314147949</v>
      </c>
      <c r="Q4"/>
      <c r="R4" s="17">
        <v>0.51816213130950928</v>
      </c>
      <c r="S4" s="109">
        <v>2.5792567729949951</v>
      </c>
      <c r="T4"/>
      <c r="U4"/>
      <c r="V4"/>
      <c r="W4"/>
      <c r="X4"/>
      <c r="Y4"/>
      <c r="Z4"/>
      <c r="AA4" s="11">
        <v>1.6730983043089509E-4</v>
      </c>
      <c r="AB4" s="11">
        <v>2.4919465184211731E-2</v>
      </c>
      <c r="AC4"/>
      <c r="AD4"/>
      <c r="AE4"/>
      <c r="AF4"/>
      <c r="AG4"/>
      <c r="AH4"/>
      <c r="AI4" s="11">
        <v>5.3494202438741922E-4</v>
      </c>
      <c r="AJ4" s="11">
        <v>1.8899469068855979E-5</v>
      </c>
      <c r="AK4"/>
      <c r="AL4"/>
      <c r="AM4" s="11">
        <v>3.2841330394148827E-3</v>
      </c>
      <c r="AN4" s="11">
        <v>3.0122635052975966E-6</v>
      </c>
      <c r="AO4" s="11">
        <v>3.0137575231492519E-4</v>
      </c>
      <c r="AP4"/>
      <c r="AQ4"/>
      <c r="AR4" s="11">
        <v>6.2441467307507992E-3</v>
      </c>
      <c r="AS4" s="11">
        <v>2.6171581819653511E-2</v>
      </c>
      <c r="AT4"/>
      <c r="AU4"/>
      <c r="AV4"/>
      <c r="AW4"/>
      <c r="AX4" s="145">
        <v>3.8750746250152588</v>
      </c>
      <c r="AY4" s="11">
        <v>2.24723219871521E-2</v>
      </c>
      <c r="AZ4" s="22">
        <v>0.28520110249519348</v>
      </c>
      <c r="BA4" s="22">
        <v>0.32864949107170105</v>
      </c>
      <c r="BB4" s="148">
        <v>1.1407736539840698</v>
      </c>
      <c r="BC4" s="14">
        <v>0.10873860865831375</v>
      </c>
      <c r="BD4"/>
      <c r="BE4"/>
      <c r="BF4" s="11">
        <v>6.428480613976717E-3</v>
      </c>
      <c r="BG4"/>
      <c r="BH4" s="11">
        <v>3.3304365933872759E-4</v>
      </c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18</v>
      </c>
      <c r="C5">
        <v>17.341096878051758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 s="11">
        <v>2.6517615187913179E-3</v>
      </c>
      <c r="AB5"/>
      <c r="AC5"/>
      <c r="AD5"/>
      <c r="AE5"/>
      <c r="AF5"/>
      <c r="AG5"/>
      <c r="AH5"/>
      <c r="AI5"/>
      <c r="AJ5"/>
      <c r="AK5"/>
      <c r="AL5"/>
      <c r="AM5" s="11">
        <v>5.639169248752296E-4</v>
      </c>
      <c r="AN5"/>
      <c r="AO5"/>
      <c r="AP5"/>
      <c r="AQ5"/>
      <c r="AR5"/>
      <c r="AS5"/>
      <c r="AT5"/>
      <c r="AU5"/>
      <c r="AV5"/>
      <c r="AW5"/>
      <c r="AX5"/>
      <c r="AY5"/>
      <c r="AZ5" s="14">
        <v>3.2979082316160202E-2</v>
      </c>
      <c r="BA5"/>
      <c r="BB5" s="26">
        <v>0.46331831812858582</v>
      </c>
      <c r="BC5" s="15">
        <v>0.1593904048204422</v>
      </c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3</v>
      </c>
      <c r="C6">
        <v>0.91713666915893555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 s="26">
        <v>7.4329279363155365E-2</v>
      </c>
      <c r="S6" s="29">
        <v>0.14182950556278229</v>
      </c>
      <c r="T6" s="76">
        <v>0.23700602352619171</v>
      </c>
      <c r="U6" s="227">
        <v>0.50205492973327637</v>
      </c>
      <c r="V6"/>
      <c r="W6"/>
      <c r="X6"/>
      <c r="Y6"/>
      <c r="Z6" s="11">
        <v>7.8559591202065349E-4</v>
      </c>
      <c r="AA6" s="241">
        <v>0.42978259921073914</v>
      </c>
      <c r="AB6" s="22">
        <v>2.3885248228907585E-2</v>
      </c>
      <c r="AC6" s="23">
        <v>1.7015988007187843E-2</v>
      </c>
      <c r="AD6" s="12">
        <v>1.1105316691100597E-2</v>
      </c>
      <c r="AE6" s="23">
        <v>1.5634240582585335E-2</v>
      </c>
      <c r="AF6" s="14">
        <v>6.2583498656749725E-3</v>
      </c>
      <c r="AG6" s="14">
        <v>3.1473012641072273E-3</v>
      </c>
      <c r="AH6" s="12">
        <v>1.353031862527132E-2</v>
      </c>
      <c r="AI6" s="12">
        <v>1.0111761279404163E-2</v>
      </c>
      <c r="AJ6" s="11">
        <v>2.8765671886503696E-3</v>
      </c>
      <c r="AK6" s="17">
        <v>4.3318528681993484E-2</v>
      </c>
      <c r="AL6" s="14">
        <v>5.2456981502473354E-3</v>
      </c>
      <c r="AM6" s="11">
        <v>8.2347285933792591E-4</v>
      </c>
      <c r="AN6" s="11">
        <v>5.0924334209412336E-4</v>
      </c>
      <c r="AO6" s="11">
        <v>2.4688101257197559E-4</v>
      </c>
      <c r="AP6" s="11">
        <v>1.598900212229637E-6</v>
      </c>
      <c r="AQ6" s="22">
        <v>2.5041421875357628E-2</v>
      </c>
      <c r="AR6" s="12">
        <v>1.0081879794597626E-2</v>
      </c>
      <c r="AS6" s="14">
        <v>5.6326212361454964E-3</v>
      </c>
      <c r="AT6"/>
      <c r="AU6"/>
      <c r="AV6" s="21">
        <v>5.8841805905103683E-2</v>
      </c>
      <c r="AW6"/>
      <c r="AX6" s="216">
        <v>0.40365171432495117</v>
      </c>
      <c r="AY6"/>
      <c r="AZ6"/>
      <c r="BA6"/>
      <c r="BB6" s="14">
        <v>6.7579494789242744E-3</v>
      </c>
      <c r="BC6" s="22">
        <v>2.6304090395569801E-2</v>
      </c>
      <c r="BD6" s="14">
        <v>5.4708183743059635E-3</v>
      </c>
      <c r="BE6" s="11">
        <v>8.5413666965905577E-6</v>
      </c>
      <c r="BF6"/>
      <c r="BG6" s="11">
        <v>1.3678855029866099E-3</v>
      </c>
      <c r="BH6" s="11">
        <v>2.0620196301024407E-4</v>
      </c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0.30000001192092896</v>
      </c>
      <c r="C7">
        <v>0.21979176998138428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234">
        <v>6.1401534825563431E-2</v>
      </c>
      <c r="V7"/>
      <c r="W7"/>
      <c r="X7"/>
      <c r="Y7"/>
      <c r="Z7" s="14">
        <v>5.7649001246318221E-4</v>
      </c>
      <c r="AA7" s="14">
        <v>8.1799033796414733E-4</v>
      </c>
      <c r="AB7"/>
      <c r="AC7"/>
      <c r="AD7" s="14">
        <v>3.4544712980277836E-4</v>
      </c>
      <c r="AE7" s="14">
        <v>4.8686290392652154E-4</v>
      </c>
      <c r="AF7"/>
      <c r="AG7"/>
      <c r="AH7" s="13">
        <v>1.0923407040536404E-2</v>
      </c>
      <c r="AI7" s="23">
        <v>1.505707623437047E-3</v>
      </c>
      <c r="AJ7" s="11">
        <v>2.6342369892518036E-5</v>
      </c>
      <c r="AK7"/>
      <c r="AL7"/>
      <c r="AM7" s="11">
        <v>1.8462796288076788E-4</v>
      </c>
      <c r="AN7" s="11">
        <v>1.2517742106865626E-5</v>
      </c>
      <c r="AO7" s="11">
        <v>6.2915510170569178E-6</v>
      </c>
      <c r="AP7"/>
      <c r="AQ7" s="18">
        <v>3.7595045287162066E-3</v>
      </c>
      <c r="AR7"/>
      <c r="AS7" s="11">
        <v>1.567814324516803E-4</v>
      </c>
      <c r="AT7"/>
      <c r="AU7"/>
      <c r="AV7"/>
      <c r="AW7" s="11">
        <v>4.7343296500912402E-6</v>
      </c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3.9600000381469727</v>
      </c>
      <c r="C8">
        <v>0.39599302411079407</v>
      </c>
      <c r="D8" s="11">
        <v>1.2054962571710348E-3</v>
      </c>
      <c r="E8"/>
      <c r="F8"/>
      <c r="G8"/>
      <c r="H8"/>
      <c r="I8" s="14">
        <v>3.9296313188970089E-3</v>
      </c>
      <c r="J8"/>
      <c r="K8"/>
      <c r="L8"/>
      <c r="M8"/>
      <c r="N8"/>
      <c r="O8"/>
      <c r="P8"/>
      <c r="Q8"/>
      <c r="R8"/>
      <c r="S8"/>
      <c r="T8" s="18">
        <v>5.0302907824516296E-2</v>
      </c>
      <c r="U8"/>
      <c r="V8"/>
      <c r="W8"/>
      <c r="X8" s="242">
        <v>1.9400196075439453</v>
      </c>
      <c r="Y8" s="212">
        <v>9.5645524561405182E-2</v>
      </c>
      <c r="Z8" s="11">
        <v>5.9815018175868317E-5</v>
      </c>
      <c r="AA8" s="67">
        <v>0.23368671536445618</v>
      </c>
      <c r="AB8" s="182">
        <v>0.47794070839881897</v>
      </c>
      <c r="AC8" s="12">
        <v>1.5416218899190426E-2</v>
      </c>
      <c r="AD8"/>
      <c r="AE8"/>
      <c r="AF8" s="11">
        <v>1.8051454389933497E-4</v>
      </c>
      <c r="AG8" s="11">
        <v>9.0780100435949862E-5</v>
      </c>
      <c r="AH8" s="11">
        <v>1.9481846829876304E-3</v>
      </c>
      <c r="AI8"/>
      <c r="AJ8" s="23">
        <v>2.5458645075559616E-2</v>
      </c>
      <c r="AK8" s="64">
        <v>0.21894027292728424</v>
      </c>
      <c r="AL8" s="22">
        <v>3.0544836074113846E-2</v>
      </c>
      <c r="AM8" s="11">
        <v>1.437012804672122E-3</v>
      </c>
      <c r="AN8" s="14">
        <v>7.9342760145664215E-3</v>
      </c>
      <c r="AO8" s="11">
        <v>5.4421823733719066E-5</v>
      </c>
      <c r="AP8" s="11">
        <v>1.2825062731280923E-4</v>
      </c>
      <c r="AQ8" s="12">
        <v>1.6804266721010208E-2</v>
      </c>
      <c r="AR8" s="17">
        <v>5.7940751314163208E-2</v>
      </c>
      <c r="AS8" s="14">
        <v>6.5076863393187523E-3</v>
      </c>
      <c r="AT8"/>
      <c r="AU8" s="12">
        <v>1.7398947849869728E-2</v>
      </c>
      <c r="AV8" s="11">
        <v>1.5476167900487781E-3</v>
      </c>
      <c r="AW8" s="11">
        <v>1.5523382171522826E-4</v>
      </c>
      <c r="AX8"/>
      <c r="AY8"/>
      <c r="AZ8"/>
      <c r="BA8"/>
      <c r="BB8" s="23">
        <v>2.3585442453622818E-2</v>
      </c>
      <c r="BC8" s="214">
        <v>0.29167377948760986</v>
      </c>
      <c r="BD8" s="18">
        <v>4.3469220399856567E-2</v>
      </c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0.64099997282028198</v>
      </c>
      <c r="C9">
        <v>0.60491573810577393</v>
      </c>
      <c r="D9"/>
      <c r="E9" s="11">
        <v>3.6529680073726922E-5</v>
      </c>
      <c r="F9"/>
      <c r="G9"/>
      <c r="H9"/>
      <c r="I9" s="11">
        <v>4.1095889173448086E-4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 s="14">
        <v>6.5743469167500734E-4</v>
      </c>
      <c r="AA9"/>
      <c r="AB9"/>
      <c r="AC9"/>
      <c r="AD9"/>
      <c r="AE9"/>
      <c r="AF9"/>
      <c r="AG9"/>
      <c r="AH9"/>
      <c r="AI9"/>
      <c r="AJ9"/>
      <c r="AK9"/>
      <c r="AL9"/>
      <c r="AM9"/>
      <c r="AN9" s="11">
        <v>7.5618198025040329E-5</v>
      </c>
      <c r="AO9"/>
      <c r="AP9"/>
      <c r="AQ9" s="64">
        <v>3.4903720021247864E-2</v>
      </c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0.66200000047683716</v>
      </c>
      <c r="C10">
        <v>0.15974500775337219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 s="66">
        <v>2.7847012504935265E-2</v>
      </c>
      <c r="U10" s="238">
        <v>0.33441296219825745</v>
      </c>
      <c r="V10"/>
      <c r="W10"/>
      <c r="X10"/>
      <c r="Y10"/>
      <c r="Z10" s="11">
        <v>3.4219943336211145E-4</v>
      </c>
      <c r="AA10" s="111">
        <v>0.12818998098373413</v>
      </c>
      <c r="AB10" s="11">
        <v>1.6782371676526964E-4</v>
      </c>
      <c r="AC10" s="14">
        <v>9.3098211800679564E-4</v>
      </c>
      <c r="AD10"/>
      <c r="AE10"/>
      <c r="AF10" s="11">
        <v>9.993041749112308E-5</v>
      </c>
      <c r="AG10" s="11">
        <v>5.0254639063496143E-5</v>
      </c>
      <c r="AH10" s="11">
        <v>5.2140840125503018E-6</v>
      </c>
      <c r="AI10" s="11">
        <v>5.8442342560738325E-4</v>
      </c>
      <c r="AJ10"/>
      <c r="AK10"/>
      <c r="AL10"/>
      <c r="AM10" s="11">
        <v>2.7049827622249722E-5</v>
      </c>
      <c r="AN10" s="11">
        <v>2.7245941964793019E-6</v>
      </c>
      <c r="AO10" s="11">
        <v>2.0082396076759323E-5</v>
      </c>
      <c r="AP10"/>
      <c r="AQ10" s="12">
        <v>3.1562852673232555E-3</v>
      </c>
      <c r="AR10" s="11">
        <v>2.597011043690145E-4</v>
      </c>
      <c r="AS10" s="15">
        <v>6.1543439514935017E-3</v>
      </c>
      <c r="AT10"/>
      <c r="AU10"/>
      <c r="AV10"/>
      <c r="AW10" s="11">
        <v>1.0913543064816622E-6</v>
      </c>
      <c r="AX10"/>
      <c r="AY10"/>
      <c r="AZ10"/>
      <c r="BA10"/>
      <c r="BB10"/>
      <c r="BC10"/>
      <c r="BD10"/>
      <c r="BE10" s="11">
        <v>2.9334944429137977E-6</v>
      </c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0.88870400190353394</v>
      </c>
      <c r="C11">
        <v>0.18423686921596527</v>
      </c>
      <c r="D11"/>
      <c r="E11"/>
      <c r="F11"/>
      <c r="G11" s="17">
        <v>1.2464100494980812E-2</v>
      </c>
      <c r="H11"/>
      <c r="I11"/>
      <c r="J11"/>
      <c r="K11"/>
      <c r="L11"/>
      <c r="M11"/>
      <c r="N11"/>
      <c r="O11"/>
      <c r="P11"/>
      <c r="Q11"/>
      <c r="R11"/>
      <c r="S11"/>
      <c r="T11" s="25">
        <v>2.823408879339695E-2</v>
      </c>
      <c r="U11" s="239">
        <v>0.17881563305854797</v>
      </c>
      <c r="V11"/>
      <c r="W11"/>
      <c r="X11" s="240">
        <v>0.32722246646881104</v>
      </c>
      <c r="Y11" s="66">
        <v>3.5789430141448975E-2</v>
      </c>
      <c r="Z11" s="14">
        <v>1.2759105302393436E-3</v>
      </c>
      <c r="AA11" s="200">
        <v>8.0487139523029327E-2</v>
      </c>
      <c r="AB11" s="24">
        <v>2.3536469787359238E-2</v>
      </c>
      <c r="AC11" s="11">
        <v>3.5397801548242569E-4</v>
      </c>
      <c r="AD11" s="14">
        <v>1.307716709561646E-3</v>
      </c>
      <c r="AE11" s="14">
        <v>1.8432019278407097E-3</v>
      </c>
      <c r="AF11" s="23">
        <v>5.1166429184377193E-3</v>
      </c>
      <c r="AG11" s="14">
        <v>2.5731408968567848E-3</v>
      </c>
      <c r="AH11" s="14">
        <v>1.0272044455632567E-3</v>
      </c>
      <c r="AI11" s="14">
        <v>1.5406223246827722E-3</v>
      </c>
      <c r="AJ11" s="11">
        <v>3.3163240004796535E-5</v>
      </c>
      <c r="AK11" s="11">
        <v>4.7148196608759463E-4</v>
      </c>
      <c r="AL11"/>
      <c r="AM11" s="11">
        <v>2.9557152174675139E-6</v>
      </c>
      <c r="AN11" s="11">
        <v>6.4039850258268416E-5</v>
      </c>
      <c r="AO11" s="11">
        <v>3.919324171874905E-6</v>
      </c>
      <c r="AP11"/>
      <c r="AQ11" s="14">
        <v>1.1790101416409016E-3</v>
      </c>
      <c r="AR11" s="11">
        <v>1.316554844379425E-4</v>
      </c>
      <c r="AS11" s="11">
        <v>7.6098169665783644E-4</v>
      </c>
      <c r="AT11"/>
      <c r="AU11"/>
      <c r="AV11" s="11">
        <v>1.6287746257148683E-4</v>
      </c>
      <c r="AW11"/>
      <c r="AX11"/>
      <c r="AY11"/>
      <c r="AZ11"/>
      <c r="BA11"/>
      <c r="BB11"/>
      <c r="BC11"/>
      <c r="BD11" s="11">
        <v>6.2420738686341792E-5</v>
      </c>
      <c r="BE11"/>
      <c r="BF11"/>
      <c r="BG11"/>
      <c r="BH11"/>
      <c r="BI11" s="11">
        <v>6.8938884396629874E-6</v>
      </c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0.5</v>
      </c>
      <c r="C12">
        <v>0.1884784996509552</v>
      </c>
      <c r="D12" s="65">
        <v>1.1083332821726799E-2</v>
      </c>
      <c r="E12" s="12">
        <v>2.0083331037312746E-3</v>
      </c>
      <c r="F12"/>
      <c r="G12" s="206">
        <v>0.29833331704139709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 s="11">
        <v>9.6515366749372333E-5</v>
      </c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1.9470000267028809</v>
      </c>
      <c r="C13">
        <v>0.47113138437271118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 s="19">
        <v>3.4919053316116333E-2</v>
      </c>
      <c r="U13"/>
      <c r="V13"/>
      <c r="W13"/>
      <c r="X13" s="185">
        <v>9.6092253923416138E-2</v>
      </c>
      <c r="Y13" s="12">
        <v>7.2473417967557907E-3</v>
      </c>
      <c r="Z13" s="12">
        <v>7.93482456356287E-3</v>
      </c>
      <c r="AA13" s="212">
        <v>4.6510301530361176E-2</v>
      </c>
      <c r="AB13" s="193">
        <v>0.19912651181221008</v>
      </c>
      <c r="AC13" s="22">
        <v>1.6028201207518578E-2</v>
      </c>
      <c r="AD13" s="11">
        <v>6.1194022418931127E-4</v>
      </c>
      <c r="AE13" s="11">
        <v>8.6248869774863124E-4</v>
      </c>
      <c r="AF13"/>
      <c r="AG13"/>
      <c r="AH13" s="11">
        <v>7.1307964390143752E-4</v>
      </c>
      <c r="AI13"/>
      <c r="AJ13" s="23">
        <v>1.1055245064198971E-2</v>
      </c>
      <c r="AK13" s="70">
        <v>0.10090632736682892</v>
      </c>
      <c r="AL13" s="14">
        <v>2.0957211963832378E-3</v>
      </c>
      <c r="AM13" s="14">
        <v>1.9968498963862658E-3</v>
      </c>
      <c r="AN13" s="14">
        <v>3.3594835549592972E-3</v>
      </c>
      <c r="AO13" s="14">
        <v>2.8185672126710415E-3</v>
      </c>
      <c r="AP13"/>
      <c r="AQ13" s="78">
        <v>0.12537866830825806</v>
      </c>
      <c r="AR13" s="213">
        <v>7.6676078140735626E-2</v>
      </c>
      <c r="AS13" s="14">
        <v>5.651798564940691E-3</v>
      </c>
      <c r="AT13" s="23">
        <v>1.1417166329920292E-2</v>
      </c>
      <c r="AU13" s="19">
        <v>3.2968964427709579E-2</v>
      </c>
      <c r="AV13" s="11">
        <v>5.1886780420318246E-4</v>
      </c>
      <c r="AW13"/>
      <c r="AX13"/>
      <c r="AY13"/>
      <c r="AZ13"/>
      <c r="BA13"/>
      <c r="BB13" s="16">
        <v>2.9049970209598541E-2</v>
      </c>
      <c r="BC13"/>
      <c r="BD13" s="11">
        <v>1.0071340948343277E-3</v>
      </c>
      <c r="BE13"/>
      <c r="BF13"/>
      <c r="BG13" s="144">
        <v>0.66037625074386597</v>
      </c>
      <c r="BH13" s="11">
        <v>5.454735946841538E-4</v>
      </c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0.60000002384185791</v>
      </c>
      <c r="C14">
        <v>0.38385915756225586</v>
      </c>
      <c r="D14" s="23">
        <v>3.8317027501761913E-3</v>
      </c>
      <c r="E14" s="14">
        <v>1.5994781861081719E-3</v>
      </c>
      <c r="F14"/>
      <c r="G14" s="14">
        <v>1.4964123256504536E-3</v>
      </c>
      <c r="H14" s="17">
        <v>8.1148073077201843E-3</v>
      </c>
      <c r="I14" s="150">
        <v>0.15133725106716156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 s="12">
        <v>1.9124367972835898E-3</v>
      </c>
      <c r="AR14" s="197">
        <v>4.7848798334598541E-2</v>
      </c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0.51499998569488525</v>
      </c>
      <c r="C15">
        <v>0.26766026020050049</v>
      </c>
      <c r="D15"/>
      <c r="E15"/>
      <c r="F15"/>
      <c r="G15"/>
      <c r="H15"/>
      <c r="I15" s="151">
        <v>0.18366013467311859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 s="108">
        <v>6.3679613173007965E-2</v>
      </c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1.5729999542236328</v>
      </c>
      <c r="C16">
        <v>0.15609964728355408</v>
      </c>
      <c r="D16"/>
      <c r="E16" s="17">
        <v>2.1568628028035164E-2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 s="11">
        <v>3.8039663922972977E-4</v>
      </c>
      <c r="AA16" s="66">
        <v>6.5690867602825165E-2</v>
      </c>
      <c r="AB16" s="197">
        <v>0.12571097910404205</v>
      </c>
      <c r="AC16" s="65">
        <v>3.3778011798858643E-2</v>
      </c>
      <c r="AD16"/>
      <c r="AE16"/>
      <c r="AF16"/>
      <c r="AG16"/>
      <c r="AH16"/>
      <c r="AI16"/>
      <c r="AJ16" s="152">
        <v>0.39962601661682129</v>
      </c>
      <c r="AK16" s="16">
        <v>2.5493917986750603E-2</v>
      </c>
      <c r="AL16"/>
      <c r="AM16"/>
      <c r="AN16" s="12">
        <v>6.5350565128028393E-3</v>
      </c>
      <c r="AO16" s="22">
        <v>1.2686336413025856E-2</v>
      </c>
      <c r="AP16" s="11">
        <v>6.143400096334517E-4</v>
      </c>
      <c r="AQ16" s="16">
        <v>2.5717735290527344E-2</v>
      </c>
      <c r="AR16" s="28">
        <v>5.4423265159130096E-2</v>
      </c>
      <c r="AS16"/>
      <c r="AT16" s="212">
        <v>3.6077536642551422E-2</v>
      </c>
      <c r="AU16" s="232">
        <v>0.13334977626800537</v>
      </c>
      <c r="AV16"/>
      <c r="AW16" s="19">
        <v>2.751433290541172E-2</v>
      </c>
      <c r="AX16"/>
      <c r="AY16"/>
      <c r="AZ16"/>
      <c r="BA16"/>
      <c r="BB16"/>
      <c r="BC16" s="23">
        <v>9.4505352899432182E-3</v>
      </c>
      <c r="BD16" s="21">
        <v>2.9630299657583237E-2</v>
      </c>
      <c r="BE16" s="11">
        <v>5.5847986368462443E-4</v>
      </c>
      <c r="BF16"/>
      <c r="BG16" s="235">
        <v>0.40665298700332642</v>
      </c>
      <c r="BH16"/>
      <c r="BI16"/>
      <c r="BJ16" s="11">
        <v>1.4406956033781171E-3</v>
      </c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1.2719999551773071</v>
      </c>
      <c r="C17">
        <v>9.6225172281265259E-2</v>
      </c>
      <c r="D17" s="148">
        <v>3.6953873932361603E-2</v>
      </c>
      <c r="E17" s="12">
        <v>4.1059856303036213E-3</v>
      </c>
      <c r="F17" s="11">
        <v>4.1059858631342649E-4</v>
      </c>
      <c r="G17"/>
      <c r="H17" s="11">
        <v>4.1059858631342649E-4</v>
      </c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 s="22">
        <v>9.3543669208884239E-3</v>
      </c>
      <c r="AC17"/>
      <c r="AD17"/>
      <c r="AE17"/>
      <c r="AF17"/>
      <c r="AG17"/>
      <c r="AH17"/>
      <c r="AI17"/>
      <c r="AJ17"/>
      <c r="AK17"/>
      <c r="AL17"/>
      <c r="AM17" s="230">
        <v>0.12252301722764969</v>
      </c>
      <c r="AN17" s="11">
        <v>1.9682696438394487E-4</v>
      </c>
      <c r="AO17" s="23">
        <v>7.1646412834525108E-3</v>
      </c>
      <c r="AP17" s="109">
        <v>8.5205502808094025E-2</v>
      </c>
      <c r="AQ17" s="24">
        <v>3.4544516354799271E-2</v>
      </c>
      <c r="AR17" s="14">
        <v>1.2986107030883431E-3</v>
      </c>
      <c r="AS17" s="68">
        <v>7.8955478966236115E-2</v>
      </c>
      <c r="AT17" s="190">
        <v>0.3109603226184845</v>
      </c>
      <c r="AU17" s="149">
        <v>7.6354324817657471E-2</v>
      </c>
      <c r="AV17"/>
      <c r="AW17"/>
      <c r="AX17"/>
      <c r="AY17"/>
      <c r="AZ17"/>
      <c r="BA17"/>
      <c r="BB17" s="219">
        <v>0.15065726637840271</v>
      </c>
      <c r="BC17" s="75">
        <v>0.11894647032022476</v>
      </c>
      <c r="BD17"/>
      <c r="BE17" s="11">
        <v>5.1033718045800924E-4</v>
      </c>
      <c r="BF17"/>
      <c r="BG17" s="231">
        <v>0.13663771748542786</v>
      </c>
      <c r="BH17" s="11">
        <v>5.6388995290035382E-5</v>
      </c>
      <c r="BI17"/>
      <c r="BJ17" s="11">
        <v>5.2798521937802434E-4</v>
      </c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0.51999998092651367</v>
      </c>
      <c r="C18">
        <v>5.2000939846038818E-2</v>
      </c>
      <c r="D18" s="14">
        <v>1.1402596719563007E-3</v>
      </c>
      <c r="E18" s="11">
        <v>1.0727272456279024E-4</v>
      </c>
      <c r="F18" s="11">
        <v>7.7922077252878807E-6</v>
      </c>
      <c r="G18"/>
      <c r="H18" s="11">
        <v>3.0779221560806036E-5</v>
      </c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 s="225">
        <v>0.46671292185783386</v>
      </c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0.64999997615814209</v>
      </c>
      <c r="C19">
        <v>0.41946732997894287</v>
      </c>
      <c r="D19" s="180">
        <v>2.2019563242793083E-2</v>
      </c>
      <c r="E19" s="78">
        <v>4.1957676410675049E-2</v>
      </c>
      <c r="F19"/>
      <c r="G19" s="65">
        <v>1.3748533092439175E-2</v>
      </c>
      <c r="H19" s="19">
        <v>1.2061462737619877E-2</v>
      </c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 s="14">
        <v>1.7832397716119885E-3</v>
      </c>
      <c r="AN19"/>
      <c r="AO19" s="16">
        <v>9.7087230533361435E-3</v>
      </c>
      <c r="AP19"/>
      <c r="AQ19" s="79">
        <v>0.10979881137609482</v>
      </c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 s="148">
        <v>1.9454633817076683E-2</v>
      </c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0.43000000715255737</v>
      </c>
      <c r="C20">
        <v>0.28808066248893738</v>
      </c>
      <c r="D20" s="181">
        <v>4.1846152395009995E-2</v>
      </c>
      <c r="E20" s="196">
        <v>7.9794876277446747E-2</v>
      </c>
      <c r="F20"/>
      <c r="G20" s="26">
        <v>1.0564103722572327E-2</v>
      </c>
      <c r="H20" s="19">
        <v>7.3025645688176155E-3</v>
      </c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 s="23">
        <v>2.4116348940879107E-3</v>
      </c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1.3500000238418579</v>
      </c>
      <c r="C21">
        <v>0.60390251874923706</v>
      </c>
      <c r="D21" s="182">
        <v>0.16377635300159454</v>
      </c>
      <c r="E21" s="197">
        <v>0.10956510901451111</v>
      </c>
      <c r="F21"/>
      <c r="G21" s="19">
        <v>2.26938147097826E-2</v>
      </c>
      <c r="H21" s="14">
        <v>1.9995949696749449E-3</v>
      </c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 s="142">
        <v>0.17440852522850037</v>
      </c>
      <c r="AP21"/>
      <c r="AQ21" s="220">
        <v>0.1861061304807663</v>
      </c>
      <c r="AR21"/>
      <c r="AS21"/>
      <c r="AT21"/>
      <c r="AU21"/>
      <c r="AV21"/>
      <c r="AW21"/>
      <c r="AX21"/>
      <c r="AY21"/>
      <c r="AZ21"/>
      <c r="BA21"/>
      <c r="BB21"/>
      <c r="BC21"/>
      <c r="BD21"/>
      <c r="BE21" s="18">
        <v>1.5615134499967098E-2</v>
      </c>
      <c r="BF21"/>
      <c r="BG21" s="195">
        <v>7.1932867169380188E-2</v>
      </c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0.75470000505447388</v>
      </c>
      <c r="C22">
        <v>0.2598741352558136</v>
      </c>
      <c r="D22" s="183">
        <v>0.15675164759159088</v>
      </c>
      <c r="E22" s="198">
        <v>0.22190745174884796</v>
      </c>
      <c r="F22"/>
      <c r="G22" s="18">
        <v>9.0651558712124825E-3</v>
      </c>
      <c r="H22" s="23">
        <v>4.4145421124994755E-3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 s="216">
        <v>0.10268709808588028</v>
      </c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0.75300002098083496</v>
      </c>
      <c r="C23">
        <v>0.25760030746459961</v>
      </c>
      <c r="D23" s="183">
        <v>0.1571856290102005</v>
      </c>
      <c r="E23" s="195">
        <v>3.9798971265554428E-2</v>
      </c>
      <c r="F23"/>
      <c r="G23"/>
      <c r="H23" s="20">
        <v>3.1864844262599945E-2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 s="14">
        <v>1.1304375948384404E-3</v>
      </c>
      <c r="AN23" s="15">
        <v>7.304048165678978E-3</v>
      </c>
      <c r="AO23" s="68">
        <v>4.6957004815340042E-2</v>
      </c>
      <c r="AP23"/>
      <c r="AQ23" s="222">
        <v>0.12236636132001877</v>
      </c>
      <c r="AR23" s="148">
        <v>2.1438568830490112E-2</v>
      </c>
      <c r="AS23" s="18">
        <v>9.5686567947268486E-3</v>
      </c>
      <c r="AT23" s="191">
        <v>5.1584832370281219E-2</v>
      </c>
      <c r="AU23"/>
      <c r="AV23"/>
      <c r="AW23"/>
      <c r="AX23"/>
      <c r="AY23"/>
      <c r="AZ23"/>
      <c r="BA23"/>
      <c r="BB23" s="23">
        <v>3.9550643414258957E-3</v>
      </c>
      <c r="BC23"/>
      <c r="BD23"/>
      <c r="BE23" s="14">
        <v>1.7318822210654616E-3</v>
      </c>
      <c r="BF23"/>
      <c r="BG23"/>
      <c r="BH23"/>
      <c r="BI23"/>
      <c r="BJ23" s="11">
        <v>5.1338021876290441E-4</v>
      </c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0.59899997711181641</v>
      </c>
      <c r="C24">
        <v>5.9899833053350449E-2</v>
      </c>
      <c r="D24" s="184">
        <v>0.23022475838661194</v>
      </c>
      <c r="E24" s="199">
        <v>0.11726487427949905</v>
      </c>
      <c r="F24" s="11">
        <v>1.9570556469261646E-4</v>
      </c>
      <c r="G24" s="12">
        <v>2.0785464439541101E-3</v>
      </c>
      <c r="H24" s="11">
        <v>3.4598418278619647E-4</v>
      </c>
      <c r="I24" s="11">
        <v>1.5054273717396427E-5</v>
      </c>
      <c r="J24" s="11">
        <v>1.5054273717396427E-5</v>
      </c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 s="12">
        <v>2.8204910922795534E-3</v>
      </c>
      <c r="AP24"/>
      <c r="AQ24"/>
      <c r="AR24"/>
      <c r="AS24"/>
      <c r="AT24" s="220">
        <v>8.2297205924987793E-2</v>
      </c>
      <c r="AU24" s="182">
        <v>7.3335230350494385E-2</v>
      </c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 s="70">
        <v>3.0507246032357216E-2</v>
      </c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0.37000000476837158</v>
      </c>
      <c r="C25">
        <v>0.28951391577720642</v>
      </c>
      <c r="D25" s="185">
        <v>1.8053457140922546E-2</v>
      </c>
      <c r="E25" s="191">
        <v>2.5143461301922798E-2</v>
      </c>
      <c r="F25" s="11">
        <v>2.8465719879022799E-5</v>
      </c>
      <c r="G25" s="14">
        <v>5.1872542826458812E-4</v>
      </c>
      <c r="H25" s="12">
        <v>1.2458472047001123E-3</v>
      </c>
      <c r="I25" s="11">
        <v>6.5690124756656587E-5</v>
      </c>
      <c r="J25" s="11">
        <v>2.8465719879022799E-5</v>
      </c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 s="26">
        <v>9.4592226669192314E-3</v>
      </c>
      <c r="AQ25"/>
      <c r="AR25"/>
      <c r="AS25"/>
      <c r="AT25"/>
      <c r="AU25"/>
      <c r="AV25"/>
      <c r="AW25" s="22">
        <v>2.863430418074131E-3</v>
      </c>
      <c r="AX25"/>
      <c r="AY25"/>
      <c r="AZ25"/>
      <c r="BA25"/>
      <c r="BB25"/>
      <c r="BC25"/>
      <c r="BD25"/>
      <c r="BE25"/>
      <c r="BF25"/>
      <c r="BG25"/>
      <c r="BH25"/>
      <c r="BI25"/>
      <c r="BJ25" s="68">
        <v>2.3079326376318932E-2</v>
      </c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0.57400000095367432</v>
      </c>
      <c r="C26">
        <v>0.18202035129070282</v>
      </c>
      <c r="D26" s="186">
        <v>0.31968030333518982</v>
      </c>
      <c r="E26" s="16">
        <v>9.2157842591404915E-3</v>
      </c>
      <c r="F26" s="15">
        <v>6.1438563279807568E-3</v>
      </c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 s="22">
        <v>4.6938220039010048E-3</v>
      </c>
      <c r="AQ26"/>
      <c r="AR26"/>
      <c r="AS26"/>
      <c r="AT26"/>
      <c r="AU26"/>
      <c r="AV26"/>
      <c r="AW26"/>
      <c r="AX26"/>
      <c r="AY26"/>
      <c r="AZ26"/>
      <c r="BA26"/>
      <c r="BB26"/>
      <c r="BC26" s="200">
        <v>5.121118575334549E-2</v>
      </c>
      <c r="BD26"/>
      <c r="BE26" s="14">
        <v>1.0346942581236362E-3</v>
      </c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1.6000000238418579</v>
      </c>
      <c r="C27">
        <v>0.15925712883472443</v>
      </c>
      <c r="D27" s="78">
        <v>0.10289236903190613</v>
      </c>
      <c r="E27" s="14">
        <v>3.9356332272291183E-3</v>
      </c>
      <c r="F27" s="12">
        <v>6.8166200071573257E-3</v>
      </c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 s="69">
        <v>0.14884728193283081</v>
      </c>
      <c r="AC27"/>
      <c r="AD27"/>
      <c r="AE27"/>
      <c r="AF27"/>
      <c r="AG27"/>
      <c r="AH27"/>
      <c r="AI27"/>
      <c r="AJ27"/>
      <c r="AK27" s="221">
        <v>0.22128079831600189</v>
      </c>
      <c r="AL27"/>
      <c r="AM27" s="215">
        <v>0.13927531242370605</v>
      </c>
      <c r="AN27" s="12">
        <v>5.8827926404774189E-3</v>
      </c>
      <c r="AO27" s="203">
        <v>0.14220108091831207</v>
      </c>
      <c r="AP27" s="66">
        <v>6.5103292465209961E-2</v>
      </c>
      <c r="AQ27" s="218">
        <v>0.18203753232955933</v>
      </c>
      <c r="AR27" s="14">
        <v>2.282608998939395E-3</v>
      </c>
      <c r="AS27" s="11">
        <v>8.2754873437806964E-4</v>
      </c>
      <c r="AT27" s="219">
        <v>0.18672436475753784</v>
      </c>
      <c r="AU27" s="185">
        <v>7.9349711537361145E-2</v>
      </c>
      <c r="AV27"/>
      <c r="AW27"/>
      <c r="AX27"/>
      <c r="AY27"/>
      <c r="AZ27"/>
      <c r="BA27"/>
      <c r="BB27" s="12">
        <v>5.285775288939476E-3</v>
      </c>
      <c r="BC27" s="185">
        <v>7.9149812459945679E-2</v>
      </c>
      <c r="BD27"/>
      <c r="BE27"/>
      <c r="BF27"/>
      <c r="BG27"/>
      <c r="BH27"/>
      <c r="BI27" s="65">
        <v>3.4690573811531067E-2</v>
      </c>
      <c r="BJ27" s="65">
        <v>3.4159675240516663E-2</v>
      </c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0.7879670262336731</v>
      </c>
      <c r="C28">
        <v>0.38399529457092285</v>
      </c>
      <c r="D28" s="187">
        <v>0.35915482044219971</v>
      </c>
      <c r="E28" s="19">
        <v>1.4420886524021626E-2</v>
      </c>
      <c r="F28" s="14">
        <v>2.1695138420909643E-3</v>
      </c>
      <c r="G28" s="11">
        <v>1.2597764725796878E-4</v>
      </c>
      <c r="H28" s="22">
        <v>6.6543915309011936E-3</v>
      </c>
      <c r="I28" s="11">
        <v>3.1539992050966248E-5</v>
      </c>
      <c r="J28" s="14">
        <v>2.0236640702933073E-3</v>
      </c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 s="26">
        <v>1.9390901550650597E-2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1.6200000047683716</v>
      </c>
      <c r="C29">
        <v>0.355844646692276</v>
      </c>
      <c r="D29" s="110">
        <v>0.29517236351966858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 s="217">
        <v>0.26574525237083435</v>
      </c>
      <c r="AL29"/>
      <c r="AM29" s="21">
        <v>3.0333461239933968E-2</v>
      </c>
      <c r="AN29" s="11">
        <v>7.275495445355773E-4</v>
      </c>
      <c r="AO29" s="69">
        <v>0.15049462020397186</v>
      </c>
      <c r="AP29"/>
      <c r="AQ29"/>
      <c r="AR29"/>
      <c r="AS29" s="12">
        <v>5.8483518660068512E-3</v>
      </c>
      <c r="AT29" s="29">
        <v>7.7209196984767914E-2</v>
      </c>
      <c r="AU29" s="214">
        <v>0.11959259957075119</v>
      </c>
      <c r="AV29"/>
      <c r="AW29"/>
      <c r="AX29"/>
      <c r="AY29"/>
      <c r="AZ29"/>
      <c r="BA29"/>
      <c r="BB29" s="212">
        <v>3.6897186189889908E-2</v>
      </c>
      <c r="BC29" s="64">
        <v>8.7898775935173035E-2</v>
      </c>
      <c r="BD29"/>
      <c r="BE29"/>
      <c r="BF29"/>
      <c r="BG29"/>
      <c r="BH29" s="67">
        <v>9.5115251839160919E-2</v>
      </c>
      <c r="BI29" s="213">
        <v>6.2492016702890396E-2</v>
      </c>
      <c r="BJ29" s="212">
        <v>3.6628805100917816E-2</v>
      </c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0.81000000238418579</v>
      </c>
      <c r="C30">
        <v>0.3349461555480957</v>
      </c>
      <c r="D30" s="188">
        <v>0.26547124981880188</v>
      </c>
      <c r="E30" s="19">
        <v>1.397217158228159E-2</v>
      </c>
      <c r="F30" s="19">
        <v>1.397217158228159E-2</v>
      </c>
      <c r="G30"/>
      <c r="H30" s="207">
        <v>0.18163822591304779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0.43999999761581421</v>
      </c>
      <c r="C31">
        <v>0.12621235847473145</v>
      </c>
      <c r="D31" s="189">
        <v>0.11598899215459824</v>
      </c>
      <c r="E31"/>
      <c r="F31"/>
      <c r="G31"/>
      <c r="H31" s="208">
        <v>0.10609020292758942</v>
      </c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 s="17">
        <v>6.3671423122286797E-3</v>
      </c>
      <c r="AQ31"/>
      <c r="AR31"/>
      <c r="AS31"/>
      <c r="AT31"/>
      <c r="AU31"/>
      <c r="AV31"/>
      <c r="AW31"/>
      <c r="AX31"/>
      <c r="AY31"/>
      <c r="AZ31"/>
      <c r="BA31"/>
      <c r="BB31"/>
      <c r="BC31" s="111">
        <v>8.5341289639472961E-2</v>
      </c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0.37999999523162842</v>
      </c>
      <c r="C32">
        <v>0.37263390421867371</v>
      </c>
      <c r="D32" s="17">
        <v>5.4212296381592751E-3</v>
      </c>
      <c r="E32" s="11">
        <v>1.5866131434449926E-5</v>
      </c>
      <c r="F32" s="11">
        <v>8.6378255218733102E-5</v>
      </c>
      <c r="G32" s="11">
        <v>1.940800211741589E-5</v>
      </c>
      <c r="H32" s="14">
        <v>4.517691268119961E-4</v>
      </c>
      <c r="I32" s="11">
        <v>1.4456612007052172E-5</v>
      </c>
      <c r="J32" s="14">
        <v>8.8908168254420161E-4</v>
      </c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 s="14">
        <v>4.6791293425485492E-4</v>
      </c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0.60000002384185791</v>
      </c>
      <c r="C33">
        <v>0.41383638978004456</v>
      </c>
      <c r="D33" s="190">
        <v>0.14750261604785919</v>
      </c>
      <c r="E33" s="65">
        <v>1.2831766158342361E-2</v>
      </c>
      <c r="F33" s="14">
        <v>9.4879831885918975E-4</v>
      </c>
      <c r="G33" s="12">
        <v>2.9132706113159657E-3</v>
      </c>
      <c r="H33" s="24">
        <v>1.6175547614693642E-2</v>
      </c>
      <c r="I33" s="11">
        <v>5.0574709894135594E-4</v>
      </c>
      <c r="J33" s="22">
        <v>4.8902817070484161E-3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 s="11">
        <v>3.9562617894262075E-4</v>
      </c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0.82800000905990601</v>
      </c>
      <c r="C34">
        <v>0.20001167058944702</v>
      </c>
      <c r="D34" s="191">
        <v>5.6253928691148758E-2</v>
      </c>
      <c r="E34"/>
      <c r="F34"/>
      <c r="G34"/>
      <c r="H34" s="65">
        <v>1.7464308068156242E-2</v>
      </c>
      <c r="I34"/>
      <c r="J34" s="14">
        <v>1.9394810078665614E-3</v>
      </c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 s="108">
        <v>0.10285743325948715</v>
      </c>
      <c r="AN34"/>
      <c r="AO34" s="65">
        <v>1.8536759540438652E-2</v>
      </c>
      <c r="AP34" s="67">
        <v>4.877818375825882E-2</v>
      </c>
      <c r="AQ34" s="148">
        <v>2.4195913225412369E-2</v>
      </c>
      <c r="AR34" s="23">
        <v>5.0752670504152775E-3</v>
      </c>
      <c r="AS34" s="16">
        <v>1.2670274823904037E-2</v>
      </c>
      <c r="AT34"/>
      <c r="AU34" s="228">
        <v>0.23671887814998627</v>
      </c>
      <c r="AV34"/>
      <c r="AW34" s="22">
        <v>6.9278497248888016E-3</v>
      </c>
      <c r="AX34"/>
      <c r="AY34"/>
      <c r="AZ34"/>
      <c r="BA34"/>
      <c r="BB34" s="11">
        <v>9.2254442279227078E-5</v>
      </c>
      <c r="BC34" s="193">
        <v>8.5129618644714355E-2</v>
      </c>
      <c r="BD34"/>
      <c r="BE34"/>
      <c r="BF34"/>
      <c r="BG34"/>
      <c r="BH34"/>
      <c r="BI34" s="12">
        <v>3.8034478202462196E-3</v>
      </c>
      <c r="BJ34" s="15">
        <v>7.5447484850883484E-3</v>
      </c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0.41100001335144043</v>
      </c>
      <c r="C35">
        <v>0.26466649770736694</v>
      </c>
      <c r="D35" s="192">
        <v>4.370860755443573E-2</v>
      </c>
      <c r="E35" s="25">
        <v>1.3245033100247383E-2</v>
      </c>
      <c r="F35"/>
      <c r="G35" s="16">
        <v>6.4978571608662605E-3</v>
      </c>
      <c r="H35" s="20">
        <v>1.7849629744887352E-2</v>
      </c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 s="223">
        <v>6.5032400190830231E-2</v>
      </c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0.25</v>
      </c>
      <c r="C36">
        <v>0.13671952486038208</v>
      </c>
      <c r="D36" s="193">
        <v>2.5693431496620178E-2</v>
      </c>
      <c r="E36" s="18">
        <v>2.7737228665500879E-3</v>
      </c>
      <c r="F36"/>
      <c r="G36"/>
      <c r="H36" s="69">
        <v>2.281021885573864E-2</v>
      </c>
      <c r="I36"/>
      <c r="J36" s="200">
        <v>2.2773724049329758E-2</v>
      </c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 s="28">
        <v>8.7661920115351677E-3</v>
      </c>
      <c r="AX36"/>
      <c r="AY36"/>
      <c r="AZ36"/>
      <c r="BA36"/>
      <c r="BB36"/>
      <c r="BC36"/>
      <c r="BD36"/>
      <c r="BE36"/>
      <c r="BF36"/>
      <c r="BG36"/>
      <c r="BH36"/>
      <c r="BI36"/>
      <c r="BJ36" s="182">
        <v>3.0463172122836113E-2</v>
      </c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0.61299997568130493</v>
      </c>
      <c r="C37">
        <v>0.18163762986660004</v>
      </c>
      <c r="D37" s="194">
        <v>0.2429378479719162</v>
      </c>
      <c r="E37"/>
      <c r="F37" s="200">
        <v>5.5480223149061203E-2</v>
      </c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 s="224">
        <v>9.427972137928009E-2</v>
      </c>
      <c r="BH37"/>
      <c r="BI37" s="68">
        <v>3.8664571940898895E-2</v>
      </c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0.65200001001358032</v>
      </c>
      <c r="C38">
        <v>0.61305713653564453</v>
      </c>
      <c r="D38" s="64">
        <v>3.6190476268529892E-2</v>
      </c>
      <c r="E38" s="12">
        <v>2.4285714607685804E-3</v>
      </c>
      <c r="F38"/>
      <c r="G38"/>
      <c r="H38" s="11">
        <v>3.2380953780375421E-4</v>
      </c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1.2899999618530273</v>
      </c>
      <c r="C39">
        <v>0.1288408637046814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 s="11">
        <v>9.0380694018676877E-4</v>
      </c>
      <c r="AC39"/>
      <c r="AD39"/>
      <c r="AE39"/>
      <c r="AF39"/>
      <c r="AG39"/>
      <c r="AH39"/>
      <c r="AI39" s="12">
        <v>6.1466912738978863E-3</v>
      </c>
      <c r="AJ39"/>
      <c r="AK39"/>
      <c r="AL39"/>
      <c r="AM39" s="212">
        <v>2.9569510370492935E-2</v>
      </c>
      <c r="AN39" s="11">
        <v>8.3118391921743751E-4</v>
      </c>
      <c r="AO39" s="11">
        <v>1.0497986804693937E-3</v>
      </c>
      <c r="AP39"/>
      <c r="AQ39" s="12">
        <v>5.2624992094933987E-3</v>
      </c>
      <c r="AR39" s="12">
        <v>5.7593677192926407E-3</v>
      </c>
      <c r="AS39" s="236">
        <v>0.16310425102710724</v>
      </c>
      <c r="AT39"/>
      <c r="AU39" s="18">
        <v>1.4035933651030064E-2</v>
      </c>
      <c r="AV39"/>
      <c r="AW39" s="11">
        <v>1.3611798931378871E-4</v>
      </c>
      <c r="AX39"/>
      <c r="AY39"/>
      <c r="AZ39"/>
      <c r="BA39"/>
      <c r="BB39" s="237">
        <v>0.56808328628540039</v>
      </c>
      <c r="BC39" s="204">
        <v>0.18919293582439423</v>
      </c>
      <c r="BD39"/>
      <c r="BE39"/>
      <c r="BF39"/>
      <c r="BG39" s="236">
        <v>0.16296085715293884</v>
      </c>
      <c r="BH39" s="22">
        <v>1.1358927004039288E-2</v>
      </c>
      <c r="BI39"/>
      <c r="BJ39" s="14">
        <v>2.7638643514364958E-3</v>
      </c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0.99699997901916504</v>
      </c>
      <c r="C40">
        <v>9.9664546549320221E-2</v>
      </c>
      <c r="D40" s="18">
        <v>1.2252446264028549E-2</v>
      </c>
      <c r="E40"/>
      <c r="F40" s="201">
        <v>0.24842026829719543</v>
      </c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 s="14">
        <v>1.7584231682121754E-3</v>
      </c>
      <c r="AJ40" s="29">
        <v>4.6167664229869843E-2</v>
      </c>
      <c r="AK40"/>
      <c r="AL40"/>
      <c r="AM40" s="213">
        <v>3.9977706968784332E-2</v>
      </c>
      <c r="AN40"/>
      <c r="AO40" s="14">
        <v>2.2772422526031733E-3</v>
      </c>
      <c r="AP40" s="22">
        <v>8.0798901617527008E-3</v>
      </c>
      <c r="AQ40" s="191">
        <v>6.8166390061378479E-2</v>
      </c>
      <c r="AR40" s="11">
        <v>3.729858435690403E-4</v>
      </c>
      <c r="AS40" s="68">
        <v>6.2950357794761658E-2</v>
      </c>
      <c r="AT40" s="213">
        <v>3.934985026717186E-2</v>
      </c>
      <c r="AU40" s="27">
        <v>7.7115282416343689E-2</v>
      </c>
      <c r="AV40"/>
      <c r="AW40"/>
      <c r="AX40"/>
      <c r="AY40"/>
      <c r="AZ40"/>
      <c r="BA40"/>
      <c r="BB40" s="143">
        <v>0.11829002946615219</v>
      </c>
      <c r="BC40" s="69">
        <v>9.1125957667827606E-2</v>
      </c>
      <c r="BD40"/>
      <c r="BE40" s="11">
        <v>6.932367105036974E-4</v>
      </c>
      <c r="BF40"/>
      <c r="BG40" s="202">
        <v>7.2357207536697388E-2</v>
      </c>
      <c r="BH40" s="14">
        <v>1.330643193796277E-3</v>
      </c>
      <c r="BI40" s="23">
        <v>6.2999804504215717E-3</v>
      </c>
      <c r="BJ40" s="11">
        <v>3.4976378083229065E-4</v>
      </c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1.2100000381469727</v>
      </c>
      <c r="C41">
        <v>0.12173935025930405</v>
      </c>
      <c r="D41"/>
      <c r="E41"/>
      <c r="F41" s="202">
        <v>8.7842471897602081E-2</v>
      </c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 s="148">
        <v>3.480805829167366E-2</v>
      </c>
      <c r="AC41"/>
      <c r="AD41"/>
      <c r="AE41"/>
      <c r="AF41"/>
      <c r="AG41"/>
      <c r="AH41"/>
      <c r="AI41" s="14">
        <v>2.0154672674834728E-3</v>
      </c>
      <c r="AJ41" s="72">
        <v>8.5154928267002106E-2</v>
      </c>
      <c r="AK41"/>
      <c r="AL41"/>
      <c r="AM41" s="215">
        <v>0.10395589470863342</v>
      </c>
      <c r="AN41" s="11">
        <v>7.9206722148228437E-5</v>
      </c>
      <c r="AO41" s="14">
        <v>3.0352729372680187E-3</v>
      </c>
      <c r="AP41" s="16">
        <v>1.8156357109546661E-2</v>
      </c>
      <c r="AQ41" s="65">
        <v>2.6004422456026077E-2</v>
      </c>
      <c r="AR41" s="11">
        <v>4.3130147969350219E-4</v>
      </c>
      <c r="AS41" s="180">
        <v>3.9309874176979065E-2</v>
      </c>
      <c r="AT41"/>
      <c r="AU41" s="228">
        <v>0.34630212187767029</v>
      </c>
      <c r="AV41"/>
      <c r="AW41"/>
      <c r="AX41"/>
      <c r="AY41"/>
      <c r="AZ41"/>
      <c r="BA41"/>
      <c r="BB41" s="221">
        <v>0.16780441999435425</v>
      </c>
      <c r="BC41" s="108">
        <v>0.14855463802814484</v>
      </c>
      <c r="BD41"/>
      <c r="BE41" s="11">
        <v>5.6725990725681186E-4</v>
      </c>
      <c r="BF41"/>
      <c r="BG41"/>
      <c r="BH41" s="15">
        <v>1.208491250872612E-2</v>
      </c>
      <c r="BI41" s="15">
        <v>1.2154051102697849E-2</v>
      </c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0.63899999856948853</v>
      </c>
      <c r="C42">
        <v>2.9628658667206764E-2</v>
      </c>
      <c r="D42" s="11">
        <v>5.3705164464190602E-4</v>
      </c>
      <c r="E42"/>
      <c r="F42" s="203">
        <v>5.6587506085634232E-2</v>
      </c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 s="12">
        <v>2.2693155333399773E-3</v>
      </c>
      <c r="AJ42" s="14">
        <v>1.750093069858849E-3</v>
      </c>
      <c r="AK42"/>
      <c r="AL42"/>
      <c r="AM42"/>
      <c r="AN42"/>
      <c r="AO42"/>
      <c r="AP42" s="13">
        <v>2.3279942572116852E-2</v>
      </c>
      <c r="AQ42" s="148">
        <v>1.8706373870372772E-2</v>
      </c>
      <c r="AR42" s="11">
        <v>4.7847049427218735E-4</v>
      </c>
      <c r="AS42"/>
      <c r="AT42"/>
      <c r="AU42" s="233">
        <v>0.3587663471698761</v>
      </c>
      <c r="AV42"/>
      <c r="AW42" s="29">
        <v>2.9662290588021278E-2</v>
      </c>
      <c r="AX42"/>
      <c r="AY42"/>
      <c r="AZ42"/>
      <c r="BA42"/>
      <c r="BB42"/>
      <c r="BC42" s="227">
        <v>0.10686331242322922</v>
      </c>
      <c r="BD42"/>
      <c r="BE42"/>
      <c r="BF42"/>
      <c r="BG42"/>
      <c r="BH42" s="14">
        <v>1.7276414437219501E-3</v>
      </c>
      <c r="BI42" s="17">
        <v>8.7430598214268684E-3</v>
      </c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0.3619999885559082</v>
      </c>
      <c r="C43">
        <v>0.21828450262546539</v>
      </c>
      <c r="D43" s="22">
        <v>2.6106627192348242E-3</v>
      </c>
      <c r="E43"/>
      <c r="F43" s="204">
        <v>5.308755487203598E-2</v>
      </c>
      <c r="G43"/>
      <c r="H43"/>
      <c r="I43"/>
      <c r="J43" s="22">
        <v>2.8491073753684759E-3</v>
      </c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 s="11">
        <v>1.4896225184202194E-4</v>
      </c>
      <c r="AN43"/>
      <c r="AO43" s="14">
        <v>8.1282062456011772E-4</v>
      </c>
      <c r="AP43" s="200">
        <v>3.2998688519001007E-2</v>
      </c>
      <c r="AQ43"/>
      <c r="AR43" s="25">
        <v>1.12118199467659E-2</v>
      </c>
      <c r="AS43"/>
      <c r="AT43" s="17">
        <v>4.8211622051894665E-3</v>
      </c>
      <c r="AU43"/>
      <c r="AV43"/>
      <c r="AW43"/>
      <c r="AX43"/>
      <c r="AY43"/>
      <c r="AZ43"/>
      <c r="BA43"/>
      <c r="BB43" s="21">
        <v>7.0480871945619583E-3</v>
      </c>
      <c r="BC43"/>
      <c r="BD43"/>
      <c r="BE43" s="14">
        <v>8.9444138575345278E-4</v>
      </c>
      <c r="BF43"/>
      <c r="BG43" s="66">
        <v>1.52109544724226E-2</v>
      </c>
      <c r="BH43" s="16">
        <v>5.8045927435159683E-3</v>
      </c>
      <c r="BI43" s="17">
        <v>5.1384726539254189E-3</v>
      </c>
      <c r="BJ43" s="12">
        <v>1.0781532619148493E-3</v>
      </c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0.39399999380111694</v>
      </c>
      <c r="C44">
        <v>3.939453512430191E-2</v>
      </c>
      <c r="D44" s="75">
        <v>3.6754261702299118E-2</v>
      </c>
      <c r="E44"/>
      <c r="F44" s="205">
        <v>0.2434142529964447</v>
      </c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 s="203">
        <v>3.5043958574533463E-2</v>
      </c>
      <c r="AQ44"/>
      <c r="AR44"/>
      <c r="AS44"/>
      <c r="AT44"/>
      <c r="AU44"/>
      <c r="AV44"/>
      <c r="AW44" s="24">
        <v>1.0626616887748241E-2</v>
      </c>
      <c r="AX44"/>
      <c r="AY44"/>
      <c r="AZ44"/>
      <c r="BA44"/>
      <c r="BB44"/>
      <c r="BC44"/>
      <c r="BD44"/>
      <c r="BE44" s="14">
        <v>6.2386522768065333E-4</v>
      </c>
      <c r="BF44"/>
      <c r="BG44" s="64">
        <v>2.1782783791422844E-2</v>
      </c>
      <c r="BH44"/>
      <c r="BI44" s="17">
        <v>5.7489047758281231E-3</v>
      </c>
      <c r="BJ44" s="14">
        <v>6.1082845786586404E-4</v>
      </c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0.42199999094009399</v>
      </c>
      <c r="C45">
        <v>0.4177478551864624</v>
      </c>
      <c r="D45" s="14">
        <v>1.0823819320648909E-3</v>
      </c>
      <c r="E45"/>
      <c r="F45" s="11">
        <v>2.6485099806450307E-4</v>
      </c>
      <c r="G45"/>
      <c r="H45" s="14">
        <v>5.2849267376586795E-4</v>
      </c>
      <c r="I45"/>
      <c r="J45" s="14">
        <v>1.0581946698948741E-3</v>
      </c>
      <c r="K45"/>
      <c r="L45" s="12">
        <v>1.318208291195333E-3</v>
      </c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0.23600000143051147</v>
      </c>
      <c r="C46">
        <v>0.15157946944236755</v>
      </c>
      <c r="D46"/>
      <c r="E46"/>
      <c r="F46"/>
      <c r="G46"/>
      <c r="H46"/>
      <c r="I46"/>
      <c r="J46"/>
      <c r="K46"/>
      <c r="L46" s="209">
        <v>5.4545454680919647E-2</v>
      </c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 s="211">
        <v>2.9875082895159721E-2</v>
      </c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7.0000000298023224E-2</v>
      </c>
      <c r="C47">
        <v>7.0000000298023224E-2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2.1930000782012939</v>
      </c>
      <c r="C48">
        <v>0.21906594932079315</v>
      </c>
      <c r="D48" s="195">
        <v>0.11753831803798676</v>
      </c>
      <c r="E48" s="15">
        <v>1.937461644411087E-2</v>
      </c>
      <c r="F48" s="11">
        <v>5.211526295170188E-4</v>
      </c>
      <c r="G48" s="11">
        <v>9.6873077563941479E-4</v>
      </c>
      <c r="H48" s="11">
        <v>2.7590434183366597E-4</v>
      </c>
      <c r="I48" s="14">
        <v>3.7400366272777319E-3</v>
      </c>
      <c r="J48" s="11">
        <v>2.5628448929637671E-4</v>
      </c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 s="108">
        <v>0.27243393659591675</v>
      </c>
      <c r="AC48"/>
      <c r="AD48"/>
      <c r="AE48"/>
      <c r="AF48"/>
      <c r="AG48"/>
      <c r="AH48" s="17">
        <v>2.9180694371461868E-2</v>
      </c>
      <c r="AI48"/>
      <c r="AJ48"/>
      <c r="AK48" s="219">
        <v>0.25903835892677307</v>
      </c>
      <c r="AL48"/>
      <c r="AM48" s="15">
        <v>2.0089352503418922E-2</v>
      </c>
      <c r="AN48" s="11">
        <v>1.051831291988492E-3</v>
      </c>
      <c r="AO48" s="14">
        <v>4.6191294677555561E-3</v>
      </c>
      <c r="AP48" s="11">
        <v>1.9209894817322493E-3</v>
      </c>
      <c r="AQ48" s="197">
        <v>0.1752932071685791</v>
      </c>
      <c r="AR48" s="180">
        <v>7.3785707354545593E-2</v>
      </c>
      <c r="AS48" s="18">
        <v>2.4367928504943848E-2</v>
      </c>
      <c r="AT48" s="22">
        <v>1.9338591024279594E-2</v>
      </c>
      <c r="AU48" s="226">
        <v>0.12509134411811829</v>
      </c>
      <c r="AV48"/>
      <c r="AW48" s="11">
        <v>7.7513087308034301E-4</v>
      </c>
      <c r="AX48"/>
      <c r="AY48"/>
      <c r="AZ48"/>
      <c r="BA48"/>
      <c r="BB48" s="229">
        <v>0.29114645719528198</v>
      </c>
      <c r="BC48" s="65">
        <v>4.7139432281255722E-2</v>
      </c>
      <c r="BD48"/>
      <c r="BE48" s="15">
        <v>2.0114043727517128E-2</v>
      </c>
      <c r="BF48"/>
      <c r="BG48" s="220">
        <v>0.30261248350143433</v>
      </c>
      <c r="BH48"/>
      <c r="BI48" s="72">
        <v>0.15569211542606354</v>
      </c>
      <c r="BJ48" s="12">
        <v>7.5683332979679108E-3</v>
      </c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0.40000000596046448</v>
      </c>
      <c r="C49">
        <v>0.38801342248916626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 s="148">
        <v>1.1986584402620792E-2</v>
      </c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0.40000000596046448</v>
      </c>
      <c r="C50">
        <v>0.35220426321029663</v>
      </c>
      <c r="D50"/>
      <c r="E50"/>
      <c r="F50" s="29">
        <v>1.857638917863369E-2</v>
      </c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 s="202">
        <v>2.9219340533018112E-2</v>
      </c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>
        <v>3.9999999105930328E-2</v>
      </c>
      <c r="C51">
        <v>2.9045803472399712E-2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 s="210">
        <v>1.0954196564853191E-2</v>
      </c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/>
      <c r="C52">
        <v>0.1043161153793335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 s="9">
        <v>1.7604556342121214E-4</v>
      </c>
      <c r="BF52"/>
      <c r="BG52"/>
      <c r="BH52" s="9">
        <v>1.9154166802763939E-2</v>
      </c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243</v>
      </c>
      <c r="B53"/>
      <c r="C53">
        <v>0.1853463351726532</v>
      </c>
      <c r="D53"/>
      <c r="E53"/>
      <c r="F53"/>
      <c r="G53"/>
      <c r="H53"/>
      <c r="I53"/>
      <c r="J53"/>
      <c r="K53"/>
      <c r="L53"/>
      <c r="M53"/>
      <c r="N53"/>
      <c r="O53" s="9">
        <v>32.831081390380859</v>
      </c>
      <c r="P53"/>
      <c r="Q53" s="9">
        <v>272.83999633789062</v>
      </c>
      <c r="R53" s="9">
        <v>3.5490000247955322</v>
      </c>
      <c r="S53" s="9">
        <v>33.859664916992188</v>
      </c>
      <c r="T53"/>
      <c r="U53" s="9">
        <v>44.870082855224609</v>
      </c>
      <c r="V53" s="9">
        <v>85.957427978515625</v>
      </c>
      <c r="W53" s="9">
        <v>3.3333332538604736</v>
      </c>
      <c r="X53" s="9">
        <v>51.266517639160156</v>
      </c>
      <c r="Y53" s="9">
        <v>1.9382116794586182</v>
      </c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244</v>
      </c>
      <c r="B54"/>
      <c r="C54">
        <v>0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39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72" t="s">
        <v>192</v>
      </c>
      <c r="E5">
        <v>4</v>
      </c>
      <c r="F5">
        <v>2</v>
      </c>
      <c r="G5">
        <v>4</v>
      </c>
      <c r="H5" s="173" t="s">
        <v>192</v>
      </c>
      <c r="J5" s="57"/>
      <c r="K5" s="58"/>
    </row>
    <row r="6" spans="1:12" ht="14" thickBot="1" x14ac:dyDescent="0.2">
      <c r="A6" s="41" t="s">
        <v>121</v>
      </c>
      <c r="D6" s="172" t="s">
        <v>193</v>
      </c>
      <c r="E6">
        <v>5</v>
      </c>
      <c r="F6">
        <v>3.14</v>
      </c>
      <c r="G6">
        <v>5</v>
      </c>
      <c r="H6" s="173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72" t="s">
        <v>194</v>
      </c>
      <c r="E7">
        <v>6</v>
      </c>
      <c r="F7">
        <v>3.11</v>
      </c>
      <c r="G7">
        <v>6</v>
      </c>
      <c r="H7" s="173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72" t="s">
        <v>195</v>
      </c>
      <c r="E8">
        <v>7</v>
      </c>
      <c r="F8">
        <v>3.11</v>
      </c>
      <c r="G8">
        <v>7</v>
      </c>
      <c r="H8" s="173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72" t="s">
        <v>196</v>
      </c>
      <c r="E9">
        <v>8</v>
      </c>
      <c r="F9">
        <v>3.21</v>
      </c>
      <c r="G9">
        <v>8</v>
      </c>
      <c r="H9" s="173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72" t="s">
        <v>197</v>
      </c>
      <c r="E10">
        <v>9</v>
      </c>
      <c r="F10">
        <v>3.21</v>
      </c>
      <c r="G10">
        <v>9</v>
      </c>
      <c r="H10" s="173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72" t="s">
        <v>198</v>
      </c>
      <c r="E11">
        <v>10</v>
      </c>
      <c r="F11">
        <v>3</v>
      </c>
      <c r="G11">
        <v>10</v>
      </c>
      <c r="H11" s="173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72" t="s">
        <v>199</v>
      </c>
      <c r="E12">
        <v>11</v>
      </c>
      <c r="F12">
        <v>3.21</v>
      </c>
      <c r="G12">
        <v>11</v>
      </c>
      <c r="H12" s="173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72" t="s">
        <v>200</v>
      </c>
      <c r="E13">
        <v>12</v>
      </c>
      <c r="F13">
        <v>3.21</v>
      </c>
      <c r="G13">
        <v>12</v>
      </c>
      <c r="H13" s="173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72" t="s">
        <v>201</v>
      </c>
      <c r="E14">
        <v>13</v>
      </c>
      <c r="F14">
        <v>3.21</v>
      </c>
      <c r="G14">
        <v>13</v>
      </c>
      <c r="H14" s="173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72" t="s">
        <v>202</v>
      </c>
      <c r="E15">
        <v>14</v>
      </c>
      <c r="F15">
        <v>3.21</v>
      </c>
      <c r="G15">
        <v>14</v>
      </c>
      <c r="H15" s="173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72" t="s">
        <v>203</v>
      </c>
      <c r="E16">
        <v>15</v>
      </c>
      <c r="F16">
        <v>3.21</v>
      </c>
      <c r="G16">
        <v>15</v>
      </c>
      <c r="H16" s="173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72" t="s">
        <v>204</v>
      </c>
      <c r="E17">
        <v>16</v>
      </c>
      <c r="F17">
        <v>3.21</v>
      </c>
      <c r="G17">
        <v>16</v>
      </c>
      <c r="H17" s="173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72" t="s">
        <v>205</v>
      </c>
      <c r="E18">
        <v>17</v>
      </c>
      <c r="F18">
        <v>3.21</v>
      </c>
      <c r="G18">
        <v>17</v>
      </c>
      <c r="H18" s="173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72" t="s">
        <v>206</v>
      </c>
      <c r="E19">
        <v>18</v>
      </c>
      <c r="F19">
        <v>3.2</v>
      </c>
      <c r="G19">
        <v>18</v>
      </c>
      <c r="H19" s="173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72" t="s">
        <v>207</v>
      </c>
      <c r="E20">
        <v>19</v>
      </c>
      <c r="F20">
        <v>3.22</v>
      </c>
      <c r="G20">
        <v>19</v>
      </c>
      <c r="H20" s="173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72" t="s">
        <v>208</v>
      </c>
      <c r="E21">
        <v>20</v>
      </c>
      <c r="F21">
        <v>3.12</v>
      </c>
      <c r="G21">
        <v>20</v>
      </c>
      <c r="H21" s="173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72" t="s">
        <v>209</v>
      </c>
      <c r="E22">
        <v>21</v>
      </c>
      <c r="F22">
        <v>3.22</v>
      </c>
      <c r="G22">
        <v>21</v>
      </c>
      <c r="H22" s="173" t="s">
        <v>209</v>
      </c>
    </row>
    <row r="23" spans="1:12" x14ac:dyDescent="0.15">
      <c r="A23" s="36" t="s">
        <v>129</v>
      </c>
      <c r="B23" s="44">
        <v>4</v>
      </c>
      <c r="C23" s="38"/>
      <c r="D23" s="172" t="s">
        <v>210</v>
      </c>
      <c r="E23">
        <v>22</v>
      </c>
      <c r="F23">
        <v>3.22</v>
      </c>
      <c r="G23">
        <v>22</v>
      </c>
      <c r="H23" s="173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72" t="s">
        <v>211</v>
      </c>
      <c r="E24">
        <v>23</v>
      </c>
      <c r="F24">
        <v>3.22</v>
      </c>
      <c r="G24">
        <v>23</v>
      </c>
      <c r="H24" s="173" t="s">
        <v>211</v>
      </c>
    </row>
    <row r="25" spans="1:12" x14ac:dyDescent="0.15">
      <c r="A25" s="36" t="s">
        <v>70</v>
      </c>
      <c r="B25" s="44">
        <v>4.2</v>
      </c>
      <c r="C25" s="38"/>
      <c r="D25" s="172" t="s">
        <v>212</v>
      </c>
      <c r="E25">
        <v>24</v>
      </c>
      <c r="F25">
        <v>3.22</v>
      </c>
      <c r="G25">
        <v>24</v>
      </c>
      <c r="H25" s="173" t="s">
        <v>212</v>
      </c>
    </row>
    <row r="26" spans="1:12" x14ac:dyDescent="0.15">
      <c r="A26" s="36" t="s">
        <v>123</v>
      </c>
      <c r="B26" s="44">
        <v>4.3</v>
      </c>
      <c r="C26" s="38"/>
      <c r="D26" s="172" t="s">
        <v>213</v>
      </c>
      <c r="E26">
        <v>25</v>
      </c>
      <c r="F26">
        <v>3.22</v>
      </c>
      <c r="G26">
        <v>25</v>
      </c>
      <c r="H26" s="173" t="s">
        <v>213</v>
      </c>
    </row>
    <row r="27" spans="1:12" x14ac:dyDescent="0.15">
      <c r="A27" s="36" t="s">
        <v>125</v>
      </c>
      <c r="B27" s="44">
        <v>6.1</v>
      </c>
      <c r="D27" s="172" t="s">
        <v>214</v>
      </c>
      <c r="E27">
        <v>26</v>
      </c>
      <c r="F27">
        <v>3.22</v>
      </c>
      <c r="G27">
        <v>26</v>
      </c>
      <c r="H27" s="173" t="s">
        <v>214</v>
      </c>
    </row>
    <row r="28" spans="1:12" x14ac:dyDescent="0.15">
      <c r="A28" s="36" t="s">
        <v>124</v>
      </c>
      <c r="B28" s="44">
        <v>6.2</v>
      </c>
      <c r="D28" s="172" t="s">
        <v>215</v>
      </c>
      <c r="E28">
        <v>27</v>
      </c>
      <c r="F28">
        <v>3.22</v>
      </c>
      <c r="G28">
        <v>27</v>
      </c>
      <c r="H28" s="173" t="s">
        <v>215</v>
      </c>
    </row>
    <row r="29" spans="1:12" x14ac:dyDescent="0.15">
      <c r="A29" s="36" t="s">
        <v>44</v>
      </c>
      <c r="B29" s="44">
        <v>5</v>
      </c>
      <c r="D29" s="172" t="s">
        <v>216</v>
      </c>
      <c r="E29">
        <v>28</v>
      </c>
      <c r="F29">
        <v>3.22</v>
      </c>
      <c r="G29">
        <v>28</v>
      </c>
      <c r="H29" s="173" t="s">
        <v>216</v>
      </c>
    </row>
    <row r="30" spans="1:12" x14ac:dyDescent="0.15">
      <c r="A30" s="36" t="s">
        <v>73</v>
      </c>
      <c r="B30" s="44">
        <v>7</v>
      </c>
      <c r="D30" s="172" t="s">
        <v>217</v>
      </c>
      <c r="E30">
        <v>29</v>
      </c>
      <c r="F30">
        <v>3.12</v>
      </c>
      <c r="G30">
        <v>29</v>
      </c>
      <c r="H30" s="173" t="s">
        <v>217</v>
      </c>
    </row>
    <row r="31" spans="1:12" x14ac:dyDescent="0.15">
      <c r="A31" s="36" t="s">
        <v>169</v>
      </c>
      <c r="B31" s="44">
        <v>3.14</v>
      </c>
      <c r="D31" s="172" t="s">
        <v>218</v>
      </c>
      <c r="E31">
        <v>30</v>
      </c>
      <c r="F31">
        <v>3.12</v>
      </c>
      <c r="G31">
        <v>30</v>
      </c>
      <c r="H31" s="173" t="s">
        <v>218</v>
      </c>
    </row>
    <row r="32" spans="1:12" ht="12" customHeight="1" thickBot="1" x14ac:dyDescent="0.2">
      <c r="A32" s="42" t="s">
        <v>170</v>
      </c>
      <c r="B32" s="45">
        <v>9</v>
      </c>
      <c r="D32" s="172" t="s">
        <v>219</v>
      </c>
      <c r="E32">
        <v>31</v>
      </c>
      <c r="F32">
        <v>3.22</v>
      </c>
      <c r="G32">
        <v>31</v>
      </c>
      <c r="H32" s="173" t="s">
        <v>219</v>
      </c>
    </row>
    <row r="33" spans="4:8" customFormat="1" ht="12" customHeight="1" x14ac:dyDescent="0.15">
      <c r="D33" s="172" t="s">
        <v>220</v>
      </c>
      <c r="E33">
        <v>32</v>
      </c>
      <c r="F33">
        <v>3.22</v>
      </c>
      <c r="G33">
        <v>32</v>
      </c>
      <c r="H33" s="173" t="s">
        <v>220</v>
      </c>
    </row>
    <row r="34" spans="4:8" customFormat="1" ht="12" customHeight="1" x14ac:dyDescent="0.15">
      <c r="D34" s="172" t="s">
        <v>221</v>
      </c>
      <c r="E34">
        <v>33</v>
      </c>
      <c r="F34">
        <v>3.12</v>
      </c>
      <c r="G34">
        <v>33</v>
      </c>
      <c r="H34" s="173" t="s">
        <v>221</v>
      </c>
    </row>
    <row r="35" spans="4:8" customFormat="1" x14ac:dyDescent="0.15">
      <c r="D35" s="172" t="s">
        <v>222</v>
      </c>
      <c r="E35">
        <v>34</v>
      </c>
      <c r="F35">
        <v>3.22</v>
      </c>
      <c r="G35">
        <v>34</v>
      </c>
      <c r="H35" s="173" t="s">
        <v>222</v>
      </c>
    </row>
    <row r="36" spans="4:8" customFormat="1" x14ac:dyDescent="0.15">
      <c r="D36" s="172" t="s">
        <v>223</v>
      </c>
      <c r="E36">
        <v>35</v>
      </c>
      <c r="F36">
        <v>3.22</v>
      </c>
      <c r="G36">
        <v>35</v>
      </c>
      <c r="H36" s="173" t="s">
        <v>223</v>
      </c>
    </row>
    <row r="37" spans="4:8" customFormat="1" ht="12" customHeight="1" x14ac:dyDescent="0.15">
      <c r="D37" s="172" t="s">
        <v>224</v>
      </c>
      <c r="E37">
        <v>36</v>
      </c>
      <c r="F37">
        <v>3.22</v>
      </c>
      <c r="G37">
        <v>36</v>
      </c>
      <c r="H37" s="173" t="s">
        <v>224</v>
      </c>
    </row>
    <row r="38" spans="4:8" customFormat="1" x14ac:dyDescent="0.15">
      <c r="D38" s="172" t="s">
        <v>225</v>
      </c>
      <c r="E38">
        <v>37</v>
      </c>
      <c r="F38">
        <v>3.22</v>
      </c>
      <c r="G38">
        <v>37</v>
      </c>
      <c r="H38" s="173" t="s">
        <v>225</v>
      </c>
    </row>
    <row r="39" spans="4:8" customFormat="1" x14ac:dyDescent="0.15">
      <c r="D39" s="172" t="s">
        <v>226</v>
      </c>
      <c r="E39">
        <v>38</v>
      </c>
      <c r="F39">
        <v>3</v>
      </c>
      <c r="G39">
        <v>38</v>
      </c>
      <c r="H39" s="173" t="s">
        <v>226</v>
      </c>
    </row>
    <row r="40" spans="4:8" customFormat="1" x14ac:dyDescent="0.15">
      <c r="D40" s="172" t="s">
        <v>227</v>
      </c>
      <c r="E40">
        <v>39</v>
      </c>
      <c r="F40">
        <v>3.22</v>
      </c>
      <c r="G40">
        <v>39</v>
      </c>
      <c r="H40" s="173" t="s">
        <v>227</v>
      </c>
    </row>
    <row r="41" spans="4:8" customFormat="1" x14ac:dyDescent="0.15">
      <c r="D41" s="172" t="s">
        <v>228</v>
      </c>
      <c r="E41">
        <v>40</v>
      </c>
      <c r="F41">
        <v>3.22</v>
      </c>
      <c r="G41">
        <v>40</v>
      </c>
      <c r="H41" s="173" t="s">
        <v>228</v>
      </c>
    </row>
    <row r="42" spans="4:8" customFormat="1" x14ac:dyDescent="0.15">
      <c r="D42" s="172" t="s">
        <v>229</v>
      </c>
      <c r="E42">
        <v>41</v>
      </c>
      <c r="F42">
        <v>3.12</v>
      </c>
      <c r="G42">
        <v>41</v>
      </c>
      <c r="H42" s="173" t="s">
        <v>229</v>
      </c>
    </row>
    <row r="43" spans="4:8" customFormat="1" x14ac:dyDescent="0.15">
      <c r="D43" s="172" t="s">
        <v>230</v>
      </c>
      <c r="E43">
        <v>42</v>
      </c>
      <c r="F43">
        <v>3.12</v>
      </c>
      <c r="G43">
        <v>42</v>
      </c>
      <c r="H43" s="173" t="s">
        <v>230</v>
      </c>
    </row>
    <row r="44" spans="4:8" customFormat="1" x14ac:dyDescent="0.15">
      <c r="D44" s="172" t="s">
        <v>231</v>
      </c>
      <c r="E44">
        <v>43</v>
      </c>
      <c r="F44">
        <v>3.12</v>
      </c>
      <c r="G44">
        <v>43</v>
      </c>
      <c r="H44" s="173" t="s">
        <v>231</v>
      </c>
    </row>
    <row r="45" spans="4:8" customFormat="1" x14ac:dyDescent="0.15">
      <c r="D45" s="172" t="s">
        <v>232</v>
      </c>
      <c r="E45">
        <v>44</v>
      </c>
      <c r="F45">
        <v>3.12</v>
      </c>
      <c r="G45">
        <v>44</v>
      </c>
      <c r="H45" s="173" t="s">
        <v>232</v>
      </c>
    </row>
    <row r="46" spans="4:8" customFormat="1" x14ac:dyDescent="0.15">
      <c r="D46" s="172" t="s">
        <v>233</v>
      </c>
      <c r="E46">
        <v>45</v>
      </c>
      <c r="F46">
        <v>3.12</v>
      </c>
      <c r="G46">
        <v>45</v>
      </c>
      <c r="H46" s="173" t="s">
        <v>233</v>
      </c>
    </row>
    <row r="47" spans="4:8" customFormat="1" x14ac:dyDescent="0.15">
      <c r="D47" s="172" t="s">
        <v>234</v>
      </c>
      <c r="E47">
        <v>46</v>
      </c>
      <c r="F47">
        <v>3.12</v>
      </c>
      <c r="G47">
        <v>46</v>
      </c>
      <c r="H47" s="173" t="s">
        <v>234</v>
      </c>
    </row>
    <row r="48" spans="4:8" customFormat="1" x14ac:dyDescent="0.15">
      <c r="D48" s="172" t="s">
        <v>235</v>
      </c>
      <c r="E48">
        <v>47</v>
      </c>
      <c r="F48">
        <v>3.12</v>
      </c>
      <c r="G48">
        <v>47</v>
      </c>
      <c r="H48" s="173" t="s">
        <v>235</v>
      </c>
    </row>
    <row r="49" spans="4:8" customFormat="1" x14ac:dyDescent="0.15">
      <c r="D49" s="172" t="s">
        <v>236</v>
      </c>
      <c r="E49">
        <v>48</v>
      </c>
      <c r="F49">
        <v>3.12</v>
      </c>
      <c r="G49">
        <v>48</v>
      </c>
      <c r="H49" s="173" t="s">
        <v>236</v>
      </c>
    </row>
    <row r="50" spans="4:8" customFormat="1" ht="12" customHeight="1" x14ac:dyDescent="0.15">
      <c r="D50" s="172" t="s">
        <v>237</v>
      </c>
      <c r="E50">
        <v>49</v>
      </c>
      <c r="F50">
        <v>3.12</v>
      </c>
      <c r="G50">
        <v>49</v>
      </c>
      <c r="H50" s="173" t="s">
        <v>237</v>
      </c>
    </row>
    <row r="51" spans="4:8" customFormat="1" x14ac:dyDescent="0.15">
      <c r="D51" s="172" t="s">
        <v>238</v>
      </c>
      <c r="E51">
        <v>50</v>
      </c>
      <c r="F51">
        <v>3.12</v>
      </c>
      <c r="G51">
        <v>50</v>
      </c>
      <c r="H51" s="173" t="s">
        <v>238</v>
      </c>
    </row>
    <row r="52" spans="4:8" customFormat="1" ht="12" customHeight="1" x14ac:dyDescent="0.15">
      <c r="D52" s="172" t="s">
        <v>239</v>
      </c>
      <c r="E52">
        <v>51</v>
      </c>
      <c r="F52">
        <v>3.13</v>
      </c>
      <c r="G52">
        <v>51</v>
      </c>
      <c r="H52" s="173" t="s">
        <v>239</v>
      </c>
    </row>
    <row r="53" spans="4:8" customFormat="1" x14ac:dyDescent="0.15">
      <c r="D53" s="172" t="s">
        <v>240</v>
      </c>
      <c r="E53">
        <v>52</v>
      </c>
      <c r="F53">
        <v>3.13</v>
      </c>
      <c r="G53">
        <v>52</v>
      </c>
      <c r="H53" s="173" t="s">
        <v>240</v>
      </c>
    </row>
    <row r="54" spans="4:8" customFormat="1" ht="12" customHeight="1" x14ac:dyDescent="0.15">
      <c r="D54" s="172" t="s">
        <v>241</v>
      </c>
      <c r="E54">
        <v>53</v>
      </c>
      <c r="F54">
        <v>3.13</v>
      </c>
      <c r="G54">
        <v>53</v>
      </c>
      <c r="H54" s="173" t="s">
        <v>241</v>
      </c>
    </row>
    <row r="55" spans="4:8" customFormat="1" ht="12" customHeight="1" x14ac:dyDescent="0.15">
      <c r="D55" s="172" t="s">
        <v>242</v>
      </c>
      <c r="E55">
        <v>54</v>
      </c>
      <c r="F55">
        <v>4.2</v>
      </c>
      <c r="G55">
        <v>54</v>
      </c>
      <c r="H55" s="173" t="s">
        <v>242</v>
      </c>
    </row>
    <row r="56" spans="4:8" customFormat="1" x14ac:dyDescent="0.15">
      <c r="D56" s="172" t="s">
        <v>243</v>
      </c>
      <c r="E56">
        <v>55</v>
      </c>
      <c r="F56">
        <v>4.0999999999999996</v>
      </c>
      <c r="G56">
        <v>55</v>
      </c>
      <c r="H56" s="173" t="s">
        <v>243</v>
      </c>
    </row>
    <row r="57" spans="4:8" customFormat="1" x14ac:dyDescent="0.15">
      <c r="D57" s="172" t="s">
        <v>244</v>
      </c>
      <c r="E57">
        <v>56</v>
      </c>
      <c r="F57">
        <v>4.3</v>
      </c>
      <c r="G57">
        <v>56</v>
      </c>
      <c r="H57" s="173" t="s">
        <v>244</v>
      </c>
    </row>
    <row r="58" spans="4:8" customFormat="1" x14ac:dyDescent="0.15">
      <c r="D58" s="172" t="s">
        <v>245</v>
      </c>
      <c r="E58">
        <v>57</v>
      </c>
      <c r="F58">
        <v>5</v>
      </c>
      <c r="G58">
        <v>57</v>
      </c>
      <c r="H58" s="173" t="s">
        <v>245</v>
      </c>
    </row>
    <row r="59" spans="4:8" customFormat="1" x14ac:dyDescent="0.15">
      <c r="D59" s="172" t="s">
        <v>246</v>
      </c>
      <c r="E59">
        <v>58</v>
      </c>
      <c r="F59">
        <v>5</v>
      </c>
      <c r="G59">
        <v>58</v>
      </c>
      <c r="H59" s="173" t="s">
        <v>246</v>
      </c>
    </row>
    <row r="60" spans="4:8" customFormat="1" x14ac:dyDescent="0.15">
      <c r="D60" s="172" t="s">
        <v>247</v>
      </c>
      <c r="E60">
        <v>59</v>
      </c>
      <c r="F60">
        <v>5</v>
      </c>
      <c r="G60">
        <v>59</v>
      </c>
      <c r="H60" s="173" t="s">
        <v>247</v>
      </c>
    </row>
    <row r="61" spans="4:8" customFormat="1" x14ac:dyDescent="0.15">
      <c r="D61" s="172" t="s">
        <v>248</v>
      </c>
      <c r="E61">
        <v>60</v>
      </c>
      <c r="F61">
        <v>5</v>
      </c>
      <c r="G61">
        <v>60</v>
      </c>
      <c r="H61" s="173" t="s">
        <v>248</v>
      </c>
    </row>
    <row r="62" spans="4:8" customFormat="1" x14ac:dyDescent="0.15">
      <c r="D62" s="172" t="s">
        <v>249</v>
      </c>
      <c r="E62">
        <v>61</v>
      </c>
      <c r="F62">
        <v>5</v>
      </c>
      <c r="G62">
        <v>61</v>
      </c>
      <c r="H62" s="173" t="s">
        <v>249</v>
      </c>
    </row>
    <row r="63" spans="4:8" customFormat="1" x14ac:dyDescent="0.15">
      <c r="D63" s="172" t="s">
        <v>250</v>
      </c>
      <c r="E63">
        <v>62</v>
      </c>
      <c r="F63">
        <v>5</v>
      </c>
      <c r="G63">
        <v>62</v>
      </c>
      <c r="H63" s="173" t="s">
        <v>250</v>
      </c>
    </row>
    <row r="64" spans="4:8" customFormat="1" x14ac:dyDescent="0.15">
      <c r="D64" s="172" t="s">
        <v>251</v>
      </c>
      <c r="E64">
        <v>63</v>
      </c>
      <c r="F64">
        <v>5</v>
      </c>
      <c r="G64">
        <v>63</v>
      </c>
      <c r="H64" s="173" t="s">
        <v>251</v>
      </c>
    </row>
    <row r="65" spans="4:8" customFormat="1" x14ac:dyDescent="0.15">
      <c r="D65" s="172" t="s">
        <v>252</v>
      </c>
      <c r="E65">
        <v>64</v>
      </c>
      <c r="F65">
        <v>5</v>
      </c>
      <c r="G65">
        <v>64</v>
      </c>
      <c r="H65" s="173" t="s">
        <v>252</v>
      </c>
    </row>
    <row r="66" spans="4:8" customFormat="1" x14ac:dyDescent="0.15">
      <c r="D66" s="172" t="s">
        <v>253</v>
      </c>
      <c r="E66">
        <v>65</v>
      </c>
      <c r="F66">
        <v>5</v>
      </c>
      <c r="G66">
        <v>65</v>
      </c>
      <c r="H66" s="173" t="s">
        <v>253</v>
      </c>
    </row>
    <row r="67" spans="4:8" customFormat="1" x14ac:dyDescent="0.15">
      <c r="D67" s="172" t="s">
        <v>138</v>
      </c>
      <c r="E67">
        <v>66</v>
      </c>
      <c r="F67">
        <v>6.1</v>
      </c>
      <c r="G67">
        <v>66</v>
      </c>
      <c r="H67" s="173" t="s">
        <v>138</v>
      </c>
    </row>
    <row r="68" spans="4:8" customFormat="1" x14ac:dyDescent="0.15">
      <c r="D68" s="172" t="s">
        <v>45</v>
      </c>
      <c r="E68">
        <v>67</v>
      </c>
      <c r="F68">
        <v>6.2</v>
      </c>
      <c r="G68">
        <v>67</v>
      </c>
      <c r="H68" s="173" t="s">
        <v>45</v>
      </c>
    </row>
    <row r="69" spans="4:8" customFormat="1" x14ac:dyDescent="0.15"/>
    <row r="70" spans="4:8" customFormat="1" x14ac:dyDescent="0.15"/>
    <row r="71" spans="4:8" customFormat="1" x14ac:dyDescent="0.15"/>
    <row r="72" spans="4:8" customFormat="1" x14ac:dyDescent="0.15"/>
    <row r="73" spans="4:8" customFormat="1" x14ac:dyDescent="0.15"/>
    <row r="74" spans="4:8" customFormat="1" x14ac:dyDescent="0.15"/>
    <row r="75" spans="4:8" customFormat="1" x14ac:dyDescent="0.15"/>
    <row r="76" spans="4:8" customFormat="1" x14ac:dyDescent="0.15"/>
    <row r="77" spans="4:8" customFormat="1" x14ac:dyDescent="0.15"/>
    <row r="78" spans="4:8" customFormat="1" x14ac:dyDescent="0.15"/>
    <row r="79" spans="4:8" customFormat="1" x14ac:dyDescent="0.15"/>
    <row r="80" spans="4:8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5" bestFit="1" customWidth="1"/>
    <col min="2" max="2" width="5.83203125" style="84" customWidth="1"/>
    <col min="3" max="3" width="14.83203125" style="84" customWidth="1"/>
    <col min="4" max="4" width="39.6640625" style="84" customWidth="1"/>
    <col min="5" max="5" width="8.1640625" style="84" customWidth="1"/>
    <col min="6" max="6" width="21.6640625" style="84" bestFit="1" customWidth="1"/>
    <col min="7" max="9" width="2.33203125" style="84" customWidth="1"/>
    <col min="10" max="10" width="2.33203125" style="84" bestFit="1" customWidth="1"/>
    <col min="11" max="15" width="2.33203125" style="84" customWidth="1"/>
    <col min="16" max="16" width="2.33203125" style="73" customWidth="1"/>
    <col min="17" max="17" width="2.33203125" style="84" customWidth="1"/>
    <col min="18" max="18" width="2.33203125" style="74" customWidth="1"/>
    <col min="19" max="16384" width="11.5" style="84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6" t="s">
        <v>48</v>
      </c>
      <c r="L1" s="74"/>
      <c r="M1" s="86" t="s">
        <v>119</v>
      </c>
      <c r="N1" s="74"/>
      <c r="O1" s="86" t="s">
        <v>49</v>
      </c>
      <c r="P1" s="77"/>
      <c r="Q1" s="86" t="s">
        <v>50</v>
      </c>
      <c r="R1" s="71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1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1">
        <v>0</v>
      </c>
      <c r="R4" s="113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1">
        <v>0</v>
      </c>
      <c r="R5" s="113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174" t="s">
        <v>192</v>
      </c>
      <c r="G6" s="84">
        <v>0</v>
      </c>
      <c r="H6" s="84">
        <v>0</v>
      </c>
      <c r="I6" s="84">
        <v>0</v>
      </c>
      <c r="J6" s="84">
        <v>0</v>
      </c>
      <c r="K6" s="84">
        <v>0</v>
      </c>
      <c r="L6" s="84">
        <v>0</v>
      </c>
      <c r="M6" s="84">
        <v>1</v>
      </c>
      <c r="N6" s="84">
        <v>0</v>
      </c>
      <c r="O6" s="84">
        <v>0</v>
      </c>
      <c r="P6" s="73">
        <v>0</v>
      </c>
      <c r="Q6" s="84">
        <v>0</v>
      </c>
      <c r="R6" s="74">
        <v>1</v>
      </c>
      <c r="S6"/>
      <c r="T6"/>
    </row>
    <row r="7" spans="1:23" ht="15" customHeight="1" thickBot="1" x14ac:dyDescent="0.2">
      <c r="F7" s="174" t="s">
        <v>193</v>
      </c>
      <c r="G7" s="84">
        <v>0</v>
      </c>
      <c r="H7" s="84">
        <v>0</v>
      </c>
      <c r="I7" s="84">
        <v>0</v>
      </c>
      <c r="J7" s="84">
        <v>0</v>
      </c>
      <c r="K7" s="84">
        <v>1</v>
      </c>
      <c r="L7" s="84">
        <v>0</v>
      </c>
      <c r="M7" s="84">
        <v>1</v>
      </c>
      <c r="N7" s="84">
        <v>0</v>
      </c>
      <c r="O7" s="84">
        <v>1</v>
      </c>
      <c r="P7" s="73">
        <v>0</v>
      </c>
      <c r="Q7" s="84">
        <v>0</v>
      </c>
      <c r="R7" s="74">
        <v>1</v>
      </c>
      <c r="S7"/>
      <c r="T7"/>
    </row>
    <row r="8" spans="1:23" ht="15" customHeight="1" x14ac:dyDescent="0.15">
      <c r="A8" s="86" t="s">
        <v>56</v>
      </c>
      <c r="B8" s="93">
        <v>1</v>
      </c>
      <c r="C8" s="175" t="s">
        <v>192</v>
      </c>
      <c r="D8" s="88" t="s">
        <v>160</v>
      </c>
      <c r="F8" s="174" t="s">
        <v>194</v>
      </c>
      <c r="G8" s="84">
        <v>0</v>
      </c>
      <c r="H8" s="84">
        <v>0</v>
      </c>
      <c r="I8" s="84">
        <v>0</v>
      </c>
      <c r="J8" s="84">
        <v>0</v>
      </c>
      <c r="K8" s="84">
        <v>1</v>
      </c>
      <c r="L8" s="84">
        <v>0</v>
      </c>
      <c r="M8" s="84">
        <v>1</v>
      </c>
      <c r="N8" s="84">
        <v>0</v>
      </c>
      <c r="O8" s="84">
        <v>1</v>
      </c>
      <c r="P8" s="73">
        <v>0</v>
      </c>
      <c r="Q8" s="84">
        <v>0</v>
      </c>
      <c r="R8" s="74">
        <v>1</v>
      </c>
      <c r="S8"/>
      <c r="T8"/>
      <c r="W8"/>
    </row>
    <row r="9" spans="1:23" ht="15" customHeight="1" x14ac:dyDescent="0.15">
      <c r="A9" s="127" t="s">
        <v>168</v>
      </c>
      <c r="B9" s="95"/>
      <c r="C9" s="83"/>
      <c r="D9" s="88" t="s">
        <v>160</v>
      </c>
      <c r="F9" s="174" t="s">
        <v>195</v>
      </c>
      <c r="G9" s="84">
        <v>0</v>
      </c>
      <c r="H9" s="84">
        <v>0</v>
      </c>
      <c r="I9" s="84">
        <v>0</v>
      </c>
      <c r="J9" s="84">
        <v>0</v>
      </c>
      <c r="K9" s="84">
        <v>1</v>
      </c>
      <c r="L9" s="84">
        <v>0</v>
      </c>
      <c r="M9" s="84">
        <v>1</v>
      </c>
      <c r="N9" s="84">
        <v>0</v>
      </c>
      <c r="O9" s="84">
        <v>1</v>
      </c>
      <c r="P9" s="73">
        <v>0</v>
      </c>
      <c r="Q9" s="84">
        <v>0</v>
      </c>
      <c r="R9" s="74">
        <v>1</v>
      </c>
      <c r="S9"/>
      <c r="T9"/>
      <c r="W9"/>
    </row>
    <row r="10" spans="1:23" ht="15" customHeight="1" x14ac:dyDescent="0.15">
      <c r="B10" s="95"/>
      <c r="C10" s="83"/>
      <c r="D10" s="88" t="s">
        <v>160</v>
      </c>
      <c r="F10" s="174" t="s">
        <v>196</v>
      </c>
      <c r="G10" s="84">
        <v>0</v>
      </c>
      <c r="H10" s="84">
        <v>0</v>
      </c>
      <c r="I10" s="84">
        <v>0</v>
      </c>
      <c r="J10" s="84">
        <v>0</v>
      </c>
      <c r="K10" s="84">
        <v>1</v>
      </c>
      <c r="L10" s="84">
        <v>0</v>
      </c>
      <c r="M10" s="84">
        <v>1</v>
      </c>
      <c r="N10" s="84">
        <v>0</v>
      </c>
      <c r="O10" s="84">
        <v>1</v>
      </c>
      <c r="P10" s="73">
        <v>0</v>
      </c>
      <c r="Q10" s="84">
        <v>0</v>
      </c>
      <c r="R10" s="74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174" t="s">
        <v>197</v>
      </c>
      <c r="G11" s="84">
        <v>0</v>
      </c>
      <c r="H11" s="84">
        <v>0</v>
      </c>
      <c r="I11" s="84">
        <v>0</v>
      </c>
      <c r="J11" s="84">
        <v>0</v>
      </c>
      <c r="K11" s="84">
        <v>1</v>
      </c>
      <c r="L11" s="84">
        <v>0</v>
      </c>
      <c r="M11" s="84">
        <v>1</v>
      </c>
      <c r="N11" s="84">
        <v>0</v>
      </c>
      <c r="O11" s="84">
        <v>1</v>
      </c>
      <c r="P11" s="73">
        <v>0</v>
      </c>
      <c r="Q11" s="84">
        <v>0</v>
      </c>
      <c r="R11" s="74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174" t="s">
        <v>198</v>
      </c>
      <c r="G12" s="84">
        <v>0</v>
      </c>
      <c r="H12" s="84">
        <v>0</v>
      </c>
      <c r="I12" s="84">
        <v>0</v>
      </c>
      <c r="J12" s="84">
        <v>0</v>
      </c>
      <c r="K12" s="84">
        <v>1</v>
      </c>
      <c r="L12" s="84">
        <v>0</v>
      </c>
      <c r="M12" s="84">
        <v>1</v>
      </c>
      <c r="N12" s="84">
        <v>0</v>
      </c>
      <c r="O12" s="84">
        <v>1</v>
      </c>
      <c r="P12" s="73">
        <v>0</v>
      </c>
      <c r="Q12" s="84">
        <v>0</v>
      </c>
      <c r="R12" s="74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174" t="s">
        <v>199</v>
      </c>
      <c r="G13" s="84">
        <v>0</v>
      </c>
      <c r="H13" s="84">
        <v>0</v>
      </c>
      <c r="I13" s="84">
        <v>0</v>
      </c>
      <c r="J13" s="84">
        <v>0</v>
      </c>
      <c r="K13" s="84">
        <v>1</v>
      </c>
      <c r="L13" s="84">
        <v>0</v>
      </c>
      <c r="M13" s="84">
        <v>1</v>
      </c>
      <c r="N13" s="84">
        <v>0</v>
      </c>
      <c r="O13" s="84">
        <v>1</v>
      </c>
      <c r="P13" s="73">
        <v>0</v>
      </c>
      <c r="Q13" s="84">
        <v>0</v>
      </c>
      <c r="R13" s="74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174" t="s">
        <v>200</v>
      </c>
      <c r="G14" s="84">
        <v>0</v>
      </c>
      <c r="H14" s="84">
        <v>0</v>
      </c>
      <c r="I14" s="84">
        <v>0</v>
      </c>
      <c r="J14" s="84">
        <v>0</v>
      </c>
      <c r="K14" s="84">
        <v>1</v>
      </c>
      <c r="L14" s="84">
        <v>0</v>
      </c>
      <c r="M14" s="84">
        <v>1</v>
      </c>
      <c r="N14" s="84">
        <v>0</v>
      </c>
      <c r="O14" s="84">
        <v>1</v>
      </c>
      <c r="P14" s="73">
        <v>0</v>
      </c>
      <c r="Q14" s="84">
        <v>0</v>
      </c>
      <c r="R14" s="74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174" t="s">
        <v>201</v>
      </c>
      <c r="G15" s="84">
        <v>0</v>
      </c>
      <c r="H15" s="84">
        <v>0</v>
      </c>
      <c r="I15" s="84">
        <v>0</v>
      </c>
      <c r="J15" s="84">
        <v>0</v>
      </c>
      <c r="K15" s="84">
        <v>1</v>
      </c>
      <c r="L15" s="84">
        <v>0</v>
      </c>
      <c r="M15" s="84">
        <v>1</v>
      </c>
      <c r="N15" s="84">
        <v>0</v>
      </c>
      <c r="O15" s="84">
        <v>1</v>
      </c>
      <c r="P15" s="73">
        <v>0</v>
      </c>
      <c r="Q15" s="84">
        <v>0</v>
      </c>
      <c r="R15" s="74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174" t="s">
        <v>202</v>
      </c>
      <c r="G16" s="84">
        <v>0</v>
      </c>
      <c r="H16" s="84">
        <v>0</v>
      </c>
      <c r="I16" s="84">
        <v>0</v>
      </c>
      <c r="J16" s="84">
        <v>0</v>
      </c>
      <c r="K16" s="84">
        <v>1</v>
      </c>
      <c r="L16" s="84">
        <v>0</v>
      </c>
      <c r="M16" s="84">
        <v>1</v>
      </c>
      <c r="N16" s="84">
        <v>0</v>
      </c>
      <c r="O16" s="84">
        <v>1</v>
      </c>
      <c r="P16" s="73">
        <v>0</v>
      </c>
      <c r="Q16" s="84">
        <v>0</v>
      </c>
      <c r="R16" s="74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174" t="s">
        <v>203</v>
      </c>
      <c r="G17" s="84">
        <v>0</v>
      </c>
      <c r="H17" s="84">
        <v>0</v>
      </c>
      <c r="I17" s="84">
        <v>0</v>
      </c>
      <c r="J17" s="84">
        <v>0</v>
      </c>
      <c r="K17" s="84">
        <v>1</v>
      </c>
      <c r="L17" s="84">
        <v>0</v>
      </c>
      <c r="M17" s="84">
        <v>1</v>
      </c>
      <c r="N17" s="84">
        <v>0</v>
      </c>
      <c r="O17" s="84">
        <v>1</v>
      </c>
      <c r="P17" s="73">
        <v>0</v>
      </c>
      <c r="Q17" s="84">
        <v>0</v>
      </c>
      <c r="R17" s="74">
        <v>1</v>
      </c>
      <c r="S17"/>
      <c r="T17"/>
    </row>
    <row r="18" spans="1:20" ht="15" customHeight="1" thickBot="1" x14ac:dyDescent="0.2">
      <c r="B18" s="96"/>
      <c r="F18" s="174" t="s">
        <v>204</v>
      </c>
      <c r="G18" s="84">
        <v>0</v>
      </c>
      <c r="H18" s="84">
        <v>0</v>
      </c>
      <c r="I18" s="84">
        <v>0</v>
      </c>
      <c r="J18" s="84">
        <v>0</v>
      </c>
      <c r="K18" s="84">
        <v>1</v>
      </c>
      <c r="L18" s="84">
        <v>0</v>
      </c>
      <c r="M18" s="84">
        <v>1</v>
      </c>
      <c r="N18" s="84">
        <v>0</v>
      </c>
      <c r="O18" s="84">
        <v>1</v>
      </c>
      <c r="P18" s="73">
        <v>0</v>
      </c>
      <c r="Q18" s="84">
        <v>0</v>
      </c>
      <c r="R18" s="74">
        <v>1</v>
      </c>
      <c r="S18"/>
      <c r="T18"/>
    </row>
    <row r="19" spans="1:20" ht="15" customHeight="1" x14ac:dyDescent="0.15">
      <c r="A19" s="86" t="s">
        <v>57</v>
      </c>
      <c r="B19" s="93">
        <v>1</v>
      </c>
      <c r="C19" s="176" t="s">
        <v>192</v>
      </c>
      <c r="D19" s="88" t="s">
        <v>160</v>
      </c>
      <c r="F19" s="174" t="s">
        <v>205</v>
      </c>
      <c r="G19" s="84">
        <v>0</v>
      </c>
      <c r="H19" s="84">
        <v>0</v>
      </c>
      <c r="I19" s="84">
        <v>0</v>
      </c>
      <c r="J19" s="84">
        <v>0</v>
      </c>
      <c r="K19" s="84">
        <v>1</v>
      </c>
      <c r="L19" s="84">
        <v>0</v>
      </c>
      <c r="M19" s="84">
        <v>1</v>
      </c>
      <c r="N19" s="84">
        <v>0</v>
      </c>
      <c r="O19" s="84">
        <v>1</v>
      </c>
      <c r="P19" s="73">
        <v>0</v>
      </c>
      <c r="Q19" s="84">
        <v>0</v>
      </c>
      <c r="R19" s="74">
        <v>1</v>
      </c>
      <c r="S19"/>
      <c r="T19"/>
    </row>
    <row r="20" spans="1:20" ht="15" customHeight="1" x14ac:dyDescent="0.15">
      <c r="A20" s="127" t="s">
        <v>168</v>
      </c>
      <c r="B20" s="95"/>
      <c r="C20" s="83"/>
      <c r="D20" s="88" t="s">
        <v>160</v>
      </c>
      <c r="F20" s="174" t="s">
        <v>206</v>
      </c>
      <c r="G20" s="84">
        <v>0</v>
      </c>
      <c r="H20" s="84">
        <v>0</v>
      </c>
      <c r="I20" s="84">
        <v>0</v>
      </c>
      <c r="J20" s="84">
        <v>0</v>
      </c>
      <c r="K20" s="84">
        <v>1</v>
      </c>
      <c r="L20" s="84">
        <v>0</v>
      </c>
      <c r="M20" s="84">
        <v>1</v>
      </c>
      <c r="N20" s="84">
        <v>0</v>
      </c>
      <c r="O20" s="84">
        <v>1</v>
      </c>
      <c r="P20" s="73">
        <v>0</v>
      </c>
      <c r="Q20" s="84">
        <v>0</v>
      </c>
      <c r="R20" s="74">
        <v>1</v>
      </c>
      <c r="S20"/>
      <c r="T20"/>
    </row>
    <row r="21" spans="1:20" ht="15" customHeight="1" x14ac:dyDescent="0.15">
      <c r="B21" s="95"/>
      <c r="C21" s="83"/>
      <c r="D21" s="88" t="s">
        <v>160</v>
      </c>
      <c r="F21" s="174" t="s">
        <v>207</v>
      </c>
      <c r="G21" s="84">
        <v>0</v>
      </c>
      <c r="H21" s="84">
        <v>0</v>
      </c>
      <c r="I21" s="84">
        <v>0</v>
      </c>
      <c r="J21" s="84">
        <v>0</v>
      </c>
      <c r="K21" s="84">
        <v>1</v>
      </c>
      <c r="L21" s="84">
        <v>0</v>
      </c>
      <c r="M21" s="84">
        <v>1</v>
      </c>
      <c r="N21" s="84">
        <v>0</v>
      </c>
      <c r="O21" s="84">
        <v>1</v>
      </c>
      <c r="P21" s="73">
        <v>0</v>
      </c>
      <c r="Q21" s="84">
        <v>0</v>
      </c>
      <c r="R21" s="74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174" t="s">
        <v>208</v>
      </c>
      <c r="G22" s="84">
        <v>0</v>
      </c>
      <c r="H22" s="84">
        <v>0</v>
      </c>
      <c r="I22" s="84">
        <v>0</v>
      </c>
      <c r="J22" s="84">
        <v>0</v>
      </c>
      <c r="K22" s="84">
        <v>1</v>
      </c>
      <c r="L22" s="84">
        <v>0</v>
      </c>
      <c r="M22" s="84">
        <v>1</v>
      </c>
      <c r="N22" s="84">
        <v>0</v>
      </c>
      <c r="O22" s="84">
        <v>1</v>
      </c>
      <c r="P22" s="73">
        <v>0</v>
      </c>
      <c r="Q22" s="84">
        <v>0</v>
      </c>
      <c r="R22" s="74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174" t="s">
        <v>209</v>
      </c>
      <c r="G23" s="84">
        <v>0</v>
      </c>
      <c r="H23" s="84">
        <v>0</v>
      </c>
      <c r="I23" s="84">
        <v>0</v>
      </c>
      <c r="J23" s="84">
        <v>0</v>
      </c>
      <c r="K23" s="84">
        <v>1</v>
      </c>
      <c r="L23" s="84">
        <v>0</v>
      </c>
      <c r="M23" s="84">
        <v>1</v>
      </c>
      <c r="N23" s="84">
        <v>0</v>
      </c>
      <c r="O23" s="84">
        <v>1</v>
      </c>
      <c r="P23" s="73">
        <v>0</v>
      </c>
      <c r="Q23" s="84">
        <v>0</v>
      </c>
      <c r="R23" s="74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174" t="s">
        <v>210</v>
      </c>
      <c r="G24" s="84">
        <v>0</v>
      </c>
      <c r="H24" s="84">
        <v>0</v>
      </c>
      <c r="I24" s="84">
        <v>0</v>
      </c>
      <c r="J24" s="84">
        <v>0</v>
      </c>
      <c r="K24" s="84">
        <v>1</v>
      </c>
      <c r="L24" s="84">
        <v>0</v>
      </c>
      <c r="M24" s="84">
        <v>1</v>
      </c>
      <c r="N24" s="84">
        <v>0</v>
      </c>
      <c r="O24" s="84">
        <v>1</v>
      </c>
      <c r="P24" s="73">
        <v>0</v>
      </c>
      <c r="Q24" s="84">
        <v>0</v>
      </c>
      <c r="R24" s="74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174" t="s">
        <v>211</v>
      </c>
      <c r="G25" s="84">
        <v>0</v>
      </c>
      <c r="H25" s="84">
        <v>0</v>
      </c>
      <c r="I25" s="84">
        <v>0</v>
      </c>
      <c r="J25" s="84">
        <v>0</v>
      </c>
      <c r="K25" s="84">
        <v>1</v>
      </c>
      <c r="L25" s="84">
        <v>0</v>
      </c>
      <c r="M25" s="84">
        <v>1</v>
      </c>
      <c r="N25" s="84">
        <v>0</v>
      </c>
      <c r="O25" s="84">
        <v>1</v>
      </c>
      <c r="P25" s="73">
        <v>0</v>
      </c>
      <c r="Q25" s="84">
        <v>0</v>
      </c>
      <c r="R25" s="74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174" t="s">
        <v>212</v>
      </c>
      <c r="G26" s="84">
        <v>0</v>
      </c>
      <c r="H26" s="84">
        <v>0</v>
      </c>
      <c r="I26" s="84">
        <v>0</v>
      </c>
      <c r="J26" s="84">
        <v>0</v>
      </c>
      <c r="K26" s="84">
        <v>1</v>
      </c>
      <c r="L26" s="84">
        <v>0</v>
      </c>
      <c r="M26" s="84">
        <v>1</v>
      </c>
      <c r="N26" s="84">
        <v>0</v>
      </c>
      <c r="O26" s="84">
        <v>1</v>
      </c>
      <c r="P26" s="73">
        <v>0</v>
      </c>
      <c r="Q26" s="84">
        <v>0</v>
      </c>
      <c r="R26" s="74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174" t="s">
        <v>213</v>
      </c>
      <c r="G27" s="84">
        <v>0</v>
      </c>
      <c r="H27" s="84">
        <v>0</v>
      </c>
      <c r="I27" s="84">
        <v>0</v>
      </c>
      <c r="J27" s="84">
        <v>0</v>
      </c>
      <c r="K27" s="84">
        <v>1</v>
      </c>
      <c r="L27" s="84">
        <v>0</v>
      </c>
      <c r="M27" s="84">
        <v>1</v>
      </c>
      <c r="N27" s="84">
        <v>0</v>
      </c>
      <c r="O27" s="84">
        <v>1</v>
      </c>
      <c r="P27" s="73">
        <v>0</v>
      </c>
      <c r="Q27" s="84">
        <v>0</v>
      </c>
      <c r="R27" s="74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174" t="s">
        <v>214</v>
      </c>
      <c r="G28" s="84">
        <v>0</v>
      </c>
      <c r="H28" s="84">
        <v>0</v>
      </c>
      <c r="I28" s="84">
        <v>0</v>
      </c>
      <c r="J28" s="84">
        <v>0</v>
      </c>
      <c r="K28" s="84">
        <v>1</v>
      </c>
      <c r="L28" s="84">
        <v>0</v>
      </c>
      <c r="M28" s="84">
        <v>1</v>
      </c>
      <c r="N28" s="84">
        <v>0</v>
      </c>
      <c r="O28" s="84">
        <v>1</v>
      </c>
      <c r="P28" s="73">
        <v>0</v>
      </c>
      <c r="Q28" s="84">
        <v>0</v>
      </c>
      <c r="R28" s="74">
        <v>1</v>
      </c>
      <c r="S28"/>
      <c r="T28"/>
    </row>
    <row r="29" spans="1:20" ht="15" customHeight="1" x14ac:dyDescent="0.15">
      <c r="F29" s="174" t="s">
        <v>215</v>
      </c>
      <c r="G29" s="84">
        <v>0</v>
      </c>
      <c r="H29" s="84">
        <v>0</v>
      </c>
      <c r="I29" s="84">
        <v>0</v>
      </c>
      <c r="J29" s="84">
        <v>0</v>
      </c>
      <c r="K29" s="84">
        <v>1</v>
      </c>
      <c r="L29" s="84">
        <v>0</v>
      </c>
      <c r="M29" s="84">
        <v>1</v>
      </c>
      <c r="N29" s="84">
        <v>0</v>
      </c>
      <c r="O29" s="84">
        <v>1</v>
      </c>
      <c r="P29" s="73">
        <v>0</v>
      </c>
      <c r="Q29" s="84">
        <v>0</v>
      </c>
      <c r="R29" s="74">
        <v>1</v>
      </c>
      <c r="S29"/>
      <c r="T29"/>
    </row>
    <row r="30" spans="1:20" ht="15" customHeight="1" x14ac:dyDescent="0.15">
      <c r="F30" s="174" t="s">
        <v>216</v>
      </c>
      <c r="G30" s="84">
        <v>0</v>
      </c>
      <c r="H30" s="84">
        <v>0</v>
      </c>
      <c r="I30" s="84">
        <v>0</v>
      </c>
      <c r="J30" s="84">
        <v>0</v>
      </c>
      <c r="K30" s="84">
        <v>1</v>
      </c>
      <c r="L30" s="84">
        <v>0</v>
      </c>
      <c r="M30" s="84">
        <v>1</v>
      </c>
      <c r="N30" s="84">
        <v>0</v>
      </c>
      <c r="O30" s="84">
        <v>1</v>
      </c>
      <c r="P30" s="73">
        <v>0</v>
      </c>
      <c r="Q30" s="84">
        <v>0</v>
      </c>
      <c r="R30" s="74">
        <v>1</v>
      </c>
      <c r="S30"/>
      <c r="T30"/>
    </row>
    <row r="31" spans="1:20" ht="15" customHeight="1" x14ac:dyDescent="0.15">
      <c r="A31" s="128"/>
      <c r="B31" s="139" t="s">
        <v>17</v>
      </c>
      <c r="C31" s="139" t="s">
        <v>1</v>
      </c>
      <c r="D31" s="139" t="s">
        <v>161</v>
      </c>
      <c r="E31" s="140" t="s">
        <v>163</v>
      </c>
      <c r="F31" s="174" t="s">
        <v>217</v>
      </c>
      <c r="G31" s="84">
        <v>0</v>
      </c>
      <c r="H31" s="84">
        <v>0</v>
      </c>
      <c r="I31" s="84">
        <v>0</v>
      </c>
      <c r="J31" s="84">
        <v>0</v>
      </c>
      <c r="K31" s="84">
        <v>1</v>
      </c>
      <c r="L31" s="84">
        <v>0</v>
      </c>
      <c r="M31" s="84">
        <v>1</v>
      </c>
      <c r="N31" s="84">
        <v>0</v>
      </c>
      <c r="O31" s="84">
        <v>1</v>
      </c>
      <c r="P31" s="73">
        <v>0</v>
      </c>
      <c r="Q31" s="84">
        <v>0</v>
      </c>
      <c r="R31" s="74">
        <v>1</v>
      </c>
      <c r="S31"/>
      <c r="T31"/>
    </row>
    <row r="32" spans="1:20" ht="15" customHeight="1" x14ac:dyDescent="0.15">
      <c r="A32" s="177" t="s">
        <v>192</v>
      </c>
      <c r="B32" s="96">
        <v>118.9</v>
      </c>
      <c r="C32" s="96">
        <v>24.8</v>
      </c>
      <c r="D32" s="96">
        <v>2948.7200000000003</v>
      </c>
      <c r="E32" s="130">
        <v>1</v>
      </c>
      <c r="F32" s="174" t="s">
        <v>218</v>
      </c>
      <c r="G32" s="84">
        <v>0</v>
      </c>
      <c r="H32" s="84">
        <v>0</v>
      </c>
      <c r="I32" s="84">
        <v>0</v>
      </c>
      <c r="J32" s="84">
        <v>0</v>
      </c>
      <c r="K32" s="84">
        <v>1</v>
      </c>
      <c r="L32" s="84">
        <v>0</v>
      </c>
      <c r="M32" s="84">
        <v>1</v>
      </c>
      <c r="N32" s="84">
        <v>0</v>
      </c>
      <c r="O32" s="84">
        <v>1</v>
      </c>
      <c r="P32" s="73">
        <v>0</v>
      </c>
      <c r="Q32" s="84">
        <v>0</v>
      </c>
      <c r="R32" s="74">
        <v>1</v>
      </c>
      <c r="S32"/>
      <c r="T32"/>
    </row>
    <row r="33" spans="1:20" ht="15" customHeight="1" x14ac:dyDescent="0.15">
      <c r="A33" s="129"/>
      <c r="B33" s="96"/>
      <c r="C33" s="96"/>
      <c r="D33" s="96"/>
      <c r="E33" s="130"/>
      <c r="F33" s="174" t="s">
        <v>219</v>
      </c>
      <c r="G33" s="84">
        <v>0</v>
      </c>
      <c r="H33" s="84">
        <v>0</v>
      </c>
      <c r="I33" s="84">
        <v>0</v>
      </c>
      <c r="J33" s="84">
        <v>0</v>
      </c>
      <c r="K33" s="84">
        <v>1</v>
      </c>
      <c r="L33" s="84">
        <v>0</v>
      </c>
      <c r="M33" s="84">
        <v>1</v>
      </c>
      <c r="N33" s="84">
        <v>0</v>
      </c>
      <c r="O33" s="84">
        <v>1</v>
      </c>
      <c r="P33" s="73">
        <v>0</v>
      </c>
      <c r="Q33" s="84">
        <v>0</v>
      </c>
      <c r="R33" s="74">
        <v>1</v>
      </c>
      <c r="S33"/>
      <c r="T33"/>
    </row>
    <row r="34" spans="1:20" ht="15" customHeight="1" x14ac:dyDescent="0.15">
      <c r="A34" s="131"/>
      <c r="B34" s="96"/>
      <c r="C34" s="96"/>
      <c r="D34" s="96"/>
      <c r="E34" s="130"/>
      <c r="F34" s="174" t="s">
        <v>220</v>
      </c>
      <c r="G34" s="84">
        <v>0</v>
      </c>
      <c r="H34" s="84">
        <v>0</v>
      </c>
      <c r="I34" s="84">
        <v>0</v>
      </c>
      <c r="J34" s="84">
        <v>0</v>
      </c>
      <c r="K34" s="84">
        <v>1</v>
      </c>
      <c r="L34" s="84">
        <v>0</v>
      </c>
      <c r="M34" s="84">
        <v>1</v>
      </c>
      <c r="N34" s="84">
        <v>0</v>
      </c>
      <c r="O34" s="84">
        <v>1</v>
      </c>
      <c r="P34" s="73">
        <v>0</v>
      </c>
      <c r="Q34" s="84">
        <v>0</v>
      </c>
      <c r="R34" s="74">
        <v>1</v>
      </c>
      <c r="S34"/>
      <c r="T34"/>
    </row>
    <row r="35" spans="1:20" ht="15" customHeight="1" x14ac:dyDescent="0.15">
      <c r="A35" s="132"/>
      <c r="B35" s="96"/>
      <c r="C35" s="96"/>
      <c r="D35" s="96"/>
      <c r="E35" s="130"/>
      <c r="F35" s="174" t="s">
        <v>221</v>
      </c>
      <c r="G35" s="84">
        <v>0</v>
      </c>
      <c r="H35" s="84">
        <v>0</v>
      </c>
      <c r="I35" s="84">
        <v>0</v>
      </c>
      <c r="J35" s="84">
        <v>0</v>
      </c>
      <c r="K35" s="84">
        <v>1</v>
      </c>
      <c r="L35" s="84">
        <v>0</v>
      </c>
      <c r="M35" s="84">
        <v>1</v>
      </c>
      <c r="N35" s="84">
        <v>0</v>
      </c>
      <c r="O35" s="84">
        <v>1</v>
      </c>
      <c r="P35" s="73">
        <v>0</v>
      </c>
      <c r="Q35" s="84">
        <v>0</v>
      </c>
      <c r="R35" s="74">
        <v>1</v>
      </c>
      <c r="S35"/>
      <c r="T35"/>
    </row>
    <row r="36" spans="1:20" ht="15" customHeight="1" x14ac:dyDescent="0.15">
      <c r="A36" s="133"/>
      <c r="B36" s="96"/>
      <c r="C36" s="96"/>
      <c r="D36" s="96"/>
      <c r="E36" s="130"/>
      <c r="F36" s="174" t="s">
        <v>222</v>
      </c>
      <c r="G36" s="84">
        <v>0</v>
      </c>
      <c r="H36" s="84">
        <v>0</v>
      </c>
      <c r="I36" s="84">
        <v>0</v>
      </c>
      <c r="J36" s="84">
        <v>0</v>
      </c>
      <c r="K36" s="84">
        <v>1</v>
      </c>
      <c r="L36" s="84">
        <v>0</v>
      </c>
      <c r="M36" s="84">
        <v>1</v>
      </c>
      <c r="N36" s="84">
        <v>0</v>
      </c>
      <c r="O36" s="84">
        <v>1</v>
      </c>
      <c r="P36" s="73">
        <v>0</v>
      </c>
      <c r="Q36" s="84">
        <v>0</v>
      </c>
      <c r="R36" s="74">
        <v>1</v>
      </c>
      <c r="S36"/>
      <c r="T36"/>
    </row>
    <row r="37" spans="1:20" ht="15" customHeight="1" x14ac:dyDescent="0.15">
      <c r="A37" s="133"/>
      <c r="B37" s="96"/>
      <c r="C37" s="96"/>
      <c r="D37" s="96"/>
      <c r="E37" s="130"/>
      <c r="F37" s="174" t="s">
        <v>223</v>
      </c>
      <c r="G37" s="84">
        <v>0</v>
      </c>
      <c r="H37" s="84">
        <v>0</v>
      </c>
      <c r="I37" s="84">
        <v>0</v>
      </c>
      <c r="J37" s="84">
        <v>0</v>
      </c>
      <c r="K37" s="84">
        <v>1</v>
      </c>
      <c r="L37" s="84">
        <v>0</v>
      </c>
      <c r="M37" s="84">
        <v>1</v>
      </c>
      <c r="N37" s="84">
        <v>0</v>
      </c>
      <c r="O37" s="84">
        <v>1</v>
      </c>
      <c r="P37" s="73">
        <v>0</v>
      </c>
      <c r="Q37" s="84">
        <v>0</v>
      </c>
      <c r="R37" s="74">
        <v>1</v>
      </c>
      <c r="S37"/>
      <c r="T37"/>
    </row>
    <row r="38" spans="1:20" ht="15" customHeight="1" x14ac:dyDescent="0.15">
      <c r="A38" s="134"/>
      <c r="B38" s="96"/>
      <c r="C38" s="96"/>
      <c r="D38" s="96"/>
      <c r="E38" s="130"/>
      <c r="F38" s="174" t="s">
        <v>224</v>
      </c>
      <c r="G38" s="84">
        <v>0</v>
      </c>
      <c r="H38" s="84">
        <v>0</v>
      </c>
      <c r="I38" s="84">
        <v>0</v>
      </c>
      <c r="J38" s="84">
        <v>0</v>
      </c>
      <c r="K38" s="84">
        <v>1</v>
      </c>
      <c r="L38" s="84">
        <v>0</v>
      </c>
      <c r="M38" s="84">
        <v>1</v>
      </c>
      <c r="N38" s="84">
        <v>0</v>
      </c>
      <c r="O38" s="84">
        <v>1</v>
      </c>
      <c r="P38" s="73">
        <v>0</v>
      </c>
      <c r="Q38" s="84">
        <v>0</v>
      </c>
      <c r="R38" s="74">
        <v>1</v>
      </c>
      <c r="S38"/>
      <c r="T38"/>
    </row>
    <row r="39" spans="1:20" ht="15" customHeight="1" x14ac:dyDescent="0.15">
      <c r="A39" s="134"/>
      <c r="B39" s="96"/>
      <c r="C39" s="96"/>
      <c r="D39" s="96"/>
      <c r="E39" s="130"/>
      <c r="F39" s="174" t="s">
        <v>225</v>
      </c>
      <c r="G39" s="84">
        <v>0</v>
      </c>
      <c r="H39" s="84">
        <v>0</v>
      </c>
      <c r="I39" s="84">
        <v>0</v>
      </c>
      <c r="J39" s="84">
        <v>0</v>
      </c>
      <c r="K39" s="84">
        <v>1</v>
      </c>
      <c r="L39" s="84">
        <v>0</v>
      </c>
      <c r="M39" s="84">
        <v>1</v>
      </c>
      <c r="N39" s="84">
        <v>0</v>
      </c>
      <c r="O39" s="84">
        <v>1</v>
      </c>
      <c r="P39" s="73">
        <v>0</v>
      </c>
      <c r="Q39" s="84">
        <v>0</v>
      </c>
      <c r="R39" s="74">
        <v>1</v>
      </c>
      <c r="S39"/>
      <c r="T39"/>
    </row>
    <row r="40" spans="1:20" ht="15" customHeight="1" x14ac:dyDescent="0.15">
      <c r="A40" s="134"/>
      <c r="B40" s="96"/>
      <c r="C40" s="96"/>
      <c r="D40" s="96"/>
      <c r="E40" s="130"/>
      <c r="F40" s="174" t="s">
        <v>226</v>
      </c>
      <c r="G40" s="84">
        <v>0</v>
      </c>
      <c r="H40" s="84">
        <v>0</v>
      </c>
      <c r="I40" s="84">
        <v>0</v>
      </c>
      <c r="J40" s="84">
        <v>0</v>
      </c>
      <c r="K40" s="84">
        <v>1</v>
      </c>
      <c r="L40" s="84">
        <v>0</v>
      </c>
      <c r="M40" s="84">
        <v>1</v>
      </c>
      <c r="N40" s="84">
        <v>0</v>
      </c>
      <c r="O40" s="84">
        <v>1</v>
      </c>
      <c r="P40" s="73">
        <v>0</v>
      </c>
      <c r="Q40" s="84">
        <v>0</v>
      </c>
      <c r="R40" s="74">
        <v>1</v>
      </c>
      <c r="S40"/>
      <c r="T40"/>
    </row>
    <row r="41" spans="1:20" ht="15" customHeight="1" thickBot="1" x14ac:dyDescent="0.2">
      <c r="A41" s="134"/>
      <c r="B41" s="96"/>
      <c r="C41" s="96"/>
      <c r="D41" s="97"/>
      <c r="E41" s="135"/>
      <c r="F41" s="174" t="s">
        <v>227</v>
      </c>
      <c r="G41" s="84">
        <v>0</v>
      </c>
      <c r="H41" s="84">
        <v>0</v>
      </c>
      <c r="I41" s="84">
        <v>0</v>
      </c>
      <c r="J41" s="84">
        <v>0</v>
      </c>
      <c r="K41" s="84">
        <v>1</v>
      </c>
      <c r="L41" s="84">
        <v>0</v>
      </c>
      <c r="M41" s="84">
        <v>1</v>
      </c>
      <c r="N41" s="84">
        <v>0</v>
      </c>
      <c r="O41" s="84">
        <v>1</v>
      </c>
      <c r="P41" s="73">
        <v>0</v>
      </c>
      <c r="Q41" s="84">
        <v>0</v>
      </c>
      <c r="R41" s="74">
        <v>1</v>
      </c>
      <c r="S41"/>
      <c r="T41"/>
    </row>
    <row r="42" spans="1:20" ht="15" customHeight="1" x14ac:dyDescent="0.15">
      <c r="A42" s="136"/>
      <c r="B42" s="137"/>
      <c r="C42" s="137" t="s">
        <v>162</v>
      </c>
      <c r="D42" s="137">
        <f>SUM(D32:D41)</f>
        <v>2948.7200000000003</v>
      </c>
      <c r="E42" s="138">
        <f>SUM(E32:E41)</f>
        <v>1</v>
      </c>
      <c r="F42" s="174" t="s">
        <v>228</v>
      </c>
      <c r="G42" s="84">
        <v>0</v>
      </c>
      <c r="H42" s="84">
        <v>0</v>
      </c>
      <c r="I42" s="84">
        <v>0</v>
      </c>
      <c r="J42" s="84">
        <v>0</v>
      </c>
      <c r="K42" s="84">
        <v>1</v>
      </c>
      <c r="L42" s="84">
        <v>0</v>
      </c>
      <c r="M42" s="84">
        <v>1</v>
      </c>
      <c r="N42" s="84">
        <v>0</v>
      </c>
      <c r="O42" s="84">
        <v>1</v>
      </c>
      <c r="P42" s="73">
        <v>0</v>
      </c>
      <c r="Q42" s="84">
        <v>0</v>
      </c>
      <c r="R42" s="74">
        <v>1</v>
      </c>
      <c r="S42"/>
      <c r="T42"/>
    </row>
    <row r="43" spans="1:20" ht="15" customHeight="1" x14ac:dyDescent="0.15">
      <c r="A43" s="84"/>
      <c r="F43" s="174" t="s">
        <v>229</v>
      </c>
      <c r="G43" s="84">
        <v>0</v>
      </c>
      <c r="H43" s="84">
        <v>0</v>
      </c>
      <c r="I43" s="84">
        <v>0</v>
      </c>
      <c r="J43" s="84">
        <v>0</v>
      </c>
      <c r="K43" s="84">
        <v>1</v>
      </c>
      <c r="L43" s="84">
        <v>0</v>
      </c>
      <c r="M43" s="84">
        <v>1</v>
      </c>
      <c r="N43" s="84">
        <v>0</v>
      </c>
      <c r="O43" s="84">
        <v>1</v>
      </c>
      <c r="P43" s="73">
        <v>0</v>
      </c>
      <c r="Q43" s="84">
        <v>0</v>
      </c>
      <c r="R43" s="74">
        <v>1</v>
      </c>
      <c r="S43"/>
      <c r="T43"/>
    </row>
    <row r="44" spans="1:20" ht="15" customHeight="1" x14ac:dyDescent="0.15">
      <c r="A44" s="84"/>
      <c r="F44" s="174" t="s">
        <v>230</v>
      </c>
      <c r="G44" s="84">
        <v>0</v>
      </c>
      <c r="H44" s="84">
        <v>0</v>
      </c>
      <c r="I44" s="84">
        <v>0</v>
      </c>
      <c r="J44" s="84">
        <v>0</v>
      </c>
      <c r="K44" s="84">
        <v>1</v>
      </c>
      <c r="L44" s="84">
        <v>0</v>
      </c>
      <c r="M44" s="84">
        <v>1</v>
      </c>
      <c r="N44" s="84">
        <v>0</v>
      </c>
      <c r="O44" s="84">
        <v>1</v>
      </c>
      <c r="P44" s="73">
        <v>0</v>
      </c>
      <c r="Q44" s="84">
        <v>0</v>
      </c>
      <c r="R44" s="74">
        <v>1</v>
      </c>
    </row>
    <row r="45" spans="1:20" ht="15" customHeight="1" x14ac:dyDescent="0.15">
      <c r="A45" s="84"/>
      <c r="F45" s="174" t="s">
        <v>231</v>
      </c>
      <c r="G45" s="84">
        <v>0</v>
      </c>
      <c r="H45" s="84">
        <v>0</v>
      </c>
      <c r="I45" s="84">
        <v>0</v>
      </c>
      <c r="J45" s="84">
        <v>0</v>
      </c>
      <c r="K45" s="84">
        <v>1</v>
      </c>
      <c r="L45" s="84">
        <v>0</v>
      </c>
      <c r="M45" s="84">
        <v>1</v>
      </c>
      <c r="N45" s="84">
        <v>0</v>
      </c>
      <c r="O45" s="84">
        <v>1</v>
      </c>
      <c r="P45" s="73">
        <v>0</v>
      </c>
      <c r="Q45" s="84">
        <v>0</v>
      </c>
      <c r="R45" s="74">
        <v>1</v>
      </c>
    </row>
    <row r="46" spans="1:20" ht="15" customHeight="1" x14ac:dyDescent="0.15">
      <c r="A46" s="84"/>
      <c r="F46" s="174" t="s">
        <v>232</v>
      </c>
      <c r="G46" s="84">
        <v>0</v>
      </c>
      <c r="H46" s="84">
        <v>0</v>
      </c>
      <c r="I46" s="84">
        <v>0</v>
      </c>
      <c r="J46" s="84">
        <v>0</v>
      </c>
      <c r="K46" s="84">
        <v>1</v>
      </c>
      <c r="L46" s="84">
        <v>0</v>
      </c>
      <c r="M46" s="84">
        <v>1</v>
      </c>
      <c r="N46" s="84">
        <v>0</v>
      </c>
      <c r="O46" s="84">
        <v>1</v>
      </c>
      <c r="P46" s="73">
        <v>0</v>
      </c>
      <c r="Q46" s="84">
        <v>0</v>
      </c>
      <c r="R46" s="74">
        <v>1</v>
      </c>
    </row>
    <row r="47" spans="1:20" ht="15" customHeight="1" x14ac:dyDescent="0.15">
      <c r="A47" s="84"/>
      <c r="F47" s="174" t="s">
        <v>233</v>
      </c>
      <c r="G47" s="84">
        <v>0</v>
      </c>
      <c r="H47" s="84">
        <v>0</v>
      </c>
      <c r="I47" s="84">
        <v>0</v>
      </c>
      <c r="J47" s="84">
        <v>0</v>
      </c>
      <c r="K47" s="84">
        <v>1</v>
      </c>
      <c r="L47" s="84">
        <v>0</v>
      </c>
      <c r="M47" s="84">
        <v>1</v>
      </c>
      <c r="N47" s="84">
        <v>0</v>
      </c>
      <c r="O47" s="84">
        <v>1</v>
      </c>
      <c r="P47" s="73">
        <v>0</v>
      </c>
      <c r="Q47" s="84">
        <v>0</v>
      </c>
      <c r="R47" s="74">
        <v>1</v>
      </c>
    </row>
    <row r="48" spans="1:20" ht="15" customHeight="1" x14ac:dyDescent="0.15">
      <c r="A48" s="84"/>
      <c r="F48" s="174" t="s">
        <v>234</v>
      </c>
      <c r="G48" s="84">
        <v>0</v>
      </c>
      <c r="H48" s="84">
        <v>0</v>
      </c>
      <c r="I48" s="84">
        <v>0</v>
      </c>
      <c r="J48" s="84">
        <v>0</v>
      </c>
      <c r="K48" s="84">
        <v>1</v>
      </c>
      <c r="L48" s="84">
        <v>0</v>
      </c>
      <c r="M48" s="84">
        <v>1</v>
      </c>
      <c r="N48" s="84">
        <v>0</v>
      </c>
      <c r="O48" s="84">
        <v>1</v>
      </c>
      <c r="P48" s="73">
        <v>0</v>
      </c>
      <c r="Q48" s="84">
        <v>0</v>
      </c>
      <c r="R48" s="74">
        <v>1</v>
      </c>
    </row>
    <row r="49" spans="6:18" s="84" customFormat="1" ht="15" customHeight="1" x14ac:dyDescent="0.15">
      <c r="F49" s="174" t="s">
        <v>235</v>
      </c>
      <c r="G49" s="84">
        <v>0</v>
      </c>
      <c r="H49" s="84">
        <v>0</v>
      </c>
      <c r="I49" s="84">
        <v>0</v>
      </c>
      <c r="J49" s="84">
        <v>0</v>
      </c>
      <c r="K49" s="84">
        <v>1</v>
      </c>
      <c r="L49" s="84">
        <v>0</v>
      </c>
      <c r="M49" s="84">
        <v>1</v>
      </c>
      <c r="N49" s="84">
        <v>0</v>
      </c>
      <c r="O49" s="84">
        <v>1</v>
      </c>
      <c r="P49" s="73">
        <v>0</v>
      </c>
      <c r="Q49" s="84">
        <v>0</v>
      </c>
      <c r="R49" s="74">
        <v>1</v>
      </c>
    </row>
    <row r="50" spans="6:18" s="84" customFormat="1" ht="15" customHeight="1" x14ac:dyDescent="0.15">
      <c r="F50" s="174" t="s">
        <v>236</v>
      </c>
      <c r="G50" s="84">
        <v>0</v>
      </c>
      <c r="H50" s="84">
        <v>0</v>
      </c>
      <c r="I50" s="84">
        <v>0</v>
      </c>
      <c r="J50" s="84">
        <v>0</v>
      </c>
      <c r="K50" s="84">
        <v>1</v>
      </c>
      <c r="L50" s="84">
        <v>0</v>
      </c>
      <c r="M50" s="84">
        <v>1</v>
      </c>
      <c r="N50" s="84">
        <v>0</v>
      </c>
      <c r="O50" s="84">
        <v>1</v>
      </c>
      <c r="P50" s="73">
        <v>0</v>
      </c>
      <c r="Q50" s="84">
        <v>0</v>
      </c>
      <c r="R50" s="74">
        <v>1</v>
      </c>
    </row>
    <row r="51" spans="6:18" s="84" customFormat="1" ht="15" customHeight="1" x14ac:dyDescent="0.15">
      <c r="F51" s="174" t="s">
        <v>237</v>
      </c>
      <c r="G51" s="84">
        <v>0</v>
      </c>
      <c r="H51" s="84">
        <v>0</v>
      </c>
      <c r="I51" s="84">
        <v>0</v>
      </c>
      <c r="J51" s="84">
        <v>0</v>
      </c>
      <c r="K51" s="84">
        <v>1</v>
      </c>
      <c r="L51" s="84">
        <v>0</v>
      </c>
      <c r="M51" s="84">
        <v>1</v>
      </c>
      <c r="N51" s="84">
        <v>0</v>
      </c>
      <c r="O51" s="84">
        <v>1</v>
      </c>
      <c r="P51" s="73">
        <v>0</v>
      </c>
      <c r="Q51" s="84">
        <v>0</v>
      </c>
      <c r="R51" s="74">
        <v>1</v>
      </c>
    </row>
    <row r="52" spans="6:18" s="84" customFormat="1" ht="15" customHeight="1" x14ac:dyDescent="0.15">
      <c r="F52" s="174" t="s">
        <v>238</v>
      </c>
      <c r="G52" s="84">
        <v>0</v>
      </c>
      <c r="H52" s="84">
        <v>0</v>
      </c>
      <c r="I52" s="84">
        <v>0</v>
      </c>
      <c r="J52" s="84">
        <v>0</v>
      </c>
      <c r="K52" s="84">
        <v>1</v>
      </c>
      <c r="L52" s="84">
        <v>0</v>
      </c>
      <c r="M52" s="84">
        <v>1</v>
      </c>
      <c r="N52" s="84">
        <v>0</v>
      </c>
      <c r="O52" s="84">
        <v>1</v>
      </c>
      <c r="P52" s="73">
        <v>0</v>
      </c>
      <c r="Q52" s="84">
        <v>0</v>
      </c>
      <c r="R52" s="74">
        <v>1</v>
      </c>
    </row>
    <row r="53" spans="6:18" s="84" customFormat="1" ht="15" customHeight="1" x14ac:dyDescent="0.15">
      <c r="F53" s="174" t="s">
        <v>239</v>
      </c>
      <c r="G53" s="84">
        <v>0</v>
      </c>
      <c r="H53" s="84">
        <v>0</v>
      </c>
      <c r="I53" s="84">
        <v>0</v>
      </c>
      <c r="J53" s="84">
        <v>0</v>
      </c>
      <c r="K53" s="84">
        <v>1</v>
      </c>
      <c r="L53" s="84">
        <v>0</v>
      </c>
      <c r="M53" s="84">
        <v>1</v>
      </c>
      <c r="N53" s="84">
        <v>0</v>
      </c>
      <c r="O53" s="84">
        <v>1</v>
      </c>
      <c r="P53" s="73">
        <v>0</v>
      </c>
      <c r="Q53" s="84">
        <v>0</v>
      </c>
      <c r="R53" s="74">
        <v>1</v>
      </c>
    </row>
    <row r="54" spans="6:18" s="84" customFormat="1" ht="15" customHeight="1" x14ac:dyDescent="0.15">
      <c r="F54" s="174" t="s">
        <v>240</v>
      </c>
      <c r="G54" s="84">
        <v>0</v>
      </c>
      <c r="H54" s="84">
        <v>0</v>
      </c>
      <c r="I54" s="84">
        <v>0</v>
      </c>
      <c r="J54" s="84">
        <v>0</v>
      </c>
      <c r="K54" s="84">
        <v>1</v>
      </c>
      <c r="L54" s="84">
        <v>0</v>
      </c>
      <c r="M54" s="84">
        <v>1</v>
      </c>
      <c r="N54" s="84">
        <v>0</v>
      </c>
      <c r="O54" s="84">
        <v>1</v>
      </c>
      <c r="P54" s="73">
        <v>0</v>
      </c>
      <c r="Q54" s="84">
        <v>0</v>
      </c>
      <c r="R54" s="74">
        <v>1</v>
      </c>
    </row>
    <row r="55" spans="6:18" s="84" customFormat="1" ht="15" customHeight="1" x14ac:dyDescent="0.15">
      <c r="F55" s="174" t="s">
        <v>241</v>
      </c>
      <c r="G55" s="84">
        <v>0</v>
      </c>
      <c r="H55" s="84">
        <v>0</v>
      </c>
      <c r="I55" s="84">
        <v>0</v>
      </c>
      <c r="J55" s="84">
        <v>0</v>
      </c>
      <c r="K55" s="84">
        <v>1</v>
      </c>
      <c r="L55" s="84">
        <v>0</v>
      </c>
      <c r="M55" s="84">
        <v>1</v>
      </c>
      <c r="N55" s="84">
        <v>0</v>
      </c>
      <c r="O55" s="84">
        <v>1</v>
      </c>
      <c r="P55" s="73">
        <v>0</v>
      </c>
      <c r="Q55" s="84">
        <v>0</v>
      </c>
      <c r="R55" s="74">
        <v>1</v>
      </c>
    </row>
    <row r="56" spans="6:18" s="84" customFormat="1" ht="15" customHeight="1" x14ac:dyDescent="0.15">
      <c r="F56" s="174" t="s">
        <v>242</v>
      </c>
      <c r="G56" s="84">
        <v>0</v>
      </c>
      <c r="H56" s="84">
        <v>0</v>
      </c>
      <c r="I56" s="84">
        <v>0</v>
      </c>
      <c r="J56" s="84">
        <v>0</v>
      </c>
      <c r="K56" s="84">
        <v>1</v>
      </c>
      <c r="L56" s="84">
        <v>0</v>
      </c>
      <c r="M56" s="84">
        <v>1</v>
      </c>
      <c r="N56" s="84">
        <v>0</v>
      </c>
      <c r="O56" s="84">
        <v>1</v>
      </c>
      <c r="P56" s="73">
        <v>0</v>
      </c>
      <c r="Q56" s="84">
        <v>0</v>
      </c>
      <c r="R56" s="74">
        <v>1</v>
      </c>
    </row>
    <row r="57" spans="6:18" s="84" customFormat="1" ht="15" customHeight="1" x14ac:dyDescent="0.15">
      <c r="F57" s="174" t="s">
        <v>243</v>
      </c>
      <c r="G57" s="84">
        <v>0</v>
      </c>
      <c r="H57" s="84">
        <v>0</v>
      </c>
      <c r="I57" s="84">
        <v>0</v>
      </c>
      <c r="J57" s="84">
        <v>0</v>
      </c>
      <c r="K57" s="84">
        <v>0</v>
      </c>
      <c r="L57" s="84">
        <v>1</v>
      </c>
      <c r="M57" s="84">
        <v>0</v>
      </c>
      <c r="N57" s="84">
        <v>1</v>
      </c>
      <c r="O57" s="84">
        <v>0</v>
      </c>
      <c r="P57" s="73">
        <v>1</v>
      </c>
      <c r="Q57" s="84">
        <v>0</v>
      </c>
      <c r="R57" s="74">
        <v>1</v>
      </c>
    </row>
    <row r="58" spans="6:18" s="84" customFormat="1" ht="15" customHeight="1" x14ac:dyDescent="0.15">
      <c r="F58" s="174" t="s">
        <v>244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1</v>
      </c>
      <c r="M58" s="84">
        <v>0</v>
      </c>
      <c r="N58" s="84">
        <v>1</v>
      </c>
      <c r="O58" s="84">
        <v>0</v>
      </c>
      <c r="P58" s="73">
        <v>1</v>
      </c>
      <c r="Q58" s="84">
        <v>0</v>
      </c>
      <c r="R58" s="74">
        <v>1</v>
      </c>
    </row>
    <row r="59" spans="6:18" s="84" customFormat="1" ht="15" customHeight="1" x14ac:dyDescent="0.15">
      <c r="F59" s="174" t="s">
        <v>245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1</v>
      </c>
      <c r="M59" s="84">
        <v>0</v>
      </c>
      <c r="N59" s="84">
        <v>0</v>
      </c>
      <c r="O59" s="84">
        <v>0</v>
      </c>
      <c r="P59" s="73">
        <v>0</v>
      </c>
      <c r="Q59" s="84">
        <v>0</v>
      </c>
      <c r="R59" s="74">
        <v>1</v>
      </c>
    </row>
    <row r="60" spans="6:18" s="84" customFormat="1" ht="15" customHeight="1" x14ac:dyDescent="0.15">
      <c r="F60" s="174" t="s">
        <v>246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1</v>
      </c>
      <c r="M60" s="84">
        <v>0</v>
      </c>
      <c r="N60" s="84">
        <v>0</v>
      </c>
      <c r="O60" s="84">
        <v>0</v>
      </c>
      <c r="P60" s="73">
        <v>0</v>
      </c>
      <c r="Q60" s="84">
        <v>0</v>
      </c>
      <c r="R60" s="74">
        <v>1</v>
      </c>
    </row>
    <row r="61" spans="6:18" s="84" customFormat="1" ht="15" customHeight="1" x14ac:dyDescent="0.15">
      <c r="F61" s="174" t="s">
        <v>247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1</v>
      </c>
      <c r="M61" s="84">
        <v>0</v>
      </c>
      <c r="N61" s="84">
        <v>0</v>
      </c>
      <c r="O61" s="84">
        <v>0</v>
      </c>
      <c r="P61" s="73">
        <v>0</v>
      </c>
      <c r="Q61" s="84">
        <v>0</v>
      </c>
      <c r="R61" s="74">
        <v>1</v>
      </c>
    </row>
    <row r="62" spans="6:18" s="84" customFormat="1" ht="15" customHeight="1" x14ac:dyDescent="0.15">
      <c r="F62" s="174" t="s">
        <v>248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1</v>
      </c>
      <c r="M62" s="84">
        <v>0</v>
      </c>
      <c r="N62" s="84">
        <v>0</v>
      </c>
      <c r="O62" s="84">
        <v>0</v>
      </c>
      <c r="P62" s="73">
        <v>0</v>
      </c>
      <c r="Q62" s="84">
        <v>0</v>
      </c>
      <c r="R62" s="74">
        <v>1</v>
      </c>
    </row>
    <row r="63" spans="6:18" s="84" customFormat="1" ht="15" customHeight="1" x14ac:dyDescent="0.15">
      <c r="F63" s="174" t="s">
        <v>249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1</v>
      </c>
      <c r="M63" s="84">
        <v>0</v>
      </c>
      <c r="N63" s="84">
        <v>0</v>
      </c>
      <c r="O63" s="84">
        <v>0</v>
      </c>
      <c r="P63" s="73">
        <v>0</v>
      </c>
      <c r="Q63" s="84">
        <v>0</v>
      </c>
      <c r="R63" s="74">
        <v>1</v>
      </c>
    </row>
    <row r="64" spans="6:18" s="84" customFormat="1" ht="15" customHeight="1" x14ac:dyDescent="0.15">
      <c r="F64" s="174" t="s">
        <v>250</v>
      </c>
      <c r="G64" s="84">
        <v>0</v>
      </c>
      <c r="H64" s="84">
        <v>0</v>
      </c>
      <c r="I64" s="84">
        <v>0</v>
      </c>
      <c r="J64" s="84">
        <v>0</v>
      </c>
      <c r="K64" s="84">
        <v>0</v>
      </c>
      <c r="L64" s="84">
        <v>1</v>
      </c>
      <c r="M64" s="84">
        <v>0</v>
      </c>
      <c r="N64" s="84">
        <v>0</v>
      </c>
      <c r="O64" s="84">
        <v>0</v>
      </c>
      <c r="P64" s="73">
        <v>0</v>
      </c>
      <c r="Q64" s="84">
        <v>0</v>
      </c>
      <c r="R64" s="74">
        <v>1</v>
      </c>
    </row>
    <row r="65" spans="1:18" ht="15" customHeight="1" x14ac:dyDescent="0.15">
      <c r="F65" s="174" t="s">
        <v>251</v>
      </c>
      <c r="G65" s="84">
        <v>0</v>
      </c>
      <c r="H65" s="84">
        <v>0</v>
      </c>
      <c r="I65" s="84">
        <v>0</v>
      </c>
      <c r="J65" s="84">
        <v>0</v>
      </c>
      <c r="K65" s="84">
        <v>0</v>
      </c>
      <c r="L65" s="84">
        <v>1</v>
      </c>
      <c r="M65" s="84">
        <v>0</v>
      </c>
      <c r="N65" s="84">
        <v>0</v>
      </c>
      <c r="O65" s="84">
        <v>0</v>
      </c>
      <c r="P65" s="73">
        <v>0</v>
      </c>
      <c r="Q65" s="84">
        <v>0</v>
      </c>
      <c r="R65" s="74">
        <v>1</v>
      </c>
    </row>
    <row r="66" spans="1:18" ht="15" customHeight="1" x14ac:dyDescent="0.15">
      <c r="F66" s="174" t="s">
        <v>252</v>
      </c>
      <c r="G66" s="84">
        <v>0</v>
      </c>
      <c r="H66" s="84">
        <v>0</v>
      </c>
      <c r="I66" s="84">
        <v>0</v>
      </c>
      <c r="J66" s="84">
        <v>0</v>
      </c>
      <c r="K66" s="84">
        <v>0</v>
      </c>
      <c r="L66" s="84">
        <v>1</v>
      </c>
      <c r="M66" s="84">
        <v>0</v>
      </c>
      <c r="N66" s="84">
        <v>0</v>
      </c>
      <c r="O66" s="84">
        <v>0</v>
      </c>
      <c r="P66" s="73">
        <v>0</v>
      </c>
      <c r="Q66" s="84">
        <v>0</v>
      </c>
      <c r="R66" s="74">
        <v>1</v>
      </c>
    </row>
    <row r="67" spans="1:18" ht="15" customHeight="1" x14ac:dyDescent="0.15">
      <c r="F67" s="174" t="s">
        <v>253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1</v>
      </c>
      <c r="M67" s="84">
        <v>0</v>
      </c>
      <c r="N67" s="84">
        <v>0</v>
      </c>
      <c r="O67" s="84">
        <v>0</v>
      </c>
      <c r="P67" s="73">
        <v>0</v>
      </c>
      <c r="Q67" s="84">
        <v>0</v>
      </c>
      <c r="R67" s="74">
        <v>1</v>
      </c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R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13" customWidth="1"/>
    <col min="3" max="5" width="7.83203125" style="113" customWidth="1"/>
    <col min="6" max="8" width="8.83203125" style="6"/>
    <col min="9" max="9" width="14.83203125" style="6" customWidth="1"/>
    <col min="10" max="11" width="15.83203125" style="6" customWidth="1"/>
    <col min="12" max="12" width="15.5" style="6" customWidth="1"/>
    <col min="13" max="13" width="13.83203125" style="6" customWidth="1"/>
    <col min="14" max="14" width="14.6640625" style="6" customWidth="1"/>
    <col min="15" max="15" width="15.5" style="6" customWidth="1"/>
    <col min="16" max="16" width="6.5" style="6" customWidth="1"/>
    <col min="17" max="17" width="12.1640625" style="6" customWidth="1"/>
    <col min="18" max="18" width="7.83203125" style="6" customWidth="1"/>
    <col min="19" max="19" width="8.1640625" style="6" customWidth="1"/>
    <col min="20" max="20" width="5.1640625" style="6" customWidth="1"/>
    <col min="21" max="21" width="15.33203125" style="6" customWidth="1"/>
    <col min="22" max="22" width="6.83203125" style="6" customWidth="1"/>
    <col min="23" max="23" width="14.83203125" style="6" customWidth="1"/>
    <col min="24" max="24" width="12.6640625" style="6" customWidth="1"/>
    <col min="25" max="25" width="6.33203125" style="6" customWidth="1"/>
    <col min="26" max="26" width="8.1640625" style="6" customWidth="1"/>
    <col min="27" max="27" width="7.83203125" style="6" customWidth="1"/>
    <col min="28" max="28" width="9.5" style="6" customWidth="1"/>
    <col min="29" max="29" width="9.33203125" style="6" customWidth="1"/>
    <col min="30" max="30" width="4.5" style="6" customWidth="1"/>
    <col min="31" max="33" width="8.83203125" style="6" customWidth="1"/>
    <col min="34" max="34" width="10.6640625" style="6" customWidth="1"/>
    <col min="35" max="35" width="10.5" style="6" customWidth="1"/>
    <col min="36" max="36" width="7.6640625" style="6" customWidth="1"/>
    <col min="37" max="37" width="7.5" style="6" customWidth="1"/>
    <col min="38" max="38" width="5.5" style="6" customWidth="1"/>
    <col min="39" max="39" width="7.5" customWidth="1"/>
    <col min="40" max="40" width="5.5" customWidth="1"/>
    <col min="41" max="41" width="7.5" customWidth="1"/>
    <col min="42" max="42" width="10.6640625" customWidth="1"/>
    <col min="43" max="43" width="12.1640625" customWidth="1"/>
    <col min="44" max="44" width="10.6640625" customWidth="1"/>
    <col min="45" max="45" width="9.5" customWidth="1"/>
    <col min="46" max="46" width="9" customWidth="1"/>
    <col min="47" max="47" width="7.1640625" customWidth="1"/>
    <col min="48" max="48" width="5.6640625" customWidth="1"/>
    <col min="49" max="49" width="7.6640625" customWidth="1"/>
    <col min="50" max="50" width="8.83203125" customWidth="1"/>
    <col min="51" max="52" width="5.5" customWidth="1"/>
    <col min="53" max="53" width="7.1640625" customWidth="1"/>
    <col min="54" max="54" width="13.1640625" customWidth="1"/>
    <col min="55" max="55" width="12" customWidth="1"/>
    <col min="56" max="56" width="8.33203125" customWidth="1"/>
    <col min="57" max="57" width="16.1640625" customWidth="1"/>
    <col min="58" max="58" width="5.6640625" customWidth="1"/>
    <col min="59" max="59" width="14.6640625" customWidth="1"/>
    <col min="60" max="60" width="7.6640625" customWidth="1"/>
    <col min="61" max="61" width="21.6640625" customWidth="1"/>
    <col min="62" max="62" width="9.83203125" customWidth="1"/>
    <col min="63" max="63" width="10.5" customWidth="1"/>
    <col min="64" max="64" width="13.1640625" customWidth="1"/>
    <col min="65" max="65" width="7.1640625" customWidth="1"/>
    <col min="66" max="67" width="4.1640625" customWidth="1"/>
    <col min="68" max="68" width="6.1640625" customWidth="1"/>
    <col min="69" max="69" width="8.83203125" customWidth="1"/>
    <col min="70" max="70" width="11.5" customWidth="1"/>
    <col min="81" max="81" width="22.1640625" bestFit="1" customWidth="1"/>
  </cols>
  <sheetData>
    <row r="1" spans="1:70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179" t="s">
        <v>192</v>
      </c>
      <c r="J1" s="179" t="s">
        <v>193</v>
      </c>
      <c r="K1" s="179" t="s">
        <v>194</v>
      </c>
      <c r="L1" s="179" t="s">
        <v>195</v>
      </c>
      <c r="M1" s="179" t="s">
        <v>196</v>
      </c>
      <c r="N1" s="179" t="s">
        <v>197</v>
      </c>
      <c r="O1" s="179" t="s">
        <v>198</v>
      </c>
      <c r="P1" s="179" t="s">
        <v>199</v>
      </c>
      <c r="Q1" s="179" t="s">
        <v>200</v>
      </c>
      <c r="R1" s="179" t="s">
        <v>201</v>
      </c>
      <c r="S1" s="179" t="s">
        <v>202</v>
      </c>
      <c r="T1" s="179" t="s">
        <v>203</v>
      </c>
      <c r="U1" s="179" t="s">
        <v>204</v>
      </c>
      <c r="V1" s="179" t="s">
        <v>205</v>
      </c>
      <c r="W1" s="179" t="s">
        <v>206</v>
      </c>
      <c r="X1" s="179" t="s">
        <v>207</v>
      </c>
      <c r="Y1" s="179" t="s">
        <v>208</v>
      </c>
      <c r="Z1" s="179" t="s">
        <v>209</v>
      </c>
      <c r="AA1" s="179" t="s">
        <v>210</v>
      </c>
      <c r="AB1" s="179" t="s">
        <v>211</v>
      </c>
      <c r="AC1" s="179" t="s">
        <v>212</v>
      </c>
      <c r="AD1" s="179" t="s">
        <v>213</v>
      </c>
      <c r="AE1" s="179" t="s">
        <v>214</v>
      </c>
      <c r="AF1" s="179" t="s">
        <v>215</v>
      </c>
      <c r="AG1" s="179" t="s">
        <v>216</v>
      </c>
      <c r="AH1" s="179" t="s">
        <v>217</v>
      </c>
      <c r="AI1" s="179" t="s">
        <v>218</v>
      </c>
      <c r="AJ1" s="179" t="s">
        <v>219</v>
      </c>
      <c r="AK1" s="179" t="s">
        <v>220</v>
      </c>
      <c r="AL1" s="179" t="s">
        <v>221</v>
      </c>
      <c r="AM1" s="179" t="s">
        <v>222</v>
      </c>
      <c r="AN1" s="179" t="s">
        <v>223</v>
      </c>
      <c r="AO1" s="179" t="s">
        <v>224</v>
      </c>
      <c r="AP1" s="179" t="s">
        <v>225</v>
      </c>
      <c r="AQ1" s="179" t="s">
        <v>226</v>
      </c>
      <c r="AR1" s="179" t="s">
        <v>227</v>
      </c>
      <c r="AS1" s="179" t="s">
        <v>228</v>
      </c>
      <c r="AT1" s="179" t="s">
        <v>229</v>
      </c>
      <c r="AU1" s="179" t="s">
        <v>230</v>
      </c>
      <c r="AV1" s="179" t="s">
        <v>231</v>
      </c>
      <c r="AW1" s="179" t="s">
        <v>232</v>
      </c>
      <c r="AX1" s="179" t="s">
        <v>233</v>
      </c>
      <c r="AY1" s="179" t="s">
        <v>234</v>
      </c>
      <c r="AZ1" s="179" t="s">
        <v>235</v>
      </c>
      <c r="BA1" s="179" t="s">
        <v>236</v>
      </c>
      <c r="BB1" s="179" t="s">
        <v>237</v>
      </c>
      <c r="BC1" s="179" t="s">
        <v>238</v>
      </c>
      <c r="BD1" s="179" t="s">
        <v>239</v>
      </c>
      <c r="BE1" s="179" t="s">
        <v>240</v>
      </c>
      <c r="BF1" s="179" t="s">
        <v>241</v>
      </c>
      <c r="BG1" s="179" t="s">
        <v>242</v>
      </c>
      <c r="BH1" s="179" t="s">
        <v>243</v>
      </c>
      <c r="BI1" s="179" t="s">
        <v>244</v>
      </c>
      <c r="BJ1" s="179" t="s">
        <v>245</v>
      </c>
      <c r="BK1" s="179" t="s">
        <v>246</v>
      </c>
      <c r="BL1" s="179" t="s">
        <v>247</v>
      </c>
      <c r="BM1" s="179" t="s">
        <v>248</v>
      </c>
      <c r="BN1" s="179" t="s">
        <v>249</v>
      </c>
      <c r="BO1" s="179" t="s">
        <v>250</v>
      </c>
      <c r="BP1" s="179" t="s">
        <v>251</v>
      </c>
      <c r="BQ1" s="179" t="s">
        <v>252</v>
      </c>
      <c r="BR1" s="179" t="s">
        <v>253</v>
      </c>
    </row>
    <row r="2" spans="1:70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70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70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70" x14ac:dyDescent="0.15">
      <c r="A5" s="178" t="s">
        <v>192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70" x14ac:dyDescent="0.15">
      <c r="A6" s="178" t="s">
        <v>193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70" x14ac:dyDescent="0.15">
      <c r="A7" s="178" t="s">
        <v>194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70" x14ac:dyDescent="0.15">
      <c r="A8" s="178" t="s">
        <v>195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70" x14ac:dyDescent="0.15">
      <c r="A9" s="178" t="s">
        <v>196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70" x14ac:dyDescent="0.15">
      <c r="A10" s="178" t="s">
        <v>197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70" x14ac:dyDescent="0.15">
      <c r="A11" s="178" t="s">
        <v>198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70" x14ac:dyDescent="0.15">
      <c r="A12" s="178" t="s">
        <v>199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70" x14ac:dyDescent="0.15">
      <c r="A13" s="178" t="s">
        <v>200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70" x14ac:dyDescent="0.15">
      <c r="A14" s="178" t="s">
        <v>201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70" x14ac:dyDescent="0.15">
      <c r="A15" s="178" t="s">
        <v>202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70" x14ac:dyDescent="0.15">
      <c r="A16" s="178" t="s">
        <v>203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8" t="s">
        <v>204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8" t="s">
        <v>205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8" t="s">
        <v>206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8" t="s">
        <v>207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8" t="s">
        <v>208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8" t="s">
        <v>209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8" t="s">
        <v>210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8" t="s">
        <v>211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8" t="s">
        <v>212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8" t="s">
        <v>213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78" t="s">
        <v>214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78" t="s">
        <v>215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78" t="s">
        <v>216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78" t="s">
        <v>217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78" t="s">
        <v>218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78" t="s">
        <v>219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78" t="s">
        <v>220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78" t="s">
        <v>221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78" t="s">
        <v>222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78" t="s">
        <v>223</v>
      </c>
      <c r="B36" s="113">
        <v>0</v>
      </c>
      <c r="C36"/>
      <c r="D36"/>
    </row>
    <row r="37" spans="1:38" ht="15" customHeight="1" x14ac:dyDescent="0.15">
      <c r="A37" s="178" t="s">
        <v>224</v>
      </c>
      <c r="B37" s="113">
        <v>0</v>
      </c>
      <c r="C37"/>
      <c r="D37"/>
    </row>
    <row r="38" spans="1:38" ht="15" customHeight="1" x14ac:dyDescent="0.15">
      <c r="A38" s="178" t="s">
        <v>225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78" t="s">
        <v>226</v>
      </c>
      <c r="B39" s="113">
        <v>0</v>
      </c>
      <c r="C39"/>
      <c r="D39"/>
    </row>
    <row r="40" spans="1:38" ht="15" customHeight="1" x14ac:dyDescent="0.15">
      <c r="A40" s="178" t="s">
        <v>227</v>
      </c>
      <c r="B40" s="113">
        <v>0</v>
      </c>
      <c r="C40"/>
      <c r="D40"/>
    </row>
    <row r="41" spans="1:38" ht="15" customHeight="1" x14ac:dyDescent="0.15">
      <c r="A41" s="178" t="s">
        <v>228</v>
      </c>
      <c r="B41" s="113">
        <v>0</v>
      </c>
      <c r="C41"/>
      <c r="D41"/>
    </row>
    <row r="42" spans="1:38" ht="15" customHeight="1" x14ac:dyDescent="0.15">
      <c r="A42" s="178" t="s">
        <v>229</v>
      </c>
      <c r="B42" s="113">
        <v>0</v>
      </c>
    </row>
    <row r="43" spans="1:38" ht="15" customHeight="1" x14ac:dyDescent="0.15">
      <c r="A43" s="178" t="s">
        <v>230</v>
      </c>
      <c r="B43" s="113">
        <v>0</v>
      </c>
    </row>
    <row r="44" spans="1:38" ht="15" customHeight="1" x14ac:dyDescent="0.15">
      <c r="A44" s="178" t="s">
        <v>231</v>
      </c>
      <c r="B44" s="113">
        <v>0</v>
      </c>
    </row>
    <row r="45" spans="1:38" ht="15" customHeight="1" x14ac:dyDescent="0.15">
      <c r="A45" s="178" t="s">
        <v>232</v>
      </c>
      <c r="B45" s="113">
        <v>0</v>
      </c>
    </row>
    <row r="46" spans="1:38" ht="15" customHeight="1" x14ac:dyDescent="0.15">
      <c r="A46" s="178" t="s">
        <v>233</v>
      </c>
      <c r="B46" s="113">
        <v>0</v>
      </c>
    </row>
    <row r="47" spans="1:38" ht="15" customHeight="1" x14ac:dyDescent="0.15">
      <c r="A47" s="178" t="s">
        <v>234</v>
      </c>
      <c r="B47" s="113">
        <v>0</v>
      </c>
    </row>
    <row r="48" spans="1:38" ht="15" customHeight="1" x14ac:dyDescent="0.15">
      <c r="A48" s="178" t="s">
        <v>235</v>
      </c>
      <c r="B48" s="113">
        <v>0</v>
      </c>
    </row>
    <row r="49" spans="1:38" ht="15" customHeight="1" x14ac:dyDescent="0.15">
      <c r="A49" s="178" t="s">
        <v>236</v>
      </c>
      <c r="B49" s="113">
        <v>0</v>
      </c>
    </row>
    <row r="50" spans="1:38" ht="15" customHeight="1" x14ac:dyDescent="0.15">
      <c r="A50" s="178" t="s">
        <v>237</v>
      </c>
      <c r="B50" s="113">
        <v>0</v>
      </c>
    </row>
    <row r="51" spans="1:38" ht="15" customHeight="1" x14ac:dyDescent="0.15">
      <c r="A51" s="178" t="s">
        <v>238</v>
      </c>
      <c r="B51" s="113">
        <v>0</v>
      </c>
    </row>
    <row r="52" spans="1:38" ht="15" customHeight="1" x14ac:dyDescent="0.15">
      <c r="A52" s="178" t="s">
        <v>239</v>
      </c>
      <c r="B52" s="113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178" t="s">
        <v>240</v>
      </c>
      <c r="B53" s="113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178" t="s">
        <v>241</v>
      </c>
      <c r="B54" s="113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178" t="s">
        <v>242</v>
      </c>
      <c r="B55" s="113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178" t="s">
        <v>243</v>
      </c>
      <c r="B56" s="113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178" t="s">
        <v>244</v>
      </c>
      <c r="B57" s="113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178" t="s">
        <v>245</v>
      </c>
      <c r="B58" s="113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178" t="s">
        <v>246</v>
      </c>
      <c r="B59" s="113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178" t="s">
        <v>247</v>
      </c>
      <c r="B60" s="113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178" t="s">
        <v>248</v>
      </c>
      <c r="B61" s="113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178" t="s">
        <v>249</v>
      </c>
      <c r="B62" s="113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178" t="s">
        <v>250</v>
      </c>
      <c r="B63" s="113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178" t="s">
        <v>251</v>
      </c>
      <c r="B64" s="113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178" t="s">
        <v>252</v>
      </c>
      <c r="B65" s="113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178" t="s">
        <v>253</v>
      </c>
      <c r="B66" s="113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2023-08-14T21:54:22Z</dcterms:modified>
</cp:coreProperties>
</file>