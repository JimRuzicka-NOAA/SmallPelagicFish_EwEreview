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EFCDF272-DB20-2745-A4B3-C26273FF44E6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Main!$C$2:$N$59</definedName>
    <definedName name="matDetritus">Detritus!$C$2:$E$59</definedName>
    <definedName name="matDiet">Diets!$B$2:$AR$47</definedName>
    <definedName name="matDiscards">Discards!$C$2:$O$46</definedName>
    <definedName name="matFishery">Fishing!$C$2:$O$46</definedName>
    <definedName name="matFishing">Fishing!#REF!</definedName>
    <definedName name="matMort">Mortalities!$A$1:$BI$46</definedName>
    <definedName name="matOut">MainOutputs!$A$2:$I$59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<sst xmlns="http://schemas.openxmlformats.org/spreadsheetml/2006/main" count="1406" uniqueCount="264">
  <si>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</si>
  <si>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</si>
  <si>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</si>
  <si>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</si>
  <si>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</si>
  <si>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</si>
  <si>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</si>
  <si>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</si>
  <si>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</si>
  <si>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</si>
  <si>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</si>
  <si>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</si>
  <si>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</si>
  <si>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</si>
  <si>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</si>
  <si>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</si>
  <si>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</si>
  <si>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</si>
  <si>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</si>
  <si>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</si>
  <si>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</si>
  <si>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</si>
  <si>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</si>
  <si>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</si>
  <si>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</si>
  <si>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</si>
  <si>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</si>
  <si>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</si>
  <si>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</si>
  <si>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</si>
  <si>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</si>
  <si>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</si>
  <si>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</si>
  <si>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</si>
  <si>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</si>
  <si>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</si>
  <si>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</si>
  <si>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</si>
  <si>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</si>
  <si>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</si>
  <si>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</si>
  <si>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</si>
  <si>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</si>
  <si>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</si>
  <si>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</si>
  <si>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</si>
  <si>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</si>
  <si>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</si>
  <si>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</si>
  <si>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</si>
  <si>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</si>
  <si>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</si>
  <si>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</si>
  <si>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</si>
  <si>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</si>
  <si>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</si>
  <si>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</si>
  <si>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</si>
  <si>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</si>
  <si>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</si>
  <si>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</si>
  <si>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</si>
  <si>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</si>
  <si>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</si>
  <si>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</si>
  <si>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</si>
  <si>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</si>
  <si>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</si>
  <si>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</si>
  <si>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</si>
  <si>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</si>
  <si>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</si>
  <si>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</si>
  <si>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</si>
  <si>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</si>
  <si>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</si>
  <si>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</si>
  <si>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</si>
  <si>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</si>
  <si>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</si>
  <si>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</si>
  <si>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</si>
  <si>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</si>
  <si>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</si>
  <si>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</si>
  <si>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</si>
  <si>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</si>
  <si>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</si>
  <si>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</si>
  <si>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</si>
  <si>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</si>
  <si>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</si>
  <si>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</si>
  <si>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</si>
  <si>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</si>
  <si>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</si>
  <si>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</si>
  <si>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</si>
  <si>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</si>
  <si>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</si>
  <si>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</si>
  <si>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</si>
  <si>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</si>
  <si>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</si>
  <si>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</si>
  <si>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</si>
  <si>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</si>
  <si>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</si>
  <si>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</si>
  <si>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</si>
  <si>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</si>
  <si>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</si>
  <si>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</si>
  <si>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</si>
  <si>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</si>
  <si>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</si>
  <si>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</si>
  <si>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</si>
  <si>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</si>
  <si>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</si>
  <si>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</si>
  <si>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</si>
  <si>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</si>
  <si>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</si>
  <si>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</si>
  <si>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</si>
  <si>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</si>
  <si>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</si>
  <si>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</si>
  <si>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</si>
  <si>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</si>
  <si>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</si>
  <si>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</si>
  <si>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</si>
  <si>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</si>
  <si>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</si>
  <si>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</si>
  <si>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</si>
  <si>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</si>
  <si>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</si>
  <si>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</si>
  <si>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</si>
  <si>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</si>
  <si>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</si>
  <si>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</si>
  <si>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</si>
  <si>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</si>
  <si>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</si>
  <si>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</si>
  <si>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</si>
  <si>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</si>
  <si>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</si>
  <si>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</si>
  <si>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</si>
  <si>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</si>
  <si>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</si>
  <si>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</si>
  <si>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</si>
  <si>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</si>
  <si>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</si>
  <si>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</si>
  <si>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</si>
  <si>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</si>
  <si>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</si>
  <si>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</si>
  <si>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</si>
  <si>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</si>
  <si>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</si>
  <si>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</si>
  <si>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</si>
  <si>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</si>
  <si>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</si>
  <si>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</si>
  <si>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</si>
  <si>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</si>
  <si>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</si>
  <si>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</si>
  <si>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</si>
  <si>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</si>
  <si>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</si>
  <si>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</si>
  <si>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</si>
  <si>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</si>
  <si>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</si>
  <si>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</si>
  <si>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Azores archipelago</t>
  </si>
  <si>
    <t>Azores Islands</t>
  </si>
  <si>
    <t>BOX(-33.3185 35,-24 41)</t>
  </si>
  <si>
    <t>continental shelf</t>
  </si>
  <si>
    <t>WetWeight</t>
  </si>
  <si>
    <t>from Azores 1997 VC modif</t>
  </si>
  <si>
    <t>Guénette S.,Morato T.(2001). The Azores Archipelago, 1997 Fisheries Impacts on North Atlantic Ecosystems: Models and Analyses. pp 241-270. In Guénette S.,Christensen V.,Pauly D.,Guénette S.,Christensen V.,Pauly D.</t>
  </si>
  <si>
    <t>phytoplankton</t>
  </si>
  <si>
    <t>small zoopl</t>
  </si>
  <si>
    <t>large zoopl</t>
  </si>
  <si>
    <t>Loligo</t>
  </si>
  <si>
    <t>Octopus</t>
  </si>
  <si>
    <t>cephalop s</t>
  </si>
  <si>
    <t>cephalop L</t>
  </si>
  <si>
    <t>lobsters</t>
  </si>
  <si>
    <t>shrimps crabs</t>
  </si>
  <si>
    <t>other benthos</t>
  </si>
  <si>
    <t>sea stars</t>
  </si>
  <si>
    <t>coastal S herb</t>
  </si>
  <si>
    <t>coastal S inv</t>
  </si>
  <si>
    <t>coastal S pred</t>
  </si>
  <si>
    <t>coastal M herb</t>
  </si>
  <si>
    <t>coastal M inv</t>
  </si>
  <si>
    <t>coastal M pred</t>
  </si>
  <si>
    <t>coastal L pred</t>
  </si>
  <si>
    <t>demersal S inv</t>
  </si>
  <si>
    <t>Pagellus bogaraveo</t>
  </si>
  <si>
    <t>demersal M inv</t>
  </si>
  <si>
    <t>demersal M pred</t>
  </si>
  <si>
    <t>Helicolenus</t>
  </si>
  <si>
    <t>demersal L pred</t>
  </si>
  <si>
    <t>Phycis phycis</t>
  </si>
  <si>
    <t>pelagic S inv</t>
  </si>
  <si>
    <t>pelagic S pred</t>
  </si>
  <si>
    <t>pelagic M pred</t>
  </si>
  <si>
    <t>pelagic L pred</t>
  </si>
  <si>
    <t>mesopelagics</t>
  </si>
  <si>
    <t>deepwater S</t>
  </si>
  <si>
    <t>deepwater M</t>
  </si>
  <si>
    <t>deepwater L</t>
  </si>
  <si>
    <t>rays</t>
  </si>
  <si>
    <t>sharks M</t>
  </si>
  <si>
    <t>sharks L</t>
  </si>
  <si>
    <t>tunas</t>
  </si>
  <si>
    <t>turtles</t>
  </si>
  <si>
    <t>birds</t>
  </si>
  <si>
    <t>baleen whales</t>
  </si>
  <si>
    <t>Dolphins</t>
  </si>
  <si>
    <t>killer whales</t>
  </si>
  <si>
    <t>Detritus</t>
  </si>
  <si>
    <t>detritus_TerminalBenthic</t>
  </si>
  <si>
    <t>Dalatias</t>
  </si>
  <si>
    <t>Demersal</t>
  </si>
  <si>
    <t>DW Longline</t>
  </si>
  <si>
    <t>Handline</t>
  </si>
  <si>
    <t>Lobster</t>
  </si>
  <si>
    <t>Nets+Balistes</t>
  </si>
  <si>
    <t>Algae</t>
  </si>
  <si>
    <t>Small pelagic</t>
  </si>
  <si>
    <t>Swordfish</t>
  </si>
  <si>
    <t>Tuna</t>
  </si>
  <si>
    <t>Other benthos</t>
  </si>
  <si>
    <t>Import</t>
  </si>
  <si>
    <t>export</t>
  </si>
  <si>
    <t>sum</t>
  </si>
  <si>
    <t>TOTAL</t>
  </si>
  <si>
    <t>F Dalatias</t>
  </si>
  <si>
    <t>F Demersal</t>
  </si>
  <si>
    <t>F DW Longline</t>
  </si>
  <si>
    <t>F Handline</t>
  </si>
  <si>
    <t>F Lobster</t>
  </si>
  <si>
    <t>F Loligo</t>
  </si>
  <si>
    <t>F Nets+Balistes</t>
  </si>
  <si>
    <t>F Octopus</t>
  </si>
  <si>
    <t>F Algae</t>
  </si>
  <si>
    <t>F Small pelagic</t>
  </si>
  <si>
    <t>F Swordfish</t>
  </si>
  <si>
    <t>F Tuna</t>
  </si>
  <si>
    <t>F Other benthos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</si>
</sst>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8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FF1C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FF3A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FF67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ED00"/>
        <bgColor indexed="64"/>
      </patternFill>
    </fill>
    <fill>
      <patternFill patternType="solid">
        <fgColor rgb="FFFF5E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FF6D00"/>
        <bgColor indexed="64"/>
      </patternFill>
    </fill>
    <fill>
      <patternFill patternType="solid">
        <fgColor rgb="FF9B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0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38" borderId="0" xfId="0" applyFill="1"/>
    <xf numFmtId="0" fontId="0" fillId="0" borderId="0" xfId="0" applyFont="1" applyFill="1" applyAlignment="1">
      <alignment horizontal="center"/>
    </xf>
    <xf numFmtId="0" fontId="0" fillId="3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85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6" t="s">
        <v>171</v>
      </c>
      <c r="C53" s="107">
        <v>7</v>
      </c>
      <c r="D53" s="107"/>
    </row>
    <row r="54" spans="2:4" x14ac:dyDescent="0.15">
      <c r="B54" s="176" t="s">
        <v>172</v>
      </c>
      <c r="C54" s="176" t="s">
        <v>185</v>
      </c>
      <c r="D54" s="107"/>
    </row>
    <row r="55" spans="2:4" x14ac:dyDescent="0.15">
      <c r="B55" s="176" t="s">
        <v>173</v>
      </c>
      <c r="C55" s="176" t="s">
        <v>186</v>
      </c>
      <c r="D55" s="107"/>
    </row>
    <row r="56" spans="2:4" x14ac:dyDescent="0.15">
      <c r="B56" s="176" t="s">
        <v>174</v>
      </c>
      <c r="C56" s="107">
        <v>584000</v>
      </c>
      <c r="D56" s="107"/>
    </row>
    <row r="57" spans="2:4" x14ac:dyDescent="0.15">
      <c r="B57" s="176" t="s">
        <v>175</v>
      </c>
      <c r="C57" s="176" t="s">
        <v>187</v>
      </c>
      <c r="D57" s="107"/>
    </row>
    <row r="58" spans="2:4" x14ac:dyDescent="0.15">
      <c r="B58" s="176" t="s">
        <v>176</v>
      </c>
      <c r="C58" s="176" t="s">
        <v>188</v>
      </c>
      <c r="D58" s="107"/>
    </row>
    <row r="59" spans="2:4" x14ac:dyDescent="0.15">
      <c r="B59" s="176" t="s">
        <v>177</v>
      </c>
      <c r="C59" s="176" t="s">
        <v>189</v>
      </c>
      <c r="D59" s="107"/>
    </row>
    <row r="60" spans="2:4" x14ac:dyDescent="0.15">
      <c r="B60" s="176" t="s">
        <v>178</v>
      </c>
      <c r="C60" s="176" t="s">
        <v>190</v>
      </c>
      <c r="D60" s="107"/>
    </row>
    <row r="61" spans="2:4" x14ac:dyDescent="0.15">
      <c r="B61" s="176" t="s">
        <v>179</v>
      </c>
      <c r="C61" s="107">
        <v>44</v>
      </c>
      <c r="D61" s="107"/>
    </row>
    <row r="62" spans="2:4" x14ac:dyDescent="0.15">
      <c r="B62" s="176" t="s">
        <v>180</v>
      </c>
      <c r="C62" s="107">
        <v>13</v>
      </c>
      <c r="D62" s="107"/>
    </row>
    <row r="63" spans="2:4" x14ac:dyDescent="0.15">
      <c r="B63" s="176" t="s">
        <v>181</v>
      </c>
      <c r="C63" s="107">
        <v>1997</v>
      </c>
      <c r="D63" s="107"/>
    </row>
    <row r="64" spans="2:4" x14ac:dyDescent="0.15">
      <c r="B64" s="176" t="s">
        <v>182</v>
      </c>
      <c r="C64" s="107">
        <v>0</v>
      </c>
      <c r="D64" s="107"/>
    </row>
    <row r="65" spans="2:4" x14ac:dyDescent="0.15">
      <c r="B65" s="176" t="s">
        <v>183</v>
      </c>
      <c r="C65" s="176" t="s">
        <v>191</v>
      </c>
      <c r="D65" s="107"/>
    </row>
    <row r="66" spans="2:4" x14ac:dyDescent="0.15">
      <c r="B66" s="176" t="s">
        <v>184</v>
      </c>
      <c r="D66" s="107"/>
    </row>
    <row r="67" spans="2:4" x14ac:dyDescent="0.15">
      <c r="B67" s="107"/>
      <c r="C67" s="107"/>
      <c r="D67" s="107"/>
    </row>
    <row r="68" spans="2:4" x14ac:dyDescent="0.15">
      <c r="B68" s="107"/>
      <c r="C68" s="107"/>
      <c r="D68" s="107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80" customWidth="1"/>
    <col min="2" max="3" width="3.33203125" style="80" customWidth="1"/>
    <col min="4" max="4" width="14.33203125" style="80" customWidth="1"/>
    <col min="5" max="5" width="21.6640625" style="80" bestFit="1" customWidth="1"/>
    <col min="6" max="6" width="2.33203125" style="80" bestFit="1" customWidth="1"/>
    <col min="7" max="7" width="14.83203125" style="80" bestFit="1" customWidth="1"/>
    <col min="8" max="8" width="5.83203125" style="80" customWidth="1"/>
    <col min="9" max="9" width="10.83203125" style="80" customWidth="1"/>
    <col min="10" max="10" width="11.83203125" style="80" customWidth="1"/>
    <col min="11" max="11" width="13.83203125" style="80" customWidth="1"/>
    <col min="12" max="12" width="2.33203125" style="80" customWidth="1"/>
    <col min="13" max="13" width="3.83203125" style="80" customWidth="1"/>
    <col min="14" max="14" width="2.33203125" style="80" customWidth="1"/>
    <col min="16" max="25" width="8.83203125" style="8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0"/>
  </cols>
  <sheetData>
    <row r="1" spans="1:46" s="97" customFormat="1" ht="15" customHeight="1" x14ac:dyDescent="0.15">
      <c r="A1" s="76" t="s">
        <v>18</v>
      </c>
      <c r="C1" s="77" t="s">
        <v>8</v>
      </c>
      <c r="D1" s="76" t="s">
        <v>23</v>
      </c>
      <c r="E1" s="76" t="s">
        <v>0</v>
      </c>
      <c r="F1" s="76" t="s">
        <v>7</v>
      </c>
      <c r="G1" s="78" t="s">
        <v>13</v>
      </c>
      <c r="H1" s="76" t="s">
        <v>1</v>
      </c>
      <c r="I1" s="76" t="s">
        <v>2</v>
      </c>
      <c r="J1" s="76" t="s">
        <v>14</v>
      </c>
      <c r="K1" s="76" t="s">
        <v>3</v>
      </c>
      <c r="L1" s="76" t="s">
        <v>4</v>
      </c>
      <c r="M1" s="76" t="s">
        <v>5</v>
      </c>
      <c r="N1" s="7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7">
        <v>1</v>
      </c>
      <c r="D2"/>
      <c r="E2" s="177" t="s">
        <v>192</v>
      </c>
      <c r="F2" s="80">
        <v>1</v>
      </c>
      <c r="G2" s="80">
        <v>7</v>
      </c>
      <c r="H2" s="80">
        <v>290</v>
      </c>
      <c r="I2" s="6">
        <v>0</v>
      </c>
      <c r="J2" s="6">
        <v>0.31751027700000001</v>
      </c>
      <c r="K2" s="6">
        <v>0</v>
      </c>
      <c r="L2" s="6">
        <v>0</v>
      </c>
      <c r="M2" s="80">
        <v>0</v>
      </c>
      <c r="N2" s="80">
        <v>0</v>
      </c>
    </row>
    <row r="3" spans="1:46" ht="15" customHeight="1" x14ac:dyDescent="0.15">
      <c r="A3" s="1" t="s">
        <v>9</v>
      </c>
      <c r="B3" s="4">
        <v>43</v>
      </c>
      <c r="C3" s="80">
        <v>2</v>
      </c>
      <c r="D3"/>
      <c r="E3" s="177" t="s">
        <v>67</v>
      </c>
      <c r="F3" s="80">
        <v>1</v>
      </c>
      <c r="G3" s="80">
        <v>3.71</v>
      </c>
      <c r="H3" s="80">
        <v>4.34</v>
      </c>
      <c r="I3" s="80">
        <v>0</v>
      </c>
      <c r="J3" s="80">
        <v>0.17845934599999999</v>
      </c>
      <c r="K3" s="80">
        <v>0</v>
      </c>
      <c r="L3" s="80">
        <v>0</v>
      </c>
      <c r="M3" s="80">
        <v>0</v>
      </c>
      <c r="N3" s="80">
        <v>0</v>
      </c>
    </row>
    <row r="4" spans="1:46" ht="15" customHeight="1" x14ac:dyDescent="0.15">
      <c r="A4" s="1" t="s">
        <v>10</v>
      </c>
      <c r="B4" s="4">
        <v>2</v>
      </c>
      <c r="C4" s="80">
        <v>3</v>
      </c>
      <c r="D4"/>
      <c r="E4" s="177" t="s">
        <v>193</v>
      </c>
      <c r="F4" s="80">
        <v>0</v>
      </c>
      <c r="G4" s="80">
        <v>3.4294204700000002</v>
      </c>
      <c r="H4" s="80">
        <v>60</v>
      </c>
      <c r="I4" s="80">
        <v>199.99998500000001</v>
      </c>
      <c r="J4" s="80">
        <v>0.95</v>
      </c>
      <c r="K4" s="80">
        <v>0.3</v>
      </c>
      <c r="L4" s="80">
        <v>0</v>
      </c>
      <c r="M4" s="80">
        <v>0.4</v>
      </c>
      <c r="N4" s="8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13</v>
      </c>
      <c r="C5" s="80">
        <v>4</v>
      </c>
      <c r="D5"/>
      <c r="E5" s="177" t="s">
        <v>194</v>
      </c>
      <c r="F5" s="80">
        <v>0</v>
      </c>
      <c r="G5" s="80">
        <v>6.9183579999999996</v>
      </c>
      <c r="H5" s="80">
        <v>5</v>
      </c>
      <c r="I5" s="80">
        <v>32</v>
      </c>
      <c r="J5" s="80">
        <v>0.8</v>
      </c>
      <c r="K5" s="80">
        <v>0.15625</v>
      </c>
      <c r="L5" s="80">
        <v>0</v>
      </c>
      <c r="M5" s="80">
        <v>0.4</v>
      </c>
      <c r="N5" s="80">
        <v>0</v>
      </c>
      <c r="P5" s="70"/>
      <c r="Q5" s="70"/>
      <c r="R5" s="70"/>
    </row>
    <row r="6" spans="1:46" ht="15" customHeight="1" thickBot="1" x14ac:dyDescent="0.2">
      <c r="B6" s="1"/>
      <c r="C6" s="80">
        <v>5</v>
      </c>
      <c r="D6"/>
      <c r="E6" s="177" t="s">
        <v>195</v>
      </c>
      <c r="F6" s="80">
        <v>0</v>
      </c>
      <c r="G6" s="80">
        <v>6.6477099999999997E-2</v>
      </c>
      <c r="H6" s="80">
        <v>2.89</v>
      </c>
      <c r="I6" s="80">
        <v>10</v>
      </c>
      <c r="J6" s="80">
        <v>0.95</v>
      </c>
      <c r="K6" s="80">
        <v>0.28899999999999998</v>
      </c>
      <c r="L6" s="80">
        <v>0</v>
      </c>
      <c r="M6" s="80">
        <v>0.2</v>
      </c>
      <c r="N6" s="80">
        <v>0</v>
      </c>
      <c r="P6" s="70"/>
      <c r="Q6" s="70"/>
      <c r="R6" s="70"/>
      <c r="W6" s="35" t="s">
        <v>31</v>
      </c>
      <c r="X6" s="51">
        <f>MAX(MainOutputs!G:G)</f>
        <v>0.9500001072883606</v>
      </c>
    </row>
    <row r="7" spans="1:46" ht="15" customHeight="1" x14ac:dyDescent="0.15">
      <c r="A7" s="2" t="s">
        <v>27</v>
      </c>
      <c r="B7" s="80">
        <f ca="1">COUNTIF(OFFSET(cornerDiets,1,1,NumLiving+NumDead+1,NumLiving+NumDead),"&gt;0")+NumLiving+NumDead+1</f>
        <v>388</v>
      </c>
      <c r="C7" s="80">
        <v>6</v>
      </c>
      <c r="D7"/>
      <c r="E7" s="177" t="s">
        <v>196</v>
      </c>
      <c r="F7" s="80">
        <v>0</v>
      </c>
      <c r="G7" s="80">
        <v>1.25901373E-2</v>
      </c>
      <c r="H7" s="80">
        <v>2.89</v>
      </c>
      <c r="I7" s="80">
        <v>10</v>
      </c>
      <c r="J7" s="80">
        <v>0.95</v>
      </c>
      <c r="K7" s="80">
        <v>0.28899999999999998</v>
      </c>
      <c r="L7" s="80">
        <v>0</v>
      </c>
      <c r="M7" s="80">
        <v>0.2</v>
      </c>
      <c r="N7" s="80">
        <v>0</v>
      </c>
      <c r="P7" s="70"/>
      <c r="Q7" s="70"/>
      <c r="R7" s="70"/>
    </row>
    <row r="8" spans="1:46" ht="15" customHeight="1" x14ac:dyDescent="0.15">
      <c r="A8" s="2" t="s">
        <v>28</v>
      </c>
      <c r="B8" s="80">
        <f ca="1">COUNTIF(OFFSET(cornerFishing,1,2,NumLiving+NumDead,NumGears),"&gt;0")+NumDead*COUNTIF(OFFSET(cornerDiscards,1,2,NumLiving+NumDead,NumGears),"&gt;0")+NumLiving+NumDead+1</f>
        <v>79</v>
      </c>
      <c r="C8" s="80">
        <v>7</v>
      </c>
      <c r="D8"/>
      <c r="E8" s="177" t="s">
        <v>197</v>
      </c>
      <c r="F8" s="80">
        <v>0</v>
      </c>
      <c r="G8" s="80">
        <v>8.7769813799999999E-2</v>
      </c>
      <c r="H8" s="80">
        <v>4</v>
      </c>
      <c r="I8" s="80">
        <v>10</v>
      </c>
      <c r="J8" s="80">
        <v>0.95</v>
      </c>
      <c r="K8" s="80">
        <v>0.4</v>
      </c>
      <c r="L8" s="80">
        <v>0</v>
      </c>
      <c r="M8" s="80">
        <v>0.2</v>
      </c>
      <c r="N8" s="80">
        <v>0</v>
      </c>
      <c r="P8" s="70"/>
      <c r="Q8" s="70"/>
      <c r="R8" s="70"/>
    </row>
    <row r="9" spans="1:46" ht="15" customHeight="1" x14ac:dyDescent="0.15">
      <c r="B9" s="1"/>
      <c r="C9" s="80">
        <v>8</v>
      </c>
      <c r="D9"/>
      <c r="E9" s="177" t="s">
        <v>198</v>
      </c>
      <c r="F9" s="80">
        <v>0</v>
      </c>
      <c r="G9" s="80">
        <v>3.4278669999999997E-2</v>
      </c>
      <c r="H9" s="80">
        <v>2.5</v>
      </c>
      <c r="I9" s="80">
        <v>10</v>
      </c>
      <c r="J9" s="80">
        <v>0.95</v>
      </c>
      <c r="K9" s="80">
        <v>0.25</v>
      </c>
      <c r="L9" s="80">
        <v>0</v>
      </c>
      <c r="M9" s="80">
        <v>0.2</v>
      </c>
      <c r="N9" s="80">
        <v>0</v>
      </c>
      <c r="P9" s="70"/>
      <c r="Q9" s="70"/>
      <c r="R9" s="70"/>
    </row>
    <row r="10" spans="1:46" ht="15" customHeight="1" x14ac:dyDescent="0.15">
      <c r="B10" s="1"/>
      <c r="C10" s="80">
        <v>9</v>
      </c>
      <c r="D10"/>
      <c r="E10" s="177" t="s">
        <v>199</v>
      </c>
      <c r="F10" s="80">
        <v>0</v>
      </c>
      <c r="G10" s="80">
        <v>4.4999999999999997E-3</v>
      </c>
      <c r="H10" s="80">
        <v>0.6</v>
      </c>
      <c r="I10" s="80">
        <v>10.000000999999999</v>
      </c>
      <c r="J10" s="80">
        <v>0.350387752</v>
      </c>
      <c r="K10" s="80">
        <v>0.06</v>
      </c>
      <c r="L10" s="80">
        <v>0</v>
      </c>
      <c r="M10" s="80">
        <v>0.2</v>
      </c>
      <c r="N10" s="80">
        <v>0</v>
      </c>
    </row>
    <row r="11" spans="1:46" ht="15" customHeight="1" x14ac:dyDescent="0.15">
      <c r="C11" s="80">
        <v>10</v>
      </c>
      <c r="D11"/>
      <c r="E11" s="177" t="s">
        <v>200</v>
      </c>
      <c r="F11" s="80">
        <v>0</v>
      </c>
      <c r="G11" s="80">
        <v>1.3064314100000001</v>
      </c>
      <c r="H11" s="80">
        <v>1.6</v>
      </c>
      <c r="I11" s="80">
        <v>10</v>
      </c>
      <c r="J11" s="80">
        <v>0.95</v>
      </c>
      <c r="K11" s="80">
        <v>0.16</v>
      </c>
      <c r="L11" s="80">
        <v>0</v>
      </c>
      <c r="M11" s="80">
        <v>0.2</v>
      </c>
      <c r="N11" s="80">
        <v>0</v>
      </c>
    </row>
    <row r="12" spans="1:46" ht="15" customHeight="1" x14ac:dyDescent="0.15">
      <c r="C12" s="80">
        <v>11</v>
      </c>
      <c r="D12"/>
      <c r="E12" s="177" t="s">
        <v>201</v>
      </c>
      <c r="F12" s="80">
        <v>0</v>
      </c>
      <c r="G12" s="80">
        <v>7.9319959999999998</v>
      </c>
      <c r="H12" s="80">
        <v>2</v>
      </c>
      <c r="I12" s="80">
        <v>16.6666679</v>
      </c>
      <c r="J12" s="80">
        <v>0.95</v>
      </c>
      <c r="K12" s="80">
        <v>0.12</v>
      </c>
      <c r="L12" s="80">
        <v>0</v>
      </c>
      <c r="M12" s="80">
        <v>0.2</v>
      </c>
      <c r="N12" s="80">
        <v>0</v>
      </c>
    </row>
    <row r="13" spans="1:46" ht="15" customHeight="1" x14ac:dyDescent="0.15">
      <c r="C13" s="80">
        <v>12</v>
      </c>
      <c r="D13"/>
      <c r="E13" s="177" t="s">
        <v>202</v>
      </c>
      <c r="F13" s="80">
        <v>0</v>
      </c>
      <c r="G13" s="80">
        <v>0.27074325100000002</v>
      </c>
      <c r="H13" s="80">
        <v>0.4</v>
      </c>
      <c r="I13" s="80">
        <v>4.4444439999999998</v>
      </c>
      <c r="J13" s="80">
        <v>0.95</v>
      </c>
      <c r="K13" s="80">
        <v>0.09</v>
      </c>
      <c r="L13" s="80">
        <v>0</v>
      </c>
      <c r="M13" s="80">
        <v>0.2</v>
      </c>
      <c r="N13" s="80">
        <v>0</v>
      </c>
    </row>
    <row r="14" spans="1:46" ht="15" customHeight="1" x14ac:dyDescent="0.15">
      <c r="C14" s="80">
        <v>13</v>
      </c>
      <c r="D14"/>
      <c r="E14" s="177" t="s">
        <v>203</v>
      </c>
      <c r="F14" s="80">
        <v>0</v>
      </c>
      <c r="G14" s="80">
        <v>0.133110166</v>
      </c>
      <c r="H14" s="80">
        <v>1.07</v>
      </c>
      <c r="I14" s="80">
        <v>13</v>
      </c>
      <c r="J14" s="80">
        <v>0.95</v>
      </c>
      <c r="K14" s="80">
        <v>8.2307699999999998E-2</v>
      </c>
      <c r="L14" s="80">
        <v>0</v>
      </c>
      <c r="M14" s="80">
        <v>0.2</v>
      </c>
      <c r="N14" s="80">
        <v>0</v>
      </c>
    </row>
    <row r="15" spans="1:46" ht="15" customHeight="1" x14ac:dyDescent="0.15">
      <c r="C15" s="80">
        <v>14</v>
      </c>
      <c r="D15"/>
      <c r="E15" s="177" t="s">
        <v>204</v>
      </c>
      <c r="F15" s="80">
        <v>0</v>
      </c>
      <c r="G15" s="80">
        <v>0.33017906499999999</v>
      </c>
      <c r="H15" s="80">
        <v>2.625</v>
      </c>
      <c r="I15" s="80">
        <v>10.5</v>
      </c>
      <c r="J15" s="80">
        <v>0.95</v>
      </c>
      <c r="K15" s="80">
        <v>0.25</v>
      </c>
      <c r="L15" s="80">
        <v>0</v>
      </c>
      <c r="M15" s="80">
        <v>0.2</v>
      </c>
      <c r="N15" s="80">
        <v>0</v>
      </c>
    </row>
    <row r="16" spans="1:46" ht="15" customHeight="1" x14ac:dyDescent="0.15">
      <c r="C16" s="80">
        <v>15</v>
      </c>
      <c r="D16"/>
      <c r="E16" s="177" t="s">
        <v>205</v>
      </c>
      <c r="F16" s="80">
        <v>0</v>
      </c>
      <c r="G16" s="80">
        <v>0.25922990000000001</v>
      </c>
      <c r="H16" s="80">
        <v>0.8</v>
      </c>
      <c r="I16" s="80">
        <v>8.4</v>
      </c>
      <c r="J16" s="80">
        <v>0.95</v>
      </c>
      <c r="K16" s="80">
        <v>9.5238104500000004E-2</v>
      </c>
      <c r="L16" s="80">
        <v>0</v>
      </c>
      <c r="M16" s="80">
        <v>0.2</v>
      </c>
      <c r="N16" s="80">
        <v>0</v>
      </c>
    </row>
    <row r="17" spans="1:22" ht="15" customHeight="1" x14ac:dyDescent="0.15">
      <c r="C17" s="80">
        <v>16</v>
      </c>
      <c r="D17"/>
      <c r="E17" s="177" t="s">
        <v>206</v>
      </c>
      <c r="F17" s="80">
        <v>0</v>
      </c>
      <c r="G17" s="80">
        <v>3.5596995100000001E-3</v>
      </c>
      <c r="H17" s="80">
        <v>0.4</v>
      </c>
      <c r="I17" s="80">
        <v>6</v>
      </c>
      <c r="J17" s="80">
        <v>0.95</v>
      </c>
      <c r="K17" s="80">
        <v>6.6666669999999997E-2</v>
      </c>
      <c r="L17" s="80">
        <v>0</v>
      </c>
      <c r="M17" s="80">
        <v>0.2</v>
      </c>
      <c r="N17" s="80">
        <v>0</v>
      </c>
      <c r="V17" s="1" t="s">
        <v>30</v>
      </c>
    </row>
    <row r="18" spans="1:22" ht="15" customHeight="1" x14ac:dyDescent="0.15">
      <c r="C18" s="80">
        <v>17</v>
      </c>
      <c r="D18"/>
      <c r="E18" s="177" t="s">
        <v>207</v>
      </c>
      <c r="F18" s="80">
        <v>0</v>
      </c>
      <c r="G18" s="80">
        <v>8.2800289999999999E-2</v>
      </c>
      <c r="H18" s="80">
        <v>0.89</v>
      </c>
      <c r="I18" s="80">
        <v>6.9</v>
      </c>
      <c r="J18" s="80">
        <v>0.95</v>
      </c>
      <c r="K18" s="80">
        <v>0.128985509</v>
      </c>
      <c r="L18" s="80">
        <v>0</v>
      </c>
      <c r="M18" s="80">
        <v>0.2</v>
      </c>
      <c r="N18" s="80">
        <v>0</v>
      </c>
      <c r="V18" s="1"/>
    </row>
    <row r="19" spans="1:22" ht="15" customHeight="1" x14ac:dyDescent="0.15">
      <c r="C19" s="80">
        <v>18</v>
      </c>
      <c r="D19"/>
      <c r="E19" s="177" t="s">
        <v>208</v>
      </c>
      <c r="F19" s="80">
        <v>0</v>
      </c>
      <c r="G19" s="80">
        <v>3.4850689999999997E-2</v>
      </c>
      <c r="H19" s="80">
        <v>0.45</v>
      </c>
      <c r="I19" s="80">
        <v>6.6</v>
      </c>
      <c r="J19" s="80">
        <v>0.95</v>
      </c>
      <c r="K19" s="80">
        <v>6.8181820000000004E-2</v>
      </c>
      <c r="L19" s="80">
        <v>0</v>
      </c>
      <c r="M19" s="80">
        <v>0.2</v>
      </c>
      <c r="N19" s="80">
        <v>0</v>
      </c>
    </row>
    <row r="20" spans="1:22" ht="15" customHeight="1" thickBot="1" x14ac:dyDescent="0.2">
      <c r="C20" s="80">
        <v>19</v>
      </c>
      <c r="D20"/>
      <c r="E20" s="177" t="s">
        <v>209</v>
      </c>
      <c r="F20" s="80">
        <v>0</v>
      </c>
      <c r="G20" s="80">
        <v>0.02</v>
      </c>
      <c r="H20" s="80">
        <v>0.25</v>
      </c>
      <c r="I20" s="80">
        <v>4.0999999999999996</v>
      </c>
      <c r="J20" s="80">
        <v>0.177345589</v>
      </c>
      <c r="K20" s="80">
        <v>6.097561E-2</v>
      </c>
      <c r="L20" s="80">
        <v>0</v>
      </c>
      <c r="M20" s="80">
        <v>0.2</v>
      </c>
      <c r="N20" s="80">
        <v>0</v>
      </c>
    </row>
    <row r="21" spans="1:22" ht="15" customHeight="1" thickBot="1" x14ac:dyDescent="0.2">
      <c r="A21" s="46" t="s">
        <v>137</v>
      </c>
      <c r="B21" s="98"/>
      <c r="C21" s="80">
        <v>20</v>
      </c>
      <c r="D21"/>
      <c r="E21" s="177" t="s">
        <v>210</v>
      </c>
      <c r="F21" s="80">
        <v>0</v>
      </c>
      <c r="G21" s="80">
        <v>0.22089228</v>
      </c>
      <c r="H21" s="80">
        <v>2</v>
      </c>
      <c r="I21" s="80">
        <v>11.6</v>
      </c>
      <c r="J21" s="80">
        <v>0.95</v>
      </c>
      <c r="K21" s="80">
        <v>0.17241378099999999</v>
      </c>
      <c r="L21" s="80">
        <v>0</v>
      </c>
      <c r="M21" s="80">
        <v>0.2</v>
      </c>
      <c r="N21" s="80">
        <v>0</v>
      </c>
    </row>
    <row r="22" spans="1:22" ht="15" customHeight="1" x14ac:dyDescent="0.15">
      <c r="A22" s="99" t="s">
        <v>58</v>
      </c>
      <c r="B22" s="100">
        <v>0</v>
      </c>
      <c r="C22" s="80">
        <v>21</v>
      </c>
      <c r="D22"/>
      <c r="E22" s="177" t="s">
        <v>211</v>
      </c>
      <c r="F22" s="80">
        <v>0</v>
      </c>
      <c r="G22" s="80">
        <v>6.0000000000000001E-3</v>
      </c>
      <c r="H22" s="80">
        <v>0.66</v>
      </c>
      <c r="I22" s="80">
        <v>5.2</v>
      </c>
      <c r="J22" s="80">
        <v>0.77045726800000003</v>
      </c>
      <c r="K22" s="80">
        <v>0.12692308399999999</v>
      </c>
      <c r="L22" s="80">
        <v>0</v>
      </c>
      <c r="M22" s="80">
        <v>0.2</v>
      </c>
      <c r="N22" s="80">
        <v>0</v>
      </c>
    </row>
    <row r="23" spans="1:22" ht="15" customHeight="1" x14ac:dyDescent="0.15">
      <c r="A23" s="99" t="s">
        <v>59</v>
      </c>
      <c r="B23" s="100">
        <v>1</v>
      </c>
      <c r="C23" s="80">
        <v>22</v>
      </c>
      <c r="D23"/>
      <c r="E23" s="177" t="s">
        <v>212</v>
      </c>
      <c r="F23" s="80">
        <v>0</v>
      </c>
      <c r="G23" s="80">
        <v>4.1999999999999997E-3</v>
      </c>
      <c r="H23" s="80">
        <v>1.2</v>
      </c>
      <c r="I23" s="80">
        <v>8.1</v>
      </c>
      <c r="J23" s="80">
        <v>0.71610063300000004</v>
      </c>
      <c r="K23" s="80">
        <v>0.14814814900000001</v>
      </c>
      <c r="L23" s="80">
        <v>0</v>
      </c>
      <c r="M23" s="80">
        <v>0.2</v>
      </c>
      <c r="N23" s="80">
        <v>0</v>
      </c>
    </row>
    <row r="24" spans="1:22" ht="15" customHeight="1" x14ac:dyDescent="0.15">
      <c r="A24" s="99" t="s">
        <v>60</v>
      </c>
      <c r="B24" s="100">
        <v>2</v>
      </c>
      <c r="C24" s="80">
        <v>23</v>
      </c>
      <c r="D24"/>
      <c r="E24" s="177" t="s">
        <v>213</v>
      </c>
      <c r="F24" s="80">
        <v>0</v>
      </c>
      <c r="G24" s="80">
        <v>6.8409405600000001E-2</v>
      </c>
      <c r="H24" s="80">
        <v>0.8</v>
      </c>
      <c r="I24" s="80">
        <v>6.8</v>
      </c>
      <c r="J24" s="80">
        <v>0.95</v>
      </c>
      <c r="K24" s="80">
        <v>0.117647059</v>
      </c>
      <c r="L24" s="80">
        <v>0</v>
      </c>
      <c r="M24" s="80">
        <v>0.2</v>
      </c>
      <c r="N24" s="80">
        <v>0</v>
      </c>
    </row>
    <row r="25" spans="1:22" ht="15" customHeight="1" thickBot="1" x14ac:dyDescent="0.2">
      <c r="A25" s="101" t="s">
        <v>44</v>
      </c>
      <c r="B25" s="102">
        <v>3</v>
      </c>
      <c r="C25" s="80">
        <v>24</v>
      </c>
      <c r="D25"/>
      <c r="E25" s="177" t="s">
        <v>214</v>
      </c>
      <c r="F25" s="80">
        <v>0</v>
      </c>
      <c r="G25" s="80">
        <v>3.0000000000000001E-3</v>
      </c>
      <c r="H25" s="80">
        <v>0.8</v>
      </c>
      <c r="I25" s="80">
        <v>7.3</v>
      </c>
      <c r="J25" s="80">
        <v>0.53534656800000002</v>
      </c>
      <c r="K25" s="80">
        <v>0.10958904</v>
      </c>
      <c r="L25" s="80">
        <v>0</v>
      </c>
      <c r="M25" s="80">
        <v>0.2</v>
      </c>
      <c r="N25" s="80">
        <v>0</v>
      </c>
    </row>
    <row r="26" spans="1:22" ht="15" customHeight="1" x14ac:dyDescent="0.15">
      <c r="A26" s="103" t="s">
        <v>140</v>
      </c>
      <c r="C26" s="80">
        <v>25</v>
      </c>
      <c r="D26"/>
      <c r="E26" s="177" t="s">
        <v>215</v>
      </c>
      <c r="F26" s="80">
        <v>0</v>
      </c>
      <c r="G26" s="80">
        <v>2.4E-2</v>
      </c>
      <c r="H26" s="80">
        <v>0.59</v>
      </c>
      <c r="I26" s="80">
        <v>4.7</v>
      </c>
      <c r="J26" s="80">
        <v>0.61548173399999995</v>
      </c>
      <c r="K26" s="80">
        <v>0.125531912</v>
      </c>
      <c r="L26" s="80">
        <v>0</v>
      </c>
      <c r="M26" s="80">
        <v>0.2</v>
      </c>
      <c r="N26" s="80">
        <v>0</v>
      </c>
    </row>
    <row r="27" spans="1:22" ht="15" customHeight="1" x14ac:dyDescent="0.15">
      <c r="C27" s="80">
        <v>26</v>
      </c>
      <c r="D27"/>
      <c r="E27" s="177" t="s">
        <v>216</v>
      </c>
      <c r="F27" s="80">
        <v>0</v>
      </c>
      <c r="G27" s="80">
        <v>3.0000000000000001E-3</v>
      </c>
      <c r="H27" s="80">
        <v>0.49</v>
      </c>
      <c r="I27" s="80">
        <v>5.5</v>
      </c>
      <c r="J27" s="80">
        <v>0.51459896599999999</v>
      </c>
      <c r="K27" s="80">
        <v>8.9090909999999995E-2</v>
      </c>
      <c r="L27" s="80">
        <v>0</v>
      </c>
      <c r="M27" s="80">
        <v>0.2</v>
      </c>
      <c r="N27" s="80">
        <v>0</v>
      </c>
    </row>
    <row r="28" spans="1:22" ht="15" customHeight="1" x14ac:dyDescent="0.15">
      <c r="C28" s="80">
        <v>27</v>
      </c>
      <c r="D28"/>
      <c r="E28" s="177" t="s">
        <v>217</v>
      </c>
      <c r="F28" s="80">
        <v>0</v>
      </c>
      <c r="G28" s="80">
        <v>0.30295413700000001</v>
      </c>
      <c r="H28" s="80">
        <v>2.6</v>
      </c>
      <c r="I28" s="80">
        <v>11.3</v>
      </c>
      <c r="J28" s="80">
        <v>0.95</v>
      </c>
      <c r="K28" s="80">
        <v>0.23008848700000001</v>
      </c>
      <c r="L28" s="80">
        <v>0</v>
      </c>
      <c r="M28" s="80">
        <v>0.2</v>
      </c>
      <c r="N28" s="80">
        <v>0</v>
      </c>
    </row>
    <row r="29" spans="1:22" customFormat="1" ht="15" customHeight="1" x14ac:dyDescent="0.15">
      <c r="C29" s="80">
        <v>28</v>
      </c>
      <c r="E29" s="177" t="s">
        <v>218</v>
      </c>
      <c r="F29" s="80">
        <v>0</v>
      </c>
      <c r="G29" s="80">
        <v>0.54295579999999999</v>
      </c>
      <c r="H29" s="80">
        <v>1.2</v>
      </c>
      <c r="I29" s="80">
        <v>6.58</v>
      </c>
      <c r="J29" s="80">
        <v>0.95</v>
      </c>
      <c r="K29" s="80">
        <v>0.18237082700000001</v>
      </c>
      <c r="L29" s="80">
        <v>0</v>
      </c>
      <c r="M29" s="80">
        <v>0.2</v>
      </c>
      <c r="N29" s="80">
        <v>0</v>
      </c>
    </row>
    <row r="30" spans="1:22" customFormat="1" ht="15" customHeight="1" x14ac:dyDescent="0.15">
      <c r="C30" s="80">
        <v>29</v>
      </c>
      <c r="E30" s="177" t="s">
        <v>219</v>
      </c>
      <c r="F30" s="80">
        <v>0</v>
      </c>
      <c r="G30" s="80">
        <v>0.20717659999999999</v>
      </c>
      <c r="H30" s="80">
        <v>0.36</v>
      </c>
      <c r="I30" s="80">
        <v>5.2</v>
      </c>
      <c r="J30" s="80">
        <v>0.95</v>
      </c>
      <c r="K30" s="80">
        <v>6.9230769999999997E-2</v>
      </c>
      <c r="L30" s="80">
        <v>0</v>
      </c>
      <c r="M30" s="80">
        <v>0.2</v>
      </c>
      <c r="N30" s="80">
        <v>0</v>
      </c>
    </row>
    <row r="31" spans="1:22" customFormat="1" ht="15" customHeight="1" x14ac:dyDescent="0.15">
      <c r="C31" s="80">
        <v>30</v>
      </c>
      <c r="E31" s="177" t="s">
        <v>220</v>
      </c>
      <c r="F31" s="80">
        <v>0</v>
      </c>
      <c r="G31" s="80">
        <v>0.02</v>
      </c>
      <c r="H31" s="80">
        <v>0.5</v>
      </c>
      <c r="I31" s="80">
        <v>2.8</v>
      </c>
      <c r="J31" s="80">
        <v>9.3892379999999998E-2</v>
      </c>
      <c r="K31" s="80">
        <v>0.178571433</v>
      </c>
      <c r="L31" s="80">
        <v>0</v>
      </c>
      <c r="M31" s="80">
        <v>0.2</v>
      </c>
      <c r="N31" s="80">
        <v>0</v>
      </c>
    </row>
    <row r="32" spans="1:22" customFormat="1" ht="15" customHeight="1" x14ac:dyDescent="0.15">
      <c r="C32" s="80">
        <v>31</v>
      </c>
      <c r="E32" s="177" t="s">
        <v>221</v>
      </c>
      <c r="F32" s="80">
        <v>0</v>
      </c>
      <c r="G32" s="80">
        <v>2</v>
      </c>
      <c r="H32" s="80">
        <v>3</v>
      </c>
      <c r="I32" s="80">
        <v>14.4</v>
      </c>
      <c r="J32" s="80">
        <v>5.6377734999999998E-2</v>
      </c>
      <c r="K32" s="80">
        <v>0.208333343</v>
      </c>
      <c r="L32" s="80">
        <v>0</v>
      </c>
      <c r="M32" s="80">
        <v>0.2</v>
      </c>
      <c r="N32" s="80">
        <v>0</v>
      </c>
    </row>
    <row r="33" spans="3:14" customFormat="1" ht="15" customHeight="1" x14ac:dyDescent="0.15">
      <c r="C33" s="80">
        <v>32</v>
      </c>
      <c r="E33" s="177" t="s">
        <v>222</v>
      </c>
      <c r="F33" s="80">
        <v>0</v>
      </c>
      <c r="G33" s="80">
        <v>0.184080824</v>
      </c>
      <c r="H33" s="80">
        <v>0.8</v>
      </c>
      <c r="I33" s="80">
        <v>5</v>
      </c>
      <c r="J33" s="80">
        <v>0.95</v>
      </c>
      <c r="K33" s="80">
        <v>0.16</v>
      </c>
      <c r="L33" s="80">
        <v>0</v>
      </c>
      <c r="M33" s="80">
        <v>0.2</v>
      </c>
      <c r="N33" s="80">
        <v>0</v>
      </c>
    </row>
    <row r="34" spans="3:14" customFormat="1" ht="15" customHeight="1" x14ac:dyDescent="0.15">
      <c r="C34" s="80">
        <v>33</v>
      </c>
      <c r="E34" s="177" t="s">
        <v>223</v>
      </c>
      <c r="F34" s="80">
        <v>0</v>
      </c>
      <c r="G34" s="80">
        <v>6.3240737699999999E-3</v>
      </c>
      <c r="H34" s="80">
        <v>0.3</v>
      </c>
      <c r="I34" s="80">
        <v>8</v>
      </c>
      <c r="J34" s="80">
        <v>0.95</v>
      </c>
      <c r="K34" s="80">
        <v>3.7499999999999999E-2</v>
      </c>
      <c r="L34" s="80">
        <v>0</v>
      </c>
      <c r="M34" s="80">
        <v>0.2</v>
      </c>
      <c r="N34" s="80">
        <v>0</v>
      </c>
    </row>
    <row r="35" spans="3:14" customFormat="1" ht="15" customHeight="1" x14ac:dyDescent="0.15">
      <c r="C35" s="80">
        <v>34</v>
      </c>
      <c r="E35" s="177" t="s">
        <v>224</v>
      </c>
      <c r="F35" s="80">
        <v>0</v>
      </c>
      <c r="G35" s="80">
        <v>3.3552735100000002E-4</v>
      </c>
      <c r="H35" s="80">
        <v>0.3</v>
      </c>
      <c r="I35" s="80">
        <v>6.5</v>
      </c>
      <c r="J35" s="80">
        <v>0.95</v>
      </c>
      <c r="K35" s="80">
        <v>4.6153847099999999E-2</v>
      </c>
      <c r="L35" s="80">
        <v>0</v>
      </c>
      <c r="M35" s="80">
        <v>0.2</v>
      </c>
      <c r="N35" s="80">
        <v>0</v>
      </c>
    </row>
    <row r="36" spans="3:14" customFormat="1" ht="15" customHeight="1" x14ac:dyDescent="0.15">
      <c r="C36" s="80">
        <v>35</v>
      </c>
      <c r="E36" s="177" t="s">
        <v>225</v>
      </c>
      <c r="F36" s="80">
        <v>0</v>
      </c>
      <c r="G36" s="80">
        <v>0.02</v>
      </c>
      <c r="H36" s="80">
        <v>0.61</v>
      </c>
      <c r="I36" s="80">
        <v>5.8</v>
      </c>
      <c r="J36" s="80">
        <v>1.4344262E-2</v>
      </c>
      <c r="K36" s="80">
        <v>0.10517241099999999</v>
      </c>
      <c r="L36" s="80">
        <v>0</v>
      </c>
      <c r="M36" s="80">
        <v>0.2</v>
      </c>
      <c r="N36" s="80">
        <v>0</v>
      </c>
    </row>
    <row r="37" spans="3:14" customFormat="1" ht="15" customHeight="1" x14ac:dyDescent="0.15">
      <c r="C37" s="80">
        <v>36</v>
      </c>
      <c r="E37" s="177" t="s">
        <v>226</v>
      </c>
      <c r="F37" s="80">
        <v>0</v>
      </c>
      <c r="G37" s="80">
        <v>0.03</v>
      </c>
      <c r="H37" s="80">
        <v>0.51</v>
      </c>
      <c r="I37" s="80">
        <v>6.9</v>
      </c>
      <c r="J37" s="80">
        <v>0.130317762</v>
      </c>
      <c r="K37" s="80">
        <v>7.3913039999999999E-2</v>
      </c>
      <c r="L37" s="80">
        <v>0</v>
      </c>
      <c r="M37" s="80">
        <v>0.2</v>
      </c>
      <c r="N37" s="80">
        <v>0</v>
      </c>
    </row>
    <row r="38" spans="3:14" customFormat="1" ht="15" customHeight="1" x14ac:dyDescent="0.15">
      <c r="C38" s="80">
        <v>37</v>
      </c>
      <c r="E38" s="177" t="s">
        <v>227</v>
      </c>
      <c r="F38" s="80">
        <v>0</v>
      </c>
      <c r="G38" s="80">
        <v>0.01</v>
      </c>
      <c r="H38" s="80">
        <v>0.3</v>
      </c>
      <c r="I38" s="80">
        <v>3.1</v>
      </c>
      <c r="J38" s="80">
        <v>0.11600000000000001</v>
      </c>
      <c r="K38" s="80">
        <v>9.6774200000000005E-2</v>
      </c>
      <c r="L38" s="80">
        <v>0</v>
      </c>
      <c r="M38" s="80">
        <v>0.2</v>
      </c>
      <c r="N38" s="80">
        <v>0</v>
      </c>
    </row>
    <row r="39" spans="3:14" customFormat="1" ht="15" customHeight="1" x14ac:dyDescent="0.15">
      <c r="C39" s="80">
        <v>38</v>
      </c>
      <c r="E39" s="177" t="s">
        <v>228</v>
      </c>
      <c r="F39" s="80">
        <v>0</v>
      </c>
      <c r="G39" s="80">
        <v>3.1E-2</v>
      </c>
      <c r="H39" s="80">
        <v>0.7</v>
      </c>
      <c r="I39" s="80">
        <v>3.5</v>
      </c>
      <c r="J39" s="80">
        <v>0.51391710000000002</v>
      </c>
      <c r="K39" s="80">
        <v>0.2</v>
      </c>
      <c r="L39" s="80">
        <v>0</v>
      </c>
      <c r="M39" s="80">
        <v>0.2</v>
      </c>
      <c r="N39" s="80">
        <v>0</v>
      </c>
    </row>
    <row r="40" spans="3:14" customFormat="1" ht="15" customHeight="1" x14ac:dyDescent="0.15">
      <c r="C40" s="80">
        <v>39</v>
      </c>
      <c r="E40" s="177" t="s">
        <v>229</v>
      </c>
      <c r="F40" s="80">
        <v>0</v>
      </c>
      <c r="G40" s="80">
        <v>1E-3</v>
      </c>
      <c r="H40" s="80">
        <v>0.15</v>
      </c>
      <c r="I40" s="80">
        <v>3.5</v>
      </c>
      <c r="J40" s="80">
        <v>0</v>
      </c>
      <c r="K40" s="80">
        <v>4.2857144E-2</v>
      </c>
      <c r="L40" s="80">
        <v>0</v>
      </c>
      <c r="M40" s="80">
        <v>0.2</v>
      </c>
      <c r="N40" s="80">
        <v>0</v>
      </c>
    </row>
    <row r="41" spans="3:14" customFormat="1" ht="15" customHeight="1" x14ac:dyDescent="0.15">
      <c r="C41" s="80">
        <v>40</v>
      </c>
      <c r="E41" s="177" t="s">
        <v>230</v>
      </c>
      <c r="F41" s="80">
        <v>0</v>
      </c>
      <c r="G41" s="80">
        <v>2.0000000000000001E-4</v>
      </c>
      <c r="H41" s="80">
        <v>0.04</v>
      </c>
      <c r="I41" s="80">
        <v>84.39</v>
      </c>
      <c r="J41" s="80">
        <v>0.21125148199999999</v>
      </c>
      <c r="K41" s="80">
        <v>4.7398980000000002E-4</v>
      </c>
      <c r="L41" s="80">
        <v>0</v>
      </c>
      <c r="M41" s="80">
        <v>0.2</v>
      </c>
      <c r="N41" s="80">
        <v>0</v>
      </c>
    </row>
    <row r="42" spans="3:14" customFormat="1" ht="15" customHeight="1" x14ac:dyDescent="0.15">
      <c r="C42" s="80">
        <v>41</v>
      </c>
      <c r="E42" s="177" t="s">
        <v>231</v>
      </c>
      <c r="F42" s="80">
        <v>0</v>
      </c>
      <c r="G42" s="80">
        <v>0.123</v>
      </c>
      <c r="H42" s="80">
        <v>0.02</v>
      </c>
      <c r="I42" s="80">
        <v>5.5629999999999997</v>
      </c>
      <c r="J42" s="80">
        <v>0</v>
      </c>
      <c r="K42" s="80">
        <v>3.5951822100000002E-3</v>
      </c>
      <c r="L42" s="80">
        <v>0</v>
      </c>
      <c r="M42" s="80">
        <v>0.2</v>
      </c>
      <c r="N42" s="80">
        <v>0</v>
      </c>
    </row>
    <row r="43" spans="3:14" customFormat="1" ht="15" customHeight="1" x14ac:dyDescent="0.15">
      <c r="C43" s="80">
        <v>42</v>
      </c>
      <c r="E43" s="177" t="s">
        <v>232</v>
      </c>
      <c r="F43" s="80">
        <v>0</v>
      </c>
      <c r="G43" s="80">
        <v>4.4000000000000003E-3</v>
      </c>
      <c r="H43" s="80">
        <v>7.0000000000000007E-2</v>
      </c>
      <c r="I43" s="80">
        <v>11.41</v>
      </c>
      <c r="J43" s="80">
        <v>0.46311327800000002</v>
      </c>
      <c r="K43" s="80">
        <v>6.1349696499999997E-3</v>
      </c>
      <c r="L43" s="80">
        <v>0</v>
      </c>
      <c r="M43" s="80">
        <v>0.2</v>
      </c>
      <c r="N43" s="80">
        <v>0</v>
      </c>
    </row>
    <row r="44" spans="3:14" customFormat="1" ht="15" customHeight="1" x14ac:dyDescent="0.15">
      <c r="C44" s="80">
        <v>43</v>
      </c>
      <c r="E44" s="177" t="s">
        <v>233</v>
      </c>
      <c r="F44" s="80">
        <v>0</v>
      </c>
      <c r="G44" s="80">
        <v>6.2500000000000001E-5</v>
      </c>
      <c r="H44" s="80">
        <v>0.02</v>
      </c>
      <c r="I44" s="80">
        <v>10.27</v>
      </c>
      <c r="J44" s="80">
        <v>0</v>
      </c>
      <c r="K44" s="80">
        <v>1.9474194899999999E-3</v>
      </c>
      <c r="L44" s="80">
        <v>0</v>
      </c>
      <c r="M44" s="80">
        <v>0.2</v>
      </c>
      <c r="N44" s="80">
        <v>0</v>
      </c>
    </row>
    <row r="45" spans="3:14" customFormat="1" ht="15" customHeight="1" x14ac:dyDescent="0.15">
      <c r="C45" s="80">
        <v>44</v>
      </c>
      <c r="E45" s="177" t="s">
        <v>234</v>
      </c>
      <c r="F45" s="80">
        <v>2</v>
      </c>
      <c r="G45" s="80">
        <v>1</v>
      </c>
      <c r="H45" s="80">
        <v>0</v>
      </c>
      <c r="I45" s="80">
        <v>0</v>
      </c>
      <c r="J45" s="80">
        <v>0.117471457</v>
      </c>
      <c r="K45" s="80">
        <v>0</v>
      </c>
      <c r="L45" s="80">
        <v>0</v>
      </c>
      <c r="M45" s="80">
        <v>0</v>
      </c>
      <c r="N45" s="80">
        <v>0</v>
      </c>
    </row>
    <row r="46" spans="3:14" customFormat="1" ht="15" customHeight="1" x14ac:dyDescent="0.15">
      <c r="C46" s="80">
        <v>45</v>
      </c>
      <c r="E46" s="177" t="s">
        <v>235</v>
      </c>
      <c r="F46" s="80">
        <v>2</v>
      </c>
      <c r="G46" s="80">
        <v>5</v>
      </c>
      <c r="H46" s="80">
        <v>0</v>
      </c>
      <c r="I46" s="80">
        <v>0</v>
      </c>
      <c r="J46" s="80">
        <v>0</v>
      </c>
      <c r="K46" s="80">
        <v>0</v>
      </c>
      <c r="L46" s="80">
        <v>0</v>
      </c>
      <c r="M46" s="80">
        <v>0</v>
      </c>
      <c r="N46" s="80">
        <v>0</v>
      </c>
    </row>
    <row r="47" spans="3:14" customFormat="1" ht="15" customHeight="1" x14ac:dyDescent="0.15">
      <c r="C47" s="80">
        <v>46</v>
      </c>
      <c r="E47" s="177" t="s">
        <v>236</v>
      </c>
      <c r="F47" s="80">
        <v>3</v>
      </c>
      <c r="G47" s="80">
        <v>0</v>
      </c>
      <c r="H47" s="80">
        <v>0</v>
      </c>
      <c r="I47" s="80">
        <v>0</v>
      </c>
      <c r="J47" s="80">
        <v>0</v>
      </c>
      <c r="K47" s="80">
        <v>0</v>
      </c>
      <c r="L47" s="80">
        <v>0</v>
      </c>
      <c r="M47" s="80">
        <v>0</v>
      </c>
      <c r="N47" s="80">
        <v>0</v>
      </c>
    </row>
    <row r="48" spans="3:14" customFormat="1" ht="15" customHeight="1" x14ac:dyDescent="0.15">
      <c r="C48" s="80">
        <v>47</v>
      </c>
      <c r="E48" s="177" t="s">
        <v>237</v>
      </c>
      <c r="F48" s="80">
        <v>3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80">
        <v>0</v>
      </c>
      <c r="M48" s="80">
        <v>0</v>
      </c>
      <c r="N48" s="80">
        <v>0</v>
      </c>
    </row>
    <row r="49" spans="3:14" customFormat="1" ht="15" customHeight="1" x14ac:dyDescent="0.15">
      <c r="C49" s="80">
        <v>48</v>
      </c>
      <c r="E49" s="177" t="s">
        <v>238</v>
      </c>
      <c r="F49" s="80">
        <v>3</v>
      </c>
      <c r="G49" s="80">
        <v>0</v>
      </c>
      <c r="H49" s="80">
        <v>0</v>
      </c>
      <c r="I49" s="80">
        <v>0</v>
      </c>
      <c r="J49" s="80">
        <v>0</v>
      </c>
      <c r="K49" s="80">
        <v>0</v>
      </c>
      <c r="L49" s="80">
        <v>0</v>
      </c>
      <c r="M49" s="80">
        <v>0</v>
      </c>
      <c r="N49" s="80">
        <v>0</v>
      </c>
    </row>
    <row r="50" spans="3:14" customFormat="1" ht="15" customHeight="1" x14ac:dyDescent="0.15">
      <c r="C50" s="80">
        <v>49</v>
      </c>
      <c r="E50" s="177" t="s">
        <v>239</v>
      </c>
      <c r="F50" s="80">
        <v>3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0</v>
      </c>
      <c r="M50" s="80">
        <v>0</v>
      </c>
      <c r="N50" s="80">
        <v>0</v>
      </c>
    </row>
    <row r="51" spans="3:14" customFormat="1" ht="15" customHeight="1" x14ac:dyDescent="0.15">
      <c r="C51" s="80">
        <v>50</v>
      </c>
      <c r="E51" s="177" t="s">
        <v>240</v>
      </c>
      <c r="F51" s="80">
        <v>3</v>
      </c>
      <c r="G51" s="80">
        <v>0</v>
      </c>
      <c r="H51" s="80">
        <v>0</v>
      </c>
      <c r="I51" s="80">
        <v>0</v>
      </c>
      <c r="J51" s="80">
        <v>0</v>
      </c>
      <c r="K51" s="80">
        <v>0</v>
      </c>
      <c r="L51" s="80">
        <v>0</v>
      </c>
      <c r="M51" s="80">
        <v>0</v>
      </c>
      <c r="N51" s="80">
        <v>0</v>
      </c>
    </row>
    <row r="52" spans="3:14" customFormat="1" ht="15" customHeight="1" x14ac:dyDescent="0.15">
      <c r="C52" s="80">
        <v>51</v>
      </c>
      <c r="E52" s="177" t="s">
        <v>195</v>
      </c>
      <c r="F52" s="80">
        <v>3</v>
      </c>
      <c r="G52" s="80">
        <v>0</v>
      </c>
      <c r="H52" s="80">
        <v>0</v>
      </c>
      <c r="I52" s="80">
        <v>0</v>
      </c>
      <c r="J52" s="80">
        <v>0</v>
      </c>
      <c r="K52" s="80">
        <v>0</v>
      </c>
      <c r="L52" s="80">
        <v>0</v>
      </c>
      <c r="M52" s="80">
        <v>0</v>
      </c>
      <c r="N52" s="80">
        <v>0</v>
      </c>
    </row>
    <row r="53" spans="3:14" customFormat="1" ht="15" customHeight="1" x14ac:dyDescent="0.15">
      <c r="C53" s="80">
        <v>52</v>
      </c>
      <c r="E53" s="177" t="s">
        <v>241</v>
      </c>
      <c r="F53" s="80">
        <v>3</v>
      </c>
      <c r="G53" s="80">
        <v>0</v>
      </c>
      <c r="H53" s="80">
        <v>0</v>
      </c>
      <c r="I53" s="80">
        <v>0</v>
      </c>
      <c r="J53" s="80">
        <v>0</v>
      </c>
      <c r="K53" s="80">
        <v>0</v>
      </c>
      <c r="L53" s="80">
        <v>0</v>
      </c>
      <c r="M53" s="80">
        <v>0</v>
      </c>
      <c r="N53" s="80">
        <v>0</v>
      </c>
    </row>
    <row r="54" spans="3:14" customFormat="1" ht="15" customHeight="1" x14ac:dyDescent="0.15">
      <c r="C54" s="80">
        <v>53</v>
      </c>
      <c r="E54" s="177" t="s">
        <v>196</v>
      </c>
      <c r="F54" s="80">
        <v>3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80">
        <v>0</v>
      </c>
      <c r="M54" s="80">
        <v>0</v>
      </c>
      <c r="N54" s="80">
        <v>0</v>
      </c>
    </row>
    <row r="55" spans="3:14" customFormat="1" ht="15" customHeight="1" x14ac:dyDescent="0.15">
      <c r="C55" s="80">
        <v>54</v>
      </c>
      <c r="E55" s="177" t="s">
        <v>242</v>
      </c>
      <c r="F55" s="80">
        <v>3</v>
      </c>
      <c r="G55" s="80">
        <v>0</v>
      </c>
      <c r="H55" s="80">
        <v>0</v>
      </c>
      <c r="I55" s="80">
        <v>0</v>
      </c>
      <c r="J55" s="80">
        <v>0</v>
      </c>
      <c r="K55" s="80">
        <v>0</v>
      </c>
      <c r="L55" s="80">
        <v>0</v>
      </c>
      <c r="M55" s="80">
        <v>0</v>
      </c>
      <c r="N55" s="80">
        <v>0</v>
      </c>
    </row>
    <row r="56" spans="3:14" customFormat="1" ht="15" customHeight="1" x14ac:dyDescent="0.15">
      <c r="C56" s="80">
        <v>55</v>
      </c>
      <c r="E56" s="177" t="s">
        <v>243</v>
      </c>
      <c r="F56" s="80">
        <v>3</v>
      </c>
      <c r="G56" s="80">
        <v>0</v>
      </c>
      <c r="H56" s="80">
        <v>0</v>
      </c>
      <c r="I56" s="80">
        <v>0</v>
      </c>
      <c r="J56" s="80">
        <v>0</v>
      </c>
      <c r="K56" s="80">
        <v>0</v>
      </c>
      <c r="L56" s="80">
        <v>0</v>
      </c>
      <c r="M56" s="80">
        <v>0</v>
      </c>
      <c r="N56" s="80">
        <v>0</v>
      </c>
    </row>
    <row r="57" spans="3:14" customFormat="1" ht="15" customHeight="1" x14ac:dyDescent="0.15">
      <c r="C57" s="80">
        <v>56</v>
      </c>
      <c r="E57" s="177" t="s">
        <v>244</v>
      </c>
      <c r="F57" s="80">
        <v>3</v>
      </c>
      <c r="G57" s="80">
        <v>0</v>
      </c>
      <c r="H57" s="80">
        <v>0</v>
      </c>
      <c r="I57" s="80">
        <v>0</v>
      </c>
      <c r="J57" s="80">
        <v>0</v>
      </c>
      <c r="K57" s="80">
        <v>0</v>
      </c>
      <c r="L57" s="80">
        <v>0</v>
      </c>
      <c r="M57" s="80">
        <v>0</v>
      </c>
      <c r="N57" s="80">
        <v>0</v>
      </c>
    </row>
    <row r="58" spans="3:14" customFormat="1" ht="15" customHeight="1" x14ac:dyDescent="0.15">
      <c r="C58" s="80">
        <v>57</v>
      </c>
      <c r="E58" s="177" t="s">
        <v>245</v>
      </c>
      <c r="F58" s="80">
        <v>3</v>
      </c>
      <c r="G58" s="80">
        <v>0</v>
      </c>
      <c r="H58" s="80">
        <v>0</v>
      </c>
      <c r="I58" s="80">
        <v>0</v>
      </c>
      <c r="J58" s="80">
        <v>0</v>
      </c>
      <c r="K58" s="80">
        <v>0</v>
      </c>
      <c r="L58" s="80">
        <v>0</v>
      </c>
      <c r="M58" s="80">
        <v>0</v>
      </c>
      <c r="N58" s="80">
        <v>0</v>
      </c>
    </row>
    <row r="59" spans="3:14" customFormat="1" ht="15" customHeight="1" x14ac:dyDescent="0.15">
      <c r="C59" s="80">
        <v>58</v>
      </c>
      <c r="E59" s="177" t="s">
        <v>246</v>
      </c>
      <c r="F59" s="80">
        <v>3</v>
      </c>
      <c r="G59" s="80">
        <v>0</v>
      </c>
      <c r="H59" s="80">
        <v>0</v>
      </c>
      <c r="I59" s="80">
        <v>0</v>
      </c>
      <c r="J59" s="80">
        <v>0</v>
      </c>
      <c r="K59" s="80">
        <v>0</v>
      </c>
      <c r="L59" s="80">
        <v>0</v>
      </c>
      <c r="M59" s="80">
        <v>0</v>
      </c>
      <c r="N59" s="80">
        <v>0</v>
      </c>
    </row>
    <row r="60" spans="3:14" customFormat="1" ht="15" customHeight="1" x14ac:dyDescent="0.15"/>
    <row r="61" spans="3:14" customFormat="1" ht="15" customHeight="1" x14ac:dyDescent="0.15"/>
    <row r="62" spans="3:14" customFormat="1" ht="15" customHeight="1" x14ac:dyDescent="0.15"/>
    <row r="63" spans="3:14" customFormat="1" ht="15" customHeight="1" x14ac:dyDescent="0.15"/>
    <row r="64" spans="3:1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T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0" bestFit="1" customWidth="1"/>
    <col min="2" max="3" width="2.33203125" style="140" bestFit="1" customWidth="1"/>
    <col min="4" max="4" width="3.83203125" style="140" bestFit="1" customWidth="1"/>
    <col min="5" max="5" width="4.83203125" style="140" bestFit="1" customWidth="1"/>
    <col min="6" max="6" width="13.83203125" style="140" bestFit="1" customWidth="1"/>
    <col min="7" max="7" width="15.83203125" style="140" bestFit="1" customWidth="1"/>
    <col min="8" max="8" width="13.83203125" style="140" bestFit="1" customWidth="1"/>
    <col min="9" max="9" width="12.83203125" style="140" bestFit="1" customWidth="1"/>
    <col min="10" max="10" width="13.83203125" style="140" bestFit="1" customWidth="1"/>
    <col min="11" max="11" width="3.83203125" style="140" bestFit="1" customWidth="1"/>
    <col min="12" max="12" width="5.83203125" style="140" bestFit="1" customWidth="1"/>
    <col min="13" max="13" width="2.33203125" style="140" bestFit="1" customWidth="1"/>
    <col min="14" max="14" width="13.83203125" style="140" bestFit="1" customWidth="1"/>
    <col min="15" max="16" width="14.83203125" style="140" bestFit="1" customWidth="1"/>
    <col min="17" max="17" width="13.83203125" style="140" bestFit="1" customWidth="1"/>
    <col min="18" max="19" width="15.83203125" style="140" bestFit="1" customWidth="1"/>
    <col min="20" max="22" width="14.83203125" style="140" bestFit="1" customWidth="1"/>
    <col min="23" max="23" width="15.83203125" style="140" bestFit="1" customWidth="1"/>
    <col min="24" max="24" width="14.83203125" style="140" bestFit="1" customWidth="1"/>
    <col min="25" max="25" width="13.83203125" style="140" bestFit="1" customWidth="1"/>
    <col min="26" max="27" width="15.83203125" style="140" bestFit="1" customWidth="1"/>
    <col min="28" max="28" width="3.83203125" style="140" bestFit="1" customWidth="1"/>
    <col min="29" max="29" width="15.83203125" style="140" bestFit="1" customWidth="1"/>
    <col min="30" max="30" width="15.83203125" style="140" customWidth="1"/>
    <col min="31" max="31" width="13.83203125" style="140" customWidth="1"/>
    <col min="32" max="32" width="10.83203125" style="140" customWidth="1"/>
    <col min="33" max="34" width="13.83203125" style="140" customWidth="1"/>
    <col min="35" max="38" width="15.83203125" style="140" customWidth="1"/>
    <col min="39" max="39" width="13.83203125" style="140" customWidth="1"/>
    <col min="40" max="40" width="2.33203125" style="140" customWidth="1"/>
    <col min="41" max="41" width="15.83203125" style="140" customWidth="1"/>
    <col min="42" max="42" width="13.83203125" style="140" customWidth="1"/>
    <col min="43" max="43" width="15.83203125" style="140" customWidth="1"/>
    <col min="44" max="44" width="12.83203125" style="140" customWidth="1"/>
    <col min="45" max="46" width="2.33203125" style="140" customWidth="1"/>
    <col min="47" max="16384" width="8.83203125" style="140"/>
  </cols>
  <sheetData>
    <row r="1" spans="1:46" x14ac:dyDescent="0.15">
      <c r="A1" s="139" t="s">
        <v>19</v>
      </c>
      <c r="B1" s="179" t="s">
        <v>192</v>
      </c>
      <c r="C1" s="179" t="s">
        <v>67</v>
      </c>
      <c r="D1" s="179" t="s">
        <v>193</v>
      </c>
      <c r="E1" s="179" t="s">
        <v>194</v>
      </c>
      <c r="F1" s="179" t="s">
        <v>195</v>
      </c>
      <c r="G1" s="179" t="s">
        <v>196</v>
      </c>
      <c r="H1" s="179" t="s">
        <v>197</v>
      </c>
      <c r="I1" s="179" t="s">
        <v>198</v>
      </c>
      <c r="J1" s="179" t="s">
        <v>199</v>
      </c>
      <c r="K1" s="179" t="s">
        <v>200</v>
      </c>
      <c r="L1" s="179" t="s">
        <v>201</v>
      </c>
      <c r="M1" s="179" t="s">
        <v>202</v>
      </c>
      <c r="N1" s="179" t="s">
        <v>203</v>
      </c>
      <c r="O1" s="179" t="s">
        <v>204</v>
      </c>
      <c r="P1" s="179" t="s">
        <v>205</v>
      </c>
      <c r="Q1" s="179" t="s">
        <v>206</v>
      </c>
      <c r="R1" s="179" t="s">
        <v>207</v>
      </c>
      <c r="S1" s="179" t="s">
        <v>208</v>
      </c>
      <c r="T1" s="179" t="s">
        <v>209</v>
      </c>
      <c r="U1" s="179" t="s">
        <v>210</v>
      </c>
      <c r="V1" s="179" t="s">
        <v>211</v>
      </c>
      <c r="W1" s="179" t="s">
        <v>212</v>
      </c>
      <c r="X1" s="179" t="s">
        <v>213</v>
      </c>
      <c r="Y1" s="179" t="s">
        <v>214</v>
      </c>
      <c r="Z1" s="179" t="s">
        <v>215</v>
      </c>
      <c r="AA1" s="179" t="s">
        <v>216</v>
      </c>
      <c r="AB1" s="179" t="s">
        <v>217</v>
      </c>
      <c r="AC1" s="179" t="s">
        <v>218</v>
      </c>
      <c r="AD1" s="179" t="s">
        <v>219</v>
      </c>
      <c r="AE1" s="179" t="s">
        <v>220</v>
      </c>
      <c r="AF1" s="179" t="s">
        <v>221</v>
      </c>
      <c r="AG1" s="179" t="s">
        <v>222</v>
      </c>
      <c r="AH1" s="179" t="s">
        <v>223</v>
      </c>
      <c r="AI1" s="179" t="s">
        <v>224</v>
      </c>
      <c r="AJ1" s="179" t="s">
        <v>225</v>
      </c>
      <c r="AK1" s="179" t="s">
        <v>226</v>
      </c>
      <c r="AL1" s="179" t="s">
        <v>227</v>
      </c>
      <c r="AM1" s="179" t="s">
        <v>228</v>
      </c>
      <c r="AN1" s="179" t="s">
        <v>229</v>
      </c>
      <c r="AO1" s="179" t="s">
        <v>230</v>
      </c>
      <c r="AP1" s="179" t="s">
        <v>231</v>
      </c>
      <c r="AQ1" s="179" t="s">
        <v>232</v>
      </c>
      <c r="AR1" s="179" t="s">
        <v>233</v>
      </c>
      <c r="AS1" s="179" t="s">
        <v>234</v>
      </c>
      <c r="AT1" s="179" t="s">
        <v>235</v>
      </c>
    </row>
    <row r="2" spans="1:46" customFormat="1" x14ac:dyDescent="0.15">
      <c r="A2" s="178" t="s">
        <v>192</v>
      </c>
      <c r="B2" s="140">
        <v>0</v>
      </c>
      <c r="C2" s="140">
        <v>0</v>
      </c>
      <c r="D2" s="140">
        <v>0.9</v>
      </c>
      <c r="E2" s="140">
        <v>0.1</v>
      </c>
      <c r="F2" s="140">
        <v>0</v>
      </c>
      <c r="G2" s="140">
        <v>0</v>
      </c>
      <c r="H2" s="140">
        <v>0</v>
      </c>
      <c r="I2" s="140">
        <v>0</v>
      </c>
      <c r="J2" s="140">
        <v>0</v>
      </c>
      <c r="K2" s="140">
        <v>0</v>
      </c>
      <c r="L2" s="140">
        <v>1.7000000000000001E-2</v>
      </c>
      <c r="M2" s="140">
        <v>0</v>
      </c>
      <c r="N2" s="140">
        <v>0.36363999154555976</v>
      </c>
      <c r="O2" s="140">
        <v>0</v>
      </c>
      <c r="P2" s="140">
        <v>0</v>
      </c>
      <c r="Q2" s="140">
        <v>6.6666668099999965E-2</v>
      </c>
      <c r="R2" s="140">
        <v>0</v>
      </c>
      <c r="S2" s="140">
        <v>0</v>
      </c>
      <c r="T2" s="140">
        <v>0</v>
      </c>
      <c r="U2" s="140">
        <v>0</v>
      </c>
      <c r="V2" s="140">
        <v>0</v>
      </c>
      <c r="W2" s="140">
        <v>0</v>
      </c>
      <c r="X2" s="140">
        <v>0</v>
      </c>
      <c r="Y2" s="140">
        <v>0</v>
      </c>
      <c r="Z2" s="140">
        <v>0</v>
      </c>
      <c r="AA2" s="140">
        <v>0</v>
      </c>
      <c r="AB2" s="140">
        <v>0.5</v>
      </c>
      <c r="AC2" s="140">
        <v>0.14568943042496252</v>
      </c>
      <c r="AD2" s="140">
        <v>0</v>
      </c>
      <c r="AE2" s="140">
        <v>0</v>
      </c>
      <c r="AF2" s="140">
        <v>0</v>
      </c>
      <c r="AG2" s="140">
        <v>0</v>
      </c>
      <c r="AH2" s="140">
        <v>0</v>
      </c>
      <c r="AI2" s="140">
        <v>0</v>
      </c>
      <c r="AJ2" s="140">
        <v>0</v>
      </c>
      <c r="AK2" s="140">
        <v>0</v>
      </c>
      <c r="AL2" s="140">
        <v>4.0766317583943418E-2</v>
      </c>
      <c r="AM2" s="140">
        <v>0</v>
      </c>
      <c r="AN2" s="140">
        <v>0</v>
      </c>
      <c r="AO2" s="140">
        <v>0</v>
      </c>
      <c r="AP2" s="140">
        <v>0</v>
      </c>
      <c r="AQ2" s="140">
        <v>0</v>
      </c>
      <c r="AR2" s="140">
        <v>0</v>
      </c>
      <c r="AS2" s="140">
        <v>0</v>
      </c>
      <c r="AT2" s="140">
        <v>0</v>
      </c>
    </row>
    <row r="3" spans="1:46" customFormat="1" x14ac:dyDescent="0.15">
      <c r="A3" s="178" t="s">
        <v>67</v>
      </c>
      <c r="B3" s="140">
        <v>0</v>
      </c>
      <c r="C3" s="140">
        <v>0</v>
      </c>
      <c r="D3" s="140">
        <v>0</v>
      </c>
      <c r="E3" s="140">
        <v>0</v>
      </c>
      <c r="F3" s="140">
        <v>0</v>
      </c>
      <c r="G3" s="140">
        <v>0</v>
      </c>
      <c r="H3" s="140">
        <v>0</v>
      </c>
      <c r="I3" s="140">
        <v>0</v>
      </c>
      <c r="J3" s="140">
        <v>0</v>
      </c>
      <c r="K3" s="140">
        <v>0</v>
      </c>
      <c r="L3" s="140">
        <v>0.01</v>
      </c>
      <c r="M3" s="140">
        <v>0</v>
      </c>
      <c r="N3" s="140">
        <v>0.45454667318185349</v>
      </c>
      <c r="O3" s="140">
        <v>0.16216214745459526</v>
      </c>
      <c r="P3" s="140">
        <v>1.0925040206374009E-2</v>
      </c>
      <c r="Q3" s="140">
        <v>0.78333333867499988</v>
      </c>
      <c r="R3" s="140">
        <v>0.13947786271526941</v>
      </c>
      <c r="S3" s="140">
        <v>8.3469252626777388E-3</v>
      </c>
      <c r="T3" s="140">
        <v>0</v>
      </c>
      <c r="U3" s="140">
        <v>0</v>
      </c>
      <c r="V3" s="140">
        <v>0</v>
      </c>
      <c r="W3" s="140">
        <v>0</v>
      </c>
      <c r="X3" s="140">
        <v>0</v>
      </c>
      <c r="Y3" s="140">
        <v>0</v>
      </c>
      <c r="Z3" s="140">
        <v>0</v>
      </c>
      <c r="AA3" s="140">
        <v>3.9988002947065936E-3</v>
      </c>
      <c r="AB3" s="140">
        <v>0</v>
      </c>
      <c r="AC3" s="140">
        <v>2.2504353857559202E-2</v>
      </c>
      <c r="AD3" s="140">
        <v>0</v>
      </c>
      <c r="AE3" s="140">
        <v>0</v>
      </c>
      <c r="AF3" s="140">
        <v>0</v>
      </c>
      <c r="AG3" s="140">
        <v>0</v>
      </c>
      <c r="AH3" s="140">
        <v>0</v>
      </c>
      <c r="AI3" s="140">
        <v>0</v>
      </c>
      <c r="AJ3" s="140">
        <v>2.6709804227583687E-4</v>
      </c>
      <c r="AK3" s="140">
        <v>0</v>
      </c>
      <c r="AL3" s="140">
        <v>2.0298164997008951E-3</v>
      </c>
      <c r="AM3" s="140">
        <v>0</v>
      </c>
      <c r="AN3" s="140">
        <v>0</v>
      </c>
      <c r="AO3" s="140">
        <v>0</v>
      </c>
      <c r="AP3" s="140">
        <v>0</v>
      </c>
      <c r="AQ3" s="140">
        <v>0</v>
      </c>
      <c r="AR3" s="140">
        <v>0</v>
      </c>
      <c r="AS3" s="140">
        <v>0</v>
      </c>
      <c r="AT3" s="140">
        <v>0</v>
      </c>
    </row>
    <row r="4" spans="1:46" customFormat="1" x14ac:dyDescent="0.15">
      <c r="A4" s="178" t="s">
        <v>193</v>
      </c>
      <c r="B4" s="140">
        <v>0</v>
      </c>
      <c r="C4" s="140">
        <v>0</v>
      </c>
      <c r="D4" s="140">
        <v>0</v>
      </c>
      <c r="E4" s="140">
        <v>0.73</v>
      </c>
      <c r="F4" s="140">
        <v>0</v>
      </c>
      <c r="G4" s="140">
        <v>0</v>
      </c>
      <c r="H4" s="140">
        <v>0</v>
      </c>
      <c r="I4" s="140">
        <v>0</v>
      </c>
      <c r="J4" s="140">
        <v>0</v>
      </c>
      <c r="K4" s="140">
        <v>0.1</v>
      </c>
      <c r="L4" s="140">
        <v>0.15</v>
      </c>
      <c r="M4" s="140">
        <v>0</v>
      </c>
      <c r="N4" s="140">
        <v>0.11363000329527008</v>
      </c>
      <c r="O4" s="140">
        <v>0.11911911745738744</v>
      </c>
      <c r="P4" s="140">
        <v>0.20388068685130617</v>
      </c>
      <c r="Q4" s="140">
        <v>9.9999997150000089E-2</v>
      </c>
      <c r="R4" s="140">
        <v>7.0484279350769299E-2</v>
      </c>
      <c r="S4" s="140">
        <v>0</v>
      </c>
      <c r="T4" s="140">
        <v>0</v>
      </c>
      <c r="U4" s="140">
        <v>0</v>
      </c>
      <c r="V4" s="140">
        <v>2.741116961979705E-2</v>
      </c>
      <c r="W4" s="140">
        <v>0</v>
      </c>
      <c r="X4" s="140">
        <v>0</v>
      </c>
      <c r="Y4" s="140">
        <v>0</v>
      </c>
      <c r="Z4" s="140">
        <v>3.7088859090024409E-4</v>
      </c>
      <c r="AA4" s="140">
        <v>0</v>
      </c>
      <c r="AB4" s="140">
        <v>0.5</v>
      </c>
      <c r="AC4" s="140">
        <v>8.7640712435379561E-2</v>
      </c>
      <c r="AD4" s="140">
        <v>0</v>
      </c>
      <c r="AE4" s="140">
        <v>0</v>
      </c>
      <c r="AF4" s="140">
        <v>0.33322226999999999</v>
      </c>
      <c r="AG4" s="140">
        <v>0</v>
      </c>
      <c r="AH4" s="140">
        <v>0.13321888236140778</v>
      </c>
      <c r="AI4" s="140">
        <v>0</v>
      </c>
      <c r="AJ4" s="140">
        <v>0</v>
      </c>
      <c r="AK4" s="140">
        <v>0</v>
      </c>
      <c r="AL4" s="140">
        <v>8.0522715227740752E-2</v>
      </c>
      <c r="AM4" s="140">
        <v>0</v>
      </c>
      <c r="AN4" s="140">
        <v>0</v>
      </c>
      <c r="AO4" s="140">
        <v>0</v>
      </c>
      <c r="AP4" s="140">
        <v>0</v>
      </c>
      <c r="AQ4" s="140">
        <v>0</v>
      </c>
      <c r="AR4" s="140">
        <v>0</v>
      </c>
      <c r="AS4" s="140">
        <v>0</v>
      </c>
      <c r="AT4" s="140">
        <v>0</v>
      </c>
    </row>
    <row r="5" spans="1:46" customFormat="1" x14ac:dyDescent="0.15">
      <c r="A5" s="178" t="s">
        <v>194</v>
      </c>
      <c r="B5" s="140">
        <v>0</v>
      </c>
      <c r="C5" s="140">
        <v>0</v>
      </c>
      <c r="D5" s="140">
        <v>0</v>
      </c>
      <c r="E5" s="140">
        <v>0.02</v>
      </c>
      <c r="F5" s="140">
        <v>4.0120366702106423E-3</v>
      </c>
      <c r="G5" s="140">
        <v>0</v>
      </c>
      <c r="H5" s="140">
        <v>0.70985512583872667</v>
      </c>
      <c r="I5" s="140">
        <v>0.34088385338840788</v>
      </c>
      <c r="J5" s="140">
        <v>9.9986687630315513E-2</v>
      </c>
      <c r="K5" s="140">
        <v>0.1</v>
      </c>
      <c r="L5" s="140">
        <v>0</v>
      </c>
      <c r="M5" s="140">
        <v>0</v>
      </c>
      <c r="N5" s="140">
        <v>0</v>
      </c>
      <c r="O5" s="140">
        <v>3.2032033809549464E-2</v>
      </c>
      <c r="P5" s="140">
        <v>5.5831973554665973E-2</v>
      </c>
      <c r="Q5" s="140">
        <v>0</v>
      </c>
      <c r="R5" s="140">
        <v>0.17359487540101762</v>
      </c>
      <c r="S5" s="140">
        <v>5.9490811872175853E-3</v>
      </c>
      <c r="T5" s="140">
        <v>0</v>
      </c>
      <c r="U5" s="140">
        <v>0</v>
      </c>
      <c r="V5" s="140">
        <v>0.23045685425533002</v>
      </c>
      <c r="W5" s="140">
        <v>0.18901494667154536</v>
      </c>
      <c r="X5" s="140">
        <v>0</v>
      </c>
      <c r="Y5" s="140">
        <v>1.8506602655970227E-2</v>
      </c>
      <c r="Z5" s="140">
        <v>0</v>
      </c>
      <c r="AA5" s="140">
        <v>1.9994001423532973E-3</v>
      </c>
      <c r="AB5" s="140">
        <v>0</v>
      </c>
      <c r="AC5" s="140">
        <v>8.8839672331892536E-2</v>
      </c>
      <c r="AD5" s="140">
        <v>0.70708976981592253</v>
      </c>
      <c r="AE5" s="140">
        <v>0</v>
      </c>
      <c r="AF5" s="140">
        <v>0.66677772999999996</v>
      </c>
      <c r="AG5" s="140">
        <v>9.4019335881953089E-2</v>
      </c>
      <c r="AH5" s="140">
        <v>0.21519815635306269</v>
      </c>
      <c r="AI5" s="140">
        <v>4.1688331168232104E-2</v>
      </c>
      <c r="AJ5" s="140">
        <v>0.13664428658317249</v>
      </c>
      <c r="AK5" s="140">
        <v>3.322157693237577E-2</v>
      </c>
      <c r="AL5" s="140">
        <v>0</v>
      </c>
      <c r="AM5" s="140">
        <v>6.499999870000002E-2</v>
      </c>
      <c r="AN5" s="140">
        <v>1</v>
      </c>
      <c r="AO5" s="140">
        <v>3.6210182357618845E-2</v>
      </c>
      <c r="AP5" s="140">
        <v>0.63018905205131559</v>
      </c>
      <c r="AQ5" s="140">
        <v>0</v>
      </c>
      <c r="AR5" s="140">
        <v>0</v>
      </c>
      <c r="AS5" s="140">
        <v>0</v>
      </c>
      <c r="AT5" s="140">
        <v>0</v>
      </c>
    </row>
    <row r="6" spans="1:46" customFormat="1" x14ac:dyDescent="0.15">
      <c r="A6" s="178" t="s">
        <v>195</v>
      </c>
      <c r="B6" s="140">
        <v>0</v>
      </c>
      <c r="C6" s="140">
        <v>0</v>
      </c>
      <c r="D6" s="140">
        <v>0</v>
      </c>
      <c r="E6" s="140">
        <v>0</v>
      </c>
      <c r="F6" s="140">
        <v>5.0150447477632837E-2</v>
      </c>
      <c r="G6" s="140">
        <v>0</v>
      </c>
      <c r="H6" s="140">
        <v>1.0201999371352778E-2</v>
      </c>
      <c r="I6" s="140">
        <v>0</v>
      </c>
      <c r="J6" s="140">
        <v>0</v>
      </c>
      <c r="K6" s="140">
        <v>0</v>
      </c>
      <c r="L6" s="140">
        <v>0</v>
      </c>
      <c r="M6" s="140">
        <v>0</v>
      </c>
      <c r="N6" s="140">
        <v>0</v>
      </c>
      <c r="O6" s="140">
        <v>0</v>
      </c>
      <c r="P6" s="140">
        <v>0</v>
      </c>
      <c r="Q6" s="140">
        <v>0</v>
      </c>
      <c r="R6" s="140">
        <v>0</v>
      </c>
      <c r="S6" s="140">
        <v>0</v>
      </c>
      <c r="T6" s="140">
        <v>0</v>
      </c>
      <c r="U6" s="140">
        <v>2.0280984277137822E-2</v>
      </c>
      <c r="V6" s="140">
        <v>0</v>
      </c>
      <c r="W6" s="140">
        <v>0</v>
      </c>
      <c r="X6" s="140">
        <v>0</v>
      </c>
      <c r="Y6" s="140">
        <v>0</v>
      </c>
      <c r="Z6" s="140">
        <v>0</v>
      </c>
      <c r="AA6" s="140">
        <v>0</v>
      </c>
      <c r="AB6" s="140">
        <v>0</v>
      </c>
      <c r="AC6" s="140">
        <v>1.177738318344695E-3</v>
      </c>
      <c r="AD6" s="140">
        <v>7.6212027524946963E-2</v>
      </c>
      <c r="AE6" s="140">
        <v>0</v>
      </c>
      <c r="AF6" s="140">
        <v>0</v>
      </c>
      <c r="AG6" s="140">
        <v>0</v>
      </c>
      <c r="AH6" s="140">
        <v>0</v>
      </c>
      <c r="AI6" s="140">
        <v>0</v>
      </c>
      <c r="AJ6" s="140">
        <v>0</v>
      </c>
      <c r="AK6" s="140">
        <v>0</v>
      </c>
      <c r="AL6" s="140">
        <v>0</v>
      </c>
      <c r="AM6" s="140">
        <v>0</v>
      </c>
      <c r="AN6" s="140">
        <v>0</v>
      </c>
      <c r="AO6" s="140">
        <v>5.4480432383042184E-2</v>
      </c>
      <c r="AP6" s="140">
        <v>0</v>
      </c>
      <c r="AQ6" s="140">
        <v>1.0005007437968954E-2</v>
      </c>
      <c r="AR6" s="140">
        <v>0</v>
      </c>
      <c r="AS6" s="140">
        <v>0</v>
      </c>
      <c r="AT6" s="140">
        <v>0</v>
      </c>
    </row>
    <row r="7" spans="1:46" customFormat="1" x14ac:dyDescent="0.15">
      <c r="A7" s="178" t="s">
        <v>196</v>
      </c>
      <c r="B7" s="140">
        <v>0</v>
      </c>
      <c r="C7" s="140">
        <v>0</v>
      </c>
      <c r="D7" s="140">
        <v>0</v>
      </c>
      <c r="E7" s="140">
        <v>0</v>
      </c>
      <c r="F7" s="140">
        <v>0</v>
      </c>
      <c r="G7" s="140">
        <v>9.3906093981618394E-2</v>
      </c>
      <c r="H7" s="140">
        <v>0</v>
      </c>
      <c r="I7" s="140">
        <v>0</v>
      </c>
      <c r="J7" s="140">
        <v>0</v>
      </c>
      <c r="K7" s="140">
        <v>0</v>
      </c>
      <c r="L7" s="140">
        <v>0</v>
      </c>
      <c r="M7" s="140">
        <v>0</v>
      </c>
      <c r="N7" s="140">
        <v>0</v>
      </c>
      <c r="O7" s="140">
        <v>0</v>
      </c>
      <c r="P7" s="140">
        <v>0</v>
      </c>
      <c r="Q7" s="140">
        <v>0</v>
      </c>
      <c r="R7" s="140">
        <v>0</v>
      </c>
      <c r="S7" s="140">
        <v>1.7857362161971188E-2</v>
      </c>
      <c r="T7" s="140">
        <v>0.17437937047296226</v>
      </c>
      <c r="U7" s="140">
        <v>0</v>
      </c>
      <c r="V7" s="140">
        <v>0</v>
      </c>
      <c r="W7" s="140">
        <v>0</v>
      </c>
      <c r="X7" s="140">
        <v>0</v>
      </c>
      <c r="Y7" s="140">
        <v>0</v>
      </c>
      <c r="Z7" s="140">
        <v>0</v>
      </c>
      <c r="AA7" s="140">
        <v>9.99700111176645E-4</v>
      </c>
      <c r="AB7" s="140">
        <v>0</v>
      </c>
      <c r="AC7" s="140">
        <v>1.177738318344695E-3</v>
      </c>
      <c r="AD7" s="140">
        <v>0</v>
      </c>
      <c r="AE7" s="140">
        <v>0</v>
      </c>
      <c r="AF7" s="140">
        <v>0</v>
      </c>
      <c r="AG7" s="140">
        <v>0</v>
      </c>
      <c r="AH7" s="140">
        <v>0</v>
      </c>
      <c r="AI7" s="140">
        <v>0</v>
      </c>
      <c r="AJ7" s="140">
        <v>0</v>
      </c>
      <c r="AK7" s="140">
        <v>0</v>
      </c>
      <c r="AL7" s="140">
        <v>1.0199078195541431E-3</v>
      </c>
      <c r="AM7" s="140">
        <v>0</v>
      </c>
      <c r="AN7" s="140">
        <v>0</v>
      </c>
      <c r="AO7" s="140">
        <v>0</v>
      </c>
      <c r="AP7" s="140">
        <v>0</v>
      </c>
      <c r="AQ7" s="140">
        <v>0</v>
      </c>
      <c r="AR7" s="140">
        <v>0</v>
      </c>
      <c r="AS7" s="140">
        <v>0</v>
      </c>
      <c r="AT7" s="140">
        <v>0</v>
      </c>
    </row>
    <row r="8" spans="1:46" customFormat="1" x14ac:dyDescent="0.15">
      <c r="A8" s="178" t="s">
        <v>197</v>
      </c>
      <c r="B8" s="140">
        <v>0</v>
      </c>
      <c r="C8" s="140">
        <v>0</v>
      </c>
      <c r="D8" s="140">
        <v>0</v>
      </c>
      <c r="E8" s="140">
        <v>0</v>
      </c>
      <c r="F8" s="140">
        <v>3.0090265526579649E-2</v>
      </c>
      <c r="G8" s="140">
        <v>1.0989012665934139E-2</v>
      </c>
      <c r="H8" s="140">
        <v>2.9993879791777228E-2</v>
      </c>
      <c r="I8" s="140">
        <v>0.21970538220386404</v>
      </c>
      <c r="J8" s="140">
        <v>0</v>
      </c>
      <c r="K8" s="140">
        <v>0</v>
      </c>
      <c r="L8" s="140">
        <v>0</v>
      </c>
      <c r="M8" s="140">
        <v>0</v>
      </c>
      <c r="N8" s="140">
        <v>0</v>
      </c>
      <c r="O8" s="140">
        <v>0</v>
      </c>
      <c r="P8" s="140">
        <v>4.8591330917890233E-3</v>
      </c>
      <c r="Q8" s="140">
        <v>0</v>
      </c>
      <c r="R8" s="140">
        <v>1.3742995973413266E-4</v>
      </c>
      <c r="S8" s="140">
        <v>0</v>
      </c>
      <c r="T8" s="140">
        <v>2.0515219161524937E-2</v>
      </c>
      <c r="U8" s="140">
        <v>0</v>
      </c>
      <c r="V8" s="140">
        <v>3.5532997681218398E-2</v>
      </c>
      <c r="W8" s="140">
        <v>3.013674721266112E-3</v>
      </c>
      <c r="X8" s="140">
        <v>2.7100542312473259E-3</v>
      </c>
      <c r="Y8" s="140">
        <v>2.4675469141293677E-2</v>
      </c>
      <c r="Z8" s="140">
        <v>8.7409313409987227E-2</v>
      </c>
      <c r="AA8" s="140">
        <v>0</v>
      </c>
      <c r="AB8" s="140">
        <v>0</v>
      </c>
      <c r="AC8" s="140">
        <v>1.1841042777952233E-2</v>
      </c>
      <c r="AD8" s="140">
        <v>0</v>
      </c>
      <c r="AE8" s="140">
        <v>0.60724607844276435</v>
      </c>
      <c r="AF8" s="140">
        <v>0</v>
      </c>
      <c r="AG8" s="140">
        <v>0</v>
      </c>
      <c r="AH8" s="140">
        <v>3.8424592027377524E-2</v>
      </c>
      <c r="AI8" s="140">
        <v>0.11877524432843867</v>
      </c>
      <c r="AJ8" s="140">
        <v>7.0326061656142943E-3</v>
      </c>
      <c r="AK8" s="140">
        <v>0.14253784928416902</v>
      </c>
      <c r="AL8" s="140">
        <v>0.30887208169438718</v>
      </c>
      <c r="AM8" s="140">
        <v>1.4999999700000004E-2</v>
      </c>
      <c r="AN8" s="140">
        <v>0</v>
      </c>
      <c r="AO8" s="140">
        <v>0.14120961410492053</v>
      </c>
      <c r="AP8" s="140">
        <v>6.9720919009962967E-2</v>
      </c>
      <c r="AQ8" s="140">
        <v>0.2991497201452718</v>
      </c>
      <c r="AR8" s="140">
        <v>0.22222220922222222</v>
      </c>
      <c r="AS8" s="140">
        <v>0</v>
      </c>
      <c r="AT8" s="140">
        <v>0</v>
      </c>
    </row>
    <row r="9" spans="1:46" customFormat="1" x14ac:dyDescent="0.15">
      <c r="A9" s="178" t="s">
        <v>198</v>
      </c>
      <c r="B9" s="140">
        <v>0</v>
      </c>
      <c r="C9" s="140">
        <v>0</v>
      </c>
      <c r="D9" s="140">
        <v>0</v>
      </c>
      <c r="E9" s="140">
        <v>0</v>
      </c>
      <c r="F9" s="140">
        <v>0</v>
      </c>
      <c r="G9" s="140">
        <v>0</v>
      </c>
      <c r="H9" s="140">
        <v>0</v>
      </c>
      <c r="I9" s="140">
        <v>0</v>
      </c>
      <c r="J9" s="140">
        <v>0</v>
      </c>
      <c r="K9" s="140">
        <v>0</v>
      </c>
      <c r="L9" s="140">
        <v>0</v>
      </c>
      <c r="M9" s="140">
        <v>0</v>
      </c>
      <c r="N9" s="140">
        <v>0</v>
      </c>
      <c r="O9" s="140">
        <v>0</v>
      </c>
      <c r="P9" s="140">
        <v>0</v>
      </c>
      <c r="Q9" s="140">
        <v>0</v>
      </c>
      <c r="R9" s="140">
        <v>0</v>
      </c>
      <c r="S9" s="140">
        <v>0</v>
      </c>
      <c r="T9" s="140">
        <v>0</v>
      </c>
      <c r="U9" s="140">
        <v>0</v>
      </c>
      <c r="V9" s="140">
        <v>0</v>
      </c>
      <c r="W9" s="140">
        <v>0</v>
      </c>
      <c r="X9" s="140">
        <v>0</v>
      </c>
      <c r="Y9" s="140">
        <v>0</v>
      </c>
      <c r="Z9" s="140">
        <v>0</v>
      </c>
      <c r="AA9" s="140">
        <v>0</v>
      </c>
      <c r="AB9" s="140">
        <v>0</v>
      </c>
      <c r="AC9" s="140">
        <v>0</v>
      </c>
      <c r="AD9" s="140">
        <v>0</v>
      </c>
      <c r="AE9" s="140">
        <v>0</v>
      </c>
      <c r="AF9" s="140">
        <v>0</v>
      </c>
      <c r="AG9" s="140">
        <v>0</v>
      </c>
      <c r="AH9" s="140">
        <v>0</v>
      </c>
      <c r="AI9" s="140">
        <v>2.0389184971366128E-2</v>
      </c>
      <c r="AJ9" s="140">
        <v>0</v>
      </c>
      <c r="AK9" s="140">
        <v>0</v>
      </c>
      <c r="AL9" s="140">
        <v>0</v>
      </c>
      <c r="AM9" s="140">
        <v>0</v>
      </c>
      <c r="AN9" s="140">
        <v>0</v>
      </c>
      <c r="AO9" s="140">
        <v>0</v>
      </c>
      <c r="AP9" s="140">
        <v>0.10003001057957386</v>
      </c>
      <c r="AQ9" s="140">
        <v>0.25312669843061447</v>
      </c>
      <c r="AR9" s="140">
        <v>0.33333337333333335</v>
      </c>
      <c r="AS9" s="140">
        <v>0</v>
      </c>
      <c r="AT9" s="140">
        <v>0</v>
      </c>
    </row>
    <row r="10" spans="1:46" customFormat="1" x14ac:dyDescent="0.15">
      <c r="A10" s="178" t="s">
        <v>199</v>
      </c>
      <c r="B10" s="140">
        <v>0</v>
      </c>
      <c r="C10" s="140">
        <v>0</v>
      </c>
      <c r="D10" s="140">
        <v>0</v>
      </c>
      <c r="E10" s="140">
        <v>0</v>
      </c>
      <c r="F10" s="140">
        <v>0</v>
      </c>
      <c r="G10" s="140">
        <v>9.9900124235765284E-4</v>
      </c>
      <c r="H10" s="140">
        <v>0</v>
      </c>
      <c r="I10" s="140">
        <v>0</v>
      </c>
      <c r="J10" s="140">
        <v>0</v>
      </c>
      <c r="K10" s="140">
        <v>0</v>
      </c>
      <c r="L10" s="140">
        <v>0</v>
      </c>
      <c r="M10" s="140">
        <v>0</v>
      </c>
      <c r="N10" s="140">
        <v>0</v>
      </c>
      <c r="O10" s="140">
        <v>0</v>
      </c>
      <c r="P10" s="140">
        <v>0</v>
      </c>
      <c r="Q10" s="140">
        <v>0</v>
      </c>
      <c r="R10" s="140">
        <v>0</v>
      </c>
      <c r="S10" s="140">
        <v>2.0016112029907048E-4</v>
      </c>
      <c r="T10" s="140">
        <v>6.0376299041168223E-3</v>
      </c>
      <c r="U10" s="140">
        <v>0</v>
      </c>
      <c r="V10" s="140">
        <v>0</v>
      </c>
      <c r="W10" s="140">
        <v>0</v>
      </c>
      <c r="X10" s="140">
        <v>0</v>
      </c>
      <c r="Y10" s="140">
        <v>0</v>
      </c>
      <c r="Z10" s="140">
        <v>0</v>
      </c>
      <c r="AA10" s="140">
        <v>0</v>
      </c>
      <c r="AB10" s="140">
        <v>0</v>
      </c>
      <c r="AC10" s="140">
        <v>0</v>
      </c>
      <c r="AD10" s="140">
        <v>0</v>
      </c>
      <c r="AE10" s="140">
        <v>0</v>
      </c>
      <c r="AF10" s="140">
        <v>0</v>
      </c>
      <c r="AG10" s="140">
        <v>0</v>
      </c>
      <c r="AH10" s="140">
        <v>0</v>
      </c>
      <c r="AI10" s="140">
        <v>0</v>
      </c>
      <c r="AJ10" s="140">
        <v>0</v>
      </c>
      <c r="AK10" s="140">
        <v>0</v>
      </c>
      <c r="AL10" s="140">
        <v>0</v>
      </c>
      <c r="AM10" s="140">
        <v>0</v>
      </c>
      <c r="AN10" s="140">
        <v>0</v>
      </c>
      <c r="AO10" s="140">
        <v>0</v>
      </c>
      <c r="AP10" s="140">
        <v>0</v>
      </c>
      <c r="AQ10" s="140">
        <v>5.0025037189844771E-3</v>
      </c>
      <c r="AR10" s="140">
        <v>0</v>
      </c>
      <c r="AS10" s="140">
        <v>0</v>
      </c>
      <c r="AT10" s="140">
        <v>0</v>
      </c>
    </row>
    <row r="11" spans="1:46" customFormat="1" x14ac:dyDescent="0.15">
      <c r="A11" s="178" t="s">
        <v>200</v>
      </c>
      <c r="B11" s="140">
        <v>0</v>
      </c>
      <c r="C11" s="140">
        <v>0</v>
      </c>
      <c r="D11" s="140">
        <v>0</v>
      </c>
      <c r="E11" s="140">
        <v>0</v>
      </c>
      <c r="F11" s="140">
        <v>3.9117355584553724E-2</v>
      </c>
      <c r="G11" s="140">
        <v>0.44155843972207787</v>
      </c>
      <c r="H11" s="140">
        <v>0</v>
      </c>
      <c r="I11" s="140">
        <v>0</v>
      </c>
      <c r="J11" s="140">
        <v>4.9993342515157781E-2</v>
      </c>
      <c r="K11" s="140">
        <v>0.1</v>
      </c>
      <c r="L11" s="140">
        <v>0</v>
      </c>
      <c r="M11" s="140">
        <v>0</v>
      </c>
      <c r="N11" s="140">
        <v>0</v>
      </c>
      <c r="O11" s="140">
        <v>4.0040042236936836E-3</v>
      </c>
      <c r="P11" s="140">
        <v>3.762357071070925E-2</v>
      </c>
      <c r="Q11" s="140">
        <v>0</v>
      </c>
      <c r="R11" s="140">
        <v>0.19806489817562423</v>
      </c>
      <c r="S11" s="140">
        <v>0.25952363816720891</v>
      </c>
      <c r="T11" s="140">
        <v>0.23900229587176525</v>
      </c>
      <c r="U11" s="140">
        <v>1.1255935342310966E-2</v>
      </c>
      <c r="V11" s="140">
        <v>5.0761422258883285E-3</v>
      </c>
      <c r="W11" s="140">
        <v>0.2475276317837688</v>
      </c>
      <c r="X11" s="140">
        <v>0.31614630831148643</v>
      </c>
      <c r="Y11" s="140">
        <v>7.2800807466531892E-2</v>
      </c>
      <c r="Z11" s="140">
        <v>1.2315676589421839E-2</v>
      </c>
      <c r="AA11" s="140">
        <v>0.19024292909691573</v>
      </c>
      <c r="AB11" s="140">
        <v>0</v>
      </c>
      <c r="AC11" s="140">
        <v>2.3801455345601186E-4</v>
      </c>
      <c r="AD11" s="140">
        <v>0</v>
      </c>
      <c r="AE11" s="140">
        <v>0</v>
      </c>
      <c r="AF11" s="140">
        <v>0</v>
      </c>
      <c r="AG11" s="140">
        <v>6.8519516998845148E-2</v>
      </c>
      <c r="AH11" s="140">
        <v>5.2517014854040721E-2</v>
      </c>
      <c r="AI11" s="140">
        <v>0.18546258419721798</v>
      </c>
      <c r="AJ11" s="140">
        <v>0.17080537697896528</v>
      </c>
      <c r="AK11" s="140">
        <v>0.1317179671107804</v>
      </c>
      <c r="AL11" s="140">
        <v>2.0298164997008951E-3</v>
      </c>
      <c r="AM11" s="140">
        <v>0</v>
      </c>
      <c r="AN11" s="140">
        <v>0</v>
      </c>
      <c r="AO11" s="140">
        <v>8.3212818293970814E-2</v>
      </c>
      <c r="AP11" s="140">
        <v>0</v>
      </c>
      <c r="AQ11" s="140">
        <v>2.2011015463531708E-2</v>
      </c>
      <c r="AR11" s="140">
        <v>0</v>
      </c>
      <c r="AS11" s="140">
        <v>0</v>
      </c>
      <c r="AT11" s="140">
        <v>0</v>
      </c>
    </row>
    <row r="12" spans="1:46" customFormat="1" x14ac:dyDescent="0.15">
      <c r="A12" s="178" t="s">
        <v>201</v>
      </c>
      <c r="B12" s="140">
        <v>0</v>
      </c>
      <c r="C12" s="140">
        <v>0</v>
      </c>
      <c r="D12" s="140">
        <v>0</v>
      </c>
      <c r="E12" s="140">
        <v>0</v>
      </c>
      <c r="F12" s="140">
        <v>1.3039116028184531E-2</v>
      </c>
      <c r="G12" s="140">
        <v>0.44155843972207787</v>
      </c>
      <c r="H12" s="140">
        <v>0</v>
      </c>
      <c r="I12" s="140">
        <v>0</v>
      </c>
      <c r="J12" s="140">
        <v>0.65991215336008202</v>
      </c>
      <c r="K12" s="140">
        <v>0.3</v>
      </c>
      <c r="L12" s="140">
        <v>0.02</v>
      </c>
      <c r="M12" s="140">
        <v>0</v>
      </c>
      <c r="N12" s="140">
        <v>6.818333197731663E-2</v>
      </c>
      <c r="O12" s="140">
        <v>0.62362363998279202</v>
      </c>
      <c r="P12" s="140">
        <v>0.30460890575406219</v>
      </c>
      <c r="Q12" s="140">
        <v>1.6666667024999991E-2</v>
      </c>
      <c r="R12" s="140">
        <v>0.3241029350146879</v>
      </c>
      <c r="S12" s="140">
        <v>0.1297567680834455</v>
      </c>
      <c r="T12" s="140">
        <v>5.1288047803812339E-2</v>
      </c>
      <c r="U12" s="140">
        <v>0.96334674641404627</v>
      </c>
      <c r="V12" s="140">
        <v>3.2487311445685361E-2</v>
      </c>
      <c r="W12" s="140">
        <v>7.5070966295022606E-2</v>
      </c>
      <c r="X12" s="140">
        <v>0.18046361674438849</v>
      </c>
      <c r="Y12" s="140">
        <v>0.50728724634640388</v>
      </c>
      <c r="Z12" s="140">
        <v>4.928269756075433E-3</v>
      </c>
      <c r="AA12" s="140">
        <v>9.99700111176645E-4</v>
      </c>
      <c r="AB12" s="140">
        <v>0</v>
      </c>
      <c r="AC12" s="140">
        <v>0.55668831995000434</v>
      </c>
      <c r="AD12" s="140">
        <v>0</v>
      </c>
      <c r="AE12" s="140">
        <v>0</v>
      </c>
      <c r="AF12" s="140">
        <v>0</v>
      </c>
      <c r="AG12" s="140">
        <v>0.70800206898950935</v>
      </c>
      <c r="AH12" s="140">
        <v>0.40477649502124913</v>
      </c>
      <c r="AI12" s="140">
        <v>1.7709290496267446E-2</v>
      </c>
      <c r="AJ12" s="140">
        <v>0.17080537697896528</v>
      </c>
      <c r="AK12" s="140">
        <v>1.5239257744209105E-4</v>
      </c>
      <c r="AL12" s="140">
        <v>2.0298164997008951E-3</v>
      </c>
      <c r="AM12" s="140">
        <v>1.0999999780000002E-2</v>
      </c>
      <c r="AN12" s="140">
        <v>0</v>
      </c>
      <c r="AO12" s="140">
        <v>6.0518418759251385E-3</v>
      </c>
      <c r="AP12" s="140">
        <v>0</v>
      </c>
      <c r="AQ12" s="140">
        <v>1.6008011900750328E-2</v>
      </c>
      <c r="AR12" s="140">
        <v>0</v>
      </c>
      <c r="AS12" s="140">
        <v>0</v>
      </c>
      <c r="AT12" s="140">
        <v>0</v>
      </c>
    </row>
    <row r="13" spans="1:46" customFormat="1" x14ac:dyDescent="0.15">
      <c r="A13" s="178" t="s">
        <v>202</v>
      </c>
      <c r="B13" s="140">
        <v>0</v>
      </c>
      <c r="C13" s="140">
        <v>0</v>
      </c>
      <c r="D13" s="140">
        <v>0</v>
      </c>
      <c r="E13" s="140">
        <v>0</v>
      </c>
      <c r="F13" s="140">
        <v>0</v>
      </c>
      <c r="G13" s="140">
        <v>1.0989012665934139E-2</v>
      </c>
      <c r="H13" s="140">
        <v>0</v>
      </c>
      <c r="I13" s="140">
        <v>0</v>
      </c>
      <c r="J13" s="140">
        <v>0</v>
      </c>
      <c r="K13" s="140">
        <v>0</v>
      </c>
      <c r="L13" s="140">
        <v>0</v>
      </c>
      <c r="M13" s="140">
        <v>0</v>
      </c>
      <c r="N13" s="140">
        <v>0</v>
      </c>
      <c r="O13" s="140">
        <v>1.0010010534234209E-3</v>
      </c>
      <c r="P13" s="140">
        <v>2.5481080481337608E-2</v>
      </c>
      <c r="Q13" s="140">
        <v>0</v>
      </c>
      <c r="R13" s="140">
        <v>2.0683176609487264E-2</v>
      </c>
      <c r="S13" s="140">
        <v>0</v>
      </c>
      <c r="T13" s="140">
        <v>0</v>
      </c>
      <c r="U13" s="140">
        <v>5.1163339665049705E-3</v>
      </c>
      <c r="V13" s="140">
        <v>0</v>
      </c>
      <c r="W13" s="140">
        <v>0</v>
      </c>
      <c r="X13" s="140">
        <v>0</v>
      </c>
      <c r="Y13" s="140">
        <v>0</v>
      </c>
      <c r="Z13" s="140">
        <v>8.1231482462209112E-2</v>
      </c>
      <c r="AA13" s="140">
        <v>0</v>
      </c>
      <c r="AB13" s="140">
        <v>0</v>
      </c>
      <c r="AC13" s="140">
        <v>2.3660871957735499E-3</v>
      </c>
      <c r="AD13" s="140">
        <v>0</v>
      </c>
      <c r="AE13" s="140">
        <v>0</v>
      </c>
      <c r="AF13" s="140">
        <v>0</v>
      </c>
      <c r="AG13" s="140">
        <v>0</v>
      </c>
      <c r="AH13" s="140">
        <v>0</v>
      </c>
      <c r="AI13" s="140">
        <v>0</v>
      </c>
      <c r="AJ13" s="140">
        <v>0</v>
      </c>
      <c r="AK13" s="140">
        <v>0</v>
      </c>
      <c r="AL13" s="140">
        <v>0</v>
      </c>
      <c r="AM13" s="140">
        <v>0</v>
      </c>
      <c r="AN13" s="140">
        <v>0</v>
      </c>
      <c r="AO13" s="140">
        <v>0</v>
      </c>
      <c r="AP13" s="140">
        <v>0</v>
      </c>
      <c r="AQ13" s="140">
        <v>0</v>
      </c>
      <c r="AR13" s="140">
        <v>0</v>
      </c>
      <c r="AS13" s="140">
        <v>0</v>
      </c>
      <c r="AT13" s="140">
        <v>0</v>
      </c>
    </row>
    <row r="14" spans="1:46" customFormat="1" x14ac:dyDescent="0.15">
      <c r="A14" s="178" t="s">
        <v>203</v>
      </c>
      <c r="B14" s="140">
        <v>0</v>
      </c>
      <c r="C14" s="140">
        <v>0</v>
      </c>
      <c r="D14" s="140">
        <v>0</v>
      </c>
      <c r="E14" s="140">
        <v>0</v>
      </c>
      <c r="F14" s="140">
        <v>1.8054161515947825E-2</v>
      </c>
      <c r="G14" s="140">
        <v>0</v>
      </c>
      <c r="H14" s="140">
        <v>0</v>
      </c>
      <c r="I14" s="140">
        <v>0</v>
      </c>
      <c r="J14" s="140">
        <v>5.6992408649279916E-2</v>
      </c>
      <c r="K14" s="140">
        <v>0</v>
      </c>
      <c r="L14" s="140">
        <v>0</v>
      </c>
      <c r="M14" s="140">
        <v>0</v>
      </c>
      <c r="N14" s="140">
        <v>0</v>
      </c>
      <c r="O14" s="140">
        <v>0</v>
      </c>
      <c r="P14" s="140">
        <v>5.3398137008690803E-2</v>
      </c>
      <c r="Q14" s="140">
        <v>0</v>
      </c>
      <c r="R14" s="140">
        <v>0</v>
      </c>
      <c r="S14" s="140">
        <v>1.9041108599223689E-2</v>
      </c>
      <c r="T14" s="140">
        <v>1.0257610380762499E-3</v>
      </c>
      <c r="U14" s="140">
        <v>0</v>
      </c>
      <c r="V14" s="140">
        <v>0</v>
      </c>
      <c r="W14" s="140">
        <v>0</v>
      </c>
      <c r="X14" s="140">
        <v>0</v>
      </c>
      <c r="Y14" s="140">
        <v>0</v>
      </c>
      <c r="Z14" s="140">
        <v>0</v>
      </c>
      <c r="AA14" s="140">
        <v>0</v>
      </c>
      <c r="AB14" s="140">
        <v>0</v>
      </c>
      <c r="AC14" s="140">
        <v>0</v>
      </c>
      <c r="AD14" s="140">
        <v>0</v>
      </c>
      <c r="AE14" s="140">
        <v>0</v>
      </c>
      <c r="AF14" s="140">
        <v>0</v>
      </c>
      <c r="AG14" s="140">
        <v>0</v>
      </c>
      <c r="AH14" s="140">
        <v>0</v>
      </c>
      <c r="AI14" s="140">
        <v>0</v>
      </c>
      <c r="AJ14" s="140">
        <v>0</v>
      </c>
      <c r="AK14" s="140">
        <v>0</v>
      </c>
      <c r="AL14" s="140">
        <v>0</v>
      </c>
      <c r="AM14" s="140">
        <v>0</v>
      </c>
      <c r="AN14" s="140">
        <v>0</v>
      </c>
      <c r="AO14" s="140">
        <v>0</v>
      </c>
      <c r="AP14" s="140">
        <v>0</v>
      </c>
      <c r="AQ14" s="140">
        <v>0</v>
      </c>
      <c r="AR14" s="140">
        <v>0</v>
      </c>
      <c r="AS14" s="140">
        <v>0</v>
      </c>
      <c r="AT14" s="140">
        <v>0</v>
      </c>
    </row>
    <row r="15" spans="1:46" customFormat="1" x14ac:dyDescent="0.15">
      <c r="A15" s="178" t="s">
        <v>204</v>
      </c>
      <c r="B15" s="140">
        <v>0</v>
      </c>
      <c r="C15" s="140">
        <v>0</v>
      </c>
      <c r="D15" s="140">
        <v>0</v>
      </c>
      <c r="E15" s="140">
        <v>0</v>
      </c>
      <c r="F15" s="140">
        <v>1.8054161515947825E-2</v>
      </c>
      <c r="G15" s="140">
        <v>0</v>
      </c>
      <c r="H15" s="140">
        <v>0</v>
      </c>
      <c r="I15" s="140">
        <v>0</v>
      </c>
      <c r="J15" s="140">
        <v>0</v>
      </c>
      <c r="K15" s="140">
        <v>0</v>
      </c>
      <c r="L15" s="140">
        <v>0</v>
      </c>
      <c r="M15" s="140">
        <v>0</v>
      </c>
      <c r="N15" s="140">
        <v>0</v>
      </c>
      <c r="O15" s="140">
        <v>3.4034034516396368E-2</v>
      </c>
      <c r="P15" s="140">
        <v>0.24999440472239429</v>
      </c>
      <c r="Q15" s="140">
        <v>0</v>
      </c>
      <c r="R15" s="140">
        <v>1.1850622390843918E-2</v>
      </c>
      <c r="S15" s="140">
        <v>0.18212485873146933</v>
      </c>
      <c r="T15" s="140">
        <v>0.17232783739680932</v>
      </c>
      <c r="U15" s="140">
        <v>0</v>
      </c>
      <c r="V15" s="140">
        <v>0</v>
      </c>
      <c r="W15" s="140">
        <v>0</v>
      </c>
      <c r="X15" s="140">
        <v>0.10990219888932881</v>
      </c>
      <c r="Y15" s="140">
        <v>0</v>
      </c>
      <c r="Z15" s="140">
        <v>6.1478419431773195E-3</v>
      </c>
      <c r="AA15" s="140">
        <v>0.16295111252179365</v>
      </c>
      <c r="AB15" s="140">
        <v>0</v>
      </c>
      <c r="AC15" s="140">
        <v>0</v>
      </c>
      <c r="AD15" s="140">
        <v>2.4448155013937479E-2</v>
      </c>
      <c r="AE15" s="140">
        <v>0</v>
      </c>
      <c r="AF15" s="140">
        <v>0</v>
      </c>
      <c r="AG15" s="140">
        <v>0</v>
      </c>
      <c r="AH15" s="140">
        <v>0</v>
      </c>
      <c r="AI15" s="140">
        <v>0</v>
      </c>
      <c r="AJ15" s="140">
        <v>4.6212919182632095E-2</v>
      </c>
      <c r="AK15" s="140">
        <v>0</v>
      </c>
      <c r="AL15" s="140">
        <v>0</v>
      </c>
      <c r="AM15" s="140">
        <v>0</v>
      </c>
      <c r="AN15" s="140">
        <v>0</v>
      </c>
      <c r="AO15" s="140">
        <v>4.0345606172834385E-4</v>
      </c>
      <c r="AP15" s="140">
        <v>0</v>
      </c>
      <c r="AQ15" s="140">
        <v>0</v>
      </c>
      <c r="AR15" s="140">
        <v>0</v>
      </c>
      <c r="AS15" s="140">
        <v>0</v>
      </c>
      <c r="AT15" s="140">
        <v>0</v>
      </c>
    </row>
    <row r="16" spans="1:46" customFormat="1" x14ac:dyDescent="0.15">
      <c r="A16" s="178" t="s">
        <v>205</v>
      </c>
      <c r="B16" s="140">
        <v>0</v>
      </c>
      <c r="C16" s="140">
        <v>0</v>
      </c>
      <c r="D16" s="140">
        <v>0</v>
      </c>
      <c r="E16" s="140">
        <v>0</v>
      </c>
      <c r="F16" s="140">
        <v>0</v>
      </c>
      <c r="G16" s="140">
        <v>0</v>
      </c>
      <c r="H16" s="140">
        <v>0</v>
      </c>
      <c r="I16" s="140">
        <v>0</v>
      </c>
      <c r="J16" s="140">
        <v>0</v>
      </c>
      <c r="K16" s="140">
        <v>0</v>
      </c>
      <c r="L16" s="140">
        <v>0</v>
      </c>
      <c r="M16" s="140">
        <v>0</v>
      </c>
      <c r="N16" s="140">
        <v>0</v>
      </c>
      <c r="O16" s="140">
        <v>9.009007580810878E-3</v>
      </c>
      <c r="P16" s="140">
        <v>5.0972840962876957E-2</v>
      </c>
      <c r="Q16" s="140">
        <v>0</v>
      </c>
      <c r="R16" s="140">
        <v>3.4399483983146356E-3</v>
      </c>
      <c r="S16" s="140">
        <v>0.16546136620706919</v>
      </c>
      <c r="T16" s="140">
        <v>8.2060873046099603E-2</v>
      </c>
      <c r="U16" s="140">
        <v>0</v>
      </c>
      <c r="V16" s="140">
        <v>0</v>
      </c>
      <c r="W16" s="140">
        <v>0</v>
      </c>
      <c r="X16" s="140">
        <v>0</v>
      </c>
      <c r="Y16" s="140">
        <v>0</v>
      </c>
      <c r="Z16" s="140">
        <v>1.3545246078057472E-2</v>
      </c>
      <c r="AA16" s="140">
        <v>0.16495052034414628</v>
      </c>
      <c r="AB16" s="140">
        <v>0</v>
      </c>
      <c r="AC16" s="140">
        <v>0</v>
      </c>
      <c r="AD16" s="140">
        <v>0</v>
      </c>
      <c r="AE16" s="140">
        <v>0</v>
      </c>
      <c r="AF16" s="140">
        <v>0</v>
      </c>
      <c r="AG16" s="140">
        <v>0</v>
      </c>
      <c r="AH16" s="140">
        <v>0</v>
      </c>
      <c r="AI16" s="140">
        <v>0</v>
      </c>
      <c r="AJ16" s="140">
        <v>0</v>
      </c>
      <c r="AK16" s="140">
        <v>0</v>
      </c>
      <c r="AL16" s="140">
        <v>0</v>
      </c>
      <c r="AM16" s="140">
        <v>0</v>
      </c>
      <c r="AN16" s="140">
        <v>0</v>
      </c>
      <c r="AO16" s="140">
        <v>1.0086402593208576E-3</v>
      </c>
      <c r="AP16" s="140">
        <v>0</v>
      </c>
      <c r="AQ16" s="140">
        <v>7.5037553434767174E-2</v>
      </c>
      <c r="AR16" s="140">
        <v>0</v>
      </c>
      <c r="AS16" s="140">
        <v>0</v>
      </c>
      <c r="AT16" s="140">
        <v>0</v>
      </c>
    </row>
    <row r="17" spans="1:46" customFormat="1" x14ac:dyDescent="0.15">
      <c r="A17" s="178" t="s">
        <v>206</v>
      </c>
      <c r="B17" s="140">
        <v>0</v>
      </c>
      <c r="C17" s="140">
        <v>0</v>
      </c>
      <c r="D17" s="140">
        <v>0</v>
      </c>
      <c r="E17" s="140">
        <v>0</v>
      </c>
      <c r="F17" s="140">
        <v>0</v>
      </c>
      <c r="G17" s="140">
        <v>0</v>
      </c>
      <c r="H17" s="140">
        <v>0</v>
      </c>
      <c r="I17" s="140">
        <v>0</v>
      </c>
      <c r="J17" s="140">
        <v>0</v>
      </c>
      <c r="K17" s="140">
        <v>0</v>
      </c>
      <c r="L17" s="140">
        <v>0</v>
      </c>
      <c r="M17" s="140">
        <v>0</v>
      </c>
      <c r="N17" s="140">
        <v>0</v>
      </c>
      <c r="O17" s="140">
        <v>0</v>
      </c>
      <c r="P17" s="140">
        <v>0</v>
      </c>
      <c r="Q17" s="140">
        <v>0</v>
      </c>
      <c r="R17" s="140">
        <v>0</v>
      </c>
      <c r="S17" s="140">
        <v>0</v>
      </c>
      <c r="T17" s="140">
        <v>1.5386413471143669E-2</v>
      </c>
      <c r="U17" s="140">
        <v>0</v>
      </c>
      <c r="V17" s="140">
        <v>0</v>
      </c>
      <c r="W17" s="140">
        <v>0</v>
      </c>
      <c r="X17" s="140">
        <v>0</v>
      </c>
      <c r="Y17" s="140">
        <v>0</v>
      </c>
      <c r="Z17" s="140">
        <v>0</v>
      </c>
      <c r="AA17" s="140">
        <v>0</v>
      </c>
      <c r="AB17" s="140">
        <v>0</v>
      </c>
      <c r="AC17" s="140">
        <v>0</v>
      </c>
      <c r="AD17" s="140">
        <v>0</v>
      </c>
      <c r="AE17" s="140">
        <v>0</v>
      </c>
      <c r="AF17" s="140">
        <v>0</v>
      </c>
      <c r="AG17" s="140">
        <v>0</v>
      </c>
      <c r="AH17" s="140">
        <v>0</v>
      </c>
      <c r="AI17" s="140">
        <v>0</v>
      </c>
      <c r="AJ17" s="140">
        <v>0</v>
      </c>
      <c r="AK17" s="140">
        <v>0</v>
      </c>
      <c r="AL17" s="140">
        <v>0</v>
      </c>
      <c r="AM17" s="140">
        <v>0</v>
      </c>
      <c r="AN17" s="140">
        <v>0</v>
      </c>
      <c r="AO17" s="140">
        <v>0</v>
      </c>
      <c r="AP17" s="140">
        <v>0</v>
      </c>
      <c r="AQ17" s="140">
        <v>0</v>
      </c>
      <c r="AR17" s="140">
        <v>0</v>
      </c>
      <c r="AS17" s="140">
        <v>0</v>
      </c>
      <c r="AT17" s="140">
        <v>0</v>
      </c>
    </row>
    <row r="18" spans="1:46" customFormat="1" x14ac:dyDescent="0.15">
      <c r="A18" s="178" t="s">
        <v>207</v>
      </c>
      <c r="B18" s="140">
        <v>0</v>
      </c>
      <c r="C18" s="140">
        <v>0</v>
      </c>
      <c r="D18" s="140">
        <v>0</v>
      </c>
      <c r="E18" s="140">
        <v>0</v>
      </c>
      <c r="F18" s="140">
        <v>4.0120366702106423E-3</v>
      </c>
      <c r="G18" s="140">
        <v>0</v>
      </c>
      <c r="H18" s="140">
        <v>0</v>
      </c>
      <c r="I18" s="140">
        <v>0</v>
      </c>
      <c r="J18" s="140">
        <v>0</v>
      </c>
      <c r="K18" s="140">
        <v>0</v>
      </c>
      <c r="L18" s="140">
        <v>0</v>
      </c>
      <c r="M18" s="140">
        <v>0</v>
      </c>
      <c r="N18" s="140">
        <v>0</v>
      </c>
      <c r="O18" s="140">
        <v>0</v>
      </c>
      <c r="P18" s="140">
        <v>0</v>
      </c>
      <c r="Q18" s="140">
        <v>0</v>
      </c>
      <c r="R18" s="140">
        <v>3.4399499683146213E-5</v>
      </c>
      <c r="S18" s="140">
        <v>3.5714724323942376E-2</v>
      </c>
      <c r="T18" s="140">
        <v>6.9751752589185062E-2</v>
      </c>
      <c r="U18" s="140">
        <v>0</v>
      </c>
      <c r="V18" s="140">
        <v>0</v>
      </c>
      <c r="W18" s="140">
        <v>0</v>
      </c>
      <c r="X18" s="140">
        <v>4.4780896277289768E-2</v>
      </c>
      <c r="Y18" s="140">
        <v>0</v>
      </c>
      <c r="Z18" s="140">
        <v>1.8463519432599298E-2</v>
      </c>
      <c r="AA18" s="140">
        <v>0</v>
      </c>
      <c r="AB18" s="140">
        <v>0</v>
      </c>
      <c r="AC18" s="140">
        <v>0</v>
      </c>
      <c r="AD18" s="140">
        <v>2.4448155013937479E-2</v>
      </c>
      <c r="AE18" s="140">
        <v>0</v>
      </c>
      <c r="AF18" s="140">
        <v>0</v>
      </c>
      <c r="AG18" s="140">
        <v>0</v>
      </c>
      <c r="AH18" s="140">
        <v>0</v>
      </c>
      <c r="AI18" s="140">
        <v>0</v>
      </c>
      <c r="AJ18" s="140">
        <v>2.9132382384735551E-2</v>
      </c>
      <c r="AK18" s="140">
        <v>0</v>
      </c>
      <c r="AL18" s="140">
        <v>0</v>
      </c>
      <c r="AM18" s="140">
        <v>0</v>
      </c>
      <c r="AN18" s="140">
        <v>0</v>
      </c>
      <c r="AO18" s="140">
        <v>0</v>
      </c>
      <c r="AP18" s="140">
        <v>0</v>
      </c>
      <c r="AQ18" s="140">
        <v>1.1005507731765854E-2</v>
      </c>
      <c r="AR18" s="140">
        <v>0</v>
      </c>
      <c r="AS18" s="140">
        <v>0</v>
      </c>
      <c r="AT18" s="140">
        <v>0</v>
      </c>
    </row>
    <row r="19" spans="1:46" customFormat="1" x14ac:dyDescent="0.15">
      <c r="A19" s="178" t="s">
        <v>208</v>
      </c>
      <c r="B19" s="140">
        <v>0</v>
      </c>
      <c r="C19" s="140">
        <v>0</v>
      </c>
      <c r="D19" s="140">
        <v>0</v>
      </c>
      <c r="E19" s="140">
        <v>0</v>
      </c>
      <c r="F19" s="140">
        <v>0</v>
      </c>
      <c r="G19" s="140">
        <v>0</v>
      </c>
      <c r="H19" s="140">
        <v>0</v>
      </c>
      <c r="I19" s="140">
        <v>0</v>
      </c>
      <c r="J19" s="140">
        <v>0</v>
      </c>
      <c r="K19" s="140">
        <v>0</v>
      </c>
      <c r="L19" s="140">
        <v>0</v>
      </c>
      <c r="M19" s="140">
        <v>0</v>
      </c>
      <c r="N19" s="140">
        <v>0</v>
      </c>
      <c r="O19" s="140">
        <v>0</v>
      </c>
      <c r="P19" s="140">
        <v>0</v>
      </c>
      <c r="Q19" s="140">
        <v>0</v>
      </c>
      <c r="R19" s="140">
        <v>0</v>
      </c>
      <c r="S19" s="140">
        <v>1.7857362161971188E-2</v>
      </c>
      <c r="T19" s="140">
        <v>6.4622942398803632E-2</v>
      </c>
      <c r="U19" s="140">
        <v>0</v>
      </c>
      <c r="V19" s="140">
        <v>0</v>
      </c>
      <c r="W19" s="140">
        <v>1.3323482642446164E-4</v>
      </c>
      <c r="X19" s="140">
        <v>6.7801356282497661E-3</v>
      </c>
      <c r="Y19" s="140">
        <v>0</v>
      </c>
      <c r="Z19" s="140">
        <v>0</v>
      </c>
      <c r="AA19" s="140">
        <v>1.9994001423532973E-3</v>
      </c>
      <c r="AB19" s="140">
        <v>0</v>
      </c>
      <c r="AC19" s="140">
        <v>0</v>
      </c>
      <c r="AD19" s="140">
        <v>0</v>
      </c>
      <c r="AE19" s="140">
        <v>0</v>
      </c>
      <c r="AF19" s="140">
        <v>0</v>
      </c>
      <c r="AG19" s="140">
        <v>0</v>
      </c>
      <c r="AH19" s="140">
        <v>0</v>
      </c>
      <c r="AI19" s="140">
        <v>0</v>
      </c>
      <c r="AJ19" s="140">
        <v>1.0047931022282243E-2</v>
      </c>
      <c r="AK19" s="140">
        <v>0</v>
      </c>
      <c r="AL19" s="140">
        <v>2.7517510769147203E-2</v>
      </c>
      <c r="AM19" s="140">
        <v>0</v>
      </c>
      <c r="AN19" s="140">
        <v>0</v>
      </c>
      <c r="AO19" s="140">
        <v>0</v>
      </c>
      <c r="AP19" s="140">
        <v>0</v>
      </c>
      <c r="AQ19" s="140">
        <v>0</v>
      </c>
      <c r="AR19" s="140">
        <v>0</v>
      </c>
      <c r="AS19" s="140">
        <v>0</v>
      </c>
      <c r="AT19" s="140">
        <v>0</v>
      </c>
    </row>
    <row r="20" spans="1:46" customFormat="1" x14ac:dyDescent="0.15">
      <c r="A20" s="178" t="s">
        <v>209</v>
      </c>
      <c r="B20" s="140">
        <v>0</v>
      </c>
      <c r="C20" s="140">
        <v>0</v>
      </c>
      <c r="D20" s="140">
        <v>0</v>
      </c>
      <c r="E20" s="140">
        <v>0</v>
      </c>
      <c r="F20" s="140">
        <v>0</v>
      </c>
      <c r="G20" s="140">
        <v>0</v>
      </c>
      <c r="H20" s="140">
        <v>0</v>
      </c>
      <c r="I20" s="140">
        <v>0</v>
      </c>
      <c r="J20" s="140">
        <v>0</v>
      </c>
      <c r="K20" s="140">
        <v>0</v>
      </c>
      <c r="L20" s="140">
        <v>0</v>
      </c>
      <c r="M20" s="140">
        <v>0</v>
      </c>
      <c r="N20" s="140">
        <v>0</v>
      </c>
      <c r="O20" s="140">
        <v>0</v>
      </c>
      <c r="P20" s="140">
        <v>0</v>
      </c>
      <c r="Q20" s="140">
        <v>0</v>
      </c>
      <c r="R20" s="140">
        <v>0</v>
      </c>
      <c r="S20" s="140">
        <v>0</v>
      </c>
      <c r="T20" s="140">
        <v>0</v>
      </c>
      <c r="U20" s="140">
        <v>0</v>
      </c>
      <c r="V20" s="140">
        <v>0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0</v>
      </c>
      <c r="AC20" s="140">
        <v>0</v>
      </c>
      <c r="AD20" s="140">
        <v>0</v>
      </c>
      <c r="AE20" s="140">
        <v>0</v>
      </c>
      <c r="AF20" s="140">
        <v>0</v>
      </c>
      <c r="AG20" s="140">
        <v>0</v>
      </c>
      <c r="AH20" s="140">
        <v>0</v>
      </c>
      <c r="AI20" s="140">
        <v>1.9999198260437531E-4</v>
      </c>
      <c r="AJ20" s="140">
        <v>0</v>
      </c>
      <c r="AK20" s="140">
        <v>0</v>
      </c>
      <c r="AL20" s="140">
        <v>1.9858204523083647E-2</v>
      </c>
      <c r="AM20" s="140">
        <v>0</v>
      </c>
      <c r="AN20" s="140">
        <v>0</v>
      </c>
      <c r="AO20" s="140">
        <v>0</v>
      </c>
      <c r="AP20" s="140">
        <v>0</v>
      </c>
      <c r="AQ20" s="140">
        <v>3.0015022313906866E-3</v>
      </c>
      <c r="AR20" s="140">
        <v>0</v>
      </c>
      <c r="AS20" s="140">
        <v>0</v>
      </c>
      <c r="AT20" s="140">
        <v>0</v>
      </c>
    </row>
    <row r="21" spans="1:46" customFormat="1" x14ac:dyDescent="0.15">
      <c r="A21" s="178" t="s">
        <v>210</v>
      </c>
      <c r="B21" s="140">
        <v>0</v>
      </c>
      <c r="C21" s="140">
        <v>0</v>
      </c>
      <c r="D21" s="140">
        <v>0</v>
      </c>
      <c r="E21" s="140">
        <v>0</v>
      </c>
      <c r="F21" s="140">
        <v>0.13340020233450353</v>
      </c>
      <c r="G21" s="140">
        <v>0</v>
      </c>
      <c r="H21" s="140">
        <v>0</v>
      </c>
      <c r="I21" s="140">
        <v>0</v>
      </c>
      <c r="J21" s="140">
        <v>0</v>
      </c>
      <c r="K21" s="140">
        <v>0</v>
      </c>
      <c r="L21" s="140">
        <v>0</v>
      </c>
      <c r="M21" s="140">
        <v>0</v>
      </c>
      <c r="N21" s="140">
        <v>0</v>
      </c>
      <c r="O21" s="140">
        <v>9.009007580810878E-3</v>
      </c>
      <c r="P21" s="140">
        <v>0</v>
      </c>
      <c r="Q21" s="140">
        <v>0</v>
      </c>
      <c r="R21" s="140">
        <v>1.8231725132067583E-2</v>
      </c>
      <c r="S21" s="140">
        <v>8.3631132631871746E-2</v>
      </c>
      <c r="T21" s="140">
        <v>0.10257609580762468</v>
      </c>
      <c r="U21" s="140">
        <v>0</v>
      </c>
      <c r="V21" s="140">
        <v>0.33117257073717943</v>
      </c>
      <c r="W21" s="140">
        <v>0.38831154583566035</v>
      </c>
      <c r="X21" s="140">
        <v>6.7841361783549409E-2</v>
      </c>
      <c r="Y21" s="140">
        <v>0</v>
      </c>
      <c r="Z21" s="140">
        <v>0.4222317987771137</v>
      </c>
      <c r="AA21" s="140">
        <v>0.38788362853653957</v>
      </c>
      <c r="AB21" s="140">
        <v>0</v>
      </c>
      <c r="AC21" s="140">
        <v>0</v>
      </c>
      <c r="AD21" s="140">
        <v>0</v>
      </c>
      <c r="AE21" s="140">
        <v>0.17914178364046671</v>
      </c>
      <c r="AF21" s="140">
        <v>0</v>
      </c>
      <c r="AG21" s="140">
        <v>4.7009667940976545E-2</v>
      </c>
      <c r="AH21" s="140">
        <v>5.7197459296471256E-2</v>
      </c>
      <c r="AI21" s="140">
        <v>0.1041958289198797</v>
      </c>
      <c r="AJ21" s="140">
        <v>0.39485626701617715</v>
      </c>
      <c r="AK21" s="140">
        <v>0.19091245805937213</v>
      </c>
      <c r="AL21" s="140">
        <v>8.6642164865065457E-2</v>
      </c>
      <c r="AM21" s="140">
        <v>0</v>
      </c>
      <c r="AN21" s="140">
        <v>0</v>
      </c>
      <c r="AO21" s="140">
        <v>0.26022913566478229</v>
      </c>
      <c r="AP21" s="140">
        <v>0</v>
      </c>
      <c r="AQ21" s="140">
        <v>7.5037553434767174E-2</v>
      </c>
      <c r="AR21" s="140">
        <v>0</v>
      </c>
      <c r="AS21" s="140">
        <v>0</v>
      </c>
      <c r="AT21" s="140">
        <v>0</v>
      </c>
    </row>
    <row r="22" spans="1:46" customFormat="1" x14ac:dyDescent="0.15">
      <c r="A22" s="178" t="s">
        <v>211</v>
      </c>
      <c r="B22" s="140">
        <v>0</v>
      </c>
      <c r="C22" s="140">
        <v>0</v>
      </c>
      <c r="D22" s="140">
        <v>0</v>
      </c>
      <c r="E22" s="140">
        <v>0</v>
      </c>
      <c r="F22" s="140">
        <v>0</v>
      </c>
      <c r="G22" s="140">
        <v>0</v>
      </c>
      <c r="H22" s="140">
        <v>0</v>
      </c>
      <c r="I22" s="140">
        <v>0</v>
      </c>
      <c r="J22" s="140">
        <v>0</v>
      </c>
      <c r="K22" s="140">
        <v>0</v>
      </c>
      <c r="L22" s="140">
        <v>0</v>
      </c>
      <c r="M22" s="140">
        <v>0</v>
      </c>
      <c r="N22" s="140">
        <v>0</v>
      </c>
      <c r="O22" s="140">
        <v>0</v>
      </c>
      <c r="P22" s="140">
        <v>0</v>
      </c>
      <c r="Q22" s="140">
        <v>0</v>
      </c>
      <c r="R22" s="140">
        <v>0</v>
      </c>
      <c r="S22" s="140">
        <v>0</v>
      </c>
      <c r="T22" s="140">
        <v>0</v>
      </c>
      <c r="U22" s="140">
        <v>0</v>
      </c>
      <c r="V22" s="140">
        <v>0</v>
      </c>
      <c r="W22" s="140">
        <v>0</v>
      </c>
      <c r="X22" s="140">
        <v>0</v>
      </c>
      <c r="Y22" s="140">
        <v>0</v>
      </c>
      <c r="Z22" s="140">
        <v>1.1795858809673474E-3</v>
      </c>
      <c r="AA22" s="140">
        <v>0</v>
      </c>
      <c r="AB22" s="140">
        <v>0</v>
      </c>
      <c r="AC22" s="140">
        <v>0</v>
      </c>
      <c r="AD22" s="140">
        <v>0</v>
      </c>
      <c r="AE22" s="140">
        <v>0</v>
      </c>
      <c r="AF22" s="140">
        <v>0</v>
      </c>
      <c r="AG22" s="140">
        <v>0</v>
      </c>
      <c r="AH22" s="140">
        <v>0</v>
      </c>
      <c r="AI22" s="140">
        <v>0</v>
      </c>
      <c r="AJ22" s="140">
        <v>7.0326061656142943E-3</v>
      </c>
      <c r="AK22" s="140">
        <v>0</v>
      </c>
      <c r="AL22" s="140">
        <v>1.0199078695541401E-2</v>
      </c>
      <c r="AM22" s="140">
        <v>0</v>
      </c>
      <c r="AN22" s="140">
        <v>0</v>
      </c>
      <c r="AO22" s="140">
        <v>0</v>
      </c>
      <c r="AP22" s="140">
        <v>0</v>
      </c>
      <c r="AQ22" s="140">
        <v>0</v>
      </c>
      <c r="AR22" s="140">
        <v>0</v>
      </c>
      <c r="AS22" s="140">
        <v>0</v>
      </c>
      <c r="AT22" s="140">
        <v>0</v>
      </c>
    </row>
    <row r="23" spans="1:46" customFormat="1" x14ac:dyDescent="0.15">
      <c r="A23" s="178" t="s">
        <v>212</v>
      </c>
      <c r="B23" s="140">
        <v>0</v>
      </c>
      <c r="C23" s="140">
        <v>0</v>
      </c>
      <c r="D23" s="140">
        <v>0</v>
      </c>
      <c r="E23" s="140">
        <v>0</v>
      </c>
      <c r="F23" s="140">
        <v>0</v>
      </c>
      <c r="G23" s="140">
        <v>0</v>
      </c>
      <c r="H23" s="140">
        <v>0</v>
      </c>
      <c r="I23" s="140">
        <v>0</v>
      </c>
      <c r="J23" s="140">
        <v>0</v>
      </c>
      <c r="K23" s="140">
        <v>0</v>
      </c>
      <c r="L23" s="140">
        <v>0</v>
      </c>
      <c r="M23" s="140">
        <v>0</v>
      </c>
      <c r="N23" s="140">
        <v>0</v>
      </c>
      <c r="O23" s="140">
        <v>0</v>
      </c>
      <c r="P23" s="140">
        <v>0</v>
      </c>
      <c r="Q23" s="140">
        <v>0</v>
      </c>
      <c r="R23" s="140">
        <v>0</v>
      </c>
      <c r="S23" s="140">
        <v>6.0704921910383893E-4</v>
      </c>
      <c r="T23" s="140">
        <v>0</v>
      </c>
      <c r="U23" s="140">
        <v>0</v>
      </c>
      <c r="V23" s="140">
        <v>0</v>
      </c>
      <c r="W23" s="140">
        <v>0</v>
      </c>
      <c r="X23" s="140">
        <v>0</v>
      </c>
      <c r="Y23" s="140">
        <v>1.0213356144575206E-2</v>
      </c>
      <c r="Z23" s="140">
        <v>5.0282347714116658E-3</v>
      </c>
      <c r="AA23" s="140">
        <v>0</v>
      </c>
      <c r="AB23" s="140">
        <v>0</v>
      </c>
      <c r="AC23" s="140">
        <v>0</v>
      </c>
      <c r="AD23" s="140">
        <v>1.5317367812390945E-4</v>
      </c>
      <c r="AE23" s="140">
        <v>1.01301014403814E-2</v>
      </c>
      <c r="AF23" s="140">
        <v>0</v>
      </c>
      <c r="AG23" s="140">
        <v>0</v>
      </c>
      <c r="AH23" s="140">
        <v>0</v>
      </c>
      <c r="AI23" s="140">
        <v>0</v>
      </c>
      <c r="AJ23" s="140">
        <v>6.0306488933359126E-3</v>
      </c>
      <c r="AK23" s="140">
        <v>0</v>
      </c>
      <c r="AL23" s="140">
        <v>1.3248801414796533E-2</v>
      </c>
      <c r="AM23" s="140">
        <v>0</v>
      </c>
      <c r="AN23" s="140">
        <v>0</v>
      </c>
      <c r="AO23" s="140">
        <v>0</v>
      </c>
      <c r="AP23" s="140">
        <v>0</v>
      </c>
      <c r="AQ23" s="140">
        <v>4.9974519690157979E-4</v>
      </c>
      <c r="AR23" s="140">
        <v>0</v>
      </c>
      <c r="AS23" s="140">
        <v>0</v>
      </c>
      <c r="AT23" s="140">
        <v>0</v>
      </c>
    </row>
    <row r="24" spans="1:46" customFormat="1" x14ac:dyDescent="0.15">
      <c r="A24" s="178" t="s">
        <v>213</v>
      </c>
      <c r="B24" s="140">
        <v>0</v>
      </c>
      <c r="C24" s="140">
        <v>0</v>
      </c>
      <c r="D24" s="140">
        <v>0</v>
      </c>
      <c r="E24" s="140">
        <v>0</v>
      </c>
      <c r="F24" s="140">
        <v>0</v>
      </c>
      <c r="G24" s="140">
        <v>0</v>
      </c>
      <c r="H24" s="140">
        <v>0</v>
      </c>
      <c r="I24" s="140">
        <v>0</v>
      </c>
      <c r="J24" s="140">
        <v>0</v>
      </c>
      <c r="K24" s="140">
        <v>0</v>
      </c>
      <c r="L24" s="140">
        <v>0</v>
      </c>
      <c r="M24" s="140">
        <v>0</v>
      </c>
      <c r="N24" s="140">
        <v>0</v>
      </c>
      <c r="O24" s="140">
        <v>0</v>
      </c>
      <c r="P24" s="140">
        <v>0</v>
      </c>
      <c r="Q24" s="140">
        <v>0</v>
      </c>
      <c r="R24" s="140">
        <v>0</v>
      </c>
      <c r="S24" s="140">
        <v>0</v>
      </c>
      <c r="T24" s="140">
        <v>0</v>
      </c>
      <c r="U24" s="140">
        <v>0</v>
      </c>
      <c r="V24" s="140">
        <v>0</v>
      </c>
      <c r="W24" s="140">
        <v>7.9940596054691772E-4</v>
      </c>
      <c r="X24" s="140">
        <v>4.0700812970024376E-2</v>
      </c>
      <c r="Y24" s="140">
        <v>0</v>
      </c>
      <c r="Z24" s="140">
        <v>5.1691857930358076E-2</v>
      </c>
      <c r="AA24" s="140">
        <v>0</v>
      </c>
      <c r="AB24" s="140">
        <v>0</v>
      </c>
      <c r="AC24" s="140">
        <v>0</v>
      </c>
      <c r="AD24" s="140">
        <v>0</v>
      </c>
      <c r="AE24" s="140">
        <v>5.118051358309178E-2</v>
      </c>
      <c r="AF24" s="140">
        <v>0</v>
      </c>
      <c r="AG24" s="140">
        <v>0</v>
      </c>
      <c r="AH24" s="140">
        <v>0</v>
      </c>
      <c r="AI24" s="140">
        <v>7.2927082043635613E-2</v>
      </c>
      <c r="AJ24" s="140">
        <v>0</v>
      </c>
      <c r="AK24" s="140">
        <v>7.0434411128711433E-2</v>
      </c>
      <c r="AL24" s="140">
        <v>0</v>
      </c>
      <c r="AM24" s="140">
        <v>8.6881718262365626E-2</v>
      </c>
      <c r="AN24" s="140">
        <v>0</v>
      </c>
      <c r="AO24" s="140">
        <v>0</v>
      </c>
      <c r="AP24" s="140">
        <v>0</v>
      </c>
      <c r="AQ24" s="140">
        <v>0</v>
      </c>
      <c r="AR24" s="140">
        <v>0</v>
      </c>
      <c r="AS24" s="140">
        <v>0</v>
      </c>
      <c r="AT24" s="140">
        <v>0</v>
      </c>
    </row>
    <row r="25" spans="1:46" customFormat="1" x14ac:dyDescent="0.15">
      <c r="A25" s="178" t="s">
        <v>214</v>
      </c>
      <c r="B25" s="140">
        <v>0</v>
      </c>
      <c r="C25" s="140">
        <v>0</v>
      </c>
      <c r="D25" s="140">
        <v>0</v>
      </c>
      <c r="E25" s="140">
        <v>0</v>
      </c>
      <c r="F25" s="140">
        <v>0</v>
      </c>
      <c r="G25" s="140">
        <v>0</v>
      </c>
      <c r="H25" s="140">
        <v>0</v>
      </c>
      <c r="I25" s="140">
        <v>0</v>
      </c>
      <c r="J25" s="140">
        <v>0</v>
      </c>
      <c r="K25" s="140">
        <v>0</v>
      </c>
      <c r="L25" s="140">
        <v>0</v>
      </c>
      <c r="M25" s="140">
        <v>0</v>
      </c>
      <c r="N25" s="140">
        <v>0</v>
      </c>
      <c r="O25" s="140">
        <v>0</v>
      </c>
      <c r="P25" s="140">
        <v>0</v>
      </c>
      <c r="Q25" s="140">
        <v>0</v>
      </c>
      <c r="R25" s="140">
        <v>0</v>
      </c>
      <c r="S25" s="140">
        <v>0</v>
      </c>
      <c r="T25" s="140">
        <v>0</v>
      </c>
      <c r="U25" s="140">
        <v>0</v>
      </c>
      <c r="V25" s="140">
        <v>0</v>
      </c>
      <c r="W25" s="140">
        <v>0</v>
      </c>
      <c r="X25" s="140">
        <v>0</v>
      </c>
      <c r="Y25" s="140">
        <v>0</v>
      </c>
      <c r="Z25" s="140">
        <v>0</v>
      </c>
      <c r="AA25" s="140">
        <v>3.398980268000603E-2</v>
      </c>
      <c r="AB25" s="140">
        <v>0</v>
      </c>
      <c r="AC25" s="140">
        <v>0</v>
      </c>
      <c r="AD25" s="140">
        <v>0</v>
      </c>
      <c r="AE25" s="140">
        <v>0</v>
      </c>
      <c r="AF25" s="140">
        <v>0</v>
      </c>
      <c r="AG25" s="140">
        <v>0</v>
      </c>
      <c r="AH25" s="140">
        <v>0</v>
      </c>
      <c r="AI25" s="140">
        <v>0</v>
      </c>
      <c r="AJ25" s="140">
        <v>0</v>
      </c>
      <c r="AK25" s="140">
        <v>0</v>
      </c>
      <c r="AL25" s="140">
        <v>0</v>
      </c>
      <c r="AM25" s="140">
        <v>0</v>
      </c>
      <c r="AN25" s="140">
        <v>0</v>
      </c>
      <c r="AO25" s="140">
        <v>0</v>
      </c>
      <c r="AP25" s="140">
        <v>0</v>
      </c>
      <c r="AQ25" s="140">
        <v>0</v>
      </c>
      <c r="AR25" s="140">
        <v>0</v>
      </c>
      <c r="AS25" s="140">
        <v>0</v>
      </c>
      <c r="AT25" s="140">
        <v>0</v>
      </c>
    </row>
    <row r="26" spans="1:46" customFormat="1" x14ac:dyDescent="0.15">
      <c r="A26" s="178" t="s">
        <v>215</v>
      </c>
      <c r="B26" s="140">
        <v>0</v>
      </c>
      <c r="C26" s="140">
        <v>0</v>
      </c>
      <c r="D26" s="140">
        <v>0</v>
      </c>
      <c r="E26" s="140">
        <v>0</v>
      </c>
      <c r="F26" s="140">
        <v>0</v>
      </c>
      <c r="G26" s="140">
        <v>0</v>
      </c>
      <c r="H26" s="140">
        <v>0</v>
      </c>
      <c r="I26" s="140">
        <v>0</v>
      </c>
      <c r="J26" s="140">
        <v>0</v>
      </c>
      <c r="K26" s="140">
        <v>0</v>
      </c>
      <c r="L26" s="140">
        <v>0</v>
      </c>
      <c r="M26" s="140">
        <v>0</v>
      </c>
      <c r="N26" s="140">
        <v>0</v>
      </c>
      <c r="O26" s="140">
        <v>0</v>
      </c>
      <c r="P26" s="140">
        <v>0</v>
      </c>
      <c r="Q26" s="140">
        <v>0</v>
      </c>
      <c r="R26" s="140">
        <v>0</v>
      </c>
      <c r="S26" s="140">
        <v>0</v>
      </c>
      <c r="T26" s="140">
        <v>0</v>
      </c>
      <c r="U26" s="140">
        <v>0</v>
      </c>
      <c r="V26" s="140">
        <v>0</v>
      </c>
      <c r="W26" s="140">
        <v>0</v>
      </c>
      <c r="X26" s="140">
        <v>0</v>
      </c>
      <c r="Y26" s="140">
        <v>0</v>
      </c>
      <c r="Z26" s="140">
        <v>2.0962640116004398E-2</v>
      </c>
      <c r="AA26" s="140">
        <v>0</v>
      </c>
      <c r="AB26" s="140">
        <v>0</v>
      </c>
      <c r="AC26" s="140">
        <v>0</v>
      </c>
      <c r="AD26" s="140">
        <v>0</v>
      </c>
      <c r="AE26" s="140">
        <v>2.0460204473662747E-2</v>
      </c>
      <c r="AF26" s="140">
        <v>0</v>
      </c>
      <c r="AG26" s="140">
        <v>0</v>
      </c>
      <c r="AH26" s="140">
        <v>0</v>
      </c>
      <c r="AI26" s="140">
        <v>0</v>
      </c>
      <c r="AJ26" s="140">
        <v>0</v>
      </c>
      <c r="AK26" s="140">
        <v>0</v>
      </c>
      <c r="AL26" s="140">
        <v>5.9124656495918103E-2</v>
      </c>
      <c r="AM26" s="140">
        <v>0</v>
      </c>
      <c r="AN26" s="140">
        <v>0</v>
      </c>
      <c r="AO26" s="140">
        <v>0</v>
      </c>
      <c r="AP26" s="140">
        <v>0</v>
      </c>
      <c r="AQ26" s="140">
        <v>0</v>
      </c>
      <c r="AR26" s="140">
        <v>0</v>
      </c>
      <c r="AS26" s="140">
        <v>0</v>
      </c>
      <c r="AT26" s="140">
        <v>0</v>
      </c>
    </row>
    <row r="27" spans="1:46" customFormat="1" x14ac:dyDescent="0.15">
      <c r="A27" s="178" t="s">
        <v>216</v>
      </c>
      <c r="B27" s="140">
        <v>0</v>
      </c>
      <c r="C27" s="140">
        <v>0</v>
      </c>
      <c r="D27" s="140">
        <v>0</v>
      </c>
      <c r="E27" s="140">
        <v>0</v>
      </c>
      <c r="F27" s="140">
        <v>0</v>
      </c>
      <c r="G27" s="140">
        <v>0</v>
      </c>
      <c r="H27" s="140">
        <v>0</v>
      </c>
      <c r="I27" s="140">
        <v>0</v>
      </c>
      <c r="J27" s="140">
        <v>0</v>
      </c>
      <c r="K27" s="140">
        <v>0</v>
      </c>
      <c r="L27" s="140">
        <v>0</v>
      </c>
      <c r="M27" s="140">
        <v>0</v>
      </c>
      <c r="N27" s="140">
        <v>0</v>
      </c>
      <c r="O27" s="140">
        <v>0</v>
      </c>
      <c r="P27" s="140">
        <v>0</v>
      </c>
      <c r="Q27" s="140">
        <v>0</v>
      </c>
      <c r="R27" s="140">
        <v>0</v>
      </c>
      <c r="S27" s="140">
        <v>1.2140981982076703E-4</v>
      </c>
      <c r="T27" s="140">
        <v>1.0257610380762499E-3</v>
      </c>
      <c r="U27" s="140">
        <v>0</v>
      </c>
      <c r="V27" s="140">
        <v>0</v>
      </c>
      <c r="W27" s="140">
        <v>0</v>
      </c>
      <c r="X27" s="140">
        <v>0</v>
      </c>
      <c r="Y27" s="140">
        <v>0</v>
      </c>
      <c r="Z27" s="140">
        <v>0</v>
      </c>
      <c r="AA27" s="140">
        <v>0</v>
      </c>
      <c r="AB27" s="140">
        <v>0</v>
      </c>
      <c r="AC27" s="140">
        <v>0</v>
      </c>
      <c r="AD27" s="140">
        <v>0</v>
      </c>
      <c r="AE27" s="140">
        <v>0</v>
      </c>
      <c r="AF27" s="140">
        <v>0</v>
      </c>
      <c r="AG27" s="140">
        <v>0</v>
      </c>
      <c r="AH27" s="140">
        <v>0</v>
      </c>
      <c r="AI27" s="140">
        <v>0</v>
      </c>
      <c r="AJ27" s="140">
        <v>0</v>
      </c>
      <c r="AK27" s="140">
        <v>0</v>
      </c>
      <c r="AL27" s="140">
        <v>1.103887994576974E-4</v>
      </c>
      <c r="AM27" s="140">
        <v>0</v>
      </c>
      <c r="AN27" s="140">
        <v>0</v>
      </c>
      <c r="AO27" s="140">
        <v>0</v>
      </c>
      <c r="AP27" s="140">
        <v>0</v>
      </c>
      <c r="AQ27" s="140">
        <v>0</v>
      </c>
      <c r="AR27" s="140">
        <v>0</v>
      </c>
      <c r="AS27" s="140">
        <v>0</v>
      </c>
      <c r="AT27" s="140">
        <v>0</v>
      </c>
    </row>
    <row r="28" spans="1:46" customFormat="1" x14ac:dyDescent="0.15">
      <c r="A28" s="178" t="s">
        <v>217</v>
      </c>
      <c r="B28" s="140">
        <v>0</v>
      </c>
      <c r="C28" s="140">
        <v>0</v>
      </c>
      <c r="D28" s="140">
        <v>0</v>
      </c>
      <c r="E28" s="140">
        <v>0</v>
      </c>
      <c r="F28" s="140">
        <v>0.31995988459929797</v>
      </c>
      <c r="G28" s="140">
        <v>0</v>
      </c>
      <c r="H28" s="140">
        <v>4.9989799019628689E-2</v>
      </c>
      <c r="I28" s="140">
        <v>0</v>
      </c>
      <c r="J28" s="140">
        <v>0</v>
      </c>
      <c r="K28" s="140">
        <v>0</v>
      </c>
      <c r="L28" s="140">
        <v>0</v>
      </c>
      <c r="M28" s="140">
        <v>0</v>
      </c>
      <c r="N28" s="140">
        <v>0</v>
      </c>
      <c r="O28" s="140">
        <v>0</v>
      </c>
      <c r="P28" s="140">
        <v>0</v>
      </c>
      <c r="Q28" s="140">
        <v>0</v>
      </c>
      <c r="R28" s="140">
        <v>0</v>
      </c>
      <c r="S28" s="140">
        <v>0</v>
      </c>
      <c r="T28" s="140">
        <v>0</v>
      </c>
      <c r="U28" s="140">
        <v>0</v>
      </c>
      <c r="V28" s="140">
        <v>0</v>
      </c>
      <c r="W28" s="140">
        <v>0</v>
      </c>
      <c r="X28" s="140">
        <v>0.158753176173621</v>
      </c>
      <c r="Y28" s="140">
        <v>0.1221721727484084</v>
      </c>
      <c r="Z28" s="140">
        <v>4.3074878908375622E-2</v>
      </c>
      <c r="AA28" s="140">
        <v>0</v>
      </c>
      <c r="AB28" s="140">
        <v>0</v>
      </c>
      <c r="AC28" s="140">
        <v>5.8451884954784004E-2</v>
      </c>
      <c r="AD28" s="140">
        <v>1.5239447904697367E-2</v>
      </c>
      <c r="AE28" s="140">
        <v>4.0910408547680507E-2</v>
      </c>
      <c r="AF28" s="140">
        <v>0</v>
      </c>
      <c r="AG28" s="140">
        <v>0</v>
      </c>
      <c r="AH28" s="140">
        <v>5.2517014854040721E-2</v>
      </c>
      <c r="AI28" s="140">
        <v>0</v>
      </c>
      <c r="AJ28" s="140">
        <v>0</v>
      </c>
      <c r="AK28" s="140">
        <v>0.3190326441124981</v>
      </c>
      <c r="AL28" s="140">
        <v>0.16003554151533358</v>
      </c>
      <c r="AM28" s="140">
        <v>0.6809354863812902</v>
      </c>
      <c r="AN28" s="140">
        <v>0</v>
      </c>
      <c r="AO28" s="140">
        <v>8.2607632706378331E-2</v>
      </c>
      <c r="AP28" s="140">
        <v>4.5013505360808233E-2</v>
      </c>
      <c r="AQ28" s="140">
        <v>6.1030543921610642E-2</v>
      </c>
      <c r="AR28" s="140">
        <v>0</v>
      </c>
      <c r="AS28" s="140">
        <v>0</v>
      </c>
      <c r="AT28" s="140">
        <v>0</v>
      </c>
    </row>
    <row r="29" spans="1:46" customFormat="1" x14ac:dyDescent="0.15">
      <c r="A29" s="178" t="s">
        <v>218</v>
      </c>
      <c r="B29" s="140">
        <v>0</v>
      </c>
      <c r="C29" s="140">
        <v>0</v>
      </c>
      <c r="D29" s="140">
        <v>0</v>
      </c>
      <c r="E29" s="140">
        <v>0</v>
      </c>
      <c r="F29" s="140">
        <v>0.31995988459929797</v>
      </c>
      <c r="G29" s="140">
        <v>0</v>
      </c>
      <c r="H29" s="140">
        <v>4.9989799019628689E-2</v>
      </c>
      <c r="I29" s="140">
        <v>0.10985269110193202</v>
      </c>
      <c r="J29" s="140">
        <v>0</v>
      </c>
      <c r="K29" s="140">
        <v>0</v>
      </c>
      <c r="L29" s="140">
        <v>0</v>
      </c>
      <c r="M29" s="140">
        <v>0</v>
      </c>
      <c r="N29" s="140">
        <v>0</v>
      </c>
      <c r="O29" s="140">
        <v>0</v>
      </c>
      <c r="P29" s="140">
        <v>0</v>
      </c>
      <c r="Q29" s="140">
        <v>0</v>
      </c>
      <c r="R29" s="140">
        <v>1.6855744044741742E-3</v>
      </c>
      <c r="S29" s="140">
        <v>0</v>
      </c>
      <c r="T29" s="140">
        <v>0</v>
      </c>
      <c r="U29" s="140">
        <v>0</v>
      </c>
      <c r="V29" s="140">
        <v>0</v>
      </c>
      <c r="W29" s="140">
        <v>0</v>
      </c>
      <c r="X29" s="140">
        <v>2.9860597885035121E-2</v>
      </c>
      <c r="Y29" s="140">
        <v>0</v>
      </c>
      <c r="Z29" s="140">
        <v>0.1477081556607944</v>
      </c>
      <c r="AA29" s="140">
        <v>0</v>
      </c>
      <c r="AB29" s="140">
        <v>0</v>
      </c>
      <c r="AC29" s="140">
        <v>2.3385004881546691E-2</v>
      </c>
      <c r="AD29" s="140">
        <v>0.15240927104843419</v>
      </c>
      <c r="AE29" s="140">
        <v>4.0910408547680507E-2</v>
      </c>
      <c r="AF29" s="140">
        <v>0</v>
      </c>
      <c r="AG29" s="140">
        <v>0</v>
      </c>
      <c r="AH29" s="140">
        <v>0</v>
      </c>
      <c r="AI29" s="140">
        <v>0.1041958289198797</v>
      </c>
      <c r="AJ29" s="140">
        <v>2.109781802684289E-2</v>
      </c>
      <c r="AK29" s="140">
        <v>0</v>
      </c>
      <c r="AL29" s="140">
        <v>8.7652074805212116E-2</v>
      </c>
      <c r="AM29" s="140">
        <v>0</v>
      </c>
      <c r="AN29" s="140">
        <v>0</v>
      </c>
      <c r="AO29" s="140">
        <v>0.10321414988390351</v>
      </c>
      <c r="AP29" s="140">
        <v>4.601380164660402E-2</v>
      </c>
      <c r="AQ29" s="140">
        <v>0</v>
      </c>
      <c r="AR29" s="140">
        <v>0</v>
      </c>
      <c r="AS29" s="140">
        <v>0</v>
      </c>
      <c r="AT29" s="140">
        <v>0</v>
      </c>
    </row>
    <row r="30" spans="1:46" customFormat="1" x14ac:dyDescent="0.15">
      <c r="A30" s="178" t="s">
        <v>219</v>
      </c>
      <c r="B30" s="140">
        <v>0</v>
      </c>
      <c r="C30" s="140">
        <v>0</v>
      </c>
      <c r="D30" s="140">
        <v>0</v>
      </c>
      <c r="E30" s="140">
        <v>0</v>
      </c>
      <c r="F30" s="140">
        <v>0</v>
      </c>
      <c r="G30" s="140">
        <v>0</v>
      </c>
      <c r="H30" s="140">
        <v>0</v>
      </c>
      <c r="I30" s="140">
        <v>0</v>
      </c>
      <c r="J30" s="140">
        <v>0</v>
      </c>
      <c r="K30" s="140">
        <v>0</v>
      </c>
      <c r="L30" s="140">
        <v>0</v>
      </c>
      <c r="M30" s="140">
        <v>0</v>
      </c>
      <c r="N30" s="140">
        <v>0</v>
      </c>
      <c r="O30" s="140">
        <v>0</v>
      </c>
      <c r="P30" s="140">
        <v>0</v>
      </c>
      <c r="Q30" s="140">
        <v>0</v>
      </c>
      <c r="R30" s="140">
        <v>0</v>
      </c>
      <c r="S30" s="140">
        <v>0</v>
      </c>
      <c r="T30" s="140">
        <v>0</v>
      </c>
      <c r="U30" s="140">
        <v>0</v>
      </c>
      <c r="V30" s="140">
        <v>0</v>
      </c>
      <c r="W30" s="140">
        <v>0</v>
      </c>
      <c r="X30" s="140">
        <v>4.2060841105779519E-2</v>
      </c>
      <c r="Y30" s="140">
        <v>0</v>
      </c>
      <c r="Z30" s="140">
        <v>2.3381791887140985E-2</v>
      </c>
      <c r="AA30" s="140">
        <v>4.9985000158832733E-3</v>
      </c>
      <c r="AB30" s="140">
        <v>0</v>
      </c>
      <c r="AC30" s="140">
        <v>0</v>
      </c>
      <c r="AD30" s="140">
        <v>0</v>
      </c>
      <c r="AE30" s="140">
        <v>0</v>
      </c>
      <c r="AF30" s="140">
        <v>0</v>
      </c>
      <c r="AG30" s="140">
        <v>0</v>
      </c>
      <c r="AH30" s="140">
        <v>0</v>
      </c>
      <c r="AI30" s="140">
        <v>5.2087915659659659E-2</v>
      </c>
      <c r="AJ30" s="140">
        <v>0</v>
      </c>
      <c r="AK30" s="140">
        <v>0</v>
      </c>
      <c r="AL30" s="140">
        <v>6.9313730692052433E-2</v>
      </c>
      <c r="AM30" s="140">
        <v>0.14118279717634405</v>
      </c>
      <c r="AN30" s="140">
        <v>0</v>
      </c>
      <c r="AO30" s="140">
        <v>0</v>
      </c>
      <c r="AP30" s="140">
        <v>4.5013505360808233E-2</v>
      </c>
      <c r="AQ30" s="140">
        <v>0</v>
      </c>
      <c r="AR30" s="140">
        <v>0.11111110411111111</v>
      </c>
      <c r="AS30" s="140">
        <v>0</v>
      </c>
      <c r="AT30" s="140">
        <v>0</v>
      </c>
    </row>
    <row r="31" spans="1:46" customFormat="1" x14ac:dyDescent="0.15">
      <c r="A31" s="178" t="s">
        <v>220</v>
      </c>
      <c r="B31" s="140">
        <v>0</v>
      </c>
      <c r="C31" s="140">
        <v>0</v>
      </c>
      <c r="D31" s="140">
        <v>0</v>
      </c>
      <c r="E31" s="140">
        <v>0</v>
      </c>
      <c r="F31" s="140">
        <v>0</v>
      </c>
      <c r="G31" s="140">
        <v>0</v>
      </c>
      <c r="H31" s="140">
        <v>0</v>
      </c>
      <c r="I31" s="140">
        <v>0</v>
      </c>
      <c r="J31" s="140">
        <v>0</v>
      </c>
      <c r="K31" s="140">
        <v>0</v>
      </c>
      <c r="L31" s="140">
        <v>0</v>
      </c>
      <c r="M31" s="140">
        <v>0</v>
      </c>
      <c r="N31" s="140">
        <v>0</v>
      </c>
      <c r="O31" s="140">
        <v>0</v>
      </c>
      <c r="P31" s="140">
        <v>0</v>
      </c>
      <c r="Q31" s="140">
        <v>0</v>
      </c>
      <c r="R31" s="140">
        <v>0</v>
      </c>
      <c r="S31" s="140">
        <v>0</v>
      </c>
      <c r="T31" s="140">
        <v>0</v>
      </c>
      <c r="U31" s="140">
        <v>0</v>
      </c>
      <c r="V31" s="140">
        <v>0</v>
      </c>
      <c r="W31" s="140">
        <v>0</v>
      </c>
      <c r="X31" s="140">
        <v>0</v>
      </c>
      <c r="Y31" s="140">
        <v>0</v>
      </c>
      <c r="Z31" s="140">
        <v>0</v>
      </c>
      <c r="AA31" s="140">
        <v>0</v>
      </c>
      <c r="AB31" s="140">
        <v>0</v>
      </c>
      <c r="AC31" s="140">
        <v>0</v>
      </c>
      <c r="AD31" s="140">
        <v>0</v>
      </c>
      <c r="AE31" s="140">
        <v>0</v>
      </c>
      <c r="AF31" s="140">
        <v>0</v>
      </c>
      <c r="AG31" s="140">
        <v>0</v>
      </c>
      <c r="AH31" s="140">
        <v>0</v>
      </c>
      <c r="AI31" s="140">
        <v>0</v>
      </c>
      <c r="AJ31" s="140">
        <v>0</v>
      </c>
      <c r="AK31" s="140">
        <v>0</v>
      </c>
      <c r="AL31" s="140">
        <v>1.9858204523083647E-2</v>
      </c>
      <c r="AM31" s="140">
        <v>0</v>
      </c>
      <c r="AN31" s="140">
        <v>0</v>
      </c>
      <c r="AO31" s="140">
        <v>0</v>
      </c>
      <c r="AP31" s="140">
        <v>0</v>
      </c>
      <c r="AQ31" s="140">
        <v>0</v>
      </c>
      <c r="AR31" s="140">
        <v>0.11111110411111111</v>
      </c>
      <c r="AS31" s="140">
        <v>0</v>
      </c>
      <c r="AT31" s="140">
        <v>0</v>
      </c>
    </row>
    <row r="32" spans="1:46" customFormat="1" x14ac:dyDescent="0.15">
      <c r="A32" s="178" t="s">
        <v>221</v>
      </c>
      <c r="B32" s="140">
        <v>0</v>
      </c>
      <c r="C32" s="140">
        <v>0</v>
      </c>
      <c r="D32" s="140">
        <v>0</v>
      </c>
      <c r="E32" s="140">
        <v>0</v>
      </c>
      <c r="F32" s="140">
        <v>0</v>
      </c>
      <c r="G32" s="140">
        <v>0</v>
      </c>
      <c r="H32" s="140">
        <v>9.9979597939257384E-2</v>
      </c>
      <c r="I32" s="140">
        <v>0.21970538220386404</v>
      </c>
      <c r="J32" s="140">
        <v>0</v>
      </c>
      <c r="K32" s="140">
        <v>0</v>
      </c>
      <c r="L32" s="140">
        <v>0</v>
      </c>
      <c r="M32" s="140">
        <v>0</v>
      </c>
      <c r="N32" s="140">
        <v>0</v>
      </c>
      <c r="O32" s="140">
        <v>0</v>
      </c>
      <c r="P32" s="140">
        <v>0</v>
      </c>
      <c r="Q32" s="140">
        <v>0</v>
      </c>
      <c r="R32" s="140">
        <v>0</v>
      </c>
      <c r="S32" s="140">
        <v>7.3807052322707942E-2</v>
      </c>
      <c r="T32" s="140">
        <v>0</v>
      </c>
      <c r="U32" s="140">
        <v>0</v>
      </c>
      <c r="V32" s="140">
        <v>0.33786295403490141</v>
      </c>
      <c r="W32" s="140">
        <v>8.6868805712763841E-2</v>
      </c>
      <c r="X32" s="140">
        <v>0</v>
      </c>
      <c r="Y32" s="140">
        <v>0.1221721727484084</v>
      </c>
      <c r="Z32" s="140">
        <v>4.063572983417113E-2</v>
      </c>
      <c r="AA32" s="140">
        <v>4.4986506002948942E-2</v>
      </c>
      <c r="AB32" s="140">
        <v>0</v>
      </c>
      <c r="AC32" s="140">
        <v>0</v>
      </c>
      <c r="AD32" s="140">
        <v>0</v>
      </c>
      <c r="AE32" s="140">
        <v>3.606036181985716E-2</v>
      </c>
      <c r="AF32" s="140">
        <v>0</v>
      </c>
      <c r="AG32" s="140">
        <v>8.2449410188715822E-2</v>
      </c>
      <c r="AH32" s="140">
        <v>3.5931079558047724E-2</v>
      </c>
      <c r="AI32" s="140">
        <v>2.1879126013118748E-2</v>
      </c>
      <c r="AJ32" s="140">
        <v>3.4682559386569574E-5</v>
      </c>
      <c r="AK32" s="140">
        <v>0.10706029271564119</v>
      </c>
      <c r="AL32" s="140">
        <v>2.0298164997008951E-3</v>
      </c>
      <c r="AM32" s="140">
        <v>0</v>
      </c>
      <c r="AN32" s="140">
        <v>0</v>
      </c>
      <c r="AO32" s="140">
        <v>0.17580598239562578</v>
      </c>
      <c r="AP32" s="140">
        <v>3.4010204917055094E-2</v>
      </c>
      <c r="AQ32" s="140">
        <v>0.16908463695167528</v>
      </c>
      <c r="AR32" s="140">
        <v>0</v>
      </c>
      <c r="AS32" s="140">
        <v>0</v>
      </c>
      <c r="AT32" s="140">
        <v>0</v>
      </c>
    </row>
    <row r="33" spans="1:46" customFormat="1" x14ac:dyDescent="0.15">
      <c r="A33" s="178" t="s">
        <v>222</v>
      </c>
      <c r="B33" s="140">
        <v>0</v>
      </c>
      <c r="C33" s="140">
        <v>0</v>
      </c>
      <c r="D33" s="140">
        <v>0</v>
      </c>
      <c r="E33" s="140">
        <v>0</v>
      </c>
      <c r="F33" s="140">
        <v>5.0150447477632837E-2</v>
      </c>
      <c r="G33" s="140">
        <v>0</v>
      </c>
      <c r="H33" s="140">
        <v>4.9989799019628689E-2</v>
      </c>
      <c r="I33" s="140">
        <v>0.10985269110193202</v>
      </c>
      <c r="J33" s="140">
        <v>0</v>
      </c>
      <c r="K33" s="140">
        <v>0</v>
      </c>
      <c r="L33" s="140">
        <v>0</v>
      </c>
      <c r="M33" s="140">
        <v>0</v>
      </c>
      <c r="N33" s="140">
        <v>0</v>
      </c>
      <c r="O33" s="140">
        <v>0</v>
      </c>
      <c r="P33" s="140">
        <v>0</v>
      </c>
      <c r="Q33" s="140">
        <v>0</v>
      </c>
      <c r="R33" s="140">
        <v>0</v>
      </c>
      <c r="S33" s="140">
        <v>0</v>
      </c>
      <c r="T33" s="140">
        <v>0</v>
      </c>
      <c r="U33" s="140">
        <v>0</v>
      </c>
      <c r="V33" s="140">
        <v>0</v>
      </c>
      <c r="W33" s="140">
        <v>0</v>
      </c>
      <c r="X33" s="140">
        <v>0</v>
      </c>
      <c r="Y33" s="140">
        <v>0.1221721727484084</v>
      </c>
      <c r="Z33" s="140">
        <v>0</v>
      </c>
      <c r="AA33" s="140">
        <v>0</v>
      </c>
      <c r="AB33" s="140">
        <v>0</v>
      </c>
      <c r="AC33" s="140">
        <v>0</v>
      </c>
      <c r="AD33" s="140">
        <v>0</v>
      </c>
      <c r="AE33" s="140">
        <v>0</v>
      </c>
      <c r="AF33" s="140">
        <v>0</v>
      </c>
      <c r="AG33" s="140">
        <v>0</v>
      </c>
      <c r="AH33" s="140">
        <v>1.0219305674302541E-2</v>
      </c>
      <c r="AI33" s="140">
        <v>0.13024479564984989</v>
      </c>
      <c r="AJ33" s="140">
        <v>0</v>
      </c>
      <c r="AK33" s="140">
        <v>4.930408079009789E-3</v>
      </c>
      <c r="AL33" s="140">
        <v>0</v>
      </c>
      <c r="AM33" s="140">
        <v>0</v>
      </c>
      <c r="AN33" s="140">
        <v>0</v>
      </c>
      <c r="AO33" s="140">
        <v>0</v>
      </c>
      <c r="AP33" s="140">
        <v>3.000900107387219E-2</v>
      </c>
      <c r="AQ33" s="140">
        <v>0</v>
      </c>
      <c r="AR33" s="140">
        <v>0</v>
      </c>
      <c r="AS33" s="140">
        <v>0</v>
      </c>
      <c r="AT33" s="140">
        <v>0</v>
      </c>
    </row>
    <row r="34" spans="1:46" customFormat="1" x14ac:dyDescent="0.15">
      <c r="A34" s="178" t="s">
        <v>223</v>
      </c>
      <c r="B34" s="140">
        <v>0</v>
      </c>
      <c r="C34" s="140">
        <v>0</v>
      </c>
      <c r="D34" s="140">
        <v>0</v>
      </c>
      <c r="E34" s="140">
        <v>0</v>
      </c>
      <c r="F34" s="140">
        <v>0</v>
      </c>
      <c r="G34" s="140">
        <v>0</v>
      </c>
      <c r="H34" s="140">
        <v>0</v>
      </c>
      <c r="I34" s="140">
        <v>0</v>
      </c>
      <c r="J34" s="140">
        <v>0</v>
      </c>
      <c r="K34" s="140">
        <v>0</v>
      </c>
      <c r="L34" s="140">
        <v>0</v>
      </c>
      <c r="M34" s="140">
        <v>0</v>
      </c>
      <c r="N34" s="140">
        <v>0</v>
      </c>
      <c r="O34" s="140">
        <v>0</v>
      </c>
      <c r="P34" s="140">
        <v>0</v>
      </c>
      <c r="Q34" s="140">
        <v>0</v>
      </c>
      <c r="R34" s="140">
        <v>0</v>
      </c>
      <c r="S34" s="140">
        <v>0</v>
      </c>
      <c r="T34" s="140">
        <v>0</v>
      </c>
      <c r="U34" s="140">
        <v>0</v>
      </c>
      <c r="V34" s="140">
        <v>0</v>
      </c>
      <c r="W34" s="140">
        <v>6.4618666810874938E-3</v>
      </c>
      <c r="X34" s="140">
        <v>0</v>
      </c>
      <c r="Y34" s="140">
        <v>0</v>
      </c>
      <c r="Z34" s="140">
        <v>2.4691330288045131E-3</v>
      </c>
      <c r="AA34" s="140">
        <v>0</v>
      </c>
      <c r="AB34" s="140">
        <v>0</v>
      </c>
      <c r="AC34" s="140">
        <v>0</v>
      </c>
      <c r="AD34" s="140">
        <v>0</v>
      </c>
      <c r="AE34" s="140">
        <v>1.396013950441505E-2</v>
      </c>
      <c r="AF34" s="140">
        <v>0</v>
      </c>
      <c r="AG34" s="140">
        <v>0</v>
      </c>
      <c r="AH34" s="140">
        <v>0</v>
      </c>
      <c r="AI34" s="140">
        <v>0.13024479564984989</v>
      </c>
      <c r="AJ34" s="140">
        <v>0</v>
      </c>
      <c r="AK34" s="140">
        <v>0</v>
      </c>
      <c r="AL34" s="140">
        <v>7.1393545768790112E-3</v>
      </c>
      <c r="AM34" s="140">
        <v>0</v>
      </c>
      <c r="AN34" s="140">
        <v>0</v>
      </c>
      <c r="AO34" s="140">
        <v>9.994040795102176E-4</v>
      </c>
      <c r="AP34" s="140">
        <v>0</v>
      </c>
      <c r="AQ34" s="140">
        <v>0</v>
      </c>
      <c r="AR34" s="140">
        <v>0</v>
      </c>
      <c r="AS34" s="140">
        <v>0</v>
      </c>
      <c r="AT34" s="140">
        <v>0</v>
      </c>
    </row>
    <row r="35" spans="1:46" customFormat="1" x14ac:dyDescent="0.15">
      <c r="A35" s="178" t="s">
        <v>224</v>
      </c>
      <c r="B35" s="140">
        <v>0</v>
      </c>
      <c r="C35" s="140">
        <v>0</v>
      </c>
      <c r="D35" s="140">
        <v>0</v>
      </c>
      <c r="E35" s="140">
        <v>0</v>
      </c>
      <c r="F35" s="140">
        <v>0</v>
      </c>
      <c r="G35" s="140">
        <v>0</v>
      </c>
      <c r="H35" s="140">
        <v>0</v>
      </c>
      <c r="I35" s="140">
        <v>0</v>
      </c>
      <c r="J35" s="140">
        <v>0</v>
      </c>
      <c r="K35" s="140">
        <v>0</v>
      </c>
      <c r="L35" s="140">
        <v>0</v>
      </c>
      <c r="M35" s="140">
        <v>0</v>
      </c>
      <c r="N35" s="140">
        <v>0</v>
      </c>
      <c r="O35" s="140">
        <v>0</v>
      </c>
      <c r="P35" s="140">
        <v>0</v>
      </c>
      <c r="Q35" s="140">
        <v>0</v>
      </c>
      <c r="R35" s="140">
        <v>0</v>
      </c>
      <c r="S35" s="140">
        <v>0</v>
      </c>
      <c r="T35" s="140">
        <v>0</v>
      </c>
      <c r="U35" s="140">
        <v>0</v>
      </c>
      <c r="V35" s="140">
        <v>0</v>
      </c>
      <c r="W35" s="140">
        <v>2.79792151191418E-3</v>
      </c>
      <c r="X35" s="140">
        <v>0</v>
      </c>
      <c r="Y35" s="140">
        <v>0</v>
      </c>
      <c r="Z35" s="140">
        <v>0</v>
      </c>
      <c r="AA35" s="140">
        <v>0</v>
      </c>
      <c r="AB35" s="140">
        <v>0</v>
      </c>
      <c r="AC35" s="140">
        <v>0</v>
      </c>
      <c r="AD35" s="140">
        <v>0</v>
      </c>
      <c r="AE35" s="140">
        <v>0</v>
      </c>
      <c r="AF35" s="140">
        <v>0</v>
      </c>
      <c r="AG35" s="140">
        <v>0</v>
      </c>
      <c r="AH35" s="140">
        <v>0</v>
      </c>
      <c r="AI35" s="140">
        <v>0</v>
      </c>
      <c r="AJ35" s="140">
        <v>0</v>
      </c>
      <c r="AK35" s="140">
        <v>0</v>
      </c>
      <c r="AL35" s="140">
        <v>0</v>
      </c>
      <c r="AM35" s="140">
        <v>0</v>
      </c>
      <c r="AN35" s="140">
        <v>0</v>
      </c>
      <c r="AO35" s="140">
        <v>0</v>
      </c>
      <c r="AP35" s="140">
        <v>0</v>
      </c>
      <c r="AQ35" s="140">
        <v>0</v>
      </c>
      <c r="AR35" s="140">
        <v>0</v>
      </c>
      <c r="AS35" s="140">
        <v>0</v>
      </c>
      <c r="AT35" s="140">
        <v>0</v>
      </c>
    </row>
    <row r="36" spans="1:46" customFormat="1" x14ac:dyDescent="0.15">
      <c r="A36" s="178" t="s">
        <v>225</v>
      </c>
      <c r="B36" s="140">
        <v>0</v>
      </c>
      <c r="C36" s="140">
        <v>0</v>
      </c>
      <c r="D36" s="140">
        <v>0</v>
      </c>
      <c r="E36" s="140">
        <v>0</v>
      </c>
      <c r="F36" s="140">
        <v>0</v>
      </c>
      <c r="G36" s="140">
        <v>0</v>
      </c>
      <c r="H36" s="140">
        <v>0</v>
      </c>
      <c r="I36" s="140">
        <v>0</v>
      </c>
      <c r="J36" s="140">
        <v>0</v>
      </c>
      <c r="K36" s="140">
        <v>0</v>
      </c>
      <c r="L36" s="140">
        <v>0</v>
      </c>
      <c r="M36" s="140">
        <v>0</v>
      </c>
      <c r="N36" s="140">
        <v>0</v>
      </c>
      <c r="O36" s="140">
        <v>0</v>
      </c>
      <c r="P36" s="140">
        <v>0</v>
      </c>
      <c r="Q36" s="140">
        <v>0</v>
      </c>
      <c r="R36" s="140">
        <v>0</v>
      </c>
      <c r="S36" s="140">
        <v>0</v>
      </c>
      <c r="T36" s="140">
        <v>0</v>
      </c>
      <c r="U36" s="140">
        <v>0</v>
      </c>
      <c r="V36" s="140">
        <v>0</v>
      </c>
      <c r="W36" s="140">
        <v>0</v>
      </c>
      <c r="X36" s="140">
        <v>0</v>
      </c>
      <c r="Y36" s="140">
        <v>0</v>
      </c>
      <c r="Z36" s="140">
        <v>0</v>
      </c>
      <c r="AA36" s="140">
        <v>0</v>
      </c>
      <c r="AB36" s="140">
        <v>0</v>
      </c>
      <c r="AC36" s="140">
        <v>0</v>
      </c>
      <c r="AD36" s="140">
        <v>0</v>
      </c>
      <c r="AE36" s="140">
        <v>0</v>
      </c>
      <c r="AF36" s="140">
        <v>0</v>
      </c>
      <c r="AG36" s="140">
        <v>0</v>
      </c>
      <c r="AH36" s="140">
        <v>0</v>
      </c>
      <c r="AI36" s="140">
        <v>0</v>
      </c>
      <c r="AJ36" s="140">
        <v>0</v>
      </c>
      <c r="AK36" s="140">
        <v>0</v>
      </c>
      <c r="AL36" s="140">
        <v>0</v>
      </c>
      <c r="AM36" s="140">
        <v>0</v>
      </c>
      <c r="AN36" s="140">
        <v>0</v>
      </c>
      <c r="AO36" s="140">
        <v>0</v>
      </c>
      <c r="AP36" s="140">
        <v>0</v>
      </c>
      <c r="AQ36" s="140">
        <v>0</v>
      </c>
      <c r="AR36" s="140">
        <v>0</v>
      </c>
      <c r="AS36" s="140">
        <v>0</v>
      </c>
      <c r="AT36" s="140">
        <v>0</v>
      </c>
    </row>
    <row r="37" spans="1:46" customFormat="1" x14ac:dyDescent="0.15">
      <c r="A37" s="178" t="s">
        <v>226</v>
      </c>
      <c r="B37" s="140">
        <v>0</v>
      </c>
      <c r="C37" s="140">
        <v>0</v>
      </c>
      <c r="D37" s="140">
        <v>0</v>
      </c>
      <c r="E37" s="140">
        <v>0</v>
      </c>
      <c r="F37" s="140">
        <v>0</v>
      </c>
      <c r="G37" s="140">
        <v>0</v>
      </c>
      <c r="H37" s="140">
        <v>0</v>
      </c>
      <c r="I37" s="140">
        <v>0</v>
      </c>
      <c r="J37" s="140">
        <v>0</v>
      </c>
      <c r="K37" s="140">
        <v>0</v>
      </c>
      <c r="L37" s="140">
        <v>0</v>
      </c>
      <c r="M37" s="140">
        <v>0</v>
      </c>
      <c r="N37" s="140">
        <v>0</v>
      </c>
      <c r="O37" s="140">
        <v>0</v>
      </c>
      <c r="P37" s="140">
        <v>0</v>
      </c>
      <c r="Q37" s="140">
        <v>0</v>
      </c>
      <c r="R37" s="140">
        <v>0</v>
      </c>
      <c r="S37" s="140">
        <v>0</v>
      </c>
      <c r="T37" s="140">
        <v>0</v>
      </c>
      <c r="U37" s="140">
        <v>0</v>
      </c>
      <c r="V37" s="140">
        <v>0</v>
      </c>
      <c r="W37" s="140">
        <v>0</v>
      </c>
      <c r="X37" s="140">
        <v>0</v>
      </c>
      <c r="Y37" s="140">
        <v>0</v>
      </c>
      <c r="Z37" s="140">
        <v>1.7223954942430272E-2</v>
      </c>
      <c r="AA37" s="140">
        <v>0</v>
      </c>
      <c r="AB37" s="140">
        <v>0</v>
      </c>
      <c r="AC37" s="140">
        <v>0</v>
      </c>
      <c r="AD37" s="140">
        <v>0</v>
      </c>
      <c r="AE37" s="140">
        <v>0</v>
      </c>
      <c r="AF37" s="140">
        <v>0</v>
      </c>
      <c r="AG37" s="140">
        <v>0</v>
      </c>
      <c r="AH37" s="140">
        <v>0</v>
      </c>
      <c r="AI37" s="140">
        <v>0</v>
      </c>
      <c r="AJ37" s="140">
        <v>0</v>
      </c>
      <c r="AK37" s="140">
        <v>0</v>
      </c>
      <c r="AL37" s="140">
        <v>0</v>
      </c>
      <c r="AM37" s="140">
        <v>0</v>
      </c>
      <c r="AN37" s="140">
        <v>0</v>
      </c>
      <c r="AO37" s="140">
        <v>0</v>
      </c>
      <c r="AP37" s="140">
        <v>0</v>
      </c>
      <c r="AQ37" s="140">
        <v>0</v>
      </c>
      <c r="AR37" s="140">
        <v>0</v>
      </c>
      <c r="AS37" s="140">
        <v>0</v>
      </c>
      <c r="AT37" s="140">
        <v>0</v>
      </c>
    </row>
    <row r="38" spans="1:46" customFormat="1" x14ac:dyDescent="0.15">
      <c r="A38" s="178" t="s">
        <v>227</v>
      </c>
      <c r="B38" s="140">
        <v>0</v>
      </c>
      <c r="C38" s="140">
        <v>0</v>
      </c>
      <c r="D38" s="140">
        <v>0</v>
      </c>
      <c r="E38" s="140">
        <v>0</v>
      </c>
      <c r="F38" s="140">
        <v>0</v>
      </c>
      <c r="G38" s="140">
        <v>0</v>
      </c>
      <c r="H38" s="140">
        <v>0</v>
      </c>
      <c r="I38" s="140">
        <v>0</v>
      </c>
      <c r="J38" s="140">
        <v>0</v>
      </c>
      <c r="K38" s="140">
        <v>0</v>
      </c>
      <c r="L38" s="140">
        <v>0</v>
      </c>
      <c r="M38" s="140">
        <v>0</v>
      </c>
      <c r="N38" s="140">
        <v>0</v>
      </c>
      <c r="O38" s="140">
        <v>0</v>
      </c>
      <c r="P38" s="140">
        <v>0</v>
      </c>
      <c r="Q38" s="140">
        <v>0</v>
      </c>
      <c r="R38" s="140">
        <v>0</v>
      </c>
      <c r="S38" s="140">
        <v>0</v>
      </c>
      <c r="T38" s="140">
        <v>0</v>
      </c>
      <c r="U38" s="140">
        <v>0</v>
      </c>
      <c r="V38" s="140">
        <v>0</v>
      </c>
      <c r="W38" s="140">
        <v>0</v>
      </c>
      <c r="X38" s="140">
        <v>0</v>
      </c>
      <c r="Y38" s="140">
        <v>0</v>
      </c>
      <c r="Z38" s="140">
        <v>0</v>
      </c>
      <c r="AA38" s="140">
        <v>0</v>
      </c>
      <c r="AB38" s="140">
        <v>0</v>
      </c>
      <c r="AC38" s="140">
        <v>0</v>
      </c>
      <c r="AD38" s="140">
        <v>0</v>
      </c>
      <c r="AE38" s="140">
        <v>0</v>
      </c>
      <c r="AF38" s="140">
        <v>0</v>
      </c>
      <c r="AG38" s="140">
        <v>0</v>
      </c>
      <c r="AH38" s="140">
        <v>0</v>
      </c>
      <c r="AI38" s="140">
        <v>0</v>
      </c>
      <c r="AJ38" s="140">
        <v>0</v>
      </c>
      <c r="AK38" s="140">
        <v>0</v>
      </c>
      <c r="AL38" s="140">
        <v>0</v>
      </c>
      <c r="AM38" s="140">
        <v>0</v>
      </c>
      <c r="AN38" s="140">
        <v>0</v>
      </c>
      <c r="AO38" s="140">
        <v>0</v>
      </c>
      <c r="AP38" s="140">
        <v>0</v>
      </c>
      <c r="AQ38" s="140">
        <v>0</v>
      </c>
      <c r="AR38" s="140">
        <v>0</v>
      </c>
      <c r="AS38" s="140">
        <v>0</v>
      </c>
      <c r="AT38" s="140">
        <v>0</v>
      </c>
    </row>
    <row r="39" spans="1:46" x14ac:dyDescent="0.15">
      <c r="A39" s="178" t="s">
        <v>228</v>
      </c>
      <c r="B39" s="140">
        <v>0</v>
      </c>
      <c r="C39" s="140">
        <v>0</v>
      </c>
      <c r="D39" s="140">
        <v>0</v>
      </c>
      <c r="E39" s="140">
        <v>0</v>
      </c>
      <c r="F39" s="140">
        <v>0</v>
      </c>
      <c r="G39" s="140">
        <v>0</v>
      </c>
      <c r="H39" s="140">
        <v>0</v>
      </c>
      <c r="I39" s="140">
        <v>0</v>
      </c>
      <c r="J39" s="140">
        <v>0</v>
      </c>
      <c r="K39" s="140">
        <v>0</v>
      </c>
      <c r="L39" s="140">
        <v>0</v>
      </c>
      <c r="M39" s="140">
        <v>0</v>
      </c>
      <c r="N39" s="140">
        <v>0</v>
      </c>
      <c r="O39" s="140">
        <v>0</v>
      </c>
      <c r="P39" s="140">
        <v>0</v>
      </c>
      <c r="Q39" s="140">
        <v>0</v>
      </c>
      <c r="R39" s="140">
        <v>0</v>
      </c>
      <c r="S39" s="140">
        <v>0</v>
      </c>
      <c r="T39" s="140">
        <v>0</v>
      </c>
      <c r="U39" s="140">
        <v>0</v>
      </c>
      <c r="V39" s="140">
        <v>0</v>
      </c>
      <c r="W39" s="140">
        <v>0</v>
      </c>
      <c r="X39" s="140">
        <v>0</v>
      </c>
      <c r="Y39" s="140">
        <v>0</v>
      </c>
      <c r="Z39" s="140">
        <v>0</v>
      </c>
      <c r="AA39" s="140">
        <v>0</v>
      </c>
      <c r="AB39" s="140">
        <v>0</v>
      </c>
      <c r="AC39" s="140">
        <v>0</v>
      </c>
      <c r="AD39" s="140">
        <v>0</v>
      </c>
      <c r="AE39" s="140">
        <v>0</v>
      </c>
      <c r="AF39" s="140">
        <v>0</v>
      </c>
      <c r="AG39" s="140">
        <v>0</v>
      </c>
      <c r="AH39" s="140">
        <v>0</v>
      </c>
      <c r="AI39" s="140">
        <v>0</v>
      </c>
      <c r="AJ39" s="140">
        <v>0</v>
      </c>
      <c r="AK39" s="140">
        <v>0</v>
      </c>
      <c r="AL39" s="140">
        <v>0</v>
      </c>
      <c r="AM39" s="140">
        <v>0</v>
      </c>
      <c r="AN39" s="140">
        <v>0</v>
      </c>
      <c r="AO39" s="140">
        <v>0</v>
      </c>
      <c r="AP39" s="140">
        <v>0</v>
      </c>
      <c r="AQ39" s="140">
        <v>0</v>
      </c>
      <c r="AR39" s="140">
        <v>0</v>
      </c>
      <c r="AS39" s="140">
        <v>0</v>
      </c>
      <c r="AT39" s="140">
        <v>0</v>
      </c>
    </row>
    <row r="40" spans="1:46" x14ac:dyDescent="0.15">
      <c r="A40" s="178" t="s">
        <v>229</v>
      </c>
      <c r="B40" s="140">
        <v>0</v>
      </c>
      <c r="C40" s="140">
        <v>0</v>
      </c>
      <c r="D40" s="140">
        <v>0</v>
      </c>
      <c r="E40" s="140">
        <v>0</v>
      </c>
      <c r="F40" s="140">
        <v>0</v>
      </c>
      <c r="G40" s="140">
        <v>0</v>
      </c>
      <c r="H40" s="140">
        <v>0</v>
      </c>
      <c r="I40" s="140">
        <v>0</v>
      </c>
      <c r="J40" s="140">
        <v>0</v>
      </c>
      <c r="K40" s="140">
        <v>0</v>
      </c>
      <c r="L40" s="140">
        <v>0</v>
      </c>
      <c r="M40" s="140">
        <v>0</v>
      </c>
      <c r="N40" s="140">
        <v>0</v>
      </c>
      <c r="O40" s="140">
        <v>0</v>
      </c>
      <c r="P40" s="140">
        <v>0</v>
      </c>
      <c r="Q40" s="140">
        <v>0</v>
      </c>
      <c r="R40" s="140">
        <v>0</v>
      </c>
      <c r="S40" s="140">
        <v>0</v>
      </c>
      <c r="T40" s="140">
        <v>0</v>
      </c>
      <c r="U40" s="140">
        <v>0</v>
      </c>
      <c r="V40" s="140">
        <v>0</v>
      </c>
      <c r="W40" s="140">
        <v>0</v>
      </c>
      <c r="X40" s="140">
        <v>0</v>
      </c>
      <c r="Y40" s="140">
        <v>0</v>
      </c>
      <c r="Z40" s="140">
        <v>0</v>
      </c>
      <c r="AA40" s="140">
        <v>0</v>
      </c>
      <c r="AB40" s="140">
        <v>0</v>
      </c>
      <c r="AC40" s="140">
        <v>0</v>
      </c>
      <c r="AD40" s="140">
        <v>0</v>
      </c>
      <c r="AE40" s="140">
        <v>0</v>
      </c>
      <c r="AF40" s="140">
        <v>0</v>
      </c>
      <c r="AG40" s="140">
        <v>0</v>
      </c>
      <c r="AH40" s="140">
        <v>0</v>
      </c>
      <c r="AI40" s="140">
        <v>0</v>
      </c>
      <c r="AJ40" s="140">
        <v>0</v>
      </c>
      <c r="AK40" s="140">
        <v>0</v>
      </c>
      <c r="AL40" s="140">
        <v>0</v>
      </c>
      <c r="AM40" s="140">
        <v>0</v>
      </c>
      <c r="AN40" s="140">
        <v>0</v>
      </c>
      <c r="AO40" s="140">
        <v>0</v>
      </c>
      <c r="AP40" s="140">
        <v>0</v>
      </c>
      <c r="AQ40" s="140">
        <v>0</v>
      </c>
      <c r="AR40" s="140">
        <v>0</v>
      </c>
      <c r="AS40" s="140">
        <v>0</v>
      </c>
      <c r="AT40" s="140">
        <v>0</v>
      </c>
    </row>
    <row r="41" spans="1:46" x14ac:dyDescent="0.15">
      <c r="A41" s="178" t="s">
        <v>230</v>
      </c>
      <c r="B41" s="140">
        <v>0</v>
      </c>
      <c r="C41" s="140">
        <v>0</v>
      </c>
      <c r="D41" s="140">
        <v>0</v>
      </c>
      <c r="E41" s="140">
        <v>0</v>
      </c>
      <c r="F41" s="140">
        <v>0</v>
      </c>
      <c r="G41" s="140">
        <v>0</v>
      </c>
      <c r="H41" s="140">
        <v>0</v>
      </c>
      <c r="I41" s="140">
        <v>0</v>
      </c>
      <c r="J41" s="140">
        <v>0</v>
      </c>
      <c r="K41" s="140">
        <v>0</v>
      </c>
      <c r="L41" s="140">
        <v>0</v>
      </c>
      <c r="M41" s="140">
        <v>0</v>
      </c>
      <c r="N41" s="140">
        <v>0</v>
      </c>
      <c r="O41" s="140">
        <v>0</v>
      </c>
      <c r="P41" s="140">
        <v>0</v>
      </c>
      <c r="Q41" s="140">
        <v>0</v>
      </c>
      <c r="R41" s="140">
        <v>0</v>
      </c>
      <c r="S41" s="140">
        <v>0</v>
      </c>
      <c r="T41" s="140">
        <v>0</v>
      </c>
      <c r="U41" s="140">
        <v>0</v>
      </c>
      <c r="V41" s="140">
        <v>0</v>
      </c>
      <c r="W41" s="140">
        <v>0</v>
      </c>
      <c r="X41" s="140">
        <v>0</v>
      </c>
      <c r="Y41" s="140">
        <v>0</v>
      </c>
      <c r="Z41" s="140">
        <v>0</v>
      </c>
      <c r="AA41" s="140">
        <v>0</v>
      </c>
      <c r="AB41" s="140">
        <v>0</v>
      </c>
      <c r="AC41" s="140">
        <v>0</v>
      </c>
      <c r="AD41" s="140">
        <v>0</v>
      </c>
      <c r="AE41" s="140">
        <v>0</v>
      </c>
      <c r="AF41" s="140">
        <v>0</v>
      </c>
      <c r="AG41" s="140">
        <v>0</v>
      </c>
      <c r="AH41" s="140">
        <v>0</v>
      </c>
      <c r="AI41" s="140">
        <v>0</v>
      </c>
      <c r="AJ41" s="140">
        <v>0</v>
      </c>
      <c r="AK41" s="140">
        <v>0</v>
      </c>
      <c r="AL41" s="140">
        <v>0</v>
      </c>
      <c r="AM41" s="140">
        <v>0</v>
      </c>
      <c r="AN41" s="140">
        <v>0</v>
      </c>
      <c r="AO41" s="140">
        <v>1.0013104994711323E-4</v>
      </c>
      <c r="AP41" s="140">
        <v>0</v>
      </c>
      <c r="AQ41" s="140">
        <v>0</v>
      </c>
      <c r="AR41" s="140">
        <v>0</v>
      </c>
      <c r="AS41" s="140">
        <v>0</v>
      </c>
      <c r="AT41" s="140">
        <v>0</v>
      </c>
    </row>
    <row r="42" spans="1:46" x14ac:dyDescent="0.15">
      <c r="A42" s="178" t="s">
        <v>231</v>
      </c>
      <c r="B42" s="140">
        <v>0</v>
      </c>
      <c r="C42" s="140">
        <v>0</v>
      </c>
      <c r="D42" s="140">
        <v>0</v>
      </c>
      <c r="E42" s="140">
        <v>0</v>
      </c>
      <c r="F42" s="140">
        <v>0</v>
      </c>
      <c r="G42" s="140">
        <v>0</v>
      </c>
      <c r="H42" s="140">
        <v>0</v>
      </c>
      <c r="I42" s="140">
        <v>0</v>
      </c>
      <c r="J42" s="140">
        <v>0</v>
      </c>
      <c r="K42" s="140">
        <v>0</v>
      </c>
      <c r="L42" s="140">
        <v>0</v>
      </c>
      <c r="M42" s="140">
        <v>0</v>
      </c>
      <c r="N42" s="140">
        <v>0</v>
      </c>
      <c r="O42" s="140">
        <v>0</v>
      </c>
      <c r="P42" s="140">
        <v>0</v>
      </c>
      <c r="Q42" s="140">
        <v>0</v>
      </c>
      <c r="R42" s="140">
        <v>0</v>
      </c>
      <c r="S42" s="140">
        <v>0</v>
      </c>
      <c r="T42" s="140">
        <v>0</v>
      </c>
      <c r="U42" s="140">
        <v>0</v>
      </c>
      <c r="V42" s="140">
        <v>0</v>
      </c>
      <c r="W42" s="140">
        <v>0</v>
      </c>
      <c r="X42" s="140">
        <v>0</v>
      </c>
      <c r="Y42" s="140">
        <v>0</v>
      </c>
      <c r="Z42" s="140">
        <v>0</v>
      </c>
      <c r="AA42" s="140">
        <v>0</v>
      </c>
      <c r="AB42" s="140">
        <v>0</v>
      </c>
      <c r="AC42" s="140">
        <v>0</v>
      </c>
      <c r="AD42" s="140">
        <v>0</v>
      </c>
      <c r="AE42" s="140">
        <v>0</v>
      </c>
      <c r="AF42" s="140">
        <v>0</v>
      </c>
      <c r="AG42" s="140">
        <v>0</v>
      </c>
      <c r="AH42" s="140">
        <v>0</v>
      </c>
      <c r="AI42" s="140">
        <v>0</v>
      </c>
      <c r="AJ42" s="140">
        <v>0</v>
      </c>
      <c r="AK42" s="140">
        <v>0</v>
      </c>
      <c r="AL42" s="140">
        <v>0</v>
      </c>
      <c r="AM42" s="140">
        <v>0</v>
      </c>
      <c r="AN42" s="140">
        <v>0</v>
      </c>
      <c r="AO42" s="140">
        <v>0</v>
      </c>
      <c r="AP42" s="140">
        <v>0</v>
      </c>
      <c r="AQ42" s="140">
        <v>0</v>
      </c>
      <c r="AR42" s="140">
        <v>0</v>
      </c>
      <c r="AS42" s="140">
        <v>0</v>
      </c>
      <c r="AT42" s="140">
        <v>0</v>
      </c>
    </row>
    <row r="43" spans="1:46" x14ac:dyDescent="0.15">
      <c r="A43" s="178" t="s">
        <v>232</v>
      </c>
      <c r="B43" s="140">
        <v>0</v>
      </c>
      <c r="C43" s="140">
        <v>0</v>
      </c>
      <c r="D43" s="140">
        <v>0</v>
      </c>
      <c r="E43" s="140">
        <v>0</v>
      </c>
      <c r="F43" s="140">
        <v>0</v>
      </c>
      <c r="G43" s="140">
        <v>0</v>
      </c>
      <c r="H43" s="140">
        <v>0</v>
      </c>
      <c r="I43" s="140">
        <v>0</v>
      </c>
      <c r="J43" s="140">
        <v>0</v>
      </c>
      <c r="K43" s="140">
        <v>0</v>
      </c>
      <c r="L43" s="140">
        <v>0</v>
      </c>
      <c r="M43" s="140">
        <v>0</v>
      </c>
      <c r="N43" s="140">
        <v>0</v>
      </c>
      <c r="O43" s="140">
        <v>0</v>
      </c>
      <c r="P43" s="140">
        <v>0</v>
      </c>
      <c r="Q43" s="140">
        <v>0</v>
      </c>
      <c r="R43" s="140">
        <v>0</v>
      </c>
      <c r="S43" s="140">
        <v>0</v>
      </c>
      <c r="T43" s="140">
        <v>0</v>
      </c>
      <c r="U43" s="140">
        <v>0</v>
      </c>
      <c r="V43" s="140">
        <v>0</v>
      </c>
      <c r="W43" s="140">
        <v>0</v>
      </c>
      <c r="X43" s="140">
        <v>0</v>
      </c>
      <c r="Y43" s="140">
        <v>0</v>
      </c>
      <c r="Z43" s="140">
        <v>0</v>
      </c>
      <c r="AA43" s="140">
        <v>0</v>
      </c>
      <c r="AB43" s="140">
        <v>0</v>
      </c>
      <c r="AC43" s="140">
        <v>0</v>
      </c>
      <c r="AD43" s="140">
        <v>0</v>
      </c>
      <c r="AE43" s="140">
        <v>0</v>
      </c>
      <c r="AF43" s="140">
        <v>0</v>
      </c>
      <c r="AG43" s="140">
        <v>0</v>
      </c>
      <c r="AH43" s="140">
        <v>0</v>
      </c>
      <c r="AI43" s="140">
        <v>0</v>
      </c>
      <c r="AJ43" s="140">
        <v>0</v>
      </c>
      <c r="AK43" s="140">
        <v>0</v>
      </c>
      <c r="AL43" s="140">
        <v>0</v>
      </c>
      <c r="AM43" s="140">
        <v>0</v>
      </c>
      <c r="AN43" s="140">
        <v>0</v>
      </c>
      <c r="AO43" s="140">
        <v>0</v>
      </c>
      <c r="AP43" s="140">
        <v>0</v>
      </c>
      <c r="AQ43" s="140">
        <v>0</v>
      </c>
      <c r="AR43" s="140">
        <v>0.22222220922222222</v>
      </c>
      <c r="AS43" s="140">
        <v>0</v>
      </c>
      <c r="AT43" s="140">
        <v>0</v>
      </c>
    </row>
    <row r="44" spans="1:46" x14ac:dyDescent="0.15">
      <c r="A44" s="178" t="s">
        <v>233</v>
      </c>
      <c r="B44" s="140">
        <v>0</v>
      </c>
      <c r="C44" s="140">
        <v>0</v>
      </c>
      <c r="D44" s="140">
        <v>0</v>
      </c>
      <c r="E44" s="140">
        <v>0</v>
      </c>
      <c r="F44" s="140">
        <v>0</v>
      </c>
      <c r="G44" s="140">
        <v>0</v>
      </c>
      <c r="H44" s="140">
        <v>0</v>
      </c>
      <c r="I44" s="140">
        <v>0</v>
      </c>
      <c r="J44" s="140">
        <v>0</v>
      </c>
      <c r="K44" s="140">
        <v>0</v>
      </c>
      <c r="L44" s="140">
        <v>0</v>
      </c>
      <c r="M44" s="140">
        <v>0</v>
      </c>
      <c r="N44" s="140">
        <v>0</v>
      </c>
      <c r="O44" s="140">
        <v>0</v>
      </c>
      <c r="P44" s="140">
        <v>0</v>
      </c>
      <c r="Q44" s="140">
        <v>0</v>
      </c>
      <c r="R44" s="140">
        <v>0</v>
      </c>
      <c r="S44" s="140">
        <v>0</v>
      </c>
      <c r="T44" s="140">
        <v>0</v>
      </c>
      <c r="U44" s="140">
        <v>0</v>
      </c>
      <c r="V44" s="140">
        <v>0</v>
      </c>
      <c r="W44" s="140">
        <v>0</v>
      </c>
      <c r="X44" s="140">
        <v>0</v>
      </c>
      <c r="Y44" s="140">
        <v>0</v>
      </c>
      <c r="Z44" s="140">
        <v>0</v>
      </c>
      <c r="AA44" s="140">
        <v>0</v>
      </c>
      <c r="AB44" s="140">
        <v>0</v>
      </c>
      <c r="AC44" s="140">
        <v>0</v>
      </c>
      <c r="AD44" s="140">
        <v>0</v>
      </c>
      <c r="AE44" s="140">
        <v>0</v>
      </c>
      <c r="AF44" s="140">
        <v>0</v>
      </c>
      <c r="AG44" s="140">
        <v>0</v>
      </c>
      <c r="AH44" s="140">
        <v>0</v>
      </c>
      <c r="AI44" s="140">
        <v>0</v>
      </c>
      <c r="AJ44" s="140">
        <v>0</v>
      </c>
      <c r="AK44" s="140">
        <v>0</v>
      </c>
      <c r="AL44" s="140">
        <v>0</v>
      </c>
      <c r="AM44" s="140">
        <v>0</v>
      </c>
      <c r="AN44" s="140">
        <v>0</v>
      </c>
      <c r="AO44" s="140">
        <v>0</v>
      </c>
      <c r="AP44" s="140">
        <v>0</v>
      </c>
      <c r="AQ44" s="140">
        <v>0</v>
      </c>
      <c r="AR44" s="140">
        <v>0</v>
      </c>
      <c r="AS44" s="140">
        <v>0</v>
      </c>
      <c r="AT44" s="140">
        <v>0</v>
      </c>
    </row>
    <row r="45" spans="1:46" x14ac:dyDescent="0.15">
      <c r="A45" s="178" t="s">
        <v>234</v>
      </c>
      <c r="B45" s="140">
        <v>0</v>
      </c>
      <c r="C45" s="140">
        <v>0</v>
      </c>
      <c r="D45" s="140">
        <v>0.1</v>
      </c>
      <c r="E45" s="140">
        <v>0.15</v>
      </c>
      <c r="F45" s="140">
        <v>0</v>
      </c>
      <c r="G45" s="140">
        <v>0</v>
      </c>
      <c r="H45" s="140">
        <v>0</v>
      </c>
      <c r="I45" s="140">
        <v>0</v>
      </c>
      <c r="J45" s="140">
        <v>0.13311540784516482</v>
      </c>
      <c r="K45" s="140">
        <v>0.4</v>
      </c>
      <c r="L45" s="140">
        <v>0.80300000000000005</v>
      </c>
      <c r="M45" s="140">
        <v>1</v>
      </c>
      <c r="N45" s="140">
        <v>0</v>
      </c>
      <c r="O45" s="140">
        <v>6.0060063405405241E-3</v>
      </c>
      <c r="P45" s="140">
        <v>2.4242266557936414E-3</v>
      </c>
      <c r="Q45" s="140">
        <v>3.3333329050000124E-2</v>
      </c>
      <c r="R45" s="140">
        <v>3.821227294802676E-2</v>
      </c>
      <c r="S45" s="140">
        <v>0</v>
      </c>
      <c r="T45" s="140">
        <v>0</v>
      </c>
      <c r="U45" s="140">
        <v>0</v>
      </c>
      <c r="V45" s="140">
        <v>0</v>
      </c>
      <c r="W45" s="140">
        <v>0</v>
      </c>
      <c r="X45" s="140">
        <v>0</v>
      </c>
      <c r="Y45" s="140">
        <v>0</v>
      </c>
      <c r="Z45" s="140">
        <v>0</v>
      </c>
      <c r="AA45" s="140">
        <v>0</v>
      </c>
      <c r="AB45" s="140">
        <v>0</v>
      </c>
      <c r="AC45" s="140">
        <v>0</v>
      </c>
      <c r="AD45" s="140">
        <v>0</v>
      </c>
      <c r="AE45" s="140">
        <v>0</v>
      </c>
      <c r="AF45" s="140">
        <v>0</v>
      </c>
      <c r="AG45" s="140">
        <v>0</v>
      </c>
      <c r="AH45" s="140">
        <v>0</v>
      </c>
      <c r="AI45" s="140">
        <v>0</v>
      </c>
      <c r="AJ45" s="140">
        <v>0</v>
      </c>
      <c r="AK45" s="140">
        <v>0</v>
      </c>
      <c r="AL45" s="140">
        <v>0</v>
      </c>
      <c r="AM45" s="140">
        <v>0</v>
      </c>
      <c r="AN45" s="140">
        <v>0</v>
      </c>
      <c r="AO45" s="140">
        <v>0</v>
      </c>
      <c r="AP45" s="140">
        <v>0</v>
      </c>
      <c r="AQ45" s="140">
        <v>0</v>
      </c>
      <c r="AR45" s="140">
        <v>0</v>
      </c>
      <c r="AS45" s="140">
        <v>0</v>
      </c>
      <c r="AT45" s="140">
        <v>0</v>
      </c>
    </row>
    <row r="46" spans="1:46" x14ac:dyDescent="0.15">
      <c r="A46" s="178" t="s">
        <v>235</v>
      </c>
      <c r="B46" s="140">
        <v>0</v>
      </c>
      <c r="C46" s="140">
        <v>0</v>
      </c>
      <c r="D46" s="140">
        <v>0</v>
      </c>
      <c r="E46" s="140">
        <v>0</v>
      </c>
      <c r="F46" s="140">
        <v>0</v>
      </c>
      <c r="G46" s="140">
        <v>0</v>
      </c>
      <c r="H46" s="140">
        <v>0</v>
      </c>
      <c r="I46" s="140">
        <v>0</v>
      </c>
      <c r="J46" s="140">
        <v>0</v>
      </c>
      <c r="K46" s="140">
        <v>0</v>
      </c>
      <c r="L46" s="140">
        <v>0</v>
      </c>
      <c r="M46" s="140">
        <v>0</v>
      </c>
      <c r="N46" s="140">
        <v>0</v>
      </c>
      <c r="O46" s="140">
        <v>0</v>
      </c>
      <c r="P46" s="140">
        <v>0</v>
      </c>
      <c r="Q46" s="140">
        <v>0</v>
      </c>
      <c r="R46" s="140">
        <v>0</v>
      </c>
      <c r="S46" s="140">
        <v>0</v>
      </c>
      <c r="T46" s="140">
        <v>0</v>
      </c>
      <c r="U46" s="140">
        <v>0</v>
      </c>
      <c r="V46" s="140">
        <v>0</v>
      </c>
      <c r="W46" s="140">
        <v>0</v>
      </c>
      <c r="X46" s="140">
        <v>0</v>
      </c>
      <c r="Y46" s="140">
        <v>0</v>
      </c>
      <c r="Z46" s="140">
        <v>0</v>
      </c>
      <c r="AA46" s="140">
        <v>0</v>
      </c>
      <c r="AB46" s="140">
        <v>0</v>
      </c>
      <c r="AC46" s="140">
        <v>0</v>
      </c>
      <c r="AD46" s="140">
        <v>0</v>
      </c>
      <c r="AE46" s="140">
        <v>0</v>
      </c>
      <c r="AF46" s="140">
        <v>0</v>
      </c>
      <c r="AG46" s="140">
        <v>0</v>
      </c>
      <c r="AH46" s="140">
        <v>0</v>
      </c>
      <c r="AI46" s="140">
        <v>0</v>
      </c>
      <c r="AJ46" s="140">
        <v>0</v>
      </c>
      <c r="AK46" s="140">
        <v>0</v>
      </c>
      <c r="AL46" s="140">
        <v>0</v>
      </c>
      <c r="AM46" s="140">
        <v>0</v>
      </c>
      <c r="AN46" s="140">
        <v>0</v>
      </c>
      <c r="AO46" s="140">
        <v>0</v>
      </c>
      <c r="AP46" s="140">
        <v>0</v>
      </c>
      <c r="AQ46" s="140">
        <v>0</v>
      </c>
      <c r="AR46" s="140">
        <v>0</v>
      </c>
      <c r="AS46" s="140">
        <v>0</v>
      </c>
      <c r="AT46" s="140">
        <v>0</v>
      </c>
    </row>
    <row r="47" spans="1:46" x14ac:dyDescent="0.15">
      <c r="A47" s="178" t="s">
        <v>247</v>
      </c>
      <c r="B47" s="140">
        <v>0</v>
      </c>
      <c r="C47" s="140">
        <v>0</v>
      </c>
      <c r="D47" s="140">
        <v>0</v>
      </c>
      <c r="E47" s="140">
        <v>0</v>
      </c>
      <c r="F47" s="140">
        <v>0</v>
      </c>
      <c r="G47" s="140">
        <v>0</v>
      </c>
      <c r="H47" s="140">
        <v>0</v>
      </c>
      <c r="I47" s="140">
        <v>0</v>
      </c>
      <c r="J47" s="140">
        <v>0</v>
      </c>
      <c r="K47" s="140">
        <v>0</v>
      </c>
      <c r="L47" s="140">
        <v>0</v>
      </c>
      <c r="M47" s="140">
        <v>0</v>
      </c>
      <c r="N47" s="140">
        <v>0</v>
      </c>
      <c r="O47" s="140">
        <v>0</v>
      </c>
      <c r="P47" s="140">
        <v>0</v>
      </c>
      <c r="Q47" s="140">
        <v>0</v>
      </c>
      <c r="R47" s="140">
        <v>0</v>
      </c>
      <c r="S47" s="140">
        <v>0</v>
      </c>
      <c r="T47" s="140">
        <v>0</v>
      </c>
      <c r="U47" s="140">
        <v>0</v>
      </c>
      <c r="V47" s="140">
        <v>0</v>
      </c>
      <c r="W47" s="140">
        <v>0</v>
      </c>
      <c r="X47" s="140">
        <v>0</v>
      </c>
      <c r="Y47" s="140">
        <v>0</v>
      </c>
      <c r="Z47" s="140">
        <v>0</v>
      </c>
      <c r="AA47" s="140">
        <v>0</v>
      </c>
      <c r="AB47" s="140">
        <v>0</v>
      </c>
      <c r="AC47" s="140">
        <v>0</v>
      </c>
      <c r="AD47" s="140">
        <v>0</v>
      </c>
      <c r="AE47" s="140">
        <v>0</v>
      </c>
      <c r="AF47" s="140">
        <v>0</v>
      </c>
      <c r="AG47" s="140">
        <v>0</v>
      </c>
      <c r="AH47" s="140">
        <v>0</v>
      </c>
      <c r="AI47" s="140">
        <v>0</v>
      </c>
      <c r="AJ47" s="140">
        <v>0</v>
      </c>
      <c r="AK47" s="140">
        <v>0</v>
      </c>
      <c r="AL47" s="140">
        <v>0</v>
      </c>
      <c r="AM47" s="140">
        <v>0</v>
      </c>
      <c r="AN47" s="140">
        <v>0</v>
      </c>
      <c r="AO47" s="140">
        <v>5.4466578883326205E-2</v>
      </c>
      <c r="AP47" s="140">
        <v>0</v>
      </c>
      <c r="AQ47" s="140">
        <v>0</v>
      </c>
      <c r="AR47" s="140">
        <v>0</v>
      </c>
      <c r="AS47" s="140">
        <v>0</v>
      </c>
      <c r="AT47" s="140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9" customWidth="1"/>
    <col min="5" max="6" width="2.33203125" style="108" bestFit="1" customWidth="1"/>
    <col min="7" max="8" width="8.83203125" style="109"/>
  </cols>
  <sheetData>
    <row r="1" spans="1:8" ht="70" x14ac:dyDescent="0.15">
      <c r="A1" s="5" t="s">
        <v>20</v>
      </c>
      <c r="B1" s="1" t="s">
        <v>0</v>
      </c>
      <c r="C1" s="181" t="s">
        <v>234</v>
      </c>
      <c r="D1" s="181" t="s">
        <v>235</v>
      </c>
      <c r="E1" s="181" t="s">
        <v>248</v>
      </c>
      <c r="F1" s="181" t="s">
        <v>249</v>
      </c>
      <c r="G1"/>
      <c r="H1"/>
    </row>
    <row r="2" spans="1:8" x14ac:dyDescent="0.15">
      <c r="A2">
        <v>1</v>
      </c>
      <c r="B2" s="180" t="s">
        <v>192</v>
      </c>
      <c r="C2" s="109">
        <v>1</v>
      </c>
      <c r="D2" s="109">
        <v>0</v>
      </c>
      <c r="E2" s="108">
        <v>0</v>
      </c>
      <c r="F2" s="108">
        <v>1</v>
      </c>
      <c r="G2"/>
      <c r="H2"/>
    </row>
    <row r="3" spans="1:8" x14ac:dyDescent="0.15">
      <c r="A3">
        <v>2</v>
      </c>
      <c r="B3" s="180" t="s">
        <v>67</v>
      </c>
      <c r="C3" s="109">
        <v>1</v>
      </c>
      <c r="D3" s="109">
        <v>0</v>
      </c>
      <c r="E3" s="108">
        <v>0</v>
      </c>
      <c r="F3" s="108">
        <v>1</v>
      </c>
      <c r="G3"/>
      <c r="H3"/>
    </row>
    <row r="4" spans="1:8" x14ac:dyDescent="0.15">
      <c r="A4">
        <v>3</v>
      </c>
      <c r="B4" s="180" t="s">
        <v>193</v>
      </c>
      <c r="C4" s="109">
        <v>1</v>
      </c>
      <c r="D4" s="109">
        <v>0</v>
      </c>
      <c r="E4" s="108">
        <v>0</v>
      </c>
      <c r="F4" s="108">
        <v>1</v>
      </c>
      <c r="G4"/>
      <c r="H4"/>
    </row>
    <row r="5" spans="1:8" x14ac:dyDescent="0.15">
      <c r="A5">
        <v>4</v>
      </c>
      <c r="B5" s="180" t="s">
        <v>194</v>
      </c>
      <c r="C5" s="109">
        <v>1</v>
      </c>
      <c r="D5" s="109">
        <v>0</v>
      </c>
      <c r="E5" s="108">
        <v>0</v>
      </c>
      <c r="F5" s="108">
        <v>1</v>
      </c>
      <c r="G5"/>
      <c r="H5"/>
    </row>
    <row r="6" spans="1:8" x14ac:dyDescent="0.15">
      <c r="A6">
        <v>5</v>
      </c>
      <c r="B6" s="180" t="s">
        <v>195</v>
      </c>
      <c r="C6" s="109">
        <v>1</v>
      </c>
      <c r="D6" s="109">
        <v>0</v>
      </c>
      <c r="E6" s="108">
        <v>0</v>
      </c>
      <c r="F6" s="108">
        <v>1</v>
      </c>
      <c r="G6"/>
      <c r="H6"/>
    </row>
    <row r="7" spans="1:8" x14ac:dyDescent="0.15">
      <c r="A7">
        <v>6</v>
      </c>
      <c r="B7" s="180" t="s">
        <v>196</v>
      </c>
      <c r="C7" s="109">
        <v>0</v>
      </c>
      <c r="D7" s="109">
        <v>0</v>
      </c>
      <c r="E7" s="108">
        <v>1</v>
      </c>
      <c r="F7" s="108">
        <v>1</v>
      </c>
      <c r="G7"/>
      <c r="H7"/>
    </row>
    <row r="8" spans="1:8" x14ac:dyDescent="0.15">
      <c r="A8">
        <v>7</v>
      </c>
      <c r="B8" s="180" t="s">
        <v>197</v>
      </c>
      <c r="C8" s="109">
        <v>1</v>
      </c>
      <c r="D8" s="109">
        <v>0</v>
      </c>
      <c r="E8" s="108">
        <v>0</v>
      </c>
      <c r="F8" s="108">
        <v>1</v>
      </c>
      <c r="G8"/>
      <c r="H8"/>
    </row>
    <row r="9" spans="1:8" x14ac:dyDescent="0.15">
      <c r="A9">
        <v>8</v>
      </c>
      <c r="B9" s="180" t="s">
        <v>198</v>
      </c>
      <c r="C9" s="109">
        <v>1</v>
      </c>
      <c r="D9" s="109">
        <v>0</v>
      </c>
      <c r="E9" s="108">
        <v>0</v>
      </c>
      <c r="F9" s="108">
        <v>1</v>
      </c>
      <c r="G9"/>
      <c r="H9"/>
    </row>
    <row r="10" spans="1:8" x14ac:dyDescent="0.15">
      <c r="A10">
        <v>9</v>
      </c>
      <c r="B10" s="180" t="s">
        <v>199</v>
      </c>
      <c r="C10" s="109">
        <v>1</v>
      </c>
      <c r="D10" s="109">
        <v>0</v>
      </c>
      <c r="E10" s="108">
        <v>0</v>
      </c>
      <c r="F10" s="108">
        <v>1</v>
      </c>
      <c r="G10"/>
      <c r="H10"/>
    </row>
    <row r="11" spans="1:8" x14ac:dyDescent="0.15">
      <c r="A11">
        <v>10</v>
      </c>
      <c r="B11" s="180" t="s">
        <v>200</v>
      </c>
      <c r="C11" s="109">
        <v>1</v>
      </c>
      <c r="D11" s="109">
        <v>0</v>
      </c>
      <c r="E11" s="108">
        <v>0</v>
      </c>
      <c r="F11" s="108">
        <v>1</v>
      </c>
      <c r="G11"/>
      <c r="H11"/>
    </row>
    <row r="12" spans="1:8" x14ac:dyDescent="0.15">
      <c r="A12">
        <v>11</v>
      </c>
      <c r="B12" s="180" t="s">
        <v>201</v>
      </c>
      <c r="C12" s="109">
        <v>1</v>
      </c>
      <c r="D12" s="109">
        <v>0</v>
      </c>
      <c r="E12" s="108">
        <v>0</v>
      </c>
      <c r="F12" s="108">
        <v>1</v>
      </c>
      <c r="G12"/>
      <c r="H12"/>
    </row>
    <row r="13" spans="1:8" x14ac:dyDescent="0.15">
      <c r="A13">
        <v>12</v>
      </c>
      <c r="B13" s="180" t="s">
        <v>202</v>
      </c>
      <c r="C13" s="109">
        <v>1</v>
      </c>
      <c r="D13" s="109">
        <v>0</v>
      </c>
      <c r="E13" s="108">
        <v>0</v>
      </c>
      <c r="F13" s="108">
        <v>1</v>
      </c>
      <c r="G13"/>
      <c r="H13"/>
    </row>
    <row r="14" spans="1:8" x14ac:dyDescent="0.15">
      <c r="A14">
        <v>13</v>
      </c>
      <c r="B14" s="180" t="s">
        <v>203</v>
      </c>
      <c r="C14" s="109">
        <v>1</v>
      </c>
      <c r="D14" s="109">
        <v>0</v>
      </c>
      <c r="E14" s="108">
        <v>0</v>
      </c>
      <c r="F14" s="108">
        <v>1</v>
      </c>
      <c r="G14"/>
      <c r="H14"/>
    </row>
    <row r="15" spans="1:8" x14ac:dyDescent="0.15">
      <c r="A15">
        <v>14</v>
      </c>
      <c r="B15" s="180" t="s">
        <v>204</v>
      </c>
      <c r="C15" s="109">
        <v>1</v>
      </c>
      <c r="D15" s="109">
        <v>0</v>
      </c>
      <c r="E15" s="108">
        <v>0</v>
      </c>
      <c r="F15" s="108">
        <v>1</v>
      </c>
      <c r="G15"/>
      <c r="H15"/>
    </row>
    <row r="16" spans="1:8" x14ac:dyDescent="0.15">
      <c r="A16">
        <v>15</v>
      </c>
      <c r="B16" s="180" t="s">
        <v>205</v>
      </c>
      <c r="C16" s="109">
        <v>1</v>
      </c>
      <c r="D16" s="109">
        <v>0</v>
      </c>
      <c r="E16" s="108">
        <v>0</v>
      </c>
      <c r="F16" s="108">
        <v>1</v>
      </c>
      <c r="G16"/>
      <c r="H16"/>
    </row>
    <row r="17" spans="1:8" ht="15" customHeight="1" x14ac:dyDescent="0.15">
      <c r="A17">
        <v>16</v>
      </c>
      <c r="B17" s="180" t="s">
        <v>206</v>
      </c>
      <c r="C17" s="109">
        <v>1</v>
      </c>
      <c r="D17" s="109">
        <v>0</v>
      </c>
      <c r="E17" s="108">
        <v>0</v>
      </c>
      <c r="F17" s="108">
        <v>1</v>
      </c>
      <c r="G17"/>
      <c r="H17"/>
    </row>
    <row r="18" spans="1:8" ht="15" customHeight="1" x14ac:dyDescent="0.15">
      <c r="A18">
        <v>17</v>
      </c>
      <c r="B18" s="180" t="s">
        <v>207</v>
      </c>
      <c r="C18" s="109">
        <v>1</v>
      </c>
      <c r="D18" s="109">
        <v>0</v>
      </c>
      <c r="E18" s="108">
        <v>0</v>
      </c>
      <c r="F18" s="108">
        <v>1</v>
      </c>
      <c r="G18"/>
      <c r="H18"/>
    </row>
    <row r="19" spans="1:8" ht="15" customHeight="1" x14ac:dyDescent="0.15">
      <c r="A19">
        <v>18</v>
      </c>
      <c r="B19" s="180" t="s">
        <v>208</v>
      </c>
      <c r="C19" s="109">
        <v>1</v>
      </c>
      <c r="D19" s="109">
        <v>0</v>
      </c>
      <c r="E19" s="108">
        <v>0</v>
      </c>
      <c r="F19" s="108">
        <v>1</v>
      </c>
      <c r="G19"/>
      <c r="H19"/>
    </row>
    <row r="20" spans="1:8" ht="15" customHeight="1" x14ac:dyDescent="0.15">
      <c r="A20">
        <v>19</v>
      </c>
      <c r="B20" s="180" t="s">
        <v>209</v>
      </c>
      <c r="C20" s="109">
        <v>1</v>
      </c>
      <c r="D20" s="109">
        <v>0</v>
      </c>
      <c r="E20" s="108">
        <v>0</v>
      </c>
      <c r="F20" s="108">
        <v>1</v>
      </c>
      <c r="G20"/>
      <c r="H20"/>
    </row>
    <row r="21" spans="1:8" ht="15" customHeight="1" x14ac:dyDescent="0.15">
      <c r="A21">
        <v>20</v>
      </c>
      <c r="B21" s="180" t="s">
        <v>210</v>
      </c>
      <c r="C21" s="109">
        <v>1</v>
      </c>
      <c r="D21" s="109">
        <v>0</v>
      </c>
      <c r="E21" s="108">
        <v>0</v>
      </c>
      <c r="F21" s="108">
        <v>1</v>
      </c>
      <c r="G21"/>
      <c r="H21"/>
    </row>
    <row r="22" spans="1:8" ht="15" customHeight="1" x14ac:dyDescent="0.15">
      <c r="A22">
        <v>21</v>
      </c>
      <c r="B22" s="180" t="s">
        <v>211</v>
      </c>
      <c r="C22" s="109">
        <v>1</v>
      </c>
      <c r="D22" s="109">
        <v>0</v>
      </c>
      <c r="E22" s="108">
        <v>0</v>
      </c>
      <c r="F22" s="108">
        <v>1</v>
      </c>
      <c r="G22"/>
      <c r="H22"/>
    </row>
    <row r="23" spans="1:8" ht="15" customHeight="1" x14ac:dyDescent="0.15">
      <c r="A23">
        <v>22</v>
      </c>
      <c r="B23" s="180" t="s">
        <v>212</v>
      </c>
      <c r="C23" s="109">
        <v>1</v>
      </c>
      <c r="D23" s="109">
        <v>0</v>
      </c>
      <c r="E23" s="108">
        <v>0</v>
      </c>
      <c r="F23" s="108">
        <v>1</v>
      </c>
      <c r="G23"/>
      <c r="H23"/>
    </row>
    <row r="24" spans="1:8" ht="15" customHeight="1" x14ac:dyDescent="0.15">
      <c r="A24">
        <v>23</v>
      </c>
      <c r="B24" s="180" t="s">
        <v>213</v>
      </c>
      <c r="C24" s="109">
        <v>1</v>
      </c>
      <c r="D24" s="109">
        <v>0</v>
      </c>
      <c r="E24" s="108">
        <v>0</v>
      </c>
      <c r="F24" s="108">
        <v>1</v>
      </c>
      <c r="G24"/>
      <c r="H24"/>
    </row>
    <row r="25" spans="1:8" ht="15" customHeight="1" x14ac:dyDescent="0.15">
      <c r="A25">
        <v>24</v>
      </c>
      <c r="B25" s="180" t="s">
        <v>214</v>
      </c>
      <c r="C25" s="109">
        <v>1</v>
      </c>
      <c r="D25" s="109">
        <v>0</v>
      </c>
      <c r="E25" s="108">
        <v>0</v>
      </c>
      <c r="F25" s="108">
        <v>1</v>
      </c>
      <c r="G25"/>
      <c r="H25"/>
    </row>
    <row r="26" spans="1:8" ht="15" customHeight="1" x14ac:dyDescent="0.15">
      <c r="A26">
        <v>25</v>
      </c>
      <c r="B26" s="180" t="s">
        <v>215</v>
      </c>
      <c r="C26" s="109">
        <v>1</v>
      </c>
      <c r="D26" s="109">
        <v>0</v>
      </c>
      <c r="E26" s="108">
        <v>0</v>
      </c>
      <c r="F26" s="108">
        <v>1</v>
      </c>
      <c r="G26"/>
      <c r="H26"/>
    </row>
    <row r="27" spans="1:8" ht="15" customHeight="1" x14ac:dyDescent="0.15">
      <c r="A27">
        <v>26</v>
      </c>
      <c r="B27" s="180" t="s">
        <v>216</v>
      </c>
      <c r="C27" s="109">
        <v>1</v>
      </c>
      <c r="D27" s="109">
        <v>0</v>
      </c>
      <c r="E27" s="108">
        <v>0</v>
      </c>
      <c r="F27" s="108">
        <v>1</v>
      </c>
      <c r="G27"/>
      <c r="H27"/>
    </row>
    <row r="28" spans="1:8" ht="15" customHeight="1" x14ac:dyDescent="0.15">
      <c r="A28">
        <v>27</v>
      </c>
      <c r="B28" s="180" t="s">
        <v>217</v>
      </c>
      <c r="C28" s="109">
        <v>1</v>
      </c>
      <c r="D28" s="109">
        <v>0</v>
      </c>
      <c r="E28" s="108">
        <v>0</v>
      </c>
      <c r="F28" s="108">
        <v>1</v>
      </c>
      <c r="G28"/>
      <c r="H28"/>
    </row>
    <row r="29" spans="1:8" ht="15" customHeight="1" x14ac:dyDescent="0.15">
      <c r="A29">
        <v>28</v>
      </c>
      <c r="B29" s="180" t="s">
        <v>218</v>
      </c>
      <c r="C29" s="109">
        <v>1</v>
      </c>
      <c r="D29" s="109">
        <v>0</v>
      </c>
      <c r="E29" s="108">
        <v>0</v>
      </c>
      <c r="F29" s="108">
        <v>1</v>
      </c>
      <c r="G29"/>
      <c r="H29"/>
    </row>
    <row r="30" spans="1:8" ht="15" customHeight="1" x14ac:dyDescent="0.15">
      <c r="A30">
        <v>29</v>
      </c>
      <c r="B30" s="180" t="s">
        <v>219</v>
      </c>
      <c r="C30" s="109">
        <v>1</v>
      </c>
      <c r="D30" s="109">
        <v>0</v>
      </c>
      <c r="E30" s="108">
        <v>0</v>
      </c>
      <c r="F30" s="108">
        <v>1</v>
      </c>
      <c r="G30"/>
      <c r="H30"/>
    </row>
    <row r="31" spans="1:8" ht="15" customHeight="1" x14ac:dyDescent="0.15">
      <c r="A31">
        <v>30</v>
      </c>
      <c r="B31" s="180" t="s">
        <v>220</v>
      </c>
      <c r="C31" s="109">
        <v>1</v>
      </c>
      <c r="D31" s="109">
        <v>0</v>
      </c>
      <c r="E31" s="108">
        <v>0</v>
      </c>
      <c r="F31" s="108">
        <v>1</v>
      </c>
      <c r="G31"/>
      <c r="H31"/>
    </row>
    <row r="32" spans="1:8" ht="15" customHeight="1" x14ac:dyDescent="0.15">
      <c r="A32">
        <v>31</v>
      </c>
      <c r="B32" s="180" t="s">
        <v>221</v>
      </c>
      <c r="C32" s="109">
        <v>1</v>
      </c>
      <c r="D32" s="109">
        <v>0</v>
      </c>
      <c r="E32" s="108">
        <v>0</v>
      </c>
      <c r="F32" s="108">
        <v>1</v>
      </c>
    </row>
    <row r="33" spans="1:8" ht="15" customHeight="1" x14ac:dyDescent="0.15">
      <c r="A33">
        <v>32</v>
      </c>
      <c r="B33" s="180" t="s">
        <v>222</v>
      </c>
      <c r="C33" s="109">
        <v>1</v>
      </c>
      <c r="D33" s="109">
        <v>0</v>
      </c>
      <c r="E33" s="108">
        <v>0</v>
      </c>
      <c r="F33" s="108">
        <v>1</v>
      </c>
    </row>
    <row r="34" spans="1:8" ht="15" customHeight="1" x14ac:dyDescent="0.15">
      <c r="A34">
        <v>33</v>
      </c>
      <c r="B34" s="180" t="s">
        <v>223</v>
      </c>
      <c r="C34" s="109">
        <v>1</v>
      </c>
      <c r="D34" s="109">
        <v>0</v>
      </c>
      <c r="E34" s="108">
        <v>0</v>
      </c>
      <c r="F34" s="108">
        <v>1</v>
      </c>
    </row>
    <row r="35" spans="1:8" ht="15" customHeight="1" x14ac:dyDescent="0.15">
      <c r="A35">
        <v>34</v>
      </c>
      <c r="B35" s="180" t="s">
        <v>224</v>
      </c>
      <c r="C35" s="109">
        <v>1</v>
      </c>
      <c r="D35" s="109">
        <v>0</v>
      </c>
      <c r="E35" s="108">
        <v>0</v>
      </c>
      <c r="F35" s="108">
        <v>1</v>
      </c>
    </row>
    <row r="36" spans="1:8" ht="15" customHeight="1" x14ac:dyDescent="0.15">
      <c r="A36">
        <v>35</v>
      </c>
      <c r="B36" s="180" t="s">
        <v>225</v>
      </c>
      <c r="C36" s="109">
        <v>1</v>
      </c>
      <c r="D36" s="109">
        <v>0</v>
      </c>
      <c r="E36" s="109">
        <v>0</v>
      </c>
      <c r="F36" s="109">
        <v>1</v>
      </c>
      <c r="G36"/>
      <c r="H36"/>
    </row>
    <row r="37" spans="1:8" ht="15" customHeight="1" x14ac:dyDescent="0.15">
      <c r="A37">
        <v>36</v>
      </c>
      <c r="B37" s="180" t="s">
        <v>226</v>
      </c>
      <c r="C37" s="109">
        <v>1</v>
      </c>
      <c r="D37" s="109">
        <v>0</v>
      </c>
      <c r="E37" s="109">
        <v>0</v>
      </c>
      <c r="F37" s="109">
        <v>1</v>
      </c>
      <c r="G37"/>
      <c r="H37"/>
    </row>
    <row r="38" spans="1:8" ht="15" customHeight="1" x14ac:dyDescent="0.15">
      <c r="A38">
        <v>37</v>
      </c>
      <c r="B38" s="180" t="s">
        <v>227</v>
      </c>
      <c r="C38" s="109">
        <v>1</v>
      </c>
      <c r="D38" s="109">
        <v>0</v>
      </c>
      <c r="E38" s="109">
        <v>0</v>
      </c>
      <c r="F38" s="109">
        <v>1</v>
      </c>
      <c r="G38"/>
      <c r="H38"/>
    </row>
    <row r="39" spans="1:8" ht="15" customHeight="1" x14ac:dyDescent="0.15">
      <c r="A39">
        <v>38</v>
      </c>
      <c r="B39" s="180" t="s">
        <v>228</v>
      </c>
      <c r="C39" s="109">
        <v>1</v>
      </c>
      <c r="D39" s="109">
        <v>0</v>
      </c>
      <c r="E39" s="109">
        <v>0</v>
      </c>
      <c r="F39" s="109">
        <v>1</v>
      </c>
      <c r="G39"/>
      <c r="H39"/>
    </row>
    <row r="40" spans="1:8" ht="15" customHeight="1" x14ac:dyDescent="0.15">
      <c r="A40">
        <v>39</v>
      </c>
      <c r="B40" s="180" t="s">
        <v>229</v>
      </c>
      <c r="C40" s="109">
        <v>0</v>
      </c>
      <c r="D40" s="109">
        <v>0</v>
      </c>
      <c r="E40" s="109">
        <v>1</v>
      </c>
      <c r="F40" s="109">
        <v>1</v>
      </c>
      <c r="G40"/>
      <c r="H40"/>
    </row>
    <row r="41" spans="1:8" ht="15" customHeight="1" x14ac:dyDescent="0.15">
      <c r="A41">
        <v>40</v>
      </c>
      <c r="B41" s="180" t="s">
        <v>230</v>
      </c>
      <c r="C41" s="109">
        <v>0</v>
      </c>
      <c r="D41" s="109">
        <v>0</v>
      </c>
      <c r="E41" s="109">
        <v>1</v>
      </c>
      <c r="F41" s="109">
        <v>1</v>
      </c>
      <c r="G41"/>
      <c r="H41"/>
    </row>
    <row r="42" spans="1:8" ht="15" customHeight="1" x14ac:dyDescent="0.15">
      <c r="A42">
        <v>41</v>
      </c>
      <c r="B42" s="180" t="s">
        <v>231</v>
      </c>
      <c r="C42" s="109">
        <v>1</v>
      </c>
      <c r="D42" s="109">
        <v>0</v>
      </c>
      <c r="E42" s="109">
        <v>0</v>
      </c>
      <c r="F42" s="109">
        <v>1</v>
      </c>
      <c r="G42"/>
      <c r="H42"/>
    </row>
    <row r="43" spans="1:8" ht="15" customHeight="1" x14ac:dyDescent="0.15">
      <c r="A43">
        <v>42</v>
      </c>
      <c r="B43" s="180" t="s">
        <v>232</v>
      </c>
      <c r="C43" s="109">
        <v>1</v>
      </c>
      <c r="D43" s="109">
        <v>0</v>
      </c>
      <c r="E43" s="109">
        <v>0</v>
      </c>
      <c r="F43" s="109">
        <v>1</v>
      </c>
      <c r="G43"/>
      <c r="H43"/>
    </row>
    <row r="44" spans="1:8" ht="15" customHeight="1" x14ac:dyDescent="0.15">
      <c r="A44">
        <v>43</v>
      </c>
      <c r="B44" s="180" t="s">
        <v>233</v>
      </c>
      <c r="C44" s="109">
        <v>1</v>
      </c>
      <c r="D44" s="109">
        <v>0</v>
      </c>
      <c r="E44" s="108">
        <v>0</v>
      </c>
      <c r="F44" s="108">
        <v>1</v>
      </c>
      <c r="G44"/>
      <c r="H44"/>
    </row>
    <row r="45" spans="1:8" ht="15" customHeight="1" x14ac:dyDescent="0.15">
      <c r="A45">
        <v>44</v>
      </c>
      <c r="B45" s="180" t="s">
        <v>234</v>
      </c>
      <c r="C45" s="109">
        <v>0</v>
      </c>
      <c r="D45" s="109">
        <v>1</v>
      </c>
      <c r="E45" s="108">
        <v>0</v>
      </c>
      <c r="F45" s="108">
        <v>1</v>
      </c>
      <c r="G45"/>
      <c r="H45"/>
    </row>
    <row r="46" spans="1:8" ht="15" customHeight="1" x14ac:dyDescent="0.15">
      <c r="A46">
        <v>45</v>
      </c>
      <c r="B46" s="180" t="s">
        <v>235</v>
      </c>
      <c r="C46" s="109">
        <v>0</v>
      </c>
      <c r="D46" s="109">
        <v>0</v>
      </c>
      <c r="E46" s="109">
        <v>1</v>
      </c>
      <c r="F46" s="109">
        <v>1</v>
      </c>
      <c r="G46"/>
      <c r="H46"/>
    </row>
    <row r="47" spans="1:8" ht="15" customHeight="1" x14ac:dyDescent="0.15">
      <c r="A47">
        <v>46</v>
      </c>
      <c r="B47" s="180" t="s">
        <v>236</v>
      </c>
      <c r="C47" s="109">
        <v>0</v>
      </c>
      <c r="D47" s="109">
        <v>1</v>
      </c>
      <c r="E47" s="108">
        <v>0</v>
      </c>
      <c r="F47" s="108">
        <v>1</v>
      </c>
      <c r="G47"/>
      <c r="H47"/>
    </row>
    <row r="48" spans="1:8" ht="15" customHeight="1" x14ac:dyDescent="0.15">
      <c r="A48">
        <v>47</v>
      </c>
      <c r="B48" s="180" t="s">
        <v>237</v>
      </c>
      <c r="C48" s="109">
        <v>0</v>
      </c>
      <c r="D48" s="109">
        <v>1</v>
      </c>
      <c r="E48" s="108">
        <v>0</v>
      </c>
      <c r="F48" s="108">
        <v>1</v>
      </c>
      <c r="G48"/>
      <c r="H48"/>
    </row>
    <row r="49" spans="1:8" ht="15" customHeight="1" x14ac:dyDescent="0.15">
      <c r="A49">
        <v>48</v>
      </c>
      <c r="B49" s="180" t="s">
        <v>238</v>
      </c>
      <c r="C49" s="109">
        <v>0</v>
      </c>
      <c r="D49" s="109">
        <v>1</v>
      </c>
      <c r="E49" s="108">
        <v>0</v>
      </c>
      <c r="F49" s="108">
        <v>1</v>
      </c>
      <c r="G49"/>
      <c r="H49"/>
    </row>
    <row r="50" spans="1:8" ht="15" customHeight="1" x14ac:dyDescent="0.15">
      <c r="A50">
        <v>49</v>
      </c>
      <c r="B50" s="180" t="s">
        <v>239</v>
      </c>
      <c r="C50" s="109">
        <v>0</v>
      </c>
      <c r="D50" s="109">
        <v>1</v>
      </c>
      <c r="E50" s="108">
        <v>0</v>
      </c>
      <c r="F50" s="108">
        <v>1</v>
      </c>
      <c r="G50"/>
      <c r="H50"/>
    </row>
    <row r="51" spans="1:8" ht="15" customHeight="1" x14ac:dyDescent="0.15">
      <c r="A51">
        <v>50</v>
      </c>
      <c r="B51" s="180" t="s">
        <v>240</v>
      </c>
      <c r="C51" s="109">
        <v>0</v>
      </c>
      <c r="D51" s="109">
        <v>1</v>
      </c>
      <c r="E51" s="108">
        <v>0</v>
      </c>
      <c r="F51" s="108">
        <v>1</v>
      </c>
      <c r="G51"/>
      <c r="H51"/>
    </row>
    <row r="52" spans="1:8" ht="15" customHeight="1" x14ac:dyDescent="0.15">
      <c r="A52">
        <v>51</v>
      </c>
      <c r="B52" s="180" t="s">
        <v>195</v>
      </c>
      <c r="C52" s="109">
        <v>0</v>
      </c>
      <c r="D52" s="109">
        <v>1</v>
      </c>
      <c r="E52" s="108">
        <v>0</v>
      </c>
      <c r="F52" s="108">
        <v>1</v>
      </c>
      <c r="G52"/>
      <c r="H52"/>
    </row>
    <row r="53" spans="1:8" ht="15" customHeight="1" x14ac:dyDescent="0.15">
      <c r="A53">
        <v>52</v>
      </c>
      <c r="B53" s="180" t="s">
        <v>241</v>
      </c>
      <c r="C53" s="109">
        <v>0</v>
      </c>
      <c r="D53" s="109">
        <v>1</v>
      </c>
      <c r="E53" s="108">
        <v>0</v>
      </c>
      <c r="F53" s="108">
        <v>1</v>
      </c>
      <c r="G53"/>
      <c r="H53"/>
    </row>
    <row r="54" spans="1:8" ht="15" customHeight="1" x14ac:dyDescent="0.15">
      <c r="A54">
        <v>53</v>
      </c>
      <c r="B54" s="180" t="s">
        <v>196</v>
      </c>
      <c r="C54" s="109">
        <v>0</v>
      </c>
      <c r="D54" s="109">
        <v>1</v>
      </c>
      <c r="E54" s="108">
        <v>0</v>
      </c>
      <c r="F54" s="108">
        <v>1</v>
      </c>
      <c r="G54"/>
      <c r="H54"/>
    </row>
    <row r="55" spans="1:8" ht="15" customHeight="1" x14ac:dyDescent="0.15">
      <c r="A55">
        <v>54</v>
      </c>
      <c r="B55" s="180" t="s">
        <v>242</v>
      </c>
      <c r="C55" s="109">
        <v>0</v>
      </c>
      <c r="D55" s="109">
        <v>1</v>
      </c>
      <c r="E55" s="108">
        <v>0</v>
      </c>
      <c r="F55" s="108">
        <v>1</v>
      </c>
      <c r="G55"/>
      <c r="H55"/>
    </row>
    <row r="56" spans="1:8" ht="15" customHeight="1" x14ac:dyDescent="0.15">
      <c r="A56">
        <v>55</v>
      </c>
      <c r="B56" s="180" t="s">
        <v>243</v>
      </c>
      <c r="C56" s="109">
        <v>0</v>
      </c>
      <c r="D56" s="109">
        <v>1</v>
      </c>
      <c r="E56" s="108">
        <v>0</v>
      </c>
      <c r="F56" s="108">
        <v>1</v>
      </c>
      <c r="G56"/>
      <c r="H56"/>
    </row>
    <row r="57" spans="1:8" ht="15" customHeight="1" x14ac:dyDescent="0.15">
      <c r="A57">
        <v>56</v>
      </c>
      <c r="B57" s="180" t="s">
        <v>244</v>
      </c>
      <c r="C57" s="109">
        <v>0</v>
      </c>
      <c r="D57" s="109">
        <v>1</v>
      </c>
      <c r="E57" s="108">
        <v>0</v>
      </c>
      <c r="F57" s="108">
        <v>1</v>
      </c>
      <c r="G57"/>
      <c r="H57"/>
    </row>
    <row r="58" spans="1:8" ht="15" customHeight="1" x14ac:dyDescent="0.15">
      <c r="A58">
        <v>57</v>
      </c>
      <c r="B58" s="180" t="s">
        <v>245</v>
      </c>
      <c r="C58" s="109">
        <v>0</v>
      </c>
      <c r="D58" s="109">
        <v>1</v>
      </c>
      <c r="E58" s="108">
        <v>0</v>
      </c>
      <c r="F58" s="108">
        <v>1</v>
      </c>
      <c r="G58"/>
      <c r="H58"/>
    </row>
    <row r="59" spans="1:8" ht="15" customHeight="1" x14ac:dyDescent="0.15">
      <c r="A59">
        <v>58</v>
      </c>
      <c r="B59" s="180" t="s">
        <v>246</v>
      </c>
      <c r="C59" s="109">
        <v>0</v>
      </c>
      <c r="D59" s="109">
        <v>1</v>
      </c>
      <c r="E59" s="108">
        <v>0</v>
      </c>
      <c r="F59" s="108">
        <v>1</v>
      </c>
      <c r="G59"/>
      <c r="H59"/>
    </row>
    <row r="60" spans="1:8" ht="15" customHeight="1" x14ac:dyDescent="0.15">
      <c r="C60"/>
      <c r="D60"/>
      <c r="E60"/>
      <c r="F60"/>
      <c r="G60"/>
      <c r="H60"/>
    </row>
    <row r="61" spans="1:8" ht="15" customHeight="1" x14ac:dyDescent="0.15">
      <c r="C61"/>
      <c r="D61"/>
      <c r="E61"/>
      <c r="F61"/>
      <c r="G61"/>
      <c r="H61"/>
    </row>
    <row r="62" spans="1:8" ht="15" customHeight="1" x14ac:dyDescent="0.15">
      <c r="C62"/>
      <c r="D62"/>
      <c r="E62"/>
      <c r="F62"/>
      <c r="G62"/>
      <c r="H62"/>
    </row>
    <row r="63" spans="1:8" ht="15" customHeight="1" x14ac:dyDescent="0.15">
      <c r="C63"/>
      <c r="D63"/>
      <c r="E63"/>
      <c r="F63"/>
      <c r="G63"/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P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7.33203125" bestFit="1" customWidth="1"/>
    <col min="3" max="3" width="7.5" bestFit="1" customWidth="1"/>
    <col min="4" max="4" width="8.83203125" bestFit="1" customWidth="1"/>
    <col min="5" max="5" width="7.5" bestFit="1" customWidth="1"/>
    <col min="6" max="6" width="8.83203125" customWidth="1"/>
    <col min="7" max="7" width="7.5" customWidth="1"/>
    <col min="8" max="9" width="8.83203125" customWidth="1"/>
    <col min="10" max="10" width="7.5" customWidth="1"/>
    <col min="11" max="11" width="5.83203125" customWidth="1"/>
    <col min="12" max="12" width="7.83203125" customWidth="1"/>
    <col min="13" max="14" width="8.83203125" customWidth="1"/>
    <col min="15" max="15" width="5.83203125" customWidth="1"/>
    <col min="16" max="16" width="8.83203125" customWidth="1"/>
  </cols>
  <sheetData>
    <row r="1" spans="1:16" s="110" customFormat="1" ht="112" x14ac:dyDescent="0.15">
      <c r="A1" s="5" t="s">
        <v>21</v>
      </c>
      <c r="B1" s="3" t="s">
        <v>0</v>
      </c>
      <c r="C1" s="183" t="s">
        <v>236</v>
      </c>
      <c r="D1" s="183" t="s">
        <v>237</v>
      </c>
      <c r="E1" s="183" t="s">
        <v>238</v>
      </c>
      <c r="F1" s="183" t="s">
        <v>239</v>
      </c>
      <c r="G1" s="183" t="s">
        <v>240</v>
      </c>
      <c r="H1" s="183" t="s">
        <v>195</v>
      </c>
      <c r="I1" s="183" t="s">
        <v>241</v>
      </c>
      <c r="J1" s="183" t="s">
        <v>196</v>
      </c>
      <c r="K1" s="183" t="s">
        <v>242</v>
      </c>
      <c r="L1" s="183" t="s">
        <v>243</v>
      </c>
      <c r="M1" s="183" t="s">
        <v>244</v>
      </c>
      <c r="N1" s="183" t="s">
        <v>245</v>
      </c>
      <c r="O1" s="183" t="s">
        <v>246</v>
      </c>
      <c r="P1" s="183" t="s">
        <v>250</v>
      </c>
    </row>
    <row r="2" spans="1:16" ht="15" customHeight="1" x14ac:dyDescent="0.15">
      <c r="A2">
        <v>1</v>
      </c>
      <c r="B2" s="182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ht="15" customHeight="1" x14ac:dyDescent="0.15">
      <c r="A3">
        <v>2</v>
      </c>
      <c r="B3" s="182" t="s">
        <v>67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1.0000000000000001E-9</v>
      </c>
      <c r="L3">
        <v>0</v>
      </c>
      <c r="M3">
        <v>0</v>
      </c>
      <c r="N3">
        <v>0</v>
      </c>
      <c r="O3">
        <v>0</v>
      </c>
      <c r="P3">
        <v>1.0000000000000001E-9</v>
      </c>
    </row>
    <row r="4" spans="1:16" ht="15" customHeight="1" x14ac:dyDescent="0.15">
      <c r="A4">
        <v>3</v>
      </c>
      <c r="B4" s="182" t="s">
        <v>193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ht="15" customHeight="1" x14ac:dyDescent="0.15">
      <c r="A5">
        <v>4</v>
      </c>
      <c r="B5" s="182" t="s">
        <v>194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ht="15" customHeight="1" x14ac:dyDescent="0.15">
      <c r="A6">
        <v>5</v>
      </c>
      <c r="B6" s="182" t="s">
        <v>195</v>
      </c>
      <c r="C6">
        <v>0</v>
      </c>
      <c r="D6">
        <v>0</v>
      </c>
      <c r="E6">
        <v>0</v>
      </c>
      <c r="F6">
        <v>0</v>
      </c>
      <c r="G6">
        <v>0</v>
      </c>
      <c r="H6">
        <v>5.1900000000000004E-4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5.1900000000000004E-4</v>
      </c>
    </row>
    <row r="7" spans="1:16" ht="15" customHeight="1" x14ac:dyDescent="0.15">
      <c r="A7">
        <v>6</v>
      </c>
      <c r="B7" s="182" t="s">
        <v>196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8.1000000000000004E-5</v>
      </c>
      <c r="K7">
        <v>0</v>
      </c>
      <c r="L7">
        <v>0</v>
      </c>
      <c r="M7">
        <v>0</v>
      </c>
      <c r="N7">
        <v>0</v>
      </c>
      <c r="O7">
        <v>0</v>
      </c>
      <c r="P7">
        <v>8.1000000000000004E-5</v>
      </c>
    </row>
    <row r="8" spans="1:16" ht="15" customHeight="1" x14ac:dyDescent="0.15">
      <c r="A8">
        <v>7</v>
      </c>
      <c r="B8" s="182" t="s">
        <v>197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 ht="15" customHeight="1" x14ac:dyDescent="0.15">
      <c r="A9">
        <v>8</v>
      </c>
      <c r="B9" s="182" t="s">
        <v>198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ht="15" customHeight="1" x14ac:dyDescent="0.15">
      <c r="A10">
        <v>9</v>
      </c>
      <c r="B10" s="182" t="s">
        <v>199</v>
      </c>
      <c r="C10">
        <v>0</v>
      </c>
      <c r="D10">
        <v>0</v>
      </c>
      <c r="E10">
        <v>0</v>
      </c>
      <c r="F10">
        <v>0</v>
      </c>
      <c r="G10">
        <v>2.8E-5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2.8E-5</v>
      </c>
    </row>
    <row r="11" spans="1:16" ht="15" customHeight="1" x14ac:dyDescent="0.15">
      <c r="A11">
        <v>10</v>
      </c>
      <c r="B11" s="182" t="s">
        <v>200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ht="15" customHeight="1" x14ac:dyDescent="0.15">
      <c r="A12">
        <v>11</v>
      </c>
      <c r="B12" s="182" t="s">
        <v>201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1.9999999999999999E-6</v>
      </c>
      <c r="P12">
        <v>1.9999999999999999E-6</v>
      </c>
    </row>
    <row r="13" spans="1:16" ht="15" customHeight="1" x14ac:dyDescent="0.15">
      <c r="A13">
        <v>12</v>
      </c>
      <c r="B13" s="182" t="s">
        <v>202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ht="15" customHeight="1" x14ac:dyDescent="0.15">
      <c r="A14">
        <v>13</v>
      </c>
      <c r="B14" s="182" t="s">
        <v>203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ht="15" customHeight="1" x14ac:dyDescent="0.15">
      <c r="A15">
        <v>14</v>
      </c>
      <c r="B15" s="182" t="s">
        <v>204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1.4E-5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1.4E-5</v>
      </c>
    </row>
    <row r="16" spans="1:16" ht="15" customHeight="1" x14ac:dyDescent="0.15">
      <c r="A16">
        <v>15</v>
      </c>
      <c r="B16" s="182" t="s">
        <v>205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 ht="15" customHeight="1" x14ac:dyDescent="0.15">
      <c r="A17">
        <v>16</v>
      </c>
      <c r="B17" s="182" t="s">
        <v>206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9.1000000000000003E-5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9.1000000000000003E-5</v>
      </c>
    </row>
    <row r="18" spans="1:16" ht="15" customHeight="1" x14ac:dyDescent="0.15">
      <c r="A18">
        <v>17</v>
      </c>
      <c r="B18" s="182" t="s">
        <v>207</v>
      </c>
      <c r="C18">
        <v>0</v>
      </c>
      <c r="D18">
        <v>2.8E-5</v>
      </c>
      <c r="E18">
        <v>0</v>
      </c>
      <c r="F18">
        <v>4.3999999999999999E-5</v>
      </c>
      <c r="G18">
        <v>0</v>
      </c>
      <c r="H18">
        <v>0</v>
      </c>
      <c r="I18">
        <v>1.2999999999999999E-4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2.0199999999999998E-4</v>
      </c>
    </row>
    <row r="19" spans="1:16" ht="15" customHeight="1" x14ac:dyDescent="0.15">
      <c r="A19">
        <v>18</v>
      </c>
      <c r="B19" s="182" t="s">
        <v>208</v>
      </c>
      <c r="C19">
        <v>0</v>
      </c>
      <c r="D19">
        <v>9.6000000000000002E-5</v>
      </c>
      <c r="E19">
        <v>0</v>
      </c>
      <c r="F19">
        <v>1.8599999999999999E-4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2.8200000000000002E-4</v>
      </c>
    </row>
    <row r="20" spans="1:16" ht="15" customHeight="1" x14ac:dyDescent="0.15">
      <c r="A20">
        <v>19</v>
      </c>
      <c r="B20" s="182" t="s">
        <v>209</v>
      </c>
      <c r="C20">
        <v>0</v>
      </c>
      <c r="D20">
        <v>0</v>
      </c>
      <c r="E20">
        <v>0</v>
      </c>
      <c r="F20">
        <v>1.2E-4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1.2E-4</v>
      </c>
    </row>
    <row r="21" spans="1:16" ht="15" customHeight="1" x14ac:dyDescent="0.15">
      <c r="A21">
        <v>20</v>
      </c>
      <c r="B21" s="182" t="s">
        <v>210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ht="15" customHeight="1" x14ac:dyDescent="0.15">
      <c r="A22">
        <v>21</v>
      </c>
      <c r="B22" s="182" t="s">
        <v>211</v>
      </c>
      <c r="C22">
        <v>0</v>
      </c>
      <c r="D22">
        <v>1.786E-3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1.786E-3</v>
      </c>
    </row>
    <row r="23" spans="1:16" ht="15" customHeight="1" x14ac:dyDescent="0.15">
      <c r="A23">
        <v>22</v>
      </c>
      <c r="B23" s="182" t="s">
        <v>212</v>
      </c>
      <c r="C23">
        <v>0</v>
      </c>
      <c r="D23">
        <v>8.1099999999999998E-4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8.1099999999999998E-4</v>
      </c>
    </row>
    <row r="24" spans="1:16" ht="15" customHeight="1" x14ac:dyDescent="0.15">
      <c r="A24">
        <v>23</v>
      </c>
      <c r="B24" s="182" t="s">
        <v>213</v>
      </c>
      <c r="C24">
        <v>0</v>
      </c>
      <c r="D24">
        <v>1.6799999999999999E-4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1.6799999999999999E-4</v>
      </c>
    </row>
    <row r="25" spans="1:16" ht="15" customHeight="1" x14ac:dyDescent="0.15">
      <c r="A25">
        <v>24</v>
      </c>
      <c r="B25" s="182" t="s">
        <v>214</v>
      </c>
      <c r="C25">
        <v>0</v>
      </c>
      <c r="D25">
        <v>7.2400000000000003E-4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7.2400000000000003E-4</v>
      </c>
    </row>
    <row r="26" spans="1:16" ht="15" customHeight="1" x14ac:dyDescent="0.15">
      <c r="A26">
        <v>25</v>
      </c>
      <c r="B26" s="182" t="s">
        <v>215</v>
      </c>
      <c r="C26">
        <v>0</v>
      </c>
      <c r="D26">
        <v>3.0690000000000001E-3</v>
      </c>
      <c r="E26">
        <v>0</v>
      </c>
      <c r="F26">
        <v>3.0299999999999999E-4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3.372E-3</v>
      </c>
    </row>
    <row r="27" spans="1:16" ht="15" customHeight="1" x14ac:dyDescent="0.15">
      <c r="A27">
        <v>26</v>
      </c>
      <c r="B27" s="182" t="s">
        <v>216</v>
      </c>
      <c r="C27">
        <v>0</v>
      </c>
      <c r="D27">
        <v>6.4099999999999997E-4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6.4099999999999997E-4</v>
      </c>
    </row>
    <row r="28" spans="1:16" ht="15" customHeight="1" x14ac:dyDescent="0.15">
      <c r="A28">
        <v>27</v>
      </c>
      <c r="B28" s="182" t="s">
        <v>217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1.9999999999999999E-6</v>
      </c>
      <c r="M28">
        <v>0</v>
      </c>
      <c r="N28">
        <v>0</v>
      </c>
      <c r="O28">
        <v>0</v>
      </c>
      <c r="P28">
        <v>1.9999999999999999E-6</v>
      </c>
    </row>
    <row r="29" spans="1:16" ht="15" customHeight="1" x14ac:dyDescent="0.15">
      <c r="A29">
        <v>28</v>
      </c>
      <c r="B29" s="182" t="s">
        <v>218</v>
      </c>
      <c r="C29">
        <v>0</v>
      </c>
      <c r="D29">
        <v>1.253E-3</v>
      </c>
      <c r="E29">
        <v>0</v>
      </c>
      <c r="F29">
        <v>0</v>
      </c>
      <c r="G29">
        <v>0</v>
      </c>
      <c r="H29">
        <v>0</v>
      </c>
      <c r="I29">
        <v>3.0000000000000001E-5</v>
      </c>
      <c r="J29">
        <v>0</v>
      </c>
      <c r="K29">
        <v>0</v>
      </c>
      <c r="L29">
        <v>3.29E-3</v>
      </c>
      <c r="M29">
        <v>0</v>
      </c>
      <c r="N29">
        <v>0</v>
      </c>
      <c r="O29">
        <v>0</v>
      </c>
      <c r="P29">
        <v>4.5729999999999998E-3</v>
      </c>
    </row>
    <row r="30" spans="1:16" ht="15" customHeight="1" x14ac:dyDescent="0.15">
      <c r="A30">
        <v>29</v>
      </c>
      <c r="B30" s="182" t="s">
        <v>219</v>
      </c>
      <c r="C30">
        <v>0</v>
      </c>
      <c r="D30">
        <v>0</v>
      </c>
      <c r="E30">
        <v>0</v>
      </c>
      <c r="F30">
        <v>1.2999999999999999E-5</v>
      </c>
      <c r="G30">
        <v>0</v>
      </c>
      <c r="H30">
        <v>0</v>
      </c>
      <c r="I30">
        <v>1.03E-4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1.16E-4</v>
      </c>
    </row>
    <row r="31" spans="1:16" ht="15" customHeight="1" x14ac:dyDescent="0.15">
      <c r="A31">
        <v>30</v>
      </c>
      <c r="B31" s="182" t="s">
        <v>220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2.52E-4</v>
      </c>
      <c r="N31">
        <v>0</v>
      </c>
      <c r="O31">
        <v>0</v>
      </c>
      <c r="P31">
        <v>2.52E-4</v>
      </c>
    </row>
    <row r="32" spans="1:16" ht="15" customHeight="1" x14ac:dyDescent="0.15">
      <c r="A32">
        <v>31</v>
      </c>
      <c r="B32" s="182" t="s">
        <v>221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1:16" ht="15" customHeight="1" x14ac:dyDescent="0.15">
      <c r="A33">
        <v>32</v>
      </c>
      <c r="B33" s="182" t="s">
        <v>222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1:16" ht="15" customHeight="1" x14ac:dyDescent="0.15">
      <c r="A34">
        <v>33</v>
      </c>
      <c r="B34" s="182" t="s">
        <v>223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1:16" ht="15" customHeight="1" x14ac:dyDescent="0.15">
      <c r="A35">
        <v>34</v>
      </c>
      <c r="B35" s="182" t="s">
        <v>224</v>
      </c>
      <c r="C35">
        <v>0</v>
      </c>
      <c r="D35">
        <v>0</v>
      </c>
      <c r="E35">
        <v>4.4000000000000002E-7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4.4000000000000002E-7</v>
      </c>
    </row>
    <row r="36" spans="1:16" ht="15" customHeight="1" x14ac:dyDescent="0.15">
      <c r="A36">
        <v>35</v>
      </c>
      <c r="B36" s="182" t="s">
        <v>225</v>
      </c>
      <c r="C36">
        <v>0</v>
      </c>
      <c r="D36">
        <v>1.75E-4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1.75E-4</v>
      </c>
    </row>
    <row r="37" spans="1:16" ht="15" customHeight="1" x14ac:dyDescent="0.15">
      <c r="A37">
        <v>36</v>
      </c>
      <c r="B37" s="182" t="s">
        <v>226</v>
      </c>
      <c r="C37">
        <v>5.1E-5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5.1E-5</v>
      </c>
    </row>
    <row r="38" spans="1:16" ht="15" customHeight="1" x14ac:dyDescent="0.15">
      <c r="A38">
        <v>37</v>
      </c>
      <c r="B38" s="182" t="s">
        <v>227</v>
      </c>
      <c r="C38">
        <v>0</v>
      </c>
      <c r="D38">
        <v>1.83E-4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1.65E-4</v>
      </c>
      <c r="N38">
        <v>0</v>
      </c>
      <c r="O38">
        <v>0</v>
      </c>
      <c r="P38">
        <v>3.48E-4</v>
      </c>
    </row>
    <row r="39" spans="1:16" ht="15" customHeight="1" x14ac:dyDescent="0.15">
      <c r="A39">
        <v>38</v>
      </c>
      <c r="B39" s="182" t="s">
        <v>228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1.1152E-2</v>
      </c>
      <c r="O39">
        <v>0</v>
      </c>
      <c r="P39">
        <v>1.1152E-2</v>
      </c>
    </row>
    <row r="40" spans="1:16" ht="15" customHeight="1" x14ac:dyDescent="0.15">
      <c r="A40">
        <v>39</v>
      </c>
      <c r="B40" s="182" t="s">
        <v>229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</row>
    <row r="41" spans="1:16" ht="15" customHeight="1" x14ac:dyDescent="0.15">
      <c r="A41">
        <v>40</v>
      </c>
      <c r="B41" s="182" t="s">
        <v>230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</row>
    <row r="42" spans="1:16" ht="15" customHeight="1" x14ac:dyDescent="0.15">
      <c r="A42">
        <v>41</v>
      </c>
      <c r="B42" s="182" t="s">
        <v>231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</row>
    <row r="43" spans="1:16" ht="15" customHeight="1" x14ac:dyDescent="0.15">
      <c r="A43">
        <v>42</v>
      </c>
      <c r="B43" s="182" t="s">
        <v>232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ht="15" customHeight="1" x14ac:dyDescent="0.15">
      <c r="A44">
        <v>43</v>
      </c>
      <c r="B44" s="182" t="s">
        <v>233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</row>
    <row r="45" spans="1:16" ht="15" customHeight="1" x14ac:dyDescent="0.15">
      <c r="A45">
        <v>44</v>
      </c>
      <c r="B45" s="182" t="s">
        <v>234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</row>
    <row r="46" spans="1:16" ht="15" customHeight="1" x14ac:dyDescent="0.15">
      <c r="A46">
        <v>45</v>
      </c>
      <c r="B46" s="182" t="s">
        <v>235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</row>
    <row r="47" spans="1:16" ht="15" customHeight="1" x14ac:dyDescent="0.15"/>
    <row r="48" spans="1:16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P4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7.33203125" bestFit="1" customWidth="1"/>
    <col min="3" max="5" width="2.33203125" bestFit="1" customWidth="1"/>
    <col min="6" max="16" width="2.33203125" customWidth="1"/>
  </cols>
  <sheetData>
    <row r="1" spans="1:16" s="110" customFormat="1" ht="112" x14ac:dyDescent="0.15">
      <c r="A1" s="5" t="s">
        <v>22</v>
      </c>
      <c r="B1" s="3" t="s">
        <v>0</v>
      </c>
      <c r="C1" s="185" t="s">
        <v>236</v>
      </c>
      <c r="D1" s="185" t="s">
        <v>237</v>
      </c>
      <c r="E1" s="185" t="s">
        <v>238</v>
      </c>
      <c r="F1" s="185" t="s">
        <v>239</v>
      </c>
      <c r="G1" s="185" t="s">
        <v>240</v>
      </c>
      <c r="H1" s="185" t="s">
        <v>195</v>
      </c>
      <c r="I1" s="185" t="s">
        <v>241</v>
      </c>
      <c r="J1" s="185" t="s">
        <v>196</v>
      </c>
      <c r="K1" s="185" t="s">
        <v>242</v>
      </c>
      <c r="L1" s="185" t="s">
        <v>243</v>
      </c>
      <c r="M1" s="185" t="s">
        <v>244</v>
      </c>
      <c r="N1" s="185" t="s">
        <v>245</v>
      </c>
      <c r="O1" s="185" t="s">
        <v>246</v>
      </c>
      <c r="P1" s="185" t="s">
        <v>250</v>
      </c>
    </row>
    <row r="2" spans="1:16" x14ac:dyDescent="0.15">
      <c r="A2">
        <v>1</v>
      </c>
      <c r="B2" s="184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x14ac:dyDescent="0.15">
      <c r="A3">
        <v>2</v>
      </c>
      <c r="B3" s="184" t="s">
        <v>67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15">
      <c r="A4">
        <v>3</v>
      </c>
      <c r="B4" s="184" t="s">
        <v>193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15">
      <c r="A5">
        <v>4</v>
      </c>
      <c r="B5" s="184" t="s">
        <v>194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15">
      <c r="A6">
        <v>5</v>
      </c>
      <c r="B6" s="184" t="s">
        <v>195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15">
      <c r="A7">
        <v>6</v>
      </c>
      <c r="B7" s="184" t="s">
        <v>196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15">
      <c r="A8">
        <v>7</v>
      </c>
      <c r="B8" s="184" t="s">
        <v>197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 x14ac:dyDescent="0.15">
      <c r="A9">
        <v>8</v>
      </c>
      <c r="B9" s="184" t="s">
        <v>198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x14ac:dyDescent="0.15">
      <c r="A10">
        <v>9</v>
      </c>
      <c r="B10" s="184" t="s">
        <v>199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x14ac:dyDescent="0.15">
      <c r="A11">
        <v>10</v>
      </c>
      <c r="B11" s="184" t="s">
        <v>200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x14ac:dyDescent="0.15">
      <c r="A12">
        <v>11</v>
      </c>
      <c r="B12" s="184" t="s">
        <v>201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15">
      <c r="A13">
        <v>12</v>
      </c>
      <c r="B13" s="184" t="s">
        <v>202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x14ac:dyDescent="0.15">
      <c r="A14">
        <v>13</v>
      </c>
      <c r="B14" s="184" t="s">
        <v>203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x14ac:dyDescent="0.15">
      <c r="A15">
        <v>14</v>
      </c>
      <c r="B15" s="184" t="s">
        <v>204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15">
      <c r="A16">
        <v>15</v>
      </c>
      <c r="B16" s="184" t="s">
        <v>205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 x14ac:dyDescent="0.15">
      <c r="A17">
        <v>16</v>
      </c>
      <c r="B17" s="184" t="s">
        <v>206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 x14ac:dyDescent="0.15">
      <c r="A18">
        <v>17</v>
      </c>
      <c r="B18" s="184" t="s">
        <v>207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 x14ac:dyDescent="0.15">
      <c r="A19">
        <v>18</v>
      </c>
      <c r="B19" s="184" t="s">
        <v>208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 x14ac:dyDescent="0.15">
      <c r="A20">
        <v>19</v>
      </c>
      <c r="B20" s="184" t="s">
        <v>209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 x14ac:dyDescent="0.15">
      <c r="A21">
        <v>20</v>
      </c>
      <c r="B21" s="184" t="s">
        <v>210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x14ac:dyDescent="0.15">
      <c r="A22">
        <v>21</v>
      </c>
      <c r="B22" s="184" t="s">
        <v>211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x14ac:dyDescent="0.15">
      <c r="A23">
        <v>22</v>
      </c>
      <c r="B23" s="184" t="s">
        <v>212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1:16" x14ac:dyDescent="0.15">
      <c r="A24">
        <v>23</v>
      </c>
      <c r="B24" s="184" t="s">
        <v>213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15">
      <c r="A25">
        <v>24</v>
      </c>
      <c r="B25" s="184" t="s">
        <v>214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 x14ac:dyDescent="0.15">
      <c r="A26">
        <v>25</v>
      </c>
      <c r="B26" s="184" t="s">
        <v>215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1:16" x14ac:dyDescent="0.15">
      <c r="A27">
        <v>26</v>
      </c>
      <c r="B27" s="184" t="s">
        <v>216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x14ac:dyDescent="0.15">
      <c r="A28">
        <v>27</v>
      </c>
      <c r="B28" s="184" t="s">
        <v>217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15">
      <c r="A29">
        <v>28</v>
      </c>
      <c r="B29" s="184" t="s">
        <v>218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 x14ac:dyDescent="0.15">
      <c r="A30">
        <v>29</v>
      </c>
      <c r="B30" s="184" t="s">
        <v>219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x14ac:dyDescent="0.15">
      <c r="A31">
        <v>30</v>
      </c>
      <c r="B31" s="184" t="s">
        <v>220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15">
      <c r="A32">
        <v>31</v>
      </c>
      <c r="B32" s="184" t="s">
        <v>221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1:16" x14ac:dyDescent="0.15">
      <c r="A33">
        <v>32</v>
      </c>
      <c r="B33" s="184" t="s">
        <v>222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1:16" x14ac:dyDescent="0.15">
      <c r="A34">
        <v>33</v>
      </c>
      <c r="B34" s="184" t="s">
        <v>223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1:16" x14ac:dyDescent="0.15">
      <c r="A35">
        <v>34</v>
      </c>
      <c r="B35" s="184" t="s">
        <v>224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1:16" x14ac:dyDescent="0.15">
      <c r="A36">
        <v>35</v>
      </c>
      <c r="B36" s="184" t="s">
        <v>225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1:16" x14ac:dyDescent="0.15">
      <c r="A37">
        <v>36</v>
      </c>
      <c r="B37" s="184" t="s">
        <v>226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</row>
    <row r="38" spans="1:16" x14ac:dyDescent="0.15">
      <c r="A38">
        <v>37</v>
      </c>
      <c r="B38" s="184" t="s">
        <v>227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</row>
    <row r="39" spans="1:16" x14ac:dyDescent="0.15">
      <c r="A39">
        <v>38</v>
      </c>
      <c r="B39" s="184" t="s">
        <v>228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</row>
    <row r="40" spans="1:16" x14ac:dyDescent="0.15">
      <c r="A40">
        <v>39</v>
      </c>
      <c r="B40" s="184" t="s">
        <v>229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</row>
    <row r="41" spans="1:16" x14ac:dyDescent="0.15">
      <c r="A41">
        <v>40</v>
      </c>
      <c r="B41" s="184" t="s">
        <v>230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</row>
    <row r="42" spans="1:16" x14ac:dyDescent="0.15">
      <c r="A42">
        <v>41</v>
      </c>
      <c r="B42" s="184" t="s">
        <v>231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</row>
    <row r="43" spans="1:16" x14ac:dyDescent="0.15">
      <c r="A43">
        <v>42</v>
      </c>
      <c r="B43" s="184" t="s">
        <v>232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15">
      <c r="A44">
        <v>43</v>
      </c>
      <c r="B44" s="184" t="s">
        <v>233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</row>
    <row r="45" spans="1:16" x14ac:dyDescent="0.15">
      <c r="A45">
        <v>44</v>
      </c>
      <c r="B45" s="184" t="s">
        <v>234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</row>
    <row r="46" spans="1:16" x14ac:dyDescent="0.15">
      <c r="A46">
        <v>45</v>
      </c>
      <c r="B46" s="184" t="s">
        <v>235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7.33203125" bestFit="1" customWidth="1"/>
    <col min="6" max="6" width="4.83203125" bestFit="1" customWidth="1"/>
    <col min="7" max="9" width="3.83203125" bestFit="1" customWidth="1"/>
    <col min="10" max="11" width="4.83203125" style="10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1" customFormat="1" ht="14" thickBot="1" x14ac:dyDescent="0.2">
      <c r="D1" s="112" t="s">
        <v>8</v>
      </c>
      <c r="E1" s="112" t="s">
        <v>0</v>
      </c>
      <c r="F1" s="113" t="s">
        <v>99</v>
      </c>
      <c r="G1" s="114" t="s">
        <v>84</v>
      </c>
      <c r="H1" s="114" t="s">
        <v>85</v>
      </c>
      <c r="I1" s="114" t="s">
        <v>86</v>
      </c>
      <c r="J1" s="114" t="s">
        <v>87</v>
      </c>
      <c r="K1" s="114" t="s">
        <v>88</v>
      </c>
      <c r="L1" s="115" t="s">
        <v>89</v>
      </c>
      <c r="M1" s="115" t="s">
        <v>93</v>
      </c>
      <c r="N1" s="115" t="s">
        <v>92</v>
      </c>
      <c r="O1" s="115" t="s">
        <v>90</v>
      </c>
      <c r="P1" s="115" t="s">
        <v>91</v>
      </c>
      <c r="Q1" s="116" t="s">
        <v>94</v>
      </c>
      <c r="R1" s="116" t="s">
        <v>95</v>
      </c>
      <c r="S1" s="116" t="s">
        <v>96</v>
      </c>
      <c r="T1" s="116" t="s">
        <v>97</v>
      </c>
      <c r="U1" s="116" t="s">
        <v>98</v>
      </c>
      <c r="V1" s="114" t="s">
        <v>100</v>
      </c>
      <c r="W1" s="114" t="s">
        <v>101</v>
      </c>
      <c r="X1" s="114" t="s">
        <v>102</v>
      </c>
      <c r="Y1" s="114" t="s">
        <v>134</v>
      </c>
      <c r="Z1" s="115" t="s">
        <v>103</v>
      </c>
      <c r="AA1" s="115" t="s">
        <v>104</v>
      </c>
      <c r="AB1" s="115" t="s">
        <v>105</v>
      </c>
      <c r="AC1" s="117" t="s">
        <v>135</v>
      </c>
      <c r="AD1" s="116" t="s">
        <v>106</v>
      </c>
      <c r="AE1" s="116" t="s">
        <v>107</v>
      </c>
      <c r="AF1" s="116" t="s">
        <v>108</v>
      </c>
      <c r="AG1" s="116" t="s">
        <v>136</v>
      </c>
      <c r="AH1" s="114" t="s">
        <v>109</v>
      </c>
      <c r="AI1" s="114" t="s">
        <v>111</v>
      </c>
      <c r="AJ1" s="114" t="s">
        <v>110</v>
      </c>
      <c r="AK1" s="115" t="s">
        <v>115</v>
      </c>
      <c r="AL1" s="115" t="s">
        <v>116</v>
      </c>
      <c r="AM1" s="115" t="s">
        <v>117</v>
      </c>
      <c r="AN1" s="116" t="s">
        <v>112</v>
      </c>
      <c r="AO1" s="116" t="s">
        <v>113</v>
      </c>
      <c r="AP1" s="116" t="s">
        <v>114</v>
      </c>
    </row>
    <row r="2" spans="1:42" x14ac:dyDescent="0.15">
      <c r="A2" s="118" t="s">
        <v>74</v>
      </c>
      <c r="B2" s="119">
        <v>1</v>
      </c>
      <c r="D2">
        <v>1</v>
      </c>
      <c r="E2" s="186" t="s">
        <v>192</v>
      </c>
      <c r="F2">
        <v>0.98</v>
      </c>
      <c r="G2">
        <v>0.8</v>
      </c>
      <c r="H2">
        <v>0.8</v>
      </c>
      <c r="I2">
        <v>0</v>
      </c>
      <c r="J2" s="109">
        <v>0</v>
      </c>
      <c r="K2" s="109">
        <v>0</v>
      </c>
    </row>
    <row r="3" spans="1:42" x14ac:dyDescent="0.15">
      <c r="A3" s="118" t="s">
        <v>75</v>
      </c>
      <c r="B3" s="120">
        <v>1</v>
      </c>
      <c r="D3">
        <v>2</v>
      </c>
      <c r="E3" s="186" t="s">
        <v>67</v>
      </c>
      <c r="F3">
        <v>0.98</v>
      </c>
      <c r="G3">
        <v>0.8</v>
      </c>
      <c r="H3">
        <v>0.8</v>
      </c>
      <c r="I3">
        <v>0</v>
      </c>
      <c r="J3" s="109">
        <v>0</v>
      </c>
      <c r="K3" s="109">
        <v>0</v>
      </c>
    </row>
    <row r="4" spans="1:42" x14ac:dyDescent="0.15">
      <c r="A4" s="118" t="s">
        <v>76</v>
      </c>
      <c r="B4" s="120">
        <v>1</v>
      </c>
      <c r="D4">
        <v>3</v>
      </c>
      <c r="E4" s="186" t="s">
        <v>193</v>
      </c>
      <c r="F4">
        <v>0.98</v>
      </c>
      <c r="G4">
        <v>0.8</v>
      </c>
      <c r="H4">
        <v>0.8</v>
      </c>
      <c r="I4">
        <v>0.8</v>
      </c>
      <c r="J4" s="109">
        <v>0.25</v>
      </c>
      <c r="K4" s="109">
        <v>0.05</v>
      </c>
    </row>
    <row r="5" spans="1:42" x14ac:dyDescent="0.15">
      <c r="A5" s="118" t="s">
        <v>77</v>
      </c>
      <c r="B5" s="120">
        <v>1</v>
      </c>
      <c r="D5">
        <v>4</v>
      </c>
      <c r="E5" s="186" t="s">
        <v>194</v>
      </c>
      <c r="F5">
        <v>0.98</v>
      </c>
      <c r="G5">
        <v>0.8</v>
      </c>
      <c r="H5">
        <v>0.8</v>
      </c>
      <c r="I5">
        <v>0.8</v>
      </c>
      <c r="J5" s="109">
        <v>0.25</v>
      </c>
      <c r="K5" s="109">
        <v>0.05</v>
      </c>
    </row>
    <row r="6" spans="1:42" x14ac:dyDescent="0.15">
      <c r="A6" s="118" t="s">
        <v>78</v>
      </c>
      <c r="B6" s="120">
        <v>1</v>
      </c>
      <c r="D6">
        <v>5</v>
      </c>
      <c r="E6" s="186" t="s">
        <v>195</v>
      </c>
      <c r="F6">
        <v>0.98</v>
      </c>
      <c r="G6">
        <v>0.8</v>
      </c>
      <c r="H6">
        <v>0.8</v>
      </c>
      <c r="I6">
        <v>0.8</v>
      </c>
      <c r="J6" s="109">
        <v>0.25</v>
      </c>
      <c r="K6" s="109">
        <v>0.05</v>
      </c>
    </row>
    <row r="7" spans="1:42" x14ac:dyDescent="0.15">
      <c r="A7" s="118" t="s">
        <v>79</v>
      </c>
      <c r="B7" s="120">
        <v>1</v>
      </c>
      <c r="D7">
        <v>6</v>
      </c>
      <c r="E7" s="186" t="s">
        <v>196</v>
      </c>
      <c r="F7">
        <v>0.98</v>
      </c>
      <c r="G7">
        <v>0.8</v>
      </c>
      <c r="H7">
        <v>0.8</v>
      </c>
      <c r="I7">
        <v>0.8</v>
      </c>
      <c r="J7" s="109">
        <v>0.25</v>
      </c>
      <c r="K7" s="109">
        <v>0.05</v>
      </c>
    </row>
    <row r="8" spans="1:42" x14ac:dyDescent="0.15">
      <c r="A8" s="118" t="s">
        <v>80</v>
      </c>
      <c r="B8" s="120">
        <v>1</v>
      </c>
      <c r="D8">
        <v>7</v>
      </c>
      <c r="E8" s="186" t="s">
        <v>197</v>
      </c>
      <c r="F8">
        <v>0.98</v>
      </c>
      <c r="G8">
        <v>0.8</v>
      </c>
      <c r="H8">
        <v>0.8</v>
      </c>
      <c r="I8">
        <v>0.8</v>
      </c>
      <c r="J8" s="109">
        <v>0.25</v>
      </c>
      <c r="K8" s="109">
        <v>0.05</v>
      </c>
    </row>
    <row r="9" spans="1:42" x14ac:dyDescent="0.15">
      <c r="A9" s="118" t="s">
        <v>81</v>
      </c>
      <c r="B9" s="120">
        <v>0.1</v>
      </c>
      <c r="C9" s="60" t="s">
        <v>150</v>
      </c>
      <c r="D9">
        <v>8</v>
      </c>
      <c r="E9" s="186" t="s">
        <v>198</v>
      </c>
      <c r="F9">
        <v>0.98</v>
      </c>
      <c r="G9">
        <v>0.8</v>
      </c>
      <c r="H9">
        <v>0.8</v>
      </c>
      <c r="I9">
        <v>0.8</v>
      </c>
      <c r="J9" s="109">
        <v>0.25</v>
      </c>
      <c r="K9" s="109">
        <v>0.05</v>
      </c>
    </row>
    <row r="10" spans="1:42" ht="14" thickBot="1" x14ac:dyDescent="0.2">
      <c r="A10" s="118" t="s">
        <v>149</v>
      </c>
      <c r="B10" s="121">
        <f>1/3</f>
        <v>0.33333333333333331</v>
      </c>
      <c r="C10" s="60" t="s">
        <v>150</v>
      </c>
      <c r="D10">
        <v>9</v>
      </c>
      <c r="E10" s="186" t="s">
        <v>199</v>
      </c>
      <c r="F10">
        <v>0.98</v>
      </c>
      <c r="G10">
        <v>0.8</v>
      </c>
      <c r="H10">
        <v>0.8</v>
      </c>
      <c r="I10">
        <v>0.8</v>
      </c>
      <c r="J10" s="109">
        <v>0.25</v>
      </c>
      <c r="K10" s="109">
        <v>0.05</v>
      </c>
    </row>
    <row r="11" spans="1:42" x14ac:dyDescent="0.15">
      <c r="D11">
        <v>10</v>
      </c>
      <c r="E11" s="186" t="s">
        <v>200</v>
      </c>
      <c r="F11">
        <v>0.98</v>
      </c>
      <c r="G11">
        <v>0.8</v>
      </c>
      <c r="H11">
        <v>0.8</v>
      </c>
      <c r="I11">
        <v>0.8</v>
      </c>
      <c r="J11" s="109">
        <v>0.25</v>
      </c>
      <c r="K11" s="109">
        <v>0.05</v>
      </c>
    </row>
    <row r="12" spans="1:42" x14ac:dyDescent="0.15">
      <c r="D12">
        <v>11</v>
      </c>
      <c r="E12" s="186" t="s">
        <v>201</v>
      </c>
      <c r="F12">
        <v>0.98</v>
      </c>
      <c r="G12">
        <v>0.8</v>
      </c>
      <c r="H12">
        <v>0.8</v>
      </c>
      <c r="I12">
        <v>0.8</v>
      </c>
      <c r="J12" s="109">
        <v>0.25</v>
      </c>
      <c r="K12" s="109">
        <v>0.05</v>
      </c>
    </row>
    <row r="13" spans="1:42" x14ac:dyDescent="0.15">
      <c r="D13">
        <v>12</v>
      </c>
      <c r="E13" s="186" t="s">
        <v>202</v>
      </c>
      <c r="F13">
        <v>0.98</v>
      </c>
      <c r="G13">
        <v>0.8</v>
      </c>
      <c r="H13">
        <v>0.8</v>
      </c>
      <c r="I13">
        <v>0.8</v>
      </c>
      <c r="J13" s="109">
        <v>0.25</v>
      </c>
      <c r="K13" s="109">
        <v>0.05</v>
      </c>
    </row>
    <row r="14" spans="1:42" x14ac:dyDescent="0.15">
      <c r="D14">
        <v>13</v>
      </c>
      <c r="E14" s="186" t="s">
        <v>203</v>
      </c>
      <c r="F14">
        <v>0.98</v>
      </c>
      <c r="G14">
        <v>0.8</v>
      </c>
      <c r="H14">
        <v>0.8</v>
      </c>
      <c r="I14">
        <v>0.8</v>
      </c>
      <c r="J14" s="109">
        <v>0.25</v>
      </c>
      <c r="K14" s="109">
        <v>0.05</v>
      </c>
    </row>
    <row r="15" spans="1:42" x14ac:dyDescent="0.15">
      <c r="D15">
        <v>14</v>
      </c>
      <c r="E15" s="186" t="s">
        <v>204</v>
      </c>
      <c r="F15">
        <v>0.98</v>
      </c>
      <c r="G15">
        <v>0.8</v>
      </c>
      <c r="H15">
        <v>0.8</v>
      </c>
      <c r="I15">
        <v>0.8</v>
      </c>
      <c r="J15" s="109">
        <v>0.25</v>
      </c>
      <c r="K15" s="109">
        <v>0.05</v>
      </c>
    </row>
    <row r="16" spans="1:42" x14ac:dyDescent="0.15">
      <c r="D16">
        <v>15</v>
      </c>
      <c r="E16" s="186" t="s">
        <v>205</v>
      </c>
      <c r="F16">
        <v>0.98</v>
      </c>
      <c r="G16">
        <v>0.8</v>
      </c>
      <c r="H16">
        <v>0.8</v>
      </c>
      <c r="I16">
        <v>0.8</v>
      </c>
      <c r="J16" s="109">
        <v>0.25</v>
      </c>
      <c r="K16" s="109">
        <v>0.05</v>
      </c>
    </row>
    <row r="17" spans="4:33" ht="15" customHeight="1" x14ac:dyDescent="0.15">
      <c r="D17">
        <v>16</v>
      </c>
      <c r="E17" s="186" t="s">
        <v>206</v>
      </c>
      <c r="F17">
        <v>0.98</v>
      </c>
      <c r="G17">
        <v>0.8</v>
      </c>
      <c r="H17">
        <v>0.8</v>
      </c>
      <c r="I17">
        <v>0.8</v>
      </c>
      <c r="J17" s="109">
        <v>0.25</v>
      </c>
      <c r="K17" s="109">
        <v>0.05</v>
      </c>
    </row>
    <row r="18" spans="4:33" ht="15" customHeight="1" x14ac:dyDescent="0.15">
      <c r="D18">
        <v>17</v>
      </c>
      <c r="E18" s="186" t="s">
        <v>207</v>
      </c>
      <c r="F18">
        <v>0.98</v>
      </c>
      <c r="G18">
        <v>0.8</v>
      </c>
      <c r="H18">
        <v>0.8</v>
      </c>
      <c r="I18">
        <v>0.8</v>
      </c>
      <c r="J18" s="109">
        <v>0.25</v>
      </c>
      <c r="K18" s="109">
        <v>0.05</v>
      </c>
    </row>
    <row r="19" spans="4:33" ht="15" customHeight="1" x14ac:dyDescent="0.15">
      <c r="D19">
        <v>18</v>
      </c>
      <c r="E19" s="186" t="s">
        <v>208</v>
      </c>
      <c r="F19">
        <v>0.98</v>
      </c>
      <c r="G19">
        <v>0.8</v>
      </c>
      <c r="H19">
        <v>0.8</v>
      </c>
      <c r="I19">
        <v>0.8</v>
      </c>
      <c r="J19" s="109">
        <v>0.25</v>
      </c>
      <c r="K19" s="109">
        <v>0.05</v>
      </c>
    </row>
    <row r="20" spans="4:33" ht="15" customHeight="1" x14ac:dyDescent="0.15">
      <c r="D20">
        <v>19</v>
      </c>
      <c r="E20" s="186" t="s">
        <v>209</v>
      </c>
      <c r="F20">
        <v>0.98</v>
      </c>
      <c r="G20">
        <v>0.8</v>
      </c>
      <c r="H20">
        <v>0.8</v>
      </c>
      <c r="I20">
        <v>0.8</v>
      </c>
      <c r="J20" s="109">
        <v>0.25</v>
      </c>
      <c r="K20" s="109">
        <v>0.05</v>
      </c>
    </row>
    <row r="21" spans="4:33" ht="15" customHeight="1" x14ac:dyDescent="0.15">
      <c r="D21">
        <v>20</v>
      </c>
      <c r="E21" s="186" t="s">
        <v>210</v>
      </c>
      <c r="F21">
        <v>0.98</v>
      </c>
      <c r="G21">
        <v>0.8</v>
      </c>
      <c r="H21">
        <v>0.8</v>
      </c>
      <c r="I21">
        <v>0.8</v>
      </c>
      <c r="J21" s="109">
        <v>0.25</v>
      </c>
      <c r="K21" s="109">
        <v>0.05</v>
      </c>
    </row>
    <row r="22" spans="4:33" ht="15" customHeight="1" x14ac:dyDescent="0.15">
      <c r="D22">
        <v>21</v>
      </c>
      <c r="E22" s="186" t="s">
        <v>211</v>
      </c>
      <c r="F22">
        <v>0.98</v>
      </c>
      <c r="G22">
        <v>0.8</v>
      </c>
      <c r="H22">
        <v>0.8</v>
      </c>
      <c r="I22">
        <v>0.8</v>
      </c>
      <c r="J22" s="109">
        <v>0.25</v>
      </c>
      <c r="K22" s="109">
        <v>0.05</v>
      </c>
    </row>
    <row r="23" spans="4:33" ht="15" customHeight="1" x14ac:dyDescent="0.15">
      <c r="D23">
        <v>22</v>
      </c>
      <c r="E23" s="186" t="s">
        <v>212</v>
      </c>
      <c r="F23">
        <v>0.98</v>
      </c>
      <c r="G23">
        <v>0.8</v>
      </c>
      <c r="H23">
        <v>0.8</v>
      </c>
      <c r="I23">
        <v>0.8</v>
      </c>
      <c r="J23" s="109">
        <v>0.25</v>
      </c>
      <c r="K23" s="109">
        <v>0.05</v>
      </c>
    </row>
    <row r="24" spans="4:33" ht="15" customHeight="1" x14ac:dyDescent="0.15">
      <c r="D24">
        <v>23</v>
      </c>
      <c r="E24" s="186" t="s">
        <v>213</v>
      </c>
      <c r="F24">
        <v>0.98</v>
      </c>
      <c r="G24">
        <v>0.8</v>
      </c>
      <c r="H24">
        <v>0.8</v>
      </c>
      <c r="I24">
        <v>0.8</v>
      </c>
      <c r="J24" s="109">
        <v>0.25</v>
      </c>
      <c r="K24" s="109">
        <v>0.05</v>
      </c>
    </row>
    <row r="25" spans="4:33" ht="15" customHeight="1" x14ac:dyDescent="0.15">
      <c r="D25">
        <v>24</v>
      </c>
      <c r="E25" s="186" t="s">
        <v>214</v>
      </c>
      <c r="F25">
        <v>0.98</v>
      </c>
      <c r="G25">
        <v>0.8</v>
      </c>
      <c r="H25">
        <v>0.8</v>
      </c>
      <c r="I25">
        <v>0.8</v>
      </c>
      <c r="J25" s="109">
        <v>0.25</v>
      </c>
      <c r="K25" s="109">
        <v>0.05</v>
      </c>
    </row>
    <row r="26" spans="4:33" ht="15" customHeight="1" x14ac:dyDescent="0.15">
      <c r="D26">
        <v>25</v>
      </c>
      <c r="E26" s="186" t="s">
        <v>215</v>
      </c>
      <c r="F26">
        <v>0.98</v>
      </c>
      <c r="G26">
        <v>0.8</v>
      </c>
      <c r="H26">
        <v>0.8</v>
      </c>
      <c r="I26">
        <v>0.8</v>
      </c>
      <c r="J26" s="109">
        <v>0.25</v>
      </c>
      <c r="K26" s="109">
        <v>0.05</v>
      </c>
    </row>
    <row r="27" spans="4:33" ht="15" customHeight="1" x14ac:dyDescent="0.15">
      <c r="D27">
        <v>26</v>
      </c>
      <c r="E27" s="186" t="s">
        <v>216</v>
      </c>
      <c r="F27">
        <v>0.98</v>
      </c>
      <c r="G27">
        <v>0.8</v>
      </c>
      <c r="H27">
        <v>0.8</v>
      </c>
      <c r="I27">
        <v>0.8</v>
      </c>
      <c r="J27" s="109">
        <v>0.25</v>
      </c>
      <c r="K27" s="109">
        <v>0.05</v>
      </c>
    </row>
    <row r="28" spans="4:33" ht="15" customHeight="1" x14ac:dyDescent="0.15">
      <c r="D28">
        <v>27</v>
      </c>
      <c r="E28" s="186" t="s">
        <v>217</v>
      </c>
      <c r="F28">
        <v>0.98</v>
      </c>
      <c r="G28">
        <v>0.8</v>
      </c>
      <c r="H28">
        <v>0.8</v>
      </c>
      <c r="I28">
        <v>0.8</v>
      </c>
      <c r="J28" s="109">
        <v>0.25</v>
      </c>
      <c r="K28" s="109">
        <v>0.05</v>
      </c>
    </row>
    <row r="29" spans="4:33" ht="15" customHeight="1" x14ac:dyDescent="0.15">
      <c r="D29">
        <v>28</v>
      </c>
      <c r="E29" s="186" t="s">
        <v>218</v>
      </c>
      <c r="F29">
        <v>0.98</v>
      </c>
      <c r="G29">
        <v>0.8</v>
      </c>
      <c r="H29">
        <v>0.8</v>
      </c>
      <c r="I29">
        <v>0.8</v>
      </c>
      <c r="J29" s="109">
        <v>0.25</v>
      </c>
      <c r="K29" s="109">
        <v>0.05</v>
      </c>
      <c r="Y29"/>
      <c r="AC29"/>
      <c r="AG29"/>
    </row>
    <row r="30" spans="4:33" ht="15" customHeight="1" x14ac:dyDescent="0.15">
      <c r="D30">
        <v>29</v>
      </c>
      <c r="E30" s="186" t="s">
        <v>219</v>
      </c>
      <c r="F30">
        <v>0.98</v>
      </c>
      <c r="G30">
        <v>0.8</v>
      </c>
      <c r="H30">
        <v>0.8</v>
      </c>
      <c r="I30">
        <v>0.8</v>
      </c>
      <c r="J30" s="109">
        <v>0.25</v>
      </c>
      <c r="K30" s="109">
        <v>0.05</v>
      </c>
      <c r="Y30"/>
      <c r="AC30"/>
      <c r="AG30"/>
    </row>
    <row r="31" spans="4:33" ht="15" customHeight="1" x14ac:dyDescent="0.15">
      <c r="D31">
        <v>30</v>
      </c>
      <c r="E31" s="186" t="s">
        <v>220</v>
      </c>
      <c r="F31">
        <v>0.98</v>
      </c>
      <c r="G31">
        <v>0.8</v>
      </c>
      <c r="H31">
        <v>0.8</v>
      </c>
      <c r="I31">
        <v>0.8</v>
      </c>
      <c r="J31" s="109">
        <v>0.25</v>
      </c>
      <c r="K31" s="109">
        <v>0.05</v>
      </c>
      <c r="Y31"/>
      <c r="AC31"/>
      <c r="AG31"/>
    </row>
    <row r="32" spans="4:33" ht="15" customHeight="1" x14ac:dyDescent="0.15">
      <c r="D32">
        <v>31</v>
      </c>
      <c r="E32" s="186" t="s">
        <v>221</v>
      </c>
      <c r="F32">
        <v>0.98</v>
      </c>
      <c r="G32">
        <v>0.8</v>
      </c>
      <c r="H32">
        <v>0.8</v>
      </c>
      <c r="I32">
        <v>0.8</v>
      </c>
      <c r="J32" s="109">
        <v>0.25</v>
      </c>
      <c r="K32" s="109">
        <v>0.05</v>
      </c>
      <c r="Y32"/>
      <c r="AC32"/>
      <c r="AG32"/>
    </row>
    <row r="33" spans="4:33" ht="15" customHeight="1" x14ac:dyDescent="0.15">
      <c r="D33">
        <v>32</v>
      </c>
      <c r="E33" s="186" t="s">
        <v>222</v>
      </c>
      <c r="F33">
        <v>0.98</v>
      </c>
      <c r="G33">
        <v>0.8</v>
      </c>
      <c r="H33">
        <v>0.8</v>
      </c>
      <c r="I33">
        <v>0.8</v>
      </c>
      <c r="J33" s="109">
        <v>0.25</v>
      </c>
      <c r="K33" s="109">
        <v>0.05</v>
      </c>
      <c r="Y33"/>
      <c r="AC33"/>
      <c r="AG33"/>
    </row>
    <row r="34" spans="4:33" ht="15" customHeight="1" x14ac:dyDescent="0.15">
      <c r="D34">
        <v>33</v>
      </c>
      <c r="E34" s="186" t="s">
        <v>223</v>
      </c>
      <c r="F34">
        <v>0.98</v>
      </c>
      <c r="G34">
        <v>0.8</v>
      </c>
      <c r="H34">
        <v>0.8</v>
      </c>
      <c r="I34">
        <v>0.8</v>
      </c>
      <c r="J34" s="109">
        <v>0.25</v>
      </c>
      <c r="K34" s="109">
        <v>0.05</v>
      </c>
      <c r="Y34"/>
      <c r="AC34"/>
      <c r="AG34"/>
    </row>
    <row r="35" spans="4:33" ht="15" customHeight="1" x14ac:dyDescent="0.15">
      <c r="D35">
        <v>34</v>
      </c>
      <c r="E35" s="186" t="s">
        <v>224</v>
      </c>
      <c r="F35">
        <v>0.98</v>
      </c>
      <c r="G35">
        <v>0.8</v>
      </c>
      <c r="H35">
        <v>0.8</v>
      </c>
      <c r="I35">
        <v>0.8</v>
      </c>
      <c r="J35" s="109">
        <v>0.25</v>
      </c>
      <c r="K35" s="109">
        <v>0.05</v>
      </c>
      <c r="Y35"/>
      <c r="AC35"/>
      <c r="AG35"/>
    </row>
    <row r="36" spans="4:33" ht="15" customHeight="1" x14ac:dyDescent="0.15">
      <c r="D36">
        <v>35</v>
      </c>
      <c r="E36" s="186" t="s">
        <v>225</v>
      </c>
      <c r="F36">
        <v>0.98</v>
      </c>
      <c r="G36">
        <v>0.8</v>
      </c>
      <c r="H36">
        <v>0.8</v>
      </c>
      <c r="I36">
        <v>0.8</v>
      </c>
      <c r="J36" s="109">
        <v>0.25</v>
      </c>
      <c r="K36" s="109">
        <v>0.05</v>
      </c>
      <c r="Y36"/>
      <c r="AC36"/>
      <c r="AG36"/>
    </row>
    <row r="37" spans="4:33" ht="15" customHeight="1" x14ac:dyDescent="0.15">
      <c r="D37">
        <v>36</v>
      </c>
      <c r="E37" s="186" t="s">
        <v>226</v>
      </c>
      <c r="F37">
        <v>0.98</v>
      </c>
      <c r="G37">
        <v>0.8</v>
      </c>
      <c r="H37">
        <v>0.8</v>
      </c>
      <c r="I37">
        <v>0.8</v>
      </c>
      <c r="J37" s="109">
        <v>0.25</v>
      </c>
      <c r="K37" s="109">
        <v>0.05</v>
      </c>
      <c r="Y37"/>
      <c r="AC37"/>
      <c r="AG37"/>
    </row>
    <row r="38" spans="4:33" ht="15" customHeight="1" x14ac:dyDescent="0.15">
      <c r="D38">
        <v>37</v>
      </c>
      <c r="E38" s="186" t="s">
        <v>227</v>
      </c>
      <c r="F38">
        <v>0.98</v>
      </c>
      <c r="G38">
        <v>0.8</v>
      </c>
      <c r="H38">
        <v>0.8</v>
      </c>
      <c r="I38">
        <v>0.8</v>
      </c>
      <c r="J38" s="109">
        <v>0.25</v>
      </c>
      <c r="K38" s="109">
        <v>0.05</v>
      </c>
      <c r="Y38"/>
      <c r="AC38"/>
      <c r="AG38"/>
    </row>
    <row r="39" spans="4:33" ht="15" customHeight="1" x14ac:dyDescent="0.15">
      <c r="D39">
        <v>38</v>
      </c>
      <c r="E39" s="186" t="s">
        <v>228</v>
      </c>
      <c r="F39">
        <v>0.98</v>
      </c>
      <c r="G39">
        <v>0.8</v>
      </c>
      <c r="H39">
        <v>0.8</v>
      </c>
      <c r="I39">
        <v>0.8</v>
      </c>
      <c r="J39" s="109">
        <v>0.25</v>
      </c>
      <c r="K39" s="109">
        <v>0.05</v>
      </c>
    </row>
    <row r="40" spans="4:33" ht="15" customHeight="1" x14ac:dyDescent="0.15">
      <c r="D40">
        <v>39</v>
      </c>
      <c r="E40" s="186" t="s">
        <v>229</v>
      </c>
      <c r="F40">
        <v>0.98</v>
      </c>
      <c r="G40">
        <v>0.8</v>
      </c>
      <c r="H40">
        <v>0.8</v>
      </c>
      <c r="I40">
        <v>0.8</v>
      </c>
      <c r="J40" s="109">
        <v>0.25</v>
      </c>
      <c r="K40" s="109">
        <v>0.05</v>
      </c>
      <c r="Y40"/>
      <c r="AC40"/>
      <c r="AG40"/>
    </row>
    <row r="41" spans="4:33" ht="15" customHeight="1" x14ac:dyDescent="0.15">
      <c r="D41">
        <v>40</v>
      </c>
      <c r="E41" s="186" t="s">
        <v>230</v>
      </c>
      <c r="F41">
        <v>0.98</v>
      </c>
      <c r="G41">
        <v>0.8</v>
      </c>
      <c r="H41">
        <v>0.8</v>
      </c>
      <c r="I41">
        <v>0.8</v>
      </c>
      <c r="J41" s="109">
        <v>0.25</v>
      </c>
      <c r="K41" s="109">
        <v>0.05</v>
      </c>
      <c r="Y41"/>
      <c r="AC41"/>
      <c r="AG41"/>
    </row>
    <row r="42" spans="4:33" ht="15" customHeight="1" x14ac:dyDescent="0.15">
      <c r="D42">
        <v>41</v>
      </c>
      <c r="E42" s="186" t="s">
        <v>231</v>
      </c>
      <c r="F42">
        <v>0.98</v>
      </c>
      <c r="G42">
        <v>0.8</v>
      </c>
      <c r="H42">
        <v>0.8</v>
      </c>
      <c r="I42">
        <v>0.8</v>
      </c>
      <c r="J42" s="109">
        <v>0.25</v>
      </c>
      <c r="K42" s="109">
        <v>0.05</v>
      </c>
      <c r="Y42"/>
      <c r="AC42"/>
      <c r="AG42"/>
    </row>
    <row r="43" spans="4:33" ht="15" customHeight="1" x14ac:dyDescent="0.15">
      <c r="D43">
        <v>42</v>
      </c>
      <c r="E43" s="186" t="s">
        <v>232</v>
      </c>
      <c r="F43">
        <v>0.98</v>
      </c>
      <c r="G43">
        <v>0.8</v>
      </c>
      <c r="H43">
        <v>0.8</v>
      </c>
      <c r="I43">
        <v>0.8</v>
      </c>
      <c r="J43" s="109">
        <v>0.25</v>
      </c>
      <c r="K43" s="109">
        <v>0.05</v>
      </c>
      <c r="Y43"/>
      <c r="AC43"/>
      <c r="AG43"/>
    </row>
    <row r="44" spans="4:33" ht="15" customHeight="1" x14ac:dyDescent="0.15">
      <c r="D44">
        <v>43</v>
      </c>
      <c r="E44" s="186" t="s">
        <v>233</v>
      </c>
      <c r="F44">
        <v>0.98</v>
      </c>
      <c r="G44">
        <v>0.8</v>
      </c>
      <c r="H44">
        <v>0.8</v>
      </c>
      <c r="I44">
        <v>0.8</v>
      </c>
      <c r="J44" s="109">
        <v>0.25</v>
      </c>
      <c r="K44" s="109">
        <v>0.05</v>
      </c>
      <c r="Y44"/>
      <c r="AC44"/>
      <c r="AG44"/>
    </row>
    <row r="45" spans="4:33" ht="15" customHeight="1" x14ac:dyDescent="0.15">
      <c r="D45">
        <v>44</v>
      </c>
      <c r="E45" s="186" t="s">
        <v>234</v>
      </c>
      <c r="F45">
        <v>0.98</v>
      </c>
      <c r="G45">
        <v>0.8</v>
      </c>
      <c r="H45">
        <v>0</v>
      </c>
      <c r="I45">
        <v>0</v>
      </c>
      <c r="J45" s="109">
        <v>0</v>
      </c>
      <c r="K45" s="109">
        <v>0</v>
      </c>
      <c r="Y45"/>
      <c r="AC45"/>
      <c r="AG45"/>
    </row>
    <row r="46" spans="4:33" ht="15" customHeight="1" x14ac:dyDescent="0.15">
      <c r="D46">
        <v>45</v>
      </c>
      <c r="E46" s="186" t="s">
        <v>235</v>
      </c>
      <c r="F46">
        <v>0.98</v>
      </c>
      <c r="G46">
        <v>0.8</v>
      </c>
      <c r="H46">
        <v>0</v>
      </c>
      <c r="I46">
        <v>0</v>
      </c>
      <c r="J46" s="109">
        <v>0</v>
      </c>
      <c r="K46" s="109">
        <v>0</v>
      </c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T47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" width="2.33203125" style="107" customWidth="1"/>
    <col min="4" max="44" width="3.83203125" style="107" customWidth="1"/>
    <col min="45" max="46" width="2.33203125" style="107" customWidth="1"/>
    <col min="47" max="16384" width="10.83203125" style="107"/>
  </cols>
  <sheetData>
    <row r="1" spans="1:46" x14ac:dyDescent="0.15">
      <c r="A1" s="62" t="s">
        <v>118</v>
      </c>
      <c r="B1" s="188" t="s">
        <v>192</v>
      </c>
      <c r="C1" s="188" t="s">
        <v>67</v>
      </c>
      <c r="D1" s="188" t="s">
        <v>193</v>
      </c>
      <c r="E1" s="188" t="s">
        <v>194</v>
      </c>
      <c r="F1" s="188" t="s">
        <v>195</v>
      </c>
      <c r="G1" s="188" t="s">
        <v>196</v>
      </c>
      <c r="H1" s="188" t="s">
        <v>197</v>
      </c>
      <c r="I1" s="188" t="s">
        <v>198</v>
      </c>
      <c r="J1" s="188" t="s">
        <v>199</v>
      </c>
      <c r="K1" s="188" t="s">
        <v>200</v>
      </c>
      <c r="L1" s="188" t="s">
        <v>201</v>
      </c>
      <c r="M1" s="188" t="s">
        <v>202</v>
      </c>
      <c r="N1" s="188" t="s">
        <v>203</v>
      </c>
      <c r="O1" s="188" t="s">
        <v>204</v>
      </c>
      <c r="P1" s="188" t="s">
        <v>205</v>
      </c>
      <c r="Q1" s="188" t="s">
        <v>206</v>
      </c>
      <c r="R1" s="188" t="s">
        <v>207</v>
      </c>
      <c r="S1" s="188" t="s">
        <v>208</v>
      </c>
      <c r="T1" s="188" t="s">
        <v>209</v>
      </c>
      <c r="U1" s="188" t="s">
        <v>210</v>
      </c>
      <c r="V1" s="188" t="s">
        <v>211</v>
      </c>
      <c r="W1" s="188" t="s">
        <v>212</v>
      </c>
      <c r="X1" s="188" t="s">
        <v>213</v>
      </c>
      <c r="Y1" s="188" t="s">
        <v>214</v>
      </c>
      <c r="Z1" s="188" t="s">
        <v>215</v>
      </c>
      <c r="AA1" s="188" t="s">
        <v>216</v>
      </c>
      <c r="AB1" s="188" t="s">
        <v>217</v>
      </c>
      <c r="AC1" s="188" t="s">
        <v>218</v>
      </c>
      <c r="AD1" s="188" t="s">
        <v>219</v>
      </c>
      <c r="AE1" s="188" t="s">
        <v>220</v>
      </c>
      <c r="AF1" s="188" t="s">
        <v>221</v>
      </c>
      <c r="AG1" s="188" t="s">
        <v>222</v>
      </c>
      <c r="AH1" s="188" t="s">
        <v>223</v>
      </c>
      <c r="AI1" s="188" t="s">
        <v>224</v>
      </c>
      <c r="AJ1" s="188" t="s">
        <v>225</v>
      </c>
      <c r="AK1" s="188" t="s">
        <v>226</v>
      </c>
      <c r="AL1" s="188" t="s">
        <v>227</v>
      </c>
      <c r="AM1" s="188" t="s">
        <v>228</v>
      </c>
      <c r="AN1" s="188" t="s">
        <v>229</v>
      </c>
      <c r="AO1" s="188" t="s">
        <v>230</v>
      </c>
      <c r="AP1" s="188" t="s">
        <v>231</v>
      </c>
      <c r="AQ1" s="188" t="s">
        <v>232</v>
      </c>
      <c r="AR1" s="188" t="s">
        <v>233</v>
      </c>
      <c r="AS1" s="188" t="s">
        <v>234</v>
      </c>
      <c r="AT1" s="188" t="s">
        <v>235</v>
      </c>
    </row>
    <row r="2" spans="1:46" customFormat="1" x14ac:dyDescent="0.15">
      <c r="A2" s="187" t="s">
        <v>192</v>
      </c>
      <c r="B2" s="107">
        <v>0</v>
      </c>
      <c r="C2" s="107">
        <v>0</v>
      </c>
      <c r="D2" s="107">
        <v>0.8</v>
      </c>
      <c r="E2" s="107">
        <v>0.8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0.8</v>
      </c>
      <c r="M2" s="107">
        <v>0</v>
      </c>
      <c r="N2" s="107">
        <v>0.8</v>
      </c>
      <c r="O2" s="107">
        <v>0</v>
      </c>
      <c r="P2" s="107">
        <v>0</v>
      </c>
      <c r="Q2" s="107">
        <v>0.8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0.8</v>
      </c>
      <c r="AC2" s="107">
        <v>0.8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  <c r="AI2" s="107">
        <v>0</v>
      </c>
      <c r="AJ2" s="107">
        <v>0</v>
      </c>
      <c r="AK2" s="107">
        <v>0</v>
      </c>
      <c r="AL2" s="107">
        <v>0.8</v>
      </c>
      <c r="AM2" s="107">
        <v>0</v>
      </c>
      <c r="AN2" s="107">
        <v>0</v>
      </c>
      <c r="AO2" s="107">
        <v>0</v>
      </c>
      <c r="AP2" s="107">
        <v>0</v>
      </c>
      <c r="AQ2" s="107">
        <v>0</v>
      </c>
      <c r="AR2" s="107">
        <v>0</v>
      </c>
      <c r="AS2" s="107">
        <v>0</v>
      </c>
      <c r="AT2" s="107">
        <v>0</v>
      </c>
    </row>
    <row r="3" spans="1:46" customFormat="1" x14ac:dyDescent="0.15">
      <c r="A3" s="187" t="s">
        <v>67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0.8</v>
      </c>
      <c r="M3" s="107">
        <v>0</v>
      </c>
      <c r="N3" s="107">
        <v>0.8</v>
      </c>
      <c r="O3" s="107">
        <v>0.8</v>
      </c>
      <c r="P3" s="107">
        <v>0.8</v>
      </c>
      <c r="Q3" s="107">
        <v>0.8</v>
      </c>
      <c r="R3" s="107">
        <v>0.8</v>
      </c>
      <c r="S3" s="107">
        <v>0.8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0.8</v>
      </c>
      <c r="AB3" s="107">
        <v>0</v>
      </c>
      <c r="AC3" s="107">
        <v>0.8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0.8</v>
      </c>
      <c r="AK3" s="107">
        <v>0</v>
      </c>
      <c r="AL3" s="107">
        <v>0.8</v>
      </c>
      <c r="AM3" s="107">
        <v>0</v>
      </c>
      <c r="AN3" s="107">
        <v>0</v>
      </c>
      <c r="AO3" s="107">
        <v>0</v>
      </c>
      <c r="AP3" s="107">
        <v>0</v>
      </c>
      <c r="AQ3" s="107">
        <v>0</v>
      </c>
      <c r="AR3" s="107">
        <v>0</v>
      </c>
      <c r="AS3" s="107">
        <v>0</v>
      </c>
      <c r="AT3" s="107">
        <v>0</v>
      </c>
    </row>
    <row r="4" spans="1:46" customFormat="1" x14ac:dyDescent="0.15">
      <c r="A4" s="187" t="s">
        <v>193</v>
      </c>
      <c r="B4" s="107">
        <v>0</v>
      </c>
      <c r="C4" s="107">
        <v>0</v>
      </c>
      <c r="D4" s="107">
        <v>0</v>
      </c>
      <c r="E4" s="107">
        <v>0.8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0.8</v>
      </c>
      <c r="L4" s="107">
        <v>0.8</v>
      </c>
      <c r="M4" s="107">
        <v>0</v>
      </c>
      <c r="N4" s="107">
        <v>0.8</v>
      </c>
      <c r="O4" s="107">
        <v>0.8</v>
      </c>
      <c r="P4" s="107">
        <v>0.8</v>
      </c>
      <c r="Q4" s="107">
        <v>0.8</v>
      </c>
      <c r="R4" s="107">
        <v>0.8</v>
      </c>
      <c r="S4" s="107">
        <v>0</v>
      </c>
      <c r="T4" s="107">
        <v>0</v>
      </c>
      <c r="U4" s="107">
        <v>0</v>
      </c>
      <c r="V4" s="107">
        <v>0.8</v>
      </c>
      <c r="W4" s="107">
        <v>0</v>
      </c>
      <c r="X4" s="107">
        <v>0</v>
      </c>
      <c r="Y4" s="107">
        <v>0</v>
      </c>
      <c r="Z4" s="107">
        <v>0.8</v>
      </c>
      <c r="AA4" s="107">
        <v>0</v>
      </c>
      <c r="AB4" s="107">
        <v>0.8</v>
      </c>
      <c r="AC4" s="107">
        <v>0.8</v>
      </c>
      <c r="AD4" s="107">
        <v>0</v>
      </c>
      <c r="AE4" s="107">
        <v>0</v>
      </c>
      <c r="AF4" s="107">
        <v>0.8</v>
      </c>
      <c r="AG4" s="107">
        <v>0</v>
      </c>
      <c r="AH4" s="107">
        <v>0.8</v>
      </c>
      <c r="AI4" s="107">
        <v>0</v>
      </c>
      <c r="AJ4" s="107">
        <v>0</v>
      </c>
      <c r="AK4" s="107">
        <v>0</v>
      </c>
      <c r="AL4" s="107">
        <v>0.8</v>
      </c>
      <c r="AM4" s="107">
        <v>0</v>
      </c>
      <c r="AN4" s="107">
        <v>0</v>
      </c>
      <c r="AO4" s="107">
        <v>0</v>
      </c>
      <c r="AP4" s="107">
        <v>0</v>
      </c>
      <c r="AQ4" s="107">
        <v>0</v>
      </c>
      <c r="AR4" s="107">
        <v>0</v>
      </c>
      <c r="AS4" s="107">
        <v>0</v>
      </c>
      <c r="AT4" s="107">
        <v>0</v>
      </c>
    </row>
    <row r="5" spans="1:46" customFormat="1" x14ac:dyDescent="0.15">
      <c r="A5" s="187" t="s">
        <v>194</v>
      </c>
      <c r="B5" s="107">
        <v>0</v>
      </c>
      <c r="C5" s="107">
        <v>0</v>
      </c>
      <c r="D5" s="107">
        <v>0</v>
      </c>
      <c r="E5" s="107">
        <v>0.8</v>
      </c>
      <c r="F5" s="107">
        <v>0.8</v>
      </c>
      <c r="G5" s="107">
        <v>0</v>
      </c>
      <c r="H5" s="107">
        <v>0.8</v>
      </c>
      <c r="I5" s="107">
        <v>0.8</v>
      </c>
      <c r="J5" s="107">
        <v>0.8</v>
      </c>
      <c r="K5" s="107">
        <v>0.8</v>
      </c>
      <c r="L5" s="107">
        <v>0</v>
      </c>
      <c r="M5" s="107">
        <v>0</v>
      </c>
      <c r="N5" s="107">
        <v>0</v>
      </c>
      <c r="O5" s="107">
        <v>0.8</v>
      </c>
      <c r="P5" s="107">
        <v>0.8</v>
      </c>
      <c r="Q5" s="107">
        <v>0</v>
      </c>
      <c r="R5" s="107">
        <v>0.8</v>
      </c>
      <c r="S5" s="107">
        <v>0.8</v>
      </c>
      <c r="T5" s="107">
        <v>0</v>
      </c>
      <c r="U5" s="107">
        <v>0</v>
      </c>
      <c r="V5" s="107">
        <v>0.8</v>
      </c>
      <c r="W5" s="107">
        <v>0.8</v>
      </c>
      <c r="X5" s="107">
        <v>0</v>
      </c>
      <c r="Y5" s="107">
        <v>0.8</v>
      </c>
      <c r="Z5" s="107">
        <v>0</v>
      </c>
      <c r="AA5" s="107">
        <v>0.8</v>
      </c>
      <c r="AB5" s="107">
        <v>0</v>
      </c>
      <c r="AC5" s="107">
        <v>0.8</v>
      </c>
      <c r="AD5" s="107">
        <v>0.8</v>
      </c>
      <c r="AE5" s="107">
        <v>0</v>
      </c>
      <c r="AF5" s="107">
        <v>0.8</v>
      </c>
      <c r="AG5" s="107">
        <v>0.8</v>
      </c>
      <c r="AH5" s="107">
        <v>0.8</v>
      </c>
      <c r="AI5" s="107">
        <v>0.8</v>
      </c>
      <c r="AJ5" s="107">
        <v>0.8</v>
      </c>
      <c r="AK5" s="107">
        <v>0.8</v>
      </c>
      <c r="AL5" s="107">
        <v>0</v>
      </c>
      <c r="AM5" s="107">
        <v>0.8</v>
      </c>
      <c r="AN5" s="107">
        <v>0.8</v>
      </c>
      <c r="AO5" s="107">
        <v>0.8</v>
      </c>
      <c r="AP5" s="107">
        <v>0.8</v>
      </c>
      <c r="AQ5" s="107">
        <v>0</v>
      </c>
      <c r="AR5" s="107">
        <v>0</v>
      </c>
      <c r="AS5" s="107">
        <v>0</v>
      </c>
      <c r="AT5" s="107">
        <v>0</v>
      </c>
    </row>
    <row r="6" spans="1:46" customFormat="1" x14ac:dyDescent="0.15">
      <c r="A6" s="187" t="s">
        <v>195</v>
      </c>
      <c r="B6" s="107">
        <v>0</v>
      </c>
      <c r="C6" s="107">
        <v>0</v>
      </c>
      <c r="D6" s="107">
        <v>0</v>
      </c>
      <c r="E6" s="107">
        <v>0</v>
      </c>
      <c r="F6" s="107">
        <v>0.8</v>
      </c>
      <c r="G6" s="107">
        <v>0</v>
      </c>
      <c r="H6" s="107">
        <v>0.8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0.8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0.8</v>
      </c>
      <c r="AD6" s="107">
        <v>0.8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  <c r="AL6" s="107">
        <v>0</v>
      </c>
      <c r="AM6" s="107">
        <v>0</v>
      </c>
      <c r="AN6" s="107">
        <v>0</v>
      </c>
      <c r="AO6" s="107">
        <v>0.8</v>
      </c>
      <c r="AP6" s="107">
        <v>0</v>
      </c>
      <c r="AQ6" s="107">
        <v>0.8</v>
      </c>
      <c r="AR6" s="107">
        <v>0</v>
      </c>
      <c r="AS6" s="107">
        <v>0</v>
      </c>
      <c r="AT6" s="107">
        <v>0</v>
      </c>
    </row>
    <row r="7" spans="1:46" customFormat="1" x14ac:dyDescent="0.15">
      <c r="A7" s="187" t="s">
        <v>196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0.8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0.8</v>
      </c>
      <c r="T7" s="107">
        <v>0.8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0.8</v>
      </c>
      <c r="AB7" s="107">
        <v>0</v>
      </c>
      <c r="AC7" s="107">
        <v>0.8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  <c r="AL7" s="107">
        <v>0.8</v>
      </c>
      <c r="AM7" s="107">
        <v>0</v>
      </c>
      <c r="AN7" s="107">
        <v>0</v>
      </c>
      <c r="AO7" s="107">
        <v>0</v>
      </c>
      <c r="AP7" s="107">
        <v>0</v>
      </c>
      <c r="AQ7" s="107">
        <v>0</v>
      </c>
      <c r="AR7" s="107">
        <v>0</v>
      </c>
      <c r="AS7" s="107">
        <v>0</v>
      </c>
      <c r="AT7" s="107">
        <v>0</v>
      </c>
    </row>
    <row r="8" spans="1:46" customFormat="1" x14ac:dyDescent="0.15">
      <c r="A8" s="187" t="s">
        <v>197</v>
      </c>
      <c r="B8" s="107">
        <v>0</v>
      </c>
      <c r="C8" s="107">
        <v>0</v>
      </c>
      <c r="D8" s="107">
        <v>0</v>
      </c>
      <c r="E8" s="107">
        <v>0</v>
      </c>
      <c r="F8" s="107">
        <v>0.8</v>
      </c>
      <c r="G8" s="107">
        <v>0.8</v>
      </c>
      <c r="H8" s="107">
        <v>0.8</v>
      </c>
      <c r="I8" s="107">
        <v>0.8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0.8</v>
      </c>
      <c r="Q8" s="107">
        <v>0</v>
      </c>
      <c r="R8" s="107">
        <v>0.8</v>
      </c>
      <c r="S8" s="107">
        <v>0</v>
      </c>
      <c r="T8" s="107">
        <v>0.8</v>
      </c>
      <c r="U8" s="107">
        <v>0</v>
      </c>
      <c r="V8" s="107">
        <v>0.8</v>
      </c>
      <c r="W8" s="107">
        <v>0.8</v>
      </c>
      <c r="X8" s="107">
        <v>0.8</v>
      </c>
      <c r="Y8" s="107">
        <v>0.8</v>
      </c>
      <c r="Z8" s="107">
        <v>0.8</v>
      </c>
      <c r="AA8" s="107">
        <v>0</v>
      </c>
      <c r="AB8" s="107">
        <v>0</v>
      </c>
      <c r="AC8" s="107">
        <v>0.8</v>
      </c>
      <c r="AD8" s="107">
        <v>0</v>
      </c>
      <c r="AE8" s="107">
        <v>0.8</v>
      </c>
      <c r="AF8" s="107">
        <v>0</v>
      </c>
      <c r="AG8" s="107">
        <v>0</v>
      </c>
      <c r="AH8" s="107">
        <v>0.8</v>
      </c>
      <c r="AI8" s="107">
        <v>0.8</v>
      </c>
      <c r="AJ8" s="107">
        <v>0.8</v>
      </c>
      <c r="AK8" s="107">
        <v>0.8</v>
      </c>
      <c r="AL8" s="107">
        <v>0.8</v>
      </c>
      <c r="AM8" s="107">
        <v>0.8</v>
      </c>
      <c r="AN8" s="107">
        <v>0</v>
      </c>
      <c r="AO8" s="107">
        <v>0.8</v>
      </c>
      <c r="AP8" s="107">
        <v>0.8</v>
      </c>
      <c r="AQ8" s="107">
        <v>0.8</v>
      </c>
      <c r="AR8" s="107">
        <v>0.8</v>
      </c>
      <c r="AS8" s="107">
        <v>0</v>
      </c>
      <c r="AT8" s="107">
        <v>0</v>
      </c>
    </row>
    <row r="9" spans="1:46" customFormat="1" x14ac:dyDescent="0.15">
      <c r="A9" s="187" t="s">
        <v>198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0.8</v>
      </c>
      <c r="AJ9" s="107">
        <v>0</v>
      </c>
      <c r="AK9" s="107">
        <v>0</v>
      </c>
      <c r="AL9" s="107">
        <v>0</v>
      </c>
      <c r="AM9" s="107">
        <v>0</v>
      </c>
      <c r="AN9" s="107">
        <v>0</v>
      </c>
      <c r="AO9" s="107">
        <v>0</v>
      </c>
      <c r="AP9" s="107">
        <v>0.8</v>
      </c>
      <c r="AQ9" s="107">
        <v>0.8</v>
      </c>
      <c r="AR9" s="107">
        <v>0.8</v>
      </c>
      <c r="AS9" s="107">
        <v>0</v>
      </c>
      <c r="AT9" s="107">
        <v>0</v>
      </c>
    </row>
    <row r="10" spans="1:46" customFormat="1" x14ac:dyDescent="0.15">
      <c r="A10" s="187" t="s">
        <v>199</v>
      </c>
      <c r="B10" s="107">
        <v>0</v>
      </c>
      <c r="C10" s="107">
        <v>0</v>
      </c>
      <c r="D10" s="107">
        <v>0</v>
      </c>
      <c r="E10" s="107">
        <v>0</v>
      </c>
      <c r="F10" s="107">
        <v>0</v>
      </c>
      <c r="G10" s="107">
        <v>0.8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0.8</v>
      </c>
      <c r="T10" s="107">
        <v>0.8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  <c r="AL10" s="107">
        <v>0</v>
      </c>
      <c r="AM10" s="107">
        <v>0</v>
      </c>
      <c r="AN10" s="107">
        <v>0</v>
      </c>
      <c r="AO10" s="107">
        <v>0</v>
      </c>
      <c r="AP10" s="107">
        <v>0</v>
      </c>
      <c r="AQ10" s="107">
        <v>0.8</v>
      </c>
      <c r="AR10" s="107">
        <v>0</v>
      </c>
      <c r="AS10" s="107">
        <v>0</v>
      </c>
      <c r="AT10" s="107">
        <v>0</v>
      </c>
    </row>
    <row r="11" spans="1:46" customFormat="1" x14ac:dyDescent="0.15">
      <c r="A11" s="187" t="s">
        <v>200</v>
      </c>
      <c r="B11" s="107">
        <v>0</v>
      </c>
      <c r="C11" s="107">
        <v>0</v>
      </c>
      <c r="D11" s="107">
        <v>0</v>
      </c>
      <c r="E11" s="107">
        <v>0</v>
      </c>
      <c r="F11" s="107">
        <v>0.8</v>
      </c>
      <c r="G11" s="107">
        <v>0.8</v>
      </c>
      <c r="H11" s="107">
        <v>0</v>
      </c>
      <c r="I11" s="107">
        <v>0</v>
      </c>
      <c r="J11" s="107">
        <v>0.8</v>
      </c>
      <c r="K11" s="107">
        <v>0.8</v>
      </c>
      <c r="L11" s="107">
        <v>0</v>
      </c>
      <c r="M11" s="107">
        <v>0</v>
      </c>
      <c r="N11" s="107">
        <v>0</v>
      </c>
      <c r="O11" s="107">
        <v>0.8</v>
      </c>
      <c r="P11" s="107">
        <v>0.8</v>
      </c>
      <c r="Q11" s="107">
        <v>0</v>
      </c>
      <c r="R11" s="107">
        <v>0.8</v>
      </c>
      <c r="S11" s="107">
        <v>0.8</v>
      </c>
      <c r="T11" s="107">
        <v>0.8</v>
      </c>
      <c r="U11" s="107">
        <v>0.8</v>
      </c>
      <c r="V11" s="107">
        <v>0.8</v>
      </c>
      <c r="W11" s="107">
        <v>0.8</v>
      </c>
      <c r="X11" s="107">
        <v>0.8</v>
      </c>
      <c r="Y11" s="107">
        <v>0.8</v>
      </c>
      <c r="Z11" s="107">
        <v>0.8</v>
      </c>
      <c r="AA11" s="107">
        <v>0.8</v>
      </c>
      <c r="AB11" s="107">
        <v>0</v>
      </c>
      <c r="AC11" s="107">
        <v>0.8</v>
      </c>
      <c r="AD11" s="107">
        <v>0</v>
      </c>
      <c r="AE11" s="107">
        <v>0</v>
      </c>
      <c r="AF11" s="107">
        <v>0</v>
      </c>
      <c r="AG11" s="107">
        <v>0.8</v>
      </c>
      <c r="AH11" s="107">
        <v>0.8</v>
      </c>
      <c r="AI11" s="107">
        <v>0.8</v>
      </c>
      <c r="AJ11" s="107">
        <v>0.8</v>
      </c>
      <c r="AK11" s="107">
        <v>0.8</v>
      </c>
      <c r="AL11" s="107">
        <v>0.8</v>
      </c>
      <c r="AM11" s="107">
        <v>0</v>
      </c>
      <c r="AN11" s="107">
        <v>0</v>
      </c>
      <c r="AO11" s="107">
        <v>0.8</v>
      </c>
      <c r="AP11" s="107">
        <v>0</v>
      </c>
      <c r="AQ11" s="107">
        <v>0.8</v>
      </c>
      <c r="AR11" s="107">
        <v>0</v>
      </c>
      <c r="AS11" s="107">
        <v>0</v>
      </c>
      <c r="AT11" s="107">
        <v>0</v>
      </c>
    </row>
    <row r="12" spans="1:46" customFormat="1" x14ac:dyDescent="0.15">
      <c r="A12" s="187" t="s">
        <v>201</v>
      </c>
      <c r="B12" s="107">
        <v>0</v>
      </c>
      <c r="C12" s="107">
        <v>0</v>
      </c>
      <c r="D12" s="107">
        <v>0</v>
      </c>
      <c r="E12" s="107">
        <v>0</v>
      </c>
      <c r="F12" s="107">
        <v>0.8</v>
      </c>
      <c r="G12" s="107">
        <v>0.8</v>
      </c>
      <c r="H12" s="107">
        <v>0</v>
      </c>
      <c r="I12" s="107">
        <v>0</v>
      </c>
      <c r="J12" s="107">
        <v>0.8</v>
      </c>
      <c r="K12" s="107">
        <v>0.8</v>
      </c>
      <c r="L12" s="107">
        <v>0.8</v>
      </c>
      <c r="M12" s="107">
        <v>0</v>
      </c>
      <c r="N12" s="107">
        <v>0.8</v>
      </c>
      <c r="O12" s="107">
        <v>0.8</v>
      </c>
      <c r="P12" s="107">
        <v>0.8</v>
      </c>
      <c r="Q12" s="107">
        <v>0.8</v>
      </c>
      <c r="R12" s="107">
        <v>0.8</v>
      </c>
      <c r="S12" s="107">
        <v>0.8</v>
      </c>
      <c r="T12" s="107">
        <v>0.8</v>
      </c>
      <c r="U12" s="107">
        <v>0.8</v>
      </c>
      <c r="V12" s="107">
        <v>0.8</v>
      </c>
      <c r="W12" s="107">
        <v>0.8</v>
      </c>
      <c r="X12" s="107">
        <v>0.8</v>
      </c>
      <c r="Y12" s="107">
        <v>0.8</v>
      </c>
      <c r="Z12" s="107">
        <v>0.8</v>
      </c>
      <c r="AA12" s="107">
        <v>0.8</v>
      </c>
      <c r="AB12" s="107">
        <v>0</v>
      </c>
      <c r="AC12" s="107">
        <v>0.8</v>
      </c>
      <c r="AD12" s="107">
        <v>0</v>
      </c>
      <c r="AE12" s="107">
        <v>0</v>
      </c>
      <c r="AF12" s="107">
        <v>0</v>
      </c>
      <c r="AG12" s="107">
        <v>0.8</v>
      </c>
      <c r="AH12" s="107">
        <v>0.8</v>
      </c>
      <c r="AI12" s="107">
        <v>0.8</v>
      </c>
      <c r="AJ12" s="107">
        <v>0.8</v>
      </c>
      <c r="AK12" s="107">
        <v>0.8</v>
      </c>
      <c r="AL12" s="107">
        <v>0.8</v>
      </c>
      <c r="AM12" s="107">
        <v>0.8</v>
      </c>
      <c r="AN12" s="107">
        <v>0</v>
      </c>
      <c r="AO12" s="107">
        <v>0.8</v>
      </c>
      <c r="AP12" s="107">
        <v>0</v>
      </c>
      <c r="AQ12" s="107">
        <v>0.8</v>
      </c>
      <c r="AR12" s="107">
        <v>0</v>
      </c>
      <c r="AS12" s="107">
        <v>0</v>
      </c>
      <c r="AT12" s="107">
        <v>0</v>
      </c>
    </row>
    <row r="13" spans="1:46" customFormat="1" x14ac:dyDescent="0.15">
      <c r="A13" s="187" t="s">
        <v>202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0.8</v>
      </c>
      <c r="H13" s="107">
        <v>0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0.8</v>
      </c>
      <c r="P13" s="107">
        <v>0.8</v>
      </c>
      <c r="Q13" s="107">
        <v>0</v>
      </c>
      <c r="R13" s="107">
        <v>0.8</v>
      </c>
      <c r="S13" s="107">
        <v>0</v>
      </c>
      <c r="T13" s="107">
        <v>0</v>
      </c>
      <c r="U13" s="107">
        <v>0.8</v>
      </c>
      <c r="V13" s="107">
        <v>0</v>
      </c>
      <c r="W13" s="107">
        <v>0</v>
      </c>
      <c r="X13" s="107">
        <v>0</v>
      </c>
      <c r="Y13" s="107">
        <v>0</v>
      </c>
      <c r="Z13" s="107">
        <v>0.8</v>
      </c>
      <c r="AA13" s="107">
        <v>0</v>
      </c>
      <c r="AB13" s="107">
        <v>0</v>
      </c>
      <c r="AC13" s="107">
        <v>0.8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0</v>
      </c>
      <c r="AN13" s="107">
        <v>0</v>
      </c>
      <c r="AO13" s="107">
        <v>0</v>
      </c>
      <c r="AP13" s="107">
        <v>0</v>
      </c>
      <c r="AQ13" s="107">
        <v>0</v>
      </c>
      <c r="AR13" s="107">
        <v>0</v>
      </c>
      <c r="AS13" s="107">
        <v>0</v>
      </c>
      <c r="AT13" s="107">
        <v>0</v>
      </c>
    </row>
    <row r="14" spans="1:46" customFormat="1" x14ac:dyDescent="0.15">
      <c r="A14" s="187" t="s">
        <v>203</v>
      </c>
      <c r="B14" s="107">
        <v>0</v>
      </c>
      <c r="C14" s="107">
        <v>0</v>
      </c>
      <c r="D14" s="107">
        <v>0</v>
      </c>
      <c r="E14" s="107">
        <v>0</v>
      </c>
      <c r="F14" s="107">
        <v>0.8</v>
      </c>
      <c r="G14" s="107">
        <v>0</v>
      </c>
      <c r="H14" s="107">
        <v>0</v>
      </c>
      <c r="I14" s="107">
        <v>0</v>
      </c>
      <c r="J14" s="107">
        <v>0.8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0.8</v>
      </c>
      <c r="Q14" s="107">
        <v>0</v>
      </c>
      <c r="R14" s="107">
        <v>0</v>
      </c>
      <c r="S14" s="107">
        <v>0.8</v>
      </c>
      <c r="T14" s="107">
        <v>0.8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  <c r="AL14" s="107">
        <v>0</v>
      </c>
      <c r="AM14" s="107">
        <v>0</v>
      </c>
      <c r="AN14" s="107">
        <v>0</v>
      </c>
      <c r="AO14" s="107">
        <v>0</v>
      </c>
      <c r="AP14" s="107">
        <v>0</v>
      </c>
      <c r="AQ14" s="107">
        <v>0</v>
      </c>
      <c r="AR14" s="107">
        <v>0</v>
      </c>
      <c r="AS14" s="107">
        <v>0</v>
      </c>
      <c r="AT14" s="107">
        <v>0</v>
      </c>
    </row>
    <row r="15" spans="1:46" customFormat="1" x14ac:dyDescent="0.15">
      <c r="A15" s="187" t="s">
        <v>204</v>
      </c>
      <c r="B15" s="107">
        <v>0</v>
      </c>
      <c r="C15" s="107">
        <v>0</v>
      </c>
      <c r="D15" s="107">
        <v>0</v>
      </c>
      <c r="E15" s="107">
        <v>0</v>
      </c>
      <c r="F15" s="107">
        <v>0.8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0.8</v>
      </c>
      <c r="P15" s="107">
        <v>0.8</v>
      </c>
      <c r="Q15" s="107">
        <v>0</v>
      </c>
      <c r="R15" s="107">
        <v>0.8</v>
      </c>
      <c r="S15" s="107">
        <v>0.8</v>
      </c>
      <c r="T15" s="107">
        <v>0.8</v>
      </c>
      <c r="U15" s="107">
        <v>0</v>
      </c>
      <c r="V15" s="107">
        <v>0</v>
      </c>
      <c r="W15" s="107">
        <v>0</v>
      </c>
      <c r="X15" s="107">
        <v>0.8</v>
      </c>
      <c r="Y15" s="107">
        <v>0</v>
      </c>
      <c r="Z15" s="107">
        <v>0.8</v>
      </c>
      <c r="AA15" s="107">
        <v>0.8</v>
      </c>
      <c r="AB15" s="107">
        <v>0</v>
      </c>
      <c r="AC15" s="107">
        <v>0</v>
      </c>
      <c r="AD15" s="107">
        <v>0.8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0.8</v>
      </c>
      <c r="AK15" s="107">
        <v>0</v>
      </c>
      <c r="AL15" s="107">
        <v>0</v>
      </c>
      <c r="AM15" s="107">
        <v>0</v>
      </c>
      <c r="AN15" s="107">
        <v>0</v>
      </c>
      <c r="AO15" s="107">
        <v>0.8</v>
      </c>
      <c r="AP15" s="107">
        <v>0</v>
      </c>
      <c r="AQ15" s="107">
        <v>0</v>
      </c>
      <c r="AR15" s="107">
        <v>0</v>
      </c>
      <c r="AS15" s="107">
        <v>0</v>
      </c>
      <c r="AT15" s="107">
        <v>0</v>
      </c>
    </row>
    <row r="16" spans="1:46" customFormat="1" x14ac:dyDescent="0.15">
      <c r="A16" s="187" t="s">
        <v>205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0.8</v>
      </c>
      <c r="P16" s="107">
        <v>0.8</v>
      </c>
      <c r="Q16" s="107">
        <v>0</v>
      </c>
      <c r="R16" s="107">
        <v>0.8</v>
      </c>
      <c r="S16" s="107">
        <v>0.8</v>
      </c>
      <c r="T16" s="107">
        <v>0.8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0.8</v>
      </c>
      <c r="AA16" s="107">
        <v>0.8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0</v>
      </c>
      <c r="AN16" s="107">
        <v>0</v>
      </c>
      <c r="AO16" s="107">
        <v>0.8</v>
      </c>
      <c r="AP16" s="107">
        <v>0</v>
      </c>
      <c r="AQ16" s="107">
        <v>0.8</v>
      </c>
      <c r="AR16" s="107">
        <v>0</v>
      </c>
      <c r="AS16" s="107">
        <v>0</v>
      </c>
      <c r="AT16" s="107">
        <v>0</v>
      </c>
    </row>
    <row r="17" spans="1:46" customFormat="1" x14ac:dyDescent="0.15">
      <c r="A17" s="187" t="s">
        <v>206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0.8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  <c r="AL17" s="107">
        <v>0</v>
      </c>
      <c r="AM17" s="107">
        <v>0</v>
      </c>
      <c r="AN17" s="107">
        <v>0</v>
      </c>
      <c r="AO17" s="107">
        <v>0</v>
      </c>
      <c r="AP17" s="107">
        <v>0</v>
      </c>
      <c r="AQ17" s="107">
        <v>0</v>
      </c>
      <c r="AR17" s="107">
        <v>0</v>
      </c>
      <c r="AS17" s="107">
        <v>0</v>
      </c>
      <c r="AT17" s="107">
        <v>0</v>
      </c>
    </row>
    <row r="18" spans="1:46" customFormat="1" x14ac:dyDescent="0.15">
      <c r="A18" s="187" t="s">
        <v>207</v>
      </c>
      <c r="B18" s="107">
        <v>0</v>
      </c>
      <c r="C18" s="107">
        <v>0</v>
      </c>
      <c r="D18" s="107">
        <v>0</v>
      </c>
      <c r="E18" s="107">
        <v>0</v>
      </c>
      <c r="F18" s="107">
        <v>0.8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</v>
      </c>
      <c r="Q18" s="107">
        <v>0</v>
      </c>
      <c r="R18" s="107">
        <v>0.8</v>
      </c>
      <c r="S18" s="107">
        <v>0.8</v>
      </c>
      <c r="T18" s="107">
        <v>0.8</v>
      </c>
      <c r="U18" s="107">
        <v>0</v>
      </c>
      <c r="V18" s="107">
        <v>0</v>
      </c>
      <c r="W18" s="107">
        <v>0</v>
      </c>
      <c r="X18" s="107">
        <v>0.8</v>
      </c>
      <c r="Y18" s="107">
        <v>0</v>
      </c>
      <c r="Z18" s="107">
        <v>0.8</v>
      </c>
      <c r="AA18" s="107">
        <v>0</v>
      </c>
      <c r="AB18" s="107">
        <v>0</v>
      </c>
      <c r="AC18" s="107">
        <v>0</v>
      </c>
      <c r="AD18" s="107">
        <v>0.8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0.8</v>
      </c>
      <c r="AK18" s="107">
        <v>0</v>
      </c>
      <c r="AL18" s="107">
        <v>0</v>
      </c>
      <c r="AM18" s="107">
        <v>0</v>
      </c>
      <c r="AN18" s="107">
        <v>0</v>
      </c>
      <c r="AO18" s="107">
        <v>0</v>
      </c>
      <c r="AP18" s="107">
        <v>0</v>
      </c>
      <c r="AQ18" s="107">
        <v>0.8</v>
      </c>
      <c r="AR18" s="107">
        <v>0</v>
      </c>
      <c r="AS18" s="107">
        <v>0</v>
      </c>
      <c r="AT18" s="107">
        <v>0</v>
      </c>
    </row>
    <row r="19" spans="1:46" customFormat="1" x14ac:dyDescent="0.15">
      <c r="A19" s="187" t="s">
        <v>208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0.8</v>
      </c>
      <c r="T19" s="107">
        <v>0.8</v>
      </c>
      <c r="U19" s="107">
        <v>0</v>
      </c>
      <c r="V19" s="107">
        <v>0</v>
      </c>
      <c r="W19" s="107">
        <v>0.8</v>
      </c>
      <c r="X19" s="107">
        <v>0.8</v>
      </c>
      <c r="Y19" s="107">
        <v>0</v>
      </c>
      <c r="Z19" s="107">
        <v>0</v>
      </c>
      <c r="AA19" s="107">
        <v>0.8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0.8</v>
      </c>
      <c r="AK19" s="107">
        <v>0</v>
      </c>
      <c r="AL19" s="107">
        <v>0.8</v>
      </c>
      <c r="AM19" s="107">
        <v>0</v>
      </c>
      <c r="AN19" s="107">
        <v>0</v>
      </c>
      <c r="AO19" s="107">
        <v>0</v>
      </c>
      <c r="AP19" s="107">
        <v>0</v>
      </c>
      <c r="AQ19" s="107">
        <v>0</v>
      </c>
      <c r="AR19" s="107">
        <v>0</v>
      </c>
      <c r="AS19" s="107">
        <v>0</v>
      </c>
      <c r="AT19" s="107">
        <v>0</v>
      </c>
    </row>
    <row r="20" spans="1:46" customFormat="1" x14ac:dyDescent="0.15">
      <c r="A20" s="187" t="s">
        <v>209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0.8</v>
      </c>
      <c r="AJ20" s="107">
        <v>0</v>
      </c>
      <c r="AK20" s="107">
        <v>0</v>
      </c>
      <c r="AL20" s="107">
        <v>0.8</v>
      </c>
      <c r="AM20" s="107">
        <v>0</v>
      </c>
      <c r="AN20" s="107">
        <v>0</v>
      </c>
      <c r="AO20" s="107">
        <v>0</v>
      </c>
      <c r="AP20" s="107">
        <v>0</v>
      </c>
      <c r="AQ20" s="107">
        <v>0.8</v>
      </c>
      <c r="AR20" s="107">
        <v>0</v>
      </c>
      <c r="AS20" s="107">
        <v>0</v>
      </c>
      <c r="AT20" s="107">
        <v>0</v>
      </c>
    </row>
    <row r="21" spans="1:46" customFormat="1" x14ac:dyDescent="0.15">
      <c r="A21" s="187" t="s">
        <v>210</v>
      </c>
      <c r="B21" s="107">
        <v>0</v>
      </c>
      <c r="C21" s="107">
        <v>0</v>
      </c>
      <c r="D21" s="107">
        <v>0</v>
      </c>
      <c r="E21" s="107">
        <v>0</v>
      </c>
      <c r="F21" s="107">
        <v>0.8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0.8</v>
      </c>
      <c r="P21" s="107">
        <v>0</v>
      </c>
      <c r="Q21" s="107">
        <v>0</v>
      </c>
      <c r="R21" s="107">
        <v>0.8</v>
      </c>
      <c r="S21" s="107">
        <v>0.8</v>
      </c>
      <c r="T21" s="107">
        <v>0.8</v>
      </c>
      <c r="U21" s="107">
        <v>0</v>
      </c>
      <c r="V21" s="107">
        <v>0.8</v>
      </c>
      <c r="W21" s="107">
        <v>0.8</v>
      </c>
      <c r="X21" s="107">
        <v>0.8</v>
      </c>
      <c r="Y21" s="107">
        <v>0</v>
      </c>
      <c r="Z21" s="107">
        <v>0.8</v>
      </c>
      <c r="AA21" s="107">
        <v>0.8</v>
      </c>
      <c r="AB21" s="107">
        <v>0</v>
      </c>
      <c r="AC21" s="107">
        <v>0</v>
      </c>
      <c r="AD21" s="107">
        <v>0</v>
      </c>
      <c r="AE21" s="107">
        <v>0.8</v>
      </c>
      <c r="AF21" s="107">
        <v>0</v>
      </c>
      <c r="AG21" s="107">
        <v>0.8</v>
      </c>
      <c r="AH21" s="107">
        <v>0.8</v>
      </c>
      <c r="AI21" s="107">
        <v>0.8</v>
      </c>
      <c r="AJ21" s="107">
        <v>0.8</v>
      </c>
      <c r="AK21" s="107">
        <v>0.8</v>
      </c>
      <c r="AL21" s="107">
        <v>0.8</v>
      </c>
      <c r="AM21" s="107">
        <v>0</v>
      </c>
      <c r="AN21" s="107">
        <v>0</v>
      </c>
      <c r="AO21" s="107">
        <v>0.8</v>
      </c>
      <c r="AP21" s="107">
        <v>0</v>
      </c>
      <c r="AQ21" s="107">
        <v>0.8</v>
      </c>
      <c r="AR21" s="107">
        <v>0</v>
      </c>
      <c r="AS21" s="107">
        <v>0</v>
      </c>
      <c r="AT21" s="107">
        <v>0</v>
      </c>
    </row>
    <row r="22" spans="1:46" customFormat="1" x14ac:dyDescent="0.15">
      <c r="A22" s="187" t="s">
        <v>211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</v>
      </c>
      <c r="W22" s="107">
        <v>0</v>
      </c>
      <c r="X22" s="107">
        <v>0</v>
      </c>
      <c r="Y22" s="107">
        <v>0</v>
      </c>
      <c r="Z22" s="107">
        <v>0.8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  <c r="AI22" s="107">
        <v>0</v>
      </c>
      <c r="AJ22" s="107">
        <v>0.8</v>
      </c>
      <c r="AK22" s="107">
        <v>0</v>
      </c>
      <c r="AL22" s="107">
        <v>0.8</v>
      </c>
      <c r="AM22" s="107">
        <v>0</v>
      </c>
      <c r="AN22" s="107">
        <v>0</v>
      </c>
      <c r="AO22" s="107">
        <v>0</v>
      </c>
      <c r="AP22" s="107">
        <v>0</v>
      </c>
      <c r="AQ22" s="107">
        <v>0</v>
      </c>
      <c r="AR22" s="107">
        <v>0</v>
      </c>
      <c r="AS22" s="107">
        <v>0</v>
      </c>
      <c r="AT22" s="107">
        <v>0</v>
      </c>
    </row>
    <row r="23" spans="1:46" customFormat="1" x14ac:dyDescent="0.15">
      <c r="A23" s="187" t="s">
        <v>212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</v>
      </c>
      <c r="S23" s="107">
        <v>0.8</v>
      </c>
      <c r="T23" s="107">
        <v>0</v>
      </c>
      <c r="U23" s="107">
        <v>0</v>
      </c>
      <c r="V23" s="107">
        <v>0</v>
      </c>
      <c r="W23" s="107">
        <v>0</v>
      </c>
      <c r="X23" s="107">
        <v>0</v>
      </c>
      <c r="Y23" s="107">
        <v>0.8</v>
      </c>
      <c r="Z23" s="107">
        <v>0.8</v>
      </c>
      <c r="AA23" s="107">
        <v>0</v>
      </c>
      <c r="AB23" s="107">
        <v>0</v>
      </c>
      <c r="AC23" s="107">
        <v>0</v>
      </c>
      <c r="AD23" s="107">
        <v>0.8</v>
      </c>
      <c r="AE23" s="107">
        <v>0.8</v>
      </c>
      <c r="AF23" s="107">
        <v>0</v>
      </c>
      <c r="AG23" s="107">
        <v>0</v>
      </c>
      <c r="AH23" s="107">
        <v>0</v>
      </c>
      <c r="AI23" s="107">
        <v>0</v>
      </c>
      <c r="AJ23" s="107">
        <v>0.8</v>
      </c>
      <c r="AK23" s="107">
        <v>0</v>
      </c>
      <c r="AL23" s="107">
        <v>0.8</v>
      </c>
      <c r="AM23" s="107">
        <v>0</v>
      </c>
      <c r="AN23" s="107">
        <v>0</v>
      </c>
      <c r="AO23" s="107">
        <v>0</v>
      </c>
      <c r="AP23" s="107">
        <v>0</v>
      </c>
      <c r="AQ23" s="107">
        <v>0.8</v>
      </c>
      <c r="AR23" s="107">
        <v>0</v>
      </c>
      <c r="AS23" s="107">
        <v>0</v>
      </c>
      <c r="AT23" s="107">
        <v>0</v>
      </c>
    </row>
    <row r="24" spans="1:46" customFormat="1" x14ac:dyDescent="0.15">
      <c r="A24" s="187" t="s">
        <v>213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0.8</v>
      </c>
      <c r="X24" s="107">
        <v>0.8</v>
      </c>
      <c r="Y24" s="107">
        <v>0</v>
      </c>
      <c r="Z24" s="107">
        <v>0.8</v>
      </c>
      <c r="AA24" s="107">
        <v>0</v>
      </c>
      <c r="AB24" s="107">
        <v>0</v>
      </c>
      <c r="AC24" s="107">
        <v>0</v>
      </c>
      <c r="AD24" s="107">
        <v>0</v>
      </c>
      <c r="AE24" s="107">
        <v>0.8</v>
      </c>
      <c r="AF24" s="107">
        <v>0</v>
      </c>
      <c r="AG24" s="107">
        <v>0</v>
      </c>
      <c r="AH24" s="107">
        <v>0</v>
      </c>
      <c r="AI24" s="107">
        <v>0.8</v>
      </c>
      <c r="AJ24" s="107">
        <v>0</v>
      </c>
      <c r="AK24" s="107">
        <v>0.8</v>
      </c>
      <c r="AL24" s="107">
        <v>0</v>
      </c>
      <c r="AM24" s="107">
        <v>0.8</v>
      </c>
      <c r="AN24" s="107">
        <v>0</v>
      </c>
      <c r="AO24" s="107">
        <v>0</v>
      </c>
      <c r="AP24" s="107">
        <v>0</v>
      </c>
      <c r="AQ24" s="107">
        <v>0</v>
      </c>
      <c r="AR24" s="107">
        <v>0</v>
      </c>
      <c r="AS24" s="107">
        <v>0</v>
      </c>
      <c r="AT24" s="107">
        <v>0</v>
      </c>
    </row>
    <row r="25" spans="1:46" customFormat="1" x14ac:dyDescent="0.15">
      <c r="A25" s="187" t="s">
        <v>214</v>
      </c>
      <c r="B25" s="107">
        <v>0</v>
      </c>
      <c r="C25" s="107">
        <v>0</v>
      </c>
      <c r="D25" s="107">
        <v>0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</v>
      </c>
      <c r="Y25" s="107">
        <v>0</v>
      </c>
      <c r="Z25" s="107">
        <v>0</v>
      </c>
      <c r="AA25" s="107">
        <v>0.8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  <c r="AL25" s="107">
        <v>0</v>
      </c>
      <c r="AM25" s="107">
        <v>0</v>
      </c>
      <c r="AN25" s="107">
        <v>0</v>
      </c>
      <c r="AO25" s="107">
        <v>0</v>
      </c>
      <c r="AP25" s="107">
        <v>0</v>
      </c>
      <c r="AQ25" s="107">
        <v>0</v>
      </c>
      <c r="AR25" s="107">
        <v>0</v>
      </c>
      <c r="AS25" s="107">
        <v>0</v>
      </c>
      <c r="AT25" s="107">
        <v>0</v>
      </c>
    </row>
    <row r="26" spans="1:46" customFormat="1" x14ac:dyDescent="0.15">
      <c r="A26" s="187" t="s">
        <v>215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</v>
      </c>
      <c r="Y26" s="107">
        <v>0</v>
      </c>
      <c r="Z26" s="107">
        <v>0.8</v>
      </c>
      <c r="AA26" s="107">
        <v>0</v>
      </c>
      <c r="AB26" s="107">
        <v>0</v>
      </c>
      <c r="AC26" s="107">
        <v>0</v>
      </c>
      <c r="AD26" s="107">
        <v>0</v>
      </c>
      <c r="AE26" s="107">
        <v>0.8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  <c r="AL26" s="107">
        <v>0.8</v>
      </c>
      <c r="AM26" s="107">
        <v>0</v>
      </c>
      <c r="AN26" s="107">
        <v>0</v>
      </c>
      <c r="AO26" s="107">
        <v>0</v>
      </c>
      <c r="AP26" s="107">
        <v>0</v>
      </c>
      <c r="AQ26" s="107">
        <v>0</v>
      </c>
      <c r="AR26" s="107">
        <v>0</v>
      </c>
      <c r="AS26" s="107">
        <v>0</v>
      </c>
      <c r="AT26" s="107">
        <v>0</v>
      </c>
    </row>
    <row r="27" spans="1:46" customFormat="1" x14ac:dyDescent="0.15">
      <c r="A27" s="187" t="s">
        <v>216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0</v>
      </c>
      <c r="Q27" s="107">
        <v>0</v>
      </c>
      <c r="R27" s="107">
        <v>0</v>
      </c>
      <c r="S27" s="107">
        <v>0.8</v>
      </c>
      <c r="T27" s="107">
        <v>0.8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  <c r="AL27" s="107">
        <v>0.8</v>
      </c>
      <c r="AM27" s="107">
        <v>0</v>
      </c>
      <c r="AN27" s="107">
        <v>0</v>
      </c>
      <c r="AO27" s="107">
        <v>0</v>
      </c>
      <c r="AP27" s="107">
        <v>0</v>
      </c>
      <c r="AQ27" s="107">
        <v>0</v>
      </c>
      <c r="AR27" s="107">
        <v>0</v>
      </c>
      <c r="AS27" s="107">
        <v>0</v>
      </c>
      <c r="AT27" s="107">
        <v>0</v>
      </c>
    </row>
    <row r="28" spans="1:46" customFormat="1" x14ac:dyDescent="0.15">
      <c r="A28" s="187" t="s">
        <v>217</v>
      </c>
      <c r="B28" s="107">
        <v>0</v>
      </c>
      <c r="C28" s="107">
        <v>0</v>
      </c>
      <c r="D28" s="107">
        <v>0</v>
      </c>
      <c r="E28" s="107">
        <v>0</v>
      </c>
      <c r="F28" s="107">
        <v>0.8</v>
      </c>
      <c r="G28" s="107">
        <v>0</v>
      </c>
      <c r="H28" s="107">
        <v>0.8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0.8</v>
      </c>
      <c r="Y28" s="107">
        <v>0.8</v>
      </c>
      <c r="Z28" s="107">
        <v>0.8</v>
      </c>
      <c r="AA28" s="107">
        <v>0</v>
      </c>
      <c r="AB28" s="107">
        <v>0</v>
      </c>
      <c r="AC28" s="107">
        <v>0.8</v>
      </c>
      <c r="AD28" s="107">
        <v>0.8</v>
      </c>
      <c r="AE28" s="107">
        <v>0.8</v>
      </c>
      <c r="AF28" s="107">
        <v>0</v>
      </c>
      <c r="AG28" s="107">
        <v>0</v>
      </c>
      <c r="AH28" s="107">
        <v>0.8</v>
      </c>
      <c r="AI28" s="107">
        <v>0</v>
      </c>
      <c r="AJ28" s="107">
        <v>0</v>
      </c>
      <c r="AK28" s="107">
        <v>0.8</v>
      </c>
      <c r="AL28" s="107">
        <v>0.8</v>
      </c>
      <c r="AM28" s="107">
        <v>0.8</v>
      </c>
      <c r="AN28" s="107">
        <v>0</v>
      </c>
      <c r="AO28" s="107">
        <v>0.8</v>
      </c>
      <c r="AP28" s="107">
        <v>0.8</v>
      </c>
      <c r="AQ28" s="107">
        <v>0.8</v>
      </c>
      <c r="AR28" s="107">
        <v>0</v>
      </c>
      <c r="AS28" s="107">
        <v>0</v>
      </c>
      <c r="AT28" s="107">
        <v>0</v>
      </c>
    </row>
    <row r="29" spans="1:46" customFormat="1" x14ac:dyDescent="0.15">
      <c r="A29" s="187" t="s">
        <v>218</v>
      </c>
      <c r="B29" s="107">
        <v>0</v>
      </c>
      <c r="C29" s="107">
        <v>0</v>
      </c>
      <c r="D29" s="107">
        <v>0</v>
      </c>
      <c r="E29" s="107">
        <v>0</v>
      </c>
      <c r="F29" s="107">
        <v>0.8</v>
      </c>
      <c r="G29" s="107">
        <v>0</v>
      </c>
      <c r="H29" s="107">
        <v>0.8</v>
      </c>
      <c r="I29" s="107">
        <v>0.8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0.8</v>
      </c>
      <c r="S29" s="107">
        <v>0</v>
      </c>
      <c r="T29" s="107">
        <v>0</v>
      </c>
      <c r="U29" s="107">
        <v>0</v>
      </c>
      <c r="V29" s="107">
        <v>0</v>
      </c>
      <c r="W29" s="107">
        <v>0</v>
      </c>
      <c r="X29" s="107">
        <v>0.8</v>
      </c>
      <c r="Y29" s="107">
        <v>0</v>
      </c>
      <c r="Z29" s="107">
        <v>0.8</v>
      </c>
      <c r="AA29" s="107">
        <v>0</v>
      </c>
      <c r="AB29" s="107">
        <v>0</v>
      </c>
      <c r="AC29" s="107">
        <v>0.8</v>
      </c>
      <c r="AD29" s="107">
        <v>0.8</v>
      </c>
      <c r="AE29" s="107">
        <v>0.8</v>
      </c>
      <c r="AF29" s="107">
        <v>0</v>
      </c>
      <c r="AG29" s="107">
        <v>0</v>
      </c>
      <c r="AH29" s="107">
        <v>0</v>
      </c>
      <c r="AI29" s="107">
        <v>0.8</v>
      </c>
      <c r="AJ29" s="107">
        <v>0.8</v>
      </c>
      <c r="AK29" s="107">
        <v>0</v>
      </c>
      <c r="AL29" s="107">
        <v>0.8</v>
      </c>
      <c r="AM29" s="107">
        <v>0</v>
      </c>
      <c r="AN29" s="107">
        <v>0</v>
      </c>
      <c r="AO29" s="107">
        <v>0.8</v>
      </c>
      <c r="AP29" s="107">
        <v>0.8</v>
      </c>
      <c r="AQ29" s="107">
        <v>0</v>
      </c>
      <c r="AR29" s="107">
        <v>0</v>
      </c>
      <c r="AS29" s="107">
        <v>0</v>
      </c>
      <c r="AT29" s="107">
        <v>0</v>
      </c>
    </row>
    <row r="30" spans="1:46" customFormat="1" x14ac:dyDescent="0.15">
      <c r="A30" s="187" t="s">
        <v>219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</v>
      </c>
      <c r="S30" s="107">
        <v>0</v>
      </c>
      <c r="T30" s="107">
        <v>0</v>
      </c>
      <c r="U30" s="107">
        <v>0</v>
      </c>
      <c r="V30" s="107">
        <v>0</v>
      </c>
      <c r="W30" s="107">
        <v>0</v>
      </c>
      <c r="X30" s="107">
        <v>0.8</v>
      </c>
      <c r="Y30" s="107">
        <v>0</v>
      </c>
      <c r="Z30" s="107">
        <v>0.8</v>
      </c>
      <c r="AA30" s="107">
        <v>0.8</v>
      </c>
      <c r="AB30" s="107">
        <v>0</v>
      </c>
      <c r="AC30" s="107">
        <v>0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  <c r="AI30" s="107">
        <v>0.8</v>
      </c>
      <c r="AJ30" s="107">
        <v>0</v>
      </c>
      <c r="AK30" s="107">
        <v>0</v>
      </c>
      <c r="AL30" s="107">
        <v>0.8</v>
      </c>
      <c r="AM30" s="107">
        <v>0.8</v>
      </c>
      <c r="AN30" s="107">
        <v>0</v>
      </c>
      <c r="AO30" s="107">
        <v>0</v>
      </c>
      <c r="AP30" s="107">
        <v>0.8</v>
      </c>
      <c r="AQ30" s="107">
        <v>0</v>
      </c>
      <c r="AR30" s="107">
        <v>0.8</v>
      </c>
      <c r="AS30" s="107">
        <v>0</v>
      </c>
      <c r="AT30" s="107">
        <v>0</v>
      </c>
    </row>
    <row r="31" spans="1:46" customFormat="1" x14ac:dyDescent="0.15">
      <c r="A31" s="187" t="s">
        <v>220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</v>
      </c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0.8</v>
      </c>
      <c r="AM31" s="107">
        <v>0</v>
      </c>
      <c r="AN31" s="107">
        <v>0</v>
      </c>
      <c r="AO31" s="107">
        <v>0</v>
      </c>
      <c r="AP31" s="107">
        <v>0</v>
      </c>
      <c r="AQ31" s="107">
        <v>0</v>
      </c>
      <c r="AR31" s="107">
        <v>0.8</v>
      </c>
      <c r="AS31" s="107">
        <v>0</v>
      </c>
      <c r="AT31" s="107">
        <v>0</v>
      </c>
    </row>
    <row r="32" spans="1:46" customFormat="1" x14ac:dyDescent="0.15">
      <c r="A32" s="187" t="s">
        <v>221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0.8</v>
      </c>
      <c r="I32" s="107">
        <v>0.8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0.8</v>
      </c>
      <c r="T32" s="107">
        <v>0</v>
      </c>
      <c r="U32" s="107">
        <v>0</v>
      </c>
      <c r="V32" s="107">
        <v>0.8</v>
      </c>
      <c r="W32" s="107">
        <v>0.8</v>
      </c>
      <c r="X32" s="107">
        <v>0</v>
      </c>
      <c r="Y32" s="107">
        <v>0.8</v>
      </c>
      <c r="Z32" s="107">
        <v>0.8</v>
      </c>
      <c r="AA32" s="107">
        <v>0.8</v>
      </c>
      <c r="AB32" s="107">
        <v>0</v>
      </c>
      <c r="AC32" s="107">
        <v>0</v>
      </c>
      <c r="AD32" s="107">
        <v>0</v>
      </c>
      <c r="AE32" s="107">
        <v>0.8</v>
      </c>
      <c r="AF32" s="107">
        <v>0</v>
      </c>
      <c r="AG32" s="107">
        <v>0.8</v>
      </c>
      <c r="AH32" s="107">
        <v>0.8</v>
      </c>
      <c r="AI32" s="107">
        <v>0.8</v>
      </c>
      <c r="AJ32" s="107">
        <v>0.8</v>
      </c>
      <c r="AK32" s="107">
        <v>0.8</v>
      </c>
      <c r="AL32" s="107">
        <v>0.8</v>
      </c>
      <c r="AM32" s="107">
        <v>0</v>
      </c>
      <c r="AN32" s="107">
        <v>0</v>
      </c>
      <c r="AO32" s="107">
        <v>0.8</v>
      </c>
      <c r="AP32" s="107">
        <v>0.8</v>
      </c>
      <c r="AQ32" s="107">
        <v>0.8</v>
      </c>
      <c r="AR32" s="107">
        <v>0</v>
      </c>
      <c r="AS32" s="107">
        <v>0</v>
      </c>
      <c r="AT32" s="107">
        <v>0</v>
      </c>
    </row>
    <row r="33" spans="1:46" x14ac:dyDescent="0.15">
      <c r="A33" s="187" t="s">
        <v>222</v>
      </c>
      <c r="B33" s="107">
        <v>0</v>
      </c>
      <c r="C33" s="107">
        <v>0</v>
      </c>
      <c r="D33" s="107">
        <v>0</v>
      </c>
      <c r="E33" s="107">
        <v>0</v>
      </c>
      <c r="F33" s="107">
        <v>0.8</v>
      </c>
      <c r="G33" s="107">
        <v>0</v>
      </c>
      <c r="H33" s="107">
        <v>0.8</v>
      </c>
      <c r="I33" s="107">
        <v>0.8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0.8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  <c r="AH33" s="107">
        <v>0.8</v>
      </c>
      <c r="AI33" s="107">
        <v>0.8</v>
      </c>
      <c r="AJ33" s="107">
        <v>0</v>
      </c>
      <c r="AK33" s="107">
        <v>0.8</v>
      </c>
      <c r="AL33" s="107">
        <v>0</v>
      </c>
      <c r="AM33" s="107">
        <v>0</v>
      </c>
      <c r="AN33" s="107">
        <v>0</v>
      </c>
      <c r="AO33" s="107">
        <v>0</v>
      </c>
      <c r="AP33" s="107">
        <v>0.8</v>
      </c>
      <c r="AQ33" s="107">
        <v>0</v>
      </c>
      <c r="AR33" s="107">
        <v>0</v>
      </c>
      <c r="AS33" s="107">
        <v>0</v>
      </c>
      <c r="AT33" s="107">
        <v>0</v>
      </c>
    </row>
    <row r="34" spans="1:46" x14ac:dyDescent="0.15">
      <c r="A34" s="187" t="s">
        <v>223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0.8</v>
      </c>
      <c r="X34" s="107">
        <v>0</v>
      </c>
      <c r="Y34" s="107">
        <v>0</v>
      </c>
      <c r="Z34" s="107">
        <v>0.8</v>
      </c>
      <c r="AA34" s="107">
        <v>0</v>
      </c>
      <c r="AB34" s="107">
        <v>0</v>
      </c>
      <c r="AC34" s="107">
        <v>0</v>
      </c>
      <c r="AD34" s="107">
        <v>0</v>
      </c>
      <c r="AE34" s="107">
        <v>0.8</v>
      </c>
      <c r="AF34" s="107">
        <v>0</v>
      </c>
      <c r="AG34" s="107">
        <v>0</v>
      </c>
      <c r="AH34" s="107">
        <v>0</v>
      </c>
      <c r="AI34" s="107">
        <v>0.8</v>
      </c>
      <c r="AJ34" s="107">
        <v>0</v>
      </c>
      <c r="AK34" s="107">
        <v>0</v>
      </c>
      <c r="AL34" s="107">
        <v>0.8</v>
      </c>
      <c r="AM34" s="107">
        <v>0</v>
      </c>
      <c r="AN34" s="107">
        <v>0</v>
      </c>
      <c r="AO34" s="107">
        <v>0.8</v>
      </c>
      <c r="AP34" s="107">
        <v>0</v>
      </c>
      <c r="AQ34" s="107">
        <v>0</v>
      </c>
      <c r="AR34" s="107">
        <v>0</v>
      </c>
      <c r="AS34" s="107">
        <v>0</v>
      </c>
      <c r="AT34" s="107">
        <v>0</v>
      </c>
    </row>
    <row r="35" spans="1:46" x14ac:dyDescent="0.15">
      <c r="A35" s="187" t="s">
        <v>224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0.8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</row>
    <row r="36" spans="1:46" x14ac:dyDescent="0.15">
      <c r="A36" s="187" t="s">
        <v>225</v>
      </c>
      <c r="B36" s="107">
        <v>0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07">
        <v>0</v>
      </c>
      <c r="I36" s="107">
        <v>0</v>
      </c>
      <c r="J36" s="107">
        <v>0</v>
      </c>
      <c r="K36" s="107">
        <v>0</v>
      </c>
      <c r="L36" s="107">
        <v>0</v>
      </c>
      <c r="M36" s="107">
        <v>0</v>
      </c>
      <c r="N36" s="107">
        <v>0</v>
      </c>
      <c r="O36" s="107">
        <v>0</v>
      </c>
      <c r="P36" s="107">
        <v>0</v>
      </c>
      <c r="Q36" s="107">
        <v>0</v>
      </c>
      <c r="R36" s="107">
        <v>0</v>
      </c>
      <c r="S36" s="107">
        <v>0</v>
      </c>
      <c r="T36" s="107">
        <v>0</v>
      </c>
      <c r="U36" s="107">
        <v>0</v>
      </c>
      <c r="V36" s="107">
        <v>0</v>
      </c>
      <c r="W36" s="107">
        <v>0</v>
      </c>
      <c r="X36" s="107">
        <v>0</v>
      </c>
      <c r="Y36" s="107">
        <v>0</v>
      </c>
      <c r="Z36" s="107">
        <v>0</v>
      </c>
      <c r="AA36" s="107">
        <v>0</v>
      </c>
      <c r="AB36" s="107">
        <v>0</v>
      </c>
      <c r="AC36" s="107">
        <v>0</v>
      </c>
      <c r="AD36" s="107">
        <v>0</v>
      </c>
      <c r="AE36" s="107">
        <v>0</v>
      </c>
      <c r="AF36" s="107">
        <v>0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  <c r="AL36" s="107">
        <v>0</v>
      </c>
      <c r="AM36" s="107">
        <v>0</v>
      </c>
      <c r="AN36" s="107">
        <v>0</v>
      </c>
      <c r="AO36" s="107">
        <v>0</v>
      </c>
      <c r="AP36" s="107">
        <v>0</v>
      </c>
      <c r="AQ36" s="107">
        <v>0</v>
      </c>
      <c r="AR36" s="107">
        <v>0</v>
      </c>
      <c r="AS36" s="107">
        <v>0</v>
      </c>
      <c r="AT36" s="107">
        <v>0</v>
      </c>
    </row>
    <row r="37" spans="1:46" x14ac:dyDescent="0.15">
      <c r="A37" s="187" t="s">
        <v>226</v>
      </c>
      <c r="B37" s="107">
        <v>0</v>
      </c>
      <c r="C37" s="107">
        <v>0</v>
      </c>
      <c r="D37" s="107">
        <v>0</v>
      </c>
      <c r="E37" s="107">
        <v>0</v>
      </c>
      <c r="F37" s="107">
        <v>0</v>
      </c>
      <c r="G37" s="107">
        <v>0</v>
      </c>
      <c r="H37" s="107">
        <v>0</v>
      </c>
      <c r="I37" s="107">
        <v>0</v>
      </c>
      <c r="J37" s="107">
        <v>0</v>
      </c>
      <c r="K37" s="107">
        <v>0</v>
      </c>
      <c r="L37" s="107">
        <v>0</v>
      </c>
      <c r="M37" s="107">
        <v>0</v>
      </c>
      <c r="N37" s="107">
        <v>0</v>
      </c>
      <c r="O37" s="107">
        <v>0</v>
      </c>
      <c r="P37" s="107">
        <v>0</v>
      </c>
      <c r="Q37" s="107">
        <v>0</v>
      </c>
      <c r="R37" s="107">
        <v>0</v>
      </c>
      <c r="S37" s="107">
        <v>0</v>
      </c>
      <c r="T37" s="107">
        <v>0</v>
      </c>
      <c r="U37" s="107">
        <v>0</v>
      </c>
      <c r="V37" s="107">
        <v>0</v>
      </c>
      <c r="W37" s="107">
        <v>0</v>
      </c>
      <c r="X37" s="107">
        <v>0</v>
      </c>
      <c r="Y37" s="107">
        <v>0</v>
      </c>
      <c r="Z37" s="107">
        <v>0.8</v>
      </c>
      <c r="AA37" s="107">
        <v>0</v>
      </c>
      <c r="AB37" s="107">
        <v>0</v>
      </c>
      <c r="AC37" s="107">
        <v>0</v>
      </c>
      <c r="AD37" s="107">
        <v>0</v>
      </c>
      <c r="AE37" s="107">
        <v>0</v>
      </c>
      <c r="AF37" s="107">
        <v>0</v>
      </c>
      <c r="AG37" s="107">
        <v>0</v>
      </c>
      <c r="AH37" s="107">
        <v>0</v>
      </c>
      <c r="AI37" s="107">
        <v>0</v>
      </c>
      <c r="AJ37" s="107">
        <v>0</v>
      </c>
      <c r="AK37" s="107">
        <v>0</v>
      </c>
      <c r="AL37" s="107">
        <v>0</v>
      </c>
      <c r="AM37" s="107">
        <v>0</v>
      </c>
      <c r="AN37" s="107">
        <v>0</v>
      </c>
      <c r="AO37" s="107">
        <v>0</v>
      </c>
      <c r="AP37" s="107">
        <v>0</v>
      </c>
      <c r="AQ37" s="107">
        <v>0</v>
      </c>
      <c r="AR37" s="107">
        <v>0</v>
      </c>
      <c r="AS37" s="107">
        <v>0</v>
      </c>
      <c r="AT37" s="107">
        <v>0</v>
      </c>
    </row>
    <row r="38" spans="1:46" x14ac:dyDescent="0.15">
      <c r="A38" s="187" t="s">
        <v>227</v>
      </c>
      <c r="B38" s="107">
        <v>0</v>
      </c>
      <c r="C38" s="107">
        <v>0</v>
      </c>
      <c r="D38" s="107">
        <v>0</v>
      </c>
      <c r="E38" s="107">
        <v>0</v>
      </c>
      <c r="F38" s="107">
        <v>0</v>
      </c>
      <c r="G38" s="107">
        <v>0</v>
      </c>
      <c r="H38" s="107">
        <v>0</v>
      </c>
      <c r="I38" s="107">
        <v>0</v>
      </c>
      <c r="J38" s="107">
        <v>0</v>
      </c>
      <c r="K38" s="107">
        <v>0</v>
      </c>
      <c r="L38" s="107">
        <v>0</v>
      </c>
      <c r="M38" s="107">
        <v>0</v>
      </c>
      <c r="N38" s="107">
        <v>0</v>
      </c>
      <c r="O38" s="107">
        <v>0</v>
      </c>
      <c r="P38" s="107">
        <v>0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A38" s="107">
        <v>0</v>
      </c>
      <c r="AB38" s="107">
        <v>0</v>
      </c>
      <c r="AC38" s="107">
        <v>0</v>
      </c>
      <c r="AD38" s="107">
        <v>0</v>
      </c>
      <c r="AE38" s="107">
        <v>0</v>
      </c>
      <c r="AF38" s="107">
        <v>0</v>
      </c>
      <c r="AG38" s="107">
        <v>0</v>
      </c>
      <c r="AH38" s="107">
        <v>0</v>
      </c>
      <c r="AI38" s="107">
        <v>0</v>
      </c>
      <c r="AJ38" s="107">
        <v>0</v>
      </c>
      <c r="AK38" s="107">
        <v>0</v>
      </c>
      <c r="AL38" s="107">
        <v>0</v>
      </c>
      <c r="AM38" s="107">
        <v>0</v>
      </c>
      <c r="AN38" s="107">
        <v>0</v>
      </c>
      <c r="AO38" s="107">
        <v>0</v>
      </c>
      <c r="AP38" s="107">
        <v>0</v>
      </c>
      <c r="AQ38" s="107">
        <v>0</v>
      </c>
      <c r="AR38" s="107">
        <v>0</v>
      </c>
      <c r="AS38" s="107">
        <v>0</v>
      </c>
      <c r="AT38" s="107">
        <v>0</v>
      </c>
    </row>
    <row r="39" spans="1:46" x14ac:dyDescent="0.15">
      <c r="A39" s="187" t="s">
        <v>228</v>
      </c>
      <c r="B39" s="107">
        <v>0</v>
      </c>
      <c r="C39" s="107">
        <v>0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107">
        <v>0</v>
      </c>
      <c r="J39" s="107">
        <v>0</v>
      </c>
      <c r="K39" s="107">
        <v>0</v>
      </c>
      <c r="L39" s="107">
        <v>0</v>
      </c>
      <c r="M39" s="107">
        <v>0</v>
      </c>
      <c r="N39" s="107">
        <v>0</v>
      </c>
      <c r="O39" s="107"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A39" s="107">
        <v>0</v>
      </c>
      <c r="AB39" s="107">
        <v>0</v>
      </c>
      <c r="AC39" s="107">
        <v>0</v>
      </c>
      <c r="AD39" s="107">
        <v>0</v>
      </c>
      <c r="AE39" s="107">
        <v>0</v>
      </c>
      <c r="AF39" s="107">
        <v>0</v>
      </c>
      <c r="AG39" s="107">
        <v>0</v>
      </c>
      <c r="AH39" s="107">
        <v>0</v>
      </c>
      <c r="AI39" s="107">
        <v>0</v>
      </c>
      <c r="AJ39" s="107">
        <v>0</v>
      </c>
      <c r="AK39" s="107">
        <v>0</v>
      </c>
      <c r="AL39" s="107">
        <v>0</v>
      </c>
      <c r="AM39" s="107">
        <v>0</v>
      </c>
      <c r="AN39" s="107">
        <v>0</v>
      </c>
      <c r="AO39" s="107">
        <v>0</v>
      </c>
      <c r="AP39" s="107">
        <v>0</v>
      </c>
      <c r="AQ39" s="107">
        <v>0</v>
      </c>
      <c r="AR39" s="107">
        <v>0</v>
      </c>
      <c r="AS39" s="107">
        <v>0</v>
      </c>
      <c r="AT39" s="107">
        <v>0</v>
      </c>
    </row>
    <row r="40" spans="1:46" x14ac:dyDescent="0.15">
      <c r="A40" s="187" t="s">
        <v>229</v>
      </c>
      <c r="B40" s="107">
        <v>0</v>
      </c>
      <c r="C40" s="107">
        <v>0</v>
      </c>
      <c r="D40" s="107">
        <v>0</v>
      </c>
      <c r="E40" s="107">
        <v>0</v>
      </c>
      <c r="F40" s="107">
        <v>0</v>
      </c>
      <c r="G40" s="107">
        <v>0</v>
      </c>
      <c r="H40" s="107">
        <v>0</v>
      </c>
      <c r="I40" s="107">
        <v>0</v>
      </c>
      <c r="J40" s="107">
        <v>0</v>
      </c>
      <c r="K40" s="107">
        <v>0</v>
      </c>
      <c r="L40" s="107">
        <v>0</v>
      </c>
      <c r="M40" s="107">
        <v>0</v>
      </c>
      <c r="N40" s="107">
        <v>0</v>
      </c>
      <c r="O40" s="107">
        <v>0</v>
      </c>
      <c r="P40" s="107">
        <v>0</v>
      </c>
      <c r="Q40" s="107">
        <v>0</v>
      </c>
      <c r="R40" s="107">
        <v>0</v>
      </c>
      <c r="S40" s="107">
        <v>0</v>
      </c>
      <c r="T40" s="107">
        <v>0</v>
      </c>
      <c r="U40" s="107">
        <v>0</v>
      </c>
      <c r="V40" s="107">
        <v>0</v>
      </c>
      <c r="W40" s="107">
        <v>0</v>
      </c>
      <c r="X40" s="107">
        <v>0</v>
      </c>
      <c r="Y40" s="107">
        <v>0</v>
      </c>
      <c r="Z40" s="107">
        <v>0</v>
      </c>
      <c r="AA40" s="107">
        <v>0</v>
      </c>
      <c r="AB40" s="107">
        <v>0</v>
      </c>
      <c r="AC40" s="107">
        <v>0</v>
      </c>
      <c r="AD40" s="107">
        <v>0</v>
      </c>
      <c r="AE40" s="107">
        <v>0</v>
      </c>
      <c r="AF40" s="107">
        <v>0</v>
      </c>
      <c r="AG40" s="107">
        <v>0</v>
      </c>
      <c r="AH40" s="107">
        <v>0</v>
      </c>
      <c r="AI40" s="107">
        <v>0</v>
      </c>
      <c r="AJ40" s="107">
        <v>0</v>
      </c>
      <c r="AK40" s="107">
        <v>0</v>
      </c>
      <c r="AL40" s="107">
        <v>0</v>
      </c>
      <c r="AM40" s="107">
        <v>0</v>
      </c>
      <c r="AN40" s="107">
        <v>0</v>
      </c>
      <c r="AO40" s="107">
        <v>0</v>
      </c>
      <c r="AP40" s="107">
        <v>0</v>
      </c>
      <c r="AQ40" s="107">
        <v>0</v>
      </c>
      <c r="AR40" s="107">
        <v>0</v>
      </c>
      <c r="AS40" s="107">
        <v>0</v>
      </c>
      <c r="AT40" s="107">
        <v>0</v>
      </c>
    </row>
    <row r="41" spans="1:46" x14ac:dyDescent="0.15">
      <c r="A41" s="187" t="s">
        <v>230</v>
      </c>
      <c r="B41" s="107">
        <v>0</v>
      </c>
      <c r="C41" s="107">
        <v>0</v>
      </c>
      <c r="D41" s="107">
        <v>0</v>
      </c>
      <c r="E41" s="107">
        <v>0</v>
      </c>
      <c r="F41" s="107">
        <v>0</v>
      </c>
      <c r="G41" s="107">
        <v>0</v>
      </c>
      <c r="H41" s="107">
        <v>0</v>
      </c>
      <c r="I41" s="107">
        <v>0</v>
      </c>
      <c r="J41" s="107">
        <v>0</v>
      </c>
      <c r="K41" s="107">
        <v>0</v>
      </c>
      <c r="L41" s="107">
        <v>0</v>
      </c>
      <c r="M41" s="107">
        <v>0</v>
      </c>
      <c r="N41" s="107">
        <v>0</v>
      </c>
      <c r="O41" s="107">
        <v>0</v>
      </c>
      <c r="P41" s="107">
        <v>0</v>
      </c>
      <c r="Q41" s="107">
        <v>0</v>
      </c>
      <c r="R41" s="107">
        <v>0</v>
      </c>
      <c r="S41" s="107">
        <v>0</v>
      </c>
      <c r="T41" s="107">
        <v>0</v>
      </c>
      <c r="U41" s="107">
        <v>0</v>
      </c>
      <c r="V41" s="107">
        <v>0</v>
      </c>
      <c r="W41" s="107">
        <v>0</v>
      </c>
      <c r="X41" s="107">
        <v>0</v>
      </c>
      <c r="Y41" s="107">
        <v>0</v>
      </c>
      <c r="Z41" s="107">
        <v>0</v>
      </c>
      <c r="AA41" s="107">
        <v>0</v>
      </c>
      <c r="AB41" s="107">
        <v>0</v>
      </c>
      <c r="AC41" s="107">
        <v>0</v>
      </c>
      <c r="AD41" s="107">
        <v>0</v>
      </c>
      <c r="AE41" s="107">
        <v>0</v>
      </c>
      <c r="AF41" s="107">
        <v>0</v>
      </c>
      <c r="AG41" s="107">
        <v>0</v>
      </c>
      <c r="AH41" s="107">
        <v>0</v>
      </c>
      <c r="AI41" s="107">
        <v>0</v>
      </c>
      <c r="AJ41" s="107">
        <v>0</v>
      </c>
      <c r="AK41" s="107">
        <v>0</v>
      </c>
      <c r="AL41" s="107">
        <v>0</v>
      </c>
      <c r="AM41" s="107">
        <v>0</v>
      </c>
      <c r="AN41" s="107">
        <v>0</v>
      </c>
      <c r="AO41" s="107">
        <v>0.8</v>
      </c>
      <c r="AP41" s="107">
        <v>0</v>
      </c>
      <c r="AQ41" s="107">
        <v>0</v>
      </c>
      <c r="AR41" s="107">
        <v>0</v>
      </c>
      <c r="AS41" s="107">
        <v>0</v>
      </c>
      <c r="AT41" s="107">
        <v>0</v>
      </c>
    </row>
    <row r="42" spans="1:46" x14ac:dyDescent="0.15">
      <c r="A42" s="187" t="s">
        <v>231</v>
      </c>
      <c r="B42" s="107">
        <v>0</v>
      </c>
      <c r="C42" s="107">
        <v>0</v>
      </c>
      <c r="D42" s="107">
        <v>0</v>
      </c>
      <c r="E42" s="107">
        <v>0</v>
      </c>
      <c r="F42" s="107">
        <v>0</v>
      </c>
      <c r="G42" s="107">
        <v>0</v>
      </c>
      <c r="H42" s="107">
        <v>0</v>
      </c>
      <c r="I42" s="107">
        <v>0</v>
      </c>
      <c r="J42" s="107">
        <v>0</v>
      </c>
      <c r="K42" s="107">
        <v>0</v>
      </c>
      <c r="L42" s="107">
        <v>0</v>
      </c>
      <c r="M42" s="107">
        <v>0</v>
      </c>
      <c r="N42" s="107">
        <v>0</v>
      </c>
      <c r="O42" s="107">
        <v>0</v>
      </c>
      <c r="P42" s="107">
        <v>0</v>
      </c>
      <c r="Q42" s="107">
        <v>0</v>
      </c>
      <c r="R42" s="107">
        <v>0</v>
      </c>
      <c r="S42" s="107">
        <v>0</v>
      </c>
      <c r="T42" s="107">
        <v>0</v>
      </c>
      <c r="U42" s="107">
        <v>0</v>
      </c>
      <c r="V42" s="107">
        <v>0</v>
      </c>
      <c r="W42" s="107">
        <v>0</v>
      </c>
      <c r="X42" s="107">
        <v>0</v>
      </c>
      <c r="Y42" s="107">
        <v>0</v>
      </c>
      <c r="Z42" s="107">
        <v>0</v>
      </c>
      <c r="AA42" s="107">
        <v>0</v>
      </c>
      <c r="AB42" s="107">
        <v>0</v>
      </c>
      <c r="AC42" s="107">
        <v>0</v>
      </c>
      <c r="AD42" s="107">
        <v>0</v>
      </c>
      <c r="AE42" s="107">
        <v>0</v>
      </c>
      <c r="AF42" s="107">
        <v>0</v>
      </c>
      <c r="AG42" s="107">
        <v>0</v>
      </c>
      <c r="AH42" s="107">
        <v>0</v>
      </c>
      <c r="AI42" s="107">
        <v>0</v>
      </c>
      <c r="AJ42" s="107">
        <v>0</v>
      </c>
      <c r="AK42" s="107">
        <v>0</v>
      </c>
      <c r="AL42" s="107">
        <v>0</v>
      </c>
      <c r="AM42" s="107">
        <v>0</v>
      </c>
      <c r="AN42" s="107">
        <v>0</v>
      </c>
      <c r="AO42" s="107">
        <v>0</v>
      </c>
      <c r="AP42" s="107">
        <v>0</v>
      </c>
      <c r="AQ42" s="107">
        <v>0</v>
      </c>
      <c r="AR42" s="107">
        <v>0</v>
      </c>
      <c r="AS42" s="107">
        <v>0</v>
      </c>
      <c r="AT42" s="107">
        <v>0</v>
      </c>
    </row>
    <row r="43" spans="1:46" x14ac:dyDescent="0.15">
      <c r="A43" s="187" t="s">
        <v>232</v>
      </c>
      <c r="B43" s="107">
        <v>0</v>
      </c>
      <c r="C43" s="107">
        <v>0</v>
      </c>
      <c r="D43" s="107">
        <v>0</v>
      </c>
      <c r="E43" s="107">
        <v>0</v>
      </c>
      <c r="F43" s="107">
        <v>0</v>
      </c>
      <c r="G43" s="107">
        <v>0</v>
      </c>
      <c r="H43" s="107">
        <v>0</v>
      </c>
      <c r="I43" s="107">
        <v>0</v>
      </c>
      <c r="J43" s="107">
        <v>0</v>
      </c>
      <c r="K43" s="107">
        <v>0</v>
      </c>
      <c r="L43" s="107">
        <v>0</v>
      </c>
      <c r="M43" s="107">
        <v>0</v>
      </c>
      <c r="N43" s="107">
        <v>0</v>
      </c>
      <c r="O43" s="107">
        <v>0</v>
      </c>
      <c r="P43" s="107">
        <v>0</v>
      </c>
      <c r="Q43" s="107">
        <v>0</v>
      </c>
      <c r="R43" s="107">
        <v>0</v>
      </c>
      <c r="S43" s="107">
        <v>0</v>
      </c>
      <c r="T43" s="107">
        <v>0</v>
      </c>
      <c r="U43" s="107">
        <v>0</v>
      </c>
      <c r="V43" s="107">
        <v>0</v>
      </c>
      <c r="W43" s="107">
        <v>0</v>
      </c>
      <c r="X43" s="107">
        <v>0</v>
      </c>
      <c r="Y43" s="107">
        <v>0</v>
      </c>
      <c r="Z43" s="107">
        <v>0</v>
      </c>
      <c r="AA43" s="107">
        <v>0</v>
      </c>
      <c r="AB43" s="107">
        <v>0</v>
      </c>
      <c r="AC43" s="107">
        <v>0</v>
      </c>
      <c r="AD43" s="107">
        <v>0</v>
      </c>
      <c r="AE43" s="107">
        <v>0</v>
      </c>
      <c r="AF43" s="107">
        <v>0</v>
      </c>
      <c r="AG43" s="107">
        <v>0</v>
      </c>
      <c r="AH43" s="107">
        <v>0</v>
      </c>
      <c r="AI43" s="107">
        <v>0</v>
      </c>
      <c r="AJ43" s="107">
        <v>0</v>
      </c>
      <c r="AK43" s="107">
        <v>0</v>
      </c>
      <c r="AL43" s="107">
        <v>0</v>
      </c>
      <c r="AM43" s="107">
        <v>0</v>
      </c>
      <c r="AN43" s="107">
        <v>0</v>
      </c>
      <c r="AO43" s="107">
        <v>0</v>
      </c>
      <c r="AP43" s="107">
        <v>0</v>
      </c>
      <c r="AQ43" s="107">
        <v>0</v>
      </c>
      <c r="AR43" s="107">
        <v>0.8</v>
      </c>
      <c r="AS43" s="107">
        <v>0</v>
      </c>
      <c r="AT43" s="107">
        <v>0</v>
      </c>
    </row>
    <row r="44" spans="1:46" x14ac:dyDescent="0.15">
      <c r="A44" s="187" t="s">
        <v>233</v>
      </c>
      <c r="B44" s="107">
        <v>0</v>
      </c>
      <c r="C44" s="107">
        <v>0</v>
      </c>
      <c r="D44" s="107">
        <v>0</v>
      </c>
      <c r="E44" s="107">
        <v>0</v>
      </c>
      <c r="F44" s="107">
        <v>0</v>
      </c>
      <c r="G44" s="107">
        <v>0</v>
      </c>
      <c r="H44" s="107">
        <v>0</v>
      </c>
      <c r="I44" s="107">
        <v>0</v>
      </c>
      <c r="J44" s="107">
        <v>0</v>
      </c>
      <c r="K44" s="107">
        <v>0</v>
      </c>
      <c r="L44" s="107">
        <v>0</v>
      </c>
      <c r="M44" s="107">
        <v>0</v>
      </c>
      <c r="N44" s="107">
        <v>0</v>
      </c>
      <c r="O44" s="107">
        <v>0</v>
      </c>
      <c r="P44" s="107">
        <v>0</v>
      </c>
      <c r="Q44" s="107">
        <v>0</v>
      </c>
      <c r="R44" s="107">
        <v>0</v>
      </c>
      <c r="S44" s="107">
        <v>0</v>
      </c>
      <c r="T44" s="107">
        <v>0</v>
      </c>
      <c r="U44" s="107">
        <v>0</v>
      </c>
      <c r="V44" s="107">
        <v>0</v>
      </c>
      <c r="W44" s="107">
        <v>0</v>
      </c>
      <c r="X44" s="107">
        <v>0</v>
      </c>
      <c r="Y44" s="107">
        <v>0</v>
      </c>
      <c r="Z44" s="107">
        <v>0</v>
      </c>
      <c r="AA44" s="107">
        <v>0</v>
      </c>
      <c r="AB44" s="107">
        <v>0</v>
      </c>
      <c r="AC44" s="107">
        <v>0</v>
      </c>
      <c r="AD44" s="107">
        <v>0</v>
      </c>
      <c r="AE44" s="107">
        <v>0</v>
      </c>
      <c r="AF44" s="107">
        <v>0</v>
      </c>
      <c r="AG44" s="107">
        <v>0</v>
      </c>
      <c r="AH44" s="107">
        <v>0</v>
      </c>
      <c r="AI44" s="107">
        <v>0</v>
      </c>
      <c r="AJ44" s="107">
        <v>0</v>
      </c>
      <c r="AK44" s="107">
        <v>0</v>
      </c>
      <c r="AL44" s="107">
        <v>0</v>
      </c>
      <c r="AM44" s="107">
        <v>0</v>
      </c>
      <c r="AN44" s="107">
        <v>0</v>
      </c>
      <c r="AO44" s="107">
        <v>0</v>
      </c>
      <c r="AP44" s="107">
        <v>0</v>
      </c>
      <c r="AQ44" s="107">
        <v>0</v>
      </c>
      <c r="AR44" s="107">
        <v>0</v>
      </c>
      <c r="AS44" s="107">
        <v>0</v>
      </c>
      <c r="AT44" s="107">
        <v>0</v>
      </c>
    </row>
    <row r="45" spans="1:46" x14ac:dyDescent="0.15">
      <c r="A45" s="187" t="s">
        <v>234</v>
      </c>
      <c r="B45" s="107">
        <v>0</v>
      </c>
      <c r="C45" s="107">
        <v>0</v>
      </c>
      <c r="D45" s="107">
        <v>0.8</v>
      </c>
      <c r="E45" s="107">
        <v>0.8</v>
      </c>
      <c r="F45" s="107">
        <v>0</v>
      </c>
      <c r="G45" s="107">
        <v>0</v>
      </c>
      <c r="H45" s="107">
        <v>0</v>
      </c>
      <c r="I45" s="107">
        <v>0</v>
      </c>
      <c r="J45" s="107">
        <v>0.8</v>
      </c>
      <c r="K45" s="107">
        <v>0.8</v>
      </c>
      <c r="L45" s="107">
        <v>0.8</v>
      </c>
      <c r="M45" s="107">
        <v>0.8</v>
      </c>
      <c r="N45" s="107">
        <v>0</v>
      </c>
      <c r="O45" s="107">
        <v>0.8</v>
      </c>
      <c r="P45" s="107">
        <v>0.8</v>
      </c>
      <c r="Q45" s="107">
        <v>0.8</v>
      </c>
      <c r="R45" s="107">
        <v>0.8</v>
      </c>
      <c r="S45" s="107">
        <v>0</v>
      </c>
      <c r="T45" s="107">
        <v>0</v>
      </c>
      <c r="U45" s="107">
        <v>0</v>
      </c>
      <c r="V45" s="107">
        <v>0</v>
      </c>
      <c r="W45" s="107">
        <v>0</v>
      </c>
      <c r="X45" s="107">
        <v>0</v>
      </c>
      <c r="Y45" s="107">
        <v>0</v>
      </c>
      <c r="Z45" s="107">
        <v>0</v>
      </c>
      <c r="AA45" s="107">
        <v>0</v>
      </c>
      <c r="AB45" s="107">
        <v>0</v>
      </c>
      <c r="AC45" s="107">
        <v>0</v>
      </c>
      <c r="AD45" s="107">
        <v>0</v>
      </c>
      <c r="AE45" s="107">
        <v>0</v>
      </c>
      <c r="AF45" s="107">
        <v>0</v>
      </c>
      <c r="AG45" s="107">
        <v>0</v>
      </c>
      <c r="AH45" s="107">
        <v>0</v>
      </c>
      <c r="AI45" s="107">
        <v>0</v>
      </c>
      <c r="AJ45" s="107">
        <v>0</v>
      </c>
      <c r="AK45" s="107">
        <v>0</v>
      </c>
      <c r="AL45" s="107">
        <v>0</v>
      </c>
      <c r="AM45" s="107">
        <v>0</v>
      </c>
      <c r="AN45" s="107">
        <v>0</v>
      </c>
      <c r="AO45" s="107">
        <v>0</v>
      </c>
      <c r="AP45" s="107">
        <v>0</v>
      </c>
      <c r="AQ45" s="107">
        <v>0</v>
      </c>
      <c r="AR45" s="107">
        <v>0</v>
      </c>
      <c r="AS45" s="107">
        <v>0</v>
      </c>
      <c r="AT45" s="107">
        <v>0</v>
      </c>
    </row>
    <row r="46" spans="1:46" x14ac:dyDescent="0.15">
      <c r="A46" s="187" t="s">
        <v>235</v>
      </c>
      <c r="B46" s="107">
        <v>0</v>
      </c>
      <c r="C46" s="107">
        <v>0</v>
      </c>
      <c r="D46" s="107">
        <v>0</v>
      </c>
      <c r="E46" s="107">
        <v>0</v>
      </c>
      <c r="F46" s="107">
        <v>0</v>
      </c>
      <c r="G46" s="107">
        <v>0</v>
      </c>
      <c r="H46" s="107">
        <v>0</v>
      </c>
      <c r="I46" s="107">
        <v>0</v>
      </c>
      <c r="J46" s="107">
        <v>0</v>
      </c>
      <c r="K46" s="107">
        <v>0</v>
      </c>
      <c r="L46" s="107">
        <v>0</v>
      </c>
      <c r="M46" s="107">
        <v>0</v>
      </c>
      <c r="N46" s="107">
        <v>0</v>
      </c>
      <c r="O46" s="107">
        <v>0</v>
      </c>
      <c r="P46" s="107">
        <v>0</v>
      </c>
      <c r="Q46" s="107">
        <v>0</v>
      </c>
      <c r="R46" s="107">
        <v>0</v>
      </c>
      <c r="S46" s="107">
        <v>0</v>
      </c>
      <c r="T46" s="107">
        <v>0</v>
      </c>
      <c r="U46" s="107">
        <v>0</v>
      </c>
      <c r="V46" s="107">
        <v>0</v>
      </c>
      <c r="W46" s="107">
        <v>0</v>
      </c>
      <c r="X46" s="107">
        <v>0</v>
      </c>
      <c r="Y46" s="107">
        <v>0</v>
      </c>
      <c r="Z46" s="107">
        <v>0</v>
      </c>
      <c r="AA46" s="107">
        <v>0</v>
      </c>
      <c r="AB46" s="107">
        <v>0</v>
      </c>
      <c r="AC46" s="107">
        <v>0</v>
      </c>
      <c r="AD46" s="107">
        <v>0</v>
      </c>
      <c r="AE46" s="107">
        <v>0</v>
      </c>
      <c r="AF46" s="107">
        <v>0</v>
      </c>
      <c r="AG46" s="107">
        <v>0</v>
      </c>
      <c r="AH46" s="107">
        <v>0</v>
      </c>
      <c r="AI46" s="107">
        <v>0</v>
      </c>
      <c r="AJ46" s="107">
        <v>0</v>
      </c>
      <c r="AK46" s="107">
        <v>0</v>
      </c>
      <c r="AL46" s="107">
        <v>0</v>
      </c>
      <c r="AM46" s="107">
        <v>0</v>
      </c>
      <c r="AN46" s="107">
        <v>0</v>
      </c>
      <c r="AO46" s="107">
        <v>0</v>
      </c>
      <c r="AP46" s="107">
        <v>0</v>
      </c>
      <c r="AQ46" s="107">
        <v>0</v>
      </c>
      <c r="AR46" s="107">
        <v>0</v>
      </c>
      <c r="AS46" s="107">
        <v>0</v>
      </c>
      <c r="AT46" s="107">
        <v>0</v>
      </c>
    </row>
    <row r="47" spans="1:46" x14ac:dyDescent="0.15">
      <c r="A47" s="187" t="s">
        <v>247</v>
      </c>
      <c r="B47" s="107">
        <v>0</v>
      </c>
      <c r="C47" s="107">
        <v>0</v>
      </c>
      <c r="D47" s="107">
        <v>0</v>
      </c>
      <c r="E47" s="107">
        <v>0</v>
      </c>
      <c r="F47" s="107">
        <v>0</v>
      </c>
      <c r="G47" s="107">
        <v>0</v>
      </c>
      <c r="H47" s="107">
        <v>0</v>
      </c>
      <c r="I47" s="107">
        <v>0</v>
      </c>
      <c r="J47" s="107">
        <v>0</v>
      </c>
      <c r="K47" s="107">
        <v>0</v>
      </c>
      <c r="L47" s="107">
        <v>0</v>
      </c>
      <c r="M47" s="107">
        <v>0</v>
      </c>
      <c r="N47" s="107">
        <v>0</v>
      </c>
      <c r="O47" s="107">
        <v>0</v>
      </c>
      <c r="P47" s="107">
        <v>0</v>
      </c>
      <c r="Q47" s="107">
        <v>0</v>
      </c>
      <c r="R47" s="107">
        <v>0</v>
      </c>
      <c r="S47" s="107">
        <v>0</v>
      </c>
      <c r="T47" s="107">
        <v>0</v>
      </c>
      <c r="U47" s="107">
        <v>0</v>
      </c>
      <c r="V47" s="107">
        <v>0</v>
      </c>
      <c r="W47" s="107">
        <v>0</v>
      </c>
      <c r="X47" s="107">
        <v>0</v>
      </c>
      <c r="Y47" s="107">
        <v>0</v>
      </c>
      <c r="Z47" s="107">
        <v>0</v>
      </c>
      <c r="AA47" s="107">
        <v>0</v>
      </c>
      <c r="AB47" s="107">
        <v>0</v>
      </c>
      <c r="AC47" s="107">
        <v>0</v>
      </c>
      <c r="AD47" s="107">
        <v>0</v>
      </c>
      <c r="AE47" s="107">
        <v>0</v>
      </c>
      <c r="AF47" s="107">
        <v>0</v>
      </c>
      <c r="AG47" s="107">
        <v>0</v>
      </c>
      <c r="AH47" s="107">
        <v>0</v>
      </c>
      <c r="AI47" s="107">
        <v>0</v>
      </c>
      <c r="AJ47" s="107">
        <v>0</v>
      </c>
      <c r="AK47" s="107">
        <v>0</v>
      </c>
      <c r="AL47" s="107">
        <v>0</v>
      </c>
      <c r="AM47" s="107">
        <v>0</v>
      </c>
      <c r="AN47" s="107">
        <v>0</v>
      </c>
      <c r="AO47" s="107">
        <v>0.8</v>
      </c>
      <c r="AP47" s="107">
        <v>0</v>
      </c>
      <c r="AQ47" s="107">
        <v>0</v>
      </c>
      <c r="AR47" s="107">
        <v>0</v>
      </c>
      <c r="AS47" s="107">
        <v>0</v>
      </c>
      <c r="AT47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T47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46" width="2.33203125" style="107" customWidth="1"/>
    <col min="47" max="16384" width="10.83203125" style="107"/>
  </cols>
  <sheetData>
    <row r="1" spans="1:46" x14ac:dyDescent="0.15">
      <c r="A1" s="62" t="s">
        <v>139</v>
      </c>
      <c r="B1" s="190" t="s">
        <v>192</v>
      </c>
      <c r="C1" s="190" t="s">
        <v>67</v>
      </c>
      <c r="D1" s="190" t="s">
        <v>193</v>
      </c>
      <c r="E1" s="190" t="s">
        <v>194</v>
      </c>
      <c r="F1" s="190" t="s">
        <v>195</v>
      </c>
      <c r="G1" s="190" t="s">
        <v>196</v>
      </c>
      <c r="H1" s="190" t="s">
        <v>197</v>
      </c>
      <c r="I1" s="190" t="s">
        <v>198</v>
      </c>
      <c r="J1" s="190" t="s">
        <v>199</v>
      </c>
      <c r="K1" s="190" t="s">
        <v>200</v>
      </c>
      <c r="L1" s="190" t="s">
        <v>201</v>
      </c>
      <c r="M1" s="190" t="s">
        <v>202</v>
      </c>
      <c r="N1" s="190" t="s">
        <v>203</v>
      </c>
      <c r="O1" s="190" t="s">
        <v>204</v>
      </c>
      <c r="P1" s="190" t="s">
        <v>205</v>
      </c>
      <c r="Q1" s="190" t="s">
        <v>206</v>
      </c>
      <c r="R1" s="190" t="s">
        <v>207</v>
      </c>
      <c r="S1" s="190" t="s">
        <v>208</v>
      </c>
      <c r="T1" s="190" t="s">
        <v>209</v>
      </c>
      <c r="U1" s="190" t="s">
        <v>210</v>
      </c>
      <c r="V1" s="190" t="s">
        <v>211</v>
      </c>
      <c r="W1" s="190" t="s">
        <v>212</v>
      </c>
      <c r="X1" s="190" t="s">
        <v>213</v>
      </c>
      <c r="Y1" s="190" t="s">
        <v>214</v>
      </c>
      <c r="Z1" s="190" t="s">
        <v>215</v>
      </c>
      <c r="AA1" s="190" t="s">
        <v>216</v>
      </c>
      <c r="AB1" s="190" t="s">
        <v>217</v>
      </c>
      <c r="AC1" s="190" t="s">
        <v>218</v>
      </c>
      <c r="AD1" s="190" t="s">
        <v>219</v>
      </c>
      <c r="AE1" s="190" t="s">
        <v>220</v>
      </c>
      <c r="AF1" s="190" t="s">
        <v>221</v>
      </c>
      <c r="AG1" s="190" t="s">
        <v>222</v>
      </c>
      <c r="AH1" s="190" t="s">
        <v>223</v>
      </c>
      <c r="AI1" s="190" t="s">
        <v>224</v>
      </c>
      <c r="AJ1" s="190" t="s">
        <v>225</v>
      </c>
      <c r="AK1" s="190" t="s">
        <v>226</v>
      </c>
      <c r="AL1" s="190" t="s">
        <v>227</v>
      </c>
      <c r="AM1" s="190" t="s">
        <v>228</v>
      </c>
      <c r="AN1" s="190" t="s">
        <v>229</v>
      </c>
      <c r="AO1" s="190" t="s">
        <v>230</v>
      </c>
      <c r="AP1" s="190" t="s">
        <v>231</v>
      </c>
      <c r="AQ1" s="190" t="s">
        <v>232</v>
      </c>
      <c r="AR1" s="190" t="s">
        <v>233</v>
      </c>
      <c r="AS1" s="190" t="s">
        <v>234</v>
      </c>
      <c r="AT1" s="190" t="s">
        <v>235</v>
      </c>
    </row>
    <row r="2" spans="1:46" customFormat="1" x14ac:dyDescent="0.15">
      <c r="A2" s="189" t="s">
        <v>192</v>
      </c>
      <c r="B2" s="107">
        <v>0</v>
      </c>
      <c r="C2" s="107">
        <v>0</v>
      </c>
      <c r="D2" s="107">
        <v>1</v>
      </c>
      <c r="E2" s="107">
        <v>1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1</v>
      </c>
      <c r="M2" s="107">
        <v>0</v>
      </c>
      <c r="N2" s="107">
        <v>1</v>
      </c>
      <c r="O2" s="107">
        <v>0</v>
      </c>
      <c r="P2" s="107">
        <v>0</v>
      </c>
      <c r="Q2" s="107">
        <v>1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1</v>
      </c>
      <c r="AC2" s="107">
        <v>1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  <c r="AI2" s="107">
        <v>0</v>
      </c>
      <c r="AJ2" s="107">
        <v>0</v>
      </c>
      <c r="AK2" s="107">
        <v>0</v>
      </c>
      <c r="AL2" s="107">
        <v>1</v>
      </c>
      <c r="AM2" s="107">
        <v>0</v>
      </c>
      <c r="AN2" s="107">
        <v>0</v>
      </c>
      <c r="AO2" s="107">
        <v>0</v>
      </c>
      <c r="AP2" s="107">
        <v>0</v>
      </c>
      <c r="AQ2" s="107">
        <v>0</v>
      </c>
      <c r="AR2" s="107">
        <v>0</v>
      </c>
      <c r="AS2" s="107">
        <v>0</v>
      </c>
      <c r="AT2" s="107">
        <v>0</v>
      </c>
    </row>
    <row r="3" spans="1:46" customFormat="1" x14ac:dyDescent="0.15">
      <c r="A3" s="189" t="s">
        <v>67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1</v>
      </c>
      <c r="M3" s="107">
        <v>0</v>
      </c>
      <c r="N3" s="107">
        <v>1</v>
      </c>
      <c r="O3" s="107">
        <v>1</v>
      </c>
      <c r="P3" s="107">
        <v>1</v>
      </c>
      <c r="Q3" s="107">
        <v>1</v>
      </c>
      <c r="R3" s="107">
        <v>1</v>
      </c>
      <c r="S3" s="107">
        <v>1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1</v>
      </c>
      <c r="AB3" s="107">
        <v>0</v>
      </c>
      <c r="AC3" s="107">
        <v>1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1</v>
      </c>
      <c r="AK3" s="107">
        <v>0</v>
      </c>
      <c r="AL3" s="107">
        <v>1</v>
      </c>
      <c r="AM3" s="107">
        <v>0</v>
      </c>
      <c r="AN3" s="107">
        <v>0</v>
      </c>
      <c r="AO3" s="107">
        <v>0</v>
      </c>
      <c r="AP3" s="107">
        <v>0</v>
      </c>
      <c r="AQ3" s="107">
        <v>0</v>
      </c>
      <c r="AR3" s="107">
        <v>0</v>
      </c>
      <c r="AS3" s="107">
        <v>0</v>
      </c>
      <c r="AT3" s="107">
        <v>0</v>
      </c>
    </row>
    <row r="4" spans="1:46" customFormat="1" x14ac:dyDescent="0.15">
      <c r="A4" s="189" t="s">
        <v>193</v>
      </c>
      <c r="B4" s="107">
        <v>0</v>
      </c>
      <c r="C4" s="107">
        <v>0</v>
      </c>
      <c r="D4" s="107">
        <v>0</v>
      </c>
      <c r="E4" s="107">
        <v>1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1</v>
      </c>
      <c r="L4" s="107">
        <v>1</v>
      </c>
      <c r="M4" s="107">
        <v>0</v>
      </c>
      <c r="N4" s="107">
        <v>1</v>
      </c>
      <c r="O4" s="107">
        <v>1</v>
      </c>
      <c r="P4" s="107">
        <v>1</v>
      </c>
      <c r="Q4" s="107">
        <v>1</v>
      </c>
      <c r="R4" s="107">
        <v>1</v>
      </c>
      <c r="S4" s="107">
        <v>0</v>
      </c>
      <c r="T4" s="107">
        <v>0</v>
      </c>
      <c r="U4" s="107">
        <v>0</v>
      </c>
      <c r="V4" s="107">
        <v>1</v>
      </c>
      <c r="W4" s="107">
        <v>0</v>
      </c>
      <c r="X4" s="107">
        <v>0</v>
      </c>
      <c r="Y4" s="107">
        <v>0</v>
      </c>
      <c r="Z4" s="107">
        <v>1</v>
      </c>
      <c r="AA4" s="107">
        <v>0</v>
      </c>
      <c r="AB4" s="107">
        <v>1</v>
      </c>
      <c r="AC4" s="107">
        <v>1</v>
      </c>
      <c r="AD4" s="107">
        <v>0</v>
      </c>
      <c r="AE4" s="107">
        <v>0</v>
      </c>
      <c r="AF4" s="107">
        <v>1</v>
      </c>
      <c r="AG4" s="107">
        <v>0</v>
      </c>
      <c r="AH4" s="107">
        <v>1</v>
      </c>
      <c r="AI4" s="107">
        <v>0</v>
      </c>
      <c r="AJ4" s="107">
        <v>0</v>
      </c>
      <c r="AK4" s="107">
        <v>0</v>
      </c>
      <c r="AL4" s="107">
        <v>1</v>
      </c>
      <c r="AM4" s="107">
        <v>0</v>
      </c>
      <c r="AN4" s="107">
        <v>0</v>
      </c>
      <c r="AO4" s="107">
        <v>0</v>
      </c>
      <c r="AP4" s="107">
        <v>0</v>
      </c>
      <c r="AQ4" s="107">
        <v>0</v>
      </c>
      <c r="AR4" s="107">
        <v>0</v>
      </c>
      <c r="AS4" s="107">
        <v>0</v>
      </c>
      <c r="AT4" s="107">
        <v>0</v>
      </c>
    </row>
    <row r="5" spans="1:46" customFormat="1" x14ac:dyDescent="0.15">
      <c r="A5" s="189" t="s">
        <v>194</v>
      </c>
      <c r="B5" s="107">
        <v>0</v>
      </c>
      <c r="C5" s="107">
        <v>0</v>
      </c>
      <c r="D5" s="107">
        <v>0</v>
      </c>
      <c r="E5" s="107">
        <v>1</v>
      </c>
      <c r="F5" s="107">
        <v>1</v>
      </c>
      <c r="G5" s="107">
        <v>0</v>
      </c>
      <c r="H5" s="107">
        <v>1</v>
      </c>
      <c r="I5" s="107">
        <v>1</v>
      </c>
      <c r="J5" s="107">
        <v>1</v>
      </c>
      <c r="K5" s="107">
        <v>1</v>
      </c>
      <c r="L5" s="107">
        <v>0</v>
      </c>
      <c r="M5" s="107">
        <v>0</v>
      </c>
      <c r="N5" s="107">
        <v>0</v>
      </c>
      <c r="O5" s="107">
        <v>1</v>
      </c>
      <c r="P5" s="107">
        <v>1</v>
      </c>
      <c r="Q5" s="107">
        <v>0</v>
      </c>
      <c r="R5" s="107">
        <v>1</v>
      </c>
      <c r="S5" s="107">
        <v>1</v>
      </c>
      <c r="T5" s="107">
        <v>0</v>
      </c>
      <c r="U5" s="107">
        <v>0</v>
      </c>
      <c r="V5" s="107">
        <v>1</v>
      </c>
      <c r="W5" s="107">
        <v>1</v>
      </c>
      <c r="X5" s="107">
        <v>0</v>
      </c>
      <c r="Y5" s="107">
        <v>1</v>
      </c>
      <c r="Z5" s="107">
        <v>0</v>
      </c>
      <c r="AA5" s="107">
        <v>1</v>
      </c>
      <c r="AB5" s="107">
        <v>0</v>
      </c>
      <c r="AC5" s="107">
        <v>1</v>
      </c>
      <c r="AD5" s="107">
        <v>1</v>
      </c>
      <c r="AE5" s="107">
        <v>0</v>
      </c>
      <c r="AF5" s="107">
        <v>1</v>
      </c>
      <c r="AG5" s="107">
        <v>1</v>
      </c>
      <c r="AH5" s="107">
        <v>1</v>
      </c>
      <c r="AI5" s="107">
        <v>1</v>
      </c>
      <c r="AJ5" s="107">
        <v>1</v>
      </c>
      <c r="AK5" s="107">
        <v>1</v>
      </c>
      <c r="AL5" s="107">
        <v>0</v>
      </c>
      <c r="AM5" s="107">
        <v>1</v>
      </c>
      <c r="AN5" s="107">
        <v>1</v>
      </c>
      <c r="AO5" s="107">
        <v>1</v>
      </c>
      <c r="AP5" s="107">
        <v>1</v>
      </c>
      <c r="AQ5" s="107">
        <v>0</v>
      </c>
      <c r="AR5" s="107">
        <v>0</v>
      </c>
      <c r="AS5" s="107">
        <v>0</v>
      </c>
      <c r="AT5" s="107">
        <v>0</v>
      </c>
    </row>
    <row r="6" spans="1:46" customFormat="1" x14ac:dyDescent="0.15">
      <c r="A6" s="189" t="s">
        <v>195</v>
      </c>
      <c r="B6" s="107">
        <v>0</v>
      </c>
      <c r="C6" s="107">
        <v>0</v>
      </c>
      <c r="D6" s="107">
        <v>0</v>
      </c>
      <c r="E6" s="107">
        <v>0</v>
      </c>
      <c r="F6" s="107">
        <v>1</v>
      </c>
      <c r="G6" s="107">
        <v>0</v>
      </c>
      <c r="H6" s="107">
        <v>1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1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1</v>
      </c>
      <c r="AD6" s="107">
        <v>1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  <c r="AL6" s="107">
        <v>0</v>
      </c>
      <c r="AM6" s="107">
        <v>0</v>
      </c>
      <c r="AN6" s="107">
        <v>0</v>
      </c>
      <c r="AO6" s="107">
        <v>1</v>
      </c>
      <c r="AP6" s="107">
        <v>0</v>
      </c>
      <c r="AQ6" s="107">
        <v>1</v>
      </c>
      <c r="AR6" s="107">
        <v>0</v>
      </c>
      <c r="AS6" s="107">
        <v>0</v>
      </c>
      <c r="AT6" s="107">
        <v>0</v>
      </c>
    </row>
    <row r="7" spans="1:46" customFormat="1" x14ac:dyDescent="0.15">
      <c r="A7" s="189" t="s">
        <v>196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1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1</v>
      </c>
      <c r="T7" s="107">
        <v>1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1</v>
      </c>
      <c r="AB7" s="107">
        <v>0</v>
      </c>
      <c r="AC7" s="107">
        <v>1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  <c r="AL7" s="107">
        <v>1</v>
      </c>
      <c r="AM7" s="107">
        <v>0</v>
      </c>
      <c r="AN7" s="107">
        <v>0</v>
      </c>
      <c r="AO7" s="107">
        <v>0</v>
      </c>
      <c r="AP7" s="107">
        <v>0</v>
      </c>
      <c r="AQ7" s="107">
        <v>0</v>
      </c>
      <c r="AR7" s="107">
        <v>0</v>
      </c>
      <c r="AS7" s="107">
        <v>0</v>
      </c>
      <c r="AT7" s="107">
        <v>0</v>
      </c>
    </row>
    <row r="8" spans="1:46" customFormat="1" x14ac:dyDescent="0.15">
      <c r="A8" s="189" t="s">
        <v>197</v>
      </c>
      <c r="B8" s="107">
        <v>0</v>
      </c>
      <c r="C8" s="107">
        <v>0</v>
      </c>
      <c r="D8" s="107">
        <v>0</v>
      </c>
      <c r="E8" s="107">
        <v>0</v>
      </c>
      <c r="F8" s="107">
        <v>1</v>
      </c>
      <c r="G8" s="107">
        <v>1</v>
      </c>
      <c r="H8" s="107">
        <v>1</v>
      </c>
      <c r="I8" s="107">
        <v>1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1</v>
      </c>
      <c r="Q8" s="107">
        <v>0</v>
      </c>
      <c r="R8" s="107">
        <v>1</v>
      </c>
      <c r="S8" s="107">
        <v>0</v>
      </c>
      <c r="T8" s="107">
        <v>1</v>
      </c>
      <c r="U8" s="107">
        <v>0</v>
      </c>
      <c r="V8" s="107">
        <v>1</v>
      </c>
      <c r="W8" s="107">
        <v>1</v>
      </c>
      <c r="X8" s="107">
        <v>1</v>
      </c>
      <c r="Y8" s="107">
        <v>1</v>
      </c>
      <c r="Z8" s="107">
        <v>1</v>
      </c>
      <c r="AA8" s="107">
        <v>0</v>
      </c>
      <c r="AB8" s="107">
        <v>0</v>
      </c>
      <c r="AC8" s="107">
        <v>1</v>
      </c>
      <c r="AD8" s="107">
        <v>0</v>
      </c>
      <c r="AE8" s="107">
        <v>1</v>
      </c>
      <c r="AF8" s="107">
        <v>0</v>
      </c>
      <c r="AG8" s="107">
        <v>0</v>
      </c>
      <c r="AH8" s="107">
        <v>1</v>
      </c>
      <c r="AI8" s="107">
        <v>1</v>
      </c>
      <c r="AJ8" s="107">
        <v>1</v>
      </c>
      <c r="AK8" s="107">
        <v>1</v>
      </c>
      <c r="AL8" s="107">
        <v>1</v>
      </c>
      <c r="AM8" s="107">
        <v>1</v>
      </c>
      <c r="AN8" s="107">
        <v>0</v>
      </c>
      <c r="AO8" s="107">
        <v>1</v>
      </c>
      <c r="AP8" s="107">
        <v>1</v>
      </c>
      <c r="AQ8" s="107">
        <v>1</v>
      </c>
      <c r="AR8" s="107">
        <v>1</v>
      </c>
      <c r="AS8" s="107">
        <v>0</v>
      </c>
      <c r="AT8" s="107">
        <v>0</v>
      </c>
    </row>
    <row r="9" spans="1:46" customFormat="1" x14ac:dyDescent="0.15">
      <c r="A9" s="189" t="s">
        <v>198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1</v>
      </c>
      <c r="AJ9" s="107">
        <v>0</v>
      </c>
      <c r="AK9" s="107">
        <v>0</v>
      </c>
      <c r="AL9" s="107">
        <v>0</v>
      </c>
      <c r="AM9" s="107">
        <v>0</v>
      </c>
      <c r="AN9" s="107">
        <v>0</v>
      </c>
      <c r="AO9" s="107">
        <v>0</v>
      </c>
      <c r="AP9" s="107">
        <v>1</v>
      </c>
      <c r="AQ9" s="107">
        <v>1</v>
      </c>
      <c r="AR9" s="107">
        <v>1</v>
      </c>
      <c r="AS9" s="107">
        <v>0</v>
      </c>
      <c r="AT9" s="107">
        <v>0</v>
      </c>
    </row>
    <row r="10" spans="1:46" customFormat="1" x14ac:dyDescent="0.15">
      <c r="A10" s="189" t="s">
        <v>199</v>
      </c>
      <c r="B10" s="107">
        <v>0</v>
      </c>
      <c r="C10" s="107">
        <v>0</v>
      </c>
      <c r="D10" s="107">
        <v>0</v>
      </c>
      <c r="E10" s="107">
        <v>0</v>
      </c>
      <c r="F10" s="107">
        <v>0</v>
      </c>
      <c r="G10" s="107">
        <v>1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1</v>
      </c>
      <c r="T10" s="107">
        <v>1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  <c r="AL10" s="107">
        <v>0</v>
      </c>
      <c r="AM10" s="107">
        <v>0</v>
      </c>
      <c r="AN10" s="107">
        <v>0</v>
      </c>
      <c r="AO10" s="107">
        <v>0</v>
      </c>
      <c r="AP10" s="107">
        <v>0</v>
      </c>
      <c r="AQ10" s="107">
        <v>1</v>
      </c>
      <c r="AR10" s="107">
        <v>0</v>
      </c>
      <c r="AS10" s="107">
        <v>0</v>
      </c>
      <c r="AT10" s="107">
        <v>0</v>
      </c>
    </row>
    <row r="11" spans="1:46" customFormat="1" x14ac:dyDescent="0.15">
      <c r="A11" s="189" t="s">
        <v>200</v>
      </c>
      <c r="B11" s="107">
        <v>0</v>
      </c>
      <c r="C11" s="107">
        <v>0</v>
      </c>
      <c r="D11" s="107">
        <v>0</v>
      </c>
      <c r="E11" s="107">
        <v>0</v>
      </c>
      <c r="F11" s="107">
        <v>1</v>
      </c>
      <c r="G11" s="107">
        <v>1</v>
      </c>
      <c r="H11" s="107">
        <v>0</v>
      </c>
      <c r="I11" s="107">
        <v>0</v>
      </c>
      <c r="J11" s="107">
        <v>1</v>
      </c>
      <c r="K11" s="107">
        <v>1</v>
      </c>
      <c r="L11" s="107">
        <v>0</v>
      </c>
      <c r="M11" s="107">
        <v>0</v>
      </c>
      <c r="N11" s="107">
        <v>0</v>
      </c>
      <c r="O11" s="107">
        <v>1</v>
      </c>
      <c r="P11" s="107">
        <v>1</v>
      </c>
      <c r="Q11" s="107">
        <v>0</v>
      </c>
      <c r="R11" s="107">
        <v>1</v>
      </c>
      <c r="S11" s="107">
        <v>1</v>
      </c>
      <c r="T11" s="107">
        <v>1</v>
      </c>
      <c r="U11" s="107">
        <v>1</v>
      </c>
      <c r="V11" s="107">
        <v>1</v>
      </c>
      <c r="W11" s="107">
        <v>1</v>
      </c>
      <c r="X11" s="107">
        <v>1</v>
      </c>
      <c r="Y11" s="107">
        <v>1</v>
      </c>
      <c r="Z11" s="107">
        <v>1</v>
      </c>
      <c r="AA11" s="107">
        <v>1</v>
      </c>
      <c r="AB11" s="107">
        <v>0</v>
      </c>
      <c r="AC11" s="107">
        <v>1</v>
      </c>
      <c r="AD11" s="107">
        <v>0</v>
      </c>
      <c r="AE11" s="107">
        <v>0</v>
      </c>
      <c r="AF11" s="107">
        <v>0</v>
      </c>
      <c r="AG11" s="107">
        <v>1</v>
      </c>
      <c r="AH11" s="107">
        <v>1</v>
      </c>
      <c r="AI11" s="107">
        <v>1</v>
      </c>
      <c r="AJ11" s="107">
        <v>1</v>
      </c>
      <c r="AK11" s="107">
        <v>1</v>
      </c>
      <c r="AL11" s="107">
        <v>1</v>
      </c>
      <c r="AM11" s="107">
        <v>0</v>
      </c>
      <c r="AN11" s="107">
        <v>0</v>
      </c>
      <c r="AO11" s="107">
        <v>1</v>
      </c>
      <c r="AP11" s="107">
        <v>0</v>
      </c>
      <c r="AQ11" s="107">
        <v>1</v>
      </c>
      <c r="AR11" s="107">
        <v>0</v>
      </c>
      <c r="AS11" s="107">
        <v>0</v>
      </c>
      <c r="AT11" s="107">
        <v>0</v>
      </c>
    </row>
    <row r="12" spans="1:46" customFormat="1" x14ac:dyDescent="0.15">
      <c r="A12" s="189" t="s">
        <v>201</v>
      </c>
      <c r="B12" s="107">
        <v>0</v>
      </c>
      <c r="C12" s="107">
        <v>0</v>
      </c>
      <c r="D12" s="107">
        <v>0</v>
      </c>
      <c r="E12" s="107">
        <v>0</v>
      </c>
      <c r="F12" s="107">
        <v>1</v>
      </c>
      <c r="G12" s="107">
        <v>1</v>
      </c>
      <c r="H12" s="107">
        <v>0</v>
      </c>
      <c r="I12" s="107">
        <v>0</v>
      </c>
      <c r="J12" s="107">
        <v>1</v>
      </c>
      <c r="K12" s="107">
        <v>1</v>
      </c>
      <c r="L12" s="107">
        <v>1</v>
      </c>
      <c r="M12" s="107">
        <v>0</v>
      </c>
      <c r="N12" s="107">
        <v>1</v>
      </c>
      <c r="O12" s="107">
        <v>1</v>
      </c>
      <c r="P12" s="107">
        <v>1</v>
      </c>
      <c r="Q12" s="107">
        <v>1</v>
      </c>
      <c r="R12" s="107">
        <v>1</v>
      </c>
      <c r="S12" s="107">
        <v>1</v>
      </c>
      <c r="T12" s="107">
        <v>1</v>
      </c>
      <c r="U12" s="107">
        <v>1</v>
      </c>
      <c r="V12" s="107">
        <v>1</v>
      </c>
      <c r="W12" s="107">
        <v>1</v>
      </c>
      <c r="X12" s="107">
        <v>1</v>
      </c>
      <c r="Y12" s="107">
        <v>1</v>
      </c>
      <c r="Z12" s="107">
        <v>1</v>
      </c>
      <c r="AA12" s="107">
        <v>1</v>
      </c>
      <c r="AB12" s="107">
        <v>0</v>
      </c>
      <c r="AC12" s="107">
        <v>1</v>
      </c>
      <c r="AD12" s="107">
        <v>0</v>
      </c>
      <c r="AE12" s="107">
        <v>0</v>
      </c>
      <c r="AF12" s="107">
        <v>0</v>
      </c>
      <c r="AG12" s="107">
        <v>1</v>
      </c>
      <c r="AH12" s="107">
        <v>1</v>
      </c>
      <c r="AI12" s="107">
        <v>1</v>
      </c>
      <c r="AJ12" s="107">
        <v>1</v>
      </c>
      <c r="AK12" s="107">
        <v>1</v>
      </c>
      <c r="AL12" s="107">
        <v>1</v>
      </c>
      <c r="AM12" s="107">
        <v>1</v>
      </c>
      <c r="AN12" s="107">
        <v>0</v>
      </c>
      <c r="AO12" s="107">
        <v>1</v>
      </c>
      <c r="AP12" s="107">
        <v>0</v>
      </c>
      <c r="AQ12" s="107">
        <v>1</v>
      </c>
      <c r="AR12" s="107">
        <v>0</v>
      </c>
      <c r="AS12" s="107">
        <v>0</v>
      </c>
      <c r="AT12" s="107">
        <v>0</v>
      </c>
    </row>
    <row r="13" spans="1:46" customFormat="1" x14ac:dyDescent="0.15">
      <c r="A13" s="189" t="s">
        <v>202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1</v>
      </c>
      <c r="H13" s="107">
        <v>0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1</v>
      </c>
      <c r="P13" s="107">
        <v>1</v>
      </c>
      <c r="Q13" s="107">
        <v>0</v>
      </c>
      <c r="R13" s="107">
        <v>1</v>
      </c>
      <c r="S13" s="107">
        <v>0</v>
      </c>
      <c r="T13" s="107">
        <v>0</v>
      </c>
      <c r="U13" s="107">
        <v>1</v>
      </c>
      <c r="V13" s="107">
        <v>0</v>
      </c>
      <c r="W13" s="107">
        <v>0</v>
      </c>
      <c r="X13" s="107">
        <v>0</v>
      </c>
      <c r="Y13" s="107">
        <v>0</v>
      </c>
      <c r="Z13" s="107">
        <v>1</v>
      </c>
      <c r="AA13" s="107">
        <v>0</v>
      </c>
      <c r="AB13" s="107">
        <v>0</v>
      </c>
      <c r="AC13" s="107">
        <v>1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0</v>
      </c>
      <c r="AN13" s="107">
        <v>0</v>
      </c>
      <c r="AO13" s="107">
        <v>0</v>
      </c>
      <c r="AP13" s="107">
        <v>0</v>
      </c>
      <c r="AQ13" s="107">
        <v>0</v>
      </c>
      <c r="AR13" s="107">
        <v>0</v>
      </c>
      <c r="AS13" s="107">
        <v>0</v>
      </c>
      <c r="AT13" s="107">
        <v>0</v>
      </c>
    </row>
    <row r="14" spans="1:46" customFormat="1" x14ac:dyDescent="0.15">
      <c r="A14" s="189" t="s">
        <v>203</v>
      </c>
      <c r="B14" s="107">
        <v>0</v>
      </c>
      <c r="C14" s="107">
        <v>0</v>
      </c>
      <c r="D14" s="107">
        <v>0</v>
      </c>
      <c r="E14" s="107">
        <v>0</v>
      </c>
      <c r="F14" s="107">
        <v>1</v>
      </c>
      <c r="G14" s="107">
        <v>0</v>
      </c>
      <c r="H14" s="107">
        <v>0</v>
      </c>
      <c r="I14" s="107">
        <v>0</v>
      </c>
      <c r="J14" s="107">
        <v>1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1</v>
      </c>
      <c r="Q14" s="107">
        <v>0</v>
      </c>
      <c r="R14" s="107">
        <v>0</v>
      </c>
      <c r="S14" s="107">
        <v>1</v>
      </c>
      <c r="T14" s="107">
        <v>1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  <c r="AL14" s="107">
        <v>0</v>
      </c>
      <c r="AM14" s="107">
        <v>0</v>
      </c>
      <c r="AN14" s="107">
        <v>0</v>
      </c>
      <c r="AO14" s="107">
        <v>0</v>
      </c>
      <c r="AP14" s="107">
        <v>0</v>
      </c>
      <c r="AQ14" s="107">
        <v>0</v>
      </c>
      <c r="AR14" s="107">
        <v>0</v>
      </c>
      <c r="AS14" s="107">
        <v>0</v>
      </c>
      <c r="AT14" s="107">
        <v>0</v>
      </c>
    </row>
    <row r="15" spans="1:46" customFormat="1" x14ac:dyDescent="0.15">
      <c r="A15" s="189" t="s">
        <v>204</v>
      </c>
      <c r="B15" s="107">
        <v>0</v>
      </c>
      <c r="C15" s="107">
        <v>0</v>
      </c>
      <c r="D15" s="107">
        <v>0</v>
      </c>
      <c r="E15" s="107">
        <v>0</v>
      </c>
      <c r="F15" s="107">
        <v>1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1</v>
      </c>
      <c r="P15" s="107">
        <v>1</v>
      </c>
      <c r="Q15" s="107">
        <v>0</v>
      </c>
      <c r="R15" s="107">
        <v>1</v>
      </c>
      <c r="S15" s="107">
        <v>1</v>
      </c>
      <c r="T15" s="107">
        <v>1</v>
      </c>
      <c r="U15" s="107">
        <v>0</v>
      </c>
      <c r="V15" s="107">
        <v>0</v>
      </c>
      <c r="W15" s="107">
        <v>0</v>
      </c>
      <c r="X15" s="107">
        <v>1</v>
      </c>
      <c r="Y15" s="107">
        <v>0</v>
      </c>
      <c r="Z15" s="107">
        <v>1</v>
      </c>
      <c r="AA15" s="107">
        <v>1</v>
      </c>
      <c r="AB15" s="107">
        <v>0</v>
      </c>
      <c r="AC15" s="107">
        <v>0</v>
      </c>
      <c r="AD15" s="107">
        <v>1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1</v>
      </c>
      <c r="AK15" s="107">
        <v>0</v>
      </c>
      <c r="AL15" s="107">
        <v>0</v>
      </c>
      <c r="AM15" s="107">
        <v>0</v>
      </c>
      <c r="AN15" s="107">
        <v>0</v>
      </c>
      <c r="AO15" s="107">
        <v>1</v>
      </c>
      <c r="AP15" s="107">
        <v>0</v>
      </c>
      <c r="AQ15" s="107">
        <v>0</v>
      </c>
      <c r="AR15" s="107">
        <v>0</v>
      </c>
      <c r="AS15" s="107">
        <v>0</v>
      </c>
      <c r="AT15" s="107">
        <v>0</v>
      </c>
    </row>
    <row r="16" spans="1:46" customFormat="1" x14ac:dyDescent="0.15">
      <c r="A16" s="189" t="s">
        <v>205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1</v>
      </c>
      <c r="P16" s="107">
        <v>1</v>
      </c>
      <c r="Q16" s="107">
        <v>0</v>
      </c>
      <c r="R16" s="107">
        <v>1</v>
      </c>
      <c r="S16" s="107">
        <v>1</v>
      </c>
      <c r="T16" s="107">
        <v>1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1</v>
      </c>
      <c r="AA16" s="107">
        <v>1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0</v>
      </c>
      <c r="AN16" s="107">
        <v>0</v>
      </c>
      <c r="AO16" s="107">
        <v>1</v>
      </c>
      <c r="AP16" s="107">
        <v>0</v>
      </c>
      <c r="AQ16" s="107">
        <v>1</v>
      </c>
      <c r="AR16" s="107">
        <v>0</v>
      </c>
      <c r="AS16" s="107">
        <v>0</v>
      </c>
      <c r="AT16" s="107">
        <v>0</v>
      </c>
    </row>
    <row r="17" spans="1:46" customFormat="1" x14ac:dyDescent="0.15">
      <c r="A17" s="189" t="s">
        <v>206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1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  <c r="AL17" s="107">
        <v>0</v>
      </c>
      <c r="AM17" s="107">
        <v>0</v>
      </c>
      <c r="AN17" s="107">
        <v>0</v>
      </c>
      <c r="AO17" s="107">
        <v>0</v>
      </c>
      <c r="AP17" s="107">
        <v>0</v>
      </c>
      <c r="AQ17" s="107">
        <v>0</v>
      </c>
      <c r="AR17" s="107">
        <v>0</v>
      </c>
      <c r="AS17" s="107">
        <v>0</v>
      </c>
      <c r="AT17" s="107">
        <v>0</v>
      </c>
    </row>
    <row r="18" spans="1:46" customFormat="1" x14ac:dyDescent="0.15">
      <c r="A18" s="189" t="s">
        <v>207</v>
      </c>
      <c r="B18" s="107">
        <v>0</v>
      </c>
      <c r="C18" s="107">
        <v>0</v>
      </c>
      <c r="D18" s="107">
        <v>0</v>
      </c>
      <c r="E18" s="107">
        <v>0</v>
      </c>
      <c r="F18" s="107">
        <v>1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</v>
      </c>
      <c r="Q18" s="107">
        <v>0</v>
      </c>
      <c r="R18" s="107">
        <v>1</v>
      </c>
      <c r="S18" s="107">
        <v>1</v>
      </c>
      <c r="T18" s="107">
        <v>1</v>
      </c>
      <c r="U18" s="107">
        <v>0</v>
      </c>
      <c r="V18" s="107">
        <v>0</v>
      </c>
      <c r="W18" s="107">
        <v>0</v>
      </c>
      <c r="X18" s="107">
        <v>1</v>
      </c>
      <c r="Y18" s="107">
        <v>0</v>
      </c>
      <c r="Z18" s="107">
        <v>1</v>
      </c>
      <c r="AA18" s="107">
        <v>0</v>
      </c>
      <c r="AB18" s="107">
        <v>0</v>
      </c>
      <c r="AC18" s="107">
        <v>0</v>
      </c>
      <c r="AD18" s="107">
        <v>1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1</v>
      </c>
      <c r="AK18" s="107">
        <v>0</v>
      </c>
      <c r="AL18" s="107">
        <v>0</v>
      </c>
      <c r="AM18" s="107">
        <v>0</v>
      </c>
      <c r="AN18" s="107">
        <v>0</v>
      </c>
      <c r="AO18" s="107">
        <v>0</v>
      </c>
      <c r="AP18" s="107">
        <v>0</v>
      </c>
      <c r="AQ18" s="107">
        <v>1</v>
      </c>
      <c r="AR18" s="107">
        <v>0</v>
      </c>
      <c r="AS18" s="107">
        <v>0</v>
      </c>
      <c r="AT18" s="107">
        <v>0</v>
      </c>
    </row>
    <row r="19" spans="1:46" customFormat="1" x14ac:dyDescent="0.15">
      <c r="A19" s="189" t="s">
        <v>208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1</v>
      </c>
      <c r="T19" s="107">
        <v>1</v>
      </c>
      <c r="U19" s="107">
        <v>0</v>
      </c>
      <c r="V19" s="107">
        <v>0</v>
      </c>
      <c r="W19" s="107">
        <v>1</v>
      </c>
      <c r="X19" s="107">
        <v>1</v>
      </c>
      <c r="Y19" s="107">
        <v>0</v>
      </c>
      <c r="Z19" s="107">
        <v>0</v>
      </c>
      <c r="AA19" s="107">
        <v>1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1</v>
      </c>
      <c r="AK19" s="107">
        <v>0</v>
      </c>
      <c r="AL19" s="107">
        <v>1</v>
      </c>
      <c r="AM19" s="107">
        <v>0</v>
      </c>
      <c r="AN19" s="107">
        <v>0</v>
      </c>
      <c r="AO19" s="107">
        <v>0</v>
      </c>
      <c r="AP19" s="107">
        <v>0</v>
      </c>
      <c r="AQ19" s="107">
        <v>0</v>
      </c>
      <c r="AR19" s="107">
        <v>0</v>
      </c>
      <c r="AS19" s="107">
        <v>0</v>
      </c>
      <c r="AT19" s="107">
        <v>0</v>
      </c>
    </row>
    <row r="20" spans="1:46" customFormat="1" x14ac:dyDescent="0.15">
      <c r="A20" s="189" t="s">
        <v>209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1</v>
      </c>
      <c r="AJ20" s="107">
        <v>0</v>
      </c>
      <c r="AK20" s="107">
        <v>0</v>
      </c>
      <c r="AL20" s="107">
        <v>1</v>
      </c>
      <c r="AM20" s="107">
        <v>0</v>
      </c>
      <c r="AN20" s="107">
        <v>0</v>
      </c>
      <c r="AO20" s="107">
        <v>0</v>
      </c>
      <c r="AP20" s="107">
        <v>0</v>
      </c>
      <c r="AQ20" s="107">
        <v>1</v>
      </c>
      <c r="AR20" s="107">
        <v>0</v>
      </c>
      <c r="AS20" s="107">
        <v>0</v>
      </c>
      <c r="AT20" s="107">
        <v>0</v>
      </c>
    </row>
    <row r="21" spans="1:46" customFormat="1" x14ac:dyDescent="0.15">
      <c r="A21" s="189" t="s">
        <v>210</v>
      </c>
      <c r="B21" s="107">
        <v>0</v>
      </c>
      <c r="C21" s="107">
        <v>0</v>
      </c>
      <c r="D21" s="107">
        <v>0</v>
      </c>
      <c r="E21" s="107">
        <v>0</v>
      </c>
      <c r="F21" s="107">
        <v>1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1</v>
      </c>
      <c r="P21" s="107">
        <v>0</v>
      </c>
      <c r="Q21" s="107">
        <v>0</v>
      </c>
      <c r="R21" s="107">
        <v>1</v>
      </c>
      <c r="S21" s="107">
        <v>1</v>
      </c>
      <c r="T21" s="107">
        <v>1</v>
      </c>
      <c r="U21" s="107">
        <v>0</v>
      </c>
      <c r="V21" s="107">
        <v>1</v>
      </c>
      <c r="W21" s="107">
        <v>1</v>
      </c>
      <c r="X21" s="107">
        <v>1</v>
      </c>
      <c r="Y21" s="107">
        <v>0</v>
      </c>
      <c r="Z21" s="107">
        <v>1</v>
      </c>
      <c r="AA21" s="107">
        <v>1</v>
      </c>
      <c r="AB21" s="107">
        <v>0</v>
      </c>
      <c r="AC21" s="107">
        <v>0</v>
      </c>
      <c r="AD21" s="107">
        <v>0</v>
      </c>
      <c r="AE21" s="107">
        <v>1</v>
      </c>
      <c r="AF21" s="107">
        <v>0</v>
      </c>
      <c r="AG21" s="107">
        <v>1</v>
      </c>
      <c r="AH21" s="107">
        <v>1</v>
      </c>
      <c r="AI21" s="107">
        <v>1</v>
      </c>
      <c r="AJ21" s="107">
        <v>1</v>
      </c>
      <c r="AK21" s="107">
        <v>1</v>
      </c>
      <c r="AL21" s="107">
        <v>1</v>
      </c>
      <c r="AM21" s="107">
        <v>0</v>
      </c>
      <c r="AN21" s="107">
        <v>0</v>
      </c>
      <c r="AO21" s="107">
        <v>1</v>
      </c>
      <c r="AP21" s="107">
        <v>0</v>
      </c>
      <c r="AQ21" s="107">
        <v>1</v>
      </c>
      <c r="AR21" s="107">
        <v>0</v>
      </c>
      <c r="AS21" s="107">
        <v>0</v>
      </c>
      <c r="AT21" s="107">
        <v>0</v>
      </c>
    </row>
    <row r="22" spans="1:46" customFormat="1" x14ac:dyDescent="0.15">
      <c r="A22" s="189" t="s">
        <v>211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</v>
      </c>
      <c r="W22" s="107">
        <v>0</v>
      </c>
      <c r="X22" s="107">
        <v>0</v>
      </c>
      <c r="Y22" s="107">
        <v>0</v>
      </c>
      <c r="Z22" s="107">
        <v>1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  <c r="AI22" s="107">
        <v>0</v>
      </c>
      <c r="AJ22" s="107">
        <v>1</v>
      </c>
      <c r="AK22" s="107">
        <v>0</v>
      </c>
      <c r="AL22" s="107">
        <v>1</v>
      </c>
      <c r="AM22" s="107">
        <v>0</v>
      </c>
      <c r="AN22" s="107">
        <v>0</v>
      </c>
      <c r="AO22" s="107">
        <v>0</v>
      </c>
      <c r="AP22" s="107">
        <v>0</v>
      </c>
      <c r="AQ22" s="107">
        <v>0</v>
      </c>
      <c r="AR22" s="107">
        <v>0</v>
      </c>
      <c r="AS22" s="107">
        <v>0</v>
      </c>
      <c r="AT22" s="107">
        <v>0</v>
      </c>
    </row>
    <row r="23" spans="1:46" customFormat="1" x14ac:dyDescent="0.15">
      <c r="A23" s="189" t="s">
        <v>212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</v>
      </c>
      <c r="S23" s="107">
        <v>1</v>
      </c>
      <c r="T23" s="107">
        <v>0</v>
      </c>
      <c r="U23" s="107">
        <v>0</v>
      </c>
      <c r="V23" s="107">
        <v>0</v>
      </c>
      <c r="W23" s="107">
        <v>0</v>
      </c>
      <c r="X23" s="107">
        <v>0</v>
      </c>
      <c r="Y23" s="107">
        <v>1</v>
      </c>
      <c r="Z23" s="107">
        <v>1</v>
      </c>
      <c r="AA23" s="107">
        <v>0</v>
      </c>
      <c r="AB23" s="107">
        <v>0</v>
      </c>
      <c r="AC23" s="107">
        <v>0</v>
      </c>
      <c r="AD23" s="107">
        <v>1</v>
      </c>
      <c r="AE23" s="107">
        <v>1</v>
      </c>
      <c r="AF23" s="107">
        <v>0</v>
      </c>
      <c r="AG23" s="107">
        <v>0</v>
      </c>
      <c r="AH23" s="107">
        <v>0</v>
      </c>
      <c r="AI23" s="107">
        <v>0</v>
      </c>
      <c r="AJ23" s="107">
        <v>1</v>
      </c>
      <c r="AK23" s="107">
        <v>0</v>
      </c>
      <c r="AL23" s="107">
        <v>1</v>
      </c>
      <c r="AM23" s="107">
        <v>0</v>
      </c>
      <c r="AN23" s="107">
        <v>0</v>
      </c>
      <c r="AO23" s="107">
        <v>0</v>
      </c>
      <c r="AP23" s="107">
        <v>0</v>
      </c>
      <c r="AQ23" s="107">
        <v>1</v>
      </c>
      <c r="AR23" s="107">
        <v>0</v>
      </c>
      <c r="AS23" s="107">
        <v>0</v>
      </c>
      <c r="AT23" s="107">
        <v>0</v>
      </c>
    </row>
    <row r="24" spans="1:46" customFormat="1" x14ac:dyDescent="0.15">
      <c r="A24" s="189" t="s">
        <v>213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1</v>
      </c>
      <c r="X24" s="107">
        <v>1</v>
      </c>
      <c r="Y24" s="107">
        <v>0</v>
      </c>
      <c r="Z24" s="107">
        <v>1</v>
      </c>
      <c r="AA24" s="107">
        <v>0</v>
      </c>
      <c r="AB24" s="107">
        <v>0</v>
      </c>
      <c r="AC24" s="107">
        <v>0</v>
      </c>
      <c r="AD24" s="107">
        <v>0</v>
      </c>
      <c r="AE24" s="107">
        <v>1</v>
      </c>
      <c r="AF24" s="107">
        <v>0</v>
      </c>
      <c r="AG24" s="107">
        <v>0</v>
      </c>
      <c r="AH24" s="107">
        <v>0</v>
      </c>
      <c r="AI24" s="107">
        <v>1</v>
      </c>
      <c r="AJ24" s="107">
        <v>0</v>
      </c>
      <c r="AK24" s="107">
        <v>1</v>
      </c>
      <c r="AL24" s="107">
        <v>0</v>
      </c>
      <c r="AM24" s="107">
        <v>1</v>
      </c>
      <c r="AN24" s="107">
        <v>0</v>
      </c>
      <c r="AO24" s="107">
        <v>0</v>
      </c>
      <c r="AP24" s="107">
        <v>0</v>
      </c>
      <c r="AQ24" s="107">
        <v>0</v>
      </c>
      <c r="AR24" s="107">
        <v>0</v>
      </c>
      <c r="AS24" s="107">
        <v>0</v>
      </c>
      <c r="AT24" s="107">
        <v>0</v>
      </c>
    </row>
    <row r="25" spans="1:46" customFormat="1" x14ac:dyDescent="0.15">
      <c r="A25" s="189" t="s">
        <v>214</v>
      </c>
      <c r="B25" s="107">
        <v>0</v>
      </c>
      <c r="C25" s="107">
        <v>0</v>
      </c>
      <c r="D25" s="107">
        <v>0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</v>
      </c>
      <c r="Y25" s="107">
        <v>0</v>
      </c>
      <c r="Z25" s="107">
        <v>0</v>
      </c>
      <c r="AA25" s="107">
        <v>1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  <c r="AL25" s="107">
        <v>0</v>
      </c>
      <c r="AM25" s="107">
        <v>0</v>
      </c>
      <c r="AN25" s="107">
        <v>0</v>
      </c>
      <c r="AO25" s="107">
        <v>0</v>
      </c>
      <c r="AP25" s="107">
        <v>0</v>
      </c>
      <c r="AQ25" s="107">
        <v>0</v>
      </c>
      <c r="AR25" s="107">
        <v>0</v>
      </c>
      <c r="AS25" s="107">
        <v>0</v>
      </c>
      <c r="AT25" s="107">
        <v>0</v>
      </c>
    </row>
    <row r="26" spans="1:46" customFormat="1" x14ac:dyDescent="0.15">
      <c r="A26" s="189" t="s">
        <v>215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</v>
      </c>
      <c r="Y26" s="107">
        <v>0</v>
      </c>
      <c r="Z26" s="107">
        <v>1</v>
      </c>
      <c r="AA26" s="107">
        <v>0</v>
      </c>
      <c r="AB26" s="107">
        <v>0</v>
      </c>
      <c r="AC26" s="107">
        <v>0</v>
      </c>
      <c r="AD26" s="107">
        <v>0</v>
      </c>
      <c r="AE26" s="107">
        <v>1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  <c r="AL26" s="107">
        <v>1</v>
      </c>
      <c r="AM26" s="107">
        <v>0</v>
      </c>
      <c r="AN26" s="107">
        <v>0</v>
      </c>
      <c r="AO26" s="107">
        <v>0</v>
      </c>
      <c r="AP26" s="107">
        <v>0</v>
      </c>
      <c r="AQ26" s="107">
        <v>0</v>
      </c>
      <c r="AR26" s="107">
        <v>0</v>
      </c>
      <c r="AS26" s="107">
        <v>0</v>
      </c>
      <c r="AT26" s="107">
        <v>0</v>
      </c>
    </row>
    <row r="27" spans="1:46" customFormat="1" x14ac:dyDescent="0.15">
      <c r="A27" s="189" t="s">
        <v>216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0</v>
      </c>
      <c r="Q27" s="107">
        <v>0</v>
      </c>
      <c r="R27" s="107">
        <v>0</v>
      </c>
      <c r="S27" s="107">
        <v>1</v>
      </c>
      <c r="T27" s="107">
        <v>1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  <c r="AL27" s="107">
        <v>1</v>
      </c>
      <c r="AM27" s="107">
        <v>0</v>
      </c>
      <c r="AN27" s="107">
        <v>0</v>
      </c>
      <c r="AO27" s="107">
        <v>0</v>
      </c>
      <c r="AP27" s="107">
        <v>0</v>
      </c>
      <c r="AQ27" s="107">
        <v>0</v>
      </c>
      <c r="AR27" s="107">
        <v>0</v>
      </c>
      <c r="AS27" s="107">
        <v>0</v>
      </c>
      <c r="AT27" s="107">
        <v>0</v>
      </c>
    </row>
    <row r="28" spans="1:46" customFormat="1" x14ac:dyDescent="0.15">
      <c r="A28" s="189" t="s">
        <v>217</v>
      </c>
      <c r="B28" s="107">
        <v>0</v>
      </c>
      <c r="C28" s="107">
        <v>0</v>
      </c>
      <c r="D28" s="107">
        <v>0</v>
      </c>
      <c r="E28" s="107">
        <v>0</v>
      </c>
      <c r="F28" s="107">
        <v>1</v>
      </c>
      <c r="G28" s="107">
        <v>0</v>
      </c>
      <c r="H28" s="107">
        <v>1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1</v>
      </c>
      <c r="Y28" s="107">
        <v>1</v>
      </c>
      <c r="Z28" s="107">
        <v>1</v>
      </c>
      <c r="AA28" s="107">
        <v>0</v>
      </c>
      <c r="AB28" s="107">
        <v>0</v>
      </c>
      <c r="AC28" s="107">
        <v>1</v>
      </c>
      <c r="AD28" s="107">
        <v>1</v>
      </c>
      <c r="AE28" s="107">
        <v>1</v>
      </c>
      <c r="AF28" s="107">
        <v>0</v>
      </c>
      <c r="AG28" s="107">
        <v>0</v>
      </c>
      <c r="AH28" s="107">
        <v>1</v>
      </c>
      <c r="AI28" s="107">
        <v>0</v>
      </c>
      <c r="AJ28" s="107">
        <v>0</v>
      </c>
      <c r="AK28" s="107">
        <v>1</v>
      </c>
      <c r="AL28" s="107">
        <v>1</v>
      </c>
      <c r="AM28" s="107">
        <v>1</v>
      </c>
      <c r="AN28" s="107">
        <v>0</v>
      </c>
      <c r="AO28" s="107">
        <v>1</v>
      </c>
      <c r="AP28" s="107">
        <v>1</v>
      </c>
      <c r="AQ28" s="107">
        <v>1</v>
      </c>
      <c r="AR28" s="107">
        <v>0</v>
      </c>
      <c r="AS28" s="107">
        <v>0</v>
      </c>
      <c r="AT28" s="107">
        <v>0</v>
      </c>
    </row>
    <row r="29" spans="1:46" customFormat="1" x14ac:dyDescent="0.15">
      <c r="A29" s="189" t="s">
        <v>218</v>
      </c>
      <c r="B29" s="107">
        <v>0</v>
      </c>
      <c r="C29" s="107">
        <v>0</v>
      </c>
      <c r="D29" s="107">
        <v>0</v>
      </c>
      <c r="E29" s="107">
        <v>0</v>
      </c>
      <c r="F29" s="107">
        <v>1</v>
      </c>
      <c r="G29" s="107">
        <v>0</v>
      </c>
      <c r="H29" s="107">
        <v>1</v>
      </c>
      <c r="I29" s="107">
        <v>1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1</v>
      </c>
      <c r="S29" s="107">
        <v>0</v>
      </c>
      <c r="T29" s="107">
        <v>0</v>
      </c>
      <c r="U29" s="107">
        <v>0</v>
      </c>
      <c r="V29" s="107">
        <v>0</v>
      </c>
      <c r="W29" s="107">
        <v>0</v>
      </c>
      <c r="X29" s="107">
        <v>1</v>
      </c>
      <c r="Y29" s="107">
        <v>0</v>
      </c>
      <c r="Z29" s="107">
        <v>1</v>
      </c>
      <c r="AA29" s="107">
        <v>0</v>
      </c>
      <c r="AB29" s="107">
        <v>0</v>
      </c>
      <c r="AC29" s="107">
        <v>1</v>
      </c>
      <c r="AD29" s="107">
        <v>1</v>
      </c>
      <c r="AE29" s="107">
        <v>1</v>
      </c>
      <c r="AF29" s="107">
        <v>0</v>
      </c>
      <c r="AG29" s="107">
        <v>0</v>
      </c>
      <c r="AH29" s="107">
        <v>0</v>
      </c>
      <c r="AI29" s="107">
        <v>1</v>
      </c>
      <c r="AJ29" s="107">
        <v>1</v>
      </c>
      <c r="AK29" s="107">
        <v>0</v>
      </c>
      <c r="AL29" s="107">
        <v>1</v>
      </c>
      <c r="AM29" s="107">
        <v>0</v>
      </c>
      <c r="AN29" s="107">
        <v>0</v>
      </c>
      <c r="AO29" s="107">
        <v>1</v>
      </c>
      <c r="AP29" s="107">
        <v>1</v>
      </c>
      <c r="AQ29" s="107">
        <v>0</v>
      </c>
      <c r="AR29" s="107">
        <v>0</v>
      </c>
      <c r="AS29" s="107">
        <v>0</v>
      </c>
      <c r="AT29" s="107">
        <v>0</v>
      </c>
    </row>
    <row r="30" spans="1:46" customFormat="1" x14ac:dyDescent="0.15">
      <c r="A30" s="189" t="s">
        <v>219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</v>
      </c>
      <c r="S30" s="107">
        <v>0</v>
      </c>
      <c r="T30" s="107">
        <v>0</v>
      </c>
      <c r="U30" s="107">
        <v>0</v>
      </c>
      <c r="V30" s="107">
        <v>0</v>
      </c>
      <c r="W30" s="107">
        <v>0</v>
      </c>
      <c r="X30" s="107">
        <v>1</v>
      </c>
      <c r="Y30" s="107">
        <v>0</v>
      </c>
      <c r="Z30" s="107">
        <v>1</v>
      </c>
      <c r="AA30" s="107">
        <v>1</v>
      </c>
      <c r="AB30" s="107">
        <v>0</v>
      </c>
      <c r="AC30" s="107">
        <v>0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  <c r="AI30" s="107">
        <v>1</v>
      </c>
      <c r="AJ30" s="107">
        <v>0</v>
      </c>
      <c r="AK30" s="107">
        <v>0</v>
      </c>
      <c r="AL30" s="107">
        <v>1</v>
      </c>
      <c r="AM30" s="107">
        <v>1</v>
      </c>
      <c r="AN30" s="107">
        <v>0</v>
      </c>
      <c r="AO30" s="107">
        <v>0</v>
      </c>
      <c r="AP30" s="107">
        <v>1</v>
      </c>
      <c r="AQ30" s="107">
        <v>0</v>
      </c>
      <c r="AR30" s="107">
        <v>1</v>
      </c>
      <c r="AS30" s="107">
        <v>0</v>
      </c>
      <c r="AT30" s="107">
        <v>0</v>
      </c>
    </row>
    <row r="31" spans="1:46" customFormat="1" x14ac:dyDescent="0.15">
      <c r="A31" s="189" t="s">
        <v>220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</v>
      </c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1</v>
      </c>
      <c r="AM31" s="107">
        <v>0</v>
      </c>
      <c r="AN31" s="107">
        <v>0</v>
      </c>
      <c r="AO31" s="107">
        <v>0</v>
      </c>
      <c r="AP31" s="107">
        <v>0</v>
      </c>
      <c r="AQ31" s="107">
        <v>0</v>
      </c>
      <c r="AR31" s="107">
        <v>1</v>
      </c>
      <c r="AS31" s="107">
        <v>0</v>
      </c>
      <c r="AT31" s="107">
        <v>0</v>
      </c>
    </row>
    <row r="32" spans="1:46" x14ac:dyDescent="0.15">
      <c r="A32" s="189" t="s">
        <v>221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1</v>
      </c>
      <c r="I32" s="107">
        <v>1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1</v>
      </c>
      <c r="T32" s="107">
        <v>0</v>
      </c>
      <c r="U32" s="107">
        <v>0</v>
      </c>
      <c r="V32" s="107">
        <v>1</v>
      </c>
      <c r="W32" s="107">
        <v>1</v>
      </c>
      <c r="X32" s="107">
        <v>0</v>
      </c>
      <c r="Y32" s="107">
        <v>1</v>
      </c>
      <c r="Z32" s="107">
        <v>1</v>
      </c>
      <c r="AA32" s="107">
        <v>1</v>
      </c>
      <c r="AB32" s="107">
        <v>0</v>
      </c>
      <c r="AC32" s="107">
        <v>0</v>
      </c>
      <c r="AD32" s="107">
        <v>0</v>
      </c>
      <c r="AE32" s="107">
        <v>1</v>
      </c>
      <c r="AF32" s="107">
        <v>0</v>
      </c>
      <c r="AG32" s="107">
        <v>1</v>
      </c>
      <c r="AH32" s="107">
        <v>1</v>
      </c>
      <c r="AI32" s="107">
        <v>1</v>
      </c>
      <c r="AJ32" s="107">
        <v>1</v>
      </c>
      <c r="AK32" s="107">
        <v>1</v>
      </c>
      <c r="AL32" s="107">
        <v>1</v>
      </c>
      <c r="AM32" s="107">
        <v>0</v>
      </c>
      <c r="AN32" s="107">
        <v>0</v>
      </c>
      <c r="AO32" s="107">
        <v>1</v>
      </c>
      <c r="AP32" s="107">
        <v>1</v>
      </c>
      <c r="AQ32" s="107">
        <v>1</v>
      </c>
      <c r="AR32" s="107">
        <v>0</v>
      </c>
      <c r="AS32" s="107">
        <v>0</v>
      </c>
      <c r="AT32" s="107">
        <v>0</v>
      </c>
    </row>
    <row r="33" spans="1:46" x14ac:dyDescent="0.15">
      <c r="A33" s="189" t="s">
        <v>222</v>
      </c>
      <c r="B33" s="107">
        <v>0</v>
      </c>
      <c r="C33" s="107">
        <v>0</v>
      </c>
      <c r="D33" s="107">
        <v>0</v>
      </c>
      <c r="E33" s="107">
        <v>0</v>
      </c>
      <c r="F33" s="107">
        <v>1</v>
      </c>
      <c r="G33" s="107">
        <v>0</v>
      </c>
      <c r="H33" s="107">
        <v>1</v>
      </c>
      <c r="I33" s="107">
        <v>1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1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  <c r="AH33" s="107">
        <v>1</v>
      </c>
      <c r="AI33" s="107">
        <v>1</v>
      </c>
      <c r="AJ33" s="107">
        <v>0</v>
      </c>
      <c r="AK33" s="107">
        <v>1</v>
      </c>
      <c r="AL33" s="107">
        <v>0</v>
      </c>
      <c r="AM33" s="107">
        <v>0</v>
      </c>
      <c r="AN33" s="107">
        <v>0</v>
      </c>
      <c r="AO33" s="107">
        <v>0</v>
      </c>
      <c r="AP33" s="107">
        <v>1</v>
      </c>
      <c r="AQ33" s="107">
        <v>0</v>
      </c>
      <c r="AR33" s="107">
        <v>0</v>
      </c>
      <c r="AS33" s="107">
        <v>0</v>
      </c>
      <c r="AT33" s="107">
        <v>0</v>
      </c>
    </row>
    <row r="34" spans="1:46" x14ac:dyDescent="0.15">
      <c r="A34" s="189" t="s">
        <v>223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1</v>
      </c>
      <c r="X34" s="107">
        <v>0</v>
      </c>
      <c r="Y34" s="107">
        <v>0</v>
      </c>
      <c r="Z34" s="107">
        <v>1</v>
      </c>
      <c r="AA34" s="107">
        <v>0</v>
      </c>
      <c r="AB34" s="107">
        <v>0</v>
      </c>
      <c r="AC34" s="107">
        <v>0</v>
      </c>
      <c r="AD34" s="107">
        <v>0</v>
      </c>
      <c r="AE34" s="107">
        <v>1</v>
      </c>
      <c r="AF34" s="107">
        <v>0</v>
      </c>
      <c r="AG34" s="107">
        <v>0</v>
      </c>
      <c r="AH34" s="107">
        <v>0</v>
      </c>
      <c r="AI34" s="107">
        <v>1</v>
      </c>
      <c r="AJ34" s="107">
        <v>0</v>
      </c>
      <c r="AK34" s="107">
        <v>0</v>
      </c>
      <c r="AL34" s="107">
        <v>1</v>
      </c>
      <c r="AM34" s="107">
        <v>0</v>
      </c>
      <c r="AN34" s="107">
        <v>0</v>
      </c>
      <c r="AO34" s="107">
        <v>1</v>
      </c>
      <c r="AP34" s="107">
        <v>0</v>
      </c>
      <c r="AQ34" s="107">
        <v>0</v>
      </c>
      <c r="AR34" s="107">
        <v>0</v>
      </c>
      <c r="AS34" s="107">
        <v>0</v>
      </c>
      <c r="AT34" s="107">
        <v>0</v>
      </c>
    </row>
    <row r="35" spans="1:46" x14ac:dyDescent="0.15">
      <c r="A35" s="189" t="s">
        <v>224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1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</row>
    <row r="36" spans="1:46" x14ac:dyDescent="0.15">
      <c r="A36" s="189" t="s">
        <v>225</v>
      </c>
      <c r="B36" s="107">
        <v>0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07">
        <v>0</v>
      </c>
      <c r="I36" s="107">
        <v>0</v>
      </c>
      <c r="J36" s="107">
        <v>0</v>
      </c>
      <c r="K36" s="107">
        <v>0</v>
      </c>
      <c r="L36" s="107">
        <v>0</v>
      </c>
      <c r="M36" s="107">
        <v>0</v>
      </c>
      <c r="N36" s="107">
        <v>0</v>
      </c>
      <c r="O36" s="107">
        <v>0</v>
      </c>
      <c r="P36" s="107">
        <v>0</v>
      </c>
      <c r="Q36" s="107">
        <v>0</v>
      </c>
      <c r="R36" s="107">
        <v>0</v>
      </c>
      <c r="S36" s="107">
        <v>0</v>
      </c>
      <c r="T36" s="107">
        <v>0</v>
      </c>
      <c r="U36" s="107">
        <v>0</v>
      </c>
      <c r="V36" s="107">
        <v>0</v>
      </c>
      <c r="W36" s="107">
        <v>0</v>
      </c>
      <c r="X36" s="107">
        <v>0</v>
      </c>
      <c r="Y36" s="107">
        <v>0</v>
      </c>
      <c r="Z36" s="107">
        <v>0</v>
      </c>
      <c r="AA36" s="107">
        <v>0</v>
      </c>
      <c r="AB36" s="107">
        <v>0</v>
      </c>
      <c r="AC36" s="107">
        <v>0</v>
      </c>
      <c r="AD36" s="107">
        <v>0</v>
      </c>
      <c r="AE36" s="107">
        <v>0</v>
      </c>
      <c r="AF36" s="107">
        <v>0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  <c r="AL36" s="107">
        <v>0</v>
      </c>
      <c r="AM36" s="107">
        <v>0</v>
      </c>
      <c r="AN36" s="107">
        <v>0</v>
      </c>
      <c r="AO36" s="107">
        <v>0</v>
      </c>
      <c r="AP36" s="107">
        <v>0</v>
      </c>
      <c r="AQ36" s="107">
        <v>0</v>
      </c>
      <c r="AR36" s="107">
        <v>0</v>
      </c>
      <c r="AS36" s="107">
        <v>0</v>
      </c>
      <c r="AT36" s="107">
        <v>0</v>
      </c>
    </row>
    <row r="37" spans="1:46" x14ac:dyDescent="0.15">
      <c r="A37" s="189" t="s">
        <v>226</v>
      </c>
      <c r="B37" s="107">
        <v>0</v>
      </c>
      <c r="C37" s="107">
        <v>0</v>
      </c>
      <c r="D37" s="107">
        <v>0</v>
      </c>
      <c r="E37" s="107">
        <v>0</v>
      </c>
      <c r="F37" s="107">
        <v>0</v>
      </c>
      <c r="G37" s="107">
        <v>0</v>
      </c>
      <c r="H37" s="107">
        <v>0</v>
      </c>
      <c r="I37" s="107">
        <v>0</v>
      </c>
      <c r="J37" s="107">
        <v>0</v>
      </c>
      <c r="K37" s="107">
        <v>0</v>
      </c>
      <c r="L37" s="107">
        <v>0</v>
      </c>
      <c r="M37" s="107">
        <v>0</v>
      </c>
      <c r="N37" s="107">
        <v>0</v>
      </c>
      <c r="O37" s="107">
        <v>0</v>
      </c>
      <c r="P37" s="107">
        <v>0</v>
      </c>
      <c r="Q37" s="107">
        <v>0</v>
      </c>
      <c r="R37" s="107">
        <v>0</v>
      </c>
      <c r="S37" s="107">
        <v>0</v>
      </c>
      <c r="T37" s="107">
        <v>0</v>
      </c>
      <c r="U37" s="107">
        <v>0</v>
      </c>
      <c r="V37" s="107">
        <v>0</v>
      </c>
      <c r="W37" s="107">
        <v>0</v>
      </c>
      <c r="X37" s="107">
        <v>0</v>
      </c>
      <c r="Y37" s="107">
        <v>0</v>
      </c>
      <c r="Z37" s="107">
        <v>1</v>
      </c>
      <c r="AA37" s="107">
        <v>0</v>
      </c>
      <c r="AB37" s="107">
        <v>0</v>
      </c>
      <c r="AC37" s="107">
        <v>0</v>
      </c>
      <c r="AD37" s="107">
        <v>0</v>
      </c>
      <c r="AE37" s="107">
        <v>0</v>
      </c>
      <c r="AF37" s="107">
        <v>0</v>
      </c>
      <c r="AG37" s="107">
        <v>0</v>
      </c>
      <c r="AH37" s="107">
        <v>0</v>
      </c>
      <c r="AI37" s="107">
        <v>0</v>
      </c>
      <c r="AJ37" s="107">
        <v>0</v>
      </c>
      <c r="AK37" s="107">
        <v>0</v>
      </c>
      <c r="AL37" s="107">
        <v>0</v>
      </c>
      <c r="AM37" s="107">
        <v>0</v>
      </c>
      <c r="AN37" s="107">
        <v>0</v>
      </c>
      <c r="AO37" s="107">
        <v>0</v>
      </c>
      <c r="AP37" s="107">
        <v>0</v>
      </c>
      <c r="AQ37" s="107">
        <v>0</v>
      </c>
      <c r="AR37" s="107">
        <v>0</v>
      </c>
      <c r="AS37" s="107">
        <v>0</v>
      </c>
      <c r="AT37" s="107">
        <v>0</v>
      </c>
    </row>
    <row r="38" spans="1:46" x14ac:dyDescent="0.15">
      <c r="A38" s="189" t="s">
        <v>227</v>
      </c>
      <c r="B38" s="107">
        <v>0</v>
      </c>
      <c r="C38" s="107">
        <v>0</v>
      </c>
      <c r="D38" s="107">
        <v>0</v>
      </c>
      <c r="E38" s="107">
        <v>0</v>
      </c>
      <c r="F38" s="107">
        <v>0</v>
      </c>
      <c r="G38" s="107">
        <v>0</v>
      </c>
      <c r="H38" s="107">
        <v>0</v>
      </c>
      <c r="I38" s="107">
        <v>0</v>
      </c>
      <c r="J38" s="107">
        <v>0</v>
      </c>
      <c r="K38" s="107">
        <v>0</v>
      </c>
      <c r="L38" s="107">
        <v>0</v>
      </c>
      <c r="M38" s="107">
        <v>0</v>
      </c>
      <c r="N38" s="107">
        <v>0</v>
      </c>
      <c r="O38" s="107">
        <v>0</v>
      </c>
      <c r="P38" s="107">
        <v>0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A38" s="107">
        <v>0</v>
      </c>
      <c r="AB38" s="107">
        <v>0</v>
      </c>
      <c r="AC38" s="107">
        <v>0</v>
      </c>
      <c r="AD38" s="107">
        <v>0</v>
      </c>
      <c r="AE38" s="107">
        <v>0</v>
      </c>
      <c r="AF38" s="107">
        <v>0</v>
      </c>
      <c r="AG38" s="107">
        <v>0</v>
      </c>
      <c r="AH38" s="107">
        <v>0</v>
      </c>
      <c r="AI38" s="107">
        <v>0</v>
      </c>
      <c r="AJ38" s="107">
        <v>0</v>
      </c>
      <c r="AK38" s="107">
        <v>0</v>
      </c>
      <c r="AL38" s="107">
        <v>0</v>
      </c>
      <c r="AM38" s="107">
        <v>0</v>
      </c>
      <c r="AN38" s="107">
        <v>0</v>
      </c>
      <c r="AO38" s="107">
        <v>0</v>
      </c>
      <c r="AP38" s="107">
        <v>0</v>
      </c>
      <c r="AQ38" s="107">
        <v>0</v>
      </c>
      <c r="AR38" s="107">
        <v>0</v>
      </c>
      <c r="AS38" s="107">
        <v>0</v>
      </c>
      <c r="AT38" s="107">
        <v>0</v>
      </c>
    </row>
    <row r="39" spans="1:46" x14ac:dyDescent="0.15">
      <c r="A39" s="189" t="s">
        <v>228</v>
      </c>
      <c r="B39" s="107">
        <v>0</v>
      </c>
      <c r="C39" s="107">
        <v>0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107">
        <v>0</v>
      </c>
      <c r="J39" s="107">
        <v>0</v>
      </c>
      <c r="K39" s="107">
        <v>0</v>
      </c>
      <c r="L39" s="107">
        <v>0</v>
      </c>
      <c r="M39" s="107">
        <v>0</v>
      </c>
      <c r="N39" s="107">
        <v>0</v>
      </c>
      <c r="O39" s="107"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A39" s="107">
        <v>0</v>
      </c>
      <c r="AB39" s="107">
        <v>0</v>
      </c>
      <c r="AC39" s="107">
        <v>0</v>
      </c>
      <c r="AD39" s="107">
        <v>0</v>
      </c>
      <c r="AE39" s="107">
        <v>0</v>
      </c>
      <c r="AF39" s="107">
        <v>0</v>
      </c>
      <c r="AG39" s="107">
        <v>0</v>
      </c>
      <c r="AH39" s="107">
        <v>0</v>
      </c>
      <c r="AI39" s="107">
        <v>0</v>
      </c>
      <c r="AJ39" s="107">
        <v>0</v>
      </c>
      <c r="AK39" s="107">
        <v>0</v>
      </c>
      <c r="AL39" s="107">
        <v>0</v>
      </c>
      <c r="AM39" s="107">
        <v>0</v>
      </c>
      <c r="AN39" s="107">
        <v>0</v>
      </c>
      <c r="AO39" s="107">
        <v>0</v>
      </c>
      <c r="AP39" s="107">
        <v>0</v>
      </c>
      <c r="AQ39" s="107">
        <v>0</v>
      </c>
      <c r="AR39" s="107">
        <v>0</v>
      </c>
      <c r="AS39" s="107">
        <v>0</v>
      </c>
      <c r="AT39" s="107">
        <v>0</v>
      </c>
    </row>
    <row r="40" spans="1:46" x14ac:dyDescent="0.15">
      <c r="A40" s="189" t="s">
        <v>229</v>
      </c>
      <c r="B40" s="107">
        <v>0</v>
      </c>
      <c r="C40" s="107">
        <v>0</v>
      </c>
      <c r="D40" s="107">
        <v>0</v>
      </c>
      <c r="E40" s="107">
        <v>0</v>
      </c>
      <c r="F40" s="107">
        <v>0</v>
      </c>
      <c r="G40" s="107">
        <v>0</v>
      </c>
      <c r="H40" s="107">
        <v>0</v>
      </c>
      <c r="I40" s="107">
        <v>0</v>
      </c>
      <c r="J40" s="107">
        <v>0</v>
      </c>
      <c r="K40" s="107">
        <v>0</v>
      </c>
      <c r="L40" s="107">
        <v>0</v>
      </c>
      <c r="M40" s="107">
        <v>0</v>
      </c>
      <c r="N40" s="107">
        <v>0</v>
      </c>
      <c r="O40" s="107">
        <v>0</v>
      </c>
      <c r="P40" s="107">
        <v>0</v>
      </c>
      <c r="Q40" s="107">
        <v>0</v>
      </c>
      <c r="R40" s="107">
        <v>0</v>
      </c>
      <c r="S40" s="107">
        <v>0</v>
      </c>
      <c r="T40" s="107">
        <v>0</v>
      </c>
      <c r="U40" s="107">
        <v>0</v>
      </c>
      <c r="V40" s="107">
        <v>0</v>
      </c>
      <c r="W40" s="107">
        <v>0</v>
      </c>
      <c r="X40" s="107">
        <v>0</v>
      </c>
      <c r="Y40" s="107">
        <v>0</v>
      </c>
      <c r="Z40" s="107">
        <v>0</v>
      </c>
      <c r="AA40" s="107">
        <v>0</v>
      </c>
      <c r="AB40" s="107">
        <v>0</v>
      </c>
      <c r="AC40" s="107">
        <v>0</v>
      </c>
      <c r="AD40" s="107">
        <v>0</v>
      </c>
      <c r="AE40" s="107">
        <v>0</v>
      </c>
      <c r="AF40" s="107">
        <v>0</v>
      </c>
      <c r="AG40" s="107">
        <v>0</v>
      </c>
      <c r="AH40" s="107">
        <v>0</v>
      </c>
      <c r="AI40" s="107">
        <v>0</v>
      </c>
      <c r="AJ40" s="107">
        <v>0</v>
      </c>
      <c r="AK40" s="107">
        <v>0</v>
      </c>
      <c r="AL40" s="107">
        <v>0</v>
      </c>
      <c r="AM40" s="107">
        <v>0</v>
      </c>
      <c r="AN40" s="107">
        <v>0</v>
      </c>
      <c r="AO40" s="107">
        <v>0</v>
      </c>
      <c r="AP40" s="107">
        <v>0</v>
      </c>
      <c r="AQ40" s="107">
        <v>0</v>
      </c>
      <c r="AR40" s="107">
        <v>0</v>
      </c>
      <c r="AS40" s="107">
        <v>0</v>
      </c>
      <c r="AT40" s="107">
        <v>0</v>
      </c>
    </row>
    <row r="41" spans="1:46" x14ac:dyDescent="0.15">
      <c r="A41" s="189" t="s">
        <v>230</v>
      </c>
      <c r="B41" s="107">
        <v>0</v>
      </c>
      <c r="C41" s="107">
        <v>0</v>
      </c>
      <c r="D41" s="107">
        <v>0</v>
      </c>
      <c r="E41" s="107">
        <v>0</v>
      </c>
      <c r="F41" s="107">
        <v>0</v>
      </c>
      <c r="G41" s="107">
        <v>0</v>
      </c>
      <c r="H41" s="107">
        <v>0</v>
      </c>
      <c r="I41" s="107">
        <v>0</v>
      </c>
      <c r="J41" s="107">
        <v>0</v>
      </c>
      <c r="K41" s="107">
        <v>0</v>
      </c>
      <c r="L41" s="107">
        <v>0</v>
      </c>
      <c r="M41" s="107">
        <v>0</v>
      </c>
      <c r="N41" s="107">
        <v>0</v>
      </c>
      <c r="O41" s="107">
        <v>0</v>
      </c>
      <c r="P41" s="107">
        <v>0</v>
      </c>
      <c r="Q41" s="107">
        <v>0</v>
      </c>
      <c r="R41" s="107">
        <v>0</v>
      </c>
      <c r="S41" s="107">
        <v>0</v>
      </c>
      <c r="T41" s="107">
        <v>0</v>
      </c>
      <c r="U41" s="107">
        <v>0</v>
      </c>
      <c r="V41" s="107">
        <v>0</v>
      </c>
      <c r="W41" s="107">
        <v>0</v>
      </c>
      <c r="X41" s="107">
        <v>0</v>
      </c>
      <c r="Y41" s="107">
        <v>0</v>
      </c>
      <c r="Z41" s="107">
        <v>0</v>
      </c>
      <c r="AA41" s="107">
        <v>0</v>
      </c>
      <c r="AB41" s="107">
        <v>0</v>
      </c>
      <c r="AC41" s="107">
        <v>0</v>
      </c>
      <c r="AD41" s="107">
        <v>0</v>
      </c>
      <c r="AE41" s="107">
        <v>0</v>
      </c>
      <c r="AF41" s="107">
        <v>0</v>
      </c>
      <c r="AG41" s="107">
        <v>0</v>
      </c>
      <c r="AH41" s="107">
        <v>0</v>
      </c>
      <c r="AI41" s="107">
        <v>0</v>
      </c>
      <c r="AJ41" s="107">
        <v>0</v>
      </c>
      <c r="AK41" s="107">
        <v>0</v>
      </c>
      <c r="AL41" s="107">
        <v>0</v>
      </c>
      <c r="AM41" s="107">
        <v>0</v>
      </c>
      <c r="AN41" s="107">
        <v>0</v>
      </c>
      <c r="AO41" s="107">
        <v>1</v>
      </c>
      <c r="AP41" s="107">
        <v>0</v>
      </c>
      <c r="AQ41" s="107">
        <v>0</v>
      </c>
      <c r="AR41" s="107">
        <v>0</v>
      </c>
      <c r="AS41" s="107">
        <v>0</v>
      </c>
      <c r="AT41" s="107">
        <v>0</v>
      </c>
    </row>
    <row r="42" spans="1:46" x14ac:dyDescent="0.15">
      <c r="A42" s="189" t="s">
        <v>231</v>
      </c>
      <c r="B42" s="107">
        <v>0</v>
      </c>
      <c r="C42" s="107">
        <v>0</v>
      </c>
      <c r="D42" s="107">
        <v>0</v>
      </c>
      <c r="E42" s="107">
        <v>0</v>
      </c>
      <c r="F42" s="107">
        <v>0</v>
      </c>
      <c r="G42" s="107">
        <v>0</v>
      </c>
      <c r="H42" s="107">
        <v>0</v>
      </c>
      <c r="I42" s="107">
        <v>0</v>
      </c>
      <c r="J42" s="107">
        <v>0</v>
      </c>
      <c r="K42" s="107">
        <v>0</v>
      </c>
      <c r="L42" s="107">
        <v>0</v>
      </c>
      <c r="M42" s="107">
        <v>0</v>
      </c>
      <c r="N42" s="107">
        <v>0</v>
      </c>
      <c r="O42" s="107">
        <v>0</v>
      </c>
      <c r="P42" s="107">
        <v>0</v>
      </c>
      <c r="Q42" s="107">
        <v>0</v>
      </c>
      <c r="R42" s="107">
        <v>0</v>
      </c>
      <c r="S42" s="107">
        <v>0</v>
      </c>
      <c r="T42" s="107">
        <v>0</v>
      </c>
      <c r="U42" s="107">
        <v>0</v>
      </c>
      <c r="V42" s="107">
        <v>0</v>
      </c>
      <c r="W42" s="107">
        <v>0</v>
      </c>
      <c r="X42" s="107">
        <v>0</v>
      </c>
      <c r="Y42" s="107">
        <v>0</v>
      </c>
      <c r="Z42" s="107">
        <v>0</v>
      </c>
      <c r="AA42" s="107">
        <v>0</v>
      </c>
      <c r="AB42" s="107">
        <v>0</v>
      </c>
      <c r="AC42" s="107">
        <v>0</v>
      </c>
      <c r="AD42" s="107">
        <v>0</v>
      </c>
      <c r="AE42" s="107">
        <v>0</v>
      </c>
      <c r="AF42" s="107">
        <v>0</v>
      </c>
      <c r="AG42" s="107">
        <v>0</v>
      </c>
      <c r="AH42" s="107">
        <v>0</v>
      </c>
      <c r="AI42" s="107">
        <v>0</v>
      </c>
      <c r="AJ42" s="107">
        <v>0</v>
      </c>
      <c r="AK42" s="107">
        <v>0</v>
      </c>
      <c r="AL42" s="107">
        <v>0</v>
      </c>
      <c r="AM42" s="107">
        <v>0</v>
      </c>
      <c r="AN42" s="107">
        <v>0</v>
      </c>
      <c r="AO42" s="107">
        <v>0</v>
      </c>
      <c r="AP42" s="107">
        <v>0</v>
      </c>
      <c r="AQ42" s="107">
        <v>0</v>
      </c>
      <c r="AR42" s="107">
        <v>0</v>
      </c>
      <c r="AS42" s="107">
        <v>0</v>
      </c>
      <c r="AT42" s="107">
        <v>0</v>
      </c>
    </row>
    <row r="43" spans="1:46" x14ac:dyDescent="0.15">
      <c r="A43" s="189" t="s">
        <v>232</v>
      </c>
      <c r="B43" s="107">
        <v>0</v>
      </c>
      <c r="C43" s="107">
        <v>0</v>
      </c>
      <c r="D43" s="107">
        <v>0</v>
      </c>
      <c r="E43" s="107">
        <v>0</v>
      </c>
      <c r="F43" s="107">
        <v>0</v>
      </c>
      <c r="G43" s="107">
        <v>0</v>
      </c>
      <c r="H43" s="107">
        <v>0</v>
      </c>
      <c r="I43" s="107">
        <v>0</v>
      </c>
      <c r="J43" s="107">
        <v>0</v>
      </c>
      <c r="K43" s="107">
        <v>0</v>
      </c>
      <c r="L43" s="107">
        <v>0</v>
      </c>
      <c r="M43" s="107">
        <v>0</v>
      </c>
      <c r="N43" s="107">
        <v>0</v>
      </c>
      <c r="O43" s="107">
        <v>0</v>
      </c>
      <c r="P43" s="107">
        <v>0</v>
      </c>
      <c r="Q43" s="107">
        <v>0</v>
      </c>
      <c r="R43" s="107">
        <v>0</v>
      </c>
      <c r="S43" s="107">
        <v>0</v>
      </c>
      <c r="T43" s="107">
        <v>0</v>
      </c>
      <c r="U43" s="107">
        <v>0</v>
      </c>
      <c r="V43" s="107">
        <v>0</v>
      </c>
      <c r="W43" s="107">
        <v>0</v>
      </c>
      <c r="X43" s="107">
        <v>0</v>
      </c>
      <c r="Y43" s="107">
        <v>0</v>
      </c>
      <c r="Z43" s="107">
        <v>0</v>
      </c>
      <c r="AA43" s="107">
        <v>0</v>
      </c>
      <c r="AB43" s="107">
        <v>0</v>
      </c>
      <c r="AC43" s="107">
        <v>0</v>
      </c>
      <c r="AD43" s="107">
        <v>0</v>
      </c>
      <c r="AE43" s="107">
        <v>0</v>
      </c>
      <c r="AF43" s="107">
        <v>0</v>
      </c>
      <c r="AG43" s="107">
        <v>0</v>
      </c>
      <c r="AH43" s="107">
        <v>0</v>
      </c>
      <c r="AI43" s="107">
        <v>0</v>
      </c>
      <c r="AJ43" s="107">
        <v>0</v>
      </c>
      <c r="AK43" s="107">
        <v>0</v>
      </c>
      <c r="AL43" s="107">
        <v>0</v>
      </c>
      <c r="AM43" s="107">
        <v>0</v>
      </c>
      <c r="AN43" s="107">
        <v>0</v>
      </c>
      <c r="AO43" s="107">
        <v>0</v>
      </c>
      <c r="AP43" s="107">
        <v>0</v>
      </c>
      <c r="AQ43" s="107">
        <v>0</v>
      </c>
      <c r="AR43" s="107">
        <v>1</v>
      </c>
      <c r="AS43" s="107">
        <v>0</v>
      </c>
      <c r="AT43" s="107">
        <v>0</v>
      </c>
    </row>
    <row r="44" spans="1:46" x14ac:dyDescent="0.15">
      <c r="A44" s="189" t="s">
        <v>233</v>
      </c>
      <c r="B44" s="107">
        <v>0</v>
      </c>
      <c r="C44" s="107">
        <v>0</v>
      </c>
      <c r="D44" s="107">
        <v>0</v>
      </c>
      <c r="E44" s="107">
        <v>0</v>
      </c>
      <c r="F44" s="107">
        <v>0</v>
      </c>
      <c r="G44" s="107">
        <v>0</v>
      </c>
      <c r="H44" s="107">
        <v>0</v>
      </c>
      <c r="I44" s="107">
        <v>0</v>
      </c>
      <c r="J44" s="107">
        <v>0</v>
      </c>
      <c r="K44" s="107">
        <v>0</v>
      </c>
      <c r="L44" s="107">
        <v>0</v>
      </c>
      <c r="M44" s="107">
        <v>0</v>
      </c>
      <c r="N44" s="107">
        <v>0</v>
      </c>
      <c r="O44" s="107">
        <v>0</v>
      </c>
      <c r="P44" s="107">
        <v>0</v>
      </c>
      <c r="Q44" s="107">
        <v>0</v>
      </c>
      <c r="R44" s="107">
        <v>0</v>
      </c>
      <c r="S44" s="107">
        <v>0</v>
      </c>
      <c r="T44" s="107">
        <v>0</v>
      </c>
      <c r="U44" s="107">
        <v>0</v>
      </c>
      <c r="V44" s="107">
        <v>0</v>
      </c>
      <c r="W44" s="107">
        <v>0</v>
      </c>
      <c r="X44" s="107">
        <v>0</v>
      </c>
      <c r="Y44" s="107">
        <v>0</v>
      </c>
      <c r="Z44" s="107">
        <v>0</v>
      </c>
      <c r="AA44" s="107">
        <v>0</v>
      </c>
      <c r="AB44" s="107">
        <v>0</v>
      </c>
      <c r="AC44" s="107">
        <v>0</v>
      </c>
      <c r="AD44" s="107">
        <v>0</v>
      </c>
      <c r="AE44" s="107">
        <v>0</v>
      </c>
      <c r="AF44" s="107">
        <v>0</v>
      </c>
      <c r="AG44" s="107">
        <v>0</v>
      </c>
      <c r="AH44" s="107">
        <v>0</v>
      </c>
      <c r="AI44" s="107">
        <v>0</v>
      </c>
      <c r="AJ44" s="107">
        <v>0</v>
      </c>
      <c r="AK44" s="107">
        <v>0</v>
      </c>
      <c r="AL44" s="107">
        <v>0</v>
      </c>
      <c r="AM44" s="107">
        <v>0</v>
      </c>
      <c r="AN44" s="107">
        <v>0</v>
      </c>
      <c r="AO44" s="107">
        <v>0</v>
      </c>
      <c r="AP44" s="107">
        <v>0</v>
      </c>
      <c r="AQ44" s="107">
        <v>0</v>
      </c>
      <c r="AR44" s="107">
        <v>0</v>
      </c>
      <c r="AS44" s="107">
        <v>0</v>
      </c>
      <c r="AT44" s="107">
        <v>0</v>
      </c>
    </row>
    <row r="45" spans="1:46" x14ac:dyDescent="0.15">
      <c r="A45" s="189" t="s">
        <v>234</v>
      </c>
      <c r="B45" s="107">
        <v>0</v>
      </c>
      <c r="C45" s="107">
        <v>0</v>
      </c>
      <c r="D45" s="107">
        <v>1</v>
      </c>
      <c r="E45" s="107">
        <v>1</v>
      </c>
      <c r="F45" s="107">
        <v>0</v>
      </c>
      <c r="G45" s="107">
        <v>0</v>
      </c>
      <c r="H45" s="107">
        <v>0</v>
      </c>
      <c r="I45" s="107">
        <v>0</v>
      </c>
      <c r="J45" s="107">
        <v>1</v>
      </c>
      <c r="K45" s="107">
        <v>1</v>
      </c>
      <c r="L45" s="107">
        <v>1</v>
      </c>
      <c r="M45" s="107">
        <v>1</v>
      </c>
      <c r="N45" s="107">
        <v>0</v>
      </c>
      <c r="O45" s="107">
        <v>1</v>
      </c>
      <c r="P45" s="107">
        <v>1</v>
      </c>
      <c r="Q45" s="107">
        <v>1</v>
      </c>
      <c r="R45" s="107">
        <v>1</v>
      </c>
      <c r="S45" s="107">
        <v>0</v>
      </c>
      <c r="T45" s="107">
        <v>0</v>
      </c>
      <c r="U45" s="107">
        <v>0</v>
      </c>
      <c r="V45" s="107">
        <v>0</v>
      </c>
      <c r="W45" s="107">
        <v>0</v>
      </c>
      <c r="X45" s="107">
        <v>0</v>
      </c>
      <c r="Y45" s="107">
        <v>0</v>
      </c>
      <c r="Z45" s="107">
        <v>0</v>
      </c>
      <c r="AA45" s="107">
        <v>0</v>
      </c>
      <c r="AB45" s="107">
        <v>0</v>
      </c>
      <c r="AC45" s="107">
        <v>0</v>
      </c>
      <c r="AD45" s="107">
        <v>0</v>
      </c>
      <c r="AE45" s="107">
        <v>0</v>
      </c>
      <c r="AF45" s="107">
        <v>0</v>
      </c>
      <c r="AG45" s="107">
        <v>0</v>
      </c>
      <c r="AH45" s="107">
        <v>0</v>
      </c>
      <c r="AI45" s="107">
        <v>0</v>
      </c>
      <c r="AJ45" s="107">
        <v>0</v>
      </c>
      <c r="AK45" s="107">
        <v>0</v>
      </c>
      <c r="AL45" s="107">
        <v>0</v>
      </c>
      <c r="AM45" s="107">
        <v>0</v>
      </c>
      <c r="AN45" s="107">
        <v>0</v>
      </c>
      <c r="AO45" s="107">
        <v>0</v>
      </c>
      <c r="AP45" s="107">
        <v>0</v>
      </c>
      <c r="AQ45" s="107">
        <v>0</v>
      </c>
      <c r="AR45" s="107">
        <v>0</v>
      </c>
      <c r="AS45" s="107">
        <v>0</v>
      </c>
      <c r="AT45" s="107">
        <v>0</v>
      </c>
    </row>
    <row r="46" spans="1:46" x14ac:dyDescent="0.15">
      <c r="A46" s="189" t="s">
        <v>235</v>
      </c>
      <c r="B46" s="107">
        <v>0</v>
      </c>
      <c r="C46" s="107">
        <v>0</v>
      </c>
      <c r="D46" s="107">
        <v>0</v>
      </c>
      <c r="E46" s="107">
        <v>0</v>
      </c>
      <c r="F46" s="107">
        <v>0</v>
      </c>
      <c r="G46" s="107">
        <v>0</v>
      </c>
      <c r="H46" s="107">
        <v>0</v>
      </c>
      <c r="I46" s="107">
        <v>0</v>
      </c>
      <c r="J46" s="107">
        <v>0</v>
      </c>
      <c r="K46" s="107">
        <v>0</v>
      </c>
      <c r="L46" s="107">
        <v>0</v>
      </c>
      <c r="M46" s="107">
        <v>0</v>
      </c>
      <c r="N46" s="107">
        <v>0</v>
      </c>
      <c r="O46" s="107">
        <v>0</v>
      </c>
      <c r="P46" s="107">
        <v>0</v>
      </c>
      <c r="Q46" s="107">
        <v>0</v>
      </c>
      <c r="R46" s="107">
        <v>0</v>
      </c>
      <c r="S46" s="107">
        <v>0</v>
      </c>
      <c r="T46" s="107">
        <v>0</v>
      </c>
      <c r="U46" s="107">
        <v>0</v>
      </c>
      <c r="V46" s="107">
        <v>0</v>
      </c>
      <c r="W46" s="107">
        <v>0</v>
      </c>
      <c r="X46" s="107">
        <v>0</v>
      </c>
      <c r="Y46" s="107">
        <v>0</v>
      </c>
      <c r="Z46" s="107">
        <v>0</v>
      </c>
      <c r="AA46" s="107">
        <v>0</v>
      </c>
      <c r="AB46" s="107">
        <v>0</v>
      </c>
      <c r="AC46" s="107">
        <v>0</v>
      </c>
      <c r="AD46" s="107">
        <v>0</v>
      </c>
      <c r="AE46" s="107">
        <v>0</v>
      </c>
      <c r="AF46" s="107">
        <v>0</v>
      </c>
      <c r="AG46" s="107">
        <v>0</v>
      </c>
      <c r="AH46" s="107">
        <v>0</v>
      </c>
      <c r="AI46" s="107">
        <v>0</v>
      </c>
      <c r="AJ46" s="107">
        <v>0</v>
      </c>
      <c r="AK46" s="107">
        <v>0</v>
      </c>
      <c r="AL46" s="107">
        <v>0</v>
      </c>
      <c r="AM46" s="107">
        <v>0</v>
      </c>
      <c r="AN46" s="107">
        <v>0</v>
      </c>
      <c r="AO46" s="107">
        <v>0</v>
      </c>
      <c r="AP46" s="107">
        <v>0</v>
      </c>
      <c r="AQ46" s="107">
        <v>0</v>
      </c>
      <c r="AR46" s="107">
        <v>0</v>
      </c>
      <c r="AS46" s="107">
        <v>0</v>
      </c>
      <c r="AT46" s="107">
        <v>0</v>
      </c>
    </row>
    <row r="47" spans="1:46" x14ac:dyDescent="0.15">
      <c r="A47" s="189" t="s">
        <v>247</v>
      </c>
      <c r="B47" s="107">
        <v>0</v>
      </c>
      <c r="C47" s="107">
        <v>0</v>
      </c>
      <c r="D47" s="107">
        <v>0</v>
      </c>
      <c r="E47" s="107">
        <v>0</v>
      </c>
      <c r="F47" s="107">
        <v>0</v>
      </c>
      <c r="G47" s="107">
        <v>0</v>
      </c>
      <c r="H47" s="107">
        <v>0</v>
      </c>
      <c r="I47" s="107">
        <v>0</v>
      </c>
      <c r="J47" s="107">
        <v>0</v>
      </c>
      <c r="K47" s="107">
        <v>0</v>
      </c>
      <c r="L47" s="107">
        <v>0</v>
      </c>
      <c r="M47" s="107">
        <v>0</v>
      </c>
      <c r="N47" s="107">
        <v>0</v>
      </c>
      <c r="O47" s="107">
        <v>0</v>
      </c>
      <c r="P47" s="107">
        <v>0</v>
      </c>
      <c r="Q47" s="107">
        <v>0</v>
      </c>
      <c r="R47" s="107">
        <v>0</v>
      </c>
      <c r="S47" s="107">
        <v>0</v>
      </c>
      <c r="T47" s="107">
        <v>0</v>
      </c>
      <c r="U47" s="107">
        <v>0</v>
      </c>
      <c r="V47" s="107">
        <v>0</v>
      </c>
      <c r="W47" s="107">
        <v>0</v>
      </c>
      <c r="X47" s="107">
        <v>0</v>
      </c>
      <c r="Y47" s="107">
        <v>0</v>
      </c>
      <c r="Z47" s="107">
        <v>0</v>
      </c>
      <c r="AA47" s="107">
        <v>0</v>
      </c>
      <c r="AB47" s="107">
        <v>0</v>
      </c>
      <c r="AC47" s="107">
        <v>0</v>
      </c>
      <c r="AD47" s="107">
        <v>0</v>
      </c>
      <c r="AE47" s="107">
        <v>0</v>
      </c>
      <c r="AF47" s="107">
        <v>0</v>
      </c>
      <c r="AG47" s="107">
        <v>0</v>
      </c>
      <c r="AH47" s="107">
        <v>0</v>
      </c>
      <c r="AI47" s="107">
        <v>0</v>
      </c>
      <c r="AJ47" s="107">
        <v>0</v>
      </c>
      <c r="AK47" s="107">
        <v>0</v>
      </c>
      <c r="AL47" s="107">
        <v>0</v>
      </c>
      <c r="AM47" s="107">
        <v>0</v>
      </c>
      <c r="AN47" s="107">
        <v>0</v>
      </c>
      <c r="AO47" s="107">
        <v>1</v>
      </c>
      <c r="AP47" s="107">
        <v>0</v>
      </c>
      <c r="AQ47" s="107">
        <v>0</v>
      </c>
      <c r="AR47" s="107">
        <v>0</v>
      </c>
      <c r="AS47" s="107">
        <v>0</v>
      </c>
      <c r="AT47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O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7.33203125" bestFit="1" customWidth="1"/>
    <col min="3" max="4" width="3.83203125" bestFit="1" customWidth="1"/>
    <col min="5" max="15" width="3.83203125" customWidth="1"/>
  </cols>
  <sheetData>
    <row r="1" spans="1:15" ht="112" x14ac:dyDescent="0.15">
      <c r="A1" s="5" t="s">
        <v>83</v>
      </c>
      <c r="B1" s="3" t="s">
        <v>0</v>
      </c>
      <c r="C1" s="192" t="s">
        <v>236</v>
      </c>
      <c r="D1" s="192" t="s">
        <v>237</v>
      </c>
      <c r="E1" s="192" t="s">
        <v>238</v>
      </c>
      <c r="F1" s="192" t="s">
        <v>239</v>
      </c>
      <c r="G1" s="192" t="s">
        <v>240</v>
      </c>
      <c r="H1" s="192" t="s">
        <v>195</v>
      </c>
      <c r="I1" s="192" t="s">
        <v>241</v>
      </c>
      <c r="J1" s="192" t="s">
        <v>196</v>
      </c>
      <c r="K1" s="192" t="s">
        <v>242</v>
      </c>
      <c r="L1" s="192" t="s">
        <v>243</v>
      </c>
      <c r="M1" s="192" t="s">
        <v>244</v>
      </c>
      <c r="N1" s="192" t="s">
        <v>245</v>
      </c>
      <c r="O1" s="192" t="s">
        <v>246</v>
      </c>
    </row>
    <row r="2" spans="1:15" x14ac:dyDescent="0.15">
      <c r="A2">
        <v>1</v>
      </c>
      <c r="B2" s="191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15">
      <c r="A3">
        <v>2</v>
      </c>
      <c r="B3" s="191" t="s">
        <v>67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0.8</v>
      </c>
      <c r="L3">
        <v>0</v>
      </c>
      <c r="M3">
        <v>0</v>
      </c>
      <c r="N3">
        <v>0</v>
      </c>
      <c r="O3">
        <v>0</v>
      </c>
    </row>
    <row r="4" spans="1:15" x14ac:dyDescent="0.15">
      <c r="A4">
        <v>3</v>
      </c>
      <c r="B4" s="191" t="s">
        <v>193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15">
      <c r="A5">
        <v>4</v>
      </c>
      <c r="B5" s="191" t="s">
        <v>194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15">
      <c r="A6">
        <v>5</v>
      </c>
      <c r="B6" s="191" t="s">
        <v>195</v>
      </c>
      <c r="C6">
        <v>0</v>
      </c>
      <c r="D6">
        <v>0</v>
      </c>
      <c r="E6">
        <v>0</v>
      </c>
      <c r="F6">
        <v>0</v>
      </c>
      <c r="G6">
        <v>0</v>
      </c>
      <c r="H6">
        <v>0.8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15">
      <c r="A7">
        <v>6</v>
      </c>
      <c r="B7" s="191" t="s">
        <v>196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0.8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15">
      <c r="A8">
        <v>7</v>
      </c>
      <c r="B8" s="191" t="s">
        <v>197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15">
      <c r="A9">
        <v>8</v>
      </c>
      <c r="B9" s="191" t="s">
        <v>198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15">
      <c r="A10">
        <v>9</v>
      </c>
      <c r="B10" s="191" t="s">
        <v>199</v>
      </c>
      <c r="C10">
        <v>0</v>
      </c>
      <c r="D10">
        <v>0</v>
      </c>
      <c r="E10">
        <v>0</v>
      </c>
      <c r="F10">
        <v>0</v>
      </c>
      <c r="G10">
        <v>0.8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x14ac:dyDescent="0.15">
      <c r="A11">
        <v>10</v>
      </c>
      <c r="B11" s="191" t="s">
        <v>200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15">
      <c r="A12">
        <v>11</v>
      </c>
      <c r="B12" s="191" t="s">
        <v>201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0.8</v>
      </c>
    </row>
    <row r="13" spans="1:15" x14ac:dyDescent="0.15">
      <c r="A13">
        <v>12</v>
      </c>
      <c r="B13" s="191" t="s">
        <v>202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 x14ac:dyDescent="0.15">
      <c r="A14">
        <v>13</v>
      </c>
      <c r="B14" s="191" t="s">
        <v>203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15">
      <c r="A15">
        <v>14</v>
      </c>
      <c r="B15" s="191" t="s">
        <v>204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0.8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15">
      <c r="A16">
        <v>15</v>
      </c>
      <c r="B16" s="191" t="s">
        <v>205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15">
      <c r="A17">
        <v>16</v>
      </c>
      <c r="B17" s="191" t="s">
        <v>206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0.8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15">
      <c r="A18">
        <v>17</v>
      </c>
      <c r="B18" s="191" t="s">
        <v>207</v>
      </c>
      <c r="C18">
        <v>0</v>
      </c>
      <c r="D18">
        <v>0.8</v>
      </c>
      <c r="E18">
        <v>0</v>
      </c>
      <c r="F18">
        <v>0.8</v>
      </c>
      <c r="G18">
        <v>0</v>
      </c>
      <c r="H18">
        <v>0</v>
      </c>
      <c r="I18">
        <v>0.8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15">
      <c r="A19">
        <v>18</v>
      </c>
      <c r="B19" s="191" t="s">
        <v>208</v>
      </c>
      <c r="C19">
        <v>0</v>
      </c>
      <c r="D19">
        <v>0.8</v>
      </c>
      <c r="E19">
        <v>0</v>
      </c>
      <c r="F19">
        <v>0.8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 x14ac:dyDescent="0.15">
      <c r="A20">
        <v>19</v>
      </c>
      <c r="B20" s="191" t="s">
        <v>209</v>
      </c>
      <c r="C20">
        <v>0</v>
      </c>
      <c r="D20">
        <v>0</v>
      </c>
      <c r="E20">
        <v>0</v>
      </c>
      <c r="F20">
        <v>0.8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 x14ac:dyDescent="0.15">
      <c r="A21">
        <v>20</v>
      </c>
      <c r="B21" s="191" t="s">
        <v>210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</row>
    <row r="22" spans="1:15" x14ac:dyDescent="0.15">
      <c r="A22">
        <v>21</v>
      </c>
      <c r="B22" s="191" t="s">
        <v>211</v>
      </c>
      <c r="C22">
        <v>0</v>
      </c>
      <c r="D22">
        <v>0.8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</row>
    <row r="23" spans="1:15" x14ac:dyDescent="0.15">
      <c r="A23">
        <v>22</v>
      </c>
      <c r="B23" s="191" t="s">
        <v>212</v>
      </c>
      <c r="C23">
        <v>0</v>
      </c>
      <c r="D23">
        <v>0.8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</row>
    <row r="24" spans="1:15" x14ac:dyDescent="0.15">
      <c r="A24">
        <v>23</v>
      </c>
      <c r="B24" s="191" t="s">
        <v>213</v>
      </c>
      <c r="C24">
        <v>0</v>
      </c>
      <c r="D24">
        <v>0.8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</row>
    <row r="25" spans="1:15" x14ac:dyDescent="0.15">
      <c r="A25">
        <v>24</v>
      </c>
      <c r="B25" s="191" t="s">
        <v>214</v>
      </c>
      <c r="C25">
        <v>0</v>
      </c>
      <c r="D25">
        <v>0.8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</row>
    <row r="26" spans="1:15" x14ac:dyDescent="0.15">
      <c r="A26">
        <v>25</v>
      </c>
      <c r="B26" s="191" t="s">
        <v>215</v>
      </c>
      <c r="C26">
        <v>0</v>
      </c>
      <c r="D26">
        <v>0.8</v>
      </c>
      <c r="E26">
        <v>0</v>
      </c>
      <c r="F26">
        <v>0.8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</row>
    <row r="27" spans="1:15" x14ac:dyDescent="0.15">
      <c r="A27">
        <v>26</v>
      </c>
      <c r="B27" s="191" t="s">
        <v>216</v>
      </c>
      <c r="C27">
        <v>0</v>
      </c>
      <c r="D27">
        <v>0.8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</row>
    <row r="28" spans="1:15" x14ac:dyDescent="0.15">
      <c r="A28">
        <v>27</v>
      </c>
      <c r="B28" s="191" t="s">
        <v>217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0.8</v>
      </c>
      <c r="M28">
        <v>0</v>
      </c>
      <c r="N28">
        <v>0</v>
      </c>
      <c r="O28">
        <v>0</v>
      </c>
    </row>
    <row r="29" spans="1:15" x14ac:dyDescent="0.15">
      <c r="A29">
        <v>28</v>
      </c>
      <c r="B29" s="191" t="s">
        <v>218</v>
      </c>
      <c r="C29">
        <v>0</v>
      </c>
      <c r="D29">
        <v>0.8</v>
      </c>
      <c r="E29">
        <v>0</v>
      </c>
      <c r="F29">
        <v>0</v>
      </c>
      <c r="G29">
        <v>0</v>
      </c>
      <c r="H29">
        <v>0</v>
      </c>
      <c r="I29">
        <v>0.8</v>
      </c>
      <c r="J29">
        <v>0</v>
      </c>
      <c r="K29">
        <v>0</v>
      </c>
      <c r="L29">
        <v>0.8</v>
      </c>
      <c r="M29">
        <v>0</v>
      </c>
      <c r="N29">
        <v>0</v>
      </c>
      <c r="O29">
        <v>0</v>
      </c>
    </row>
    <row r="30" spans="1:15" x14ac:dyDescent="0.15">
      <c r="A30">
        <v>29</v>
      </c>
      <c r="B30" s="191" t="s">
        <v>219</v>
      </c>
      <c r="C30">
        <v>0</v>
      </c>
      <c r="D30">
        <v>0</v>
      </c>
      <c r="E30">
        <v>0</v>
      </c>
      <c r="F30">
        <v>0.8</v>
      </c>
      <c r="G30">
        <v>0</v>
      </c>
      <c r="H30">
        <v>0</v>
      </c>
      <c r="I30">
        <v>0.8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15" x14ac:dyDescent="0.15">
      <c r="A31">
        <v>30</v>
      </c>
      <c r="B31" s="191" t="s">
        <v>220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0.8</v>
      </c>
      <c r="N31">
        <v>0</v>
      </c>
      <c r="O31">
        <v>0</v>
      </c>
    </row>
    <row r="32" spans="1:15" x14ac:dyDescent="0.15">
      <c r="A32">
        <v>31</v>
      </c>
      <c r="B32" s="191" t="s">
        <v>221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15">
      <c r="A33">
        <v>32</v>
      </c>
      <c r="B33" s="191" t="s">
        <v>222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15">
      <c r="A34">
        <v>33</v>
      </c>
      <c r="B34" s="191" t="s">
        <v>223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1:15" x14ac:dyDescent="0.15">
      <c r="A35">
        <v>34</v>
      </c>
      <c r="B35" s="191" t="s">
        <v>224</v>
      </c>
      <c r="C35">
        <v>0</v>
      </c>
      <c r="D35">
        <v>0</v>
      </c>
      <c r="E35">
        <v>0.8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 x14ac:dyDescent="0.15">
      <c r="A36">
        <v>35</v>
      </c>
      <c r="B36" s="191" t="s">
        <v>225</v>
      </c>
      <c r="C36">
        <v>0</v>
      </c>
      <c r="D36">
        <v>0.8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</row>
    <row r="37" spans="1:15" x14ac:dyDescent="0.15">
      <c r="A37">
        <v>36</v>
      </c>
      <c r="B37" s="191" t="s">
        <v>226</v>
      </c>
      <c r="C37">
        <v>0.8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x14ac:dyDescent="0.15">
      <c r="A38">
        <v>37</v>
      </c>
      <c r="B38" s="191" t="s">
        <v>227</v>
      </c>
      <c r="C38">
        <v>0</v>
      </c>
      <c r="D38">
        <v>0.8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0.8</v>
      </c>
      <c r="N38">
        <v>0</v>
      </c>
      <c r="O38">
        <v>0</v>
      </c>
    </row>
    <row r="39" spans="1:15" x14ac:dyDescent="0.15">
      <c r="A39">
        <v>38</v>
      </c>
      <c r="B39" s="191" t="s">
        <v>228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0.8</v>
      </c>
      <c r="O39">
        <v>0</v>
      </c>
    </row>
    <row r="40" spans="1:15" x14ac:dyDescent="0.15">
      <c r="A40">
        <v>39</v>
      </c>
      <c r="B40" s="191" t="s">
        <v>229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1:15" x14ac:dyDescent="0.15">
      <c r="A41">
        <v>40</v>
      </c>
      <c r="B41" s="191" t="s">
        <v>230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</row>
    <row r="42" spans="1:15" x14ac:dyDescent="0.15">
      <c r="A42">
        <v>41</v>
      </c>
      <c r="B42" s="191" t="s">
        <v>231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</row>
    <row r="43" spans="1:15" x14ac:dyDescent="0.15">
      <c r="A43">
        <v>42</v>
      </c>
      <c r="B43" s="191" t="s">
        <v>232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</row>
    <row r="44" spans="1:15" x14ac:dyDescent="0.15">
      <c r="A44">
        <v>43</v>
      </c>
      <c r="B44" s="191" t="s">
        <v>233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</row>
    <row r="45" spans="1:15" x14ac:dyDescent="0.15">
      <c r="A45">
        <v>44</v>
      </c>
      <c r="B45" s="191" t="s">
        <v>234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</row>
    <row r="46" spans="1:15" x14ac:dyDescent="0.15">
      <c r="A46">
        <v>45</v>
      </c>
      <c r="B46" s="191" t="s">
        <v>235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O46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7.33203125" bestFit="1" customWidth="1"/>
    <col min="3" max="4" width="3.83203125" bestFit="1" customWidth="1"/>
    <col min="5" max="15" width="3.83203125" customWidth="1"/>
  </cols>
  <sheetData>
    <row r="1" spans="1:15" ht="112" x14ac:dyDescent="0.15">
      <c r="A1" s="5" t="s">
        <v>82</v>
      </c>
      <c r="B1" s="3" t="s">
        <v>0</v>
      </c>
      <c r="C1" s="194" t="s">
        <v>236</v>
      </c>
      <c r="D1" s="194" t="s">
        <v>237</v>
      </c>
      <c r="E1" s="194" t="s">
        <v>238</v>
      </c>
      <c r="F1" s="194" t="s">
        <v>239</v>
      </c>
      <c r="G1" s="194" t="s">
        <v>240</v>
      </c>
      <c r="H1" s="194" t="s">
        <v>195</v>
      </c>
      <c r="I1" s="194" t="s">
        <v>241</v>
      </c>
      <c r="J1" s="194" t="s">
        <v>196</v>
      </c>
      <c r="K1" s="194" t="s">
        <v>242</v>
      </c>
      <c r="L1" s="194" t="s">
        <v>243</v>
      </c>
      <c r="M1" s="194" t="s">
        <v>244</v>
      </c>
      <c r="N1" s="194" t="s">
        <v>245</v>
      </c>
      <c r="O1" s="194" t="s">
        <v>246</v>
      </c>
    </row>
    <row r="2" spans="1:15" x14ac:dyDescent="0.15">
      <c r="A2">
        <v>1</v>
      </c>
      <c r="B2" s="193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15">
      <c r="A3">
        <v>2</v>
      </c>
      <c r="B3" s="193" t="s">
        <v>67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0.8</v>
      </c>
      <c r="L3">
        <v>0</v>
      </c>
      <c r="M3">
        <v>0</v>
      </c>
      <c r="N3">
        <v>0</v>
      </c>
      <c r="O3">
        <v>0</v>
      </c>
    </row>
    <row r="4" spans="1:15" x14ac:dyDescent="0.15">
      <c r="A4">
        <v>3</v>
      </c>
      <c r="B4" s="193" t="s">
        <v>193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15">
      <c r="A5">
        <v>4</v>
      </c>
      <c r="B5" s="193" t="s">
        <v>194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15">
      <c r="A6">
        <v>5</v>
      </c>
      <c r="B6" s="193" t="s">
        <v>195</v>
      </c>
      <c r="C6">
        <v>0</v>
      </c>
      <c r="D6">
        <v>0</v>
      </c>
      <c r="E6">
        <v>0</v>
      </c>
      <c r="F6">
        <v>0</v>
      </c>
      <c r="G6">
        <v>0</v>
      </c>
      <c r="H6">
        <v>0.8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15">
      <c r="A7">
        <v>6</v>
      </c>
      <c r="B7" s="193" t="s">
        <v>196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0.8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15">
      <c r="A8">
        <v>7</v>
      </c>
      <c r="B8" s="193" t="s">
        <v>197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15">
      <c r="A9">
        <v>8</v>
      </c>
      <c r="B9" s="193" t="s">
        <v>198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15">
      <c r="A10">
        <v>9</v>
      </c>
      <c r="B10" s="193" t="s">
        <v>199</v>
      </c>
      <c r="C10">
        <v>0</v>
      </c>
      <c r="D10">
        <v>0</v>
      </c>
      <c r="E10">
        <v>0</v>
      </c>
      <c r="F10">
        <v>0</v>
      </c>
      <c r="G10">
        <v>0.8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x14ac:dyDescent="0.15">
      <c r="A11">
        <v>10</v>
      </c>
      <c r="B11" s="193" t="s">
        <v>200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15">
      <c r="A12">
        <v>11</v>
      </c>
      <c r="B12" s="193" t="s">
        <v>201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0.8</v>
      </c>
    </row>
    <row r="13" spans="1:15" x14ac:dyDescent="0.15">
      <c r="A13">
        <v>12</v>
      </c>
      <c r="B13" s="193" t="s">
        <v>202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 x14ac:dyDescent="0.15">
      <c r="A14">
        <v>13</v>
      </c>
      <c r="B14" s="193" t="s">
        <v>203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15">
      <c r="A15">
        <v>14</v>
      </c>
      <c r="B15" s="193" t="s">
        <v>204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0.8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15">
      <c r="A16">
        <v>15</v>
      </c>
      <c r="B16" s="193" t="s">
        <v>205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15">
      <c r="A17">
        <v>16</v>
      </c>
      <c r="B17" s="193" t="s">
        <v>206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0.8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15">
      <c r="A18">
        <v>17</v>
      </c>
      <c r="B18" s="193" t="s">
        <v>207</v>
      </c>
      <c r="C18">
        <v>0</v>
      </c>
      <c r="D18">
        <v>0.8</v>
      </c>
      <c r="E18">
        <v>0</v>
      </c>
      <c r="F18">
        <v>0.8</v>
      </c>
      <c r="G18">
        <v>0</v>
      </c>
      <c r="H18">
        <v>0</v>
      </c>
      <c r="I18">
        <v>0.8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15">
      <c r="A19">
        <v>18</v>
      </c>
      <c r="B19" s="193" t="s">
        <v>208</v>
      </c>
      <c r="C19">
        <v>0</v>
      </c>
      <c r="D19">
        <v>0.8</v>
      </c>
      <c r="E19">
        <v>0</v>
      </c>
      <c r="F19">
        <v>0.8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 x14ac:dyDescent="0.15">
      <c r="A20">
        <v>19</v>
      </c>
      <c r="B20" s="193" t="s">
        <v>209</v>
      </c>
      <c r="C20">
        <v>0</v>
      </c>
      <c r="D20">
        <v>0</v>
      </c>
      <c r="E20">
        <v>0</v>
      </c>
      <c r="F20">
        <v>0.8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 x14ac:dyDescent="0.15">
      <c r="A21">
        <v>20</v>
      </c>
      <c r="B21" s="193" t="s">
        <v>210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</row>
    <row r="22" spans="1:15" x14ac:dyDescent="0.15">
      <c r="A22">
        <v>21</v>
      </c>
      <c r="B22" s="193" t="s">
        <v>211</v>
      </c>
      <c r="C22">
        <v>0</v>
      </c>
      <c r="D22">
        <v>0.8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</row>
    <row r="23" spans="1:15" x14ac:dyDescent="0.15">
      <c r="A23">
        <v>22</v>
      </c>
      <c r="B23" s="193" t="s">
        <v>212</v>
      </c>
      <c r="C23">
        <v>0</v>
      </c>
      <c r="D23">
        <v>0.8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</row>
    <row r="24" spans="1:15" x14ac:dyDescent="0.15">
      <c r="A24">
        <v>23</v>
      </c>
      <c r="B24" s="193" t="s">
        <v>213</v>
      </c>
      <c r="C24">
        <v>0</v>
      </c>
      <c r="D24">
        <v>0.8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</row>
    <row r="25" spans="1:15" x14ac:dyDescent="0.15">
      <c r="A25">
        <v>24</v>
      </c>
      <c r="B25" s="193" t="s">
        <v>214</v>
      </c>
      <c r="C25">
        <v>0</v>
      </c>
      <c r="D25">
        <v>0.8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</row>
    <row r="26" spans="1:15" x14ac:dyDescent="0.15">
      <c r="A26">
        <v>25</v>
      </c>
      <c r="B26" s="193" t="s">
        <v>215</v>
      </c>
      <c r="C26">
        <v>0</v>
      </c>
      <c r="D26">
        <v>0.8</v>
      </c>
      <c r="E26">
        <v>0</v>
      </c>
      <c r="F26">
        <v>0.8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</row>
    <row r="27" spans="1:15" x14ac:dyDescent="0.15">
      <c r="A27">
        <v>26</v>
      </c>
      <c r="B27" s="193" t="s">
        <v>216</v>
      </c>
      <c r="C27">
        <v>0</v>
      </c>
      <c r="D27">
        <v>0.8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</row>
    <row r="28" spans="1:15" x14ac:dyDescent="0.15">
      <c r="A28">
        <v>27</v>
      </c>
      <c r="B28" s="193" t="s">
        <v>217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0.8</v>
      </c>
      <c r="M28">
        <v>0</v>
      </c>
      <c r="N28">
        <v>0</v>
      </c>
      <c r="O28">
        <v>0</v>
      </c>
    </row>
    <row r="29" spans="1:15" x14ac:dyDescent="0.15">
      <c r="A29">
        <v>28</v>
      </c>
      <c r="B29" s="193" t="s">
        <v>218</v>
      </c>
      <c r="C29">
        <v>0</v>
      </c>
      <c r="D29">
        <v>0.8</v>
      </c>
      <c r="E29">
        <v>0</v>
      </c>
      <c r="F29">
        <v>0</v>
      </c>
      <c r="G29">
        <v>0</v>
      </c>
      <c r="H29">
        <v>0</v>
      </c>
      <c r="I29">
        <v>0.8</v>
      </c>
      <c r="J29">
        <v>0</v>
      </c>
      <c r="K29">
        <v>0</v>
      </c>
      <c r="L29">
        <v>0.8</v>
      </c>
      <c r="M29">
        <v>0</v>
      </c>
      <c r="N29">
        <v>0</v>
      </c>
      <c r="O29">
        <v>0</v>
      </c>
    </row>
    <row r="30" spans="1:15" x14ac:dyDescent="0.15">
      <c r="A30">
        <v>29</v>
      </c>
      <c r="B30" s="193" t="s">
        <v>219</v>
      </c>
      <c r="C30">
        <v>0</v>
      </c>
      <c r="D30">
        <v>0</v>
      </c>
      <c r="E30">
        <v>0</v>
      </c>
      <c r="F30">
        <v>0.8</v>
      </c>
      <c r="G30">
        <v>0</v>
      </c>
      <c r="H30">
        <v>0</v>
      </c>
      <c r="I30">
        <v>0.8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15" x14ac:dyDescent="0.15">
      <c r="A31">
        <v>30</v>
      </c>
      <c r="B31" s="193" t="s">
        <v>220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0.8</v>
      </c>
      <c r="N31">
        <v>0</v>
      </c>
      <c r="O31">
        <v>0</v>
      </c>
    </row>
    <row r="32" spans="1:15" x14ac:dyDescent="0.15">
      <c r="A32">
        <v>31</v>
      </c>
      <c r="B32" s="193" t="s">
        <v>221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15">
      <c r="A33">
        <v>32</v>
      </c>
      <c r="B33" s="193" t="s">
        <v>222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15">
      <c r="A34">
        <v>33</v>
      </c>
      <c r="B34" s="193" t="s">
        <v>223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1:15" x14ac:dyDescent="0.15">
      <c r="A35">
        <v>34</v>
      </c>
      <c r="B35" s="193" t="s">
        <v>224</v>
      </c>
      <c r="C35">
        <v>0</v>
      </c>
      <c r="D35">
        <v>0</v>
      </c>
      <c r="E35">
        <v>0.8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 x14ac:dyDescent="0.15">
      <c r="A36">
        <v>35</v>
      </c>
      <c r="B36" s="193" t="s">
        <v>225</v>
      </c>
      <c r="C36">
        <v>0</v>
      </c>
      <c r="D36">
        <v>0.8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</row>
    <row r="37" spans="1:15" x14ac:dyDescent="0.15">
      <c r="A37">
        <v>36</v>
      </c>
      <c r="B37" s="193" t="s">
        <v>226</v>
      </c>
      <c r="C37">
        <v>0.8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x14ac:dyDescent="0.15">
      <c r="A38">
        <v>37</v>
      </c>
      <c r="B38" s="193" t="s">
        <v>227</v>
      </c>
      <c r="C38">
        <v>0</v>
      </c>
      <c r="D38">
        <v>0.8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0.8</v>
      </c>
      <c r="N38">
        <v>0</v>
      </c>
      <c r="O38">
        <v>0</v>
      </c>
    </row>
    <row r="39" spans="1:15" x14ac:dyDescent="0.15">
      <c r="A39">
        <v>38</v>
      </c>
      <c r="B39" s="193" t="s">
        <v>228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0.8</v>
      </c>
      <c r="O39">
        <v>0</v>
      </c>
    </row>
    <row r="40" spans="1:15" x14ac:dyDescent="0.15">
      <c r="A40">
        <v>39</v>
      </c>
      <c r="B40" s="193" t="s">
        <v>229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1:15" x14ac:dyDescent="0.15">
      <c r="A41">
        <v>40</v>
      </c>
      <c r="B41" s="193" t="s">
        <v>230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</row>
    <row r="42" spans="1:15" x14ac:dyDescent="0.15">
      <c r="A42">
        <v>41</v>
      </c>
      <c r="B42" s="193" t="s">
        <v>231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</row>
    <row r="43" spans="1:15" x14ac:dyDescent="0.15">
      <c r="A43">
        <v>42</v>
      </c>
      <c r="B43" s="193" t="s">
        <v>232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</row>
    <row r="44" spans="1:15" x14ac:dyDescent="0.15">
      <c r="A44">
        <v>43</v>
      </c>
      <c r="B44" s="193" t="s">
        <v>233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</row>
    <row r="45" spans="1:15" x14ac:dyDescent="0.15">
      <c r="A45">
        <v>44</v>
      </c>
      <c r="B45" s="193" t="s">
        <v>234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</row>
    <row r="46" spans="1:15" x14ac:dyDescent="0.15">
      <c r="A46">
        <v>45</v>
      </c>
      <c r="B46" s="193" t="s">
        <v>235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4" sqref="L4"/>
    </sheetView>
  </sheetViews>
  <sheetFormatPr baseColWidth="10" defaultColWidth="8.83203125" defaultRowHeight="15" customHeight="1" x14ac:dyDescent="0.15"/>
  <cols>
    <col min="1" max="1" width="8.83203125" style="80"/>
    <col min="2" max="2" width="41.83203125" style="80" bestFit="1" customWidth="1"/>
    <col min="3" max="3" width="9.33203125" style="80" bestFit="1" customWidth="1"/>
    <col min="4" max="4" width="13" style="80" bestFit="1" customWidth="1"/>
    <col min="5" max="6" width="9.33203125" style="80" bestFit="1" customWidth="1"/>
    <col min="7" max="7" width="9.33203125" style="96" bestFit="1" customWidth="1"/>
    <col min="8" max="8" width="9.33203125" style="80" bestFit="1" customWidth="1"/>
    <col min="9" max="9" width="11" style="80" customWidth="1"/>
    <col min="10" max="10" width="8.83203125" style="80"/>
    <col min="15" max="16384" width="8.83203125" style="8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6">
        <v>1</v>
      </c>
      <c r="B2" s="146" t="s">
        <v>192</v>
      </c>
      <c r="C2" s="8">
        <v>1</v>
      </c>
      <c r="D2" s="9">
        <v>7</v>
      </c>
      <c r="E2" s="9">
        <v>290</v>
      </c>
      <c r="F2" s="10"/>
      <c r="G2" s="9">
        <v>0.31751027703285217</v>
      </c>
      <c r="H2" s="10"/>
      <c r="I2">
        <v>0</v>
      </c>
      <c r="J2"/>
    </row>
    <row r="3" spans="1:10" ht="15" customHeight="1" x14ac:dyDescent="0.15">
      <c r="A3" s="147">
        <v>2</v>
      </c>
      <c r="B3" s="147" t="s">
        <v>67</v>
      </c>
      <c r="C3" s="8">
        <v>1</v>
      </c>
      <c r="D3" s="9">
        <v>3.7100000381469727</v>
      </c>
      <c r="E3" s="9">
        <v>4.3400001525878906</v>
      </c>
      <c r="F3" s="10"/>
      <c r="G3" s="9">
        <v>0.17845934629440308</v>
      </c>
      <c r="H3" s="10"/>
      <c r="I3">
        <v>9.9999997171806854E-10</v>
      </c>
      <c r="J3"/>
    </row>
    <row r="4" spans="1:10" ht="15" customHeight="1" x14ac:dyDescent="0.15">
      <c r="A4" s="148">
        <v>3</v>
      </c>
      <c r="B4" s="148" t="s">
        <v>193</v>
      </c>
      <c r="C4" s="8">
        <v>2</v>
      </c>
      <c r="D4" s="9">
        <v>3.4294204711914062</v>
      </c>
      <c r="E4" s="9">
        <v>60</v>
      </c>
      <c r="F4" s="9">
        <v>199.99998474121094</v>
      </c>
      <c r="G4" s="9">
        <v>0.94999998807907104</v>
      </c>
      <c r="H4" s="9">
        <v>0.30000001192092896</v>
      </c>
      <c r="I4">
        <v>0</v>
      </c>
      <c r="J4"/>
    </row>
    <row r="5" spans="1:10" ht="15" customHeight="1" x14ac:dyDescent="0.15">
      <c r="A5" s="149">
        <v>4</v>
      </c>
      <c r="B5" s="149" t="s">
        <v>194</v>
      </c>
      <c r="C5" s="8">
        <v>2.7653059959411621</v>
      </c>
      <c r="D5" s="9">
        <v>6.9183578491210938</v>
      </c>
      <c r="E5" s="9">
        <v>5</v>
      </c>
      <c r="F5" s="9">
        <v>32</v>
      </c>
      <c r="G5" s="9">
        <v>0.80000001192092896</v>
      </c>
      <c r="H5" s="9">
        <v>0.15625</v>
      </c>
      <c r="I5">
        <v>0</v>
      </c>
      <c r="J5"/>
    </row>
    <row r="6" spans="1:10" ht="15" customHeight="1" x14ac:dyDescent="0.15">
      <c r="A6" s="150">
        <v>5</v>
      </c>
      <c r="B6" s="150" t="s">
        <v>195</v>
      </c>
      <c r="C6" s="8">
        <v>3.9588863849639893</v>
      </c>
      <c r="D6" s="9">
        <v>6.6477097570896149E-2</v>
      </c>
      <c r="E6" s="9">
        <v>2.8900001049041748</v>
      </c>
      <c r="F6" s="9">
        <v>10</v>
      </c>
      <c r="G6" s="9">
        <v>0.9500001072883606</v>
      </c>
      <c r="H6" s="9">
        <v>0.289000004529953</v>
      </c>
      <c r="I6">
        <v>5.1899999380111694E-4</v>
      </c>
      <c r="J6"/>
    </row>
    <row r="7" spans="1:10" ht="15" customHeight="1" x14ac:dyDescent="0.15">
      <c r="A7" s="151">
        <v>6</v>
      </c>
      <c r="B7" s="151" t="s">
        <v>196</v>
      </c>
      <c r="C7" s="8">
        <v>3.6072089672088623</v>
      </c>
      <c r="D7" s="9">
        <v>1.2590137310326099E-2</v>
      </c>
      <c r="E7" s="9">
        <v>2.8900001049041748</v>
      </c>
      <c r="F7" s="9">
        <v>10</v>
      </c>
      <c r="G7" s="9">
        <v>0.95000004768371582</v>
      </c>
      <c r="H7" s="9">
        <v>0.289000004529953</v>
      </c>
      <c r="I7">
        <v>8.0999998317565769E-5</v>
      </c>
      <c r="J7"/>
    </row>
    <row r="8" spans="1:10" ht="15" customHeight="1" x14ac:dyDescent="0.15">
      <c r="A8" s="152">
        <v>7</v>
      </c>
      <c r="B8" s="152" t="s">
        <v>197</v>
      </c>
      <c r="C8" s="8">
        <v>3.9223613739013672</v>
      </c>
      <c r="D8" s="9">
        <v>8.776981383562088E-2</v>
      </c>
      <c r="E8" s="9">
        <v>4</v>
      </c>
      <c r="F8" s="9">
        <v>10</v>
      </c>
      <c r="G8" s="9">
        <v>0.9500001072883606</v>
      </c>
      <c r="H8" s="9">
        <v>0.40000000596046448</v>
      </c>
      <c r="I8">
        <v>0</v>
      </c>
      <c r="J8"/>
    </row>
    <row r="9" spans="1:10" ht="15" customHeight="1" x14ac:dyDescent="0.15">
      <c r="A9" s="153">
        <v>8</v>
      </c>
      <c r="B9" s="153" t="s">
        <v>198</v>
      </c>
      <c r="C9" s="8">
        <v>4.290769100189209</v>
      </c>
      <c r="D9" s="9">
        <v>3.4278668463230133E-2</v>
      </c>
      <c r="E9" s="9">
        <v>2.5</v>
      </c>
      <c r="F9" s="9">
        <v>10</v>
      </c>
      <c r="G9" s="9">
        <v>0.94999998807907104</v>
      </c>
      <c r="H9" s="9">
        <v>0.25</v>
      </c>
      <c r="I9">
        <v>0</v>
      </c>
      <c r="J9"/>
    </row>
    <row r="10" spans="1:10" ht="15" customHeight="1" x14ac:dyDescent="0.15">
      <c r="A10" s="154">
        <v>9</v>
      </c>
      <c r="B10" s="154" t="s">
        <v>199</v>
      </c>
      <c r="C10" s="8">
        <v>3.1093862056732178</v>
      </c>
      <c r="D10" s="9">
        <v>4.4999998062849045E-3</v>
      </c>
      <c r="E10" s="9">
        <v>0.60000002384185791</v>
      </c>
      <c r="F10" s="9">
        <v>10.000000953674316</v>
      </c>
      <c r="G10" s="9">
        <v>0.35038775205612183</v>
      </c>
      <c r="H10" s="9">
        <v>5.9999994933605194E-2</v>
      </c>
      <c r="I10">
        <v>2.8000000384054147E-5</v>
      </c>
      <c r="J10"/>
    </row>
    <row r="11" spans="1:10" ht="15" customHeight="1" x14ac:dyDescent="0.15">
      <c r="A11" s="155">
        <v>10</v>
      </c>
      <c r="B11" s="155" t="s">
        <v>200</v>
      </c>
      <c r="C11" s="8">
        <v>2.8095238208770752</v>
      </c>
      <c r="D11" s="9">
        <v>1.3064314126968384</v>
      </c>
      <c r="E11" s="9">
        <v>1.6000000238418579</v>
      </c>
      <c r="F11" s="9">
        <v>10</v>
      </c>
      <c r="G11" s="9">
        <v>0.9500001072883606</v>
      </c>
      <c r="H11" s="9">
        <v>0.15999999642372131</v>
      </c>
      <c r="I11">
        <v>0</v>
      </c>
      <c r="J11"/>
    </row>
    <row r="12" spans="1:10" ht="15" customHeight="1" x14ac:dyDescent="0.15">
      <c r="A12" s="156">
        <v>11</v>
      </c>
      <c r="B12" s="156" t="s">
        <v>201</v>
      </c>
      <c r="C12" s="8">
        <v>2.1734693050384521</v>
      </c>
      <c r="D12" s="9">
        <v>7.9319958686828613</v>
      </c>
      <c r="E12" s="9">
        <v>2</v>
      </c>
      <c r="F12" s="9">
        <v>16.666667938232422</v>
      </c>
      <c r="G12" s="9">
        <v>0.94999998807907104</v>
      </c>
      <c r="H12" s="9">
        <v>0.11999998986721039</v>
      </c>
      <c r="I12">
        <v>1.9999999949504854E-6</v>
      </c>
      <c r="J12"/>
    </row>
    <row r="13" spans="1:10" ht="15" customHeight="1" x14ac:dyDescent="0.15">
      <c r="A13" s="157">
        <v>12</v>
      </c>
      <c r="B13" s="157" t="s">
        <v>202</v>
      </c>
      <c r="C13" s="8">
        <v>2</v>
      </c>
      <c r="D13" s="9">
        <v>0.27074325084686279</v>
      </c>
      <c r="E13" s="9">
        <v>0.40000000596046448</v>
      </c>
      <c r="F13" s="9">
        <v>4.4444441795349121</v>
      </c>
      <c r="G13" s="9">
        <v>0.94999992847442627</v>
      </c>
      <c r="H13" s="9">
        <v>9.0000003576278687E-2</v>
      </c>
      <c r="I13">
        <v>0</v>
      </c>
      <c r="J13"/>
    </row>
    <row r="14" spans="1:10" ht="15" customHeight="1" x14ac:dyDescent="0.15">
      <c r="A14" s="158">
        <v>13</v>
      </c>
      <c r="B14" s="158" t="s">
        <v>203</v>
      </c>
      <c r="C14" s="8">
        <v>2.1936409473419189</v>
      </c>
      <c r="D14" s="9">
        <v>0.1331101655960083</v>
      </c>
      <c r="E14" s="9">
        <v>1.0700000524520874</v>
      </c>
      <c r="F14" s="9">
        <v>13</v>
      </c>
      <c r="G14" s="9">
        <v>0.94999998807907104</v>
      </c>
      <c r="H14" s="9">
        <v>8.2307696342468262E-2</v>
      </c>
      <c r="I14">
        <v>0</v>
      </c>
      <c r="J14"/>
    </row>
    <row r="15" spans="1:10" ht="15" customHeight="1" x14ac:dyDescent="0.15">
      <c r="A15" s="159">
        <v>14</v>
      </c>
      <c r="B15" s="159" t="s">
        <v>204</v>
      </c>
      <c r="C15" s="8">
        <v>3.0268561840057373</v>
      </c>
      <c r="D15" s="9">
        <v>0.33017906546592712</v>
      </c>
      <c r="E15" s="9">
        <v>2.625</v>
      </c>
      <c r="F15" s="9">
        <v>10.5</v>
      </c>
      <c r="G15" s="9">
        <v>0.9500001072883606</v>
      </c>
      <c r="H15" s="9">
        <v>0.25</v>
      </c>
      <c r="I15">
        <v>1.4000000192027073E-5</v>
      </c>
      <c r="J15"/>
    </row>
    <row r="16" spans="1:10" ht="15" customHeight="1" x14ac:dyDescent="0.15">
      <c r="A16" s="160">
        <v>15</v>
      </c>
      <c r="B16" s="160" t="s">
        <v>205</v>
      </c>
      <c r="C16" s="8">
        <v>3.4636733531951904</v>
      </c>
      <c r="D16" s="9">
        <v>0.25922989845275879</v>
      </c>
      <c r="E16" s="9">
        <v>0.80000001192092896</v>
      </c>
      <c r="F16" s="9">
        <v>8.3999996185302734</v>
      </c>
      <c r="G16" s="9">
        <v>0.94999998807907104</v>
      </c>
      <c r="H16" s="9">
        <v>9.5238104462623596E-2</v>
      </c>
      <c r="I16">
        <v>0</v>
      </c>
      <c r="J16"/>
    </row>
    <row r="17" spans="1:10" ht="15" customHeight="1" x14ac:dyDescent="0.15">
      <c r="A17" s="161">
        <v>16</v>
      </c>
      <c r="B17" s="161" t="s">
        <v>206</v>
      </c>
      <c r="C17" s="8">
        <v>2.1195578575134277</v>
      </c>
      <c r="D17" s="9">
        <v>3.5596995148807764E-3</v>
      </c>
      <c r="E17" s="9">
        <v>0.40000000596046448</v>
      </c>
      <c r="F17" s="9">
        <v>6</v>
      </c>
      <c r="G17" s="9">
        <v>0.94999998807907104</v>
      </c>
      <c r="H17" s="9">
        <v>6.6666670143604279E-2</v>
      </c>
      <c r="I17">
        <v>9.1000001702923328E-5</v>
      </c>
      <c r="J17"/>
    </row>
    <row r="18" spans="1:10" ht="15" customHeight="1" x14ac:dyDescent="0.15">
      <c r="A18" s="162">
        <v>17</v>
      </c>
      <c r="B18" s="162" t="s">
        <v>207</v>
      </c>
      <c r="C18" s="8">
        <v>3.213219165802002</v>
      </c>
      <c r="D18" s="9">
        <v>8.2800291478633881E-2</v>
      </c>
      <c r="E18" s="9">
        <v>0.88999998569488525</v>
      </c>
      <c r="F18" s="9">
        <v>6.9000000953674316</v>
      </c>
      <c r="G18" s="9">
        <v>0.9500001072883606</v>
      </c>
      <c r="H18" s="9">
        <v>0.12898550927639008</v>
      </c>
      <c r="I18">
        <v>2.0199999562464654E-4</v>
      </c>
      <c r="J18"/>
    </row>
    <row r="19" spans="1:10" ht="15" customHeight="1" x14ac:dyDescent="0.15">
      <c r="A19" s="163">
        <v>18</v>
      </c>
      <c r="B19" s="163" t="s">
        <v>208</v>
      </c>
      <c r="C19" s="8">
        <v>3.9840013980865479</v>
      </c>
      <c r="D19" s="9">
        <v>3.4850690513849258E-2</v>
      </c>
      <c r="E19" s="9">
        <v>0.44999998807907104</v>
      </c>
      <c r="F19" s="9">
        <v>6.5999999046325684</v>
      </c>
      <c r="G19" s="9">
        <v>0.95000004768371582</v>
      </c>
      <c r="H19" s="9">
        <v>6.8181820213794708E-2</v>
      </c>
      <c r="I19">
        <v>2.8199999360367656E-4</v>
      </c>
      <c r="J19"/>
    </row>
    <row r="20" spans="1:10" ht="15" customHeight="1" x14ac:dyDescent="0.15">
      <c r="A20" s="164">
        <v>19</v>
      </c>
      <c r="B20" s="164" t="s">
        <v>209</v>
      </c>
      <c r="C20" s="8">
        <v>4.167670726776123</v>
      </c>
      <c r="D20" s="9">
        <v>1.9999999552965164E-2</v>
      </c>
      <c r="E20" s="9">
        <v>0.25</v>
      </c>
      <c r="F20" s="9">
        <v>4.0999999046325684</v>
      </c>
      <c r="G20" s="9">
        <v>0.17734558880329132</v>
      </c>
      <c r="H20" s="9">
        <v>6.0975611209869385E-2</v>
      </c>
      <c r="I20">
        <v>1.1999999696854502E-4</v>
      </c>
      <c r="J20"/>
    </row>
    <row r="21" spans="1:10" ht="15" customHeight="1" x14ac:dyDescent="0.15">
      <c r="A21" s="165">
        <v>20</v>
      </c>
      <c r="B21" s="165" t="s">
        <v>210</v>
      </c>
      <c r="C21" s="8">
        <v>3.2159512042999268</v>
      </c>
      <c r="D21" s="9">
        <v>0.2208922803401947</v>
      </c>
      <c r="E21" s="9">
        <v>2</v>
      </c>
      <c r="F21" s="9">
        <v>11.600000381469727</v>
      </c>
      <c r="G21" s="9">
        <v>0.95000004768371582</v>
      </c>
      <c r="H21" s="9">
        <v>0.17241378128528595</v>
      </c>
      <c r="I21">
        <v>0</v>
      </c>
      <c r="J21"/>
    </row>
    <row r="22" spans="1:10" ht="15" customHeight="1" x14ac:dyDescent="0.15">
      <c r="A22" s="166">
        <v>21</v>
      </c>
      <c r="B22" s="166" t="s">
        <v>211</v>
      </c>
      <c r="C22" s="8">
        <v>4.1673827171325684</v>
      </c>
      <c r="D22" s="9">
        <v>6.0000000521540642E-3</v>
      </c>
      <c r="E22" s="9">
        <v>0.6600000262260437</v>
      </c>
      <c r="F22" s="9">
        <v>5.1999998092651367</v>
      </c>
      <c r="G22" s="9">
        <v>0.77045726776123047</v>
      </c>
      <c r="H22" s="9">
        <v>0.1269230842590332</v>
      </c>
      <c r="I22">
        <v>1.7859999788925052E-3</v>
      </c>
      <c r="J22"/>
    </row>
    <row r="23" spans="1:10" ht="15" customHeight="1" x14ac:dyDescent="0.15">
      <c r="A23" s="167">
        <v>22</v>
      </c>
      <c r="B23" s="167" t="s">
        <v>212</v>
      </c>
      <c r="C23" s="8">
        <v>3.985304594039917</v>
      </c>
      <c r="D23" s="9">
        <v>4.19999985024333E-3</v>
      </c>
      <c r="E23" s="9">
        <v>1.2000000476837158</v>
      </c>
      <c r="F23" s="9">
        <v>8.1000003814697266</v>
      </c>
      <c r="G23" s="9">
        <v>0.71610063314437866</v>
      </c>
      <c r="H23" s="9">
        <v>0.14814814925193787</v>
      </c>
      <c r="I23">
        <v>8.1100000534206629E-4</v>
      </c>
      <c r="J23"/>
    </row>
    <row r="24" spans="1:10" ht="15" customHeight="1" x14ac:dyDescent="0.15">
      <c r="A24" s="168">
        <v>23</v>
      </c>
      <c r="B24" s="168" t="s">
        <v>213</v>
      </c>
      <c r="C24" s="8">
        <v>3.8219358921051025</v>
      </c>
      <c r="D24" s="9">
        <v>6.8409405648708344E-2</v>
      </c>
      <c r="E24" s="9">
        <v>0.80000001192092896</v>
      </c>
      <c r="F24" s="9">
        <v>6.8000001907348633</v>
      </c>
      <c r="G24" s="9">
        <v>0.94999992847442627</v>
      </c>
      <c r="H24" s="9">
        <v>0.11764705926179886</v>
      </c>
      <c r="I24">
        <v>1.6799999866634607E-4</v>
      </c>
      <c r="J24"/>
    </row>
    <row r="25" spans="1:10" ht="15" customHeight="1" x14ac:dyDescent="0.15">
      <c r="A25" s="169">
        <v>24</v>
      </c>
      <c r="B25" s="169" t="s">
        <v>214</v>
      </c>
      <c r="C25" s="8">
        <v>3.6493499279022217</v>
      </c>
      <c r="D25" s="9">
        <v>3.0000000260770321E-3</v>
      </c>
      <c r="E25" s="9">
        <v>0.80000001192092896</v>
      </c>
      <c r="F25" s="9">
        <v>7.3000001907348633</v>
      </c>
      <c r="G25" s="9">
        <v>0.53534656763076782</v>
      </c>
      <c r="H25" s="9">
        <v>0.10958904027938843</v>
      </c>
      <c r="I25">
        <v>7.2399998316541314E-4</v>
      </c>
      <c r="J25"/>
    </row>
    <row r="26" spans="1:10" ht="15" customHeight="1" x14ac:dyDescent="0.15">
      <c r="A26" s="170">
        <v>25</v>
      </c>
      <c r="B26" s="170" t="s">
        <v>215</v>
      </c>
      <c r="C26" s="8">
        <v>4.2208719253540039</v>
      </c>
      <c r="D26" s="9">
        <v>2.4000000208616257E-2</v>
      </c>
      <c r="E26" s="9">
        <v>0.5899999737739563</v>
      </c>
      <c r="F26" s="9">
        <v>4.6999998092651367</v>
      </c>
      <c r="G26" s="9">
        <v>0.61548179388046265</v>
      </c>
      <c r="H26" s="9">
        <v>0.12553191184997559</v>
      </c>
      <c r="I26">
        <v>3.3720000647008419E-3</v>
      </c>
      <c r="J26"/>
    </row>
    <row r="27" spans="1:10" ht="15" customHeight="1" x14ac:dyDescent="0.15">
      <c r="A27" s="171">
        <v>26</v>
      </c>
      <c r="B27" s="171" t="s">
        <v>216</v>
      </c>
      <c r="C27" s="8">
        <v>4.1712813377380371</v>
      </c>
      <c r="D27" s="9">
        <v>3.0000000260770321E-3</v>
      </c>
      <c r="E27" s="9">
        <v>0.49000000953674316</v>
      </c>
      <c r="F27" s="9">
        <v>5.5</v>
      </c>
      <c r="G27" s="9">
        <v>0.51459896564483643</v>
      </c>
      <c r="H27" s="9">
        <v>8.9090913534164429E-2</v>
      </c>
      <c r="I27">
        <v>6.4099999144673347E-4</v>
      </c>
      <c r="J27"/>
    </row>
    <row r="28" spans="1:10" ht="15" customHeight="1" x14ac:dyDescent="0.15">
      <c r="A28" s="172">
        <v>27</v>
      </c>
      <c r="B28" s="172" t="s">
        <v>217</v>
      </c>
      <c r="C28" s="8">
        <v>2.5</v>
      </c>
      <c r="D28" s="9">
        <v>0.30295413732528687</v>
      </c>
      <c r="E28" s="9">
        <v>2.5999999046325684</v>
      </c>
      <c r="F28" s="9">
        <v>11.300000190734863</v>
      </c>
      <c r="G28" s="9">
        <v>0.94999992847442627</v>
      </c>
      <c r="H28" s="9">
        <v>0.2300884872674942</v>
      </c>
      <c r="I28">
        <v>1.9999999949504854E-6</v>
      </c>
      <c r="J28"/>
    </row>
    <row r="29" spans="1:10" ht="15" customHeight="1" x14ac:dyDescent="0.15">
      <c r="A29" s="173">
        <v>28</v>
      </c>
      <c r="B29" s="173" t="s">
        <v>218</v>
      </c>
      <c r="C29" s="8">
        <v>3.077953577041626</v>
      </c>
      <c r="D29" s="9">
        <v>0.54295581579208374</v>
      </c>
      <c r="E29" s="9">
        <v>1.2000000476837158</v>
      </c>
      <c r="F29" s="9">
        <v>6.5799999237060547</v>
      </c>
      <c r="G29" s="9">
        <v>0.95000004768371582</v>
      </c>
      <c r="H29" s="9">
        <v>0.18237082660198212</v>
      </c>
      <c r="I29">
        <v>4.5729996636509895E-3</v>
      </c>
      <c r="J29"/>
    </row>
    <row r="30" spans="1:10" ht="15" customHeight="1" x14ac:dyDescent="0.15">
      <c r="A30" s="174">
        <v>29</v>
      </c>
      <c r="B30" s="174" t="s">
        <v>219</v>
      </c>
      <c r="C30" s="8">
        <v>3.917410135269165</v>
      </c>
      <c r="D30" s="9">
        <v>0.20717659592628479</v>
      </c>
      <c r="E30" s="9">
        <v>0.36000001430511475</v>
      </c>
      <c r="F30" s="9">
        <v>5.1999998092651367</v>
      </c>
      <c r="G30" s="9">
        <v>0.94999998807907104</v>
      </c>
      <c r="H30" s="9">
        <v>6.923077255487442E-2</v>
      </c>
      <c r="I30">
        <v>1.15999995614402E-4</v>
      </c>
      <c r="J30"/>
    </row>
    <row r="31" spans="1:10" ht="15" customHeight="1" x14ac:dyDescent="0.15">
      <c r="A31" s="175">
        <v>30</v>
      </c>
      <c r="B31" s="175" t="s">
        <v>220</v>
      </c>
      <c r="C31" s="8">
        <v>4.6841521263122559</v>
      </c>
      <c r="D31" s="9">
        <v>1.9999999552965164E-2</v>
      </c>
      <c r="E31" s="9">
        <v>0.5</v>
      </c>
      <c r="F31" s="9">
        <v>2.7999999523162842</v>
      </c>
      <c r="G31" s="9">
        <v>9.3892380595207214E-2</v>
      </c>
      <c r="H31" s="9">
        <v>0.1785714328289032</v>
      </c>
      <c r="I31">
        <v>2.5199999799951911E-4</v>
      </c>
      <c r="J31"/>
    </row>
    <row r="32" spans="1:10" ht="15" customHeight="1" x14ac:dyDescent="0.15">
      <c r="A32" s="203">
        <v>31</v>
      </c>
      <c r="B32" s="203" t="s">
        <v>221</v>
      </c>
      <c r="C32" s="8">
        <v>3.5102889537811279</v>
      </c>
      <c r="D32" s="9">
        <v>2</v>
      </c>
      <c r="E32" s="9">
        <v>3</v>
      </c>
      <c r="F32" s="9">
        <v>14.399999618530273</v>
      </c>
      <c r="G32" s="9">
        <v>5.6377734988927841E-2</v>
      </c>
      <c r="H32" s="9">
        <v>0.2083333432674408</v>
      </c>
      <c r="I32">
        <v>0</v>
      </c>
      <c r="J32"/>
    </row>
    <row r="33" spans="1:10" ht="15" customHeight="1" x14ac:dyDescent="0.15">
      <c r="A33" s="204">
        <v>32</v>
      </c>
      <c r="B33" s="204" t="s">
        <v>222</v>
      </c>
      <c r="C33" s="8">
        <v>3.4319221973419189</v>
      </c>
      <c r="D33" s="9">
        <v>0.1840808242559433</v>
      </c>
      <c r="E33" s="9">
        <v>0.80000001192092896</v>
      </c>
      <c r="F33" s="9">
        <v>5</v>
      </c>
      <c r="G33" s="9">
        <v>0.94999998807907104</v>
      </c>
      <c r="H33" s="9">
        <v>0.15999999642372131</v>
      </c>
      <c r="I33">
        <v>0</v>
      </c>
      <c r="J33"/>
    </row>
    <row r="34" spans="1:10" ht="15" customHeight="1" x14ac:dyDescent="0.15">
      <c r="A34" s="205">
        <v>33</v>
      </c>
      <c r="B34" s="205" t="s">
        <v>223</v>
      </c>
      <c r="C34" s="8">
        <v>3.515995979309082</v>
      </c>
      <c r="D34" s="9">
        <v>6.3240737654268742E-3</v>
      </c>
      <c r="E34" s="9">
        <v>0.30000001192092896</v>
      </c>
      <c r="F34" s="9">
        <v>8</v>
      </c>
      <c r="G34" s="9">
        <v>0.94999998807907104</v>
      </c>
      <c r="H34" s="9">
        <v>3.7500001490116119E-2</v>
      </c>
      <c r="I34">
        <v>0</v>
      </c>
      <c r="J34"/>
    </row>
    <row r="35" spans="1:10" ht="15" customHeight="1" x14ac:dyDescent="0.15">
      <c r="A35" s="206">
        <v>34</v>
      </c>
      <c r="B35" s="206" t="s">
        <v>224</v>
      </c>
      <c r="C35" s="8">
        <v>4.349334716796875</v>
      </c>
      <c r="D35" s="9">
        <v>3.3552735112607479E-4</v>
      </c>
      <c r="E35" s="9">
        <v>0.30000001192092896</v>
      </c>
      <c r="F35" s="9">
        <v>6.5</v>
      </c>
      <c r="G35" s="9">
        <v>0.94999986886978149</v>
      </c>
      <c r="H35" s="9">
        <v>4.6153847128152847E-2</v>
      </c>
      <c r="I35">
        <v>4.4000000798405381E-7</v>
      </c>
      <c r="J35"/>
    </row>
    <row r="36" spans="1:10" ht="15" customHeight="1" x14ac:dyDescent="0.15">
      <c r="A36" s="207">
        <v>35</v>
      </c>
      <c r="B36" s="207" t="s">
        <v>225</v>
      </c>
      <c r="C36" s="8">
        <v>3.9185965061187744</v>
      </c>
      <c r="D36" s="9">
        <v>1.9999999552965164E-2</v>
      </c>
      <c r="E36" s="9">
        <v>0.61000001430511475</v>
      </c>
      <c r="F36" s="9">
        <v>5.8000001907348633</v>
      </c>
      <c r="G36" s="9">
        <v>1.4344261959195137E-2</v>
      </c>
      <c r="H36" s="9">
        <v>0.10517241060733795</v>
      </c>
      <c r="I36">
        <v>1.7499999376013875E-4</v>
      </c>
      <c r="J36"/>
    </row>
    <row r="37" spans="1:10" ht="15" customHeight="1" x14ac:dyDescent="0.15">
      <c r="A37" s="208">
        <v>36</v>
      </c>
      <c r="B37" s="208" t="s">
        <v>226</v>
      </c>
      <c r="C37" s="8">
        <v>4.0948247909545898</v>
      </c>
      <c r="D37" s="9">
        <v>2.9999999329447746E-2</v>
      </c>
      <c r="E37" s="9">
        <v>0.50999999046325684</v>
      </c>
      <c r="F37" s="9">
        <v>6.9000000953674316</v>
      </c>
      <c r="G37" s="9">
        <v>0.13031777739524841</v>
      </c>
      <c r="H37" s="9">
        <v>7.3913037776947021E-2</v>
      </c>
      <c r="I37">
        <v>5.0999999075429514E-5</v>
      </c>
      <c r="J37"/>
    </row>
    <row r="38" spans="1:10" ht="15" customHeight="1" x14ac:dyDescent="0.15">
      <c r="A38" s="209">
        <v>37</v>
      </c>
      <c r="B38" s="209" t="s">
        <v>227</v>
      </c>
      <c r="C38" s="8">
        <v>4.3121490478515625</v>
      </c>
      <c r="D38" s="9">
        <v>9.9999997764825821E-3</v>
      </c>
      <c r="E38" s="9">
        <v>0.30000001192092896</v>
      </c>
      <c r="F38" s="9">
        <v>3.0999999046325684</v>
      </c>
      <c r="G38" s="9">
        <v>0.11599999666213989</v>
      </c>
      <c r="H38" s="9">
        <v>9.6774198114871979E-2</v>
      </c>
      <c r="I38">
        <v>3.4800000139512122E-4</v>
      </c>
      <c r="J38"/>
    </row>
    <row r="39" spans="1:10" ht="15" customHeight="1" x14ac:dyDescent="0.15">
      <c r="A39" s="210">
        <v>38</v>
      </c>
      <c r="B39" s="210" t="s">
        <v>228</v>
      </c>
      <c r="C39" s="8">
        <v>3.8499546051025391</v>
      </c>
      <c r="D39" s="9">
        <v>3.0999999493360519E-2</v>
      </c>
      <c r="E39" s="9">
        <v>0.69999998807907104</v>
      </c>
      <c r="F39" s="9">
        <v>3.5</v>
      </c>
      <c r="G39" s="9">
        <v>0.51391708850860596</v>
      </c>
      <c r="H39" s="9">
        <v>0.20000000298023224</v>
      </c>
      <c r="I39">
        <v>1.1152000166475773E-2</v>
      </c>
      <c r="J39"/>
    </row>
    <row r="40" spans="1:10" ht="15" customHeight="1" x14ac:dyDescent="0.15">
      <c r="A40" s="211">
        <v>39</v>
      </c>
      <c r="B40" s="211" t="s">
        <v>229</v>
      </c>
      <c r="C40" s="8">
        <v>3.7653059959411621</v>
      </c>
      <c r="D40" s="9">
        <v>1.0000000474974513E-3</v>
      </c>
      <c r="E40" s="9">
        <v>0.15000000596046448</v>
      </c>
      <c r="F40" s="9">
        <v>3.5</v>
      </c>
      <c r="G40" s="7">
        <v>0</v>
      </c>
      <c r="H40" s="9">
        <v>4.285714402794838E-2</v>
      </c>
      <c r="I40">
        <v>0</v>
      </c>
      <c r="J40"/>
    </row>
    <row r="41" spans="1:10" ht="15" customHeight="1" x14ac:dyDescent="0.15">
      <c r="A41" s="212">
        <v>40</v>
      </c>
      <c r="B41" s="212" t="s">
        <v>230</v>
      </c>
      <c r="C41" s="8">
        <v>4.2822599411010742</v>
      </c>
      <c r="D41" s="9">
        <v>1.9999999494757503E-4</v>
      </c>
      <c r="E41" s="9">
        <v>3.9999999105930328E-2</v>
      </c>
      <c r="F41" s="9">
        <v>84.389999389648438</v>
      </c>
      <c r="G41" s="9">
        <v>0.21125148236751556</v>
      </c>
      <c r="H41" s="9">
        <v>4.7398981405422091E-4</v>
      </c>
      <c r="I41">
        <v>0</v>
      </c>
      <c r="J41"/>
    </row>
    <row r="42" spans="1:10" ht="15" customHeight="1" x14ac:dyDescent="0.15">
      <c r="A42" s="213">
        <v>41</v>
      </c>
      <c r="B42" s="213" t="s">
        <v>231</v>
      </c>
      <c r="C42" s="8">
        <v>4.0982146263122559</v>
      </c>
      <c r="D42" s="9">
        <v>0.12300000339746475</v>
      </c>
      <c r="E42" s="9">
        <v>1.9999999552965164E-2</v>
      </c>
      <c r="F42" s="9">
        <v>5.5630002021789551</v>
      </c>
      <c r="G42" s="7">
        <v>0</v>
      </c>
      <c r="H42" s="9">
        <v>3.5951822064816952E-3</v>
      </c>
      <c r="I42">
        <v>0</v>
      </c>
      <c r="J42"/>
    </row>
    <row r="43" spans="1:10" ht="15" customHeight="1" x14ac:dyDescent="0.15">
      <c r="A43" s="214">
        <v>42</v>
      </c>
      <c r="B43" s="214" t="s">
        <v>232</v>
      </c>
      <c r="C43" s="8">
        <v>4.7084770202636719</v>
      </c>
      <c r="D43" s="9">
        <v>4.3999999761581421E-3</v>
      </c>
      <c r="E43" s="9">
        <v>7.0000000298023224E-2</v>
      </c>
      <c r="F43" s="9">
        <v>11.409999847412109</v>
      </c>
      <c r="G43" s="9">
        <v>0.46311327815055847</v>
      </c>
      <c r="H43" s="9">
        <v>6.1349696479737759E-3</v>
      </c>
      <c r="I43">
        <v>0</v>
      </c>
      <c r="J43"/>
    </row>
    <row r="44" spans="1:10" ht="15" customHeight="1" x14ac:dyDescent="0.15">
      <c r="A44" s="215">
        <v>43</v>
      </c>
      <c r="B44" s="215" t="s">
        <v>233</v>
      </c>
      <c r="C44" s="8">
        <v>5.3039498329162598</v>
      </c>
      <c r="D44" s="9">
        <v>6.2500002968590707E-5</v>
      </c>
      <c r="E44" s="9">
        <v>1.9999999552965164E-2</v>
      </c>
      <c r="F44" s="9">
        <v>10.270000457763672</v>
      </c>
      <c r="G44" s="7">
        <v>0</v>
      </c>
      <c r="H44" s="9">
        <v>1.9474194850772619E-3</v>
      </c>
      <c r="I44">
        <v>0</v>
      </c>
      <c r="J44"/>
    </row>
    <row r="45" spans="1:10" ht="15" customHeight="1" x14ac:dyDescent="0.15">
      <c r="A45" s="216">
        <v>44</v>
      </c>
      <c r="B45" s="216" t="s">
        <v>234</v>
      </c>
      <c r="C45" s="8">
        <v>1</v>
      </c>
      <c r="D45" s="9">
        <v>1</v>
      </c>
      <c r="E45" s="10"/>
      <c r="F45" s="10"/>
      <c r="G45" s="9">
        <v>0.11747145652770996</v>
      </c>
      <c r="H45" s="10"/>
      <c r="I45">
        <v>0</v>
      </c>
      <c r="J45"/>
    </row>
    <row r="46" spans="1:10" ht="15" customHeight="1" x14ac:dyDescent="0.15">
      <c r="A46" s="217">
        <v>45</v>
      </c>
      <c r="B46" s="217" t="s">
        <v>235</v>
      </c>
      <c r="C46" s="8">
        <v>1</v>
      </c>
      <c r="D46" s="9">
        <v>5</v>
      </c>
      <c r="E46" s="10"/>
      <c r="F46" s="10"/>
      <c r="G46" s="7">
        <v>0</v>
      </c>
      <c r="H46" s="10"/>
      <c r="I46">
        <v>0</v>
      </c>
      <c r="J46"/>
    </row>
    <row r="47" spans="1:10" ht="15" customHeight="1" x14ac:dyDescent="0.15">
      <c r="A47" s="218">
        <v>46</v>
      </c>
      <c r="B47" s="218" t="s">
        <v>236</v>
      </c>
      <c r="C47" s="8">
        <v>5.0948247909545898</v>
      </c>
      <c r="D47" s="10"/>
      <c r="E47" s="10"/>
      <c r="F47" s="10"/>
      <c r="G47" s="10"/>
      <c r="H47" s="10"/>
      <c r="I47">
        <v>5.0999999075429514E-5</v>
      </c>
      <c r="J47"/>
    </row>
    <row r="48" spans="1:10" ht="15" customHeight="1" x14ac:dyDescent="0.15">
      <c r="A48" s="219">
        <v>47</v>
      </c>
      <c r="B48" s="219" t="s">
        <v>237</v>
      </c>
      <c r="C48" s="8">
        <v>4.9613699913024902</v>
      </c>
      <c r="D48" s="10"/>
      <c r="E48" s="10"/>
      <c r="F48" s="10"/>
      <c r="G48" s="10"/>
      <c r="H48" s="10"/>
      <c r="I48">
        <v>8.9340005069971085E-3</v>
      </c>
      <c r="J48"/>
    </row>
    <row r="49" spans="1:10" ht="15" customHeight="1" x14ac:dyDescent="0.15">
      <c r="A49" s="220">
        <v>48</v>
      </c>
      <c r="B49" s="220" t="s">
        <v>238</v>
      </c>
      <c r="C49" s="8">
        <v>5.3493342399597168</v>
      </c>
      <c r="D49" s="10"/>
      <c r="E49" s="10"/>
      <c r="F49" s="10"/>
      <c r="G49" s="10"/>
      <c r="H49" s="10"/>
      <c r="I49">
        <v>4.4000000798405381E-7</v>
      </c>
      <c r="J49"/>
    </row>
    <row r="50" spans="1:10" ht="15" customHeight="1" x14ac:dyDescent="0.15">
      <c r="A50" s="221">
        <v>49</v>
      </c>
      <c r="B50" s="221" t="s">
        <v>239</v>
      </c>
      <c r="C50" s="8">
        <v>5.0726385116577148</v>
      </c>
      <c r="D50" s="10"/>
      <c r="E50" s="10"/>
      <c r="F50" s="10"/>
      <c r="G50" s="10"/>
      <c r="H50" s="10"/>
      <c r="I50">
        <v>6.6599994897842407E-4</v>
      </c>
      <c r="J50"/>
    </row>
    <row r="51" spans="1:10" ht="15" customHeight="1" x14ac:dyDescent="0.15">
      <c r="A51" s="222">
        <v>50</v>
      </c>
      <c r="B51" s="222" t="s">
        <v>240</v>
      </c>
      <c r="C51" s="8">
        <v>4.1093864440917969</v>
      </c>
      <c r="D51" s="10"/>
      <c r="E51" s="10"/>
      <c r="F51" s="10"/>
      <c r="G51" s="10"/>
      <c r="H51" s="10"/>
      <c r="I51">
        <v>2.8000000384054147E-5</v>
      </c>
      <c r="J51"/>
    </row>
    <row r="52" spans="1:10" ht="15" customHeight="1" x14ac:dyDescent="0.15">
      <c r="A52" s="223">
        <v>51</v>
      </c>
      <c r="B52" s="223" t="s">
        <v>195</v>
      </c>
      <c r="C52" s="8">
        <v>4.9588861465454102</v>
      </c>
      <c r="D52" s="10"/>
      <c r="E52" s="10"/>
      <c r="F52" s="10"/>
      <c r="G52" s="10"/>
      <c r="H52" s="10"/>
      <c r="I52">
        <v>5.1899999380111694E-4</v>
      </c>
      <c r="J52"/>
    </row>
    <row r="53" spans="1:10" ht="15" customHeight="1" x14ac:dyDescent="0.15">
      <c r="A53" s="224">
        <v>52</v>
      </c>
      <c r="B53" s="224" t="s">
        <v>241</v>
      </c>
      <c r="C53" s="8">
        <v>4.1217560768127441</v>
      </c>
      <c r="D53" s="10"/>
      <c r="E53" s="10"/>
      <c r="F53" s="10"/>
      <c r="G53" s="10"/>
      <c r="H53" s="10"/>
      <c r="I53">
        <v>3.6800000816583633E-4</v>
      </c>
      <c r="J53"/>
    </row>
    <row r="54" spans="1:10" ht="15" customHeight="1" x14ac:dyDescent="0.15">
      <c r="A54" s="225">
        <v>53</v>
      </c>
      <c r="B54" s="225" t="s">
        <v>196</v>
      </c>
      <c r="C54" s="8">
        <v>4.6072092056274414</v>
      </c>
      <c r="D54" s="10"/>
      <c r="E54" s="10"/>
      <c r="F54" s="10"/>
      <c r="G54" s="10"/>
      <c r="H54" s="10"/>
      <c r="I54">
        <v>8.0999998317565769E-5</v>
      </c>
      <c r="J54"/>
    </row>
    <row r="55" spans="1:10" ht="15" customHeight="1" x14ac:dyDescent="0.15">
      <c r="A55" s="226">
        <v>54</v>
      </c>
      <c r="B55" s="226" t="s">
        <v>242</v>
      </c>
      <c r="C55" s="8">
        <v>2</v>
      </c>
      <c r="D55" s="10"/>
      <c r="E55" s="10"/>
      <c r="F55" s="10"/>
      <c r="G55" s="10"/>
      <c r="H55" s="10"/>
      <c r="I55">
        <v>9.9999997171806854E-10</v>
      </c>
      <c r="J55"/>
    </row>
    <row r="56" spans="1:10" ht="15" customHeight="1" x14ac:dyDescent="0.15">
      <c r="A56" s="227">
        <v>55</v>
      </c>
      <c r="B56" s="227" t="s">
        <v>243</v>
      </c>
      <c r="C56" s="8">
        <v>4.0776023864746094</v>
      </c>
      <c r="D56" s="10"/>
      <c r="E56" s="10"/>
      <c r="F56" s="10"/>
      <c r="G56" s="10"/>
      <c r="H56" s="10"/>
      <c r="I56">
        <v>3.2919999212026596E-3</v>
      </c>
      <c r="J56"/>
    </row>
    <row r="57" spans="1:10" ht="15" customHeight="1" x14ac:dyDescent="0.15">
      <c r="A57" s="228">
        <v>56</v>
      </c>
      <c r="B57" s="228" t="s">
        <v>244</v>
      </c>
      <c r="C57" s="8">
        <v>5.5369558334350586</v>
      </c>
      <c r="D57" s="10"/>
      <c r="E57" s="10"/>
      <c r="F57" s="10"/>
      <c r="G57" s="10"/>
      <c r="H57" s="10"/>
      <c r="I57">
        <v>4.1700000292621553E-4</v>
      </c>
      <c r="J57"/>
    </row>
    <row r="58" spans="1:10" ht="15" customHeight="1" x14ac:dyDescent="0.15">
      <c r="A58" s="229">
        <v>57</v>
      </c>
      <c r="B58" s="229" t="s">
        <v>245</v>
      </c>
      <c r="C58" s="8">
        <v>4.8499541282653809</v>
      </c>
      <c r="D58" s="10"/>
      <c r="E58" s="10"/>
      <c r="F58" s="10"/>
      <c r="G58" s="10"/>
      <c r="H58" s="10"/>
      <c r="I58">
        <v>1.1152000166475773E-2</v>
      </c>
      <c r="J58"/>
    </row>
    <row r="59" spans="1:10" ht="15" customHeight="1" x14ac:dyDescent="0.15">
      <c r="A59" s="230">
        <v>58</v>
      </c>
      <c r="B59" s="230" t="s">
        <v>246</v>
      </c>
      <c r="C59" s="8">
        <v>3.1734693050384521</v>
      </c>
      <c r="D59" s="10"/>
      <c r="E59" s="10"/>
      <c r="F59" s="10"/>
      <c r="G59" s="10"/>
      <c r="H59" s="10"/>
      <c r="I59">
        <v>1.9999999949504854E-6</v>
      </c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0" bestFit="1" customWidth="1"/>
    <col min="2" max="4" width="9.5" style="80" bestFit="1" customWidth="1"/>
    <col min="5" max="7" width="9" style="80" bestFit="1" customWidth="1"/>
    <col min="8" max="16" width="12.6640625" style="80" bestFit="1" customWidth="1"/>
    <col min="17" max="17" width="12.33203125" style="80" bestFit="1" customWidth="1"/>
    <col min="18" max="18" width="8.83203125" style="80"/>
    <col min="19" max="21" width="9.33203125" style="80" bestFit="1" customWidth="1"/>
    <col min="22" max="23" width="8.83203125" style="80"/>
    <col min="24" max="24" width="9.33203125" style="80" bestFit="1" customWidth="1"/>
    <col min="25" max="27" width="8.83203125" style="80"/>
    <col min="28" max="58" width="9" style="80" bestFit="1" customWidth="1"/>
    <col min="59" max="59" width="12.33203125" style="80" bestFit="1" customWidth="1"/>
    <col min="60" max="60" width="9" style="80" bestFit="1" customWidth="1"/>
    <col min="61" max="61" width="11.33203125" style="80" bestFit="1" customWidth="1"/>
    <col min="62" max="77" width="9" style="80" bestFit="1" customWidth="1"/>
    <col min="78" max="78" width="12.33203125" style="80" bestFit="1" customWidth="1"/>
    <col min="79" max="79" width="9" style="80" bestFit="1" customWidth="1"/>
    <col min="80" max="80" width="12.33203125" style="80" bestFit="1" customWidth="1"/>
    <col min="81" max="107" width="9" style="80" bestFit="1" customWidth="1"/>
    <col min="108" max="108" width="11.33203125" style="80" bestFit="1" customWidth="1"/>
    <col min="109" max="124" width="9" style="80" bestFit="1" customWidth="1"/>
    <col min="125" max="125" width="10.33203125" style="80" bestFit="1" customWidth="1"/>
    <col min="126" max="129" width="9.33203125" style="80" bestFit="1" customWidth="1"/>
    <col min="130" max="130" width="9" style="80" bestFit="1" customWidth="1"/>
    <col min="131" max="134" width="9.33203125" style="80" bestFit="1" customWidth="1"/>
    <col min="135" max="165" width="9" style="80" bestFit="1" customWidth="1"/>
    <col min="166" max="166" width="12.33203125" style="80" bestFit="1" customWidth="1"/>
    <col min="167" max="170" width="9" style="80" bestFit="1" customWidth="1"/>
    <col min="171" max="176" width="8.83203125" style="80"/>
    <col min="177" max="177" width="13.83203125" style="80" bestFit="1" customWidth="1"/>
    <col min="178" max="16384" width="8.83203125" style="8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251</v>
      </c>
      <c r="E1" t="s">
        <v>252</v>
      </c>
      <c r="F1" t="s">
        <v>253</v>
      </c>
      <c r="G1" t="s">
        <v>254</v>
      </c>
      <c r="H1" t="s">
        <v>255</v>
      </c>
      <c r="I1" t="s">
        <v>256</v>
      </c>
      <c r="J1" t="s">
        <v>257</v>
      </c>
      <c r="K1" t="s">
        <v>258</v>
      </c>
      <c r="L1" t="s">
        <v>259</v>
      </c>
      <c r="M1" t="s">
        <v>260</v>
      </c>
      <c r="N1" t="s">
        <v>261</v>
      </c>
      <c r="O1" t="s">
        <v>262</v>
      </c>
      <c r="P1" t="s">
        <v>263</v>
      </c>
      <c r="Q1" t="s">
        <v>192</v>
      </c>
      <c r="R1" t="s">
        <v>67</v>
      </c>
      <c r="S1" t="s">
        <v>193</v>
      </c>
      <c r="T1" t="s">
        <v>194</v>
      </c>
      <c r="U1" t="s">
        <v>195</v>
      </c>
      <c r="V1" t="s">
        <v>196</v>
      </c>
      <c r="W1" t="s">
        <v>197</v>
      </c>
      <c r="X1" t="s">
        <v>198</v>
      </c>
      <c r="Y1" t="s">
        <v>199</v>
      </c>
      <c r="Z1" t="s">
        <v>200</v>
      </c>
      <c r="AA1" t="s">
        <v>201</v>
      </c>
      <c r="AB1" t="s">
        <v>202</v>
      </c>
      <c r="AC1" t="s">
        <v>203</v>
      </c>
      <c r="AD1" t="s">
        <v>204</v>
      </c>
      <c r="AE1" t="s">
        <v>205</v>
      </c>
      <c r="AF1" t="s">
        <v>206</v>
      </c>
      <c r="AG1" t="s">
        <v>207</v>
      </c>
      <c r="AH1" t="s">
        <v>208</v>
      </c>
      <c r="AI1" t="s">
        <v>209</v>
      </c>
      <c r="AJ1" t="s">
        <v>210</v>
      </c>
      <c r="AK1" t="s">
        <v>211</v>
      </c>
      <c r="AL1" t="s">
        <v>212</v>
      </c>
      <c r="AM1" t="s">
        <v>213</v>
      </c>
      <c r="AN1" t="s">
        <v>214</v>
      </c>
      <c r="AO1" t="s">
        <v>215</v>
      </c>
      <c r="AP1" t="s">
        <v>216</v>
      </c>
      <c r="AQ1" t="s">
        <v>217</v>
      </c>
      <c r="AR1" t="s">
        <v>218</v>
      </c>
      <c r="AS1" t="s">
        <v>219</v>
      </c>
      <c r="AT1" t="s">
        <v>220</v>
      </c>
      <c r="AU1" t="s">
        <v>221</v>
      </c>
      <c r="AV1" t="s">
        <v>222</v>
      </c>
      <c r="AW1" t="s">
        <v>223</v>
      </c>
      <c r="AX1" t="s">
        <v>224</v>
      </c>
      <c r="AY1" t="s">
        <v>225</v>
      </c>
      <c r="AZ1" t="s">
        <v>226</v>
      </c>
      <c r="BA1" t="s">
        <v>227</v>
      </c>
      <c r="BB1" t="s">
        <v>228</v>
      </c>
      <c r="BC1" t="s">
        <v>229</v>
      </c>
      <c r="BD1" t="s">
        <v>230</v>
      </c>
      <c r="BE1" t="s">
        <v>231</v>
      </c>
      <c r="BF1" t="s">
        <v>232</v>
      </c>
      <c r="BG1" t="s">
        <v>233</v>
      </c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290</v>
      </c>
      <c r="C2">
        <v>197.92201232910156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 s="302">
        <v>88.185081481933594</v>
      </c>
      <c r="T2" s="18">
        <v>3.1626780033111572</v>
      </c>
      <c r="U2"/>
      <c r="V2"/>
      <c r="W2"/>
      <c r="X2"/>
      <c r="Y2"/>
      <c r="Z2"/>
      <c r="AA2" s="14">
        <v>0.3210570216178894</v>
      </c>
      <c r="AB2"/>
      <c r="AC2" s="11">
        <v>8.989347517490387E-2</v>
      </c>
      <c r="AD2"/>
      <c r="AE2"/>
      <c r="AF2" s="11">
        <v>2.034114149864763E-4</v>
      </c>
      <c r="AG2"/>
      <c r="AH2"/>
      <c r="AI2"/>
      <c r="AJ2"/>
      <c r="AK2"/>
      <c r="AL2"/>
      <c r="AM2"/>
      <c r="AN2"/>
      <c r="AO2"/>
      <c r="AP2"/>
      <c r="AQ2" s="11">
        <v>0.24452726542949677</v>
      </c>
      <c r="AR2" s="11">
        <v>7.4356749653816223E-2</v>
      </c>
      <c r="AS2"/>
      <c r="AT2"/>
      <c r="AU2"/>
      <c r="AV2"/>
      <c r="AW2"/>
      <c r="AX2"/>
      <c r="AY2"/>
      <c r="AZ2"/>
      <c r="BA2" s="11">
        <v>1.8053654639516026E-4</v>
      </c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67</v>
      </c>
      <c r="B3">
        <v>4.3400001525878906</v>
      </c>
      <c r="C3">
        <v>3.5654866695404053</v>
      </c>
      <c r="D3"/>
      <c r="E3"/>
      <c r="F3"/>
      <c r="G3"/>
      <c r="H3"/>
      <c r="I3"/>
      <c r="J3"/>
      <c r="K3"/>
      <c r="L3" s="9">
        <v>2.6954177778648614E-10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 s="248">
        <v>0.35633406043052673</v>
      </c>
      <c r="AB3"/>
      <c r="AC3" s="276">
        <v>0.21201135218143463</v>
      </c>
      <c r="AD3" s="27">
        <v>0.1515355110168457</v>
      </c>
      <c r="AE3" s="14">
        <v>6.4122951589524746E-3</v>
      </c>
      <c r="AF3" s="14">
        <v>4.5095924288034439E-3</v>
      </c>
      <c r="AG3" s="23">
        <v>2.1478915587067604E-2</v>
      </c>
      <c r="AH3" s="11">
        <v>5.1749713020399213E-4</v>
      </c>
      <c r="AI3"/>
      <c r="AJ3"/>
      <c r="AK3"/>
      <c r="AL3"/>
      <c r="AM3"/>
      <c r="AN3"/>
      <c r="AO3"/>
      <c r="AP3" s="11">
        <v>1.7784421288524754E-5</v>
      </c>
      <c r="AQ3"/>
      <c r="AR3" s="23">
        <v>2.1671203896403313E-2</v>
      </c>
      <c r="AS3"/>
      <c r="AT3"/>
      <c r="AU3"/>
      <c r="AV3"/>
      <c r="AW3"/>
      <c r="AX3"/>
      <c r="AY3" s="11">
        <v>8.351313226739876E-6</v>
      </c>
      <c r="AZ3"/>
      <c r="BA3" s="11">
        <v>1.6960731954895891E-5</v>
      </c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193</v>
      </c>
      <c r="B4">
        <v>60</v>
      </c>
      <c r="C4">
        <v>3.0000007152557373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 s="301">
        <v>47.125408172607422</v>
      </c>
      <c r="U4"/>
      <c r="V4"/>
      <c r="W4"/>
      <c r="X4"/>
      <c r="Y4"/>
      <c r="Z4" s="23">
        <v>0.38094815611839294</v>
      </c>
      <c r="AA4" s="279">
        <v>5.782315731048584</v>
      </c>
      <c r="AB4"/>
      <c r="AC4" s="11">
        <v>5.7335931807756424E-2</v>
      </c>
      <c r="AD4" s="14">
        <v>0.12042026221752167</v>
      </c>
      <c r="AE4" s="14">
        <v>0.12945526838302612</v>
      </c>
      <c r="AF4" s="11">
        <v>6.2279315898194909E-4</v>
      </c>
      <c r="AG4" s="11">
        <v>1.1742281727492809E-2</v>
      </c>
      <c r="AH4"/>
      <c r="AI4"/>
      <c r="AJ4"/>
      <c r="AK4" s="11">
        <v>2.493798965588212E-4</v>
      </c>
      <c r="AL4"/>
      <c r="AM4"/>
      <c r="AN4"/>
      <c r="AO4" s="11">
        <v>1.21992134154425E-5</v>
      </c>
      <c r="AP4"/>
      <c r="AQ4" s="22">
        <v>0.49911957979202271</v>
      </c>
      <c r="AR4" s="14">
        <v>9.1301009058952332E-2</v>
      </c>
      <c r="AS4"/>
      <c r="AT4"/>
      <c r="AU4" s="28">
        <v>2.7983739376068115</v>
      </c>
      <c r="AV4"/>
      <c r="AW4" s="11">
        <v>1.9653141498565674E-3</v>
      </c>
      <c r="AX4"/>
      <c r="AY4"/>
      <c r="AZ4"/>
      <c r="BA4" s="11">
        <v>7.27879349142313E-4</v>
      </c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194</v>
      </c>
      <c r="B5">
        <v>5</v>
      </c>
      <c r="C5">
        <v>0.99999994039535522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 s="257">
        <v>0.64000004529953003</v>
      </c>
      <c r="U5" s="11">
        <v>3.8550849421881139E-4</v>
      </c>
      <c r="V5"/>
      <c r="W5" s="19">
        <v>9.0055838227272034E-2</v>
      </c>
      <c r="X5" s="12">
        <v>1.6889911144971848E-2</v>
      </c>
      <c r="Y5" s="11">
        <v>6.5035675652325153E-4</v>
      </c>
      <c r="Z5" s="13">
        <v>0.18883547186851501</v>
      </c>
      <c r="AA5"/>
      <c r="AB5"/>
      <c r="AC5"/>
      <c r="AD5" s="12">
        <v>1.6051674261689186E-2</v>
      </c>
      <c r="AE5" s="12">
        <v>1.7572935670614243E-2</v>
      </c>
      <c r="AF5"/>
      <c r="AG5" s="14">
        <v>1.4335566200315952E-2</v>
      </c>
      <c r="AH5" s="11">
        <v>1.9778902060352266E-4</v>
      </c>
      <c r="AI5"/>
      <c r="AJ5"/>
      <c r="AK5" s="11">
        <v>1.0393005795776844E-3</v>
      </c>
      <c r="AL5" s="11">
        <v>9.2945300275459886E-4</v>
      </c>
      <c r="AM5"/>
      <c r="AN5" s="11">
        <v>5.8582489145919681E-5</v>
      </c>
      <c r="AO5"/>
      <c r="AP5" s="11">
        <v>4.7684870878583752E-6</v>
      </c>
      <c r="AQ5"/>
      <c r="AR5" s="15">
        <v>4.5876927673816681E-2</v>
      </c>
      <c r="AS5" s="64">
        <v>0.11010715365409851</v>
      </c>
      <c r="AT5"/>
      <c r="AU5" s="300">
        <v>2.7756872177124023</v>
      </c>
      <c r="AV5" s="14">
        <v>1.2508139945566654E-2</v>
      </c>
      <c r="AW5" s="11">
        <v>1.5737017383798957E-3</v>
      </c>
      <c r="AX5" s="11">
        <v>1.3141737326805014E-5</v>
      </c>
      <c r="AY5" s="11">
        <v>2.2911126725375652E-3</v>
      </c>
      <c r="AZ5" s="11">
        <v>9.940026793628931E-4</v>
      </c>
      <c r="BA5"/>
      <c r="BB5" s="11">
        <v>1.019389252178371E-3</v>
      </c>
      <c r="BC5" s="11">
        <v>5.0590041792020202E-4</v>
      </c>
      <c r="BD5" s="11">
        <v>8.8338230852968991E-5</v>
      </c>
      <c r="BE5" s="18">
        <v>6.2327831983566284E-2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195</v>
      </c>
      <c r="B6">
        <v>2.8900001049041748</v>
      </c>
      <c r="C6">
        <v>0.14449968934059143</v>
      </c>
      <c r="D6"/>
      <c r="E6"/>
      <c r="F6"/>
      <c r="G6"/>
      <c r="H6"/>
      <c r="I6" s="14">
        <v>7.8071998432278633E-3</v>
      </c>
      <c r="J6"/>
      <c r="K6"/>
      <c r="L6"/>
      <c r="M6"/>
      <c r="N6"/>
      <c r="O6"/>
      <c r="P6"/>
      <c r="Q6"/>
      <c r="R6"/>
      <c r="S6"/>
      <c r="T6"/>
      <c r="U6" s="277">
        <v>0.50150454044342041</v>
      </c>
      <c r="V6"/>
      <c r="W6" s="28">
        <v>0.13469715416431427</v>
      </c>
      <c r="X6"/>
      <c r="Y6"/>
      <c r="Z6"/>
      <c r="AA6"/>
      <c r="AB6"/>
      <c r="AC6"/>
      <c r="AD6"/>
      <c r="AE6"/>
      <c r="AF6"/>
      <c r="AG6"/>
      <c r="AH6"/>
      <c r="AI6"/>
      <c r="AJ6" s="286">
        <v>0.78172779083251953</v>
      </c>
      <c r="AK6"/>
      <c r="AL6"/>
      <c r="AM6"/>
      <c r="AN6"/>
      <c r="AO6"/>
      <c r="AP6"/>
      <c r="AQ6"/>
      <c r="AR6" s="64">
        <v>6.3294678926467896E-2</v>
      </c>
      <c r="AS6" s="289">
        <v>1.2350810766220093</v>
      </c>
      <c r="AT6"/>
      <c r="AU6"/>
      <c r="AV6"/>
      <c r="AW6"/>
      <c r="AX6"/>
      <c r="AY6"/>
      <c r="AZ6"/>
      <c r="BA6"/>
      <c r="BB6"/>
      <c r="BC6"/>
      <c r="BD6" s="12">
        <v>1.3832143507897854E-2</v>
      </c>
      <c r="BE6"/>
      <c r="BF6" s="14">
        <v>7.5558559037744999E-3</v>
      </c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196</v>
      </c>
      <c r="B7">
        <v>2.8900001049041748</v>
      </c>
      <c r="C7">
        <v>0.14449986815452576</v>
      </c>
      <c r="D7"/>
      <c r="E7"/>
      <c r="F7"/>
      <c r="G7"/>
      <c r="H7"/>
      <c r="I7"/>
      <c r="J7"/>
      <c r="K7" s="14">
        <v>6.4336070790886879E-3</v>
      </c>
      <c r="L7"/>
      <c r="M7"/>
      <c r="N7"/>
      <c r="O7"/>
      <c r="P7"/>
      <c r="Q7"/>
      <c r="R7"/>
      <c r="S7"/>
      <c r="T7"/>
      <c r="U7"/>
      <c r="V7" s="267">
        <v>0.93906086683273315</v>
      </c>
      <c r="W7"/>
      <c r="X7"/>
      <c r="Y7"/>
      <c r="Z7"/>
      <c r="AA7"/>
      <c r="AB7"/>
      <c r="AC7"/>
      <c r="AD7"/>
      <c r="AE7"/>
      <c r="AF7"/>
      <c r="AG7"/>
      <c r="AH7" s="262">
        <v>0.32624369859695435</v>
      </c>
      <c r="AI7" s="269">
        <v>1.135738730430603</v>
      </c>
      <c r="AJ7"/>
      <c r="AK7"/>
      <c r="AL7"/>
      <c r="AM7"/>
      <c r="AN7"/>
      <c r="AO7"/>
      <c r="AP7" s="11">
        <v>1.3101566582918167E-3</v>
      </c>
      <c r="AQ7"/>
      <c r="AR7" s="243">
        <v>0.33420178294181824</v>
      </c>
      <c r="AS7"/>
      <c r="AT7"/>
      <c r="AU7"/>
      <c r="AV7"/>
      <c r="AW7"/>
      <c r="AX7"/>
      <c r="AY7"/>
      <c r="AZ7"/>
      <c r="BA7" s="11">
        <v>2.5112626608461142E-3</v>
      </c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197</v>
      </c>
      <c r="B8">
        <v>4</v>
      </c>
      <c r="C8">
        <v>0.19999957084655762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 s="239">
        <v>0.22790451347827911</v>
      </c>
      <c r="V8" s="12">
        <v>1.5763185918331146E-2</v>
      </c>
      <c r="W8" s="255">
        <v>0.29993879795074463</v>
      </c>
      <c r="X8" s="288">
        <v>0.85806357860565186</v>
      </c>
      <c r="Y8"/>
      <c r="Z8"/>
      <c r="AA8"/>
      <c r="AB8"/>
      <c r="AC8"/>
      <c r="AD8"/>
      <c r="AE8" s="141">
        <v>0.12055298686027527</v>
      </c>
      <c r="AF8"/>
      <c r="AG8" s="11">
        <v>8.9457596186548471E-4</v>
      </c>
      <c r="AH8"/>
      <c r="AI8" s="12">
        <v>1.916658878326416E-2</v>
      </c>
      <c r="AJ8"/>
      <c r="AK8" s="12">
        <v>1.2631101533770561E-2</v>
      </c>
      <c r="AL8" s="11">
        <v>1.1681147152557969E-3</v>
      </c>
      <c r="AM8" s="12">
        <v>1.4363409020006657E-2</v>
      </c>
      <c r="AN8" s="14">
        <v>6.1569325625896454E-3</v>
      </c>
      <c r="AO8" s="24">
        <v>0.11233668029308319</v>
      </c>
      <c r="AP8"/>
      <c r="AQ8"/>
      <c r="AR8" s="137">
        <v>0.48198685050010681</v>
      </c>
      <c r="AS8"/>
      <c r="AT8" s="279">
        <v>0.38744276762008667</v>
      </c>
      <c r="AU8"/>
      <c r="AV8"/>
      <c r="AW8" s="23">
        <v>2.2148841992020607E-2</v>
      </c>
      <c r="AX8" s="11">
        <v>2.9513589106500149E-3</v>
      </c>
      <c r="AY8" s="14">
        <v>9.2945657670497894E-3</v>
      </c>
      <c r="AZ8" s="265">
        <v>0.33616721630096436</v>
      </c>
      <c r="BA8" s="24">
        <v>0.10909257084131241</v>
      </c>
      <c r="BB8" s="12">
        <v>1.854282058775425E-2</v>
      </c>
      <c r="BC8"/>
      <c r="BD8" s="23">
        <v>2.7154389768838882E-2</v>
      </c>
      <c r="BE8" s="285">
        <v>0.54354071617126465</v>
      </c>
      <c r="BF8" s="20">
        <v>0.17111250758171082</v>
      </c>
      <c r="BG8" s="11">
        <v>1.6251475317403674E-3</v>
      </c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198</v>
      </c>
      <c r="B9">
        <v>2.5</v>
      </c>
      <c r="C9">
        <v>0.12500002980232239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 s="11">
        <v>1.2972305994480848E-3</v>
      </c>
      <c r="AY9"/>
      <c r="AZ9"/>
      <c r="BA9"/>
      <c r="BB9"/>
      <c r="BC9"/>
      <c r="BD9"/>
      <c r="BE9" s="287">
        <v>1.9967355728149414</v>
      </c>
      <c r="BF9" s="246">
        <v>0.37072539329528809</v>
      </c>
      <c r="BG9" s="14">
        <v>6.2417355366051197E-3</v>
      </c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199</v>
      </c>
      <c r="B10">
        <v>0.60000002384185791</v>
      </c>
      <c r="C10">
        <v>0.38976737856864929</v>
      </c>
      <c r="D10"/>
      <c r="E10"/>
      <c r="F10"/>
      <c r="G10"/>
      <c r="H10" s="15">
        <v>6.2222224660217762E-3</v>
      </c>
      <c r="I10"/>
      <c r="J10"/>
      <c r="K10"/>
      <c r="L10"/>
      <c r="M10"/>
      <c r="N10"/>
      <c r="O10"/>
      <c r="P10"/>
      <c r="Q10"/>
      <c r="R10"/>
      <c r="S10"/>
      <c r="T10"/>
      <c r="U10"/>
      <c r="V10" s="28">
        <v>2.7950139716267586E-2</v>
      </c>
      <c r="W10"/>
      <c r="X10"/>
      <c r="Y10"/>
      <c r="Z10"/>
      <c r="AA10"/>
      <c r="AB10"/>
      <c r="AC10"/>
      <c r="AD10"/>
      <c r="AE10"/>
      <c r="AF10"/>
      <c r="AG10"/>
      <c r="AH10" s="19">
        <v>1.0231104679405689E-2</v>
      </c>
      <c r="AI10" s="249">
        <v>0.1100190281867981</v>
      </c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 s="67">
        <v>5.5810153484344482E-2</v>
      </c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200</v>
      </c>
      <c r="B11">
        <v>1.6000000238418579</v>
      </c>
      <c r="C11">
        <v>7.9999826848506927E-2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18">
        <v>1.9904669374227524E-2</v>
      </c>
      <c r="V11" s="24">
        <v>4.2553182691335678E-2</v>
      </c>
      <c r="W11"/>
      <c r="X11"/>
      <c r="Y11" s="14">
        <v>1.7220196314156055E-3</v>
      </c>
      <c r="Z11" s="295">
        <v>1</v>
      </c>
      <c r="AA11"/>
      <c r="AB11"/>
      <c r="AC11"/>
      <c r="AD11" s="23">
        <v>1.0625436902046204E-2</v>
      </c>
      <c r="AE11" s="273">
        <v>6.271013617515564E-2</v>
      </c>
      <c r="AF11"/>
      <c r="AG11" s="63">
        <v>8.6616747081279755E-2</v>
      </c>
      <c r="AH11" s="141">
        <v>4.5692574232816696E-2</v>
      </c>
      <c r="AI11" s="15">
        <v>1.5001313760876656E-2</v>
      </c>
      <c r="AJ11" s="17">
        <v>2.2076668217778206E-2</v>
      </c>
      <c r="AK11" s="11">
        <v>1.2122766202082857E-4</v>
      </c>
      <c r="AL11" s="12">
        <v>6.4457193948328495E-3</v>
      </c>
      <c r="AM11" s="69">
        <v>0.11257092654705048</v>
      </c>
      <c r="AN11" s="11">
        <v>1.2203761143609881E-3</v>
      </c>
      <c r="AO11" s="11">
        <v>1.0633610654622316E-3</v>
      </c>
      <c r="AP11" s="14">
        <v>2.4027347099035978E-3</v>
      </c>
      <c r="AQ11"/>
      <c r="AR11" s="11">
        <v>6.508895312435925E-4</v>
      </c>
      <c r="AS11"/>
      <c r="AT11"/>
      <c r="AU11"/>
      <c r="AV11" s="141">
        <v>4.8273216933012009E-2</v>
      </c>
      <c r="AW11" s="14">
        <v>2.0337628666311502E-3</v>
      </c>
      <c r="AX11" s="11">
        <v>3.0960713047534227E-4</v>
      </c>
      <c r="AY11" s="15">
        <v>1.5166065655648708E-2</v>
      </c>
      <c r="AZ11" s="17">
        <v>2.0870301872491837E-2</v>
      </c>
      <c r="BA11" s="11">
        <v>4.8165034968405962E-5</v>
      </c>
      <c r="BB11"/>
      <c r="BC11"/>
      <c r="BD11" s="11">
        <v>1.0750398505479097E-3</v>
      </c>
      <c r="BE11"/>
      <c r="BF11" s="11">
        <v>8.4584695287048817E-4</v>
      </c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201</v>
      </c>
      <c r="B12">
        <v>2</v>
      </c>
      <c r="C12">
        <v>0.10000002384185791</v>
      </c>
      <c r="D12"/>
      <c r="E12"/>
      <c r="F12"/>
      <c r="G12"/>
      <c r="H12"/>
      <c r="I12"/>
      <c r="J12"/>
      <c r="K12"/>
      <c r="L12"/>
      <c r="M12"/>
      <c r="N12"/>
      <c r="O12"/>
      <c r="P12" s="11">
        <v>2.521433373203763E-7</v>
      </c>
      <c r="Q12"/>
      <c r="R12"/>
      <c r="S12"/>
      <c r="T12"/>
      <c r="U12" s="11">
        <v>1.0927924886345863E-3</v>
      </c>
      <c r="V12" s="12">
        <v>7.0086787454783916E-3</v>
      </c>
      <c r="W12"/>
      <c r="X12"/>
      <c r="Y12" s="14">
        <v>3.7438306026160717E-3</v>
      </c>
      <c r="Z12" s="299">
        <v>0.49411201477050781</v>
      </c>
      <c r="AA12" s="258">
        <v>0.33333337306976318</v>
      </c>
      <c r="AB12"/>
      <c r="AC12" s="22">
        <v>1.4874772168695927E-2</v>
      </c>
      <c r="AD12" s="297">
        <v>0.27257055044174194</v>
      </c>
      <c r="AE12" s="65">
        <v>8.3622761070728302E-2</v>
      </c>
      <c r="AF12" s="11">
        <v>4.4877728214487433E-5</v>
      </c>
      <c r="AG12" s="18">
        <v>2.3344332352280617E-2</v>
      </c>
      <c r="AH12" s="14">
        <v>3.7627280689775944E-3</v>
      </c>
      <c r="AI12" s="11">
        <v>5.3020950872451067E-4</v>
      </c>
      <c r="AJ12" s="298">
        <v>0.31119933724403381</v>
      </c>
      <c r="AK12" s="11">
        <v>1.2778677046298981E-4</v>
      </c>
      <c r="AL12" s="11">
        <v>3.219762584194541E-4</v>
      </c>
      <c r="AM12" s="23">
        <v>1.0583562776446342E-2</v>
      </c>
      <c r="AN12" s="11">
        <v>1.4006048440933228E-3</v>
      </c>
      <c r="AO12" s="11">
        <v>7.0084359322208911E-5</v>
      </c>
      <c r="AP12" s="11">
        <v>2.0795589534827741E-6</v>
      </c>
      <c r="AQ12"/>
      <c r="AR12" s="296">
        <v>0.25073793530464172</v>
      </c>
      <c r="AS12"/>
      <c r="AT12"/>
      <c r="AU12"/>
      <c r="AV12" s="65">
        <v>8.2154363393783569E-2</v>
      </c>
      <c r="AW12" s="14">
        <v>2.5817826390266418E-3</v>
      </c>
      <c r="AX12" s="11">
        <v>4.8692268137529027E-6</v>
      </c>
      <c r="AY12" s="14">
        <v>2.4979114532470703E-3</v>
      </c>
      <c r="AZ12" s="11">
        <v>3.9769643080944661E-6</v>
      </c>
      <c r="BA12" s="11">
        <v>7.9329738582600839E-6</v>
      </c>
      <c r="BB12" s="11">
        <v>1.5046654152683914E-4</v>
      </c>
      <c r="BC12"/>
      <c r="BD12" s="11">
        <v>1.2877336303063203E-5</v>
      </c>
      <c r="BE12"/>
      <c r="BF12" s="11">
        <v>1.0131955059478059E-4</v>
      </c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0.40000000596046448</v>
      </c>
      <c r="C13">
        <v>2.0000029355287552E-2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 s="17">
        <v>5.1101250573992729E-3</v>
      </c>
      <c r="W13"/>
      <c r="X13"/>
      <c r="Y13"/>
      <c r="Z13"/>
      <c r="AA13"/>
      <c r="AB13"/>
      <c r="AC13"/>
      <c r="AD13" s="25">
        <v>1.28178671002388E-2</v>
      </c>
      <c r="AE13" s="138">
        <v>0.20493897795677185</v>
      </c>
      <c r="AF13"/>
      <c r="AG13" s="266">
        <v>4.3645609170198441E-2</v>
      </c>
      <c r="AH13"/>
      <c r="AI13"/>
      <c r="AJ13" s="268">
        <v>4.8421673476696014E-2</v>
      </c>
      <c r="AK13"/>
      <c r="AL13"/>
      <c r="AM13"/>
      <c r="AN13"/>
      <c r="AO13" s="265">
        <v>3.3843543380498886E-2</v>
      </c>
      <c r="AP13"/>
      <c r="AQ13"/>
      <c r="AR13" s="73">
        <v>3.1222201883792877E-2</v>
      </c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1.0700000524520874</v>
      </c>
      <c r="C14">
        <v>5.3500015288591385E-2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265">
        <v>9.0165041387081146E-2</v>
      </c>
      <c r="V14"/>
      <c r="W14"/>
      <c r="X14"/>
      <c r="Y14" s="19">
        <v>1.9267186522483826E-2</v>
      </c>
      <c r="Z14"/>
      <c r="AA14"/>
      <c r="AB14"/>
      <c r="AC14"/>
      <c r="AD14"/>
      <c r="AE14" s="292">
        <v>0.87353283166885376</v>
      </c>
      <c r="AF14"/>
      <c r="AG14"/>
      <c r="AH14" s="25">
        <v>3.2903064042329788E-2</v>
      </c>
      <c r="AI14" s="11">
        <v>6.3190062064677477E-4</v>
      </c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2.625</v>
      </c>
      <c r="C15">
        <v>0.13124972581863403</v>
      </c>
      <c r="D15"/>
      <c r="E15"/>
      <c r="F15"/>
      <c r="G15"/>
      <c r="H15"/>
      <c r="I15"/>
      <c r="J15" s="11">
        <v>4.240123598719947E-5</v>
      </c>
      <c r="K15"/>
      <c r="L15"/>
      <c r="M15"/>
      <c r="N15"/>
      <c r="O15"/>
      <c r="P15"/>
      <c r="Q15"/>
      <c r="R15"/>
      <c r="S15"/>
      <c r="T15"/>
      <c r="U15" s="17">
        <v>3.6349620670080185E-2</v>
      </c>
      <c r="V15"/>
      <c r="W15"/>
      <c r="X15"/>
      <c r="Y15"/>
      <c r="Z15"/>
      <c r="AA15"/>
      <c r="AB15"/>
      <c r="AC15"/>
      <c r="AD15" s="285">
        <v>0.35735738277435303</v>
      </c>
      <c r="AE15" s="294">
        <v>1.648713231086731</v>
      </c>
      <c r="AF15"/>
      <c r="AG15" s="22">
        <v>2.0505605265498161E-2</v>
      </c>
      <c r="AH15" s="276">
        <v>0.12687468528747559</v>
      </c>
      <c r="AI15" s="16">
        <v>4.279763251543045E-2</v>
      </c>
      <c r="AJ15"/>
      <c r="AK15"/>
      <c r="AL15"/>
      <c r="AM15" s="66">
        <v>0.15483944118022919</v>
      </c>
      <c r="AN15"/>
      <c r="AO15" s="11">
        <v>2.1003042347729206E-3</v>
      </c>
      <c r="AP15" s="12">
        <v>8.1431372091174126E-3</v>
      </c>
      <c r="AQ15"/>
      <c r="AR15"/>
      <c r="AS15" s="141">
        <v>7.9770177602767944E-2</v>
      </c>
      <c r="AT15"/>
      <c r="AU15"/>
      <c r="AV15"/>
      <c r="AW15"/>
      <c r="AX15"/>
      <c r="AY15" s="23">
        <v>1.6235731542110443E-2</v>
      </c>
      <c r="AZ15"/>
      <c r="BA15"/>
      <c r="BB15"/>
      <c r="BC15"/>
      <c r="BD15" s="11">
        <v>2.062375278910622E-5</v>
      </c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>
        <v>0.80000001192092896</v>
      </c>
      <c r="C16">
        <v>4.0000010281801224E-2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275">
        <v>0.120484359562397</v>
      </c>
      <c r="AE16" s="291">
        <v>0.42817184329032898</v>
      </c>
      <c r="AF16"/>
      <c r="AG16" s="15">
        <v>7.5813722796738148E-3</v>
      </c>
      <c r="AH16" s="249">
        <v>0.1468137800693512</v>
      </c>
      <c r="AI16" s="241">
        <v>2.59576216340065E-2</v>
      </c>
      <c r="AJ16"/>
      <c r="AK16"/>
      <c r="AL16"/>
      <c r="AM16"/>
      <c r="AN16"/>
      <c r="AO16" s="22">
        <v>5.8940104208886623E-3</v>
      </c>
      <c r="AP16" s="17">
        <v>1.0499111376702785E-2</v>
      </c>
      <c r="AQ16"/>
      <c r="AR16"/>
      <c r="AS16"/>
      <c r="AT16"/>
      <c r="AU16"/>
      <c r="AV16"/>
      <c r="AW16"/>
      <c r="AX16"/>
      <c r="AY16"/>
      <c r="AZ16"/>
      <c r="BA16"/>
      <c r="BB16"/>
      <c r="BC16"/>
      <c r="BD16" s="11">
        <v>6.5670785261318088E-5</v>
      </c>
      <c r="BE16"/>
      <c r="BF16" s="19">
        <v>1.4532217755913734E-2</v>
      </c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>
        <v>0.40000000596046448</v>
      </c>
      <c r="C17">
        <v>2.0000005140900612E-2</v>
      </c>
      <c r="D17"/>
      <c r="E17"/>
      <c r="F17"/>
      <c r="G17"/>
      <c r="H17"/>
      <c r="I17"/>
      <c r="J17" s="75">
        <v>2.5563955307006836E-2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 s="256">
        <v>0.35443606972694397</v>
      </c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207</v>
      </c>
      <c r="B18">
        <v>0.88999998569488525</v>
      </c>
      <c r="C18">
        <v>4.4499903917312622E-2</v>
      </c>
      <c r="D18"/>
      <c r="E18" s="11">
        <v>3.3816305221989751E-4</v>
      </c>
      <c r="F18"/>
      <c r="G18" s="11">
        <v>5.313990986905992E-4</v>
      </c>
      <c r="H18"/>
      <c r="I18"/>
      <c r="J18" s="14">
        <v>1.5700428048148751E-3</v>
      </c>
      <c r="K18"/>
      <c r="L18"/>
      <c r="M18"/>
      <c r="N18"/>
      <c r="O18"/>
      <c r="P18"/>
      <c r="Q18"/>
      <c r="R18"/>
      <c r="S18"/>
      <c r="T18"/>
      <c r="U18" s="27">
        <v>3.2211065292358398E-2</v>
      </c>
      <c r="V18"/>
      <c r="W18"/>
      <c r="X18"/>
      <c r="Y18"/>
      <c r="Z18"/>
      <c r="AA18"/>
      <c r="AB18"/>
      <c r="AC18"/>
      <c r="AD18"/>
      <c r="AE18"/>
      <c r="AF18"/>
      <c r="AG18" s="11">
        <v>2.373565366724506E-4</v>
      </c>
      <c r="AH18" s="251">
        <v>9.9213488399982452E-2</v>
      </c>
      <c r="AI18" s="73">
        <v>6.9077581167221069E-2</v>
      </c>
      <c r="AJ18"/>
      <c r="AK18"/>
      <c r="AL18"/>
      <c r="AM18" s="272">
        <v>0.25158551335334778</v>
      </c>
      <c r="AN18"/>
      <c r="AO18" s="24">
        <v>2.5153111666440964E-2</v>
      </c>
      <c r="AP18"/>
      <c r="AQ18"/>
      <c r="AR18"/>
      <c r="AS18" s="144">
        <v>0.31809601187705994</v>
      </c>
      <c r="AT18"/>
      <c r="AU18"/>
      <c r="AV18"/>
      <c r="AW18"/>
      <c r="AX18"/>
      <c r="AY18" s="244">
        <v>4.081333801150322E-2</v>
      </c>
      <c r="AZ18"/>
      <c r="BA18"/>
      <c r="BB18"/>
      <c r="BC18"/>
      <c r="BD18"/>
      <c r="BE18"/>
      <c r="BF18" s="22">
        <v>6.6729295067489147E-3</v>
      </c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208</v>
      </c>
      <c r="B19">
        <v>0.44999998807907104</v>
      </c>
      <c r="C19">
        <v>2.2499978542327881E-2</v>
      </c>
      <c r="D19"/>
      <c r="E19" s="23">
        <v>2.7546084020286798E-3</v>
      </c>
      <c r="F19"/>
      <c r="G19" s="18">
        <v>5.337053444236517E-3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 s="261">
        <v>0.11785858124494553</v>
      </c>
      <c r="AI19" s="263">
        <v>0.15205097198486328</v>
      </c>
      <c r="AJ19"/>
      <c r="AK19"/>
      <c r="AL19" s="11">
        <v>1.3005909568164498E-4</v>
      </c>
      <c r="AM19" s="260">
        <v>9.050065279006958E-2</v>
      </c>
      <c r="AN19"/>
      <c r="AO19"/>
      <c r="AP19" s="14">
        <v>9.4661256298422813E-4</v>
      </c>
      <c r="AQ19"/>
      <c r="AR19"/>
      <c r="AS19"/>
      <c r="AT19"/>
      <c r="AU19"/>
      <c r="AV19"/>
      <c r="AW19"/>
      <c r="AX19"/>
      <c r="AY19" s="255">
        <v>3.3444385975599289E-2</v>
      </c>
      <c r="AZ19"/>
      <c r="BA19" s="63">
        <v>2.4477070197463036E-2</v>
      </c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>
        <v>0.25</v>
      </c>
      <c r="C20">
        <v>0.20566360652446747</v>
      </c>
      <c r="D20"/>
      <c r="E20"/>
      <c r="F20"/>
      <c r="G20" s="236">
        <v>6.0000000521540642E-3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 s="11">
        <v>2.1808402379974723E-5</v>
      </c>
      <c r="AY20"/>
      <c r="AZ20"/>
      <c r="BA20" s="104">
        <v>3.0780216678977013E-2</v>
      </c>
      <c r="BB20"/>
      <c r="BC20"/>
      <c r="BD20"/>
      <c r="BE20"/>
      <c r="BF20" s="141">
        <v>7.5343707576394081E-3</v>
      </c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>
        <v>2</v>
      </c>
      <c r="C21">
        <v>9.9999904632568359E-2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 s="290">
        <v>0.40146535634994507</v>
      </c>
      <c r="V21"/>
      <c r="W21"/>
      <c r="X21"/>
      <c r="Y21"/>
      <c r="Z21"/>
      <c r="AA21"/>
      <c r="AB21"/>
      <c r="AC21"/>
      <c r="AD21" s="69">
        <v>0.14139539003372192</v>
      </c>
      <c r="AE21"/>
      <c r="AF21"/>
      <c r="AG21" s="236">
        <v>4.7155048698186874E-2</v>
      </c>
      <c r="AH21" s="20">
        <v>8.7084881961345673E-2</v>
      </c>
      <c r="AI21" s="21">
        <v>3.8078468292951584E-2</v>
      </c>
      <c r="AJ21"/>
      <c r="AK21" s="236">
        <v>4.6776574105024338E-2</v>
      </c>
      <c r="AL21" s="141">
        <v>5.9804528951644897E-2</v>
      </c>
      <c r="AM21" s="69">
        <v>0.14286923408508301</v>
      </c>
      <c r="AN21"/>
      <c r="AO21" s="284">
        <v>0.21561524271965027</v>
      </c>
      <c r="AP21" s="17">
        <v>2.8973758220672607E-2</v>
      </c>
      <c r="AQ21"/>
      <c r="AR21"/>
      <c r="AS21"/>
      <c r="AT21" s="236">
        <v>4.5415528118610382E-2</v>
      </c>
      <c r="AU21"/>
      <c r="AV21" s="281">
        <v>0.195877805352211</v>
      </c>
      <c r="AW21" s="23">
        <v>1.3100355863571167E-2</v>
      </c>
      <c r="AX21" s="11">
        <v>1.0287528857588768E-3</v>
      </c>
      <c r="AY21" s="283">
        <v>0.20735594630241394</v>
      </c>
      <c r="AZ21" s="280">
        <v>0.17890565097332001</v>
      </c>
      <c r="BA21" s="23">
        <v>1.2159353122115135E-2</v>
      </c>
      <c r="BB21"/>
      <c r="BC21"/>
      <c r="BD21" s="15">
        <v>1.9883660599589348E-2</v>
      </c>
      <c r="BE21"/>
      <c r="BF21" s="22">
        <v>1.7054399475455284E-2</v>
      </c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211</v>
      </c>
      <c r="B22">
        <v>0.6600000262260437</v>
      </c>
      <c r="C22">
        <v>0.1514982134103775</v>
      </c>
      <c r="D22"/>
      <c r="E22" s="231">
        <v>0.29766666889190674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 s="241">
        <v>2.2176213562488556E-2</v>
      </c>
      <c r="AP22"/>
      <c r="AQ22"/>
      <c r="AR22"/>
      <c r="AS22"/>
      <c r="AT22"/>
      <c r="AU22"/>
      <c r="AV22"/>
      <c r="AW22"/>
      <c r="AX22"/>
      <c r="AY22" s="254">
        <v>0.13596372306346893</v>
      </c>
      <c r="AZ22"/>
      <c r="BA22" s="247">
        <v>5.2695240825414658E-2</v>
      </c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212</v>
      </c>
      <c r="B23">
        <v>1.2000000476837158</v>
      </c>
      <c r="C23">
        <v>0.34067925810813904</v>
      </c>
      <c r="D23"/>
      <c r="E23" s="232">
        <v>0.19309525191783905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 s="24">
        <v>3.3245276659727097E-2</v>
      </c>
      <c r="AI23"/>
      <c r="AJ23"/>
      <c r="AK23"/>
      <c r="AL23"/>
      <c r="AM23"/>
      <c r="AN23" s="244">
        <v>5.3255360573530197E-2</v>
      </c>
      <c r="AO23" s="251">
        <v>0.13504402339458466</v>
      </c>
      <c r="AP23"/>
      <c r="AQ23"/>
      <c r="AR23"/>
      <c r="AS23" s="241">
        <v>3.9289716631174088E-2</v>
      </c>
      <c r="AT23" s="251">
        <v>0.13506802916526794</v>
      </c>
      <c r="AU23"/>
      <c r="AV23"/>
      <c r="AW23"/>
      <c r="AX23"/>
      <c r="AY23" s="252">
        <v>0.16656078398227692</v>
      </c>
      <c r="AZ23"/>
      <c r="BA23" s="248">
        <v>9.7788773477077484E-2</v>
      </c>
      <c r="BB23"/>
      <c r="BC23"/>
      <c r="BD23"/>
      <c r="BE23"/>
      <c r="BF23" s="23">
        <v>5.9736208058893681E-3</v>
      </c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213</v>
      </c>
      <c r="B24">
        <v>0.80000001192092896</v>
      </c>
      <c r="C24">
        <v>4.0000058710575104E-2</v>
      </c>
      <c r="D24"/>
      <c r="E24" s="12">
        <v>2.4558026343584061E-3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 s="11">
        <v>3.9754461613483727E-4</v>
      </c>
      <c r="AM24" s="271">
        <v>0.27676552534103394</v>
      </c>
      <c r="AN24"/>
      <c r="AO24" s="264">
        <v>8.5234493017196655E-2</v>
      </c>
      <c r="AP24"/>
      <c r="AQ24"/>
      <c r="AR24"/>
      <c r="AS24"/>
      <c r="AT24" s="259">
        <v>4.1896414011716843E-2</v>
      </c>
      <c r="AU24"/>
      <c r="AV24"/>
      <c r="AW24"/>
      <c r="AX24" s="14">
        <v>2.3249536752700806E-3</v>
      </c>
      <c r="AY24"/>
      <c r="AZ24" s="270">
        <v>0.21312747895717621</v>
      </c>
      <c r="BA24"/>
      <c r="BB24" s="106">
        <v>0.13779781758785248</v>
      </c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214</v>
      </c>
      <c r="B25">
        <v>0.80000001192092896</v>
      </c>
      <c r="C25">
        <v>0.3717227578163147</v>
      </c>
      <c r="D25"/>
      <c r="E25" s="233">
        <v>0.24133332073688507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 s="250">
        <v>0.18694391846656799</v>
      </c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215</v>
      </c>
      <c r="B26">
        <v>0.5899999737739563</v>
      </c>
      <c r="C26">
        <v>0.2268657386302948</v>
      </c>
      <c r="D26"/>
      <c r="E26" s="234">
        <v>0.12787500023841858</v>
      </c>
      <c r="F26"/>
      <c r="G26" s="64">
        <v>1.2625000439584255E-2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 s="258">
        <v>9.8524414002895355E-2</v>
      </c>
      <c r="AP26"/>
      <c r="AQ26"/>
      <c r="AR26"/>
      <c r="AS26"/>
      <c r="AT26" s="247">
        <v>4.7740478068590164E-2</v>
      </c>
      <c r="AU26"/>
      <c r="AV26"/>
      <c r="AW26"/>
      <c r="AX26"/>
      <c r="AY26"/>
      <c r="AZ26"/>
      <c r="BA26" s="136">
        <v>7.6369345188140869E-2</v>
      </c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216</v>
      </c>
      <c r="B27">
        <v>0.49000000953674316</v>
      </c>
      <c r="C27">
        <v>0.23784650862216949</v>
      </c>
      <c r="D27"/>
      <c r="E27" s="235">
        <v>0.21366666257381439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 s="21">
        <v>9.3086753040552139E-3</v>
      </c>
      <c r="AI27" s="239">
        <v>2.8037466108798981E-2</v>
      </c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 s="14">
        <v>1.1406842386350036E-3</v>
      </c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217</v>
      </c>
      <c r="B28">
        <v>2.5999999046325684</v>
      </c>
      <c r="C28">
        <v>0.13000017404556274</v>
      </c>
      <c r="D28"/>
      <c r="E28"/>
      <c r="F28"/>
      <c r="G28"/>
      <c r="H28"/>
      <c r="I28"/>
      <c r="J28"/>
      <c r="K28"/>
      <c r="L28"/>
      <c r="M28" s="11">
        <v>6.6016591517836787E-6</v>
      </c>
      <c r="N28"/>
      <c r="O28"/>
      <c r="P28"/>
      <c r="Q28"/>
      <c r="R28"/>
      <c r="S28"/>
      <c r="T28"/>
      <c r="U28" s="286">
        <v>0.70208662748336792</v>
      </c>
      <c r="V28"/>
      <c r="W28" s="63">
        <v>0.14482703804969788</v>
      </c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 s="72">
        <v>0.24376440048217773</v>
      </c>
      <c r="AN28" s="12">
        <v>8.8316025212407112E-3</v>
      </c>
      <c r="AO28" s="23">
        <v>1.6038224101066589E-2</v>
      </c>
      <c r="AP28"/>
      <c r="AQ28"/>
      <c r="AR28" s="293">
        <v>0.68930596113204956</v>
      </c>
      <c r="AS28" s="64">
        <v>5.4192151874303818E-2</v>
      </c>
      <c r="AT28" s="14">
        <v>7.5621437281370163E-3</v>
      </c>
      <c r="AU28"/>
      <c r="AV28"/>
      <c r="AW28" s="12">
        <v>8.7702115997672081E-3</v>
      </c>
      <c r="AX28"/>
      <c r="AY28"/>
      <c r="AZ28" s="265">
        <v>0.21798598766326904</v>
      </c>
      <c r="BA28" s="23">
        <v>1.6375752165913582E-2</v>
      </c>
      <c r="BB28" s="72">
        <v>0.24387024343013763</v>
      </c>
      <c r="BC28"/>
      <c r="BD28" s="14">
        <v>4.6021868474781513E-3</v>
      </c>
      <c r="BE28" s="273">
        <v>0.10166703164577484</v>
      </c>
      <c r="BF28" s="12">
        <v>1.0113667696714401E-2</v>
      </c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218</v>
      </c>
      <c r="B29">
        <v>1.2000000476837158</v>
      </c>
      <c r="C29">
        <v>5.9999946504831314E-2</v>
      </c>
      <c r="D29"/>
      <c r="E29" s="14">
        <v>2.3077384103089571E-3</v>
      </c>
      <c r="F29"/>
      <c r="G29"/>
      <c r="H29"/>
      <c r="I29"/>
      <c r="J29" s="11">
        <v>5.5253112805075943E-5</v>
      </c>
      <c r="K29"/>
      <c r="L29"/>
      <c r="M29" s="23">
        <v>6.059424951672554E-3</v>
      </c>
      <c r="N29"/>
      <c r="O29"/>
      <c r="P29"/>
      <c r="Q29"/>
      <c r="R29"/>
      <c r="S29"/>
      <c r="T29"/>
      <c r="U29" s="267">
        <v>0.39174467325210571</v>
      </c>
      <c r="V29"/>
      <c r="W29" s="105">
        <v>8.0809429287910461E-2</v>
      </c>
      <c r="X29" s="239">
        <v>6.9353781640529633E-2</v>
      </c>
      <c r="Y29"/>
      <c r="Z29"/>
      <c r="AA29"/>
      <c r="AB29"/>
      <c r="AC29"/>
      <c r="AD29"/>
      <c r="AE29"/>
      <c r="AF29"/>
      <c r="AG29" s="14">
        <v>1.7736356239765882E-3</v>
      </c>
      <c r="AH29"/>
      <c r="AI29"/>
      <c r="AJ29"/>
      <c r="AK29"/>
      <c r="AL29"/>
      <c r="AM29" s="64">
        <v>2.5583429262042046E-2</v>
      </c>
      <c r="AN29"/>
      <c r="AO29" s="26">
        <v>3.0686622485518456E-2</v>
      </c>
      <c r="AP29"/>
      <c r="AQ29"/>
      <c r="AR29" s="257">
        <v>0.15387335419654846</v>
      </c>
      <c r="AS29" s="143">
        <v>0.30240634083747864</v>
      </c>
      <c r="AT29" s="12">
        <v>4.2194644920527935E-3</v>
      </c>
      <c r="AU29"/>
      <c r="AV29"/>
      <c r="AW29"/>
      <c r="AX29" s="11">
        <v>4.1853048605844378E-4</v>
      </c>
      <c r="AY29" s="12">
        <v>4.5074513182044029E-3</v>
      </c>
      <c r="AZ29"/>
      <c r="BA29" s="12">
        <v>5.0044851377606392E-3</v>
      </c>
      <c r="BB29"/>
      <c r="BC29"/>
      <c r="BD29" s="14">
        <v>3.2084533013403416E-3</v>
      </c>
      <c r="BE29" s="276">
        <v>5.7987961918115616E-2</v>
      </c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219</v>
      </c>
      <c r="B30">
        <v>0.36000001430511475</v>
      </c>
      <c r="C30">
        <v>1.8000004813075066E-2</v>
      </c>
      <c r="D30"/>
      <c r="E30"/>
      <c r="F30"/>
      <c r="G30" s="11">
        <v>6.2748396885581315E-5</v>
      </c>
      <c r="H30"/>
      <c r="I30"/>
      <c r="J30" s="14">
        <v>4.9716042121872306E-4</v>
      </c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 s="261">
        <v>9.4441309571266174E-2</v>
      </c>
      <c r="AN30"/>
      <c r="AO30" s="27">
        <v>1.2730521149933338E-2</v>
      </c>
      <c r="AP30" s="14">
        <v>3.9809153531678021E-4</v>
      </c>
      <c r="AQ30"/>
      <c r="AR30"/>
      <c r="AS30"/>
      <c r="AT30"/>
      <c r="AU30"/>
      <c r="AV30"/>
      <c r="AW30"/>
      <c r="AX30" s="14">
        <v>5.4832437308505177E-4</v>
      </c>
      <c r="AY30"/>
      <c r="AZ30"/>
      <c r="BA30" s="141">
        <v>1.0371468961238861E-2</v>
      </c>
      <c r="BB30" s="254">
        <v>7.3938533663749695E-2</v>
      </c>
      <c r="BC30"/>
      <c r="BD30"/>
      <c r="BE30" s="274">
        <v>0.1486676037311554</v>
      </c>
      <c r="BF30"/>
      <c r="BG30" s="11">
        <v>3.4424470504745841E-4</v>
      </c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220</v>
      </c>
      <c r="B31">
        <v>0.5</v>
      </c>
      <c r="C31">
        <v>0.4530538022518158</v>
      </c>
      <c r="D31"/>
      <c r="E31"/>
      <c r="F31"/>
      <c r="G31"/>
      <c r="H31"/>
      <c r="I31"/>
      <c r="J31"/>
      <c r="K31"/>
      <c r="L31"/>
      <c r="M31"/>
      <c r="N31" s="26">
        <v>1.2600000016391277E-2</v>
      </c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 s="142">
        <v>3.0780216678977013E-2</v>
      </c>
      <c r="BB31"/>
      <c r="BC31"/>
      <c r="BD31"/>
      <c r="BE31"/>
      <c r="BF31"/>
      <c r="BG31" s="22">
        <v>3.565972438082099E-3</v>
      </c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221</v>
      </c>
      <c r="B32">
        <v>3</v>
      </c>
      <c r="C32">
        <v>2.830866813659668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 s="17">
        <v>4.3875951319932938E-2</v>
      </c>
      <c r="X32" s="18">
        <v>3.7656038999557495E-2</v>
      </c>
      <c r="Y32"/>
      <c r="Z32"/>
      <c r="AA32"/>
      <c r="AB32"/>
      <c r="AC32"/>
      <c r="AD32"/>
      <c r="AE32"/>
      <c r="AF32"/>
      <c r="AG32"/>
      <c r="AH32" s="14">
        <v>8.4883486852049828E-3</v>
      </c>
      <c r="AI32"/>
      <c r="AJ32"/>
      <c r="AK32" s="14">
        <v>5.2706622518599033E-3</v>
      </c>
      <c r="AL32" s="11">
        <v>1.4776384923607111E-3</v>
      </c>
      <c r="AM32"/>
      <c r="AN32" s="11">
        <v>1.3377852737903595E-3</v>
      </c>
      <c r="AO32" s="11">
        <v>2.2918551694601774E-3</v>
      </c>
      <c r="AP32" s="11">
        <v>3.7113868165761232E-4</v>
      </c>
      <c r="AQ32"/>
      <c r="AR32"/>
      <c r="AS32"/>
      <c r="AT32" s="11">
        <v>1.0096901096403599E-3</v>
      </c>
      <c r="AU32"/>
      <c r="AV32" s="18">
        <v>3.7943389266729355E-2</v>
      </c>
      <c r="AW32" s="11">
        <v>9.0892321895807981E-4</v>
      </c>
      <c r="AX32" s="11">
        <v>2.3858396161813289E-5</v>
      </c>
      <c r="AY32" s="11">
        <v>2.0115883216931252E-6</v>
      </c>
      <c r="AZ32" s="12">
        <v>1.108074001967907E-2</v>
      </c>
      <c r="BA32" s="11">
        <v>3.1462157494388521E-5</v>
      </c>
      <c r="BB32"/>
      <c r="BC32"/>
      <c r="BD32" s="11">
        <v>1.483626663684845E-3</v>
      </c>
      <c r="BE32" s="12">
        <v>1.1635725386440754E-2</v>
      </c>
      <c r="BF32" s="14">
        <v>4.2443624697625637E-3</v>
      </c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222</v>
      </c>
      <c r="B33">
        <v>0.80000001192092896</v>
      </c>
      <c r="C33">
        <v>4.0000010281801224E-2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 s="278">
        <v>0.18110829591751099</v>
      </c>
      <c r="V33"/>
      <c r="W33" s="282">
        <v>0.23835155367851257</v>
      </c>
      <c r="X33" s="145">
        <v>0.20456252992153168</v>
      </c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 s="19">
        <v>1.453475933521986E-2</v>
      </c>
      <c r="AO33"/>
      <c r="AP33"/>
      <c r="AQ33"/>
      <c r="AR33"/>
      <c r="AS33"/>
      <c r="AT33"/>
      <c r="AU33"/>
      <c r="AV33"/>
      <c r="AW33" s="12">
        <v>2.8086639940738678E-3</v>
      </c>
      <c r="AX33" s="14">
        <v>1.5430966159328818E-3</v>
      </c>
      <c r="AY33"/>
      <c r="AZ33" s="22">
        <v>5.5442736484110355E-3</v>
      </c>
      <c r="BA33"/>
      <c r="BB33"/>
      <c r="BC33"/>
      <c r="BD33"/>
      <c r="BE33" s="252">
        <v>0.11154682189226151</v>
      </c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223</v>
      </c>
      <c r="B34">
        <v>0.30000001192092896</v>
      </c>
      <c r="C34">
        <v>1.5000004321336746E-2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 s="243">
        <v>3.4761250019073486E-2</v>
      </c>
      <c r="AM34"/>
      <c r="AN34"/>
      <c r="AO34" s="245">
        <v>4.4040948152542114E-2</v>
      </c>
      <c r="AP34"/>
      <c r="AQ34"/>
      <c r="AR34"/>
      <c r="AS34"/>
      <c r="AT34" s="253">
        <v>0.12361776083707809</v>
      </c>
      <c r="AU34"/>
      <c r="AV34"/>
      <c r="AW34"/>
      <c r="AX34" s="246">
        <v>4.4916380196809769E-2</v>
      </c>
      <c r="AY34"/>
      <c r="AZ34"/>
      <c r="BA34" s="243">
        <v>3.4996427595615387E-2</v>
      </c>
      <c r="BB34"/>
      <c r="BC34"/>
      <c r="BD34" s="15">
        <v>2.6672587264329195E-3</v>
      </c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224</v>
      </c>
      <c r="B35">
        <v>0.30000001192092896</v>
      </c>
      <c r="C35">
        <v>1.5000039711594582E-2</v>
      </c>
      <c r="D35"/>
      <c r="E35"/>
      <c r="F35" s="12">
        <v>1.3113685417920351E-3</v>
      </c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 s="240">
        <v>0.28368860483169556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225</v>
      </c>
      <c r="B36">
        <v>0.61000001430511475</v>
      </c>
      <c r="C36">
        <v>0.60124999284744263</v>
      </c>
      <c r="D36"/>
      <c r="E36" s="17">
        <v>8.750000037252903E-3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226</v>
      </c>
      <c r="B37">
        <v>0.50999999046325684</v>
      </c>
      <c r="C37">
        <v>0.44353792071342468</v>
      </c>
      <c r="D37" s="12">
        <v>1.7000000225380063E-3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 s="257">
        <v>6.4762063324451447E-2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227</v>
      </c>
      <c r="B38">
        <v>0.30000001192092896</v>
      </c>
      <c r="C38">
        <v>0.26520001888275146</v>
      </c>
      <c r="D38"/>
      <c r="E38" s="142">
        <v>1.8300000578165054E-2</v>
      </c>
      <c r="F38"/>
      <c r="G38"/>
      <c r="H38"/>
      <c r="I38"/>
      <c r="J38"/>
      <c r="K38"/>
      <c r="L38"/>
      <c r="M38"/>
      <c r="N38" s="63">
        <v>1.6500001773238182E-2</v>
      </c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228</v>
      </c>
      <c r="B39">
        <v>0.69999998807907104</v>
      </c>
      <c r="C39">
        <v>0.34025803208351135</v>
      </c>
      <c r="D39"/>
      <c r="E39"/>
      <c r="F39"/>
      <c r="G39"/>
      <c r="H39"/>
      <c r="I39"/>
      <c r="J39"/>
      <c r="K39"/>
      <c r="L39"/>
      <c r="M39"/>
      <c r="N39"/>
      <c r="O39" s="237">
        <v>0.35974195599555969</v>
      </c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229</v>
      </c>
      <c r="B40">
        <v>0.15000000596046448</v>
      </c>
      <c r="C40">
        <v>0.15000000596046448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230</v>
      </c>
      <c r="B41">
        <v>3.9999999105930328E-2</v>
      </c>
      <c r="C41">
        <v>3.1549941748380661E-2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 s="238">
        <v>8.4500592201948166E-3</v>
      </c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231</v>
      </c>
      <c r="B42">
        <v>1.9999999552965164E-2</v>
      </c>
      <c r="C42">
        <v>1.9999999552965164E-2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232</v>
      </c>
      <c r="B43">
        <v>7.0000000298023224E-2</v>
      </c>
      <c r="C43">
        <v>3.7582069635391235E-2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 s="242">
        <v>3.2417930662631989E-2</v>
      </c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233</v>
      </c>
      <c r="B44">
        <v>1.9999999552965164E-2</v>
      </c>
      <c r="C44">
        <v>1.9999999552965164E-2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234</v>
      </c>
      <c r="B45"/>
      <c r="C45">
        <v>0.11747145652770996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 s="9">
        <v>68.588401794433594</v>
      </c>
      <c r="T45" s="9">
        <v>33.208118438720703</v>
      </c>
      <c r="U45"/>
      <c r="V45"/>
      <c r="W45"/>
      <c r="X45"/>
      <c r="Y45" s="9">
        <v>5.9901936911046505E-3</v>
      </c>
      <c r="Z45" s="9">
        <v>5.2257256507873535</v>
      </c>
      <c r="AA45" s="9">
        <v>106.15654754638672</v>
      </c>
      <c r="AB45" s="9">
        <v>1.2033032178878784</v>
      </c>
      <c r="AC45"/>
      <c r="AD45" s="9">
        <v>2.0822104066610336E-2</v>
      </c>
      <c r="AE45" s="9">
        <v>5.2788285538554192E-3</v>
      </c>
      <c r="AF45" s="9">
        <v>7.1193976327776909E-4</v>
      </c>
      <c r="AG45" s="9">
        <v>2.1831512451171875E-2</v>
      </c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235</v>
      </c>
      <c r="B46"/>
      <c r="C46">
        <v>0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5" t="s">
        <v>192</v>
      </c>
      <c r="E5">
        <v>4</v>
      </c>
      <c r="F5">
        <v>2</v>
      </c>
      <c r="G5">
        <v>4</v>
      </c>
      <c r="H5" s="196" t="s">
        <v>192</v>
      </c>
      <c r="J5" s="56"/>
      <c r="K5" s="57"/>
    </row>
    <row r="6" spans="1:12" ht="14" thickBot="1" x14ac:dyDescent="0.2">
      <c r="A6" s="40" t="s">
        <v>121</v>
      </c>
      <c r="D6" s="195" t="s">
        <v>67</v>
      </c>
      <c r="E6">
        <v>5</v>
      </c>
      <c r="F6">
        <v>2.2999999999999998</v>
      </c>
      <c r="G6">
        <v>5</v>
      </c>
      <c r="H6" s="196" t="s">
        <v>67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5" t="s">
        <v>193</v>
      </c>
      <c r="E7">
        <v>6</v>
      </c>
      <c r="F7">
        <v>3.11</v>
      </c>
      <c r="G7">
        <v>6</v>
      </c>
      <c r="H7" s="196" t="s">
        <v>193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5" t="s">
        <v>194</v>
      </c>
      <c r="E8">
        <v>7</v>
      </c>
      <c r="F8">
        <v>3.11</v>
      </c>
      <c r="G8">
        <v>7</v>
      </c>
      <c r="H8" s="196" t="s">
        <v>194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5" t="s">
        <v>195</v>
      </c>
      <c r="E9">
        <v>8</v>
      </c>
      <c r="F9">
        <v>3.12</v>
      </c>
      <c r="G9">
        <v>8</v>
      </c>
      <c r="H9" s="196" t="s">
        <v>195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5" t="s">
        <v>196</v>
      </c>
      <c r="E10">
        <v>9</v>
      </c>
      <c r="F10">
        <v>3.21</v>
      </c>
      <c r="G10">
        <v>9</v>
      </c>
      <c r="H10" s="196" t="s">
        <v>196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5" t="s">
        <v>197</v>
      </c>
      <c r="E11">
        <v>10</v>
      </c>
      <c r="F11">
        <v>3.12</v>
      </c>
      <c r="G11">
        <v>10</v>
      </c>
      <c r="H11" s="196" t="s">
        <v>197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5" t="s">
        <v>198</v>
      </c>
      <c r="E12">
        <v>11</v>
      </c>
      <c r="F12">
        <v>3.12</v>
      </c>
      <c r="G12">
        <v>11</v>
      </c>
      <c r="H12" s="196" t="s">
        <v>198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5" t="s">
        <v>199</v>
      </c>
      <c r="E13">
        <v>12</v>
      </c>
      <c r="F13">
        <v>3.21</v>
      </c>
      <c r="G13">
        <v>12</v>
      </c>
      <c r="H13" s="196" t="s">
        <v>199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5" t="s">
        <v>200</v>
      </c>
      <c r="E14">
        <v>13</v>
      </c>
      <c r="F14">
        <v>3.21</v>
      </c>
      <c r="G14">
        <v>13</v>
      </c>
      <c r="H14" s="196" t="s">
        <v>200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5" t="s">
        <v>201</v>
      </c>
      <c r="E15">
        <v>14</v>
      </c>
      <c r="F15">
        <v>3.2</v>
      </c>
      <c r="G15">
        <v>14</v>
      </c>
      <c r="H15" s="196" t="s">
        <v>201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5" t="s">
        <v>202</v>
      </c>
      <c r="E16">
        <v>15</v>
      </c>
      <c r="F16">
        <v>3.21</v>
      </c>
      <c r="G16">
        <v>15</v>
      </c>
      <c r="H16" s="196" t="s">
        <v>202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5" t="s">
        <v>203</v>
      </c>
      <c r="E17">
        <v>16</v>
      </c>
      <c r="F17">
        <v>3</v>
      </c>
      <c r="G17">
        <v>16</v>
      </c>
      <c r="H17" s="196" t="s">
        <v>203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5" t="s">
        <v>204</v>
      </c>
      <c r="E18">
        <v>17</v>
      </c>
      <c r="F18">
        <v>3</v>
      </c>
      <c r="G18">
        <v>17</v>
      </c>
      <c r="H18" s="196" t="s">
        <v>204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5" t="s">
        <v>205</v>
      </c>
      <c r="E19">
        <v>18</v>
      </c>
      <c r="F19">
        <v>3</v>
      </c>
      <c r="G19">
        <v>18</v>
      </c>
      <c r="H19" s="196" t="s">
        <v>205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5" t="s">
        <v>206</v>
      </c>
      <c r="E20">
        <v>19</v>
      </c>
      <c r="F20">
        <v>3</v>
      </c>
      <c r="G20">
        <v>19</v>
      </c>
      <c r="H20" s="196" t="s">
        <v>206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5" t="s">
        <v>207</v>
      </c>
      <c r="E21">
        <v>20</v>
      </c>
      <c r="F21">
        <v>3</v>
      </c>
      <c r="G21">
        <v>20</v>
      </c>
      <c r="H21" s="196" t="s">
        <v>207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5" t="s">
        <v>208</v>
      </c>
      <c r="E22">
        <v>21</v>
      </c>
      <c r="F22">
        <v>3</v>
      </c>
      <c r="G22">
        <v>21</v>
      </c>
      <c r="H22" s="196" t="s">
        <v>208</v>
      </c>
    </row>
    <row r="23" spans="1:12" x14ac:dyDescent="0.15">
      <c r="A23" s="35" t="s">
        <v>129</v>
      </c>
      <c r="B23" s="43">
        <v>4</v>
      </c>
      <c r="C23" s="37"/>
      <c r="D23" s="195" t="s">
        <v>209</v>
      </c>
      <c r="E23">
        <v>22</v>
      </c>
      <c r="F23">
        <v>3</v>
      </c>
      <c r="G23">
        <v>22</v>
      </c>
      <c r="H23" s="196" t="s">
        <v>209</v>
      </c>
    </row>
    <row r="24" spans="1:12" x14ac:dyDescent="0.15">
      <c r="A24" s="35" t="s">
        <v>122</v>
      </c>
      <c r="B24" s="43">
        <v>4.0999999999999996</v>
      </c>
      <c r="C24" s="37"/>
      <c r="D24" s="195" t="s">
        <v>210</v>
      </c>
      <c r="E24">
        <v>23</v>
      </c>
      <c r="F24">
        <v>3.21</v>
      </c>
      <c r="G24">
        <v>23</v>
      </c>
      <c r="H24" s="196" t="s">
        <v>210</v>
      </c>
    </row>
    <row r="25" spans="1:12" x14ac:dyDescent="0.15">
      <c r="A25" s="35" t="s">
        <v>70</v>
      </c>
      <c r="B25" s="43">
        <v>4.2</v>
      </c>
      <c r="C25" s="37"/>
      <c r="D25" s="195" t="s">
        <v>211</v>
      </c>
      <c r="E25">
        <v>24</v>
      </c>
      <c r="F25">
        <v>3.22</v>
      </c>
      <c r="G25">
        <v>24</v>
      </c>
      <c r="H25" s="196" t="s">
        <v>211</v>
      </c>
    </row>
    <row r="26" spans="1:12" x14ac:dyDescent="0.15">
      <c r="A26" s="35" t="s">
        <v>123</v>
      </c>
      <c r="B26" s="43">
        <v>4.3</v>
      </c>
      <c r="C26" s="37"/>
      <c r="D26" s="195" t="s">
        <v>212</v>
      </c>
      <c r="E26">
        <v>25</v>
      </c>
      <c r="F26">
        <v>3.21</v>
      </c>
      <c r="G26">
        <v>25</v>
      </c>
      <c r="H26" s="196" t="s">
        <v>212</v>
      </c>
    </row>
    <row r="27" spans="1:12" x14ac:dyDescent="0.15">
      <c r="A27" s="35" t="s">
        <v>125</v>
      </c>
      <c r="B27" s="43">
        <v>6.1</v>
      </c>
      <c r="D27" s="195" t="s">
        <v>213</v>
      </c>
      <c r="E27">
        <v>26</v>
      </c>
      <c r="F27">
        <v>3.2</v>
      </c>
      <c r="G27">
        <v>26</v>
      </c>
      <c r="H27" s="196" t="s">
        <v>213</v>
      </c>
    </row>
    <row r="28" spans="1:12" x14ac:dyDescent="0.15">
      <c r="A28" s="35" t="s">
        <v>124</v>
      </c>
      <c r="B28" s="43">
        <v>6.2</v>
      </c>
      <c r="D28" s="195" t="s">
        <v>214</v>
      </c>
      <c r="E28">
        <v>27</v>
      </c>
      <c r="F28">
        <v>3</v>
      </c>
      <c r="G28">
        <v>27</v>
      </c>
      <c r="H28" s="196" t="s">
        <v>214</v>
      </c>
    </row>
    <row r="29" spans="1:12" x14ac:dyDescent="0.15">
      <c r="A29" s="35" t="s">
        <v>44</v>
      </c>
      <c r="B29" s="43">
        <v>5</v>
      </c>
      <c r="D29" s="195" t="s">
        <v>215</v>
      </c>
      <c r="E29">
        <v>28</v>
      </c>
      <c r="F29">
        <v>3.2</v>
      </c>
      <c r="G29">
        <v>28</v>
      </c>
      <c r="H29" s="196" t="s">
        <v>215</v>
      </c>
    </row>
    <row r="30" spans="1:12" x14ac:dyDescent="0.15">
      <c r="A30" s="35" t="s">
        <v>73</v>
      </c>
      <c r="B30" s="43">
        <v>7</v>
      </c>
      <c r="D30" s="195" t="s">
        <v>216</v>
      </c>
      <c r="E30">
        <v>29</v>
      </c>
      <c r="F30">
        <v>3.22</v>
      </c>
      <c r="G30">
        <v>29</v>
      </c>
      <c r="H30" s="196" t="s">
        <v>216</v>
      </c>
    </row>
    <row r="31" spans="1:12" x14ac:dyDescent="0.15">
      <c r="A31" s="35" t="s">
        <v>169</v>
      </c>
      <c r="B31" s="43">
        <v>3.14</v>
      </c>
      <c r="D31" s="195" t="s">
        <v>217</v>
      </c>
      <c r="E31">
        <v>30</v>
      </c>
      <c r="F31">
        <v>3.11</v>
      </c>
      <c r="G31">
        <v>30</v>
      </c>
      <c r="H31" s="196" t="s">
        <v>217</v>
      </c>
    </row>
    <row r="32" spans="1:12" ht="12" customHeight="1" thickBot="1" x14ac:dyDescent="0.2">
      <c r="A32" s="41" t="s">
        <v>170</v>
      </c>
      <c r="B32" s="44">
        <v>9</v>
      </c>
      <c r="D32" s="195" t="s">
        <v>218</v>
      </c>
      <c r="E32">
        <v>31</v>
      </c>
      <c r="F32">
        <v>3.1</v>
      </c>
      <c r="G32">
        <v>31</v>
      </c>
      <c r="H32" s="196" t="s">
        <v>218</v>
      </c>
    </row>
    <row r="33" spans="4:8" customFormat="1" ht="12" customHeight="1" x14ac:dyDescent="0.15">
      <c r="D33" s="195" t="s">
        <v>219</v>
      </c>
      <c r="E33">
        <v>32</v>
      </c>
      <c r="F33">
        <v>3.1</v>
      </c>
      <c r="G33">
        <v>32</v>
      </c>
      <c r="H33" s="196" t="s">
        <v>219</v>
      </c>
    </row>
    <row r="34" spans="4:8" customFormat="1" ht="12" customHeight="1" x14ac:dyDescent="0.15">
      <c r="D34" s="195" t="s">
        <v>220</v>
      </c>
      <c r="E34">
        <v>33</v>
      </c>
      <c r="F34">
        <v>3.1</v>
      </c>
      <c r="G34">
        <v>33</v>
      </c>
      <c r="H34" s="196" t="s">
        <v>220</v>
      </c>
    </row>
    <row r="35" spans="4:8" customFormat="1" x14ac:dyDescent="0.15">
      <c r="D35" s="195" t="s">
        <v>221</v>
      </c>
      <c r="E35">
        <v>34</v>
      </c>
      <c r="F35">
        <v>3.12</v>
      </c>
      <c r="G35">
        <v>34</v>
      </c>
      <c r="H35" s="196" t="s">
        <v>221</v>
      </c>
    </row>
    <row r="36" spans="4:8" customFormat="1" x14ac:dyDescent="0.15">
      <c r="D36" s="195" t="s">
        <v>222</v>
      </c>
      <c r="E36">
        <v>35</v>
      </c>
      <c r="F36">
        <v>3</v>
      </c>
      <c r="G36">
        <v>35</v>
      </c>
      <c r="H36" s="196" t="s">
        <v>222</v>
      </c>
    </row>
    <row r="37" spans="4:8" customFormat="1" ht="12" customHeight="1" x14ac:dyDescent="0.15">
      <c r="D37" s="195" t="s">
        <v>223</v>
      </c>
      <c r="E37">
        <v>36</v>
      </c>
      <c r="F37">
        <v>3</v>
      </c>
      <c r="G37">
        <v>36</v>
      </c>
      <c r="H37" s="196" t="s">
        <v>223</v>
      </c>
    </row>
    <row r="38" spans="4:8" customFormat="1" x14ac:dyDescent="0.15">
      <c r="D38" s="195" t="s">
        <v>224</v>
      </c>
      <c r="E38">
        <v>37</v>
      </c>
      <c r="F38">
        <v>3</v>
      </c>
      <c r="G38">
        <v>37</v>
      </c>
      <c r="H38" s="196" t="s">
        <v>224</v>
      </c>
    </row>
    <row r="39" spans="4:8" customFormat="1" x14ac:dyDescent="0.15">
      <c r="D39" s="195" t="s">
        <v>225</v>
      </c>
      <c r="E39">
        <v>38</v>
      </c>
      <c r="F39">
        <v>3.22</v>
      </c>
      <c r="G39">
        <v>38</v>
      </c>
      <c r="H39" s="196" t="s">
        <v>225</v>
      </c>
    </row>
    <row r="40" spans="4:8" customFormat="1" x14ac:dyDescent="0.15">
      <c r="D40" s="195" t="s">
        <v>226</v>
      </c>
      <c r="E40">
        <v>39</v>
      </c>
      <c r="F40">
        <v>3.12</v>
      </c>
      <c r="G40">
        <v>39</v>
      </c>
      <c r="H40" s="196" t="s">
        <v>226</v>
      </c>
    </row>
    <row r="41" spans="4:8" customFormat="1" x14ac:dyDescent="0.15">
      <c r="D41" s="195" t="s">
        <v>227</v>
      </c>
      <c r="E41">
        <v>40</v>
      </c>
      <c r="F41">
        <v>3.12</v>
      </c>
      <c r="G41">
        <v>40</v>
      </c>
      <c r="H41" s="196" t="s">
        <v>227</v>
      </c>
    </row>
    <row r="42" spans="4:8" customFormat="1" x14ac:dyDescent="0.15">
      <c r="D42" s="195" t="s">
        <v>228</v>
      </c>
      <c r="E42">
        <v>41</v>
      </c>
      <c r="F42">
        <v>3.12</v>
      </c>
      <c r="G42">
        <v>41</v>
      </c>
      <c r="H42" s="196" t="s">
        <v>228</v>
      </c>
    </row>
    <row r="43" spans="4:8" customFormat="1" x14ac:dyDescent="0.15">
      <c r="D43" s="195" t="s">
        <v>229</v>
      </c>
      <c r="E43">
        <v>42</v>
      </c>
      <c r="F43">
        <v>3.12</v>
      </c>
      <c r="G43">
        <v>42</v>
      </c>
      <c r="H43" s="196" t="s">
        <v>229</v>
      </c>
    </row>
    <row r="44" spans="4:8" customFormat="1" x14ac:dyDescent="0.15">
      <c r="D44" s="195" t="s">
        <v>230</v>
      </c>
      <c r="E44">
        <v>43</v>
      </c>
      <c r="F44">
        <v>3.13</v>
      </c>
      <c r="G44">
        <v>43</v>
      </c>
      <c r="H44" s="196" t="s">
        <v>230</v>
      </c>
    </row>
    <row r="45" spans="4:8" customFormat="1" x14ac:dyDescent="0.15">
      <c r="D45" s="195" t="s">
        <v>231</v>
      </c>
      <c r="E45">
        <v>44</v>
      </c>
      <c r="F45">
        <v>3.13</v>
      </c>
      <c r="G45">
        <v>44</v>
      </c>
      <c r="H45" s="196" t="s">
        <v>231</v>
      </c>
    </row>
    <row r="46" spans="4:8" customFormat="1" x14ac:dyDescent="0.15">
      <c r="D46" s="195" t="s">
        <v>232</v>
      </c>
      <c r="E46">
        <v>45</v>
      </c>
      <c r="F46">
        <v>3.13</v>
      </c>
      <c r="G46">
        <v>45</v>
      </c>
      <c r="H46" s="196" t="s">
        <v>232</v>
      </c>
    </row>
    <row r="47" spans="4:8" customFormat="1" x14ac:dyDescent="0.15">
      <c r="D47" s="195" t="s">
        <v>233</v>
      </c>
      <c r="E47">
        <v>46</v>
      </c>
      <c r="F47">
        <v>3.13</v>
      </c>
      <c r="G47">
        <v>46</v>
      </c>
      <c r="H47" s="196" t="s">
        <v>233</v>
      </c>
    </row>
    <row r="48" spans="4:8" customFormat="1" x14ac:dyDescent="0.15">
      <c r="D48" s="195" t="s">
        <v>234</v>
      </c>
      <c r="E48">
        <v>47</v>
      </c>
      <c r="F48">
        <v>4.0999999999999996</v>
      </c>
      <c r="G48">
        <v>47</v>
      </c>
      <c r="H48" s="196" t="s">
        <v>234</v>
      </c>
    </row>
    <row r="49" spans="4:8" customFormat="1" x14ac:dyDescent="0.15">
      <c r="D49" s="195" t="s">
        <v>235</v>
      </c>
      <c r="E49">
        <v>48</v>
      </c>
      <c r="F49">
        <v>4.3</v>
      </c>
      <c r="G49">
        <v>48</v>
      </c>
      <c r="H49" s="196" t="s">
        <v>235</v>
      </c>
    </row>
    <row r="50" spans="4:8" customFormat="1" ht="12" customHeight="1" x14ac:dyDescent="0.15">
      <c r="D50" s="195" t="s">
        <v>236</v>
      </c>
      <c r="E50">
        <v>49</v>
      </c>
      <c r="F50">
        <v>5</v>
      </c>
      <c r="G50">
        <v>49</v>
      </c>
      <c r="H50" s="196" t="s">
        <v>236</v>
      </c>
    </row>
    <row r="51" spans="4:8" customFormat="1" x14ac:dyDescent="0.15">
      <c r="D51" s="195" t="s">
        <v>237</v>
      </c>
      <c r="E51">
        <v>50</v>
      </c>
      <c r="F51">
        <v>5</v>
      </c>
      <c r="G51">
        <v>50</v>
      </c>
      <c r="H51" s="196" t="s">
        <v>237</v>
      </c>
    </row>
    <row r="52" spans="4:8" customFormat="1" ht="12" customHeight="1" x14ac:dyDescent="0.15">
      <c r="D52" s="195" t="s">
        <v>238</v>
      </c>
      <c r="E52">
        <v>51</v>
      </c>
      <c r="F52">
        <v>5</v>
      </c>
      <c r="G52">
        <v>51</v>
      </c>
      <c r="H52" s="196" t="s">
        <v>238</v>
      </c>
    </row>
    <row r="53" spans="4:8" customFormat="1" x14ac:dyDescent="0.15">
      <c r="D53" s="195" t="s">
        <v>239</v>
      </c>
      <c r="E53">
        <v>52</v>
      </c>
      <c r="F53">
        <v>5</v>
      </c>
      <c r="G53">
        <v>52</v>
      </c>
      <c r="H53" s="196" t="s">
        <v>239</v>
      </c>
    </row>
    <row r="54" spans="4:8" customFormat="1" ht="12" customHeight="1" x14ac:dyDescent="0.15">
      <c r="D54" s="195" t="s">
        <v>240</v>
      </c>
      <c r="E54">
        <v>53</v>
      </c>
      <c r="F54">
        <v>5</v>
      </c>
      <c r="G54">
        <v>53</v>
      </c>
      <c r="H54" s="196" t="s">
        <v>240</v>
      </c>
    </row>
    <row r="55" spans="4:8" customFormat="1" ht="12" customHeight="1" x14ac:dyDescent="0.15">
      <c r="D55" s="195" t="s">
        <v>195</v>
      </c>
      <c r="E55">
        <v>54</v>
      </c>
      <c r="F55">
        <v>5</v>
      </c>
      <c r="G55">
        <v>54</v>
      </c>
      <c r="H55" s="196" t="s">
        <v>195</v>
      </c>
    </row>
    <row r="56" spans="4:8" customFormat="1" x14ac:dyDescent="0.15">
      <c r="D56" s="195" t="s">
        <v>241</v>
      </c>
      <c r="E56">
        <v>55</v>
      </c>
      <c r="F56">
        <v>5</v>
      </c>
      <c r="G56">
        <v>55</v>
      </c>
      <c r="H56" s="196" t="s">
        <v>241</v>
      </c>
    </row>
    <row r="57" spans="4:8" customFormat="1" x14ac:dyDescent="0.15">
      <c r="D57" s="195" t="s">
        <v>196</v>
      </c>
      <c r="E57">
        <v>56</v>
      </c>
      <c r="F57">
        <v>5</v>
      </c>
      <c r="G57">
        <v>56</v>
      </c>
      <c r="H57" s="196" t="s">
        <v>196</v>
      </c>
    </row>
    <row r="58" spans="4:8" customFormat="1" x14ac:dyDescent="0.15">
      <c r="D58" s="195" t="s">
        <v>242</v>
      </c>
      <c r="E58">
        <v>57</v>
      </c>
      <c r="F58">
        <v>5</v>
      </c>
      <c r="G58">
        <v>57</v>
      </c>
      <c r="H58" s="196" t="s">
        <v>242</v>
      </c>
    </row>
    <row r="59" spans="4:8" customFormat="1" x14ac:dyDescent="0.15">
      <c r="D59" s="195" t="s">
        <v>243</v>
      </c>
      <c r="E59">
        <v>58</v>
      </c>
      <c r="F59">
        <v>5</v>
      </c>
      <c r="G59">
        <v>58</v>
      </c>
      <c r="H59" s="196" t="s">
        <v>243</v>
      </c>
    </row>
    <row r="60" spans="4:8" customFormat="1" x14ac:dyDescent="0.15">
      <c r="D60" s="195" t="s">
        <v>244</v>
      </c>
      <c r="E60">
        <v>59</v>
      </c>
      <c r="F60">
        <v>5</v>
      </c>
      <c r="G60">
        <v>59</v>
      </c>
      <c r="H60" s="196" t="s">
        <v>244</v>
      </c>
    </row>
    <row r="61" spans="4:8" customFormat="1" x14ac:dyDescent="0.15">
      <c r="D61" s="195" t="s">
        <v>245</v>
      </c>
      <c r="E61">
        <v>60</v>
      </c>
      <c r="F61">
        <v>5</v>
      </c>
      <c r="G61">
        <v>60</v>
      </c>
      <c r="H61" s="196" t="s">
        <v>245</v>
      </c>
    </row>
    <row r="62" spans="4:8" customFormat="1" x14ac:dyDescent="0.15">
      <c r="D62" s="195" t="s">
        <v>246</v>
      </c>
      <c r="E62">
        <v>61</v>
      </c>
      <c r="F62">
        <v>5</v>
      </c>
      <c r="G62">
        <v>61</v>
      </c>
      <c r="H62" s="196" t="s">
        <v>246</v>
      </c>
    </row>
    <row r="63" spans="4:8" customFormat="1" x14ac:dyDescent="0.15">
      <c r="D63" s="195" t="s">
        <v>138</v>
      </c>
      <c r="E63">
        <v>62</v>
      </c>
      <c r="F63">
        <v>6.1</v>
      </c>
      <c r="G63">
        <v>62</v>
      </c>
      <c r="H63" s="196" t="s">
        <v>138</v>
      </c>
    </row>
    <row r="64" spans="4:8" customFormat="1" x14ac:dyDescent="0.15">
      <c r="D64" s="195" t="s">
        <v>45</v>
      </c>
      <c r="E64">
        <v>63</v>
      </c>
      <c r="F64">
        <v>6.2</v>
      </c>
      <c r="G64">
        <v>63</v>
      </c>
      <c r="H64" s="196" t="s">
        <v>45</v>
      </c>
    </row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2.83203125" style="81" bestFit="1" customWidth="1"/>
    <col min="2" max="2" width="11.83203125" style="80" customWidth="1"/>
    <col min="3" max="3" width="12.83203125" style="80" customWidth="1"/>
    <col min="4" max="4" width="5.33203125" style="80" customWidth="1"/>
    <col min="5" max="5" width="11.83203125" style="80" customWidth="1"/>
    <col min="6" max="6" width="21.6640625" style="80" bestFit="1" customWidth="1"/>
    <col min="7" max="9" width="2.33203125" style="80" customWidth="1"/>
    <col min="10" max="10" width="2.33203125" style="80" bestFit="1" customWidth="1"/>
    <col min="11" max="15" width="2.33203125" style="80" customWidth="1"/>
    <col min="16" max="16" width="2.33203125" style="70" customWidth="1"/>
    <col min="17" max="17" width="2.33203125" style="80" customWidth="1"/>
    <col min="18" max="18" width="2.33203125" style="71" customWidth="1"/>
    <col min="19" max="16384" width="11.5" style="80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2" t="s">
        <v>48</v>
      </c>
      <c r="L1" s="71"/>
      <c r="M1" s="82" t="s">
        <v>119</v>
      </c>
      <c r="N1" s="71"/>
      <c r="O1" s="82" t="s">
        <v>49</v>
      </c>
      <c r="P1" s="74"/>
      <c r="Q1" s="82" t="s">
        <v>50</v>
      </c>
      <c r="R1" s="68" t="s">
        <v>154</v>
      </c>
    </row>
    <row r="2" spans="1:23" ht="15" customHeight="1" x14ac:dyDescent="0.15">
      <c r="A2" s="82" t="s">
        <v>51</v>
      </c>
      <c r="B2" s="83">
        <v>0.5</v>
      </c>
      <c r="C2" s="81" t="s">
        <v>52</v>
      </c>
      <c r="D2" s="84"/>
      <c r="F2" s="1"/>
      <c r="G2" s="85"/>
      <c r="H2" s="85"/>
      <c r="I2" s="85" t="s">
        <v>133</v>
      </c>
      <c r="J2" s="85" t="s">
        <v>133</v>
      </c>
      <c r="K2" s="85" t="s">
        <v>52</v>
      </c>
      <c r="L2" s="85" t="s">
        <v>53</v>
      </c>
      <c r="M2" s="85" t="s">
        <v>52</v>
      </c>
      <c r="N2" s="85" t="s">
        <v>53</v>
      </c>
      <c r="O2" s="85" t="s">
        <v>52</v>
      </c>
      <c r="P2" s="86" t="s">
        <v>53</v>
      </c>
      <c r="Q2" s="85"/>
      <c r="R2" s="87" t="s">
        <v>155</v>
      </c>
    </row>
    <row r="3" spans="1:23" ht="15" customHeight="1" thickBot="1" x14ac:dyDescent="0.2">
      <c r="A3" s="82" t="s">
        <v>54</v>
      </c>
      <c r="B3" s="88">
        <v>0.5</v>
      </c>
      <c r="C3" s="81" t="s">
        <v>53</v>
      </c>
      <c r="D3" s="8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5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5">
        <v>0</v>
      </c>
      <c r="R4" s="108">
        <v>0</v>
      </c>
    </row>
    <row r="5" spans="1:23" ht="15" customHeight="1" x14ac:dyDescent="0.15">
      <c r="A5" s="82" t="s">
        <v>55</v>
      </c>
      <c r="B5" s="89">
        <v>0.5</v>
      </c>
      <c r="C5" s="81" t="s">
        <v>52</v>
      </c>
      <c r="D5" s="8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5">
        <v>0</v>
      </c>
      <c r="R5" s="108">
        <v>0</v>
      </c>
    </row>
    <row r="6" spans="1:23" ht="15" customHeight="1" thickBot="1" x14ac:dyDescent="0.2">
      <c r="A6" s="82"/>
      <c r="B6" s="90">
        <v>0.5</v>
      </c>
      <c r="C6" s="81" t="s">
        <v>53</v>
      </c>
      <c r="D6" s="84"/>
      <c r="F6" s="197" t="s">
        <v>192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80">
        <v>1</v>
      </c>
      <c r="N6" s="80">
        <v>0</v>
      </c>
      <c r="O6" s="80">
        <v>0</v>
      </c>
      <c r="P6" s="70">
        <v>0</v>
      </c>
      <c r="Q6" s="80">
        <v>0</v>
      </c>
      <c r="R6" s="71">
        <v>1</v>
      </c>
      <c r="S6"/>
      <c r="T6"/>
    </row>
    <row r="7" spans="1:23" ht="15" customHeight="1" thickBot="1" x14ac:dyDescent="0.2">
      <c r="F7" s="197" t="s">
        <v>67</v>
      </c>
      <c r="G7" s="80">
        <v>0</v>
      </c>
      <c r="H7" s="80">
        <v>0</v>
      </c>
      <c r="I7" s="80">
        <v>0</v>
      </c>
      <c r="J7" s="80">
        <v>0</v>
      </c>
      <c r="K7" s="80">
        <v>0</v>
      </c>
      <c r="L7" s="80">
        <v>0</v>
      </c>
      <c r="M7" s="80">
        <v>1</v>
      </c>
      <c r="N7" s="80">
        <v>0</v>
      </c>
      <c r="O7" s="80">
        <v>0</v>
      </c>
      <c r="P7" s="70">
        <v>0</v>
      </c>
      <c r="Q7" s="80">
        <v>0</v>
      </c>
      <c r="R7" s="71">
        <v>1</v>
      </c>
      <c r="S7"/>
      <c r="T7"/>
    </row>
    <row r="8" spans="1:23" ht="15" customHeight="1" x14ac:dyDescent="0.15">
      <c r="A8" s="82" t="s">
        <v>56</v>
      </c>
      <c r="B8" s="89">
        <v>0.9921306930340793</v>
      </c>
      <c r="C8" s="198" t="s">
        <v>192</v>
      </c>
      <c r="D8" s="84" t="s">
        <v>160</v>
      </c>
      <c r="F8" s="197" t="s">
        <v>193</v>
      </c>
      <c r="G8" s="80">
        <v>0</v>
      </c>
      <c r="H8" s="80">
        <v>0</v>
      </c>
      <c r="I8" s="80">
        <v>0</v>
      </c>
      <c r="J8" s="80">
        <v>0</v>
      </c>
      <c r="K8" s="80">
        <v>1</v>
      </c>
      <c r="L8" s="80">
        <v>0</v>
      </c>
      <c r="M8" s="80">
        <v>1</v>
      </c>
      <c r="N8" s="80">
        <v>0</v>
      </c>
      <c r="O8" s="80">
        <v>1</v>
      </c>
      <c r="P8" s="70">
        <v>0</v>
      </c>
      <c r="Q8" s="80">
        <v>0</v>
      </c>
      <c r="R8" s="71">
        <v>1</v>
      </c>
      <c r="S8"/>
      <c r="T8"/>
      <c r="W8"/>
    </row>
    <row r="9" spans="1:23" ht="15" customHeight="1" x14ac:dyDescent="0.15">
      <c r="A9" s="122" t="s">
        <v>168</v>
      </c>
      <c r="B9" s="91">
        <v>7.869306965920652E-3</v>
      </c>
      <c r="C9" s="198" t="s">
        <v>67</v>
      </c>
      <c r="D9" s="84" t="s">
        <v>160</v>
      </c>
      <c r="F9" s="197" t="s">
        <v>194</v>
      </c>
      <c r="G9" s="80">
        <v>0</v>
      </c>
      <c r="H9" s="80">
        <v>0</v>
      </c>
      <c r="I9" s="80">
        <v>0</v>
      </c>
      <c r="J9" s="80">
        <v>0</v>
      </c>
      <c r="K9" s="80">
        <v>1</v>
      </c>
      <c r="L9" s="80">
        <v>0</v>
      </c>
      <c r="M9" s="80">
        <v>1</v>
      </c>
      <c r="N9" s="80">
        <v>0</v>
      </c>
      <c r="O9" s="80">
        <v>1</v>
      </c>
      <c r="P9" s="70">
        <v>0</v>
      </c>
      <c r="Q9" s="80">
        <v>0</v>
      </c>
      <c r="R9" s="71">
        <v>1</v>
      </c>
      <c r="S9"/>
      <c r="T9"/>
      <c r="W9"/>
    </row>
    <row r="10" spans="1:23" ht="15" customHeight="1" x14ac:dyDescent="0.15">
      <c r="B10" s="91"/>
      <c r="C10" s="79"/>
      <c r="D10" s="84" t="s">
        <v>160</v>
      </c>
      <c r="F10" s="197" t="s">
        <v>195</v>
      </c>
      <c r="G10" s="80">
        <v>0</v>
      </c>
      <c r="H10" s="80">
        <v>0</v>
      </c>
      <c r="I10" s="80">
        <v>0</v>
      </c>
      <c r="J10" s="80">
        <v>0</v>
      </c>
      <c r="K10" s="80">
        <v>1</v>
      </c>
      <c r="L10" s="80">
        <v>0</v>
      </c>
      <c r="M10" s="80">
        <v>1</v>
      </c>
      <c r="N10" s="80">
        <v>0</v>
      </c>
      <c r="O10" s="80">
        <v>1</v>
      </c>
      <c r="P10" s="70">
        <v>0</v>
      </c>
      <c r="Q10" s="80">
        <v>0</v>
      </c>
      <c r="R10" s="71">
        <v>1</v>
      </c>
      <c r="S10"/>
      <c r="T10"/>
      <c r="W10"/>
    </row>
    <row r="11" spans="1:23" ht="15" customHeight="1" x14ac:dyDescent="0.15">
      <c r="A11" s="82"/>
      <c r="B11" s="91"/>
      <c r="C11" s="94"/>
      <c r="D11" s="84" t="s">
        <v>160</v>
      </c>
      <c r="F11" s="197" t="s">
        <v>196</v>
      </c>
      <c r="G11" s="80">
        <v>0</v>
      </c>
      <c r="H11" s="80">
        <v>0</v>
      </c>
      <c r="I11" s="80">
        <v>0</v>
      </c>
      <c r="J11" s="80">
        <v>0</v>
      </c>
      <c r="K11" s="80">
        <v>0</v>
      </c>
      <c r="L11" s="80">
        <v>1</v>
      </c>
      <c r="M11" s="80">
        <v>0</v>
      </c>
      <c r="N11" s="80">
        <v>1</v>
      </c>
      <c r="O11" s="80">
        <v>0</v>
      </c>
      <c r="P11" s="70">
        <v>1</v>
      </c>
      <c r="Q11" s="80">
        <v>0</v>
      </c>
      <c r="R11" s="71">
        <v>1</v>
      </c>
      <c r="S11"/>
      <c r="T11"/>
      <c r="W11"/>
    </row>
    <row r="12" spans="1:23" ht="15" customHeight="1" x14ac:dyDescent="0.15">
      <c r="B12" s="91"/>
      <c r="C12" s="95"/>
      <c r="D12" s="84" t="s">
        <v>160</v>
      </c>
      <c r="F12" s="197" t="s">
        <v>197</v>
      </c>
      <c r="G12" s="80">
        <v>0</v>
      </c>
      <c r="H12" s="80">
        <v>0</v>
      </c>
      <c r="I12" s="80">
        <v>0</v>
      </c>
      <c r="J12" s="80">
        <v>0</v>
      </c>
      <c r="K12" s="80">
        <v>1</v>
      </c>
      <c r="L12" s="80">
        <v>0</v>
      </c>
      <c r="M12" s="80">
        <v>1</v>
      </c>
      <c r="N12" s="80">
        <v>0</v>
      </c>
      <c r="O12" s="80">
        <v>1</v>
      </c>
      <c r="P12" s="70">
        <v>0</v>
      </c>
      <c r="Q12" s="80">
        <v>0</v>
      </c>
      <c r="R12" s="71">
        <v>1</v>
      </c>
      <c r="S12"/>
      <c r="T12"/>
      <c r="W12"/>
    </row>
    <row r="13" spans="1:23" ht="15" customHeight="1" x14ac:dyDescent="0.15">
      <c r="B13" s="91"/>
      <c r="C13" s="95"/>
      <c r="D13" s="84" t="s">
        <v>160</v>
      </c>
      <c r="F13" s="197" t="s">
        <v>198</v>
      </c>
      <c r="G13" s="80">
        <v>0</v>
      </c>
      <c r="H13" s="80">
        <v>0</v>
      </c>
      <c r="I13" s="80">
        <v>0</v>
      </c>
      <c r="J13" s="80">
        <v>0</v>
      </c>
      <c r="K13" s="80">
        <v>1</v>
      </c>
      <c r="L13" s="80">
        <v>0</v>
      </c>
      <c r="M13" s="80">
        <v>1</v>
      </c>
      <c r="N13" s="80">
        <v>0</v>
      </c>
      <c r="O13" s="80">
        <v>1</v>
      </c>
      <c r="P13" s="70">
        <v>0</v>
      </c>
      <c r="Q13" s="80">
        <v>0</v>
      </c>
      <c r="R13" s="71">
        <v>1</v>
      </c>
      <c r="S13"/>
      <c r="T13"/>
      <c r="W13"/>
    </row>
    <row r="14" spans="1:23" ht="15" customHeight="1" x14ac:dyDescent="0.15">
      <c r="B14" s="91"/>
      <c r="C14" s="79"/>
      <c r="D14" s="84" t="s">
        <v>160</v>
      </c>
      <c r="F14" s="197" t="s">
        <v>199</v>
      </c>
      <c r="G14" s="80">
        <v>0</v>
      </c>
      <c r="H14" s="80">
        <v>0</v>
      </c>
      <c r="I14" s="80">
        <v>0</v>
      </c>
      <c r="J14" s="80">
        <v>0</v>
      </c>
      <c r="K14" s="80">
        <v>1</v>
      </c>
      <c r="L14" s="80">
        <v>0</v>
      </c>
      <c r="M14" s="80">
        <v>1</v>
      </c>
      <c r="N14" s="80">
        <v>0</v>
      </c>
      <c r="O14" s="80">
        <v>1</v>
      </c>
      <c r="P14" s="70">
        <v>0</v>
      </c>
      <c r="Q14" s="80">
        <v>0</v>
      </c>
      <c r="R14" s="71">
        <v>1</v>
      </c>
      <c r="S14"/>
      <c r="T14"/>
      <c r="W14"/>
    </row>
    <row r="15" spans="1:23" ht="15" customHeight="1" x14ac:dyDescent="0.15">
      <c r="B15" s="91"/>
      <c r="C15" s="79"/>
      <c r="D15" s="84" t="s">
        <v>160</v>
      </c>
      <c r="F15" s="197" t="s">
        <v>200</v>
      </c>
      <c r="G15" s="80">
        <v>0</v>
      </c>
      <c r="H15" s="80">
        <v>0</v>
      </c>
      <c r="I15" s="80">
        <v>0</v>
      </c>
      <c r="J15" s="80">
        <v>0</v>
      </c>
      <c r="K15" s="80">
        <v>1</v>
      </c>
      <c r="L15" s="80">
        <v>0</v>
      </c>
      <c r="M15" s="80">
        <v>1</v>
      </c>
      <c r="N15" s="80">
        <v>0</v>
      </c>
      <c r="O15" s="80">
        <v>1</v>
      </c>
      <c r="P15" s="70">
        <v>0</v>
      </c>
      <c r="Q15" s="80">
        <v>0</v>
      </c>
      <c r="R15" s="71">
        <v>1</v>
      </c>
      <c r="S15"/>
      <c r="T15"/>
      <c r="W15"/>
    </row>
    <row r="16" spans="1:23" ht="15" customHeight="1" x14ac:dyDescent="0.15">
      <c r="B16" s="91"/>
      <c r="C16" s="79"/>
      <c r="D16" s="84" t="s">
        <v>160</v>
      </c>
      <c r="F16" s="197" t="s">
        <v>201</v>
      </c>
      <c r="G16" s="80">
        <v>0</v>
      </c>
      <c r="H16" s="80">
        <v>0</v>
      </c>
      <c r="I16" s="80">
        <v>0</v>
      </c>
      <c r="J16" s="80">
        <v>0</v>
      </c>
      <c r="K16" s="80">
        <v>1</v>
      </c>
      <c r="L16" s="80">
        <v>0</v>
      </c>
      <c r="M16" s="80">
        <v>1</v>
      </c>
      <c r="N16" s="80">
        <v>0</v>
      </c>
      <c r="O16" s="80">
        <v>1</v>
      </c>
      <c r="P16" s="70">
        <v>0</v>
      </c>
      <c r="Q16" s="80">
        <v>0</v>
      </c>
      <c r="R16" s="71">
        <v>1</v>
      </c>
      <c r="S16"/>
      <c r="T16"/>
    </row>
    <row r="17" spans="1:20" ht="15" customHeight="1" thickBot="1" x14ac:dyDescent="0.2">
      <c r="B17" s="90"/>
      <c r="C17" s="79"/>
      <c r="D17" s="84" t="s">
        <v>160</v>
      </c>
      <c r="F17" s="197" t="s">
        <v>202</v>
      </c>
      <c r="G17" s="80">
        <v>0</v>
      </c>
      <c r="H17" s="80">
        <v>0</v>
      </c>
      <c r="I17" s="80">
        <v>0</v>
      </c>
      <c r="J17" s="80">
        <v>0</v>
      </c>
      <c r="K17" s="80">
        <v>1</v>
      </c>
      <c r="L17" s="80">
        <v>0</v>
      </c>
      <c r="M17" s="80">
        <v>1</v>
      </c>
      <c r="N17" s="80">
        <v>0</v>
      </c>
      <c r="O17" s="80">
        <v>1</v>
      </c>
      <c r="P17" s="70">
        <v>0</v>
      </c>
      <c r="Q17" s="80">
        <v>0</v>
      </c>
      <c r="R17" s="71">
        <v>1</v>
      </c>
      <c r="S17"/>
      <c r="T17"/>
    </row>
    <row r="18" spans="1:20" ht="15" customHeight="1" thickBot="1" x14ac:dyDescent="0.2">
      <c r="B18" s="92"/>
      <c r="F18" s="197" t="s">
        <v>203</v>
      </c>
      <c r="G18" s="80">
        <v>0</v>
      </c>
      <c r="H18" s="80">
        <v>0</v>
      </c>
      <c r="I18" s="80">
        <v>0</v>
      </c>
      <c r="J18" s="80">
        <v>0</v>
      </c>
      <c r="K18" s="80">
        <v>1</v>
      </c>
      <c r="L18" s="80">
        <v>0</v>
      </c>
      <c r="M18" s="80">
        <v>1</v>
      </c>
      <c r="N18" s="80">
        <v>0</v>
      </c>
      <c r="O18" s="80">
        <v>1</v>
      </c>
      <c r="P18" s="70">
        <v>0</v>
      </c>
      <c r="Q18" s="80">
        <v>0</v>
      </c>
      <c r="R18" s="71">
        <v>1</v>
      </c>
      <c r="S18"/>
      <c r="T18"/>
    </row>
    <row r="19" spans="1:20" ht="15" customHeight="1" x14ac:dyDescent="0.15">
      <c r="A19" s="82" t="s">
        <v>57</v>
      </c>
      <c r="B19" s="89">
        <v>0.9921306930340793</v>
      </c>
      <c r="C19" s="199" t="s">
        <v>192</v>
      </c>
      <c r="D19" s="84" t="s">
        <v>160</v>
      </c>
      <c r="F19" s="197" t="s">
        <v>204</v>
      </c>
      <c r="G19" s="80">
        <v>0</v>
      </c>
      <c r="H19" s="80">
        <v>0</v>
      </c>
      <c r="I19" s="80">
        <v>0</v>
      </c>
      <c r="J19" s="80">
        <v>0</v>
      </c>
      <c r="K19" s="80">
        <v>1</v>
      </c>
      <c r="L19" s="80">
        <v>0</v>
      </c>
      <c r="M19" s="80">
        <v>1</v>
      </c>
      <c r="N19" s="80">
        <v>0</v>
      </c>
      <c r="O19" s="80">
        <v>1</v>
      </c>
      <c r="P19" s="70">
        <v>0</v>
      </c>
      <c r="Q19" s="80">
        <v>0</v>
      </c>
      <c r="R19" s="71">
        <v>1</v>
      </c>
      <c r="S19"/>
      <c r="T19"/>
    </row>
    <row r="20" spans="1:20" ht="15" customHeight="1" x14ac:dyDescent="0.15">
      <c r="A20" s="122" t="s">
        <v>168</v>
      </c>
      <c r="B20" s="91">
        <v>7.869306965920652E-3</v>
      </c>
      <c r="C20" s="199" t="s">
        <v>67</v>
      </c>
      <c r="D20" s="84" t="s">
        <v>160</v>
      </c>
      <c r="F20" s="197" t="s">
        <v>205</v>
      </c>
      <c r="G20" s="80">
        <v>0</v>
      </c>
      <c r="H20" s="80">
        <v>0</v>
      </c>
      <c r="I20" s="80">
        <v>0</v>
      </c>
      <c r="J20" s="80">
        <v>0</v>
      </c>
      <c r="K20" s="80">
        <v>1</v>
      </c>
      <c r="L20" s="80">
        <v>0</v>
      </c>
      <c r="M20" s="80">
        <v>1</v>
      </c>
      <c r="N20" s="80">
        <v>0</v>
      </c>
      <c r="O20" s="80">
        <v>1</v>
      </c>
      <c r="P20" s="70">
        <v>0</v>
      </c>
      <c r="Q20" s="80">
        <v>0</v>
      </c>
      <c r="R20" s="71">
        <v>1</v>
      </c>
      <c r="S20"/>
      <c r="T20"/>
    </row>
    <row r="21" spans="1:20" ht="15" customHeight="1" x14ac:dyDescent="0.15">
      <c r="B21" s="91"/>
      <c r="C21" s="79"/>
      <c r="D21" s="84" t="s">
        <v>160</v>
      </c>
      <c r="F21" s="197" t="s">
        <v>206</v>
      </c>
      <c r="G21" s="80">
        <v>0</v>
      </c>
      <c r="H21" s="80">
        <v>0</v>
      </c>
      <c r="I21" s="80">
        <v>0</v>
      </c>
      <c r="J21" s="80">
        <v>0</v>
      </c>
      <c r="K21" s="80">
        <v>1</v>
      </c>
      <c r="L21" s="80">
        <v>0</v>
      </c>
      <c r="M21" s="80">
        <v>1</v>
      </c>
      <c r="N21" s="80">
        <v>0</v>
      </c>
      <c r="O21" s="80">
        <v>1</v>
      </c>
      <c r="P21" s="70">
        <v>0</v>
      </c>
      <c r="Q21" s="80">
        <v>0</v>
      </c>
      <c r="R21" s="71">
        <v>1</v>
      </c>
      <c r="S21"/>
      <c r="T21"/>
    </row>
    <row r="22" spans="1:20" ht="15" customHeight="1" x14ac:dyDescent="0.15">
      <c r="A22" s="80"/>
      <c r="B22" s="91"/>
      <c r="C22" s="94"/>
      <c r="D22" s="84" t="s">
        <v>160</v>
      </c>
      <c r="F22" s="197" t="s">
        <v>207</v>
      </c>
      <c r="G22" s="80">
        <v>0</v>
      </c>
      <c r="H22" s="80">
        <v>0</v>
      </c>
      <c r="I22" s="80">
        <v>0</v>
      </c>
      <c r="J22" s="80">
        <v>0</v>
      </c>
      <c r="K22" s="80">
        <v>1</v>
      </c>
      <c r="L22" s="80">
        <v>0</v>
      </c>
      <c r="M22" s="80">
        <v>1</v>
      </c>
      <c r="N22" s="80">
        <v>0</v>
      </c>
      <c r="O22" s="80">
        <v>1</v>
      </c>
      <c r="P22" s="70">
        <v>0</v>
      </c>
      <c r="Q22" s="80">
        <v>0</v>
      </c>
      <c r="R22" s="71">
        <v>1</v>
      </c>
      <c r="S22"/>
      <c r="T22"/>
    </row>
    <row r="23" spans="1:20" ht="15" customHeight="1" x14ac:dyDescent="0.15">
      <c r="A23" s="80"/>
      <c r="B23" s="91"/>
      <c r="C23" s="95"/>
      <c r="D23" s="84" t="s">
        <v>160</v>
      </c>
      <c r="F23" s="197" t="s">
        <v>208</v>
      </c>
      <c r="G23" s="80">
        <v>0</v>
      </c>
      <c r="H23" s="80">
        <v>0</v>
      </c>
      <c r="I23" s="80">
        <v>0</v>
      </c>
      <c r="J23" s="80">
        <v>0</v>
      </c>
      <c r="K23" s="80">
        <v>1</v>
      </c>
      <c r="L23" s="80">
        <v>0</v>
      </c>
      <c r="M23" s="80">
        <v>1</v>
      </c>
      <c r="N23" s="80">
        <v>0</v>
      </c>
      <c r="O23" s="80">
        <v>1</v>
      </c>
      <c r="P23" s="70">
        <v>0</v>
      </c>
      <c r="Q23" s="80">
        <v>0</v>
      </c>
      <c r="R23" s="71">
        <v>1</v>
      </c>
      <c r="S23"/>
      <c r="T23"/>
    </row>
    <row r="24" spans="1:20" ht="15" customHeight="1" x14ac:dyDescent="0.15">
      <c r="A24" s="80"/>
      <c r="B24" s="91"/>
      <c r="C24" s="95"/>
      <c r="D24" s="84" t="s">
        <v>160</v>
      </c>
      <c r="F24" s="197" t="s">
        <v>209</v>
      </c>
      <c r="G24" s="80">
        <v>0</v>
      </c>
      <c r="H24" s="80">
        <v>0</v>
      </c>
      <c r="I24" s="80">
        <v>0</v>
      </c>
      <c r="J24" s="80">
        <v>0</v>
      </c>
      <c r="K24" s="80">
        <v>1</v>
      </c>
      <c r="L24" s="80">
        <v>0</v>
      </c>
      <c r="M24" s="80">
        <v>1</v>
      </c>
      <c r="N24" s="80">
        <v>0</v>
      </c>
      <c r="O24" s="80">
        <v>1</v>
      </c>
      <c r="P24" s="70">
        <v>0</v>
      </c>
      <c r="Q24" s="80">
        <v>0</v>
      </c>
      <c r="R24" s="71">
        <v>1</v>
      </c>
      <c r="S24"/>
      <c r="T24"/>
    </row>
    <row r="25" spans="1:20" ht="15" customHeight="1" x14ac:dyDescent="0.15">
      <c r="A25" s="80"/>
      <c r="B25" s="91"/>
      <c r="C25" s="79"/>
      <c r="D25" s="84" t="s">
        <v>160</v>
      </c>
      <c r="F25" s="197" t="s">
        <v>210</v>
      </c>
      <c r="G25" s="80">
        <v>0</v>
      </c>
      <c r="H25" s="80">
        <v>0</v>
      </c>
      <c r="I25" s="80">
        <v>0</v>
      </c>
      <c r="J25" s="80">
        <v>0</v>
      </c>
      <c r="K25" s="80">
        <v>1</v>
      </c>
      <c r="L25" s="80">
        <v>0</v>
      </c>
      <c r="M25" s="80">
        <v>1</v>
      </c>
      <c r="N25" s="80">
        <v>0</v>
      </c>
      <c r="O25" s="80">
        <v>1</v>
      </c>
      <c r="P25" s="70">
        <v>0</v>
      </c>
      <c r="Q25" s="80">
        <v>0</v>
      </c>
      <c r="R25" s="71">
        <v>1</v>
      </c>
      <c r="S25"/>
      <c r="T25"/>
    </row>
    <row r="26" spans="1:20" ht="15" customHeight="1" x14ac:dyDescent="0.15">
      <c r="B26" s="91"/>
      <c r="C26" s="79"/>
      <c r="D26" s="84" t="s">
        <v>160</v>
      </c>
      <c r="F26" s="197" t="s">
        <v>211</v>
      </c>
      <c r="G26" s="80">
        <v>0</v>
      </c>
      <c r="H26" s="80">
        <v>0</v>
      </c>
      <c r="I26" s="80">
        <v>0</v>
      </c>
      <c r="J26" s="80">
        <v>0</v>
      </c>
      <c r="K26" s="80">
        <v>1</v>
      </c>
      <c r="L26" s="80">
        <v>0</v>
      </c>
      <c r="M26" s="80">
        <v>1</v>
      </c>
      <c r="N26" s="80">
        <v>0</v>
      </c>
      <c r="O26" s="80">
        <v>1</v>
      </c>
      <c r="P26" s="70">
        <v>0</v>
      </c>
      <c r="Q26" s="80">
        <v>0</v>
      </c>
      <c r="R26" s="71">
        <v>1</v>
      </c>
      <c r="S26"/>
      <c r="T26"/>
    </row>
    <row r="27" spans="1:20" ht="15" customHeight="1" x14ac:dyDescent="0.15">
      <c r="B27" s="91"/>
      <c r="C27" s="79"/>
      <c r="D27" s="84" t="s">
        <v>160</v>
      </c>
      <c r="F27" s="197" t="s">
        <v>212</v>
      </c>
      <c r="G27" s="80">
        <v>0</v>
      </c>
      <c r="H27" s="80">
        <v>0</v>
      </c>
      <c r="I27" s="80">
        <v>0</v>
      </c>
      <c r="J27" s="80">
        <v>0</v>
      </c>
      <c r="K27" s="80">
        <v>1</v>
      </c>
      <c r="L27" s="80">
        <v>0</v>
      </c>
      <c r="M27" s="80">
        <v>1</v>
      </c>
      <c r="N27" s="80">
        <v>0</v>
      </c>
      <c r="O27" s="80">
        <v>1</v>
      </c>
      <c r="P27" s="70">
        <v>0</v>
      </c>
      <c r="Q27" s="80">
        <v>0</v>
      </c>
      <c r="R27" s="71">
        <v>1</v>
      </c>
      <c r="S27"/>
      <c r="T27"/>
    </row>
    <row r="28" spans="1:20" ht="15" customHeight="1" thickBot="1" x14ac:dyDescent="0.2">
      <c r="B28" s="90"/>
      <c r="C28" s="79"/>
      <c r="D28" s="84" t="s">
        <v>160</v>
      </c>
      <c r="F28" s="197" t="s">
        <v>213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1</v>
      </c>
      <c r="N28" s="80">
        <v>0</v>
      </c>
      <c r="O28" s="80">
        <v>1</v>
      </c>
      <c r="P28" s="70">
        <v>0</v>
      </c>
      <c r="Q28" s="80">
        <v>0</v>
      </c>
      <c r="R28" s="71">
        <v>1</v>
      </c>
      <c r="S28"/>
      <c r="T28"/>
    </row>
    <row r="29" spans="1:20" ht="15" customHeight="1" x14ac:dyDescent="0.15">
      <c r="F29" s="197" t="s">
        <v>214</v>
      </c>
      <c r="G29" s="80">
        <v>0</v>
      </c>
      <c r="H29" s="80">
        <v>0</v>
      </c>
      <c r="I29" s="80">
        <v>0</v>
      </c>
      <c r="J29" s="80">
        <v>0</v>
      </c>
      <c r="K29" s="80">
        <v>1</v>
      </c>
      <c r="L29" s="80">
        <v>0</v>
      </c>
      <c r="M29" s="80">
        <v>1</v>
      </c>
      <c r="N29" s="80">
        <v>0</v>
      </c>
      <c r="O29" s="80">
        <v>1</v>
      </c>
      <c r="P29" s="70">
        <v>0</v>
      </c>
      <c r="Q29" s="80">
        <v>0</v>
      </c>
      <c r="R29" s="71">
        <v>1</v>
      </c>
      <c r="S29"/>
      <c r="T29"/>
    </row>
    <row r="30" spans="1:20" ht="15" customHeight="1" x14ac:dyDescent="0.15">
      <c r="F30" s="197" t="s">
        <v>215</v>
      </c>
      <c r="G30" s="80">
        <v>0</v>
      </c>
      <c r="H30" s="80">
        <v>0</v>
      </c>
      <c r="I30" s="80">
        <v>0</v>
      </c>
      <c r="J30" s="80">
        <v>0</v>
      </c>
      <c r="K30" s="80">
        <v>1</v>
      </c>
      <c r="L30" s="80">
        <v>0</v>
      </c>
      <c r="M30" s="80">
        <v>1</v>
      </c>
      <c r="N30" s="80">
        <v>0</v>
      </c>
      <c r="O30" s="80">
        <v>1</v>
      </c>
      <c r="P30" s="70">
        <v>0</v>
      </c>
      <c r="Q30" s="80">
        <v>0</v>
      </c>
      <c r="R30" s="71">
        <v>1</v>
      </c>
      <c r="S30"/>
      <c r="T30"/>
    </row>
    <row r="31" spans="1:20" ht="15" customHeight="1" x14ac:dyDescent="0.15">
      <c r="A31" s="123"/>
      <c r="B31" s="133" t="s">
        <v>17</v>
      </c>
      <c r="C31" s="133" t="s">
        <v>1</v>
      </c>
      <c r="D31" s="133" t="s">
        <v>161</v>
      </c>
      <c r="E31" s="134" t="s">
        <v>163</v>
      </c>
      <c r="F31" s="197" t="s">
        <v>216</v>
      </c>
      <c r="G31" s="80">
        <v>0</v>
      </c>
      <c r="H31" s="80">
        <v>0</v>
      </c>
      <c r="I31" s="80">
        <v>0</v>
      </c>
      <c r="J31" s="80">
        <v>0</v>
      </c>
      <c r="K31" s="80">
        <v>1</v>
      </c>
      <c r="L31" s="80">
        <v>0</v>
      </c>
      <c r="M31" s="80">
        <v>1</v>
      </c>
      <c r="N31" s="80">
        <v>0</v>
      </c>
      <c r="O31" s="80">
        <v>1</v>
      </c>
      <c r="P31" s="70">
        <v>0</v>
      </c>
      <c r="Q31" s="80">
        <v>0</v>
      </c>
      <c r="R31" s="71">
        <v>1</v>
      </c>
      <c r="S31"/>
      <c r="T31"/>
    </row>
    <row r="32" spans="1:20" ht="15" customHeight="1" x14ac:dyDescent="0.15">
      <c r="A32" s="200" t="s">
        <v>192</v>
      </c>
      <c r="B32" s="92">
        <v>7</v>
      </c>
      <c r="C32" s="92">
        <v>290</v>
      </c>
      <c r="D32" s="92">
        <v>2030</v>
      </c>
      <c r="E32" s="124">
        <v>0.9921306930340793</v>
      </c>
      <c r="F32" s="197" t="s">
        <v>217</v>
      </c>
      <c r="G32" s="80">
        <v>0</v>
      </c>
      <c r="H32" s="80">
        <v>0</v>
      </c>
      <c r="I32" s="80">
        <v>0</v>
      </c>
      <c r="J32" s="80">
        <v>0</v>
      </c>
      <c r="K32" s="80">
        <v>1</v>
      </c>
      <c r="L32" s="80">
        <v>0</v>
      </c>
      <c r="M32" s="80">
        <v>1</v>
      </c>
      <c r="N32" s="80">
        <v>0</v>
      </c>
      <c r="O32" s="80">
        <v>1</v>
      </c>
      <c r="P32" s="70">
        <v>0</v>
      </c>
      <c r="Q32" s="80">
        <v>0</v>
      </c>
      <c r="R32" s="71">
        <v>1</v>
      </c>
      <c r="S32"/>
      <c r="T32"/>
    </row>
    <row r="33" spans="1:20" ht="15" customHeight="1" x14ac:dyDescent="0.15">
      <c r="A33" s="200" t="s">
        <v>67</v>
      </c>
      <c r="B33" s="92">
        <v>3.71</v>
      </c>
      <c r="C33" s="92">
        <v>4.34</v>
      </c>
      <c r="D33" s="92">
        <v>16.101399999999998</v>
      </c>
      <c r="E33" s="124">
        <v>7.869306965920652E-3</v>
      </c>
      <c r="F33" s="197" t="s">
        <v>218</v>
      </c>
      <c r="G33" s="80">
        <v>0</v>
      </c>
      <c r="H33" s="80">
        <v>0</v>
      </c>
      <c r="I33" s="80">
        <v>0</v>
      </c>
      <c r="J33" s="80">
        <v>0</v>
      </c>
      <c r="K33" s="80">
        <v>1</v>
      </c>
      <c r="L33" s="80">
        <v>0</v>
      </c>
      <c r="M33" s="80">
        <v>1</v>
      </c>
      <c r="N33" s="80">
        <v>0</v>
      </c>
      <c r="O33" s="80">
        <v>1</v>
      </c>
      <c r="P33" s="70">
        <v>0</v>
      </c>
      <c r="Q33" s="80">
        <v>0</v>
      </c>
      <c r="R33" s="71">
        <v>1</v>
      </c>
      <c r="S33"/>
      <c r="T33"/>
    </row>
    <row r="34" spans="1:20" ht="15" customHeight="1" x14ac:dyDescent="0.15">
      <c r="A34" s="125"/>
      <c r="B34" s="92"/>
      <c r="C34" s="92"/>
      <c r="D34" s="92"/>
      <c r="E34" s="124"/>
      <c r="F34" s="197" t="s">
        <v>219</v>
      </c>
      <c r="G34" s="80">
        <v>0</v>
      </c>
      <c r="H34" s="80">
        <v>0</v>
      </c>
      <c r="I34" s="80">
        <v>0</v>
      </c>
      <c r="J34" s="80">
        <v>0</v>
      </c>
      <c r="K34" s="80">
        <v>1</v>
      </c>
      <c r="L34" s="80">
        <v>0</v>
      </c>
      <c r="M34" s="80">
        <v>1</v>
      </c>
      <c r="N34" s="80">
        <v>0</v>
      </c>
      <c r="O34" s="80">
        <v>1</v>
      </c>
      <c r="P34" s="70">
        <v>0</v>
      </c>
      <c r="Q34" s="80">
        <v>0</v>
      </c>
      <c r="R34" s="71">
        <v>1</v>
      </c>
      <c r="S34"/>
      <c r="T34"/>
    </row>
    <row r="35" spans="1:20" ht="15" customHeight="1" x14ac:dyDescent="0.15">
      <c r="A35" s="126"/>
      <c r="B35" s="92"/>
      <c r="C35" s="92"/>
      <c r="D35" s="92"/>
      <c r="E35" s="124"/>
      <c r="F35" s="197" t="s">
        <v>220</v>
      </c>
      <c r="G35" s="80">
        <v>0</v>
      </c>
      <c r="H35" s="80">
        <v>0</v>
      </c>
      <c r="I35" s="80">
        <v>0</v>
      </c>
      <c r="J35" s="80">
        <v>0</v>
      </c>
      <c r="K35" s="80">
        <v>1</v>
      </c>
      <c r="L35" s="80">
        <v>0</v>
      </c>
      <c r="M35" s="80">
        <v>1</v>
      </c>
      <c r="N35" s="80">
        <v>0</v>
      </c>
      <c r="O35" s="80">
        <v>1</v>
      </c>
      <c r="P35" s="70">
        <v>0</v>
      </c>
      <c r="Q35" s="80">
        <v>0</v>
      </c>
      <c r="R35" s="71">
        <v>1</v>
      </c>
      <c r="S35"/>
      <c r="T35"/>
    </row>
    <row r="36" spans="1:20" ht="15" customHeight="1" x14ac:dyDescent="0.15">
      <c r="A36" s="127"/>
      <c r="B36" s="92"/>
      <c r="C36" s="92"/>
      <c r="D36" s="92"/>
      <c r="E36" s="124"/>
      <c r="F36" s="197" t="s">
        <v>221</v>
      </c>
      <c r="G36" s="80">
        <v>0</v>
      </c>
      <c r="H36" s="80">
        <v>0</v>
      </c>
      <c r="I36" s="80">
        <v>0</v>
      </c>
      <c r="J36" s="80">
        <v>0</v>
      </c>
      <c r="K36" s="80">
        <v>1</v>
      </c>
      <c r="L36" s="80">
        <v>0</v>
      </c>
      <c r="M36" s="80">
        <v>1</v>
      </c>
      <c r="N36" s="80">
        <v>0</v>
      </c>
      <c r="O36" s="80">
        <v>1</v>
      </c>
      <c r="P36" s="70">
        <v>0</v>
      </c>
      <c r="Q36" s="80">
        <v>0</v>
      </c>
      <c r="R36" s="71">
        <v>1</v>
      </c>
      <c r="S36"/>
      <c r="T36"/>
    </row>
    <row r="37" spans="1:20" ht="15" customHeight="1" x14ac:dyDescent="0.15">
      <c r="A37" s="127"/>
      <c r="B37" s="92"/>
      <c r="C37" s="92"/>
      <c r="D37" s="92"/>
      <c r="E37" s="124"/>
      <c r="F37" s="197" t="s">
        <v>222</v>
      </c>
      <c r="G37" s="80">
        <v>0</v>
      </c>
      <c r="H37" s="80">
        <v>0</v>
      </c>
      <c r="I37" s="80">
        <v>0</v>
      </c>
      <c r="J37" s="80">
        <v>0</v>
      </c>
      <c r="K37" s="80">
        <v>1</v>
      </c>
      <c r="L37" s="80">
        <v>0</v>
      </c>
      <c r="M37" s="80">
        <v>1</v>
      </c>
      <c r="N37" s="80">
        <v>0</v>
      </c>
      <c r="O37" s="80">
        <v>1</v>
      </c>
      <c r="P37" s="70">
        <v>0</v>
      </c>
      <c r="Q37" s="80">
        <v>0</v>
      </c>
      <c r="R37" s="71">
        <v>1</v>
      </c>
      <c r="S37"/>
      <c r="T37"/>
    </row>
    <row r="38" spans="1:20" ht="15" customHeight="1" x14ac:dyDescent="0.15">
      <c r="A38" s="128"/>
      <c r="B38" s="92"/>
      <c r="C38" s="92"/>
      <c r="D38" s="92"/>
      <c r="E38" s="124"/>
      <c r="F38" s="197" t="s">
        <v>223</v>
      </c>
      <c r="G38" s="80">
        <v>0</v>
      </c>
      <c r="H38" s="80">
        <v>0</v>
      </c>
      <c r="I38" s="80">
        <v>0</v>
      </c>
      <c r="J38" s="80">
        <v>0</v>
      </c>
      <c r="K38" s="80">
        <v>1</v>
      </c>
      <c r="L38" s="80">
        <v>0</v>
      </c>
      <c r="M38" s="80">
        <v>1</v>
      </c>
      <c r="N38" s="80">
        <v>0</v>
      </c>
      <c r="O38" s="80">
        <v>1</v>
      </c>
      <c r="P38" s="70">
        <v>0</v>
      </c>
      <c r="Q38" s="80">
        <v>0</v>
      </c>
      <c r="R38" s="71">
        <v>1</v>
      </c>
      <c r="S38"/>
      <c r="T38"/>
    </row>
    <row r="39" spans="1:20" ht="15" customHeight="1" x14ac:dyDescent="0.15">
      <c r="A39" s="128"/>
      <c r="B39" s="92"/>
      <c r="C39" s="92"/>
      <c r="D39" s="92"/>
      <c r="E39" s="124"/>
      <c r="F39" s="197" t="s">
        <v>224</v>
      </c>
      <c r="G39" s="80">
        <v>0</v>
      </c>
      <c r="H39" s="80">
        <v>0</v>
      </c>
      <c r="I39" s="80">
        <v>0</v>
      </c>
      <c r="J39" s="80">
        <v>0</v>
      </c>
      <c r="K39" s="80">
        <v>1</v>
      </c>
      <c r="L39" s="80">
        <v>0</v>
      </c>
      <c r="M39" s="80">
        <v>1</v>
      </c>
      <c r="N39" s="80">
        <v>0</v>
      </c>
      <c r="O39" s="80">
        <v>1</v>
      </c>
      <c r="P39" s="70">
        <v>0</v>
      </c>
      <c r="Q39" s="80">
        <v>0</v>
      </c>
      <c r="R39" s="71">
        <v>1</v>
      </c>
      <c r="S39"/>
      <c r="T39"/>
    </row>
    <row r="40" spans="1:20" ht="15" customHeight="1" x14ac:dyDescent="0.15">
      <c r="A40" s="128"/>
      <c r="B40" s="92"/>
      <c r="C40" s="92"/>
      <c r="D40" s="92"/>
      <c r="E40" s="124"/>
      <c r="F40" s="197" t="s">
        <v>225</v>
      </c>
      <c r="G40" s="80">
        <v>0</v>
      </c>
      <c r="H40" s="80">
        <v>0</v>
      </c>
      <c r="I40" s="80">
        <v>0</v>
      </c>
      <c r="J40" s="80">
        <v>0</v>
      </c>
      <c r="K40" s="80">
        <v>1</v>
      </c>
      <c r="L40" s="80">
        <v>0</v>
      </c>
      <c r="M40" s="80">
        <v>1</v>
      </c>
      <c r="N40" s="80">
        <v>0</v>
      </c>
      <c r="O40" s="80">
        <v>1</v>
      </c>
      <c r="P40" s="70">
        <v>0</v>
      </c>
      <c r="Q40" s="80">
        <v>0</v>
      </c>
      <c r="R40" s="71">
        <v>1</v>
      </c>
      <c r="S40"/>
      <c r="T40"/>
    </row>
    <row r="41" spans="1:20" ht="15" customHeight="1" thickBot="1" x14ac:dyDescent="0.2">
      <c r="A41" s="128"/>
      <c r="B41" s="92"/>
      <c r="C41" s="92"/>
      <c r="D41" s="93"/>
      <c r="E41" s="129"/>
      <c r="F41" s="197" t="s">
        <v>226</v>
      </c>
      <c r="G41" s="80">
        <v>0</v>
      </c>
      <c r="H41" s="80">
        <v>0</v>
      </c>
      <c r="I41" s="80">
        <v>0</v>
      </c>
      <c r="J41" s="80">
        <v>0</v>
      </c>
      <c r="K41" s="80">
        <v>1</v>
      </c>
      <c r="L41" s="80">
        <v>0</v>
      </c>
      <c r="M41" s="80">
        <v>1</v>
      </c>
      <c r="N41" s="80">
        <v>0</v>
      </c>
      <c r="O41" s="80">
        <v>1</v>
      </c>
      <c r="P41" s="70">
        <v>0</v>
      </c>
      <c r="Q41" s="80">
        <v>0</v>
      </c>
      <c r="R41" s="71">
        <v>1</v>
      </c>
      <c r="S41"/>
      <c r="T41"/>
    </row>
    <row r="42" spans="1:20" ht="15" customHeight="1" x14ac:dyDescent="0.15">
      <c r="A42" s="130"/>
      <c r="B42" s="131"/>
      <c r="C42" s="131" t="s">
        <v>162</v>
      </c>
      <c r="D42" s="131">
        <f>SUM(D32:D41)</f>
        <v>2046.1014</v>
      </c>
      <c r="E42" s="132">
        <f>SUM(E32:E41)</f>
        <v>1</v>
      </c>
      <c r="F42" s="197" t="s">
        <v>227</v>
      </c>
      <c r="G42" s="80">
        <v>0</v>
      </c>
      <c r="H42" s="80">
        <v>0</v>
      </c>
      <c r="I42" s="80">
        <v>0</v>
      </c>
      <c r="J42" s="80">
        <v>0</v>
      </c>
      <c r="K42" s="80">
        <v>1</v>
      </c>
      <c r="L42" s="80">
        <v>0</v>
      </c>
      <c r="M42" s="80">
        <v>1</v>
      </c>
      <c r="N42" s="80">
        <v>0</v>
      </c>
      <c r="O42" s="80">
        <v>1</v>
      </c>
      <c r="P42" s="70">
        <v>0</v>
      </c>
      <c r="Q42" s="80">
        <v>0</v>
      </c>
      <c r="R42" s="71">
        <v>1</v>
      </c>
      <c r="S42"/>
      <c r="T42"/>
    </row>
    <row r="43" spans="1:20" ht="15" customHeight="1" x14ac:dyDescent="0.15">
      <c r="A43" s="80"/>
      <c r="F43" s="197" t="s">
        <v>228</v>
      </c>
      <c r="G43" s="80">
        <v>0</v>
      </c>
      <c r="H43" s="80">
        <v>0</v>
      </c>
      <c r="I43" s="80">
        <v>0</v>
      </c>
      <c r="J43" s="80">
        <v>0</v>
      </c>
      <c r="K43" s="80">
        <v>1</v>
      </c>
      <c r="L43" s="80">
        <v>0</v>
      </c>
      <c r="M43" s="80">
        <v>1</v>
      </c>
      <c r="N43" s="80">
        <v>0</v>
      </c>
      <c r="O43" s="80">
        <v>1</v>
      </c>
      <c r="P43" s="70">
        <v>0</v>
      </c>
      <c r="Q43" s="80">
        <v>0</v>
      </c>
      <c r="R43" s="71">
        <v>1</v>
      </c>
      <c r="S43"/>
      <c r="T43"/>
    </row>
    <row r="44" spans="1:20" ht="15" customHeight="1" x14ac:dyDescent="0.15">
      <c r="A44" s="80"/>
      <c r="F44" s="197" t="s">
        <v>229</v>
      </c>
      <c r="G44" s="80">
        <v>0</v>
      </c>
      <c r="H44" s="80">
        <v>0</v>
      </c>
      <c r="I44" s="80">
        <v>0</v>
      </c>
      <c r="J44" s="80">
        <v>0</v>
      </c>
      <c r="K44" s="80">
        <v>0</v>
      </c>
      <c r="L44" s="80">
        <v>1</v>
      </c>
      <c r="M44" s="80">
        <v>0</v>
      </c>
      <c r="N44" s="80">
        <v>1</v>
      </c>
      <c r="O44" s="80">
        <v>0</v>
      </c>
      <c r="P44" s="70">
        <v>1</v>
      </c>
      <c r="Q44" s="80">
        <v>0</v>
      </c>
      <c r="R44" s="71">
        <v>1</v>
      </c>
    </row>
    <row r="45" spans="1:20" ht="15" customHeight="1" x14ac:dyDescent="0.15">
      <c r="A45" s="80"/>
      <c r="F45" s="197" t="s">
        <v>230</v>
      </c>
      <c r="G45" s="80">
        <v>0</v>
      </c>
      <c r="H45" s="80">
        <v>0</v>
      </c>
      <c r="I45" s="80">
        <v>0</v>
      </c>
      <c r="J45" s="80">
        <v>0</v>
      </c>
      <c r="K45" s="80">
        <v>0</v>
      </c>
      <c r="L45" s="80">
        <v>1</v>
      </c>
      <c r="M45" s="80">
        <v>0</v>
      </c>
      <c r="N45" s="80">
        <v>1</v>
      </c>
      <c r="O45" s="80">
        <v>0</v>
      </c>
      <c r="P45" s="70">
        <v>1</v>
      </c>
      <c r="Q45" s="80">
        <v>0</v>
      </c>
      <c r="R45" s="71">
        <v>1</v>
      </c>
    </row>
    <row r="46" spans="1:20" ht="15" customHeight="1" x14ac:dyDescent="0.15">
      <c r="A46" s="80"/>
      <c r="F46" s="197" t="s">
        <v>231</v>
      </c>
      <c r="G46" s="80">
        <v>0</v>
      </c>
      <c r="H46" s="80">
        <v>0</v>
      </c>
      <c r="I46" s="80">
        <v>0</v>
      </c>
      <c r="J46" s="80">
        <v>0</v>
      </c>
      <c r="K46" s="80">
        <v>1</v>
      </c>
      <c r="L46" s="80">
        <v>0</v>
      </c>
      <c r="M46" s="80">
        <v>1</v>
      </c>
      <c r="N46" s="80">
        <v>0</v>
      </c>
      <c r="O46" s="80">
        <v>1</v>
      </c>
      <c r="P46" s="70">
        <v>0</v>
      </c>
      <c r="Q46" s="80">
        <v>0</v>
      </c>
      <c r="R46" s="71">
        <v>1</v>
      </c>
    </row>
    <row r="47" spans="1:20" ht="15" customHeight="1" x14ac:dyDescent="0.15">
      <c r="A47" s="80"/>
      <c r="F47" s="197" t="s">
        <v>232</v>
      </c>
      <c r="G47" s="80">
        <v>0</v>
      </c>
      <c r="H47" s="80">
        <v>0</v>
      </c>
      <c r="I47" s="80">
        <v>0</v>
      </c>
      <c r="J47" s="80">
        <v>0</v>
      </c>
      <c r="K47" s="80">
        <v>1</v>
      </c>
      <c r="L47" s="80">
        <v>0</v>
      </c>
      <c r="M47" s="80">
        <v>1</v>
      </c>
      <c r="N47" s="80">
        <v>0</v>
      </c>
      <c r="O47" s="80">
        <v>1</v>
      </c>
      <c r="P47" s="70">
        <v>0</v>
      </c>
      <c r="Q47" s="80">
        <v>0</v>
      </c>
      <c r="R47" s="71">
        <v>1</v>
      </c>
    </row>
    <row r="48" spans="1:20" ht="15" customHeight="1" x14ac:dyDescent="0.15">
      <c r="A48" s="80"/>
      <c r="F48" s="197" t="s">
        <v>233</v>
      </c>
      <c r="G48" s="80">
        <v>0</v>
      </c>
      <c r="H48" s="80">
        <v>0</v>
      </c>
      <c r="I48" s="80">
        <v>0</v>
      </c>
      <c r="J48" s="80">
        <v>0</v>
      </c>
      <c r="K48" s="80">
        <v>1</v>
      </c>
      <c r="L48" s="80">
        <v>0</v>
      </c>
      <c r="M48" s="80">
        <v>1</v>
      </c>
      <c r="N48" s="80">
        <v>0</v>
      </c>
      <c r="O48" s="80">
        <v>1</v>
      </c>
      <c r="P48" s="70">
        <v>0</v>
      </c>
      <c r="Q48" s="80">
        <v>0</v>
      </c>
      <c r="R48" s="71">
        <v>1</v>
      </c>
    </row>
    <row r="49" spans="6:18" s="80" customFormat="1" ht="15" customHeight="1" x14ac:dyDescent="0.15">
      <c r="F49" s="197" t="s">
        <v>234</v>
      </c>
      <c r="G49" s="80">
        <v>0</v>
      </c>
      <c r="H49" s="80">
        <v>0</v>
      </c>
      <c r="I49" s="80">
        <v>0</v>
      </c>
      <c r="J49" s="80">
        <v>0</v>
      </c>
      <c r="K49" s="80">
        <v>0</v>
      </c>
      <c r="L49" s="80">
        <v>1</v>
      </c>
      <c r="M49" s="80">
        <v>0</v>
      </c>
      <c r="N49" s="80">
        <v>1</v>
      </c>
      <c r="O49" s="80">
        <v>0</v>
      </c>
      <c r="P49" s="70">
        <v>1</v>
      </c>
      <c r="Q49" s="80">
        <v>0</v>
      </c>
      <c r="R49" s="71">
        <v>1</v>
      </c>
    </row>
    <row r="50" spans="6:18" s="80" customFormat="1" ht="15" customHeight="1" x14ac:dyDescent="0.15">
      <c r="F50" s="197" t="s">
        <v>235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1</v>
      </c>
      <c r="M50" s="80">
        <v>0</v>
      </c>
      <c r="N50" s="80">
        <v>1</v>
      </c>
      <c r="O50" s="80">
        <v>0</v>
      </c>
      <c r="P50" s="70">
        <v>1</v>
      </c>
      <c r="Q50" s="80">
        <v>0</v>
      </c>
      <c r="R50" s="71">
        <v>1</v>
      </c>
    </row>
    <row r="51" spans="6:18" s="80" customFormat="1" ht="15" customHeight="1" x14ac:dyDescent="0.15">
      <c r="F51" s="197" t="s">
        <v>236</v>
      </c>
      <c r="G51" s="80">
        <v>0</v>
      </c>
      <c r="H51" s="80">
        <v>0</v>
      </c>
      <c r="I51" s="80">
        <v>0</v>
      </c>
      <c r="J51" s="80">
        <v>0</v>
      </c>
      <c r="K51" s="80">
        <v>0</v>
      </c>
      <c r="L51" s="80">
        <v>1</v>
      </c>
      <c r="M51" s="80">
        <v>0</v>
      </c>
      <c r="N51" s="80">
        <v>0</v>
      </c>
      <c r="O51" s="80">
        <v>0</v>
      </c>
      <c r="P51" s="70">
        <v>0</v>
      </c>
      <c r="Q51" s="80">
        <v>0</v>
      </c>
      <c r="R51" s="71">
        <v>1</v>
      </c>
    </row>
    <row r="52" spans="6:18" s="80" customFormat="1" ht="15" customHeight="1" x14ac:dyDescent="0.15">
      <c r="F52" s="197" t="s">
        <v>237</v>
      </c>
      <c r="G52" s="80">
        <v>0</v>
      </c>
      <c r="H52" s="80">
        <v>0</v>
      </c>
      <c r="I52" s="80">
        <v>0</v>
      </c>
      <c r="J52" s="80">
        <v>0</v>
      </c>
      <c r="K52" s="80">
        <v>0</v>
      </c>
      <c r="L52" s="80">
        <v>1</v>
      </c>
      <c r="M52" s="80">
        <v>0</v>
      </c>
      <c r="N52" s="80">
        <v>0</v>
      </c>
      <c r="O52" s="80">
        <v>0</v>
      </c>
      <c r="P52" s="70">
        <v>0</v>
      </c>
      <c r="Q52" s="80">
        <v>0</v>
      </c>
      <c r="R52" s="71">
        <v>1</v>
      </c>
    </row>
    <row r="53" spans="6:18" s="80" customFormat="1" ht="15" customHeight="1" x14ac:dyDescent="0.15">
      <c r="F53" s="197" t="s">
        <v>238</v>
      </c>
      <c r="G53" s="80">
        <v>0</v>
      </c>
      <c r="H53" s="80">
        <v>0</v>
      </c>
      <c r="I53" s="80">
        <v>0</v>
      </c>
      <c r="J53" s="80">
        <v>0</v>
      </c>
      <c r="K53" s="80">
        <v>0</v>
      </c>
      <c r="L53" s="80">
        <v>1</v>
      </c>
      <c r="M53" s="80">
        <v>0</v>
      </c>
      <c r="N53" s="80">
        <v>0</v>
      </c>
      <c r="O53" s="80">
        <v>0</v>
      </c>
      <c r="P53" s="70">
        <v>0</v>
      </c>
      <c r="Q53" s="80">
        <v>0</v>
      </c>
      <c r="R53" s="71">
        <v>1</v>
      </c>
    </row>
    <row r="54" spans="6:18" s="80" customFormat="1" ht="15" customHeight="1" x14ac:dyDescent="0.15">
      <c r="F54" s="197" t="s">
        <v>239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80">
        <v>1</v>
      </c>
      <c r="M54" s="80">
        <v>0</v>
      </c>
      <c r="N54" s="80">
        <v>0</v>
      </c>
      <c r="O54" s="80">
        <v>0</v>
      </c>
      <c r="P54" s="70">
        <v>0</v>
      </c>
      <c r="Q54" s="80">
        <v>0</v>
      </c>
      <c r="R54" s="71">
        <v>1</v>
      </c>
    </row>
    <row r="55" spans="6:18" s="80" customFormat="1" ht="15" customHeight="1" x14ac:dyDescent="0.15">
      <c r="F55" s="197" t="s">
        <v>240</v>
      </c>
      <c r="G55" s="80">
        <v>0</v>
      </c>
      <c r="H55" s="80">
        <v>0</v>
      </c>
      <c r="I55" s="80">
        <v>0</v>
      </c>
      <c r="J55" s="80">
        <v>0</v>
      </c>
      <c r="K55" s="80">
        <v>0</v>
      </c>
      <c r="L55" s="80">
        <v>1</v>
      </c>
      <c r="M55" s="80">
        <v>0</v>
      </c>
      <c r="N55" s="80">
        <v>0</v>
      </c>
      <c r="O55" s="80">
        <v>0</v>
      </c>
      <c r="P55" s="70">
        <v>0</v>
      </c>
      <c r="Q55" s="80">
        <v>0</v>
      </c>
      <c r="R55" s="71">
        <v>1</v>
      </c>
    </row>
    <row r="56" spans="6:18" s="80" customFormat="1" ht="15" customHeight="1" x14ac:dyDescent="0.15">
      <c r="F56" s="197" t="s">
        <v>195</v>
      </c>
      <c r="G56" s="80">
        <v>0</v>
      </c>
      <c r="H56" s="80">
        <v>0</v>
      </c>
      <c r="I56" s="80">
        <v>0</v>
      </c>
      <c r="J56" s="80">
        <v>0</v>
      </c>
      <c r="K56" s="80">
        <v>0</v>
      </c>
      <c r="L56" s="80">
        <v>1</v>
      </c>
      <c r="M56" s="80">
        <v>0</v>
      </c>
      <c r="N56" s="80">
        <v>0</v>
      </c>
      <c r="O56" s="80">
        <v>0</v>
      </c>
      <c r="P56" s="70">
        <v>0</v>
      </c>
      <c r="Q56" s="80">
        <v>0</v>
      </c>
      <c r="R56" s="71">
        <v>1</v>
      </c>
    </row>
    <row r="57" spans="6:18" s="80" customFormat="1" ht="15" customHeight="1" x14ac:dyDescent="0.15">
      <c r="F57" s="197" t="s">
        <v>241</v>
      </c>
      <c r="G57" s="80">
        <v>0</v>
      </c>
      <c r="H57" s="80">
        <v>0</v>
      </c>
      <c r="I57" s="80">
        <v>0</v>
      </c>
      <c r="J57" s="80">
        <v>0</v>
      </c>
      <c r="K57" s="80">
        <v>0</v>
      </c>
      <c r="L57" s="80">
        <v>1</v>
      </c>
      <c r="M57" s="80">
        <v>0</v>
      </c>
      <c r="N57" s="80">
        <v>0</v>
      </c>
      <c r="O57" s="80">
        <v>0</v>
      </c>
      <c r="P57" s="70">
        <v>0</v>
      </c>
      <c r="Q57" s="80">
        <v>0</v>
      </c>
      <c r="R57" s="71">
        <v>1</v>
      </c>
    </row>
    <row r="58" spans="6:18" s="80" customFormat="1" ht="15" customHeight="1" x14ac:dyDescent="0.15">
      <c r="F58" s="197" t="s">
        <v>196</v>
      </c>
      <c r="G58" s="80">
        <v>0</v>
      </c>
      <c r="H58" s="80">
        <v>0</v>
      </c>
      <c r="I58" s="80">
        <v>0</v>
      </c>
      <c r="J58" s="80">
        <v>0</v>
      </c>
      <c r="K58" s="80">
        <v>0</v>
      </c>
      <c r="L58" s="80">
        <v>1</v>
      </c>
      <c r="M58" s="80">
        <v>0</v>
      </c>
      <c r="N58" s="80">
        <v>0</v>
      </c>
      <c r="O58" s="80">
        <v>0</v>
      </c>
      <c r="P58" s="70">
        <v>0</v>
      </c>
      <c r="Q58" s="80">
        <v>0</v>
      </c>
      <c r="R58" s="71">
        <v>1</v>
      </c>
    </row>
    <row r="59" spans="6:18" s="80" customFormat="1" ht="15" customHeight="1" x14ac:dyDescent="0.15">
      <c r="F59" s="197" t="s">
        <v>242</v>
      </c>
      <c r="G59" s="80">
        <v>0</v>
      </c>
      <c r="H59" s="80">
        <v>0</v>
      </c>
      <c r="I59" s="80">
        <v>0</v>
      </c>
      <c r="J59" s="80">
        <v>0</v>
      </c>
      <c r="K59" s="80">
        <v>0</v>
      </c>
      <c r="L59" s="80">
        <v>1</v>
      </c>
      <c r="M59" s="80">
        <v>0</v>
      </c>
      <c r="N59" s="80">
        <v>0</v>
      </c>
      <c r="O59" s="80">
        <v>0</v>
      </c>
      <c r="P59" s="70">
        <v>0</v>
      </c>
      <c r="Q59" s="80">
        <v>0</v>
      </c>
      <c r="R59" s="71">
        <v>1</v>
      </c>
    </row>
    <row r="60" spans="6:18" s="80" customFormat="1" ht="15" customHeight="1" x14ac:dyDescent="0.15">
      <c r="F60" s="197" t="s">
        <v>243</v>
      </c>
      <c r="G60" s="80">
        <v>0</v>
      </c>
      <c r="H60" s="80">
        <v>0</v>
      </c>
      <c r="I60" s="80">
        <v>0</v>
      </c>
      <c r="J60" s="80">
        <v>0</v>
      </c>
      <c r="K60" s="80">
        <v>0</v>
      </c>
      <c r="L60" s="80">
        <v>1</v>
      </c>
      <c r="M60" s="80">
        <v>0</v>
      </c>
      <c r="N60" s="80">
        <v>0</v>
      </c>
      <c r="O60" s="80">
        <v>0</v>
      </c>
      <c r="P60" s="70">
        <v>0</v>
      </c>
      <c r="Q60" s="80">
        <v>0</v>
      </c>
      <c r="R60" s="71">
        <v>1</v>
      </c>
    </row>
    <row r="61" spans="6:18" s="80" customFormat="1" ht="15" customHeight="1" x14ac:dyDescent="0.15">
      <c r="F61" s="197" t="s">
        <v>244</v>
      </c>
      <c r="G61" s="80">
        <v>0</v>
      </c>
      <c r="H61" s="80">
        <v>0</v>
      </c>
      <c r="I61" s="80">
        <v>0</v>
      </c>
      <c r="J61" s="80">
        <v>0</v>
      </c>
      <c r="K61" s="80">
        <v>0</v>
      </c>
      <c r="L61" s="80">
        <v>1</v>
      </c>
      <c r="M61" s="80">
        <v>0</v>
      </c>
      <c r="N61" s="80">
        <v>0</v>
      </c>
      <c r="O61" s="80">
        <v>0</v>
      </c>
      <c r="P61" s="70">
        <v>0</v>
      </c>
      <c r="Q61" s="80">
        <v>0</v>
      </c>
      <c r="R61" s="71">
        <v>1</v>
      </c>
    </row>
    <row r="62" spans="6:18" s="80" customFormat="1" ht="15" customHeight="1" x14ac:dyDescent="0.15">
      <c r="F62" s="197" t="s">
        <v>245</v>
      </c>
      <c r="G62" s="80">
        <v>0</v>
      </c>
      <c r="H62" s="80">
        <v>0</v>
      </c>
      <c r="I62" s="80">
        <v>0</v>
      </c>
      <c r="J62" s="80">
        <v>0</v>
      </c>
      <c r="K62" s="80">
        <v>0</v>
      </c>
      <c r="L62" s="80">
        <v>1</v>
      </c>
      <c r="M62" s="80">
        <v>0</v>
      </c>
      <c r="N62" s="80">
        <v>0</v>
      </c>
      <c r="O62" s="80">
        <v>0</v>
      </c>
      <c r="P62" s="70">
        <v>0</v>
      </c>
      <c r="Q62" s="80">
        <v>0</v>
      </c>
      <c r="R62" s="71">
        <v>1</v>
      </c>
    </row>
    <row r="63" spans="6:18" s="80" customFormat="1" ht="15" customHeight="1" x14ac:dyDescent="0.15">
      <c r="F63" s="197" t="s">
        <v>246</v>
      </c>
      <c r="G63" s="80">
        <v>0</v>
      </c>
      <c r="H63" s="80">
        <v>0</v>
      </c>
      <c r="I63" s="80">
        <v>0</v>
      </c>
      <c r="J63" s="80">
        <v>0</v>
      </c>
      <c r="K63" s="80">
        <v>0</v>
      </c>
      <c r="L63" s="80">
        <v>1</v>
      </c>
      <c r="M63" s="80">
        <v>0</v>
      </c>
      <c r="N63" s="80">
        <v>0</v>
      </c>
      <c r="O63" s="80">
        <v>0</v>
      </c>
      <c r="P63" s="70">
        <v>0</v>
      </c>
      <c r="Q63" s="80">
        <v>0</v>
      </c>
      <c r="R63" s="71">
        <v>1</v>
      </c>
    </row>
    <row r="64" spans="6:18" s="8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N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8" customWidth="1"/>
    <col min="3" max="5" width="7.83203125" style="108" customWidth="1"/>
    <col min="6" max="8" width="8.83203125" style="6"/>
    <col min="9" max="9" width="12.83203125" style="6" customWidth="1"/>
    <col min="10" max="10" width="12" style="6" customWidth="1"/>
    <col min="11" max="11" width="10.6640625" style="6" customWidth="1"/>
    <col min="12" max="12" width="10.33203125" style="6" customWidth="1"/>
    <col min="13" max="13" width="6.1640625" style="6" customWidth="1"/>
    <col min="14" max="14" width="8.33203125" style="6" customWidth="1"/>
    <col min="15" max="16" width="10.33203125" style="6" customWidth="1"/>
    <col min="17" max="17" width="7.83203125" style="6" customWidth="1"/>
    <col min="18" max="18" width="13" style="6" customWidth="1"/>
    <col min="19" max="19" width="12.5" style="6" customWidth="1"/>
    <col min="20" max="20" width="9" style="6" customWidth="1"/>
    <col min="21" max="21" width="13.33203125" style="6" customWidth="1"/>
    <col min="22" max="22" width="11.83203125" style="6" customWidth="1"/>
    <col min="23" max="23" width="13.33203125" style="6" customWidth="1"/>
    <col min="24" max="24" width="13.5" style="6" customWidth="1"/>
    <col min="25" max="25" width="12.1640625" style="6" customWidth="1"/>
    <col min="26" max="26" width="13.5" style="6" customWidth="1"/>
    <col min="27" max="27" width="13" style="6" customWidth="1"/>
    <col min="28" max="28" width="13.5" style="6" customWidth="1"/>
    <col min="29" max="29" width="17.33203125" style="6" customWidth="1"/>
    <col min="30" max="30" width="13.6640625" style="6" customWidth="1"/>
    <col min="31" max="31" width="15.1640625" style="6" customWidth="1"/>
    <col min="32" max="32" width="10.83203125" style="6" customWidth="1"/>
    <col min="33" max="33" width="14.5" style="6" customWidth="1"/>
    <col min="34" max="34" width="13" style="6" customWidth="1"/>
    <col min="35" max="35" width="11.6640625" style="6" customWidth="1"/>
    <col min="36" max="36" width="13.1640625" style="6" customWidth="1"/>
    <col min="37" max="37" width="13.5" style="6" customWidth="1"/>
    <col min="38" max="38" width="12.83203125" style="6" customWidth="1"/>
    <col min="39" max="39" width="12.6640625" customWidth="1"/>
    <col min="40" max="40" width="11.5" customWidth="1"/>
    <col min="41" max="41" width="11.83203125" customWidth="1"/>
    <col min="42" max="42" width="11.33203125" customWidth="1"/>
    <col min="43" max="43" width="4.83203125" customWidth="1"/>
    <col min="44" max="44" width="9" customWidth="1"/>
    <col min="45" max="45" width="8.5" customWidth="1"/>
    <col min="46" max="46" width="5.83203125" customWidth="1"/>
    <col min="47" max="47" width="6.5" customWidth="1"/>
    <col min="48" max="48" width="5.33203125" customWidth="1"/>
    <col min="49" max="49" width="13" customWidth="1"/>
    <col min="50" max="50" width="8.5" customWidth="1"/>
    <col min="51" max="51" width="11.5" customWidth="1"/>
    <col min="52" max="52" width="7.6640625" customWidth="1"/>
    <col min="53" max="53" width="21.6640625" customWidth="1"/>
    <col min="54" max="54" width="8" customWidth="1"/>
    <col min="55" max="55" width="9.1640625" customWidth="1"/>
    <col min="56" max="56" width="11.83203125" customWidth="1"/>
    <col min="57" max="57" width="8.5" customWidth="1"/>
    <col min="58" max="58" width="7.5" customWidth="1"/>
    <col min="59" max="59" width="6.1640625" customWidth="1"/>
    <col min="60" max="60" width="13" customWidth="1"/>
    <col min="61" max="61" width="8.33203125" customWidth="1"/>
    <col min="62" max="62" width="6" customWidth="1"/>
    <col min="63" max="63" width="12.5" customWidth="1"/>
    <col min="64" max="64" width="9.33203125" customWidth="1"/>
    <col min="65" max="65" width="5.33203125" customWidth="1"/>
    <col min="66" max="66" width="13" customWidth="1"/>
    <col min="81" max="81" width="22.1640625" bestFit="1" customWidth="1"/>
  </cols>
  <sheetData>
    <row r="1" spans="1:66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2" t="s">
        <v>192</v>
      </c>
      <c r="J1" s="202" t="s">
        <v>67</v>
      </c>
      <c r="K1" s="202" t="s">
        <v>193</v>
      </c>
      <c r="L1" s="202" t="s">
        <v>194</v>
      </c>
      <c r="M1" s="202" t="s">
        <v>195</v>
      </c>
      <c r="N1" s="202" t="s">
        <v>196</v>
      </c>
      <c r="O1" s="202" t="s">
        <v>197</v>
      </c>
      <c r="P1" s="202" t="s">
        <v>198</v>
      </c>
      <c r="Q1" s="202" t="s">
        <v>199</v>
      </c>
      <c r="R1" s="202" t="s">
        <v>200</v>
      </c>
      <c r="S1" s="202" t="s">
        <v>201</v>
      </c>
      <c r="T1" s="202" t="s">
        <v>202</v>
      </c>
      <c r="U1" s="202" t="s">
        <v>203</v>
      </c>
      <c r="V1" s="202" t="s">
        <v>204</v>
      </c>
      <c r="W1" s="202" t="s">
        <v>205</v>
      </c>
      <c r="X1" s="202" t="s">
        <v>206</v>
      </c>
      <c r="Y1" s="202" t="s">
        <v>207</v>
      </c>
      <c r="Z1" s="202" t="s">
        <v>208</v>
      </c>
      <c r="AA1" s="202" t="s">
        <v>209</v>
      </c>
      <c r="AB1" s="202" t="s">
        <v>210</v>
      </c>
      <c r="AC1" s="202" t="s">
        <v>211</v>
      </c>
      <c r="AD1" s="202" t="s">
        <v>212</v>
      </c>
      <c r="AE1" s="202" t="s">
        <v>213</v>
      </c>
      <c r="AF1" s="202" t="s">
        <v>214</v>
      </c>
      <c r="AG1" s="202" t="s">
        <v>215</v>
      </c>
      <c r="AH1" s="202" t="s">
        <v>216</v>
      </c>
      <c r="AI1" s="202" t="s">
        <v>217</v>
      </c>
      <c r="AJ1" s="202" t="s">
        <v>218</v>
      </c>
      <c r="AK1" s="202" t="s">
        <v>219</v>
      </c>
      <c r="AL1" s="202" t="s">
        <v>220</v>
      </c>
      <c r="AM1" s="202" t="s">
        <v>221</v>
      </c>
      <c r="AN1" s="202" t="s">
        <v>222</v>
      </c>
      <c r="AO1" s="202" t="s">
        <v>223</v>
      </c>
      <c r="AP1" s="202" t="s">
        <v>224</v>
      </c>
      <c r="AQ1" s="202" t="s">
        <v>225</v>
      </c>
      <c r="AR1" s="202" t="s">
        <v>226</v>
      </c>
      <c r="AS1" s="202" t="s">
        <v>227</v>
      </c>
      <c r="AT1" s="202" t="s">
        <v>228</v>
      </c>
      <c r="AU1" s="202" t="s">
        <v>229</v>
      </c>
      <c r="AV1" s="202" t="s">
        <v>230</v>
      </c>
      <c r="AW1" s="202" t="s">
        <v>231</v>
      </c>
      <c r="AX1" s="202" t="s">
        <v>232</v>
      </c>
      <c r="AY1" s="202" t="s">
        <v>233</v>
      </c>
      <c r="AZ1" s="202" t="s">
        <v>234</v>
      </c>
      <c r="BA1" s="202" t="s">
        <v>235</v>
      </c>
      <c r="BB1" s="202" t="s">
        <v>236</v>
      </c>
      <c r="BC1" s="202" t="s">
        <v>237</v>
      </c>
      <c r="BD1" s="202" t="s">
        <v>238</v>
      </c>
      <c r="BE1" s="202" t="s">
        <v>239</v>
      </c>
      <c r="BF1" s="202" t="s">
        <v>240</v>
      </c>
      <c r="BG1" s="202" t="s">
        <v>195</v>
      </c>
      <c r="BH1" s="202" t="s">
        <v>241</v>
      </c>
      <c r="BI1" s="202" t="s">
        <v>196</v>
      </c>
      <c r="BJ1" s="202" t="s">
        <v>242</v>
      </c>
      <c r="BK1" s="202" t="s">
        <v>243</v>
      </c>
      <c r="BL1" s="202" t="s">
        <v>244</v>
      </c>
      <c r="BM1" s="202" t="s">
        <v>245</v>
      </c>
      <c r="BN1" s="202" t="s">
        <v>246</v>
      </c>
    </row>
    <row r="2" spans="1:66" x14ac:dyDescent="0.15">
      <c r="A2" t="s">
        <v>38</v>
      </c>
      <c r="B2" s="10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66" x14ac:dyDescent="0.15">
      <c r="A3" t="s">
        <v>40</v>
      </c>
      <c r="B3" s="10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66" x14ac:dyDescent="0.15">
      <c r="A4" t="s">
        <v>41</v>
      </c>
      <c r="B4" s="10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66" x14ac:dyDescent="0.15">
      <c r="A5" s="201" t="s">
        <v>192</v>
      </c>
      <c r="B5" s="10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66" x14ac:dyDescent="0.15">
      <c r="A6" s="201" t="s">
        <v>67</v>
      </c>
      <c r="B6" s="10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66" x14ac:dyDescent="0.15">
      <c r="A7" s="201" t="s">
        <v>193</v>
      </c>
      <c r="B7" s="10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66" x14ac:dyDescent="0.15">
      <c r="A8" s="201" t="s">
        <v>194</v>
      </c>
      <c r="B8" s="10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66" x14ac:dyDescent="0.15">
      <c r="A9" s="201" t="s">
        <v>195</v>
      </c>
      <c r="B9" s="10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66" x14ac:dyDescent="0.15">
      <c r="A10" s="201" t="s">
        <v>196</v>
      </c>
      <c r="B10" s="10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66" x14ac:dyDescent="0.15">
      <c r="A11" s="201" t="s">
        <v>197</v>
      </c>
      <c r="B11" s="10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66" x14ac:dyDescent="0.15">
      <c r="A12" s="201" t="s">
        <v>198</v>
      </c>
      <c r="B12" s="10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66" x14ac:dyDescent="0.15">
      <c r="A13" s="201" t="s">
        <v>199</v>
      </c>
      <c r="B13" s="10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66" x14ac:dyDescent="0.15">
      <c r="A14" s="201" t="s">
        <v>200</v>
      </c>
      <c r="B14" s="10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66" x14ac:dyDescent="0.15">
      <c r="A15" s="201" t="s">
        <v>201</v>
      </c>
      <c r="B15" s="10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66" x14ac:dyDescent="0.15">
      <c r="A16" s="201" t="s">
        <v>202</v>
      </c>
      <c r="B16" s="10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1" t="s">
        <v>203</v>
      </c>
      <c r="B17" s="10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1" t="s">
        <v>204</v>
      </c>
      <c r="B18" s="10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1" t="s">
        <v>205</v>
      </c>
      <c r="B19" s="108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1" t="s">
        <v>206</v>
      </c>
      <c r="B20" s="108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1" t="s">
        <v>207</v>
      </c>
      <c r="B21" s="108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1" t="s">
        <v>208</v>
      </c>
      <c r="B22" s="108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1" t="s">
        <v>209</v>
      </c>
      <c r="B23" s="108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1" t="s">
        <v>210</v>
      </c>
      <c r="B24" s="108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1" t="s">
        <v>211</v>
      </c>
      <c r="B25" s="108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1" t="s">
        <v>212</v>
      </c>
      <c r="B26" s="108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1" t="s">
        <v>213</v>
      </c>
      <c r="B27" s="108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1" t="s">
        <v>214</v>
      </c>
      <c r="B28" s="108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1" t="s">
        <v>215</v>
      </c>
      <c r="B29" s="108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1" t="s">
        <v>216</v>
      </c>
      <c r="B30" s="108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1" t="s">
        <v>217</v>
      </c>
      <c r="B31" s="108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1" t="s">
        <v>218</v>
      </c>
      <c r="B32" s="108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1" t="s">
        <v>219</v>
      </c>
      <c r="B33" s="108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1" t="s">
        <v>220</v>
      </c>
      <c r="B34" s="108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1" t="s">
        <v>221</v>
      </c>
      <c r="B35" s="108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1" t="s">
        <v>222</v>
      </c>
      <c r="B36" s="108">
        <v>0</v>
      </c>
      <c r="C36"/>
      <c r="D36"/>
    </row>
    <row r="37" spans="1:38" ht="15" customHeight="1" x14ac:dyDescent="0.15">
      <c r="A37" s="201" t="s">
        <v>223</v>
      </c>
      <c r="B37" s="108">
        <v>0</v>
      </c>
      <c r="C37"/>
      <c r="D37"/>
    </row>
    <row r="38" spans="1:38" ht="15" customHeight="1" x14ac:dyDescent="0.15">
      <c r="A38" s="201" t="s">
        <v>224</v>
      </c>
      <c r="B38" s="108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1" t="s">
        <v>225</v>
      </c>
      <c r="B39" s="108">
        <v>0</v>
      </c>
      <c r="C39"/>
      <c r="D39"/>
    </row>
    <row r="40" spans="1:38" ht="15" customHeight="1" x14ac:dyDescent="0.15">
      <c r="A40" s="201" t="s">
        <v>226</v>
      </c>
      <c r="B40" s="108">
        <v>0</v>
      </c>
      <c r="C40"/>
      <c r="D40"/>
    </row>
    <row r="41" spans="1:38" ht="15" customHeight="1" x14ac:dyDescent="0.15">
      <c r="A41" s="201" t="s">
        <v>227</v>
      </c>
      <c r="B41" s="108">
        <v>0</v>
      </c>
      <c r="C41"/>
      <c r="D41"/>
    </row>
    <row r="42" spans="1:38" ht="15" customHeight="1" x14ac:dyDescent="0.15">
      <c r="A42" s="201" t="s">
        <v>228</v>
      </c>
      <c r="B42" s="108">
        <v>0</v>
      </c>
    </row>
    <row r="43" spans="1:38" ht="15" customHeight="1" x14ac:dyDescent="0.15">
      <c r="A43" s="201" t="s">
        <v>229</v>
      </c>
      <c r="B43" s="108">
        <v>0</v>
      </c>
    </row>
    <row r="44" spans="1:38" ht="15" customHeight="1" x14ac:dyDescent="0.15">
      <c r="A44" s="201" t="s">
        <v>230</v>
      </c>
      <c r="B44" s="108">
        <v>0</v>
      </c>
    </row>
    <row r="45" spans="1:38" ht="15" customHeight="1" x14ac:dyDescent="0.15">
      <c r="A45" s="201" t="s">
        <v>231</v>
      </c>
      <c r="B45" s="108">
        <v>0</v>
      </c>
    </row>
    <row r="46" spans="1:38" ht="15" customHeight="1" x14ac:dyDescent="0.15">
      <c r="A46" s="201" t="s">
        <v>232</v>
      </c>
      <c r="B46" s="108">
        <v>0</v>
      </c>
    </row>
    <row r="47" spans="1:38" ht="15" customHeight="1" x14ac:dyDescent="0.15">
      <c r="A47" s="201" t="s">
        <v>233</v>
      </c>
      <c r="B47" s="108">
        <v>0</v>
      </c>
    </row>
    <row r="48" spans="1:38" ht="15" customHeight="1" x14ac:dyDescent="0.15">
      <c r="A48" s="201" t="s">
        <v>234</v>
      </c>
      <c r="B48" s="108">
        <v>0</v>
      </c>
    </row>
    <row r="49" spans="1:38" ht="15" customHeight="1" x14ac:dyDescent="0.15">
      <c r="A49" s="201" t="s">
        <v>235</v>
      </c>
      <c r="B49" s="108">
        <v>0</v>
      </c>
    </row>
    <row r="50" spans="1:38" ht="15" customHeight="1" x14ac:dyDescent="0.15">
      <c r="A50" s="201" t="s">
        <v>236</v>
      </c>
      <c r="B50" s="108">
        <v>0</v>
      </c>
    </row>
    <row r="51" spans="1:38" ht="15" customHeight="1" x14ac:dyDescent="0.15">
      <c r="A51" s="201" t="s">
        <v>237</v>
      </c>
      <c r="B51" s="108">
        <v>0</v>
      </c>
    </row>
    <row r="52" spans="1:38" ht="15" customHeight="1" x14ac:dyDescent="0.15">
      <c r="A52" s="201" t="s">
        <v>238</v>
      </c>
      <c r="B52" s="108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1" t="s">
        <v>239</v>
      </c>
      <c r="B53" s="108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1" t="s">
        <v>240</v>
      </c>
      <c r="B54" s="108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1" t="s">
        <v>195</v>
      </c>
      <c r="B55" s="108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1" t="s">
        <v>241</v>
      </c>
      <c r="B56" s="108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1" t="s">
        <v>196</v>
      </c>
      <c r="B57" s="108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1" t="s">
        <v>242</v>
      </c>
      <c r="B58" s="108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1" t="s">
        <v>243</v>
      </c>
      <c r="B59" s="108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1" t="s">
        <v>244</v>
      </c>
      <c r="B60" s="108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1" t="s">
        <v>245</v>
      </c>
      <c r="B61" s="108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1" t="s">
        <v>246</v>
      </c>
      <c r="B62" s="108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2022-10-23T23:47:56Z</dcterms:modified>
</cp:coreProperties>
</file>