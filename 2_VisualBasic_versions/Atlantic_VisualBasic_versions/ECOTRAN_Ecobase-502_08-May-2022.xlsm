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32FFDCBD-9F93-9A4F-98C1-7F767AAE5872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Main!$C$2:$N$32</definedName>
    <definedName name="matDetritus">Detritus!$C$2:$E$32</definedName>
    <definedName name="matDiet">Diets!$B$2:$Z$29</definedName>
    <definedName name="matDiscards">Discards!$C$2:$F$28</definedName>
    <definedName name="matFishery">Fishing!$C$2:$F$28</definedName>
    <definedName name="matFishing">Fishing!#REF!</definedName>
    <definedName name="matMort">Mortalities!$A$1:$AH$28</definedName>
    <definedName name="matOut">MainOutputs!$A$2:$I$32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<sst xmlns="http://schemas.openxmlformats.org/spreadsheetml/2006/main" count="908" uniqueCount="231">
  <si>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</si>
  <si>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</si>
  <si>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</si>
  <si>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</si>
  <si>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</si>
  <si>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</si>
  <si>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</si>
  <si>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</si>
  <si>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</si>
  <si>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</si>
  <si>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</si>
  <si>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</si>
  <si>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</si>
  <si>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</si>
  <si>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</si>
  <si>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</si>
  <si>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</si>
  <si>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</si>
  <si>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</si>
  <si>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</si>
  <si>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</si>
  <si>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</si>
  <si>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</si>
  <si>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</si>
  <si>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</si>
  <si>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</si>
  <si>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</si>
  <si>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</si>
  <si>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</si>
  <si>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</si>
  <si>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</si>
  <si>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</si>
  <si>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</si>
  <si>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</si>
  <si>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</si>
  <si>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</si>
  <si>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</si>
  <si>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</si>
  <si>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</si>
  <si>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</si>
  <si>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</si>
  <si>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</si>
  <si>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</si>
  <si>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</si>
  <si>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</si>
  <si>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</si>
  <si>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</si>
  <si>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</si>
  <si>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</si>
  <si>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</si>
  <si>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</si>
  <si>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</si>
  <si>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</si>
  <si>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</si>
  <si>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</si>
  <si>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</si>
  <si>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</si>
  <si>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</si>
  <si>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</si>
  <si>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</si>
  <si>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</si>
  <si>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</si>
  <si>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</si>
  <si>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</si>
  <si>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</si>
  <si>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</si>
  <si>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</si>
  <si>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</si>
  <si>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</si>
  <si>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</si>
  <si>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</si>
  <si>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</si>
  <si>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</si>
  <si>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</si>
  <si>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</si>
  <si>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</si>
  <si>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</si>
  <si>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</si>
  <si>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</si>
  <si>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</si>
  <si>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</si>
  <si>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</si>
  <si>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</si>
  <si>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</si>
  <si>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</si>
  <si>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</si>
  <si>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</si>
  <si>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</si>
  <si>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</si>
  <si>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</si>
  <si>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</si>
  <si>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</si>
  <si>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</si>
  <si>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</si>
  <si>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</si>
  <si>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</si>
  <si>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</si>
  <si>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</si>
  <si>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</si>
  <si>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</si>
  <si>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</si>
  <si>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</si>
  <si>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</si>
  <si>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</si>
  <si>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</si>
  <si>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</si>
  <si>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</si>
  <si>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</si>
  <si>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</si>
  <si>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</si>
  <si>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</si>
  <si>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</si>
  <si>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</si>
  <si>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</si>
  <si>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</si>
  <si>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</si>
  <si>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</si>
  <si>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</si>
  <si>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</si>
  <si>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</si>
  <si>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</si>
  <si>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</si>
  <si>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</si>
  <si>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</si>
  <si>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</si>
  <si>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</si>
  <si>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</si>
  <si>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</si>
  <si>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</si>
  <si>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</si>
  <si>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</si>
  <si>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</si>
  <si>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</si>
  <si>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</si>
  <si>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</si>
  <si>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</si>
  <si>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</si>
  <si>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</si>
  <si>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</si>
  <si>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</si>
  <si>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</si>
  <si>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</si>
  <si>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</si>
  <si>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</si>
  <si>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</si>
  <si>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</si>
  <si>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</si>
  <si>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</si>
  <si>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</si>
  <si>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</si>
  <si>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</si>
  <si>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</si>
  <si>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</si>
  <si>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</si>
  <si>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</si>
  <si>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</si>
  <si>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</si>
  <si>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</si>
  <si>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</si>
  <si>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</si>
  <si>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</si>
  <si>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</si>
  <si>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</si>
  <si>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</si>
  <si>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</si>
  <si>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</si>
  <si>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cephalopods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</si>
  <si>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</si>
  <si>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</si>
  <si>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</si>
  <si>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</si>
  <si>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</si>
  <si>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</si>
  <si>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</si>
  <si>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</si>
  <si>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</si>
  <si>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</si>
  <si>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</si>
  <si>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</si>
  <si>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</si>
  <si>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</si>
  <si>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</si>
  <si>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</si>
  <si>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</si>
  <si>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</si>
  <si>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</si>
  <si>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 Benguela</t>
  </si>
  <si>
    <t>Namibia</t>
  </si>
  <si>
    <t>BOX(10.7685524326509 -26.1858850548363,16.0824484205916 -16.060758915652)</t>
  </si>
  <si>
    <t>upwelling</t>
  </si>
  <si>
    <t>WetWeight</t>
  </si>
  <si>
    <t>; 28/09/2007 13:32:49; 28/09/2007 14:42:58; 11/10/2007 22:08:23; 2008/01/15 09:24:50 AM; 07/01/2011 11:20:51 AM</t>
  </si>
  <si>
    <t>Watermeyer K.E.,Shannon L.J.,Roux J.P.,Griffiths C.L.(2008). Changes in the trophic structure of the northern Benguela before and after the onset of industrial fishing African Journal of Marine Science. pp 383-403</t>
  </si>
  <si>
    <t>Phytoplankton</t>
  </si>
  <si>
    <t>Microzooplankto</t>
  </si>
  <si>
    <t>Mesozooplankton</t>
  </si>
  <si>
    <t>Macrozooplankto</t>
  </si>
  <si>
    <t>Gelatinous zoop</t>
  </si>
  <si>
    <t>Meiobenthos</t>
  </si>
  <si>
    <t>Macrobenthos</t>
  </si>
  <si>
    <t>Sardine</t>
  </si>
  <si>
    <t>Anchovy</t>
  </si>
  <si>
    <t>Pelagic Goby</t>
  </si>
  <si>
    <t>Mesopelagics</t>
  </si>
  <si>
    <t>Other small pel</t>
  </si>
  <si>
    <t>Juvenile horse</t>
  </si>
  <si>
    <t>Adult horse mac</t>
  </si>
  <si>
    <t>Large pelagics</t>
  </si>
  <si>
    <t>Small M. capens</t>
  </si>
  <si>
    <t>Large M. capens</t>
  </si>
  <si>
    <t>Large M. parado</t>
  </si>
  <si>
    <t>Benthic-feeding</t>
  </si>
  <si>
    <t>Pelagic-feeding</t>
  </si>
  <si>
    <t>Chondrichthyans</t>
  </si>
  <si>
    <t>Seabirds</t>
  </si>
  <si>
    <t>Seals</t>
  </si>
  <si>
    <t>Cetaceans</t>
  </si>
  <si>
    <t>Detritus</t>
  </si>
  <si>
    <t>detritus_TerminalBenthic</t>
  </si>
  <si>
    <t>pelagic</t>
  </si>
  <si>
    <t>demersal</t>
  </si>
  <si>
    <t>linefish</t>
  </si>
  <si>
    <t>sealing</t>
  </si>
  <si>
    <t>Import</t>
  </si>
  <si>
    <t>export</t>
  </si>
  <si>
    <t>sum</t>
  </si>
  <si>
    <t>TOTAL</t>
  </si>
  <si>
    <t>F pelagic</t>
  </si>
  <si>
    <t>F demersal</t>
  </si>
  <si>
    <t>F linefish</t>
  </si>
  <si>
    <t>F sealing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</si>
</sst>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4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FF4E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FFC5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FD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FF8600"/>
        <bgColor indexed="64"/>
      </patternFill>
    </fill>
    <fill>
      <patternFill patternType="solid">
        <fgColor rgb="FFE8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5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5" borderId="3" xfId="0" applyNumberFormat="1" applyFont="1" applyFill="1" applyBorder="1"/>
    <xf numFmtId="0" fontId="0" fillId="35" borderId="2" xfId="0" applyFont="1" applyFill="1" applyBorder="1"/>
    <xf numFmtId="0" fontId="0" fillId="35" borderId="3" xfId="0" applyFont="1" applyFill="1" applyBorder="1"/>
    <xf numFmtId="0" fontId="0" fillId="35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0" borderId="0" xfId="0" applyBorder="1"/>
    <xf numFmtId="0" fontId="0" fillId="41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76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4" t="s">
        <v>172</v>
      </c>
      <c r="C53" s="105">
        <v>502</v>
      </c>
      <c r="D53" s="105"/>
    </row>
    <row r="54" spans="2:4" x14ac:dyDescent="0.15">
      <c r="B54" s="174" t="s">
        <v>173</v>
      </c>
      <c r="C54" s="174" t="s">
        <v>186</v>
      </c>
      <c r="D54" s="105"/>
    </row>
    <row r="55" spans="2:4" x14ac:dyDescent="0.15">
      <c r="B55" s="174" t="s">
        <v>174</v>
      </c>
      <c r="C55" s="174" t="s">
        <v>187</v>
      </c>
      <c r="D55" s="105"/>
    </row>
    <row r="56" spans="2:4" x14ac:dyDescent="0.15">
      <c r="B56" s="174" t="s">
        <v>175</v>
      </c>
      <c r="C56" s="105">
        <v>179000</v>
      </c>
      <c r="D56" s="105"/>
    </row>
    <row r="57" spans="2:4" x14ac:dyDescent="0.15">
      <c r="B57" s="174" t="s">
        <v>176</v>
      </c>
      <c r="C57" s="174" t="s">
        <v>188</v>
      </c>
      <c r="D57" s="105"/>
    </row>
    <row r="58" spans="2:4" x14ac:dyDescent="0.15">
      <c r="B58" s="174" t="s">
        <v>177</v>
      </c>
      <c r="C58" s="174" t="s">
        <v>189</v>
      </c>
      <c r="D58" s="105"/>
    </row>
    <row r="59" spans="2:4" x14ac:dyDescent="0.15">
      <c r="B59" s="174" t="s">
        <v>178</v>
      </c>
      <c r="C59" s="174" t="s">
        <v>190</v>
      </c>
      <c r="D59" s="105"/>
    </row>
    <row r="60" spans="2:4" x14ac:dyDescent="0.15">
      <c r="B60" s="174" t="s">
        <v>179</v>
      </c>
      <c r="C60" s="174" t="s">
        <v>191</v>
      </c>
      <c r="D60" s="105"/>
    </row>
    <row r="61" spans="2:4" x14ac:dyDescent="0.15">
      <c r="B61" s="174" t="s">
        <v>180</v>
      </c>
      <c r="C61" s="105">
        <v>26</v>
      </c>
      <c r="D61" s="105"/>
    </row>
    <row r="62" spans="2:4" x14ac:dyDescent="0.15">
      <c r="B62" s="174" t="s">
        <v>181</v>
      </c>
      <c r="C62" s="105">
        <v>4</v>
      </c>
      <c r="D62" s="105"/>
    </row>
    <row r="63" spans="2:4" x14ac:dyDescent="0.15">
      <c r="B63" s="174" t="s">
        <v>182</v>
      </c>
      <c r="C63" s="105">
        <v>1967</v>
      </c>
      <c r="D63" s="105"/>
    </row>
    <row r="64" spans="2:4" x14ac:dyDescent="0.15">
      <c r="B64" s="174" t="s">
        <v>183</v>
      </c>
      <c r="C64" s="105">
        <v>1</v>
      </c>
      <c r="D64" s="105"/>
    </row>
    <row r="65" spans="2:4" x14ac:dyDescent="0.15">
      <c r="B65" s="174" t="s">
        <v>184</v>
      </c>
      <c r="C65" s="174" t="s">
        <v>192</v>
      </c>
      <c r="D65" s="105"/>
    </row>
    <row r="66" spans="2:4" x14ac:dyDescent="0.15">
      <c r="B66" s="174" t="s">
        <v>185</v>
      </c>
      <c r="D66" s="105"/>
    </row>
    <row r="67" spans="2:4" x14ac:dyDescent="0.15">
      <c r="B67" s="105"/>
      <c r="C67" s="105"/>
      <c r="D67" s="105"/>
    </row>
    <row r="68" spans="2:4" x14ac:dyDescent="0.15">
      <c r="B68" s="105"/>
      <c r="C68" s="105"/>
      <c r="D68" s="105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77" customWidth="1"/>
    <col min="2" max="3" width="3.33203125" style="77" customWidth="1"/>
    <col min="4" max="4" width="14.33203125" style="77" customWidth="1"/>
    <col min="5" max="5" width="21.6640625" style="77" bestFit="1" customWidth="1"/>
    <col min="6" max="6" width="2.33203125" style="77" bestFit="1" customWidth="1"/>
    <col min="7" max="7" width="12.83203125" style="77" bestFit="1" customWidth="1"/>
    <col min="8" max="8" width="8.83203125" style="77" customWidth="1"/>
    <col min="9" max="9" width="7.83203125" style="77" customWidth="1"/>
    <col min="10" max="10" width="11.83203125" style="77" customWidth="1"/>
    <col min="11" max="11" width="13.83203125" style="77" customWidth="1"/>
    <col min="12" max="12" width="2.33203125" style="77" customWidth="1"/>
    <col min="13" max="13" width="4.83203125" style="77" customWidth="1"/>
    <col min="14" max="14" width="2.33203125" style="77" customWidth="1"/>
    <col min="16" max="25" width="8.83203125" style="7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7"/>
  </cols>
  <sheetData>
    <row r="1" spans="1:46" s="94" customFormat="1" ht="15" customHeight="1" x14ac:dyDescent="0.15">
      <c r="A1" s="73" t="s">
        <v>18</v>
      </c>
      <c r="C1" s="74" t="s">
        <v>8</v>
      </c>
      <c r="D1" s="73" t="s">
        <v>23</v>
      </c>
      <c r="E1" s="73" t="s">
        <v>0</v>
      </c>
      <c r="F1" s="73" t="s">
        <v>7</v>
      </c>
      <c r="G1" s="75" t="s">
        <v>13</v>
      </c>
      <c r="H1" s="73" t="s">
        <v>1</v>
      </c>
      <c r="I1" s="73" t="s">
        <v>2</v>
      </c>
      <c r="J1" s="73" t="s">
        <v>14</v>
      </c>
      <c r="K1" s="73" t="s">
        <v>3</v>
      </c>
      <c r="L1" s="73" t="s">
        <v>4</v>
      </c>
      <c r="M1" s="73" t="s">
        <v>5</v>
      </c>
      <c r="N1" s="7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4">
        <v>1</v>
      </c>
      <c r="D2"/>
      <c r="E2" s="175" t="s">
        <v>193</v>
      </c>
      <c r="F2" s="77">
        <v>1</v>
      </c>
      <c r="G2" s="77">
        <v>214.286</v>
      </c>
      <c r="H2" s="77">
        <v>35.700000000000003</v>
      </c>
      <c r="I2" s="6">
        <v>0</v>
      </c>
      <c r="J2" s="6">
        <v>0.77946859999999996</v>
      </c>
      <c r="K2" s="6">
        <v>0</v>
      </c>
      <c r="L2" s="6">
        <v>0</v>
      </c>
      <c r="M2" s="77">
        <v>0</v>
      </c>
      <c r="N2" s="77">
        <v>0</v>
      </c>
    </row>
    <row r="3" spans="1:46" ht="15" customHeight="1" x14ac:dyDescent="0.15">
      <c r="A3" s="1" t="s">
        <v>9</v>
      </c>
      <c r="B3" s="4">
        <v>25</v>
      </c>
      <c r="C3" s="77">
        <v>2</v>
      </c>
      <c r="D3"/>
      <c r="E3" s="175" t="s">
        <v>194</v>
      </c>
      <c r="F3" s="77">
        <v>0</v>
      </c>
      <c r="G3" s="77">
        <v>3.8463382699999999</v>
      </c>
      <c r="H3" s="77">
        <v>482</v>
      </c>
      <c r="I3" s="77">
        <v>1928</v>
      </c>
      <c r="J3" s="77">
        <v>0.999</v>
      </c>
      <c r="K3" s="77">
        <v>0.25</v>
      </c>
      <c r="L3" s="77">
        <v>0</v>
      </c>
      <c r="M3" s="77">
        <v>0.2</v>
      </c>
      <c r="N3" s="77">
        <v>0</v>
      </c>
    </row>
    <row r="4" spans="1:46" ht="15" customHeight="1" x14ac:dyDescent="0.15">
      <c r="A4" s="1" t="s">
        <v>10</v>
      </c>
      <c r="B4" s="4">
        <v>2</v>
      </c>
      <c r="C4" s="77">
        <v>3</v>
      </c>
      <c r="D4"/>
      <c r="E4" s="175" t="s">
        <v>195</v>
      </c>
      <c r="F4" s="77">
        <v>0</v>
      </c>
      <c r="G4" s="77">
        <v>20.512869999999999</v>
      </c>
      <c r="H4" s="77">
        <v>40</v>
      </c>
      <c r="I4" s="77">
        <v>133.333</v>
      </c>
      <c r="J4" s="77">
        <v>0.999</v>
      </c>
      <c r="K4" s="77">
        <v>0.30000075700000001</v>
      </c>
      <c r="L4" s="77">
        <v>0</v>
      </c>
      <c r="M4" s="77">
        <v>0.35</v>
      </c>
      <c r="N4" s="7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4</v>
      </c>
      <c r="C5" s="77">
        <v>4</v>
      </c>
      <c r="D5"/>
      <c r="E5" s="175" t="s">
        <v>196</v>
      </c>
      <c r="F5" s="77">
        <v>0</v>
      </c>
      <c r="G5" s="77">
        <v>32.042180000000002</v>
      </c>
      <c r="H5" s="77">
        <v>13</v>
      </c>
      <c r="I5" s="77">
        <v>31.707000000000001</v>
      </c>
      <c r="J5" s="77">
        <v>0.999</v>
      </c>
      <c r="K5" s="77">
        <v>0.41000407900000002</v>
      </c>
      <c r="L5" s="77">
        <v>0</v>
      </c>
      <c r="M5" s="77">
        <v>0.2</v>
      </c>
      <c r="N5" s="77">
        <v>0</v>
      </c>
      <c r="P5" s="69"/>
      <c r="Q5" s="69"/>
      <c r="R5" s="69"/>
    </row>
    <row r="6" spans="1:46" ht="15" customHeight="1" thickBot="1" x14ac:dyDescent="0.2">
      <c r="B6" s="1"/>
      <c r="C6" s="77">
        <v>5</v>
      </c>
      <c r="D6"/>
      <c r="E6" s="175" t="s">
        <v>197</v>
      </c>
      <c r="F6" s="77">
        <v>0</v>
      </c>
      <c r="G6" s="77">
        <v>28.4674625</v>
      </c>
      <c r="H6" s="77">
        <v>0.44</v>
      </c>
      <c r="I6" s="77">
        <v>1.4670000000000001</v>
      </c>
      <c r="J6" s="77">
        <v>0.5</v>
      </c>
      <c r="K6" s="77">
        <v>0.29993182400000001</v>
      </c>
      <c r="L6" s="77">
        <v>0</v>
      </c>
      <c r="M6" s="77">
        <v>0.2</v>
      </c>
      <c r="N6" s="77">
        <v>0</v>
      </c>
      <c r="P6" s="69"/>
      <c r="Q6" s="69"/>
      <c r="R6" s="69"/>
      <c r="W6" s="36" t="s">
        <v>31</v>
      </c>
      <c r="X6" s="52">
        <f>MAX(MainOutputs!G:G)</f>
        <v>0.9990001916885376</v>
      </c>
    </row>
    <row r="7" spans="1:46" ht="15" customHeight="1" x14ac:dyDescent="0.15">
      <c r="A7" s="2" t="s">
        <v>27</v>
      </c>
      <c r="B7" s="77">
        <f ca="1">COUNTIF(OFFSET(cornerDiets,1,1,NumLiving+NumDead+1,NumLiving+NumDead),"&gt;0")+NumLiving+NumDead+1</f>
        <v>211</v>
      </c>
      <c r="C7" s="77">
        <v>6</v>
      </c>
      <c r="D7"/>
      <c r="E7" s="175" t="s">
        <v>198</v>
      </c>
      <c r="F7" s="77">
        <v>0</v>
      </c>
      <c r="G7" s="77">
        <v>43.807037399999999</v>
      </c>
      <c r="H7" s="77">
        <v>8</v>
      </c>
      <c r="I7" s="77">
        <v>33</v>
      </c>
      <c r="J7" s="77">
        <v>0.999</v>
      </c>
      <c r="K7" s="77">
        <v>0.24242425000000001</v>
      </c>
      <c r="L7" s="77">
        <v>0</v>
      </c>
      <c r="M7" s="77">
        <v>0.2</v>
      </c>
      <c r="N7" s="77">
        <v>0</v>
      </c>
      <c r="P7" s="69"/>
      <c r="Q7" s="69"/>
      <c r="R7" s="69"/>
    </row>
    <row r="8" spans="1:46" ht="15" customHeight="1" x14ac:dyDescent="0.15">
      <c r="A8" s="2" t="s">
        <v>28</v>
      </c>
      <c r="B8" s="77">
        <f ca="1">COUNTIF(OFFSET(cornerFishing,1,2,NumLiving+NumDead,NumGears),"&gt;0")+NumDead*COUNTIF(OFFSET(cornerDiscards,1,2,NumLiving+NumDead,NumGears),"&gt;0")+NumLiving+NumDead+1</f>
        <v>35</v>
      </c>
      <c r="C8" s="77">
        <v>7</v>
      </c>
      <c r="D8"/>
      <c r="E8" s="175" t="s">
        <v>199</v>
      </c>
      <c r="F8" s="77">
        <v>0</v>
      </c>
      <c r="G8" s="77">
        <v>15.3763018</v>
      </c>
      <c r="H8" s="77">
        <v>1.2</v>
      </c>
      <c r="I8" s="77">
        <v>10</v>
      </c>
      <c r="J8" s="77">
        <v>0.999</v>
      </c>
      <c r="K8" s="77">
        <v>0.12000000500000001</v>
      </c>
      <c r="L8" s="77">
        <v>0</v>
      </c>
      <c r="M8" s="77">
        <v>0.2</v>
      </c>
      <c r="N8" s="77">
        <v>0</v>
      </c>
      <c r="P8" s="69"/>
      <c r="Q8" s="69"/>
      <c r="R8" s="69"/>
    </row>
    <row r="9" spans="1:46" ht="15" customHeight="1" x14ac:dyDescent="0.15">
      <c r="B9" s="1"/>
      <c r="C9" s="77">
        <v>8</v>
      </c>
      <c r="D9"/>
      <c r="E9" s="175" t="s">
        <v>200</v>
      </c>
      <c r="F9" s="77">
        <v>0</v>
      </c>
      <c r="G9" s="77">
        <v>34.078000000000003</v>
      </c>
      <c r="H9" s="77">
        <v>1.35</v>
      </c>
      <c r="I9" s="77">
        <v>14</v>
      </c>
      <c r="J9" s="77">
        <v>0.81443685300000002</v>
      </c>
      <c r="K9" s="77">
        <v>9.6428570000000005E-2</v>
      </c>
      <c r="L9" s="77">
        <v>0</v>
      </c>
      <c r="M9" s="77">
        <v>0.35</v>
      </c>
      <c r="N9" s="77">
        <v>0</v>
      </c>
      <c r="P9" s="69"/>
      <c r="Q9" s="69"/>
      <c r="R9" s="69"/>
    </row>
    <row r="10" spans="1:46" ht="15" customHeight="1" x14ac:dyDescent="0.15">
      <c r="B10" s="1"/>
      <c r="C10" s="77">
        <v>9</v>
      </c>
      <c r="D10"/>
      <c r="E10" s="175" t="s">
        <v>201</v>
      </c>
      <c r="F10" s="77">
        <v>0</v>
      </c>
      <c r="G10" s="77">
        <v>0.53940576299999998</v>
      </c>
      <c r="H10" s="77">
        <v>1.8</v>
      </c>
      <c r="I10" s="77">
        <v>18</v>
      </c>
      <c r="J10" s="77">
        <v>0.999</v>
      </c>
      <c r="K10" s="77">
        <v>9.9999993999999995E-2</v>
      </c>
      <c r="L10" s="77">
        <v>0</v>
      </c>
      <c r="M10" s="77">
        <v>0.35</v>
      </c>
      <c r="N10" s="77">
        <v>0</v>
      </c>
    </row>
    <row r="11" spans="1:46" ht="15" customHeight="1" x14ac:dyDescent="0.15">
      <c r="C11" s="77">
        <v>10</v>
      </c>
      <c r="D11"/>
      <c r="E11" s="175" t="s">
        <v>202</v>
      </c>
      <c r="F11" s="77">
        <v>0</v>
      </c>
      <c r="G11" s="77">
        <v>21.9590034</v>
      </c>
      <c r="H11" s="77">
        <v>1.8</v>
      </c>
      <c r="I11" s="77">
        <v>12</v>
      </c>
      <c r="J11" s="77">
        <v>0.999</v>
      </c>
      <c r="K11" s="77">
        <v>0.149999991</v>
      </c>
      <c r="L11" s="77">
        <v>0</v>
      </c>
      <c r="M11" s="77">
        <v>0.35</v>
      </c>
      <c r="N11" s="77">
        <v>0</v>
      </c>
    </row>
    <row r="12" spans="1:46" ht="15" customHeight="1" x14ac:dyDescent="0.15">
      <c r="C12" s="77">
        <v>11</v>
      </c>
      <c r="D12"/>
      <c r="E12" s="175" t="s">
        <v>203</v>
      </c>
      <c r="F12" s="77">
        <v>0</v>
      </c>
      <c r="G12" s="77">
        <v>15.7968578</v>
      </c>
      <c r="H12" s="77">
        <v>1.23</v>
      </c>
      <c r="I12" s="77">
        <v>12.3</v>
      </c>
      <c r="J12" s="77">
        <v>0.999</v>
      </c>
      <c r="K12" s="77">
        <v>0.1</v>
      </c>
      <c r="L12" s="77">
        <v>0</v>
      </c>
      <c r="M12" s="77">
        <v>0.35</v>
      </c>
      <c r="N12" s="77">
        <v>0</v>
      </c>
    </row>
    <row r="13" spans="1:46" ht="15" customHeight="1" x14ac:dyDescent="0.15">
      <c r="C13" s="77">
        <v>12</v>
      </c>
      <c r="D13"/>
      <c r="E13" s="175" t="s">
        <v>166</v>
      </c>
      <c r="F13" s="77">
        <v>0</v>
      </c>
      <c r="G13" s="77">
        <v>4.3128970000000004</v>
      </c>
      <c r="H13" s="77">
        <v>5</v>
      </c>
      <c r="I13" s="77">
        <v>15</v>
      </c>
      <c r="J13" s="77">
        <v>0.999</v>
      </c>
      <c r="K13" s="77">
        <v>0.333333343</v>
      </c>
      <c r="L13" s="77">
        <v>0</v>
      </c>
      <c r="M13" s="77">
        <v>0.2</v>
      </c>
      <c r="N13" s="77">
        <v>0</v>
      </c>
    </row>
    <row r="14" spans="1:46" ht="15" customHeight="1" x14ac:dyDescent="0.15">
      <c r="C14" s="77">
        <v>13</v>
      </c>
      <c r="D14"/>
      <c r="E14" s="175" t="s">
        <v>204</v>
      </c>
      <c r="F14" s="77">
        <v>0</v>
      </c>
      <c r="G14" s="77">
        <v>18.8922043</v>
      </c>
      <c r="H14" s="77">
        <v>0.95822399999999996</v>
      </c>
      <c r="I14" s="77">
        <v>9.3493399999999998</v>
      </c>
      <c r="J14" s="77">
        <v>0.999</v>
      </c>
      <c r="K14" s="77">
        <v>0.102491081</v>
      </c>
      <c r="L14" s="77">
        <v>0</v>
      </c>
      <c r="M14" s="77">
        <v>0.35</v>
      </c>
      <c r="N14" s="77">
        <v>0</v>
      </c>
    </row>
    <row r="15" spans="1:46" ht="15" customHeight="1" x14ac:dyDescent="0.15">
      <c r="C15" s="77">
        <v>14</v>
      </c>
      <c r="D15"/>
      <c r="E15" s="175" t="s">
        <v>205</v>
      </c>
      <c r="F15" s="77">
        <v>0</v>
      </c>
      <c r="G15" s="77">
        <v>9.6077429999999993</v>
      </c>
      <c r="H15" s="77">
        <v>1.2</v>
      </c>
      <c r="I15" s="77">
        <v>10</v>
      </c>
      <c r="J15" s="77">
        <v>0.999</v>
      </c>
      <c r="K15" s="77">
        <v>0.12000000500000001</v>
      </c>
      <c r="L15" s="77">
        <v>0</v>
      </c>
      <c r="M15" s="77">
        <v>0.35</v>
      </c>
      <c r="N15" s="77">
        <v>0</v>
      </c>
    </row>
    <row r="16" spans="1:46" ht="15" customHeight="1" x14ac:dyDescent="0.15">
      <c r="C16" s="77">
        <v>15</v>
      </c>
      <c r="D16"/>
      <c r="E16" s="175" t="s">
        <v>206</v>
      </c>
      <c r="F16" s="77">
        <v>0</v>
      </c>
      <c r="G16" s="77">
        <v>5.2125344299999998</v>
      </c>
      <c r="H16" s="77">
        <v>0.8</v>
      </c>
      <c r="I16" s="77">
        <v>5.3330000000000002</v>
      </c>
      <c r="J16" s="77">
        <v>0.999</v>
      </c>
      <c r="K16" s="77">
        <v>0.150009379</v>
      </c>
      <c r="L16" s="77">
        <v>0</v>
      </c>
      <c r="M16" s="77">
        <v>0.3</v>
      </c>
      <c r="N16" s="77">
        <v>0</v>
      </c>
    </row>
    <row r="17" spans="1:22" ht="15" customHeight="1" x14ac:dyDescent="0.15">
      <c r="C17" s="77">
        <v>16</v>
      </c>
      <c r="D17"/>
      <c r="E17" s="175" t="s">
        <v>207</v>
      </c>
      <c r="F17" s="77">
        <v>0</v>
      </c>
      <c r="G17" s="77">
        <v>4.8867337400000002E-2</v>
      </c>
      <c r="H17" s="77">
        <v>0.5</v>
      </c>
      <c r="I17" s="77">
        <v>5</v>
      </c>
      <c r="J17" s="77">
        <v>0.999</v>
      </c>
      <c r="K17" s="77">
        <v>0.1</v>
      </c>
      <c r="L17" s="77">
        <v>0</v>
      </c>
      <c r="M17" s="77">
        <v>0.2</v>
      </c>
      <c r="N17" s="77">
        <v>0</v>
      </c>
      <c r="V17" s="1" t="s">
        <v>30</v>
      </c>
    </row>
    <row r="18" spans="1:22" ht="15" customHeight="1" x14ac:dyDescent="0.15">
      <c r="C18" s="77">
        <v>17</v>
      </c>
      <c r="D18"/>
      <c r="E18" s="175" t="s">
        <v>208</v>
      </c>
      <c r="F18" s="77">
        <v>0</v>
      </c>
      <c r="G18" s="77">
        <v>4.4820346799999999</v>
      </c>
      <c r="H18" s="77">
        <v>2</v>
      </c>
      <c r="I18" s="77">
        <v>13.333299999999999</v>
      </c>
      <c r="J18" s="77">
        <v>0.999</v>
      </c>
      <c r="K18" s="77">
        <v>0.15000037799999999</v>
      </c>
      <c r="L18" s="77">
        <v>0</v>
      </c>
      <c r="M18" s="77">
        <v>0.35</v>
      </c>
      <c r="N18" s="77">
        <v>0</v>
      </c>
      <c r="V18" s="1"/>
    </row>
    <row r="19" spans="1:22" ht="15" customHeight="1" x14ac:dyDescent="0.15">
      <c r="C19" s="77">
        <v>18</v>
      </c>
      <c r="D19"/>
      <c r="E19" s="175" t="s">
        <v>209</v>
      </c>
      <c r="F19" s="77">
        <v>0</v>
      </c>
      <c r="G19" s="77">
        <v>11.6987705</v>
      </c>
      <c r="H19" s="77">
        <v>1.2282500000000001</v>
      </c>
      <c r="I19" s="77">
        <v>7.8243999999999998</v>
      </c>
      <c r="J19" s="77">
        <v>0.99640345600000002</v>
      </c>
      <c r="K19" s="77">
        <v>0.1569769</v>
      </c>
      <c r="L19" s="77">
        <v>0</v>
      </c>
      <c r="M19" s="77">
        <v>0.2</v>
      </c>
      <c r="N19" s="77">
        <v>0</v>
      </c>
    </row>
    <row r="20" spans="1:22" ht="15" customHeight="1" thickBot="1" x14ac:dyDescent="0.2">
      <c r="C20" s="77">
        <v>19</v>
      </c>
      <c r="D20"/>
      <c r="E20" s="175" t="s">
        <v>210</v>
      </c>
      <c r="F20" s="77">
        <v>0</v>
      </c>
      <c r="G20" s="77">
        <v>6.580559</v>
      </c>
      <c r="H20" s="77">
        <v>1.140021</v>
      </c>
      <c r="I20" s="77">
        <v>7.2774999999999999</v>
      </c>
      <c r="J20" s="77">
        <v>0.91502550000000005</v>
      </c>
      <c r="K20" s="77">
        <v>0.156650081</v>
      </c>
      <c r="L20" s="77">
        <v>0</v>
      </c>
      <c r="M20" s="77">
        <v>0.2</v>
      </c>
      <c r="N20" s="77">
        <v>0</v>
      </c>
    </row>
    <row r="21" spans="1:22" ht="15" customHeight="1" thickBot="1" x14ac:dyDescent="0.2">
      <c r="A21" s="47" t="s">
        <v>137</v>
      </c>
      <c r="B21" s="95"/>
      <c r="C21" s="77">
        <v>20</v>
      </c>
      <c r="D21"/>
      <c r="E21" s="175" t="s">
        <v>211</v>
      </c>
      <c r="F21" s="77">
        <v>0</v>
      </c>
      <c r="G21" s="77">
        <v>4.4536013600000004</v>
      </c>
      <c r="H21" s="77">
        <v>1</v>
      </c>
      <c r="I21" s="77">
        <v>5</v>
      </c>
      <c r="J21" s="77">
        <v>0.999</v>
      </c>
      <c r="K21" s="77">
        <v>0.2</v>
      </c>
      <c r="L21" s="77">
        <v>0</v>
      </c>
      <c r="M21" s="77">
        <v>0.2</v>
      </c>
      <c r="N21" s="77">
        <v>0</v>
      </c>
    </row>
    <row r="22" spans="1:22" ht="15" customHeight="1" x14ac:dyDescent="0.15">
      <c r="A22" s="96" t="s">
        <v>58</v>
      </c>
      <c r="B22" s="97">
        <v>0</v>
      </c>
      <c r="C22" s="77">
        <v>21</v>
      </c>
      <c r="D22"/>
      <c r="E22" s="175" t="s">
        <v>212</v>
      </c>
      <c r="F22" s="77">
        <v>0</v>
      </c>
      <c r="G22" s="77">
        <v>4.1123849999999997</v>
      </c>
      <c r="H22" s="77">
        <v>1</v>
      </c>
      <c r="I22" s="77">
        <v>5</v>
      </c>
      <c r="J22" s="77">
        <v>0.999</v>
      </c>
      <c r="K22" s="77">
        <v>0.2</v>
      </c>
      <c r="L22" s="77">
        <v>0</v>
      </c>
      <c r="M22" s="77">
        <v>0.2</v>
      </c>
      <c r="N22" s="77">
        <v>0</v>
      </c>
    </row>
    <row r="23" spans="1:22" ht="15" customHeight="1" x14ac:dyDescent="0.15">
      <c r="A23" s="96" t="s">
        <v>59</v>
      </c>
      <c r="B23" s="97">
        <v>1</v>
      </c>
      <c r="C23" s="77">
        <v>22</v>
      </c>
      <c r="D23"/>
      <c r="E23" s="175" t="s">
        <v>213</v>
      </c>
      <c r="F23" s="77">
        <v>0</v>
      </c>
      <c r="G23" s="77">
        <v>0.36</v>
      </c>
      <c r="H23" s="77">
        <v>0.5</v>
      </c>
      <c r="I23" s="77">
        <v>3.3332999999999999</v>
      </c>
      <c r="J23" s="77">
        <v>0.66666009999999998</v>
      </c>
      <c r="K23" s="77">
        <v>0.15000150000000001</v>
      </c>
      <c r="L23" s="77">
        <v>0</v>
      </c>
      <c r="M23" s="77">
        <v>0.2</v>
      </c>
      <c r="N23" s="77">
        <v>0</v>
      </c>
    </row>
    <row r="24" spans="1:22" ht="15" customHeight="1" x14ac:dyDescent="0.15">
      <c r="A24" s="96" t="s">
        <v>60</v>
      </c>
      <c r="B24" s="97">
        <v>2</v>
      </c>
      <c r="C24" s="77">
        <v>23</v>
      </c>
      <c r="D24"/>
      <c r="E24" s="175" t="s">
        <v>214</v>
      </c>
      <c r="F24" s="77">
        <v>0</v>
      </c>
      <c r="G24" s="77">
        <v>1.6573999999999998E-2</v>
      </c>
      <c r="H24" s="77">
        <v>0.156</v>
      </c>
      <c r="I24" s="77">
        <v>120.3</v>
      </c>
      <c r="J24" s="77">
        <v>0.163541257</v>
      </c>
      <c r="K24" s="77">
        <v>1.29675807E-3</v>
      </c>
      <c r="L24" s="77">
        <v>0</v>
      </c>
      <c r="M24" s="77">
        <v>0.26</v>
      </c>
      <c r="N24" s="77">
        <v>0</v>
      </c>
    </row>
    <row r="25" spans="1:22" ht="15" customHeight="1" thickBot="1" x14ac:dyDescent="0.2">
      <c r="A25" s="98" t="s">
        <v>44</v>
      </c>
      <c r="B25" s="99">
        <v>3</v>
      </c>
      <c r="C25" s="77">
        <v>24</v>
      </c>
      <c r="D25"/>
      <c r="E25" s="175" t="s">
        <v>215</v>
      </c>
      <c r="F25" s="77">
        <v>0</v>
      </c>
      <c r="G25" s="77">
        <v>8.5504360000000001E-2</v>
      </c>
      <c r="H25" s="77">
        <v>0.28999999999999998</v>
      </c>
      <c r="I25" s="77">
        <v>18.25</v>
      </c>
      <c r="J25" s="77">
        <v>0.73321944500000003</v>
      </c>
      <c r="K25" s="77">
        <v>1.5890410000000001E-2</v>
      </c>
      <c r="L25" s="77">
        <v>0</v>
      </c>
      <c r="M25" s="77">
        <v>0.2</v>
      </c>
      <c r="N25" s="77">
        <v>0</v>
      </c>
    </row>
    <row r="26" spans="1:22" ht="15" customHeight="1" x14ac:dyDescent="0.15">
      <c r="A26" s="100" t="s">
        <v>140</v>
      </c>
      <c r="C26" s="77">
        <v>25</v>
      </c>
      <c r="D26"/>
      <c r="E26" s="175" t="s">
        <v>216</v>
      </c>
      <c r="F26" s="77">
        <v>0</v>
      </c>
      <c r="G26" s="77">
        <v>1.9E-2</v>
      </c>
      <c r="H26" s="77">
        <v>0.15</v>
      </c>
      <c r="I26" s="77">
        <v>7.4183000000000003</v>
      </c>
      <c r="J26" s="77">
        <v>0</v>
      </c>
      <c r="K26" s="77">
        <v>2.02202667E-2</v>
      </c>
      <c r="L26" s="77">
        <v>0</v>
      </c>
      <c r="M26" s="77">
        <v>0.21</v>
      </c>
      <c r="N26" s="77">
        <v>0</v>
      </c>
    </row>
    <row r="27" spans="1:22" ht="15" customHeight="1" x14ac:dyDescent="0.15">
      <c r="C27" s="77">
        <v>26</v>
      </c>
      <c r="D27"/>
      <c r="E27" s="175" t="s">
        <v>217</v>
      </c>
      <c r="F27" s="77">
        <v>2</v>
      </c>
      <c r="G27" s="77">
        <v>0</v>
      </c>
      <c r="H27" s="77">
        <v>0</v>
      </c>
      <c r="I27" s="77">
        <v>0</v>
      </c>
      <c r="J27" s="77">
        <v>0.3401479</v>
      </c>
      <c r="K27" s="77">
        <v>0</v>
      </c>
      <c r="L27" s="77">
        <v>0</v>
      </c>
      <c r="M27" s="77">
        <v>0</v>
      </c>
      <c r="N27" s="77">
        <v>0</v>
      </c>
    </row>
    <row r="28" spans="1:22" ht="15" customHeight="1" x14ac:dyDescent="0.15">
      <c r="C28" s="77">
        <v>27</v>
      </c>
      <c r="D28"/>
      <c r="E28" s="175" t="s">
        <v>218</v>
      </c>
      <c r="F28" s="77">
        <v>2</v>
      </c>
      <c r="G28" s="77">
        <v>5</v>
      </c>
      <c r="H28" s="77">
        <v>0</v>
      </c>
      <c r="I28" s="77">
        <v>0</v>
      </c>
      <c r="J28" s="77">
        <v>0</v>
      </c>
      <c r="K28" s="77">
        <v>0</v>
      </c>
      <c r="L28" s="77">
        <v>0</v>
      </c>
      <c r="M28" s="77">
        <v>0</v>
      </c>
      <c r="N28" s="77">
        <v>0</v>
      </c>
    </row>
    <row r="29" spans="1:22" customFormat="1" ht="15" customHeight="1" x14ac:dyDescent="0.15">
      <c r="C29" s="77">
        <v>28</v>
      </c>
      <c r="E29" s="175" t="s">
        <v>219</v>
      </c>
      <c r="F29" s="77">
        <v>3</v>
      </c>
      <c r="G29" s="77">
        <v>0</v>
      </c>
      <c r="H29" s="77">
        <v>0</v>
      </c>
      <c r="I29" s="77">
        <v>0</v>
      </c>
      <c r="J29" s="77">
        <v>0</v>
      </c>
      <c r="K29" s="77">
        <v>0</v>
      </c>
      <c r="L29" s="77">
        <v>0</v>
      </c>
      <c r="M29" s="77">
        <v>0</v>
      </c>
      <c r="N29" s="77">
        <v>0</v>
      </c>
    </row>
    <row r="30" spans="1:22" customFormat="1" ht="15" customHeight="1" x14ac:dyDescent="0.15">
      <c r="C30" s="77">
        <v>29</v>
      </c>
      <c r="E30" s="175" t="s">
        <v>220</v>
      </c>
      <c r="F30" s="77">
        <v>3</v>
      </c>
      <c r="G30" s="77">
        <v>0</v>
      </c>
      <c r="H30" s="77">
        <v>0</v>
      </c>
      <c r="I30" s="77">
        <v>0</v>
      </c>
      <c r="J30" s="77">
        <v>0</v>
      </c>
      <c r="K30" s="77">
        <v>0</v>
      </c>
      <c r="L30" s="77">
        <v>0</v>
      </c>
      <c r="M30" s="77">
        <v>0</v>
      </c>
      <c r="N30" s="77">
        <v>0</v>
      </c>
    </row>
    <row r="31" spans="1:22" customFormat="1" ht="15" customHeight="1" x14ac:dyDescent="0.15">
      <c r="C31" s="77">
        <v>30</v>
      </c>
      <c r="E31" s="175" t="s">
        <v>221</v>
      </c>
      <c r="F31" s="77">
        <v>3</v>
      </c>
      <c r="G31" s="77">
        <v>0</v>
      </c>
      <c r="H31" s="77">
        <v>0</v>
      </c>
      <c r="I31" s="77">
        <v>0</v>
      </c>
      <c r="J31" s="77">
        <v>0</v>
      </c>
      <c r="K31" s="77">
        <v>0</v>
      </c>
      <c r="L31" s="77">
        <v>0</v>
      </c>
      <c r="M31" s="77">
        <v>0</v>
      </c>
      <c r="N31" s="77">
        <v>0</v>
      </c>
    </row>
    <row r="32" spans="1:22" customFormat="1" ht="15" customHeight="1" x14ac:dyDescent="0.15">
      <c r="C32" s="77">
        <v>31</v>
      </c>
      <c r="E32" s="175" t="s">
        <v>222</v>
      </c>
      <c r="F32" s="77">
        <v>3</v>
      </c>
      <c r="G32" s="77">
        <v>0</v>
      </c>
      <c r="H32" s="77">
        <v>0</v>
      </c>
      <c r="I32" s="77">
        <v>0</v>
      </c>
      <c r="J32" s="77">
        <v>0</v>
      </c>
      <c r="K32" s="77">
        <v>0</v>
      </c>
      <c r="L32" s="77">
        <v>0</v>
      </c>
      <c r="M32" s="77">
        <v>0</v>
      </c>
      <c r="N32" s="77">
        <v>0</v>
      </c>
    </row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0" bestFit="1" customWidth="1"/>
    <col min="2" max="2" width="2.33203125" style="140" bestFit="1" customWidth="1"/>
    <col min="3" max="3" width="4.83203125" style="140" bestFit="1" customWidth="1"/>
    <col min="4" max="5" width="3.83203125" style="140" bestFit="1" customWidth="1"/>
    <col min="6" max="6" width="4.83203125" style="140" bestFit="1" customWidth="1"/>
    <col min="7" max="7" width="2.33203125" style="140" bestFit="1" customWidth="1"/>
    <col min="8" max="10" width="4.83203125" style="140" bestFit="1" customWidth="1"/>
    <col min="11" max="11" width="5.83203125" style="140" bestFit="1" customWidth="1"/>
    <col min="12" max="12" width="3.83203125" style="140" bestFit="1" customWidth="1"/>
    <col min="13" max="14" width="5.83203125" style="140" bestFit="1" customWidth="1"/>
    <col min="15" max="15" width="3.83203125" style="140" bestFit="1" customWidth="1"/>
    <col min="16" max="16" width="4.83203125" style="140" bestFit="1" customWidth="1"/>
    <col min="17" max="26" width="5.83203125" style="140" bestFit="1" customWidth="1"/>
    <col min="27" max="28" width="2.33203125" style="140" bestFit="1" customWidth="1"/>
    <col min="29" max="29" width="9" style="140" bestFit="1" customWidth="1"/>
    <col min="30" max="16384" width="8.83203125" style="140"/>
  </cols>
  <sheetData>
    <row r="1" spans="1:34" x14ac:dyDescent="0.15">
      <c r="A1" s="139" t="s">
        <v>19</v>
      </c>
      <c r="B1" s="177" t="s">
        <v>193</v>
      </c>
      <c r="C1" s="177" t="s">
        <v>194</v>
      </c>
      <c r="D1" s="177" t="s">
        <v>195</v>
      </c>
      <c r="E1" s="177" t="s">
        <v>196</v>
      </c>
      <c r="F1" s="177" t="s">
        <v>197</v>
      </c>
      <c r="G1" s="177" t="s">
        <v>198</v>
      </c>
      <c r="H1" s="177" t="s">
        <v>199</v>
      </c>
      <c r="I1" s="177" t="s">
        <v>200</v>
      </c>
      <c r="J1" s="177" t="s">
        <v>201</v>
      </c>
      <c r="K1" s="177" t="s">
        <v>202</v>
      </c>
      <c r="L1" s="177" t="s">
        <v>203</v>
      </c>
      <c r="M1" s="177" t="s">
        <v>166</v>
      </c>
      <c r="N1" s="177" t="s">
        <v>204</v>
      </c>
      <c r="O1" s="177" t="s">
        <v>205</v>
      </c>
      <c r="P1" s="177" t="s">
        <v>206</v>
      </c>
      <c r="Q1" s="177" t="s">
        <v>207</v>
      </c>
      <c r="R1" s="177" t="s">
        <v>208</v>
      </c>
      <c r="S1" s="177" t="s">
        <v>209</v>
      </c>
      <c r="T1" s="177" t="s">
        <v>210</v>
      </c>
      <c r="U1" s="177" t="s">
        <v>211</v>
      </c>
      <c r="V1" s="177" t="s">
        <v>212</v>
      </c>
      <c r="W1" s="177" t="s">
        <v>213</v>
      </c>
      <c r="X1" s="177" t="s">
        <v>214</v>
      </c>
      <c r="Y1" s="177" t="s">
        <v>215</v>
      </c>
      <c r="Z1" s="177" t="s">
        <v>216</v>
      </c>
      <c r="AA1" s="177" t="s">
        <v>217</v>
      </c>
      <c r="AB1" s="177" t="s">
        <v>218</v>
      </c>
      <c r="AC1"/>
      <c r="AD1"/>
      <c r="AE1"/>
      <c r="AF1"/>
      <c r="AG1"/>
      <c r="AH1"/>
    </row>
    <row r="2" spans="1:34" customFormat="1" x14ac:dyDescent="0.15">
      <c r="A2" s="176" t="s">
        <v>193</v>
      </c>
      <c r="B2" s="140">
        <v>0</v>
      </c>
      <c r="C2" s="140">
        <v>0.47</v>
      </c>
      <c r="D2" s="140">
        <v>0.5</v>
      </c>
      <c r="E2" s="140">
        <v>0.6</v>
      </c>
      <c r="F2" s="140">
        <v>0.02</v>
      </c>
      <c r="G2" s="140">
        <v>0</v>
      </c>
      <c r="H2" s="140">
        <v>0</v>
      </c>
      <c r="I2" s="140">
        <v>0.56000000000000005</v>
      </c>
      <c r="J2" s="140">
        <v>0.33</v>
      </c>
      <c r="K2" s="140">
        <v>0</v>
      </c>
      <c r="L2" s="140">
        <v>0</v>
      </c>
      <c r="M2" s="140">
        <v>0</v>
      </c>
      <c r="N2" s="140">
        <v>7.0000000000000001E-3</v>
      </c>
      <c r="O2" s="140">
        <v>0</v>
      </c>
      <c r="P2" s="140">
        <v>0</v>
      </c>
      <c r="Q2" s="140">
        <v>0</v>
      </c>
      <c r="R2" s="140">
        <v>0</v>
      </c>
      <c r="S2" s="140">
        <v>0</v>
      </c>
      <c r="T2" s="140">
        <v>0</v>
      </c>
      <c r="U2" s="140">
        <v>0</v>
      </c>
      <c r="V2" s="140">
        <v>0</v>
      </c>
      <c r="W2" s="140">
        <v>0</v>
      </c>
      <c r="X2" s="140">
        <v>0</v>
      </c>
      <c r="Y2" s="140">
        <v>0</v>
      </c>
      <c r="Z2" s="140">
        <v>0</v>
      </c>
      <c r="AA2" s="140">
        <v>0</v>
      </c>
      <c r="AB2" s="140">
        <v>0</v>
      </c>
    </row>
    <row r="3" spans="1:34" customFormat="1" x14ac:dyDescent="0.15">
      <c r="A3" s="176" t="s">
        <v>194</v>
      </c>
      <c r="B3" s="140">
        <v>0</v>
      </c>
      <c r="C3" s="140">
        <v>0.06</v>
      </c>
      <c r="D3" s="140">
        <v>0.5</v>
      </c>
      <c r="E3" s="140">
        <v>0</v>
      </c>
      <c r="F3" s="140">
        <v>0</v>
      </c>
      <c r="G3" s="140">
        <v>0</v>
      </c>
      <c r="H3" s="140">
        <v>0</v>
      </c>
      <c r="I3" s="140">
        <v>0.08</v>
      </c>
      <c r="J3" s="140">
        <v>0.04</v>
      </c>
      <c r="K3" s="140">
        <v>0</v>
      </c>
      <c r="L3" s="140">
        <v>0</v>
      </c>
      <c r="M3" s="140">
        <v>0</v>
      </c>
      <c r="N3" s="140">
        <v>6.0000000000000001E-3</v>
      </c>
      <c r="O3" s="140">
        <v>0</v>
      </c>
      <c r="P3" s="140">
        <v>0</v>
      </c>
      <c r="Q3" s="140">
        <v>0</v>
      </c>
      <c r="R3" s="140">
        <v>0</v>
      </c>
      <c r="S3" s="140">
        <v>0</v>
      </c>
      <c r="T3" s="140">
        <v>0</v>
      </c>
      <c r="U3" s="140">
        <v>0</v>
      </c>
      <c r="V3" s="140">
        <v>0</v>
      </c>
      <c r="W3" s="140">
        <v>0</v>
      </c>
      <c r="X3" s="140">
        <v>0</v>
      </c>
      <c r="Y3" s="140">
        <v>0</v>
      </c>
      <c r="Z3" s="140">
        <v>0</v>
      </c>
      <c r="AA3" s="140">
        <v>0</v>
      </c>
      <c r="AB3" s="140">
        <v>0</v>
      </c>
    </row>
    <row r="4" spans="1:34" customFormat="1" x14ac:dyDescent="0.15">
      <c r="A4" s="176" t="s">
        <v>195</v>
      </c>
      <c r="B4" s="140">
        <v>0</v>
      </c>
      <c r="C4" s="140">
        <v>0</v>
      </c>
      <c r="D4" s="140">
        <v>0</v>
      </c>
      <c r="E4" s="140">
        <v>0.4</v>
      </c>
      <c r="F4" s="140">
        <v>0.62</v>
      </c>
      <c r="G4" s="140">
        <v>0</v>
      </c>
      <c r="H4" s="140">
        <v>0</v>
      </c>
      <c r="I4" s="140">
        <v>0.18</v>
      </c>
      <c r="J4" s="140">
        <v>0.31</v>
      </c>
      <c r="K4" s="140">
        <v>6.8000000000000005E-2</v>
      </c>
      <c r="L4" s="140">
        <v>0.4</v>
      </c>
      <c r="M4" s="140">
        <v>0.02</v>
      </c>
      <c r="N4" s="140">
        <v>0.77400000000000002</v>
      </c>
      <c r="O4" s="140">
        <v>0.5</v>
      </c>
      <c r="P4" s="140">
        <v>0.15</v>
      </c>
      <c r="Q4" s="140">
        <v>0</v>
      </c>
      <c r="R4" s="140">
        <v>0.15</v>
      </c>
      <c r="S4" s="140">
        <v>0</v>
      </c>
      <c r="T4" s="140">
        <v>0</v>
      </c>
      <c r="U4" s="140">
        <v>0</v>
      </c>
      <c r="V4" s="140">
        <v>0.18</v>
      </c>
      <c r="W4" s="140">
        <v>0</v>
      </c>
      <c r="X4" s="140">
        <v>3.0000000000000001E-3</v>
      </c>
      <c r="Y4" s="140">
        <v>0</v>
      </c>
      <c r="Z4" s="140">
        <v>4.9999999999999989E-2</v>
      </c>
      <c r="AA4" s="140">
        <v>0</v>
      </c>
      <c r="AB4" s="140">
        <v>0</v>
      </c>
    </row>
    <row r="5" spans="1:34" customFormat="1" x14ac:dyDescent="0.15">
      <c r="A5" s="176" t="s">
        <v>196</v>
      </c>
      <c r="B5" s="140">
        <v>0</v>
      </c>
      <c r="C5" s="140">
        <v>0</v>
      </c>
      <c r="D5" s="140">
        <v>0</v>
      </c>
      <c r="E5" s="140">
        <v>0</v>
      </c>
      <c r="F5" s="140">
        <v>0.12</v>
      </c>
      <c r="G5" s="140">
        <v>0</v>
      </c>
      <c r="H5" s="140">
        <v>0</v>
      </c>
      <c r="I5" s="140">
        <v>0.18</v>
      </c>
      <c r="J5" s="140">
        <v>0.32</v>
      </c>
      <c r="K5" s="140">
        <v>0.14299999999999999</v>
      </c>
      <c r="L5" s="140">
        <v>0.6</v>
      </c>
      <c r="M5" s="140">
        <v>0.56000000000000005</v>
      </c>
      <c r="N5" s="140">
        <v>0.17</v>
      </c>
      <c r="O5" s="140">
        <v>0.2</v>
      </c>
      <c r="P5" s="140">
        <v>0.65</v>
      </c>
      <c r="Q5" s="140">
        <v>0.2</v>
      </c>
      <c r="R5" s="140">
        <v>0.432</v>
      </c>
      <c r="S5" s="140">
        <v>0.14199999999999999</v>
      </c>
      <c r="T5" s="140">
        <v>0.26999999999999996</v>
      </c>
      <c r="U5" s="140">
        <v>9.5000000000000001E-2</v>
      </c>
      <c r="V5" s="140">
        <v>0.5</v>
      </c>
      <c r="W5" s="140">
        <v>0</v>
      </c>
      <c r="X5" s="140">
        <v>4.2999999999999997E-2</v>
      </c>
      <c r="Y5" s="140">
        <v>0</v>
      </c>
      <c r="Z5" s="140">
        <v>0.41599999999999987</v>
      </c>
      <c r="AA5" s="140">
        <v>0</v>
      </c>
      <c r="AB5" s="140">
        <v>0</v>
      </c>
    </row>
    <row r="6" spans="1:34" customFormat="1" x14ac:dyDescent="0.15">
      <c r="A6" s="176" t="s">
        <v>197</v>
      </c>
      <c r="B6" s="140">
        <v>0</v>
      </c>
      <c r="C6" s="140">
        <v>0</v>
      </c>
      <c r="D6" s="140">
        <v>0</v>
      </c>
      <c r="E6" s="140">
        <v>0</v>
      </c>
      <c r="F6" s="140">
        <v>0.04</v>
      </c>
      <c r="G6" s="140">
        <v>0</v>
      </c>
      <c r="H6" s="140">
        <v>0</v>
      </c>
      <c r="I6" s="140">
        <v>0</v>
      </c>
      <c r="J6" s="140">
        <v>0</v>
      </c>
      <c r="K6" s="140">
        <v>0</v>
      </c>
      <c r="L6" s="140">
        <v>0</v>
      </c>
      <c r="M6" s="140">
        <v>0</v>
      </c>
      <c r="N6" s="140">
        <v>2.5999999999999999E-2</v>
      </c>
      <c r="O6" s="140">
        <v>0</v>
      </c>
      <c r="P6" s="140">
        <v>0</v>
      </c>
      <c r="Q6" s="140">
        <v>0</v>
      </c>
      <c r="R6" s="140">
        <v>0</v>
      </c>
      <c r="S6" s="140">
        <v>0</v>
      </c>
      <c r="T6" s="140">
        <v>0</v>
      </c>
      <c r="U6" s="140">
        <v>0</v>
      </c>
      <c r="V6" s="140">
        <v>0</v>
      </c>
      <c r="W6" s="140">
        <v>0</v>
      </c>
      <c r="X6" s="140">
        <v>0</v>
      </c>
      <c r="Y6" s="140">
        <v>0</v>
      </c>
      <c r="Z6" s="140">
        <v>0</v>
      </c>
      <c r="AA6" s="140">
        <v>0</v>
      </c>
      <c r="AB6" s="140">
        <v>0</v>
      </c>
    </row>
    <row r="7" spans="1:34" customFormat="1" x14ac:dyDescent="0.15">
      <c r="A7" s="176" t="s">
        <v>198</v>
      </c>
      <c r="B7" s="140">
        <v>0</v>
      </c>
      <c r="C7" s="140">
        <v>0</v>
      </c>
      <c r="D7" s="140">
        <v>0</v>
      </c>
      <c r="E7" s="140">
        <v>0</v>
      </c>
      <c r="F7" s="140">
        <v>0</v>
      </c>
      <c r="G7" s="140">
        <v>0</v>
      </c>
      <c r="H7" s="140">
        <v>0.86</v>
      </c>
      <c r="I7" s="140">
        <v>0</v>
      </c>
      <c r="J7" s="140">
        <v>0</v>
      </c>
      <c r="K7" s="140">
        <v>0.65</v>
      </c>
      <c r="L7" s="140">
        <v>0</v>
      </c>
      <c r="M7" s="140">
        <v>0</v>
      </c>
      <c r="N7" s="140">
        <v>0</v>
      </c>
      <c r="O7" s="140">
        <v>0.3</v>
      </c>
      <c r="P7" s="140">
        <v>0.1</v>
      </c>
      <c r="Q7" s="140">
        <v>0</v>
      </c>
      <c r="R7" s="140">
        <v>0</v>
      </c>
      <c r="S7" s="140">
        <v>0</v>
      </c>
      <c r="T7" s="140">
        <v>0.18199999999999997</v>
      </c>
      <c r="U7" s="140">
        <v>0.27</v>
      </c>
      <c r="V7" s="140">
        <v>0</v>
      </c>
      <c r="W7" s="140">
        <v>0.215</v>
      </c>
      <c r="X7" s="140">
        <v>0</v>
      </c>
      <c r="Y7" s="140">
        <v>0</v>
      </c>
      <c r="Z7" s="140">
        <v>0</v>
      </c>
      <c r="AA7" s="140">
        <v>0</v>
      </c>
      <c r="AB7" s="140">
        <v>0</v>
      </c>
    </row>
    <row r="8" spans="1:34" customFormat="1" x14ac:dyDescent="0.15">
      <c r="A8" s="176" t="s">
        <v>199</v>
      </c>
      <c r="B8" s="140">
        <v>0</v>
      </c>
      <c r="C8" s="140">
        <v>0</v>
      </c>
      <c r="D8" s="140">
        <v>0</v>
      </c>
      <c r="E8" s="140">
        <v>0</v>
      </c>
      <c r="F8" s="140">
        <v>0</v>
      </c>
      <c r="G8" s="140">
        <v>0</v>
      </c>
      <c r="H8" s="140">
        <v>0.05</v>
      </c>
      <c r="I8" s="140">
        <v>0</v>
      </c>
      <c r="J8" s="140">
        <v>0</v>
      </c>
      <c r="K8" s="140">
        <v>2.5000000000000001E-2</v>
      </c>
      <c r="L8" s="140">
        <v>0</v>
      </c>
      <c r="M8" s="140">
        <v>0</v>
      </c>
      <c r="N8" s="140">
        <v>0</v>
      </c>
      <c r="O8" s="140">
        <v>0</v>
      </c>
      <c r="P8" s="140">
        <v>0</v>
      </c>
      <c r="Q8" s="140">
        <v>0</v>
      </c>
      <c r="R8" s="140">
        <v>0</v>
      </c>
      <c r="S8" s="140">
        <v>0</v>
      </c>
      <c r="T8" s="140">
        <v>4.9999999999999989E-2</v>
      </c>
      <c r="U8" s="140">
        <v>7.0000000000000007E-2</v>
      </c>
      <c r="V8" s="140">
        <v>0</v>
      </c>
      <c r="W8" s="140">
        <v>0.17</v>
      </c>
      <c r="X8" s="140">
        <v>0</v>
      </c>
      <c r="Y8" s="140">
        <v>0</v>
      </c>
      <c r="Z8" s="140">
        <v>0</v>
      </c>
      <c r="AA8" s="140">
        <v>0</v>
      </c>
      <c r="AB8" s="140">
        <v>0</v>
      </c>
    </row>
    <row r="9" spans="1:34" customFormat="1" x14ac:dyDescent="0.15">
      <c r="A9" s="176" t="s">
        <v>200</v>
      </c>
      <c r="B9" s="140">
        <v>0</v>
      </c>
      <c r="C9" s="140">
        <v>0</v>
      </c>
      <c r="D9" s="140">
        <v>0</v>
      </c>
      <c r="E9" s="140">
        <v>0</v>
      </c>
      <c r="F9" s="140">
        <v>0</v>
      </c>
      <c r="G9" s="140">
        <v>0</v>
      </c>
      <c r="H9" s="140">
        <v>0</v>
      </c>
      <c r="I9" s="140">
        <v>0</v>
      </c>
      <c r="J9" s="140">
        <v>0</v>
      </c>
      <c r="K9" s="140">
        <v>0</v>
      </c>
      <c r="L9" s="140">
        <v>0</v>
      </c>
      <c r="M9" s="140">
        <v>5.5E-2</v>
      </c>
      <c r="N9" s="140">
        <v>0</v>
      </c>
      <c r="O9" s="140">
        <v>0</v>
      </c>
      <c r="P9" s="140">
        <v>0</v>
      </c>
      <c r="Q9" s="140">
        <v>1.7000000000000001E-2</v>
      </c>
      <c r="R9" s="140">
        <v>0</v>
      </c>
      <c r="S9" s="140">
        <v>0.308</v>
      </c>
      <c r="T9" s="140">
        <v>0</v>
      </c>
      <c r="U9" s="140">
        <v>0</v>
      </c>
      <c r="V9" s="140">
        <v>6.0000000000000001E-3</v>
      </c>
      <c r="W9" s="140">
        <v>1.2E-2</v>
      </c>
      <c r="X9" s="140">
        <v>3.7999999999999999E-2</v>
      </c>
      <c r="Y9" s="140">
        <v>1.4999999999999996E-2</v>
      </c>
      <c r="Z9" s="140">
        <v>8.9999999999999976E-3</v>
      </c>
      <c r="AA9" s="140">
        <v>0</v>
      </c>
      <c r="AB9" s="140">
        <v>0</v>
      </c>
    </row>
    <row r="10" spans="1:34" customFormat="1" x14ac:dyDescent="0.15">
      <c r="A10" s="176" t="s">
        <v>201</v>
      </c>
      <c r="B10" s="140">
        <v>0</v>
      </c>
      <c r="C10" s="140">
        <v>0</v>
      </c>
      <c r="D10" s="140">
        <v>0</v>
      </c>
      <c r="E10" s="140">
        <v>0</v>
      </c>
      <c r="F10" s="140">
        <v>0</v>
      </c>
      <c r="G10" s="140">
        <v>0</v>
      </c>
      <c r="H10" s="140">
        <v>0</v>
      </c>
      <c r="I10" s="140">
        <v>0</v>
      </c>
      <c r="J10" s="140">
        <v>0</v>
      </c>
      <c r="K10" s="140">
        <v>0</v>
      </c>
      <c r="L10" s="140">
        <v>0</v>
      </c>
      <c r="M10" s="140">
        <v>1E-3</v>
      </c>
      <c r="N10" s="140">
        <v>0</v>
      </c>
      <c r="O10" s="140">
        <v>0</v>
      </c>
      <c r="P10" s="140">
        <v>0</v>
      </c>
      <c r="Q10" s="140">
        <v>3.0000000000000001E-3</v>
      </c>
      <c r="R10" s="140">
        <v>0</v>
      </c>
      <c r="S10" s="140">
        <v>6.0000000000000001E-3</v>
      </c>
      <c r="T10" s="140">
        <v>0</v>
      </c>
      <c r="U10" s="140">
        <v>0</v>
      </c>
      <c r="V10" s="140">
        <v>1E-3</v>
      </c>
      <c r="W10" s="140">
        <v>0.01</v>
      </c>
      <c r="X10" s="140">
        <v>0.14899999999999999</v>
      </c>
      <c r="Y10" s="140">
        <v>1.5999999999999997E-2</v>
      </c>
      <c r="Z10" s="140">
        <v>4.9999999999999992E-3</v>
      </c>
      <c r="AA10" s="140">
        <v>0</v>
      </c>
      <c r="AB10" s="140">
        <v>0</v>
      </c>
    </row>
    <row r="11" spans="1:34" customFormat="1" x14ac:dyDescent="0.15">
      <c r="A11" s="176" t="s">
        <v>202</v>
      </c>
      <c r="B11" s="140">
        <v>0</v>
      </c>
      <c r="C11" s="140">
        <v>0</v>
      </c>
      <c r="D11" s="140">
        <v>0</v>
      </c>
      <c r="E11" s="140">
        <v>0</v>
      </c>
      <c r="F11" s="140">
        <v>0</v>
      </c>
      <c r="G11" s="140">
        <v>0</v>
      </c>
      <c r="H11" s="140">
        <v>0</v>
      </c>
      <c r="I11" s="140">
        <v>0</v>
      </c>
      <c r="J11" s="140">
        <v>0</v>
      </c>
      <c r="K11" s="140">
        <v>8.9999999999999993E-3</v>
      </c>
      <c r="L11" s="140">
        <v>0</v>
      </c>
      <c r="M11" s="140">
        <v>5.2999999999999999E-2</v>
      </c>
      <c r="N11" s="140">
        <v>0</v>
      </c>
      <c r="O11" s="140">
        <v>0</v>
      </c>
      <c r="P11" s="140">
        <v>0.08</v>
      </c>
      <c r="Q11" s="140">
        <v>0.05</v>
      </c>
      <c r="R11" s="140">
        <v>0.25</v>
      </c>
      <c r="S11" s="140">
        <v>0.11799999999999999</v>
      </c>
      <c r="T11" s="140">
        <v>6.9999999999999993E-2</v>
      </c>
      <c r="U11" s="140">
        <v>0</v>
      </c>
      <c r="V11" s="140">
        <v>3.9E-2</v>
      </c>
      <c r="W11" s="140">
        <v>2.5000000000000001E-2</v>
      </c>
      <c r="X11" s="140">
        <v>0.46500000000000002</v>
      </c>
      <c r="Y11" s="140">
        <v>0.37699999999999989</v>
      </c>
      <c r="Z11" s="140">
        <v>6.5999999999999989E-2</v>
      </c>
      <c r="AA11" s="140">
        <v>0</v>
      </c>
      <c r="AB11" s="140">
        <v>0</v>
      </c>
    </row>
    <row r="12" spans="1:34" customFormat="1" x14ac:dyDescent="0.15">
      <c r="A12" s="176" t="s">
        <v>203</v>
      </c>
      <c r="B12" s="140">
        <v>0</v>
      </c>
      <c r="C12" s="140">
        <v>0</v>
      </c>
      <c r="D12" s="140">
        <v>0</v>
      </c>
      <c r="E12" s="140">
        <v>0</v>
      </c>
      <c r="F12" s="140">
        <v>0</v>
      </c>
      <c r="G12" s="140">
        <v>0</v>
      </c>
      <c r="H12" s="140">
        <v>0</v>
      </c>
      <c r="I12" s="140">
        <v>0</v>
      </c>
      <c r="J12" s="140">
        <v>0</v>
      </c>
      <c r="K12" s="140">
        <v>5.0000000000000001E-3</v>
      </c>
      <c r="L12" s="140">
        <v>0</v>
      </c>
      <c r="M12" s="140">
        <v>0.10299999999999999</v>
      </c>
      <c r="N12" s="140">
        <v>0</v>
      </c>
      <c r="O12" s="140">
        <v>0</v>
      </c>
      <c r="P12" s="140">
        <v>0.02</v>
      </c>
      <c r="Q12" s="140">
        <v>0.13300000000000001</v>
      </c>
      <c r="R12" s="140">
        <v>3.3000000000000002E-2</v>
      </c>
      <c r="S12" s="140">
        <v>2.5999999999999999E-2</v>
      </c>
      <c r="T12" s="140">
        <v>9.9999999999999978E-2</v>
      </c>
      <c r="U12" s="140">
        <v>0.03</v>
      </c>
      <c r="V12" s="140">
        <v>3.5999999999999997E-2</v>
      </c>
      <c r="W12" s="140">
        <v>2.5000000000000001E-2</v>
      </c>
      <c r="X12" s="140">
        <v>0.05</v>
      </c>
      <c r="Y12" s="140">
        <v>0.10399999999999997</v>
      </c>
      <c r="Z12" s="140">
        <v>0</v>
      </c>
      <c r="AA12" s="140">
        <v>0</v>
      </c>
      <c r="AB12" s="140">
        <v>0</v>
      </c>
    </row>
    <row r="13" spans="1:34" customFormat="1" x14ac:dyDescent="0.15">
      <c r="A13" s="176" t="s">
        <v>166</v>
      </c>
      <c r="B13" s="140">
        <v>0</v>
      </c>
      <c r="C13" s="140">
        <v>0</v>
      </c>
      <c r="D13" s="140">
        <v>0</v>
      </c>
      <c r="E13" s="140">
        <v>0</v>
      </c>
      <c r="F13" s="140">
        <v>0</v>
      </c>
      <c r="G13" s="140">
        <v>0</v>
      </c>
      <c r="H13" s="140">
        <v>0</v>
      </c>
      <c r="I13" s="140">
        <v>0</v>
      </c>
      <c r="J13" s="140">
        <v>0</v>
      </c>
      <c r="K13" s="140">
        <v>0</v>
      </c>
      <c r="L13" s="140">
        <v>0</v>
      </c>
      <c r="M13" s="140">
        <v>0.01</v>
      </c>
      <c r="N13" s="140">
        <v>0</v>
      </c>
      <c r="O13" s="140">
        <v>0</v>
      </c>
      <c r="P13" s="140">
        <v>0</v>
      </c>
      <c r="Q13" s="140">
        <v>0.29499999999999998</v>
      </c>
      <c r="R13" s="140">
        <v>7.0000000000000007E-2</v>
      </c>
      <c r="S13" s="140">
        <v>3.9E-2</v>
      </c>
      <c r="T13" s="140">
        <v>7.4999999999999983E-2</v>
      </c>
      <c r="U13" s="140">
        <v>0.27</v>
      </c>
      <c r="V13" s="140">
        <v>0.154</v>
      </c>
      <c r="W13" s="140">
        <v>0.1</v>
      </c>
      <c r="X13" s="140">
        <v>4.4999999999999998E-2</v>
      </c>
      <c r="Y13" s="140">
        <v>3.4999999999999996E-2</v>
      </c>
      <c r="Z13" s="140">
        <v>0.25399999999999995</v>
      </c>
      <c r="AA13" s="140">
        <v>0</v>
      </c>
      <c r="AB13" s="140">
        <v>0</v>
      </c>
    </row>
    <row r="14" spans="1:34" customFormat="1" x14ac:dyDescent="0.15">
      <c r="A14" s="176" t="s">
        <v>204</v>
      </c>
      <c r="B14" s="140">
        <v>0</v>
      </c>
      <c r="C14" s="140">
        <v>0</v>
      </c>
      <c r="D14" s="140">
        <v>0</v>
      </c>
      <c r="E14" s="140">
        <v>0</v>
      </c>
      <c r="F14" s="140">
        <v>0</v>
      </c>
      <c r="G14" s="140">
        <v>0</v>
      </c>
      <c r="H14" s="140">
        <v>0</v>
      </c>
      <c r="I14" s="140">
        <v>0</v>
      </c>
      <c r="J14" s="140">
        <v>0</v>
      </c>
      <c r="K14" s="140">
        <v>0.01</v>
      </c>
      <c r="L14" s="140">
        <v>0</v>
      </c>
      <c r="M14" s="140">
        <v>6.8000000000000005E-2</v>
      </c>
      <c r="N14" s="140">
        <v>0</v>
      </c>
      <c r="O14" s="140">
        <v>0</v>
      </c>
      <c r="P14" s="140">
        <v>0</v>
      </c>
      <c r="Q14" s="140">
        <v>0.08</v>
      </c>
      <c r="R14" s="140">
        <v>6.5000000000000002E-2</v>
      </c>
      <c r="S14" s="140">
        <v>5.6000000000000001E-2</v>
      </c>
      <c r="T14" s="140">
        <v>9.9999999999999985E-3</v>
      </c>
      <c r="U14" s="140">
        <v>2.5000000000000001E-2</v>
      </c>
      <c r="V14" s="140">
        <v>3.4000000000000002E-2</v>
      </c>
      <c r="W14" s="140">
        <v>7.0000000000000007E-2</v>
      </c>
      <c r="X14" s="140">
        <v>8.3000000000000004E-2</v>
      </c>
      <c r="Y14" s="140">
        <v>2.2999999999999996E-2</v>
      </c>
      <c r="Z14" s="140">
        <v>3.9999999999999992E-3</v>
      </c>
      <c r="AA14" s="140">
        <v>0</v>
      </c>
      <c r="AB14" s="140">
        <v>0</v>
      </c>
    </row>
    <row r="15" spans="1:34" customFormat="1" x14ac:dyDescent="0.15">
      <c r="A15" s="176" t="s">
        <v>205</v>
      </c>
      <c r="B15" s="140">
        <v>0</v>
      </c>
      <c r="C15" s="140">
        <v>0</v>
      </c>
      <c r="D15" s="140">
        <v>0</v>
      </c>
      <c r="E15" s="140">
        <v>0</v>
      </c>
      <c r="F15" s="140">
        <v>0</v>
      </c>
      <c r="G15" s="140">
        <v>0</v>
      </c>
      <c r="H15" s="140">
        <v>0</v>
      </c>
      <c r="I15" s="140">
        <v>0</v>
      </c>
      <c r="J15" s="140">
        <v>0</v>
      </c>
      <c r="K15" s="140">
        <v>0</v>
      </c>
      <c r="L15" s="140">
        <v>0</v>
      </c>
      <c r="M15" s="140">
        <v>0.1</v>
      </c>
      <c r="N15" s="140">
        <v>0</v>
      </c>
      <c r="O15" s="140">
        <v>0</v>
      </c>
      <c r="P15" s="140">
        <v>0</v>
      </c>
      <c r="Q15" s="140">
        <v>2.8000000000000001E-2</v>
      </c>
      <c r="R15" s="140">
        <v>0</v>
      </c>
      <c r="S15" s="140">
        <v>5.3999999999999999E-2</v>
      </c>
      <c r="T15" s="140">
        <v>0</v>
      </c>
      <c r="U15" s="140">
        <v>0</v>
      </c>
      <c r="V15" s="140">
        <v>0</v>
      </c>
      <c r="W15" s="140">
        <v>3.0000000000000001E-3</v>
      </c>
      <c r="X15" s="140">
        <v>5.0000000000000001E-3</v>
      </c>
      <c r="Y15" s="140">
        <v>4.9999999999999989E-2</v>
      </c>
      <c r="Z15" s="140">
        <v>4.9999999999999989E-2</v>
      </c>
      <c r="AA15" s="140">
        <v>0</v>
      </c>
      <c r="AB15" s="140">
        <v>0</v>
      </c>
    </row>
    <row r="16" spans="1:34" customFormat="1" x14ac:dyDescent="0.15">
      <c r="A16" s="176" t="s">
        <v>206</v>
      </c>
      <c r="B16" s="140">
        <v>0</v>
      </c>
      <c r="C16" s="140">
        <v>0</v>
      </c>
      <c r="D16" s="140">
        <v>0</v>
      </c>
      <c r="E16" s="140">
        <v>0</v>
      </c>
      <c r="F16" s="140">
        <v>0</v>
      </c>
      <c r="G16" s="140">
        <v>0</v>
      </c>
      <c r="H16" s="140">
        <v>0</v>
      </c>
      <c r="I16" s="140">
        <v>0</v>
      </c>
      <c r="J16" s="140">
        <v>0</v>
      </c>
      <c r="K16" s="140">
        <v>0</v>
      </c>
      <c r="L16" s="140">
        <v>0</v>
      </c>
      <c r="M16" s="140">
        <v>0</v>
      </c>
      <c r="N16" s="140">
        <v>0</v>
      </c>
      <c r="O16" s="140">
        <v>0</v>
      </c>
      <c r="P16" s="140">
        <v>0</v>
      </c>
      <c r="Q16" s="140">
        <v>0</v>
      </c>
      <c r="R16" s="140">
        <v>0</v>
      </c>
      <c r="S16" s="140">
        <v>3.3000000000000002E-2</v>
      </c>
      <c r="T16" s="140">
        <v>0</v>
      </c>
      <c r="U16" s="140">
        <v>1.4999999999999999E-2</v>
      </c>
      <c r="V16" s="140">
        <v>0.02</v>
      </c>
      <c r="W16" s="140">
        <v>0.02</v>
      </c>
      <c r="X16" s="140">
        <v>0</v>
      </c>
      <c r="Y16" s="140">
        <v>5.2999999999999985E-2</v>
      </c>
      <c r="Z16" s="140">
        <v>4.299999999999999E-2</v>
      </c>
      <c r="AA16" s="140">
        <v>0</v>
      </c>
      <c r="AB16" s="140">
        <v>0</v>
      </c>
    </row>
    <row r="17" spans="1:28" customFormat="1" x14ac:dyDescent="0.15">
      <c r="A17" s="176" t="s">
        <v>207</v>
      </c>
      <c r="B17" s="140">
        <v>0</v>
      </c>
      <c r="C17" s="140">
        <v>0</v>
      </c>
      <c r="D17" s="140">
        <v>0</v>
      </c>
      <c r="E17" s="140">
        <v>0</v>
      </c>
      <c r="F17" s="140">
        <v>0</v>
      </c>
      <c r="G17" s="140">
        <v>0</v>
      </c>
      <c r="H17" s="140">
        <v>0</v>
      </c>
      <c r="I17" s="140">
        <v>0</v>
      </c>
      <c r="J17" s="140">
        <v>0</v>
      </c>
      <c r="K17" s="140">
        <v>0</v>
      </c>
      <c r="L17" s="140">
        <v>0</v>
      </c>
      <c r="M17" s="140">
        <v>0</v>
      </c>
      <c r="N17" s="140">
        <v>0</v>
      </c>
      <c r="O17" s="140">
        <v>0</v>
      </c>
      <c r="P17" s="140">
        <v>0</v>
      </c>
      <c r="Q17" s="140">
        <v>0</v>
      </c>
      <c r="R17" s="140">
        <v>0</v>
      </c>
      <c r="S17" s="140">
        <v>0</v>
      </c>
      <c r="T17" s="140">
        <v>0</v>
      </c>
      <c r="U17" s="140">
        <v>0</v>
      </c>
      <c r="V17" s="140">
        <v>0</v>
      </c>
      <c r="W17" s="140">
        <v>4.0000000000000001E-3</v>
      </c>
      <c r="X17" s="140">
        <v>3.0000000000000001E-3</v>
      </c>
      <c r="Y17" s="140">
        <v>0</v>
      </c>
      <c r="Z17" s="140">
        <v>1.8999999999999996E-2</v>
      </c>
      <c r="AA17" s="140">
        <v>0</v>
      </c>
      <c r="AB17" s="140">
        <v>0</v>
      </c>
    </row>
    <row r="18" spans="1:28" customFormat="1" x14ac:dyDescent="0.15">
      <c r="A18" s="176" t="s">
        <v>208</v>
      </c>
      <c r="B18" s="140">
        <v>0</v>
      </c>
      <c r="C18" s="140">
        <v>0</v>
      </c>
      <c r="D18" s="140">
        <v>0</v>
      </c>
      <c r="E18" s="140">
        <v>0</v>
      </c>
      <c r="F18" s="140">
        <v>0</v>
      </c>
      <c r="G18" s="140">
        <v>0</v>
      </c>
      <c r="H18" s="140">
        <v>0</v>
      </c>
      <c r="I18" s="140">
        <v>0</v>
      </c>
      <c r="J18" s="140">
        <v>0</v>
      </c>
      <c r="K18" s="140">
        <v>0</v>
      </c>
      <c r="L18" s="140">
        <v>0</v>
      </c>
      <c r="M18" s="140">
        <v>0</v>
      </c>
      <c r="N18" s="140">
        <v>0</v>
      </c>
      <c r="O18" s="140">
        <v>0</v>
      </c>
      <c r="P18" s="140">
        <v>0</v>
      </c>
      <c r="Q18" s="140">
        <v>2.3E-2</v>
      </c>
      <c r="R18" s="140">
        <v>0</v>
      </c>
      <c r="S18" s="140">
        <v>8.3000000000000004E-2</v>
      </c>
      <c r="T18" s="140">
        <v>2.2999999999999996E-2</v>
      </c>
      <c r="U18" s="140">
        <v>0</v>
      </c>
      <c r="V18" s="140">
        <v>0</v>
      </c>
      <c r="W18" s="140">
        <v>0</v>
      </c>
      <c r="X18" s="140">
        <v>2E-3</v>
      </c>
      <c r="Y18" s="140">
        <v>0.15799999999999997</v>
      </c>
      <c r="Z18" s="140">
        <v>0</v>
      </c>
      <c r="AA18" s="140">
        <v>0</v>
      </c>
      <c r="AB18" s="140">
        <v>0</v>
      </c>
    </row>
    <row r="19" spans="1:28" customFormat="1" x14ac:dyDescent="0.15">
      <c r="A19" s="176" t="s">
        <v>209</v>
      </c>
      <c r="B19" s="140">
        <v>0</v>
      </c>
      <c r="C19" s="140">
        <v>0</v>
      </c>
      <c r="D19" s="140">
        <v>0</v>
      </c>
      <c r="E19" s="140">
        <v>0</v>
      </c>
      <c r="F19" s="140">
        <v>0</v>
      </c>
      <c r="G19" s="140">
        <v>0</v>
      </c>
      <c r="H19" s="140">
        <v>0</v>
      </c>
      <c r="I19" s="140">
        <v>0</v>
      </c>
      <c r="J19" s="140">
        <v>0</v>
      </c>
      <c r="K19" s="140">
        <v>0</v>
      </c>
      <c r="L19" s="140">
        <v>0</v>
      </c>
      <c r="M19" s="140">
        <v>0.03</v>
      </c>
      <c r="N19" s="140">
        <v>0</v>
      </c>
      <c r="O19" s="140">
        <v>0</v>
      </c>
      <c r="P19" s="140">
        <v>0</v>
      </c>
      <c r="Q19" s="140">
        <v>2.5000000000000001E-2</v>
      </c>
      <c r="R19" s="140">
        <v>0</v>
      </c>
      <c r="S19" s="140">
        <v>0.08</v>
      </c>
      <c r="T19" s="140">
        <v>5.9999999999999984E-2</v>
      </c>
      <c r="U19" s="140">
        <v>2.5000000000000001E-2</v>
      </c>
      <c r="V19" s="140">
        <v>0</v>
      </c>
      <c r="W19" s="140">
        <v>2E-3</v>
      </c>
      <c r="X19" s="140">
        <v>5.1999999999999998E-2</v>
      </c>
      <c r="Y19" s="140">
        <v>0.15799999999999997</v>
      </c>
      <c r="Z19" s="140">
        <v>2.3999999999999994E-2</v>
      </c>
      <c r="AA19" s="140">
        <v>0</v>
      </c>
      <c r="AB19" s="140">
        <v>0</v>
      </c>
    </row>
    <row r="20" spans="1:28" customFormat="1" x14ac:dyDescent="0.15">
      <c r="A20" s="176" t="s">
        <v>210</v>
      </c>
      <c r="B20" s="140">
        <v>0</v>
      </c>
      <c r="C20" s="140">
        <v>0</v>
      </c>
      <c r="D20" s="140">
        <v>0</v>
      </c>
      <c r="E20" s="140">
        <v>0</v>
      </c>
      <c r="F20" s="140">
        <v>0</v>
      </c>
      <c r="G20" s="140">
        <v>0</v>
      </c>
      <c r="H20" s="140">
        <v>0</v>
      </c>
      <c r="I20" s="140">
        <v>0</v>
      </c>
      <c r="J20" s="140">
        <v>0</v>
      </c>
      <c r="K20" s="140">
        <v>0</v>
      </c>
      <c r="L20" s="140">
        <v>0</v>
      </c>
      <c r="M20" s="140">
        <v>0</v>
      </c>
      <c r="N20" s="140">
        <v>0</v>
      </c>
      <c r="O20" s="140">
        <v>0</v>
      </c>
      <c r="P20" s="140">
        <v>0</v>
      </c>
      <c r="Q20" s="140">
        <v>4.5999999999999999E-2</v>
      </c>
      <c r="R20" s="140">
        <v>0</v>
      </c>
      <c r="S20" s="140">
        <v>2.9000000000000001E-2</v>
      </c>
      <c r="T20" s="140">
        <v>0</v>
      </c>
      <c r="U20" s="140">
        <v>6.5000000000000002E-2</v>
      </c>
      <c r="V20" s="140">
        <v>0.02</v>
      </c>
      <c r="W20" s="140">
        <v>2E-3</v>
      </c>
      <c r="X20" s="140">
        <v>4.5999999999999999E-2</v>
      </c>
      <c r="Y20" s="140">
        <v>0</v>
      </c>
      <c r="Z20" s="140">
        <v>2.3999999999999994E-2</v>
      </c>
      <c r="AA20" s="140">
        <v>0</v>
      </c>
      <c r="AB20" s="140">
        <v>0</v>
      </c>
    </row>
    <row r="21" spans="1:28" customFormat="1" x14ac:dyDescent="0.15">
      <c r="A21" s="176" t="s">
        <v>211</v>
      </c>
      <c r="B21" s="140">
        <v>0</v>
      </c>
      <c r="C21" s="140">
        <v>0</v>
      </c>
      <c r="D21" s="140">
        <v>0</v>
      </c>
      <c r="E21" s="140">
        <v>0</v>
      </c>
      <c r="F21" s="140">
        <v>0</v>
      </c>
      <c r="G21" s="140">
        <v>0</v>
      </c>
      <c r="H21" s="140">
        <v>0</v>
      </c>
      <c r="I21" s="140">
        <v>0</v>
      </c>
      <c r="J21" s="140">
        <v>0</v>
      </c>
      <c r="K21" s="140">
        <v>0</v>
      </c>
      <c r="L21" s="140">
        <v>0</v>
      </c>
      <c r="M21" s="140">
        <v>0</v>
      </c>
      <c r="N21" s="140">
        <v>0</v>
      </c>
      <c r="O21" s="140">
        <v>0</v>
      </c>
      <c r="P21" s="140">
        <v>0</v>
      </c>
      <c r="Q21" s="140">
        <v>0</v>
      </c>
      <c r="R21" s="140">
        <v>0</v>
      </c>
      <c r="S21" s="140">
        <v>1.2999999999999999E-2</v>
      </c>
      <c r="T21" s="140">
        <v>5.4999999999999986E-2</v>
      </c>
      <c r="U21" s="140">
        <v>2.5000000000000001E-2</v>
      </c>
      <c r="V21" s="140">
        <v>0</v>
      </c>
      <c r="W21" s="140">
        <v>0.05</v>
      </c>
      <c r="X21" s="140">
        <v>0</v>
      </c>
      <c r="Y21" s="140">
        <v>0</v>
      </c>
      <c r="Z21" s="140">
        <v>0</v>
      </c>
      <c r="AA21" s="140">
        <v>0</v>
      </c>
      <c r="AB21" s="140">
        <v>0</v>
      </c>
    </row>
    <row r="22" spans="1:28" customFormat="1" x14ac:dyDescent="0.15">
      <c r="A22" s="176" t="s">
        <v>212</v>
      </c>
      <c r="B22" s="140">
        <v>0</v>
      </c>
      <c r="C22" s="140">
        <v>0</v>
      </c>
      <c r="D22" s="140">
        <v>0</v>
      </c>
      <c r="E22" s="140">
        <v>0</v>
      </c>
      <c r="F22" s="140">
        <v>0</v>
      </c>
      <c r="G22" s="140">
        <v>0</v>
      </c>
      <c r="H22" s="140">
        <v>0</v>
      </c>
      <c r="I22" s="140">
        <v>0</v>
      </c>
      <c r="J22" s="140">
        <v>0</v>
      </c>
      <c r="K22" s="140">
        <v>0</v>
      </c>
      <c r="L22" s="140">
        <v>0</v>
      </c>
      <c r="M22" s="140">
        <v>0</v>
      </c>
      <c r="N22" s="140">
        <v>0</v>
      </c>
      <c r="O22" s="140">
        <v>0</v>
      </c>
      <c r="P22" s="140">
        <v>0</v>
      </c>
      <c r="Q22" s="140">
        <v>0.1</v>
      </c>
      <c r="R22" s="140">
        <v>0</v>
      </c>
      <c r="S22" s="140">
        <v>1.2999999999999999E-2</v>
      </c>
      <c r="T22" s="140">
        <v>4.9999999999999989E-2</v>
      </c>
      <c r="U22" s="140">
        <v>0.01</v>
      </c>
      <c r="V22" s="140">
        <v>0.01</v>
      </c>
      <c r="W22" s="140">
        <v>0.02</v>
      </c>
      <c r="X22" s="140">
        <v>1.4999999999999999E-2</v>
      </c>
      <c r="Y22" s="140">
        <v>1.0999999999999998E-2</v>
      </c>
      <c r="Z22" s="140">
        <v>0</v>
      </c>
      <c r="AA22" s="140">
        <v>0</v>
      </c>
      <c r="AB22" s="140">
        <v>0</v>
      </c>
    </row>
    <row r="23" spans="1:28" customFormat="1" x14ac:dyDescent="0.15">
      <c r="A23" s="176" t="s">
        <v>213</v>
      </c>
      <c r="B23" s="140">
        <v>0</v>
      </c>
      <c r="C23" s="140">
        <v>0</v>
      </c>
      <c r="D23" s="140">
        <v>0</v>
      </c>
      <c r="E23" s="140">
        <v>0</v>
      </c>
      <c r="F23" s="140">
        <v>0</v>
      </c>
      <c r="G23" s="140">
        <v>0</v>
      </c>
      <c r="H23" s="140">
        <v>0</v>
      </c>
      <c r="I23" s="140">
        <v>0</v>
      </c>
      <c r="J23" s="140">
        <v>0</v>
      </c>
      <c r="K23" s="140">
        <v>0</v>
      </c>
      <c r="L23" s="140">
        <v>0</v>
      </c>
      <c r="M23" s="140">
        <v>0</v>
      </c>
      <c r="N23" s="140">
        <v>0</v>
      </c>
      <c r="O23" s="140">
        <v>0</v>
      </c>
      <c r="P23" s="140">
        <v>0</v>
      </c>
      <c r="Q23" s="140">
        <v>0</v>
      </c>
      <c r="R23" s="140">
        <v>0</v>
      </c>
      <c r="S23" s="140">
        <v>0</v>
      </c>
      <c r="T23" s="140">
        <v>0</v>
      </c>
      <c r="U23" s="140">
        <v>0</v>
      </c>
      <c r="V23" s="140">
        <v>0</v>
      </c>
      <c r="W23" s="140">
        <v>0.1</v>
      </c>
      <c r="X23" s="140">
        <v>0</v>
      </c>
      <c r="Y23" s="140">
        <v>0</v>
      </c>
      <c r="Z23" s="140">
        <v>0</v>
      </c>
      <c r="AA23" s="140">
        <v>0</v>
      </c>
      <c r="AB23" s="140">
        <v>0</v>
      </c>
    </row>
    <row r="24" spans="1:28" customFormat="1" x14ac:dyDescent="0.15">
      <c r="A24" s="176" t="s">
        <v>214</v>
      </c>
      <c r="B24" s="140">
        <v>0</v>
      </c>
      <c r="C24" s="140">
        <v>0</v>
      </c>
      <c r="D24" s="140">
        <v>0</v>
      </c>
      <c r="E24" s="140">
        <v>0</v>
      </c>
      <c r="F24" s="140">
        <v>0</v>
      </c>
      <c r="G24" s="140">
        <v>0</v>
      </c>
      <c r="H24" s="140">
        <v>0</v>
      </c>
      <c r="I24" s="140">
        <v>0</v>
      </c>
      <c r="J24" s="140">
        <v>0</v>
      </c>
      <c r="K24" s="140">
        <v>0</v>
      </c>
      <c r="L24" s="140">
        <v>0</v>
      </c>
      <c r="M24" s="140">
        <v>0</v>
      </c>
      <c r="N24" s="140">
        <v>0</v>
      </c>
      <c r="O24" s="140">
        <v>0</v>
      </c>
      <c r="P24" s="140">
        <v>0</v>
      </c>
      <c r="Q24" s="140">
        <v>0</v>
      </c>
      <c r="R24" s="140">
        <v>0</v>
      </c>
      <c r="S24" s="140">
        <v>0</v>
      </c>
      <c r="T24" s="140">
        <v>0</v>
      </c>
      <c r="U24" s="140">
        <v>0</v>
      </c>
      <c r="V24" s="140">
        <v>0</v>
      </c>
      <c r="W24" s="140">
        <v>0</v>
      </c>
      <c r="X24" s="140">
        <v>0</v>
      </c>
      <c r="Y24" s="140">
        <v>0</v>
      </c>
      <c r="Z24" s="140">
        <v>2.9999999999999992E-3</v>
      </c>
      <c r="AA24" s="140">
        <v>0</v>
      </c>
      <c r="AB24" s="140">
        <v>0</v>
      </c>
    </row>
    <row r="25" spans="1:28" customFormat="1" x14ac:dyDescent="0.15">
      <c r="A25" s="176" t="s">
        <v>215</v>
      </c>
      <c r="B25" s="140">
        <v>0</v>
      </c>
      <c r="C25" s="140">
        <v>0</v>
      </c>
      <c r="D25" s="140">
        <v>0</v>
      </c>
      <c r="E25" s="140">
        <v>0</v>
      </c>
      <c r="F25" s="140">
        <v>0</v>
      </c>
      <c r="G25" s="140">
        <v>0</v>
      </c>
      <c r="H25" s="140">
        <v>0</v>
      </c>
      <c r="I25" s="140">
        <v>0</v>
      </c>
      <c r="J25" s="140">
        <v>0</v>
      </c>
      <c r="K25" s="140">
        <v>0</v>
      </c>
      <c r="L25" s="140">
        <v>0</v>
      </c>
      <c r="M25" s="140">
        <v>0</v>
      </c>
      <c r="N25" s="140">
        <v>0</v>
      </c>
      <c r="O25" s="140">
        <v>0</v>
      </c>
      <c r="P25" s="140">
        <v>0</v>
      </c>
      <c r="Q25" s="140">
        <v>0</v>
      </c>
      <c r="R25" s="140">
        <v>0</v>
      </c>
      <c r="S25" s="140">
        <v>0</v>
      </c>
      <c r="T25" s="140">
        <v>0</v>
      </c>
      <c r="U25" s="140">
        <v>0</v>
      </c>
      <c r="V25" s="140">
        <v>0</v>
      </c>
      <c r="W25" s="140">
        <v>2E-3</v>
      </c>
      <c r="X25" s="140">
        <v>1E-3</v>
      </c>
      <c r="Y25" s="140">
        <v>0</v>
      </c>
      <c r="Z25" s="140">
        <v>3.2999999999999995E-2</v>
      </c>
      <c r="AA25" s="140">
        <v>0</v>
      </c>
      <c r="AB25" s="140">
        <v>0</v>
      </c>
    </row>
    <row r="26" spans="1:28" customFormat="1" x14ac:dyDescent="0.15">
      <c r="A26" s="176" t="s">
        <v>216</v>
      </c>
      <c r="B26" s="140">
        <v>0</v>
      </c>
      <c r="C26" s="140">
        <v>0</v>
      </c>
      <c r="D26" s="140">
        <v>0</v>
      </c>
      <c r="E26" s="140">
        <v>0</v>
      </c>
      <c r="F26" s="140">
        <v>0</v>
      </c>
      <c r="G26" s="140">
        <v>0</v>
      </c>
      <c r="H26" s="140">
        <v>0</v>
      </c>
      <c r="I26" s="140">
        <v>0</v>
      </c>
      <c r="J26" s="140">
        <v>0</v>
      </c>
      <c r="K26" s="140">
        <v>0</v>
      </c>
      <c r="L26" s="140">
        <v>0</v>
      </c>
      <c r="M26" s="140">
        <v>0</v>
      </c>
      <c r="N26" s="140">
        <v>0</v>
      </c>
      <c r="O26" s="140">
        <v>0</v>
      </c>
      <c r="P26" s="140">
        <v>0</v>
      </c>
      <c r="Q26" s="140">
        <v>0</v>
      </c>
      <c r="R26" s="140">
        <v>0</v>
      </c>
      <c r="S26" s="140">
        <v>0</v>
      </c>
      <c r="T26" s="140">
        <v>0</v>
      </c>
      <c r="U26" s="140">
        <v>0</v>
      </c>
      <c r="V26" s="140">
        <v>0</v>
      </c>
      <c r="W26" s="140">
        <v>0</v>
      </c>
      <c r="X26" s="140">
        <v>0</v>
      </c>
      <c r="Y26" s="140">
        <v>0</v>
      </c>
      <c r="Z26" s="140">
        <v>0</v>
      </c>
      <c r="AA26" s="140">
        <v>0</v>
      </c>
      <c r="AB26" s="140">
        <v>0</v>
      </c>
    </row>
    <row r="27" spans="1:28" customFormat="1" x14ac:dyDescent="0.15">
      <c r="A27" s="176" t="s">
        <v>217</v>
      </c>
      <c r="B27" s="140">
        <v>0</v>
      </c>
      <c r="C27" s="140">
        <v>0.47</v>
      </c>
      <c r="D27" s="140">
        <v>0</v>
      </c>
      <c r="E27" s="140">
        <v>0</v>
      </c>
      <c r="F27" s="140">
        <v>0.2</v>
      </c>
      <c r="G27" s="140">
        <v>1</v>
      </c>
      <c r="H27" s="140">
        <v>0.09</v>
      </c>
      <c r="I27" s="140">
        <v>0</v>
      </c>
      <c r="J27" s="140">
        <v>0</v>
      </c>
      <c r="K27" s="140">
        <v>0.09</v>
      </c>
      <c r="L27" s="140">
        <v>0</v>
      </c>
      <c r="M27" s="140">
        <v>0</v>
      </c>
      <c r="N27" s="140">
        <v>1.7000000000000001E-2</v>
      </c>
      <c r="O27" s="140">
        <v>0</v>
      </c>
      <c r="P27" s="140">
        <v>0</v>
      </c>
      <c r="Q27" s="140">
        <v>0</v>
      </c>
      <c r="R27" s="140">
        <v>0</v>
      </c>
      <c r="S27" s="140">
        <v>0</v>
      </c>
      <c r="T27" s="140">
        <v>5.4999999999999986E-2</v>
      </c>
      <c r="U27" s="140">
        <v>0.1</v>
      </c>
      <c r="V27" s="140">
        <v>0</v>
      </c>
      <c r="W27" s="140">
        <v>0.17</v>
      </c>
      <c r="X27" s="140">
        <v>0</v>
      </c>
      <c r="Y27" s="140">
        <v>0</v>
      </c>
      <c r="Z27" s="140">
        <v>0</v>
      </c>
      <c r="AA27" s="140">
        <v>0</v>
      </c>
      <c r="AB27" s="140">
        <v>0</v>
      </c>
    </row>
    <row r="28" spans="1:28" customFormat="1" x14ac:dyDescent="0.15">
      <c r="A28" s="176" t="s">
        <v>218</v>
      </c>
      <c r="B28" s="140">
        <v>0</v>
      </c>
      <c r="C28" s="140">
        <v>0</v>
      </c>
      <c r="D28" s="140">
        <v>0</v>
      </c>
      <c r="E28" s="140">
        <v>0</v>
      </c>
      <c r="F28" s="140">
        <v>0</v>
      </c>
      <c r="G28" s="140">
        <v>0</v>
      </c>
      <c r="H28" s="140">
        <v>0</v>
      </c>
      <c r="I28" s="140">
        <v>0</v>
      </c>
      <c r="J28" s="140">
        <v>0</v>
      </c>
      <c r="K28" s="140">
        <v>0</v>
      </c>
      <c r="L28" s="140">
        <v>0</v>
      </c>
      <c r="M28" s="140">
        <v>0</v>
      </c>
      <c r="N28" s="140">
        <v>0</v>
      </c>
      <c r="O28" s="140">
        <v>0</v>
      </c>
      <c r="P28" s="140">
        <v>0</v>
      </c>
      <c r="Q28" s="140">
        <v>0</v>
      </c>
      <c r="R28" s="140">
        <v>0</v>
      </c>
      <c r="S28" s="140">
        <v>0</v>
      </c>
      <c r="T28" s="140">
        <v>0</v>
      </c>
      <c r="U28" s="140">
        <v>0</v>
      </c>
      <c r="V28" s="140">
        <v>0</v>
      </c>
      <c r="W28" s="140">
        <v>0</v>
      </c>
      <c r="X28" s="140">
        <v>0</v>
      </c>
      <c r="Y28" s="140">
        <v>0</v>
      </c>
      <c r="Z28" s="140">
        <v>0</v>
      </c>
      <c r="AA28" s="140">
        <v>0</v>
      </c>
      <c r="AB28" s="140">
        <v>0</v>
      </c>
    </row>
    <row r="29" spans="1:28" customFormat="1" x14ac:dyDescent="0.15">
      <c r="A29" s="176" t="s">
        <v>223</v>
      </c>
      <c r="B29" s="140">
        <v>0</v>
      </c>
      <c r="C29" s="140">
        <v>0</v>
      </c>
      <c r="D29" s="140">
        <v>0</v>
      </c>
      <c r="E29" s="140">
        <v>0</v>
      </c>
      <c r="F29" s="140">
        <v>0</v>
      </c>
      <c r="G29" s="140">
        <v>0</v>
      </c>
      <c r="H29" s="140">
        <v>0</v>
      </c>
      <c r="I29" s="140">
        <v>0</v>
      </c>
      <c r="J29" s="140">
        <v>0</v>
      </c>
      <c r="K29" s="140">
        <v>0</v>
      </c>
      <c r="L29" s="140">
        <v>0</v>
      </c>
      <c r="M29" s="140">
        <v>0</v>
      </c>
      <c r="N29" s="140">
        <v>0</v>
      </c>
      <c r="O29" s="140">
        <v>0</v>
      </c>
      <c r="P29" s="140">
        <v>0</v>
      </c>
      <c r="Q29" s="140">
        <v>0</v>
      </c>
      <c r="R29" s="140">
        <v>0</v>
      </c>
      <c r="S29" s="140">
        <v>0</v>
      </c>
      <c r="T29" s="140">
        <v>0</v>
      </c>
      <c r="U29" s="140">
        <v>0</v>
      </c>
      <c r="V29" s="140">
        <v>0</v>
      </c>
      <c r="W29" s="140">
        <v>0</v>
      </c>
      <c r="X29" s="140">
        <v>0</v>
      </c>
      <c r="Y29" s="140">
        <v>0</v>
      </c>
      <c r="Z29" s="140">
        <v>0</v>
      </c>
      <c r="AA29" s="140">
        <v>0</v>
      </c>
      <c r="AB29" s="140">
        <v>0</v>
      </c>
    </row>
    <row r="30" spans="1:28" customFormat="1" x14ac:dyDescent="0.15"/>
    <row r="31" spans="1:28" customFormat="1" x14ac:dyDescent="0.15"/>
    <row r="32" spans="1:28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17" activePane="bottomRight" state="frozen"/>
      <selection pane="topRight" activeCell="C1" sqref="C1"/>
      <selection pane="bottomLeft" activeCell="A2" sqref="A2"/>
      <selection pane="bottomRight" activeCell="G35" sqref="G35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3.5" style="108" customWidth="1"/>
    <col min="5" max="6" width="13.5" style="107" customWidth="1"/>
    <col min="7" max="8" width="8.83203125" style="108"/>
  </cols>
  <sheetData>
    <row r="1" spans="1:8" ht="70" x14ac:dyDescent="0.15">
      <c r="A1" s="5" t="s">
        <v>20</v>
      </c>
      <c r="B1" s="1" t="s">
        <v>0</v>
      </c>
      <c r="C1" s="179" t="s">
        <v>217</v>
      </c>
      <c r="D1" s="179" t="s">
        <v>218</v>
      </c>
      <c r="E1" s="179" t="s">
        <v>224</v>
      </c>
      <c r="F1" s="179" t="s">
        <v>225</v>
      </c>
      <c r="G1"/>
      <c r="H1"/>
    </row>
    <row r="2" spans="1:8" x14ac:dyDescent="0.15">
      <c r="A2">
        <v>1</v>
      </c>
      <c r="B2" s="178" t="s">
        <v>193</v>
      </c>
      <c r="C2" s="108">
        <v>1</v>
      </c>
      <c r="D2" s="108">
        <v>0</v>
      </c>
      <c r="E2" s="107">
        <v>0</v>
      </c>
      <c r="F2" s="107">
        <v>1</v>
      </c>
      <c r="G2"/>
      <c r="H2"/>
    </row>
    <row r="3" spans="1:8" x14ac:dyDescent="0.15">
      <c r="A3">
        <v>2</v>
      </c>
      <c r="B3" s="178" t="s">
        <v>194</v>
      </c>
      <c r="C3" s="108">
        <v>1</v>
      </c>
      <c r="D3" s="108">
        <v>0</v>
      </c>
      <c r="E3" s="107">
        <v>0</v>
      </c>
      <c r="F3" s="107">
        <v>1</v>
      </c>
      <c r="G3"/>
      <c r="H3"/>
    </row>
    <row r="4" spans="1:8" x14ac:dyDescent="0.15">
      <c r="A4">
        <v>3</v>
      </c>
      <c r="B4" s="178" t="s">
        <v>195</v>
      </c>
      <c r="C4" s="108">
        <v>1</v>
      </c>
      <c r="D4" s="108">
        <v>0</v>
      </c>
      <c r="E4" s="107">
        <v>0</v>
      </c>
      <c r="F4" s="107">
        <v>1</v>
      </c>
      <c r="G4"/>
      <c r="H4"/>
    </row>
    <row r="5" spans="1:8" x14ac:dyDescent="0.15">
      <c r="A5">
        <v>4</v>
      </c>
      <c r="B5" s="178" t="s">
        <v>196</v>
      </c>
      <c r="C5" s="108">
        <v>1</v>
      </c>
      <c r="D5" s="108">
        <v>0</v>
      </c>
      <c r="E5" s="107">
        <v>0</v>
      </c>
      <c r="F5" s="107">
        <v>1</v>
      </c>
      <c r="G5"/>
      <c r="H5"/>
    </row>
    <row r="6" spans="1:8" x14ac:dyDescent="0.15">
      <c r="A6">
        <v>5</v>
      </c>
      <c r="B6" s="178" t="s">
        <v>197</v>
      </c>
      <c r="C6" s="108">
        <v>1</v>
      </c>
      <c r="D6" s="108">
        <v>0</v>
      </c>
      <c r="E6" s="107">
        <v>0</v>
      </c>
      <c r="F6" s="107">
        <v>1</v>
      </c>
      <c r="G6"/>
      <c r="H6"/>
    </row>
    <row r="7" spans="1:8" x14ac:dyDescent="0.15">
      <c r="A7">
        <v>6</v>
      </c>
      <c r="B7" s="178" t="s">
        <v>198</v>
      </c>
      <c r="C7" s="108">
        <v>1</v>
      </c>
      <c r="D7" s="108">
        <v>0</v>
      </c>
      <c r="E7" s="107">
        <v>0</v>
      </c>
      <c r="F7" s="107">
        <v>1</v>
      </c>
      <c r="G7"/>
      <c r="H7"/>
    </row>
    <row r="8" spans="1:8" x14ac:dyDescent="0.15">
      <c r="A8">
        <v>7</v>
      </c>
      <c r="B8" s="178" t="s">
        <v>199</v>
      </c>
      <c r="C8" s="108">
        <v>1</v>
      </c>
      <c r="D8" s="108">
        <v>0</v>
      </c>
      <c r="E8" s="107">
        <v>0</v>
      </c>
      <c r="F8" s="107">
        <v>1</v>
      </c>
      <c r="G8"/>
      <c r="H8"/>
    </row>
    <row r="9" spans="1:8" x14ac:dyDescent="0.15">
      <c r="A9">
        <v>8</v>
      </c>
      <c r="B9" s="178" t="s">
        <v>200</v>
      </c>
      <c r="C9" s="108">
        <v>1</v>
      </c>
      <c r="D9" s="108">
        <v>0</v>
      </c>
      <c r="E9" s="107">
        <v>0</v>
      </c>
      <c r="F9" s="107">
        <v>1</v>
      </c>
      <c r="G9"/>
      <c r="H9"/>
    </row>
    <row r="10" spans="1:8" x14ac:dyDescent="0.15">
      <c r="A10">
        <v>9</v>
      </c>
      <c r="B10" s="178" t="s">
        <v>201</v>
      </c>
      <c r="C10" s="108">
        <v>1</v>
      </c>
      <c r="D10" s="108">
        <v>0</v>
      </c>
      <c r="E10" s="107">
        <v>0</v>
      </c>
      <c r="F10" s="107">
        <v>1</v>
      </c>
      <c r="G10"/>
      <c r="H10"/>
    </row>
    <row r="11" spans="1:8" x14ac:dyDescent="0.15">
      <c r="A11">
        <v>10</v>
      </c>
      <c r="B11" s="178" t="s">
        <v>202</v>
      </c>
      <c r="C11" s="108">
        <v>1</v>
      </c>
      <c r="D11" s="108">
        <v>0</v>
      </c>
      <c r="E11" s="107">
        <v>0</v>
      </c>
      <c r="F11" s="107">
        <v>1</v>
      </c>
      <c r="G11"/>
      <c r="H11"/>
    </row>
    <row r="12" spans="1:8" x14ac:dyDescent="0.15">
      <c r="A12">
        <v>11</v>
      </c>
      <c r="B12" s="178" t="s">
        <v>203</v>
      </c>
      <c r="C12" s="108">
        <v>1</v>
      </c>
      <c r="D12" s="108">
        <v>0</v>
      </c>
      <c r="E12" s="107">
        <v>0</v>
      </c>
      <c r="F12" s="107">
        <v>1</v>
      </c>
      <c r="G12"/>
      <c r="H12"/>
    </row>
    <row r="13" spans="1:8" x14ac:dyDescent="0.15">
      <c r="A13">
        <v>12</v>
      </c>
      <c r="B13" s="178" t="s">
        <v>166</v>
      </c>
      <c r="C13" s="108">
        <v>1</v>
      </c>
      <c r="D13" s="108">
        <v>0</v>
      </c>
      <c r="E13" s="107">
        <v>0</v>
      </c>
      <c r="F13" s="107">
        <v>1</v>
      </c>
      <c r="G13"/>
      <c r="H13"/>
    </row>
    <row r="14" spans="1:8" x14ac:dyDescent="0.15">
      <c r="A14">
        <v>13</v>
      </c>
      <c r="B14" s="178" t="s">
        <v>204</v>
      </c>
      <c r="C14" s="108">
        <v>1</v>
      </c>
      <c r="D14" s="108">
        <v>0</v>
      </c>
      <c r="E14" s="107">
        <v>0</v>
      </c>
      <c r="F14" s="107">
        <v>1</v>
      </c>
      <c r="G14"/>
      <c r="H14"/>
    </row>
    <row r="15" spans="1:8" x14ac:dyDescent="0.15">
      <c r="A15">
        <v>14</v>
      </c>
      <c r="B15" s="178" t="s">
        <v>205</v>
      </c>
      <c r="C15" s="108">
        <v>1</v>
      </c>
      <c r="D15" s="108">
        <v>0</v>
      </c>
      <c r="E15" s="107">
        <v>0</v>
      </c>
      <c r="F15" s="107">
        <v>1</v>
      </c>
      <c r="G15"/>
      <c r="H15"/>
    </row>
    <row r="16" spans="1:8" x14ac:dyDescent="0.15">
      <c r="A16">
        <v>15</v>
      </c>
      <c r="B16" s="178" t="s">
        <v>206</v>
      </c>
      <c r="C16" s="108">
        <v>1</v>
      </c>
      <c r="D16" s="108">
        <v>0</v>
      </c>
      <c r="E16" s="107">
        <v>0</v>
      </c>
      <c r="F16" s="107">
        <v>1</v>
      </c>
      <c r="G16"/>
      <c r="H16"/>
    </row>
    <row r="17" spans="1:8" ht="15" customHeight="1" x14ac:dyDescent="0.15">
      <c r="A17">
        <v>16</v>
      </c>
      <c r="B17" s="178" t="s">
        <v>207</v>
      </c>
      <c r="C17" s="108">
        <v>1</v>
      </c>
      <c r="D17" s="108">
        <v>0</v>
      </c>
      <c r="E17" s="107">
        <v>0</v>
      </c>
      <c r="F17" s="107">
        <v>1</v>
      </c>
      <c r="G17"/>
      <c r="H17"/>
    </row>
    <row r="18" spans="1:8" ht="15" customHeight="1" x14ac:dyDescent="0.15">
      <c r="A18">
        <v>17</v>
      </c>
      <c r="B18" s="178" t="s">
        <v>208</v>
      </c>
      <c r="C18" s="108">
        <v>1</v>
      </c>
      <c r="D18" s="108">
        <v>0</v>
      </c>
      <c r="E18" s="107">
        <v>0</v>
      </c>
      <c r="F18" s="107">
        <v>1</v>
      </c>
      <c r="G18"/>
      <c r="H18"/>
    </row>
    <row r="19" spans="1:8" ht="15" customHeight="1" x14ac:dyDescent="0.15">
      <c r="A19">
        <v>18</v>
      </c>
      <c r="B19" s="178" t="s">
        <v>209</v>
      </c>
      <c r="C19" s="108">
        <v>1</v>
      </c>
      <c r="D19" s="108">
        <v>0</v>
      </c>
      <c r="E19" s="107">
        <v>0</v>
      </c>
      <c r="F19" s="107">
        <v>1</v>
      </c>
      <c r="G19"/>
      <c r="H19"/>
    </row>
    <row r="20" spans="1:8" ht="15" customHeight="1" x14ac:dyDescent="0.15">
      <c r="A20">
        <v>19</v>
      </c>
      <c r="B20" s="178" t="s">
        <v>210</v>
      </c>
      <c r="C20" s="108">
        <v>1</v>
      </c>
      <c r="D20" s="108">
        <v>0</v>
      </c>
      <c r="E20" s="107">
        <v>0</v>
      </c>
      <c r="F20" s="107">
        <v>1</v>
      </c>
      <c r="G20"/>
      <c r="H20"/>
    </row>
    <row r="21" spans="1:8" ht="15" customHeight="1" x14ac:dyDescent="0.15">
      <c r="A21">
        <v>20</v>
      </c>
      <c r="B21" s="178" t="s">
        <v>211</v>
      </c>
      <c r="C21" s="108">
        <v>1</v>
      </c>
      <c r="D21" s="108">
        <v>0</v>
      </c>
      <c r="E21" s="107">
        <v>0</v>
      </c>
      <c r="F21" s="107">
        <v>1</v>
      </c>
      <c r="G21"/>
      <c r="H21"/>
    </row>
    <row r="22" spans="1:8" ht="15" customHeight="1" x14ac:dyDescent="0.15">
      <c r="A22">
        <v>21</v>
      </c>
      <c r="B22" s="178" t="s">
        <v>212</v>
      </c>
      <c r="C22" s="108">
        <v>1</v>
      </c>
      <c r="D22" s="108">
        <v>0</v>
      </c>
      <c r="E22" s="107">
        <v>0</v>
      </c>
      <c r="F22" s="107">
        <v>1</v>
      </c>
      <c r="G22"/>
      <c r="H22"/>
    </row>
    <row r="23" spans="1:8" ht="15" customHeight="1" x14ac:dyDescent="0.15">
      <c r="A23">
        <v>22</v>
      </c>
      <c r="B23" s="178" t="s">
        <v>213</v>
      </c>
      <c r="C23" s="108">
        <v>1</v>
      </c>
      <c r="D23" s="108">
        <v>0</v>
      </c>
      <c r="E23" s="107">
        <v>0</v>
      </c>
      <c r="F23" s="107">
        <v>1</v>
      </c>
      <c r="G23"/>
      <c r="H23"/>
    </row>
    <row r="24" spans="1:8" ht="15" customHeight="1" x14ac:dyDescent="0.15">
      <c r="A24">
        <v>23</v>
      </c>
      <c r="B24" s="178" t="s">
        <v>214</v>
      </c>
      <c r="C24" s="108">
        <v>1</v>
      </c>
      <c r="D24" s="108">
        <v>0</v>
      </c>
      <c r="E24" s="107">
        <v>0</v>
      </c>
      <c r="F24" s="107">
        <v>1</v>
      </c>
      <c r="G24"/>
      <c r="H24"/>
    </row>
    <row r="25" spans="1:8" ht="15" customHeight="1" x14ac:dyDescent="0.15">
      <c r="A25">
        <v>24</v>
      </c>
      <c r="B25" s="178" t="s">
        <v>215</v>
      </c>
      <c r="C25" s="108">
        <v>1</v>
      </c>
      <c r="D25" s="108">
        <v>0</v>
      </c>
      <c r="E25" s="107">
        <v>0</v>
      </c>
      <c r="F25" s="107">
        <v>1</v>
      </c>
      <c r="G25"/>
      <c r="H25"/>
    </row>
    <row r="26" spans="1:8" ht="15" customHeight="1" x14ac:dyDescent="0.15">
      <c r="A26">
        <v>25</v>
      </c>
      <c r="B26" s="178" t="s">
        <v>216</v>
      </c>
      <c r="C26" s="108">
        <v>1</v>
      </c>
      <c r="D26" s="108">
        <v>0</v>
      </c>
      <c r="E26" s="107">
        <v>0</v>
      </c>
      <c r="F26" s="107">
        <v>1</v>
      </c>
      <c r="G26"/>
      <c r="H26"/>
    </row>
    <row r="27" spans="1:8" ht="15" customHeight="1" x14ac:dyDescent="0.15">
      <c r="A27">
        <v>26</v>
      </c>
      <c r="B27" s="178" t="s">
        <v>217</v>
      </c>
      <c r="C27" s="108">
        <v>0</v>
      </c>
      <c r="D27" s="108">
        <v>1</v>
      </c>
      <c r="E27" s="107">
        <v>0</v>
      </c>
      <c r="F27" s="107">
        <v>1</v>
      </c>
      <c r="G27"/>
      <c r="H27"/>
    </row>
    <row r="28" spans="1:8" ht="15" customHeight="1" x14ac:dyDescent="0.15">
      <c r="A28">
        <v>27</v>
      </c>
      <c r="B28" s="178" t="s">
        <v>218</v>
      </c>
      <c r="C28" s="108">
        <v>0</v>
      </c>
      <c r="D28" s="108">
        <v>0</v>
      </c>
      <c r="E28" s="107">
        <v>1</v>
      </c>
      <c r="F28" s="107">
        <v>1</v>
      </c>
      <c r="G28"/>
      <c r="H28"/>
    </row>
    <row r="29" spans="1:8" ht="15" customHeight="1" x14ac:dyDescent="0.15">
      <c r="A29">
        <v>28</v>
      </c>
      <c r="B29" s="178" t="s">
        <v>219</v>
      </c>
      <c r="C29" s="108">
        <v>0</v>
      </c>
      <c r="D29" s="108">
        <v>1</v>
      </c>
      <c r="E29" s="107">
        <v>0</v>
      </c>
      <c r="F29" s="107">
        <v>1</v>
      </c>
      <c r="G29"/>
      <c r="H29"/>
    </row>
    <row r="30" spans="1:8" ht="15" customHeight="1" x14ac:dyDescent="0.15">
      <c r="A30">
        <v>29</v>
      </c>
      <c r="B30" s="178" t="s">
        <v>220</v>
      </c>
      <c r="C30" s="108">
        <v>0</v>
      </c>
      <c r="D30" s="108">
        <v>1</v>
      </c>
      <c r="E30" s="107">
        <v>0</v>
      </c>
      <c r="F30" s="107">
        <v>1</v>
      </c>
      <c r="G30"/>
      <c r="H30"/>
    </row>
    <row r="31" spans="1:8" ht="15" customHeight="1" x14ac:dyDescent="0.15">
      <c r="A31">
        <v>30</v>
      </c>
      <c r="B31" s="178" t="s">
        <v>221</v>
      </c>
      <c r="C31" s="108">
        <v>0</v>
      </c>
      <c r="D31" s="108">
        <v>1</v>
      </c>
      <c r="E31" s="107">
        <v>0</v>
      </c>
      <c r="F31" s="107">
        <v>1</v>
      </c>
      <c r="G31"/>
      <c r="H31"/>
    </row>
    <row r="32" spans="1:8" ht="15" customHeight="1" x14ac:dyDescent="0.15">
      <c r="A32">
        <v>31</v>
      </c>
      <c r="B32" s="178" t="s">
        <v>222</v>
      </c>
      <c r="C32" s="108">
        <v>0</v>
      </c>
      <c r="D32" s="108">
        <v>1</v>
      </c>
      <c r="E32" s="107">
        <v>0</v>
      </c>
      <c r="F32" s="107">
        <v>1</v>
      </c>
    </row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8"/>
      <c r="F36" s="108"/>
      <c r="G36"/>
      <c r="H36"/>
    </row>
    <row r="37" spans="3:8" ht="15" customHeight="1" x14ac:dyDescent="0.15">
      <c r="C37"/>
      <c r="D37"/>
      <c r="E37" s="108"/>
      <c r="F37" s="108"/>
      <c r="G37"/>
      <c r="H37"/>
    </row>
    <row r="38" spans="3:8" ht="15" customHeight="1" x14ac:dyDescent="0.15">
      <c r="C38"/>
      <c r="D38"/>
      <c r="E38" s="108"/>
      <c r="F38" s="108"/>
      <c r="G38"/>
      <c r="H38"/>
    </row>
    <row r="39" spans="3:8" ht="15" customHeight="1" x14ac:dyDescent="0.15">
      <c r="C39"/>
      <c r="D39"/>
      <c r="E39" s="108"/>
      <c r="F39" s="108"/>
      <c r="G39"/>
      <c r="H39"/>
    </row>
    <row r="40" spans="3:8" ht="15" customHeight="1" x14ac:dyDescent="0.15">
      <c r="C40"/>
      <c r="D40"/>
      <c r="E40" s="108"/>
      <c r="F40" s="108"/>
      <c r="G40"/>
      <c r="H40"/>
    </row>
    <row r="41" spans="3:8" ht="15" customHeight="1" x14ac:dyDescent="0.15">
      <c r="C41"/>
      <c r="D41"/>
      <c r="E41" s="108"/>
      <c r="F41" s="108"/>
      <c r="G41"/>
      <c r="H41"/>
    </row>
    <row r="42" spans="3:8" ht="15" customHeight="1" x14ac:dyDescent="0.15">
      <c r="C42"/>
      <c r="D42"/>
      <c r="E42" s="108"/>
      <c r="F42" s="108"/>
      <c r="G42"/>
      <c r="H42"/>
    </row>
    <row r="43" spans="3:8" ht="15" customHeight="1" x14ac:dyDescent="0.15">
      <c r="C43"/>
      <c r="D43"/>
      <c r="E43" s="108"/>
      <c r="F43" s="108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8"/>
      <c r="F46" s="108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G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3" width="7.83203125" bestFit="1" customWidth="1"/>
    <col min="4" max="4" width="8.83203125" bestFit="1" customWidth="1"/>
    <col min="5" max="5" width="12.83203125" bestFit="1" customWidth="1"/>
    <col min="6" max="6" width="8.83203125" customWidth="1"/>
    <col min="7" max="7" width="12.83203125" customWidth="1"/>
  </cols>
  <sheetData>
    <row r="1" spans="1:7" s="109" customFormat="1" ht="112" x14ac:dyDescent="0.15">
      <c r="A1" s="5" t="s">
        <v>21</v>
      </c>
      <c r="B1" s="3" t="s">
        <v>0</v>
      </c>
      <c r="C1" s="181" t="s">
        <v>219</v>
      </c>
      <c r="D1" s="181" t="s">
        <v>220</v>
      </c>
      <c r="E1" s="181" t="s">
        <v>221</v>
      </c>
      <c r="F1" s="181" t="s">
        <v>222</v>
      </c>
      <c r="G1" s="181" t="s">
        <v>226</v>
      </c>
    </row>
    <row r="2" spans="1:7" ht="15" customHeight="1" x14ac:dyDescent="0.15">
      <c r="A2">
        <v>1</v>
      </c>
      <c r="B2" s="180" t="s">
        <v>193</v>
      </c>
      <c r="C2">
        <v>0</v>
      </c>
      <c r="D2">
        <v>0</v>
      </c>
      <c r="E2">
        <v>0</v>
      </c>
      <c r="F2">
        <v>0</v>
      </c>
      <c r="G2">
        <v>0</v>
      </c>
    </row>
    <row r="3" spans="1:7" ht="15" customHeight="1" x14ac:dyDescent="0.15">
      <c r="A3">
        <v>2</v>
      </c>
      <c r="B3" s="180" t="s">
        <v>194</v>
      </c>
      <c r="C3">
        <v>0</v>
      </c>
      <c r="D3">
        <v>0</v>
      </c>
      <c r="E3">
        <v>0</v>
      </c>
      <c r="F3">
        <v>0</v>
      </c>
      <c r="G3">
        <v>0</v>
      </c>
    </row>
    <row r="4" spans="1:7" ht="15" customHeight="1" x14ac:dyDescent="0.15">
      <c r="A4">
        <v>3</v>
      </c>
      <c r="B4" s="180" t="s">
        <v>195</v>
      </c>
      <c r="C4">
        <v>0</v>
      </c>
      <c r="D4">
        <v>0</v>
      </c>
      <c r="E4">
        <v>0</v>
      </c>
      <c r="F4">
        <v>0</v>
      </c>
      <c r="G4">
        <v>0</v>
      </c>
    </row>
    <row r="5" spans="1:7" ht="15" customHeight="1" x14ac:dyDescent="0.15">
      <c r="A5">
        <v>4</v>
      </c>
      <c r="B5" s="180" t="s">
        <v>196</v>
      </c>
      <c r="C5">
        <v>0</v>
      </c>
      <c r="D5">
        <v>0</v>
      </c>
      <c r="E5">
        <v>0</v>
      </c>
      <c r="F5">
        <v>0</v>
      </c>
      <c r="G5">
        <v>0</v>
      </c>
    </row>
    <row r="6" spans="1:7" ht="15" customHeight="1" x14ac:dyDescent="0.15">
      <c r="A6">
        <v>5</v>
      </c>
      <c r="B6" s="180" t="s">
        <v>197</v>
      </c>
      <c r="C6">
        <v>0</v>
      </c>
      <c r="D6">
        <v>0</v>
      </c>
      <c r="E6">
        <v>0</v>
      </c>
      <c r="F6">
        <v>0</v>
      </c>
      <c r="G6">
        <v>0</v>
      </c>
    </row>
    <row r="7" spans="1:7" ht="15" customHeight="1" x14ac:dyDescent="0.15">
      <c r="A7">
        <v>6</v>
      </c>
      <c r="B7" s="180" t="s">
        <v>198</v>
      </c>
      <c r="C7">
        <v>0</v>
      </c>
      <c r="D7">
        <v>0</v>
      </c>
      <c r="E7">
        <v>0</v>
      </c>
      <c r="F7">
        <v>0</v>
      </c>
      <c r="G7">
        <v>0</v>
      </c>
    </row>
    <row r="8" spans="1:7" ht="15" customHeight="1" x14ac:dyDescent="0.15">
      <c r="A8">
        <v>7</v>
      </c>
      <c r="B8" s="180" t="s">
        <v>199</v>
      </c>
      <c r="C8">
        <v>0</v>
      </c>
      <c r="D8">
        <v>0</v>
      </c>
      <c r="E8">
        <v>0</v>
      </c>
      <c r="F8">
        <v>0</v>
      </c>
      <c r="G8">
        <v>0</v>
      </c>
    </row>
    <row r="9" spans="1:7" ht="15" customHeight="1" x14ac:dyDescent="0.15">
      <c r="A9">
        <v>8</v>
      </c>
      <c r="B9" s="180" t="s">
        <v>200</v>
      </c>
      <c r="C9">
        <v>5.4748599999999996</v>
      </c>
      <c r="D9">
        <v>0</v>
      </c>
      <c r="E9">
        <v>0</v>
      </c>
      <c r="F9">
        <v>0</v>
      </c>
      <c r="G9">
        <v>5.4748599999999996</v>
      </c>
    </row>
    <row r="10" spans="1:7" ht="15" customHeight="1" x14ac:dyDescent="0.15">
      <c r="A10">
        <v>9</v>
      </c>
      <c r="B10" s="180" t="s">
        <v>201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ht="15" customHeight="1" x14ac:dyDescent="0.15">
      <c r="A11">
        <v>10</v>
      </c>
      <c r="B11" s="180" t="s">
        <v>202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ht="15" customHeight="1" x14ac:dyDescent="0.15">
      <c r="A12">
        <v>11</v>
      </c>
      <c r="B12" s="180" t="s">
        <v>203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ht="15" customHeight="1" x14ac:dyDescent="0.15">
      <c r="A13">
        <v>12</v>
      </c>
      <c r="B13" s="180" t="s">
        <v>166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ht="15" customHeight="1" x14ac:dyDescent="0.15">
      <c r="A14">
        <v>13</v>
      </c>
      <c r="B14" s="180" t="s">
        <v>204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ht="15" customHeight="1" x14ac:dyDescent="0.15">
      <c r="A15">
        <v>14</v>
      </c>
      <c r="B15" s="180" t="s">
        <v>205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ht="15" customHeight="1" x14ac:dyDescent="0.15">
      <c r="A16">
        <v>15</v>
      </c>
      <c r="B16" s="180" t="s">
        <v>206</v>
      </c>
      <c r="C16">
        <v>0</v>
      </c>
      <c r="D16">
        <v>0.28715099999999999</v>
      </c>
      <c r="E16">
        <v>0</v>
      </c>
      <c r="F16">
        <v>0</v>
      </c>
      <c r="G16">
        <v>0.28715099999999999</v>
      </c>
    </row>
    <row r="17" spans="1:7" ht="15" customHeight="1" x14ac:dyDescent="0.15">
      <c r="A17">
        <v>16</v>
      </c>
      <c r="B17" s="180" t="s">
        <v>207</v>
      </c>
      <c r="C17">
        <v>0</v>
      </c>
      <c r="D17">
        <v>0</v>
      </c>
      <c r="E17">
        <v>1.0949720600000001E-2</v>
      </c>
      <c r="F17">
        <v>0</v>
      </c>
      <c r="G17">
        <v>1.0949720600000001E-2</v>
      </c>
    </row>
    <row r="18" spans="1:7" ht="15" customHeight="1" x14ac:dyDescent="0.15">
      <c r="A18">
        <v>17</v>
      </c>
      <c r="B18" s="180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ht="15" customHeight="1" x14ac:dyDescent="0.15">
      <c r="A19">
        <v>18</v>
      </c>
      <c r="B19" s="180" t="s">
        <v>209</v>
      </c>
      <c r="C19">
        <v>0</v>
      </c>
      <c r="D19">
        <v>1.2614399999999999</v>
      </c>
      <c r="E19">
        <v>0</v>
      </c>
      <c r="F19">
        <v>0</v>
      </c>
      <c r="G19">
        <v>1.2614399999999999</v>
      </c>
    </row>
    <row r="20" spans="1:7" ht="15" customHeight="1" x14ac:dyDescent="0.15">
      <c r="A20">
        <v>19</v>
      </c>
      <c r="B20" s="180" t="s">
        <v>210</v>
      </c>
      <c r="C20">
        <v>0</v>
      </c>
      <c r="D20">
        <v>2.2425600000000001</v>
      </c>
      <c r="E20">
        <v>0</v>
      </c>
      <c r="F20">
        <v>0</v>
      </c>
      <c r="G20">
        <v>2.2425600000000001</v>
      </c>
    </row>
    <row r="21" spans="1:7" ht="15" customHeight="1" x14ac:dyDescent="0.15">
      <c r="A21">
        <v>20</v>
      </c>
      <c r="B21" s="180" t="s">
        <v>211</v>
      </c>
      <c r="C21">
        <v>0</v>
      </c>
      <c r="D21">
        <v>8.5310000000000004E-3</v>
      </c>
      <c r="E21">
        <v>0</v>
      </c>
      <c r="F21">
        <v>0</v>
      </c>
      <c r="G21">
        <v>8.5310000000000004E-3</v>
      </c>
    </row>
    <row r="22" spans="1:7" ht="15" customHeight="1" x14ac:dyDescent="0.15">
      <c r="A22">
        <v>21</v>
      </c>
      <c r="B22" s="180" t="s">
        <v>212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ht="15" customHeight="1" x14ac:dyDescent="0.15">
      <c r="A23">
        <v>22</v>
      </c>
      <c r="B23" s="180" t="s">
        <v>213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ht="15" customHeight="1" x14ac:dyDescent="0.15">
      <c r="A24">
        <v>23</v>
      </c>
      <c r="B24" s="180" t="s">
        <v>214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ht="15" customHeight="1" x14ac:dyDescent="0.15">
      <c r="A25">
        <v>24</v>
      </c>
      <c r="B25" s="180" t="s">
        <v>215</v>
      </c>
      <c r="C25">
        <v>0</v>
      </c>
      <c r="D25">
        <v>0</v>
      </c>
      <c r="E25">
        <v>0</v>
      </c>
      <c r="F25">
        <v>9.136E-3</v>
      </c>
      <c r="G25">
        <v>9.136E-3</v>
      </c>
    </row>
    <row r="26" spans="1:7" ht="15" customHeight="1" x14ac:dyDescent="0.15">
      <c r="A26">
        <v>25</v>
      </c>
      <c r="B26" s="180" t="s">
        <v>216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ht="15" customHeight="1" x14ac:dyDescent="0.15">
      <c r="A27">
        <v>26</v>
      </c>
      <c r="B27" s="180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ht="15" customHeight="1" x14ac:dyDescent="0.15">
      <c r="A28">
        <v>27</v>
      </c>
      <c r="B28" s="180" t="s">
        <v>218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ht="15" customHeight="1" x14ac:dyDescent="0.15"/>
    <row r="30" spans="1:7" ht="15" customHeight="1" x14ac:dyDescent="0.15"/>
    <row r="31" spans="1:7" ht="15" customHeight="1" x14ac:dyDescent="0.15"/>
    <row r="32" spans="1:7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G2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5" width="2.33203125" bestFit="1" customWidth="1"/>
    <col min="6" max="7" width="2.33203125" customWidth="1"/>
  </cols>
  <sheetData>
    <row r="1" spans="1:7" s="109" customFormat="1" ht="112" x14ac:dyDescent="0.15">
      <c r="A1" s="5" t="s">
        <v>22</v>
      </c>
      <c r="B1" s="3" t="s">
        <v>0</v>
      </c>
      <c r="C1" s="183" t="s">
        <v>219</v>
      </c>
      <c r="D1" s="183" t="s">
        <v>220</v>
      </c>
      <c r="E1" s="183" t="s">
        <v>221</v>
      </c>
      <c r="F1" s="183" t="s">
        <v>222</v>
      </c>
      <c r="G1" s="183" t="s">
        <v>226</v>
      </c>
    </row>
    <row r="2" spans="1:7" x14ac:dyDescent="0.15">
      <c r="A2">
        <v>1</v>
      </c>
      <c r="B2" s="182" t="s">
        <v>193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82" t="s">
        <v>194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82" t="s">
        <v>195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82" t="s">
        <v>196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15">
      <c r="A6">
        <v>5</v>
      </c>
      <c r="B6" s="182" t="s">
        <v>197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15">
      <c r="A7">
        <v>6</v>
      </c>
      <c r="B7" s="182" t="s">
        <v>198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15">
      <c r="A8">
        <v>7</v>
      </c>
      <c r="B8" s="182" t="s">
        <v>199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15">
      <c r="A9">
        <v>8</v>
      </c>
      <c r="B9" s="182" t="s">
        <v>200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15">
      <c r="A10">
        <v>9</v>
      </c>
      <c r="B10" s="182" t="s">
        <v>201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15">
      <c r="A11">
        <v>10</v>
      </c>
      <c r="B11" s="182" t="s">
        <v>202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15">
      <c r="A12">
        <v>11</v>
      </c>
      <c r="B12" s="182" t="s">
        <v>203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15">
      <c r="A13">
        <v>12</v>
      </c>
      <c r="B13" s="182" t="s">
        <v>166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15">
      <c r="A14">
        <v>13</v>
      </c>
      <c r="B14" s="182" t="s">
        <v>204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15">
      <c r="A15">
        <v>14</v>
      </c>
      <c r="B15" s="182" t="s">
        <v>205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15">
      <c r="A16">
        <v>15</v>
      </c>
      <c r="B16" s="182" t="s">
        <v>206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15">
      <c r="A17">
        <v>16</v>
      </c>
      <c r="B17" s="182" t="s">
        <v>207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15">
      <c r="A18">
        <v>17</v>
      </c>
      <c r="B18" s="182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82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82" t="s">
        <v>210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15">
      <c r="A21">
        <v>20</v>
      </c>
      <c r="B21" s="182" t="s">
        <v>211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15">
      <c r="A22">
        <v>21</v>
      </c>
      <c r="B22" s="182" t="s">
        <v>212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15">
      <c r="A23">
        <v>22</v>
      </c>
      <c r="B23" s="182" t="s">
        <v>213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15">
      <c r="A24">
        <v>23</v>
      </c>
      <c r="B24" s="182" t="s">
        <v>214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15">
      <c r="A25">
        <v>24</v>
      </c>
      <c r="B25" s="182" t="s">
        <v>215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15">
      <c r="A26">
        <v>25</v>
      </c>
      <c r="B26" s="182" t="s">
        <v>216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82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15">
      <c r="A28">
        <v>27</v>
      </c>
      <c r="B28" s="182" t="s">
        <v>218</v>
      </c>
      <c r="C28">
        <v>0</v>
      </c>
      <c r="D28">
        <v>0</v>
      </c>
      <c r="E28">
        <v>0</v>
      </c>
      <c r="F28">
        <v>0</v>
      </c>
      <c r="G28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83203125" bestFit="1" customWidth="1"/>
    <col min="6" max="6" width="4.83203125" bestFit="1" customWidth="1"/>
    <col min="7" max="9" width="3.83203125" bestFit="1" customWidth="1"/>
    <col min="10" max="11" width="4.83203125" style="10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0" customFormat="1" ht="14" thickBot="1" x14ac:dyDescent="0.2">
      <c r="D1" s="111" t="s">
        <v>8</v>
      </c>
      <c r="E1" s="111" t="s">
        <v>0</v>
      </c>
      <c r="F1" s="112" t="s">
        <v>99</v>
      </c>
      <c r="G1" s="113" t="s">
        <v>84</v>
      </c>
      <c r="H1" s="113" t="s">
        <v>85</v>
      </c>
      <c r="I1" s="113" t="s">
        <v>86</v>
      </c>
      <c r="J1" s="113" t="s">
        <v>87</v>
      </c>
      <c r="K1" s="113" t="s">
        <v>88</v>
      </c>
      <c r="L1" s="114" t="s">
        <v>89</v>
      </c>
      <c r="M1" s="114" t="s">
        <v>93</v>
      </c>
      <c r="N1" s="114" t="s">
        <v>92</v>
      </c>
      <c r="O1" s="114" t="s">
        <v>90</v>
      </c>
      <c r="P1" s="114" t="s">
        <v>91</v>
      </c>
      <c r="Q1" s="115" t="s">
        <v>94</v>
      </c>
      <c r="R1" s="115" t="s">
        <v>95</v>
      </c>
      <c r="S1" s="115" t="s">
        <v>96</v>
      </c>
      <c r="T1" s="115" t="s">
        <v>97</v>
      </c>
      <c r="U1" s="115" t="s">
        <v>98</v>
      </c>
      <c r="V1" s="113" t="s">
        <v>100</v>
      </c>
      <c r="W1" s="113" t="s">
        <v>101</v>
      </c>
      <c r="X1" s="113" t="s">
        <v>102</v>
      </c>
      <c r="Y1" s="113" t="s">
        <v>134</v>
      </c>
      <c r="Z1" s="114" t="s">
        <v>103</v>
      </c>
      <c r="AA1" s="114" t="s">
        <v>104</v>
      </c>
      <c r="AB1" s="114" t="s">
        <v>105</v>
      </c>
      <c r="AC1" s="116" t="s">
        <v>135</v>
      </c>
      <c r="AD1" s="115" t="s">
        <v>106</v>
      </c>
      <c r="AE1" s="115" t="s">
        <v>107</v>
      </c>
      <c r="AF1" s="115" t="s">
        <v>108</v>
      </c>
      <c r="AG1" s="115" t="s">
        <v>136</v>
      </c>
      <c r="AH1" s="113" t="s">
        <v>109</v>
      </c>
      <c r="AI1" s="113" t="s">
        <v>111</v>
      </c>
      <c r="AJ1" s="113" t="s">
        <v>110</v>
      </c>
      <c r="AK1" s="114" t="s">
        <v>115</v>
      </c>
      <c r="AL1" s="114" t="s">
        <v>116</v>
      </c>
      <c r="AM1" s="114" t="s">
        <v>117</v>
      </c>
      <c r="AN1" s="115" t="s">
        <v>112</v>
      </c>
      <c r="AO1" s="115" t="s">
        <v>113</v>
      </c>
      <c r="AP1" s="115" t="s">
        <v>114</v>
      </c>
    </row>
    <row r="2" spans="1:42" x14ac:dyDescent="0.15">
      <c r="A2" s="117" t="s">
        <v>74</v>
      </c>
      <c r="B2" s="118">
        <v>1</v>
      </c>
      <c r="D2">
        <v>1</v>
      </c>
      <c r="E2" s="184" t="s">
        <v>193</v>
      </c>
      <c r="F2">
        <v>0.98</v>
      </c>
      <c r="G2">
        <v>0.8</v>
      </c>
      <c r="H2">
        <v>0.8</v>
      </c>
      <c r="I2">
        <v>0</v>
      </c>
      <c r="J2" s="108">
        <v>0</v>
      </c>
      <c r="K2" s="108">
        <v>0</v>
      </c>
    </row>
    <row r="3" spans="1:42" x14ac:dyDescent="0.15">
      <c r="A3" s="117" t="s">
        <v>75</v>
      </c>
      <c r="B3" s="119">
        <v>1</v>
      </c>
      <c r="D3">
        <v>2</v>
      </c>
      <c r="E3" s="184" t="s">
        <v>194</v>
      </c>
      <c r="F3">
        <v>0.98</v>
      </c>
      <c r="G3">
        <v>0.8</v>
      </c>
      <c r="H3">
        <v>0.8</v>
      </c>
      <c r="I3">
        <v>0.8</v>
      </c>
      <c r="J3" s="108">
        <v>0.25</v>
      </c>
      <c r="K3" s="108">
        <v>0.05</v>
      </c>
    </row>
    <row r="4" spans="1:42" x14ac:dyDescent="0.15">
      <c r="A4" s="117" t="s">
        <v>76</v>
      </c>
      <c r="B4" s="119">
        <v>1</v>
      </c>
      <c r="D4">
        <v>3</v>
      </c>
      <c r="E4" s="184" t="s">
        <v>195</v>
      </c>
      <c r="F4">
        <v>0.98</v>
      </c>
      <c r="G4">
        <v>0.8</v>
      </c>
      <c r="H4">
        <v>0.8</v>
      </c>
      <c r="I4">
        <v>0.8</v>
      </c>
      <c r="J4" s="108">
        <v>0.25</v>
      </c>
      <c r="K4" s="108">
        <v>0.05</v>
      </c>
    </row>
    <row r="5" spans="1:42" x14ac:dyDescent="0.15">
      <c r="A5" s="117" t="s">
        <v>77</v>
      </c>
      <c r="B5" s="119">
        <v>1</v>
      </c>
      <c r="D5">
        <v>4</v>
      </c>
      <c r="E5" s="184" t="s">
        <v>196</v>
      </c>
      <c r="F5">
        <v>0.98</v>
      </c>
      <c r="G5">
        <v>0.8</v>
      </c>
      <c r="H5">
        <v>0.8</v>
      </c>
      <c r="I5">
        <v>0.8</v>
      </c>
      <c r="J5" s="108">
        <v>0.25</v>
      </c>
      <c r="K5" s="108">
        <v>0.05</v>
      </c>
    </row>
    <row r="6" spans="1:42" x14ac:dyDescent="0.15">
      <c r="A6" s="117" t="s">
        <v>78</v>
      </c>
      <c r="B6" s="119">
        <v>1</v>
      </c>
      <c r="D6">
        <v>5</v>
      </c>
      <c r="E6" s="184" t="s">
        <v>197</v>
      </c>
      <c r="F6">
        <v>0.98</v>
      </c>
      <c r="G6">
        <v>0.8</v>
      </c>
      <c r="H6">
        <v>0.8</v>
      </c>
      <c r="I6">
        <v>0.8</v>
      </c>
      <c r="J6" s="108">
        <v>0.25</v>
      </c>
      <c r="K6" s="108">
        <v>0.05</v>
      </c>
    </row>
    <row r="7" spans="1:42" x14ac:dyDescent="0.15">
      <c r="A7" s="117" t="s">
        <v>79</v>
      </c>
      <c r="B7" s="119">
        <v>1</v>
      </c>
      <c r="D7">
        <v>6</v>
      </c>
      <c r="E7" s="184" t="s">
        <v>198</v>
      </c>
      <c r="F7">
        <v>0.98</v>
      </c>
      <c r="G7">
        <v>0.8</v>
      </c>
      <c r="H7">
        <v>0.8</v>
      </c>
      <c r="I7">
        <v>0.8</v>
      </c>
      <c r="J7" s="108">
        <v>0.25</v>
      </c>
      <c r="K7" s="108">
        <v>0.05</v>
      </c>
    </row>
    <row r="8" spans="1:42" x14ac:dyDescent="0.15">
      <c r="A8" s="117" t="s">
        <v>80</v>
      </c>
      <c r="B8" s="119">
        <v>1</v>
      </c>
      <c r="D8">
        <v>7</v>
      </c>
      <c r="E8" s="184" t="s">
        <v>199</v>
      </c>
      <c r="F8">
        <v>0.98</v>
      </c>
      <c r="G8">
        <v>0.8</v>
      </c>
      <c r="H8">
        <v>0.8</v>
      </c>
      <c r="I8">
        <v>0.8</v>
      </c>
      <c r="J8" s="108">
        <v>0.25</v>
      </c>
      <c r="K8" s="108">
        <v>0.05</v>
      </c>
    </row>
    <row r="9" spans="1:42" x14ac:dyDescent="0.15">
      <c r="A9" s="117" t="s">
        <v>81</v>
      </c>
      <c r="B9" s="119">
        <v>0.1</v>
      </c>
      <c r="C9" s="61" t="s">
        <v>150</v>
      </c>
      <c r="D9">
        <v>8</v>
      </c>
      <c r="E9" s="184" t="s">
        <v>200</v>
      </c>
      <c r="F9">
        <v>0.98</v>
      </c>
      <c r="G9">
        <v>0.8</v>
      </c>
      <c r="H9">
        <v>0.8</v>
      </c>
      <c r="I9">
        <v>0.8</v>
      </c>
      <c r="J9" s="108">
        <v>0.25</v>
      </c>
      <c r="K9" s="108">
        <v>0.05</v>
      </c>
    </row>
    <row r="10" spans="1:42" ht="14" thickBot="1" x14ac:dyDescent="0.2">
      <c r="A10" s="117" t="s">
        <v>149</v>
      </c>
      <c r="B10" s="120">
        <f>1/3</f>
        <v>0.33333333333333331</v>
      </c>
      <c r="C10" s="61" t="s">
        <v>150</v>
      </c>
      <c r="D10">
        <v>9</v>
      </c>
      <c r="E10" s="184" t="s">
        <v>201</v>
      </c>
      <c r="F10">
        <v>0.98</v>
      </c>
      <c r="G10">
        <v>0.8</v>
      </c>
      <c r="H10">
        <v>0.8</v>
      </c>
      <c r="I10">
        <v>0.8</v>
      </c>
      <c r="J10" s="108">
        <v>0.25</v>
      </c>
      <c r="K10" s="108">
        <v>0.05</v>
      </c>
    </row>
    <row r="11" spans="1:42" x14ac:dyDescent="0.15">
      <c r="D11">
        <v>10</v>
      </c>
      <c r="E11" s="184" t="s">
        <v>202</v>
      </c>
      <c r="F11">
        <v>0.98</v>
      </c>
      <c r="G11">
        <v>0.8</v>
      </c>
      <c r="H11">
        <v>0.8</v>
      </c>
      <c r="I11">
        <v>0.8</v>
      </c>
      <c r="J11" s="108">
        <v>0.25</v>
      </c>
      <c r="K11" s="108">
        <v>0.05</v>
      </c>
    </row>
    <row r="12" spans="1:42" x14ac:dyDescent="0.15">
      <c r="D12">
        <v>11</v>
      </c>
      <c r="E12" s="184" t="s">
        <v>203</v>
      </c>
      <c r="F12">
        <v>0.98</v>
      </c>
      <c r="G12">
        <v>0.8</v>
      </c>
      <c r="H12">
        <v>0.8</v>
      </c>
      <c r="I12">
        <v>0.8</v>
      </c>
      <c r="J12" s="108">
        <v>0.25</v>
      </c>
      <c r="K12" s="108">
        <v>0.05</v>
      </c>
    </row>
    <row r="13" spans="1:42" x14ac:dyDescent="0.15">
      <c r="D13">
        <v>12</v>
      </c>
      <c r="E13" s="184" t="s">
        <v>166</v>
      </c>
      <c r="F13">
        <v>0.98</v>
      </c>
      <c r="G13">
        <v>0.8</v>
      </c>
      <c r="H13">
        <v>0.8</v>
      </c>
      <c r="I13">
        <v>0.8</v>
      </c>
      <c r="J13" s="108">
        <v>0.25</v>
      </c>
      <c r="K13" s="108">
        <v>0.05</v>
      </c>
    </row>
    <row r="14" spans="1:42" x14ac:dyDescent="0.15">
      <c r="D14">
        <v>13</v>
      </c>
      <c r="E14" s="184" t="s">
        <v>204</v>
      </c>
      <c r="F14">
        <v>0.98</v>
      </c>
      <c r="G14">
        <v>0.8</v>
      </c>
      <c r="H14">
        <v>0.8</v>
      </c>
      <c r="I14">
        <v>0.8</v>
      </c>
      <c r="J14" s="108">
        <v>0.25</v>
      </c>
      <c r="K14" s="108">
        <v>0.05</v>
      </c>
    </row>
    <row r="15" spans="1:42" x14ac:dyDescent="0.15">
      <c r="D15">
        <v>14</v>
      </c>
      <c r="E15" s="184" t="s">
        <v>205</v>
      </c>
      <c r="F15">
        <v>0.98</v>
      </c>
      <c r="G15">
        <v>0.8</v>
      </c>
      <c r="H15">
        <v>0.8</v>
      </c>
      <c r="I15">
        <v>0.8</v>
      </c>
      <c r="J15" s="108">
        <v>0.25</v>
      </c>
      <c r="K15" s="108">
        <v>0.05</v>
      </c>
    </row>
    <row r="16" spans="1:42" x14ac:dyDescent="0.15">
      <c r="D16">
        <v>15</v>
      </c>
      <c r="E16" s="184" t="s">
        <v>206</v>
      </c>
      <c r="F16">
        <v>0.98</v>
      </c>
      <c r="G16">
        <v>0.8</v>
      </c>
      <c r="H16">
        <v>0.8</v>
      </c>
      <c r="I16">
        <v>0.8</v>
      </c>
      <c r="J16" s="108">
        <v>0.25</v>
      </c>
      <c r="K16" s="108">
        <v>0.05</v>
      </c>
    </row>
    <row r="17" spans="4:33" ht="15" customHeight="1" x14ac:dyDescent="0.15">
      <c r="D17">
        <v>16</v>
      </c>
      <c r="E17" s="184" t="s">
        <v>207</v>
      </c>
      <c r="F17">
        <v>0.98</v>
      </c>
      <c r="G17">
        <v>0.8</v>
      </c>
      <c r="H17">
        <v>0.8</v>
      </c>
      <c r="I17">
        <v>0.8</v>
      </c>
      <c r="J17" s="108">
        <v>0.25</v>
      </c>
      <c r="K17" s="108">
        <v>0.05</v>
      </c>
    </row>
    <row r="18" spans="4:33" ht="15" customHeight="1" x14ac:dyDescent="0.15">
      <c r="D18">
        <v>17</v>
      </c>
      <c r="E18" s="184" t="s">
        <v>208</v>
      </c>
      <c r="F18">
        <v>0.98</v>
      </c>
      <c r="G18">
        <v>0.8</v>
      </c>
      <c r="H18">
        <v>0.8</v>
      </c>
      <c r="I18">
        <v>0.8</v>
      </c>
      <c r="J18" s="108">
        <v>0.25</v>
      </c>
      <c r="K18" s="108">
        <v>0.05</v>
      </c>
    </row>
    <row r="19" spans="4:33" ht="15" customHeight="1" x14ac:dyDescent="0.15">
      <c r="D19">
        <v>18</v>
      </c>
      <c r="E19" s="184" t="s">
        <v>209</v>
      </c>
      <c r="F19">
        <v>0.98</v>
      </c>
      <c r="G19">
        <v>0.8</v>
      </c>
      <c r="H19">
        <v>0.8</v>
      </c>
      <c r="I19">
        <v>0.8</v>
      </c>
      <c r="J19" s="108">
        <v>0.25</v>
      </c>
      <c r="K19" s="108">
        <v>0.05</v>
      </c>
    </row>
    <row r="20" spans="4:33" ht="15" customHeight="1" x14ac:dyDescent="0.15">
      <c r="D20">
        <v>19</v>
      </c>
      <c r="E20" s="184" t="s">
        <v>210</v>
      </c>
      <c r="F20">
        <v>0.98</v>
      </c>
      <c r="G20">
        <v>0.8</v>
      </c>
      <c r="H20">
        <v>0.8</v>
      </c>
      <c r="I20">
        <v>0.8</v>
      </c>
      <c r="J20" s="108">
        <v>0.25</v>
      </c>
      <c r="K20" s="108">
        <v>0.05</v>
      </c>
    </row>
    <row r="21" spans="4:33" ht="15" customHeight="1" x14ac:dyDescent="0.15">
      <c r="D21">
        <v>20</v>
      </c>
      <c r="E21" s="184" t="s">
        <v>211</v>
      </c>
      <c r="F21">
        <v>0.98</v>
      </c>
      <c r="G21">
        <v>0.8</v>
      </c>
      <c r="H21">
        <v>0.8</v>
      </c>
      <c r="I21">
        <v>0.8</v>
      </c>
      <c r="J21" s="108">
        <v>0.25</v>
      </c>
      <c r="K21" s="108">
        <v>0.05</v>
      </c>
    </row>
    <row r="22" spans="4:33" ht="15" customHeight="1" x14ac:dyDescent="0.15">
      <c r="D22">
        <v>21</v>
      </c>
      <c r="E22" s="184" t="s">
        <v>212</v>
      </c>
      <c r="F22">
        <v>0.98</v>
      </c>
      <c r="G22">
        <v>0.8</v>
      </c>
      <c r="H22">
        <v>0.8</v>
      </c>
      <c r="I22">
        <v>0.8</v>
      </c>
      <c r="J22" s="108">
        <v>0.25</v>
      </c>
      <c r="K22" s="108">
        <v>0.05</v>
      </c>
    </row>
    <row r="23" spans="4:33" ht="15" customHeight="1" x14ac:dyDescent="0.15">
      <c r="D23">
        <v>22</v>
      </c>
      <c r="E23" s="184" t="s">
        <v>213</v>
      </c>
      <c r="F23">
        <v>0.98</v>
      </c>
      <c r="G23">
        <v>0.8</v>
      </c>
      <c r="H23">
        <v>0.8</v>
      </c>
      <c r="I23">
        <v>0.8</v>
      </c>
      <c r="J23" s="108">
        <v>0.25</v>
      </c>
      <c r="K23" s="108">
        <v>0.05</v>
      </c>
    </row>
    <row r="24" spans="4:33" ht="15" customHeight="1" x14ac:dyDescent="0.15">
      <c r="D24">
        <v>23</v>
      </c>
      <c r="E24" s="184" t="s">
        <v>214</v>
      </c>
      <c r="F24">
        <v>0.98</v>
      </c>
      <c r="G24">
        <v>0.8</v>
      </c>
      <c r="H24">
        <v>0.8</v>
      </c>
      <c r="I24">
        <v>0.8</v>
      </c>
      <c r="J24" s="108">
        <v>0.25</v>
      </c>
      <c r="K24" s="108">
        <v>0.05</v>
      </c>
    </row>
    <row r="25" spans="4:33" ht="15" customHeight="1" x14ac:dyDescent="0.15">
      <c r="D25">
        <v>24</v>
      </c>
      <c r="E25" s="184" t="s">
        <v>215</v>
      </c>
      <c r="F25">
        <v>0.98</v>
      </c>
      <c r="G25">
        <v>0.8</v>
      </c>
      <c r="H25">
        <v>0.8</v>
      </c>
      <c r="I25">
        <v>0.8</v>
      </c>
      <c r="J25" s="108">
        <v>0.25</v>
      </c>
      <c r="K25" s="108">
        <v>0.05</v>
      </c>
    </row>
    <row r="26" spans="4:33" ht="15" customHeight="1" x14ac:dyDescent="0.15">
      <c r="D26">
        <v>25</v>
      </c>
      <c r="E26" s="184" t="s">
        <v>216</v>
      </c>
      <c r="F26">
        <v>0.98</v>
      </c>
      <c r="G26">
        <v>0.8</v>
      </c>
      <c r="H26">
        <v>0.8</v>
      </c>
      <c r="I26">
        <v>0.8</v>
      </c>
      <c r="J26" s="108">
        <v>0.25</v>
      </c>
      <c r="K26" s="108">
        <v>0.05</v>
      </c>
    </row>
    <row r="27" spans="4:33" ht="15" customHeight="1" x14ac:dyDescent="0.15">
      <c r="D27">
        <v>26</v>
      </c>
      <c r="E27" s="184" t="s">
        <v>217</v>
      </c>
      <c r="F27">
        <v>0.98</v>
      </c>
      <c r="G27">
        <v>0.8</v>
      </c>
      <c r="H27">
        <v>0</v>
      </c>
      <c r="I27">
        <v>0</v>
      </c>
      <c r="J27" s="108">
        <v>0</v>
      </c>
      <c r="K27" s="108">
        <v>0</v>
      </c>
    </row>
    <row r="28" spans="4:33" ht="15" customHeight="1" x14ac:dyDescent="0.15">
      <c r="D28">
        <v>27</v>
      </c>
      <c r="E28" s="184" t="s">
        <v>218</v>
      </c>
      <c r="F28">
        <v>0.98</v>
      </c>
      <c r="G28">
        <v>0.8</v>
      </c>
      <c r="H28">
        <v>0</v>
      </c>
      <c r="I28">
        <v>0</v>
      </c>
      <c r="J28" s="108">
        <v>0</v>
      </c>
      <c r="K28" s="108">
        <v>0</v>
      </c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5" bestFit="1" customWidth="1"/>
    <col min="2" max="2" width="2.33203125" style="105" customWidth="1"/>
    <col min="3" max="26" width="3.83203125" style="105" customWidth="1"/>
    <col min="27" max="28" width="2.33203125" style="105" customWidth="1"/>
    <col min="29" max="16384" width="10.83203125" style="105"/>
  </cols>
  <sheetData>
    <row r="1" spans="1:30" x14ac:dyDescent="0.15">
      <c r="A1" s="63" t="s">
        <v>118</v>
      </c>
      <c r="B1" s="186" t="s">
        <v>193</v>
      </c>
      <c r="C1" s="186" t="s">
        <v>194</v>
      </c>
      <c r="D1" s="186" t="s">
        <v>195</v>
      </c>
      <c r="E1" s="186" t="s">
        <v>196</v>
      </c>
      <c r="F1" s="186" t="s">
        <v>197</v>
      </c>
      <c r="G1" s="186" t="s">
        <v>198</v>
      </c>
      <c r="H1" s="186" t="s">
        <v>199</v>
      </c>
      <c r="I1" s="186" t="s">
        <v>200</v>
      </c>
      <c r="J1" s="186" t="s">
        <v>201</v>
      </c>
      <c r="K1" s="186" t="s">
        <v>202</v>
      </c>
      <c r="L1" s="186" t="s">
        <v>203</v>
      </c>
      <c r="M1" s="186" t="s">
        <v>166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/>
      <c r="AD1"/>
    </row>
    <row r="2" spans="1:30" customFormat="1" x14ac:dyDescent="0.15">
      <c r="A2" s="185" t="s">
        <v>193</v>
      </c>
      <c r="B2" s="105">
        <v>0</v>
      </c>
      <c r="C2" s="105">
        <v>0.8</v>
      </c>
      <c r="D2" s="105">
        <v>0.8</v>
      </c>
      <c r="E2" s="105">
        <v>0.8</v>
      </c>
      <c r="F2" s="105">
        <v>0.8</v>
      </c>
      <c r="G2" s="105">
        <v>0</v>
      </c>
      <c r="H2" s="105">
        <v>0</v>
      </c>
      <c r="I2" s="105">
        <v>0.8</v>
      </c>
      <c r="J2" s="105">
        <v>0.8</v>
      </c>
      <c r="K2" s="105">
        <v>0</v>
      </c>
      <c r="L2" s="105">
        <v>0</v>
      </c>
      <c r="M2" s="105">
        <v>0</v>
      </c>
      <c r="N2" s="105">
        <v>0.8</v>
      </c>
      <c r="O2" s="105">
        <v>0</v>
      </c>
      <c r="P2" s="105">
        <v>0</v>
      </c>
      <c r="Q2" s="105">
        <v>0</v>
      </c>
      <c r="R2" s="105">
        <v>0</v>
      </c>
      <c r="S2" s="105">
        <v>0</v>
      </c>
      <c r="T2" s="105">
        <v>0</v>
      </c>
      <c r="U2" s="105">
        <v>0</v>
      </c>
      <c r="V2" s="105">
        <v>0</v>
      </c>
      <c r="W2" s="105">
        <v>0</v>
      </c>
      <c r="X2" s="105">
        <v>0</v>
      </c>
      <c r="Y2" s="105">
        <v>0</v>
      </c>
      <c r="Z2" s="105">
        <v>0</v>
      </c>
      <c r="AA2" s="105">
        <v>0</v>
      </c>
      <c r="AB2" s="105">
        <v>0</v>
      </c>
    </row>
    <row r="3" spans="1:30" customFormat="1" x14ac:dyDescent="0.15">
      <c r="A3" s="185" t="s">
        <v>194</v>
      </c>
      <c r="B3" s="105">
        <v>0</v>
      </c>
      <c r="C3" s="105">
        <v>0.8</v>
      </c>
      <c r="D3" s="105">
        <v>0.8</v>
      </c>
      <c r="E3" s="105">
        <v>0</v>
      </c>
      <c r="F3" s="105">
        <v>0</v>
      </c>
      <c r="G3" s="105">
        <v>0</v>
      </c>
      <c r="H3" s="105">
        <v>0</v>
      </c>
      <c r="I3" s="105">
        <v>0.8</v>
      </c>
      <c r="J3" s="105">
        <v>0.8</v>
      </c>
      <c r="K3" s="105">
        <v>0</v>
      </c>
      <c r="L3" s="105">
        <v>0</v>
      </c>
      <c r="M3" s="105">
        <v>0</v>
      </c>
      <c r="N3" s="105">
        <v>0.8</v>
      </c>
      <c r="O3" s="105">
        <v>0</v>
      </c>
      <c r="P3" s="105">
        <v>0</v>
      </c>
      <c r="Q3" s="105">
        <v>0</v>
      </c>
      <c r="R3" s="105">
        <v>0</v>
      </c>
      <c r="S3" s="105">
        <v>0</v>
      </c>
      <c r="T3" s="105">
        <v>0</v>
      </c>
      <c r="U3" s="105">
        <v>0</v>
      </c>
      <c r="V3" s="105">
        <v>0</v>
      </c>
      <c r="W3" s="105">
        <v>0</v>
      </c>
      <c r="X3" s="105">
        <v>0</v>
      </c>
      <c r="Y3" s="105">
        <v>0</v>
      </c>
      <c r="Z3" s="105">
        <v>0</v>
      </c>
      <c r="AA3" s="105">
        <v>0</v>
      </c>
      <c r="AB3" s="105">
        <v>0</v>
      </c>
    </row>
    <row r="4" spans="1:30" customFormat="1" x14ac:dyDescent="0.15">
      <c r="A4" s="185" t="s">
        <v>195</v>
      </c>
      <c r="B4" s="105">
        <v>0</v>
      </c>
      <c r="C4" s="105">
        <v>0</v>
      </c>
      <c r="D4" s="105">
        <v>0</v>
      </c>
      <c r="E4" s="105">
        <v>0.8</v>
      </c>
      <c r="F4" s="105">
        <v>0.8</v>
      </c>
      <c r="G4" s="105">
        <v>0</v>
      </c>
      <c r="H4" s="105">
        <v>0</v>
      </c>
      <c r="I4" s="105">
        <v>0.8</v>
      </c>
      <c r="J4" s="105">
        <v>0.8</v>
      </c>
      <c r="K4" s="105">
        <v>0.8</v>
      </c>
      <c r="L4" s="105">
        <v>0.8</v>
      </c>
      <c r="M4" s="105">
        <v>0.8</v>
      </c>
      <c r="N4" s="105">
        <v>0.8</v>
      </c>
      <c r="O4" s="105">
        <v>0.8</v>
      </c>
      <c r="P4" s="105">
        <v>0.8</v>
      </c>
      <c r="Q4" s="105">
        <v>0</v>
      </c>
      <c r="R4" s="105">
        <v>0.8</v>
      </c>
      <c r="S4" s="105">
        <v>0</v>
      </c>
      <c r="T4" s="105">
        <v>0</v>
      </c>
      <c r="U4" s="105">
        <v>0</v>
      </c>
      <c r="V4" s="105">
        <v>0.8</v>
      </c>
      <c r="W4" s="105">
        <v>0</v>
      </c>
      <c r="X4" s="105">
        <v>0.8</v>
      </c>
      <c r="Y4" s="105">
        <v>0</v>
      </c>
      <c r="Z4" s="105">
        <v>0.8</v>
      </c>
      <c r="AA4" s="105">
        <v>0</v>
      </c>
      <c r="AB4" s="105">
        <v>0</v>
      </c>
    </row>
    <row r="5" spans="1:30" customFormat="1" x14ac:dyDescent="0.15">
      <c r="A5" s="185" t="s">
        <v>196</v>
      </c>
      <c r="B5" s="105">
        <v>0</v>
      </c>
      <c r="C5" s="105">
        <v>0</v>
      </c>
      <c r="D5" s="105">
        <v>0</v>
      </c>
      <c r="E5" s="105">
        <v>0</v>
      </c>
      <c r="F5" s="105">
        <v>0.8</v>
      </c>
      <c r="G5" s="105">
        <v>0</v>
      </c>
      <c r="H5" s="105">
        <v>0</v>
      </c>
      <c r="I5" s="105">
        <v>0.8</v>
      </c>
      <c r="J5" s="105">
        <v>0.8</v>
      </c>
      <c r="K5" s="105">
        <v>0.8</v>
      </c>
      <c r="L5" s="105">
        <v>0.8</v>
      </c>
      <c r="M5" s="105">
        <v>0.8</v>
      </c>
      <c r="N5" s="105">
        <v>0.8</v>
      </c>
      <c r="O5" s="105">
        <v>0.8</v>
      </c>
      <c r="P5" s="105">
        <v>0.8</v>
      </c>
      <c r="Q5" s="105">
        <v>0.8</v>
      </c>
      <c r="R5" s="105">
        <v>0.8</v>
      </c>
      <c r="S5" s="105">
        <v>0.8</v>
      </c>
      <c r="T5" s="105">
        <v>0.8</v>
      </c>
      <c r="U5" s="105">
        <v>0.8</v>
      </c>
      <c r="V5" s="105">
        <v>0.8</v>
      </c>
      <c r="W5" s="105">
        <v>0</v>
      </c>
      <c r="X5" s="105">
        <v>0.8</v>
      </c>
      <c r="Y5" s="105">
        <v>0</v>
      </c>
      <c r="Z5" s="105">
        <v>0.8</v>
      </c>
      <c r="AA5" s="105">
        <v>0</v>
      </c>
      <c r="AB5" s="105">
        <v>0</v>
      </c>
    </row>
    <row r="6" spans="1:30" customFormat="1" x14ac:dyDescent="0.15">
      <c r="A6" s="185" t="s">
        <v>197</v>
      </c>
      <c r="B6" s="105">
        <v>0</v>
      </c>
      <c r="C6" s="105">
        <v>0</v>
      </c>
      <c r="D6" s="105">
        <v>0</v>
      </c>
      <c r="E6" s="105">
        <v>0</v>
      </c>
      <c r="F6" s="105">
        <v>0.8</v>
      </c>
      <c r="G6" s="105">
        <v>0</v>
      </c>
      <c r="H6" s="105">
        <v>0</v>
      </c>
      <c r="I6" s="105">
        <v>0</v>
      </c>
      <c r="J6" s="105">
        <v>0</v>
      </c>
      <c r="K6" s="105">
        <v>0</v>
      </c>
      <c r="L6" s="105">
        <v>0</v>
      </c>
      <c r="M6" s="105">
        <v>0</v>
      </c>
      <c r="N6" s="105">
        <v>0.8</v>
      </c>
      <c r="O6" s="105">
        <v>0</v>
      </c>
      <c r="P6" s="105">
        <v>0</v>
      </c>
      <c r="Q6" s="105">
        <v>0</v>
      </c>
      <c r="R6" s="105">
        <v>0</v>
      </c>
      <c r="S6" s="105">
        <v>0</v>
      </c>
      <c r="T6" s="105">
        <v>0</v>
      </c>
      <c r="U6" s="105">
        <v>0</v>
      </c>
      <c r="V6" s="105">
        <v>0</v>
      </c>
      <c r="W6" s="105">
        <v>0</v>
      </c>
      <c r="X6" s="105">
        <v>0</v>
      </c>
      <c r="Y6" s="105">
        <v>0</v>
      </c>
      <c r="Z6" s="105">
        <v>0</v>
      </c>
      <c r="AA6" s="105">
        <v>0</v>
      </c>
      <c r="AB6" s="105">
        <v>0</v>
      </c>
    </row>
    <row r="7" spans="1:30" customFormat="1" x14ac:dyDescent="0.15">
      <c r="A7" s="185" t="s">
        <v>198</v>
      </c>
      <c r="B7" s="105">
        <v>0</v>
      </c>
      <c r="C7" s="105">
        <v>0</v>
      </c>
      <c r="D7" s="105">
        <v>0</v>
      </c>
      <c r="E7" s="105">
        <v>0</v>
      </c>
      <c r="F7" s="105">
        <v>0</v>
      </c>
      <c r="G7" s="105">
        <v>0</v>
      </c>
      <c r="H7" s="105">
        <v>0.8</v>
      </c>
      <c r="I7" s="105">
        <v>0</v>
      </c>
      <c r="J7" s="105">
        <v>0</v>
      </c>
      <c r="K7" s="105">
        <v>0.8</v>
      </c>
      <c r="L7" s="105">
        <v>0</v>
      </c>
      <c r="M7" s="105">
        <v>0</v>
      </c>
      <c r="N7" s="105">
        <v>0</v>
      </c>
      <c r="O7" s="105">
        <v>0.8</v>
      </c>
      <c r="P7" s="105">
        <v>0.8</v>
      </c>
      <c r="Q7" s="105">
        <v>0</v>
      </c>
      <c r="R7" s="105">
        <v>0</v>
      </c>
      <c r="S7" s="105">
        <v>0</v>
      </c>
      <c r="T7" s="105">
        <v>0.8</v>
      </c>
      <c r="U7" s="105">
        <v>0.8</v>
      </c>
      <c r="V7" s="105">
        <v>0</v>
      </c>
      <c r="W7" s="105">
        <v>0.8</v>
      </c>
      <c r="X7" s="105">
        <v>0</v>
      </c>
      <c r="Y7" s="105">
        <v>0</v>
      </c>
      <c r="Z7" s="105">
        <v>0</v>
      </c>
      <c r="AA7" s="105">
        <v>0</v>
      </c>
      <c r="AB7" s="105">
        <v>0</v>
      </c>
    </row>
    <row r="8" spans="1:30" customFormat="1" x14ac:dyDescent="0.15">
      <c r="A8" s="185" t="s">
        <v>199</v>
      </c>
      <c r="B8" s="105">
        <v>0</v>
      </c>
      <c r="C8" s="105">
        <v>0</v>
      </c>
      <c r="D8" s="105">
        <v>0</v>
      </c>
      <c r="E8" s="105">
        <v>0</v>
      </c>
      <c r="F8" s="105">
        <v>0</v>
      </c>
      <c r="G8" s="105">
        <v>0</v>
      </c>
      <c r="H8" s="105">
        <v>0.8</v>
      </c>
      <c r="I8" s="105">
        <v>0</v>
      </c>
      <c r="J8" s="105">
        <v>0</v>
      </c>
      <c r="K8" s="105">
        <v>0.8</v>
      </c>
      <c r="L8" s="105">
        <v>0</v>
      </c>
      <c r="M8" s="105">
        <v>0</v>
      </c>
      <c r="N8" s="105">
        <v>0</v>
      </c>
      <c r="O8" s="105">
        <v>0</v>
      </c>
      <c r="P8" s="105">
        <v>0</v>
      </c>
      <c r="Q8" s="105">
        <v>0</v>
      </c>
      <c r="R8" s="105">
        <v>0</v>
      </c>
      <c r="S8" s="105">
        <v>0</v>
      </c>
      <c r="T8" s="105">
        <v>0.8</v>
      </c>
      <c r="U8" s="105">
        <v>0.8</v>
      </c>
      <c r="V8" s="105">
        <v>0</v>
      </c>
      <c r="W8" s="105">
        <v>0.8</v>
      </c>
      <c r="X8" s="105">
        <v>0</v>
      </c>
      <c r="Y8" s="105">
        <v>0</v>
      </c>
      <c r="Z8" s="105">
        <v>0</v>
      </c>
      <c r="AA8" s="105">
        <v>0</v>
      </c>
      <c r="AB8" s="105">
        <v>0</v>
      </c>
    </row>
    <row r="9" spans="1:30" customFormat="1" x14ac:dyDescent="0.15">
      <c r="A9" s="185" t="s">
        <v>200</v>
      </c>
      <c r="B9" s="105">
        <v>0</v>
      </c>
      <c r="C9" s="105">
        <v>0</v>
      </c>
      <c r="D9" s="105">
        <v>0</v>
      </c>
      <c r="E9" s="105">
        <v>0</v>
      </c>
      <c r="F9" s="105">
        <v>0</v>
      </c>
      <c r="G9" s="105">
        <v>0</v>
      </c>
      <c r="H9" s="105">
        <v>0</v>
      </c>
      <c r="I9" s="105">
        <v>0</v>
      </c>
      <c r="J9" s="105">
        <v>0</v>
      </c>
      <c r="K9" s="105">
        <v>0</v>
      </c>
      <c r="L9" s="105">
        <v>0</v>
      </c>
      <c r="M9" s="105">
        <v>0.8</v>
      </c>
      <c r="N9" s="105">
        <v>0</v>
      </c>
      <c r="O9" s="105">
        <v>0</v>
      </c>
      <c r="P9" s="105">
        <v>0</v>
      </c>
      <c r="Q9" s="105">
        <v>0.8</v>
      </c>
      <c r="R9" s="105">
        <v>0</v>
      </c>
      <c r="S9" s="105">
        <v>0.8</v>
      </c>
      <c r="T9" s="105">
        <v>0</v>
      </c>
      <c r="U9" s="105">
        <v>0</v>
      </c>
      <c r="V9" s="105">
        <v>0.8</v>
      </c>
      <c r="W9" s="105">
        <v>0.8</v>
      </c>
      <c r="X9" s="105">
        <v>0.8</v>
      </c>
      <c r="Y9" s="105">
        <v>0.8</v>
      </c>
      <c r="Z9" s="105">
        <v>0.8</v>
      </c>
      <c r="AA9" s="105">
        <v>0</v>
      </c>
      <c r="AB9" s="105">
        <v>0</v>
      </c>
    </row>
    <row r="10" spans="1:30" customFormat="1" x14ac:dyDescent="0.15">
      <c r="A10" s="185" t="s">
        <v>201</v>
      </c>
      <c r="B10" s="105">
        <v>0</v>
      </c>
      <c r="C10" s="105">
        <v>0</v>
      </c>
      <c r="D10" s="105">
        <v>0</v>
      </c>
      <c r="E10" s="105">
        <v>0</v>
      </c>
      <c r="F10" s="105">
        <v>0</v>
      </c>
      <c r="G10" s="105">
        <v>0</v>
      </c>
      <c r="H10" s="105">
        <v>0</v>
      </c>
      <c r="I10" s="105">
        <v>0</v>
      </c>
      <c r="J10" s="105">
        <v>0</v>
      </c>
      <c r="K10" s="105">
        <v>0</v>
      </c>
      <c r="L10" s="105">
        <v>0</v>
      </c>
      <c r="M10" s="105">
        <v>0.8</v>
      </c>
      <c r="N10" s="105">
        <v>0</v>
      </c>
      <c r="O10" s="105">
        <v>0</v>
      </c>
      <c r="P10" s="105">
        <v>0</v>
      </c>
      <c r="Q10" s="105">
        <v>0.8</v>
      </c>
      <c r="R10" s="105">
        <v>0</v>
      </c>
      <c r="S10" s="105">
        <v>0.8</v>
      </c>
      <c r="T10" s="105">
        <v>0</v>
      </c>
      <c r="U10" s="105">
        <v>0</v>
      </c>
      <c r="V10" s="105">
        <v>0.8</v>
      </c>
      <c r="W10" s="105">
        <v>0.8</v>
      </c>
      <c r="X10" s="105">
        <v>0.8</v>
      </c>
      <c r="Y10" s="105">
        <v>0.8</v>
      </c>
      <c r="Z10" s="105">
        <v>0.8</v>
      </c>
      <c r="AA10" s="105">
        <v>0</v>
      </c>
      <c r="AB10" s="105">
        <v>0</v>
      </c>
    </row>
    <row r="11" spans="1:30" customFormat="1" x14ac:dyDescent="0.15">
      <c r="A11" s="185" t="s">
        <v>202</v>
      </c>
      <c r="B11" s="105">
        <v>0</v>
      </c>
      <c r="C11" s="105">
        <v>0</v>
      </c>
      <c r="D11" s="105">
        <v>0</v>
      </c>
      <c r="E11" s="105">
        <v>0</v>
      </c>
      <c r="F11" s="105">
        <v>0</v>
      </c>
      <c r="G11" s="105">
        <v>0</v>
      </c>
      <c r="H11" s="105">
        <v>0</v>
      </c>
      <c r="I11" s="105">
        <v>0</v>
      </c>
      <c r="J11" s="105">
        <v>0</v>
      </c>
      <c r="K11" s="105">
        <v>0.8</v>
      </c>
      <c r="L11" s="105">
        <v>0</v>
      </c>
      <c r="M11" s="105">
        <v>0.8</v>
      </c>
      <c r="N11" s="105">
        <v>0</v>
      </c>
      <c r="O11" s="105">
        <v>0</v>
      </c>
      <c r="P11" s="105">
        <v>0.8</v>
      </c>
      <c r="Q11" s="105">
        <v>0.8</v>
      </c>
      <c r="R11" s="105">
        <v>0.8</v>
      </c>
      <c r="S11" s="105">
        <v>0.8</v>
      </c>
      <c r="T11" s="105">
        <v>0.8</v>
      </c>
      <c r="U11" s="105">
        <v>0</v>
      </c>
      <c r="V11" s="105">
        <v>0.8</v>
      </c>
      <c r="W11" s="105">
        <v>0.8</v>
      </c>
      <c r="X11" s="105">
        <v>0.8</v>
      </c>
      <c r="Y11" s="105">
        <v>0.8</v>
      </c>
      <c r="Z11" s="105">
        <v>0.8</v>
      </c>
      <c r="AA11" s="105">
        <v>0</v>
      </c>
      <c r="AB11" s="105">
        <v>0</v>
      </c>
    </row>
    <row r="12" spans="1:30" customFormat="1" x14ac:dyDescent="0.15">
      <c r="A12" s="185" t="s">
        <v>203</v>
      </c>
      <c r="B12" s="105">
        <v>0</v>
      </c>
      <c r="C12" s="105">
        <v>0</v>
      </c>
      <c r="D12" s="105">
        <v>0</v>
      </c>
      <c r="E12" s="105">
        <v>0</v>
      </c>
      <c r="F12" s="105">
        <v>0</v>
      </c>
      <c r="G12" s="105">
        <v>0</v>
      </c>
      <c r="H12" s="105">
        <v>0</v>
      </c>
      <c r="I12" s="105">
        <v>0</v>
      </c>
      <c r="J12" s="105">
        <v>0</v>
      </c>
      <c r="K12" s="105">
        <v>0.8</v>
      </c>
      <c r="L12" s="105">
        <v>0</v>
      </c>
      <c r="M12" s="105">
        <v>0.8</v>
      </c>
      <c r="N12" s="105">
        <v>0</v>
      </c>
      <c r="O12" s="105">
        <v>0</v>
      </c>
      <c r="P12" s="105">
        <v>0.8</v>
      </c>
      <c r="Q12" s="105">
        <v>0.8</v>
      </c>
      <c r="R12" s="105">
        <v>0.8</v>
      </c>
      <c r="S12" s="105">
        <v>0.8</v>
      </c>
      <c r="T12" s="105">
        <v>0.8</v>
      </c>
      <c r="U12" s="105">
        <v>0.8</v>
      </c>
      <c r="V12" s="105">
        <v>0.8</v>
      </c>
      <c r="W12" s="105">
        <v>0.8</v>
      </c>
      <c r="X12" s="105">
        <v>0.8</v>
      </c>
      <c r="Y12" s="105">
        <v>0.8</v>
      </c>
      <c r="Z12" s="105">
        <v>0</v>
      </c>
      <c r="AA12" s="105">
        <v>0</v>
      </c>
      <c r="AB12" s="105">
        <v>0</v>
      </c>
    </row>
    <row r="13" spans="1:30" customFormat="1" x14ac:dyDescent="0.15">
      <c r="A13" s="185" t="s">
        <v>166</v>
      </c>
      <c r="B13" s="105">
        <v>0</v>
      </c>
      <c r="C13" s="105">
        <v>0</v>
      </c>
      <c r="D13" s="105">
        <v>0</v>
      </c>
      <c r="E13" s="105">
        <v>0</v>
      </c>
      <c r="F13" s="105">
        <v>0</v>
      </c>
      <c r="G13" s="105">
        <v>0</v>
      </c>
      <c r="H13" s="105">
        <v>0</v>
      </c>
      <c r="I13" s="105">
        <v>0</v>
      </c>
      <c r="J13" s="105">
        <v>0</v>
      </c>
      <c r="K13" s="105">
        <v>0</v>
      </c>
      <c r="L13" s="105">
        <v>0</v>
      </c>
      <c r="M13" s="105">
        <v>0.8</v>
      </c>
      <c r="N13" s="105">
        <v>0</v>
      </c>
      <c r="O13" s="105">
        <v>0</v>
      </c>
      <c r="P13" s="105">
        <v>0</v>
      </c>
      <c r="Q13" s="105">
        <v>0.8</v>
      </c>
      <c r="R13" s="105">
        <v>0.8</v>
      </c>
      <c r="S13" s="105">
        <v>0.8</v>
      </c>
      <c r="T13" s="105">
        <v>0.8</v>
      </c>
      <c r="U13" s="105">
        <v>0.8</v>
      </c>
      <c r="V13" s="105">
        <v>0.8</v>
      </c>
      <c r="W13" s="105">
        <v>0.8</v>
      </c>
      <c r="X13" s="105">
        <v>0.8</v>
      </c>
      <c r="Y13" s="105">
        <v>0.8</v>
      </c>
      <c r="Z13" s="105">
        <v>0.8</v>
      </c>
      <c r="AA13" s="105">
        <v>0</v>
      </c>
      <c r="AB13" s="105">
        <v>0</v>
      </c>
    </row>
    <row r="14" spans="1:30" customFormat="1" x14ac:dyDescent="0.15">
      <c r="A14" s="185" t="s">
        <v>204</v>
      </c>
      <c r="B14" s="105">
        <v>0</v>
      </c>
      <c r="C14" s="105">
        <v>0</v>
      </c>
      <c r="D14" s="105">
        <v>0</v>
      </c>
      <c r="E14" s="105">
        <v>0</v>
      </c>
      <c r="F14" s="105">
        <v>0</v>
      </c>
      <c r="G14" s="105">
        <v>0</v>
      </c>
      <c r="H14" s="105">
        <v>0</v>
      </c>
      <c r="I14" s="105">
        <v>0</v>
      </c>
      <c r="J14" s="105">
        <v>0</v>
      </c>
      <c r="K14" s="105">
        <v>0.8</v>
      </c>
      <c r="L14" s="105">
        <v>0</v>
      </c>
      <c r="M14" s="105">
        <v>0.8</v>
      </c>
      <c r="N14" s="105">
        <v>0</v>
      </c>
      <c r="O14" s="105">
        <v>0</v>
      </c>
      <c r="P14" s="105">
        <v>0</v>
      </c>
      <c r="Q14" s="105">
        <v>0.8</v>
      </c>
      <c r="R14" s="105">
        <v>0.8</v>
      </c>
      <c r="S14" s="105">
        <v>0.8</v>
      </c>
      <c r="T14" s="105">
        <v>0.8</v>
      </c>
      <c r="U14" s="105">
        <v>0.8</v>
      </c>
      <c r="V14" s="105">
        <v>0.8</v>
      </c>
      <c r="W14" s="105">
        <v>0.8</v>
      </c>
      <c r="X14" s="105">
        <v>0.8</v>
      </c>
      <c r="Y14" s="105">
        <v>0.8</v>
      </c>
      <c r="Z14" s="105">
        <v>0.8</v>
      </c>
      <c r="AA14" s="105">
        <v>0</v>
      </c>
      <c r="AB14" s="105">
        <v>0</v>
      </c>
    </row>
    <row r="15" spans="1:30" customFormat="1" x14ac:dyDescent="0.15">
      <c r="A15" s="185" t="s">
        <v>205</v>
      </c>
      <c r="B15" s="105">
        <v>0</v>
      </c>
      <c r="C15" s="105">
        <v>0</v>
      </c>
      <c r="D15" s="105">
        <v>0</v>
      </c>
      <c r="E15" s="105">
        <v>0</v>
      </c>
      <c r="F15" s="105">
        <v>0</v>
      </c>
      <c r="G15" s="105">
        <v>0</v>
      </c>
      <c r="H15" s="105">
        <v>0</v>
      </c>
      <c r="I15" s="105">
        <v>0</v>
      </c>
      <c r="J15" s="105">
        <v>0</v>
      </c>
      <c r="K15" s="105">
        <v>0</v>
      </c>
      <c r="L15" s="105">
        <v>0</v>
      </c>
      <c r="M15" s="105">
        <v>0.8</v>
      </c>
      <c r="N15" s="105">
        <v>0</v>
      </c>
      <c r="O15" s="105">
        <v>0</v>
      </c>
      <c r="P15" s="105">
        <v>0</v>
      </c>
      <c r="Q15" s="105">
        <v>0.8</v>
      </c>
      <c r="R15" s="105">
        <v>0</v>
      </c>
      <c r="S15" s="105">
        <v>0.8</v>
      </c>
      <c r="T15" s="105">
        <v>0</v>
      </c>
      <c r="U15" s="105">
        <v>0</v>
      </c>
      <c r="V15" s="105">
        <v>0</v>
      </c>
      <c r="W15" s="105">
        <v>0.8</v>
      </c>
      <c r="X15" s="105">
        <v>0.8</v>
      </c>
      <c r="Y15" s="105">
        <v>0.8</v>
      </c>
      <c r="Z15" s="105">
        <v>0.8</v>
      </c>
      <c r="AA15" s="105">
        <v>0</v>
      </c>
      <c r="AB15" s="105">
        <v>0</v>
      </c>
    </row>
    <row r="16" spans="1:30" customFormat="1" x14ac:dyDescent="0.15">
      <c r="A16" s="185" t="s">
        <v>206</v>
      </c>
      <c r="B16" s="105">
        <v>0</v>
      </c>
      <c r="C16" s="105">
        <v>0</v>
      </c>
      <c r="D16" s="105">
        <v>0</v>
      </c>
      <c r="E16" s="105">
        <v>0</v>
      </c>
      <c r="F16" s="105">
        <v>0</v>
      </c>
      <c r="G16" s="105">
        <v>0</v>
      </c>
      <c r="H16" s="105">
        <v>0</v>
      </c>
      <c r="I16" s="105">
        <v>0</v>
      </c>
      <c r="J16" s="105">
        <v>0</v>
      </c>
      <c r="K16" s="105">
        <v>0</v>
      </c>
      <c r="L16" s="105">
        <v>0</v>
      </c>
      <c r="M16" s="105">
        <v>0</v>
      </c>
      <c r="N16" s="105">
        <v>0</v>
      </c>
      <c r="O16" s="105">
        <v>0</v>
      </c>
      <c r="P16" s="105">
        <v>0</v>
      </c>
      <c r="Q16" s="105">
        <v>0</v>
      </c>
      <c r="R16" s="105">
        <v>0</v>
      </c>
      <c r="S16" s="105">
        <v>0.8</v>
      </c>
      <c r="T16" s="105">
        <v>0</v>
      </c>
      <c r="U16" s="105">
        <v>0.8</v>
      </c>
      <c r="V16" s="105">
        <v>0.8</v>
      </c>
      <c r="W16" s="105">
        <v>0.8</v>
      </c>
      <c r="X16" s="105">
        <v>0</v>
      </c>
      <c r="Y16" s="105">
        <v>0.8</v>
      </c>
      <c r="Z16" s="105">
        <v>0.8</v>
      </c>
      <c r="AA16" s="105">
        <v>0</v>
      </c>
      <c r="AB16" s="105">
        <v>0</v>
      </c>
    </row>
    <row r="17" spans="1:28" customFormat="1" x14ac:dyDescent="0.15">
      <c r="A17" s="185" t="s">
        <v>207</v>
      </c>
      <c r="B17" s="105">
        <v>0</v>
      </c>
      <c r="C17" s="105">
        <v>0</v>
      </c>
      <c r="D17" s="105">
        <v>0</v>
      </c>
      <c r="E17" s="105">
        <v>0</v>
      </c>
      <c r="F17" s="105">
        <v>0</v>
      </c>
      <c r="G17" s="105">
        <v>0</v>
      </c>
      <c r="H17" s="105">
        <v>0</v>
      </c>
      <c r="I17" s="105">
        <v>0</v>
      </c>
      <c r="J17" s="105">
        <v>0</v>
      </c>
      <c r="K17" s="105">
        <v>0</v>
      </c>
      <c r="L17" s="105">
        <v>0</v>
      </c>
      <c r="M17" s="105">
        <v>0</v>
      </c>
      <c r="N17" s="105">
        <v>0</v>
      </c>
      <c r="O17" s="105">
        <v>0</v>
      </c>
      <c r="P17" s="105">
        <v>0</v>
      </c>
      <c r="Q17" s="105">
        <v>0</v>
      </c>
      <c r="R17" s="105">
        <v>0</v>
      </c>
      <c r="S17" s="105">
        <v>0</v>
      </c>
      <c r="T17" s="105">
        <v>0</v>
      </c>
      <c r="U17" s="105">
        <v>0</v>
      </c>
      <c r="V17" s="105">
        <v>0</v>
      </c>
      <c r="W17" s="105">
        <v>0.8</v>
      </c>
      <c r="X17" s="105">
        <v>0.8</v>
      </c>
      <c r="Y17" s="105">
        <v>0</v>
      </c>
      <c r="Z17" s="105">
        <v>0.8</v>
      </c>
      <c r="AA17" s="105">
        <v>0</v>
      </c>
      <c r="AB17" s="105">
        <v>0</v>
      </c>
    </row>
    <row r="18" spans="1:28" customFormat="1" x14ac:dyDescent="0.15">
      <c r="A18" s="185" t="s">
        <v>208</v>
      </c>
      <c r="B18" s="105">
        <v>0</v>
      </c>
      <c r="C18" s="105">
        <v>0</v>
      </c>
      <c r="D18" s="105">
        <v>0</v>
      </c>
      <c r="E18" s="105">
        <v>0</v>
      </c>
      <c r="F18" s="105">
        <v>0</v>
      </c>
      <c r="G18" s="105">
        <v>0</v>
      </c>
      <c r="H18" s="105">
        <v>0</v>
      </c>
      <c r="I18" s="105">
        <v>0</v>
      </c>
      <c r="J18" s="105">
        <v>0</v>
      </c>
      <c r="K18" s="105">
        <v>0</v>
      </c>
      <c r="L18" s="105">
        <v>0</v>
      </c>
      <c r="M18" s="105">
        <v>0</v>
      </c>
      <c r="N18" s="105">
        <v>0</v>
      </c>
      <c r="O18" s="105">
        <v>0</v>
      </c>
      <c r="P18" s="105">
        <v>0</v>
      </c>
      <c r="Q18" s="105">
        <v>0.8</v>
      </c>
      <c r="R18" s="105">
        <v>0</v>
      </c>
      <c r="S18" s="105">
        <v>0.8</v>
      </c>
      <c r="T18" s="105">
        <v>0.8</v>
      </c>
      <c r="U18" s="105">
        <v>0</v>
      </c>
      <c r="V18" s="105">
        <v>0</v>
      </c>
      <c r="W18" s="105">
        <v>0</v>
      </c>
      <c r="X18" s="105">
        <v>0.8</v>
      </c>
      <c r="Y18" s="105">
        <v>0.8</v>
      </c>
      <c r="Z18" s="105">
        <v>0</v>
      </c>
      <c r="AA18" s="105">
        <v>0</v>
      </c>
      <c r="AB18" s="105">
        <v>0</v>
      </c>
    </row>
    <row r="19" spans="1:28" customFormat="1" x14ac:dyDescent="0.15">
      <c r="A19" s="185" t="s">
        <v>209</v>
      </c>
      <c r="B19" s="105">
        <v>0</v>
      </c>
      <c r="C19" s="105">
        <v>0</v>
      </c>
      <c r="D19" s="105">
        <v>0</v>
      </c>
      <c r="E19" s="105">
        <v>0</v>
      </c>
      <c r="F19" s="105">
        <v>0</v>
      </c>
      <c r="G19" s="105">
        <v>0</v>
      </c>
      <c r="H19" s="105">
        <v>0</v>
      </c>
      <c r="I19" s="105">
        <v>0</v>
      </c>
      <c r="J19" s="105">
        <v>0</v>
      </c>
      <c r="K19" s="105">
        <v>0</v>
      </c>
      <c r="L19" s="105">
        <v>0</v>
      </c>
      <c r="M19" s="105">
        <v>0.8</v>
      </c>
      <c r="N19" s="105">
        <v>0</v>
      </c>
      <c r="O19" s="105">
        <v>0</v>
      </c>
      <c r="P19" s="105">
        <v>0</v>
      </c>
      <c r="Q19" s="105">
        <v>0.8</v>
      </c>
      <c r="R19" s="105">
        <v>0</v>
      </c>
      <c r="S19" s="105">
        <v>0.8</v>
      </c>
      <c r="T19" s="105">
        <v>0.8</v>
      </c>
      <c r="U19" s="105">
        <v>0.8</v>
      </c>
      <c r="V19" s="105">
        <v>0</v>
      </c>
      <c r="W19" s="105">
        <v>0.8</v>
      </c>
      <c r="X19" s="105">
        <v>0.8</v>
      </c>
      <c r="Y19" s="105">
        <v>0.8</v>
      </c>
      <c r="Z19" s="105">
        <v>0.8</v>
      </c>
      <c r="AA19" s="105">
        <v>0</v>
      </c>
      <c r="AB19" s="105">
        <v>0</v>
      </c>
    </row>
    <row r="20" spans="1:28" customFormat="1" x14ac:dyDescent="0.15">
      <c r="A20" s="185" t="s">
        <v>210</v>
      </c>
      <c r="B20" s="105">
        <v>0</v>
      </c>
      <c r="C20" s="105">
        <v>0</v>
      </c>
      <c r="D20" s="105">
        <v>0</v>
      </c>
      <c r="E20" s="105">
        <v>0</v>
      </c>
      <c r="F20" s="105">
        <v>0</v>
      </c>
      <c r="G20" s="105">
        <v>0</v>
      </c>
      <c r="H20" s="105">
        <v>0</v>
      </c>
      <c r="I20" s="105">
        <v>0</v>
      </c>
      <c r="J20" s="105">
        <v>0</v>
      </c>
      <c r="K20" s="105">
        <v>0</v>
      </c>
      <c r="L20" s="105">
        <v>0</v>
      </c>
      <c r="M20" s="105">
        <v>0</v>
      </c>
      <c r="N20" s="105">
        <v>0</v>
      </c>
      <c r="O20" s="105">
        <v>0</v>
      </c>
      <c r="P20" s="105">
        <v>0</v>
      </c>
      <c r="Q20" s="105">
        <v>0.8</v>
      </c>
      <c r="R20" s="105">
        <v>0</v>
      </c>
      <c r="S20" s="105">
        <v>0.8</v>
      </c>
      <c r="T20" s="105">
        <v>0</v>
      </c>
      <c r="U20" s="105">
        <v>0.8</v>
      </c>
      <c r="V20" s="105">
        <v>0.8</v>
      </c>
      <c r="W20" s="105">
        <v>0.8</v>
      </c>
      <c r="X20" s="105">
        <v>0.8</v>
      </c>
      <c r="Y20" s="105">
        <v>0</v>
      </c>
      <c r="Z20" s="105">
        <v>0.8</v>
      </c>
      <c r="AA20" s="105">
        <v>0</v>
      </c>
      <c r="AB20" s="105">
        <v>0</v>
      </c>
    </row>
    <row r="21" spans="1:28" customFormat="1" x14ac:dyDescent="0.15">
      <c r="A21" s="185" t="s">
        <v>211</v>
      </c>
      <c r="B21" s="105">
        <v>0</v>
      </c>
      <c r="C21" s="105">
        <v>0</v>
      </c>
      <c r="D21" s="105">
        <v>0</v>
      </c>
      <c r="E21" s="105">
        <v>0</v>
      </c>
      <c r="F21" s="105">
        <v>0</v>
      </c>
      <c r="G21" s="105">
        <v>0</v>
      </c>
      <c r="H21" s="105">
        <v>0</v>
      </c>
      <c r="I21" s="105">
        <v>0</v>
      </c>
      <c r="J21" s="105">
        <v>0</v>
      </c>
      <c r="K21" s="105">
        <v>0</v>
      </c>
      <c r="L21" s="105">
        <v>0</v>
      </c>
      <c r="M21" s="105">
        <v>0</v>
      </c>
      <c r="N21" s="105">
        <v>0</v>
      </c>
      <c r="O21" s="105">
        <v>0</v>
      </c>
      <c r="P21" s="105">
        <v>0</v>
      </c>
      <c r="Q21" s="105">
        <v>0</v>
      </c>
      <c r="R21" s="105">
        <v>0</v>
      </c>
      <c r="S21" s="105">
        <v>0.8</v>
      </c>
      <c r="T21" s="105">
        <v>0.8</v>
      </c>
      <c r="U21" s="105">
        <v>0.8</v>
      </c>
      <c r="V21" s="105">
        <v>0</v>
      </c>
      <c r="W21" s="105">
        <v>0.8</v>
      </c>
      <c r="X21" s="105">
        <v>0</v>
      </c>
      <c r="Y21" s="105">
        <v>0</v>
      </c>
      <c r="Z21" s="105">
        <v>0</v>
      </c>
      <c r="AA21" s="105">
        <v>0</v>
      </c>
      <c r="AB21" s="105">
        <v>0</v>
      </c>
    </row>
    <row r="22" spans="1:28" customFormat="1" x14ac:dyDescent="0.15">
      <c r="A22" s="185" t="s">
        <v>212</v>
      </c>
      <c r="B22" s="105">
        <v>0</v>
      </c>
      <c r="C22" s="105">
        <v>0</v>
      </c>
      <c r="D22" s="105">
        <v>0</v>
      </c>
      <c r="E22" s="105">
        <v>0</v>
      </c>
      <c r="F22" s="105">
        <v>0</v>
      </c>
      <c r="G22" s="105">
        <v>0</v>
      </c>
      <c r="H22" s="105">
        <v>0</v>
      </c>
      <c r="I22" s="105">
        <v>0</v>
      </c>
      <c r="J22" s="105">
        <v>0</v>
      </c>
      <c r="K22" s="105">
        <v>0</v>
      </c>
      <c r="L22" s="105">
        <v>0</v>
      </c>
      <c r="M22" s="105">
        <v>0</v>
      </c>
      <c r="N22" s="105">
        <v>0</v>
      </c>
      <c r="O22" s="105">
        <v>0</v>
      </c>
      <c r="P22" s="105">
        <v>0</v>
      </c>
      <c r="Q22" s="105">
        <v>0.8</v>
      </c>
      <c r="R22" s="105">
        <v>0</v>
      </c>
      <c r="S22" s="105">
        <v>0.8</v>
      </c>
      <c r="T22" s="105">
        <v>0.8</v>
      </c>
      <c r="U22" s="105">
        <v>0.8</v>
      </c>
      <c r="V22" s="105">
        <v>0.8</v>
      </c>
      <c r="W22" s="105">
        <v>0.8</v>
      </c>
      <c r="X22" s="105">
        <v>0.8</v>
      </c>
      <c r="Y22" s="105">
        <v>0.8</v>
      </c>
      <c r="Z22" s="105">
        <v>0</v>
      </c>
      <c r="AA22" s="105">
        <v>0</v>
      </c>
      <c r="AB22" s="105">
        <v>0</v>
      </c>
    </row>
    <row r="23" spans="1:28" customFormat="1" x14ac:dyDescent="0.15">
      <c r="A23" s="185" t="s">
        <v>213</v>
      </c>
      <c r="B23" s="105">
        <v>0</v>
      </c>
      <c r="C23" s="105">
        <v>0</v>
      </c>
      <c r="D23" s="105">
        <v>0</v>
      </c>
      <c r="E23" s="105">
        <v>0</v>
      </c>
      <c r="F23" s="105">
        <v>0</v>
      </c>
      <c r="G23" s="105">
        <v>0</v>
      </c>
      <c r="H23" s="105">
        <v>0</v>
      </c>
      <c r="I23" s="105">
        <v>0</v>
      </c>
      <c r="J23" s="105">
        <v>0</v>
      </c>
      <c r="K23" s="105">
        <v>0</v>
      </c>
      <c r="L23" s="105">
        <v>0</v>
      </c>
      <c r="M23" s="105">
        <v>0</v>
      </c>
      <c r="N23" s="105">
        <v>0</v>
      </c>
      <c r="O23" s="105">
        <v>0</v>
      </c>
      <c r="P23" s="105">
        <v>0</v>
      </c>
      <c r="Q23" s="105">
        <v>0</v>
      </c>
      <c r="R23" s="105">
        <v>0</v>
      </c>
      <c r="S23" s="105">
        <v>0</v>
      </c>
      <c r="T23" s="105">
        <v>0</v>
      </c>
      <c r="U23" s="105">
        <v>0</v>
      </c>
      <c r="V23" s="105">
        <v>0</v>
      </c>
      <c r="W23" s="105">
        <v>0.8</v>
      </c>
      <c r="X23" s="105">
        <v>0</v>
      </c>
      <c r="Y23" s="105">
        <v>0</v>
      </c>
      <c r="Z23" s="105">
        <v>0</v>
      </c>
      <c r="AA23" s="105">
        <v>0</v>
      </c>
      <c r="AB23" s="105">
        <v>0</v>
      </c>
    </row>
    <row r="24" spans="1:28" customFormat="1" x14ac:dyDescent="0.15">
      <c r="A24" s="185" t="s">
        <v>214</v>
      </c>
      <c r="B24" s="105">
        <v>0</v>
      </c>
      <c r="C24" s="105">
        <v>0</v>
      </c>
      <c r="D24" s="105">
        <v>0</v>
      </c>
      <c r="E24" s="105">
        <v>0</v>
      </c>
      <c r="F24" s="105">
        <v>0</v>
      </c>
      <c r="G24" s="105">
        <v>0</v>
      </c>
      <c r="H24" s="105">
        <v>0</v>
      </c>
      <c r="I24" s="105">
        <v>0</v>
      </c>
      <c r="J24" s="105">
        <v>0</v>
      </c>
      <c r="K24" s="105">
        <v>0</v>
      </c>
      <c r="L24" s="105">
        <v>0</v>
      </c>
      <c r="M24" s="105">
        <v>0</v>
      </c>
      <c r="N24" s="105">
        <v>0</v>
      </c>
      <c r="O24" s="105">
        <v>0</v>
      </c>
      <c r="P24" s="105">
        <v>0</v>
      </c>
      <c r="Q24" s="105">
        <v>0</v>
      </c>
      <c r="R24" s="105">
        <v>0</v>
      </c>
      <c r="S24" s="105">
        <v>0</v>
      </c>
      <c r="T24" s="105">
        <v>0</v>
      </c>
      <c r="U24" s="105">
        <v>0</v>
      </c>
      <c r="V24" s="105">
        <v>0</v>
      </c>
      <c r="W24" s="105">
        <v>0</v>
      </c>
      <c r="X24" s="105">
        <v>0</v>
      </c>
      <c r="Y24" s="105">
        <v>0</v>
      </c>
      <c r="Z24" s="105">
        <v>0.8</v>
      </c>
      <c r="AA24" s="105">
        <v>0</v>
      </c>
      <c r="AB24" s="105">
        <v>0</v>
      </c>
    </row>
    <row r="25" spans="1:28" customFormat="1" x14ac:dyDescent="0.15">
      <c r="A25" s="185" t="s">
        <v>215</v>
      </c>
      <c r="B25" s="105">
        <v>0</v>
      </c>
      <c r="C25" s="105">
        <v>0</v>
      </c>
      <c r="D25" s="105">
        <v>0</v>
      </c>
      <c r="E25" s="105">
        <v>0</v>
      </c>
      <c r="F25" s="105">
        <v>0</v>
      </c>
      <c r="G25" s="105">
        <v>0</v>
      </c>
      <c r="H25" s="105">
        <v>0</v>
      </c>
      <c r="I25" s="105">
        <v>0</v>
      </c>
      <c r="J25" s="105">
        <v>0</v>
      </c>
      <c r="K25" s="105">
        <v>0</v>
      </c>
      <c r="L25" s="105">
        <v>0</v>
      </c>
      <c r="M25" s="105">
        <v>0</v>
      </c>
      <c r="N25" s="105">
        <v>0</v>
      </c>
      <c r="O25" s="105">
        <v>0</v>
      </c>
      <c r="P25" s="105">
        <v>0</v>
      </c>
      <c r="Q25" s="105">
        <v>0</v>
      </c>
      <c r="R25" s="105">
        <v>0</v>
      </c>
      <c r="S25" s="105">
        <v>0</v>
      </c>
      <c r="T25" s="105">
        <v>0</v>
      </c>
      <c r="U25" s="105">
        <v>0</v>
      </c>
      <c r="V25" s="105">
        <v>0</v>
      </c>
      <c r="W25" s="105">
        <v>0.8</v>
      </c>
      <c r="X25" s="105">
        <v>0.8</v>
      </c>
      <c r="Y25" s="105">
        <v>0</v>
      </c>
      <c r="Z25" s="105">
        <v>0.8</v>
      </c>
      <c r="AA25" s="105">
        <v>0</v>
      </c>
      <c r="AB25" s="105">
        <v>0</v>
      </c>
    </row>
    <row r="26" spans="1:28" customFormat="1" x14ac:dyDescent="0.15">
      <c r="A26" s="185" t="s">
        <v>216</v>
      </c>
      <c r="B26" s="105">
        <v>0</v>
      </c>
      <c r="C26" s="105">
        <v>0</v>
      </c>
      <c r="D26" s="105">
        <v>0</v>
      </c>
      <c r="E26" s="105">
        <v>0</v>
      </c>
      <c r="F26" s="105">
        <v>0</v>
      </c>
      <c r="G26" s="105">
        <v>0</v>
      </c>
      <c r="H26" s="105">
        <v>0</v>
      </c>
      <c r="I26" s="105">
        <v>0</v>
      </c>
      <c r="J26" s="105">
        <v>0</v>
      </c>
      <c r="K26" s="105">
        <v>0</v>
      </c>
      <c r="L26" s="105">
        <v>0</v>
      </c>
      <c r="M26" s="105">
        <v>0</v>
      </c>
      <c r="N26" s="105">
        <v>0</v>
      </c>
      <c r="O26" s="105">
        <v>0</v>
      </c>
      <c r="P26" s="105">
        <v>0</v>
      </c>
      <c r="Q26" s="105">
        <v>0</v>
      </c>
      <c r="R26" s="105">
        <v>0</v>
      </c>
      <c r="S26" s="105">
        <v>0</v>
      </c>
      <c r="T26" s="105">
        <v>0</v>
      </c>
      <c r="U26" s="105">
        <v>0</v>
      </c>
      <c r="V26" s="105">
        <v>0</v>
      </c>
      <c r="W26" s="105">
        <v>0</v>
      </c>
      <c r="X26" s="105">
        <v>0</v>
      </c>
      <c r="Y26" s="105">
        <v>0</v>
      </c>
      <c r="Z26" s="105">
        <v>0</v>
      </c>
      <c r="AA26" s="105">
        <v>0</v>
      </c>
      <c r="AB26" s="105">
        <v>0</v>
      </c>
    </row>
    <row r="27" spans="1:28" customFormat="1" x14ac:dyDescent="0.15">
      <c r="A27" s="185" t="s">
        <v>217</v>
      </c>
      <c r="B27" s="105">
        <v>0</v>
      </c>
      <c r="C27" s="105">
        <v>0.8</v>
      </c>
      <c r="D27" s="105">
        <v>0</v>
      </c>
      <c r="E27" s="105">
        <v>0</v>
      </c>
      <c r="F27" s="105">
        <v>0.8</v>
      </c>
      <c r="G27" s="105">
        <v>0.8</v>
      </c>
      <c r="H27" s="105">
        <v>0.8</v>
      </c>
      <c r="I27" s="105">
        <v>0</v>
      </c>
      <c r="J27" s="105">
        <v>0</v>
      </c>
      <c r="K27" s="105">
        <v>0.8</v>
      </c>
      <c r="L27" s="105">
        <v>0</v>
      </c>
      <c r="M27" s="105">
        <v>0</v>
      </c>
      <c r="N27" s="105">
        <v>0.8</v>
      </c>
      <c r="O27" s="105">
        <v>0</v>
      </c>
      <c r="P27" s="105">
        <v>0</v>
      </c>
      <c r="Q27" s="105">
        <v>0</v>
      </c>
      <c r="R27" s="105">
        <v>0</v>
      </c>
      <c r="S27" s="105">
        <v>0</v>
      </c>
      <c r="T27" s="105">
        <v>0.8</v>
      </c>
      <c r="U27" s="105">
        <v>0.8</v>
      </c>
      <c r="V27" s="105">
        <v>0</v>
      </c>
      <c r="W27" s="105">
        <v>0.8</v>
      </c>
      <c r="X27" s="105">
        <v>0</v>
      </c>
      <c r="Y27" s="105">
        <v>0</v>
      </c>
      <c r="Z27" s="105">
        <v>0</v>
      </c>
      <c r="AA27" s="105">
        <v>0</v>
      </c>
      <c r="AB27" s="105">
        <v>0</v>
      </c>
    </row>
    <row r="28" spans="1:28" customFormat="1" x14ac:dyDescent="0.15">
      <c r="A28" s="185" t="s">
        <v>218</v>
      </c>
      <c r="B28" s="105">
        <v>0</v>
      </c>
      <c r="C28" s="105">
        <v>0</v>
      </c>
      <c r="D28" s="105">
        <v>0</v>
      </c>
      <c r="E28" s="105">
        <v>0</v>
      </c>
      <c r="F28" s="105">
        <v>0</v>
      </c>
      <c r="G28" s="105">
        <v>0</v>
      </c>
      <c r="H28" s="105">
        <v>0</v>
      </c>
      <c r="I28" s="105">
        <v>0</v>
      </c>
      <c r="J28" s="105">
        <v>0</v>
      </c>
      <c r="K28" s="105">
        <v>0</v>
      </c>
      <c r="L28" s="105">
        <v>0</v>
      </c>
      <c r="M28" s="105">
        <v>0</v>
      </c>
      <c r="N28" s="105">
        <v>0</v>
      </c>
      <c r="O28" s="105">
        <v>0</v>
      </c>
      <c r="P28" s="105">
        <v>0</v>
      </c>
      <c r="Q28" s="105">
        <v>0</v>
      </c>
      <c r="R28" s="105">
        <v>0</v>
      </c>
      <c r="S28" s="105">
        <v>0</v>
      </c>
      <c r="T28" s="105">
        <v>0</v>
      </c>
      <c r="U28" s="105">
        <v>0</v>
      </c>
      <c r="V28" s="105">
        <v>0</v>
      </c>
      <c r="W28" s="105">
        <v>0</v>
      </c>
      <c r="X28" s="105">
        <v>0</v>
      </c>
      <c r="Y28" s="105">
        <v>0</v>
      </c>
      <c r="Z28" s="105">
        <v>0</v>
      </c>
      <c r="AA28" s="105">
        <v>0</v>
      </c>
      <c r="AB28" s="105">
        <v>0</v>
      </c>
    </row>
    <row r="29" spans="1:28" customFormat="1" x14ac:dyDescent="0.15">
      <c r="A29" s="185" t="s">
        <v>223</v>
      </c>
      <c r="B29" s="105">
        <v>0</v>
      </c>
      <c r="C29" s="105">
        <v>0</v>
      </c>
      <c r="D29" s="105">
        <v>0</v>
      </c>
      <c r="E29" s="105">
        <v>0</v>
      </c>
      <c r="F29" s="105">
        <v>0</v>
      </c>
      <c r="G29" s="105">
        <v>0</v>
      </c>
      <c r="H29" s="105">
        <v>0</v>
      </c>
      <c r="I29" s="105">
        <v>0</v>
      </c>
      <c r="J29" s="105">
        <v>0</v>
      </c>
      <c r="K29" s="105">
        <v>0</v>
      </c>
      <c r="L29" s="105">
        <v>0</v>
      </c>
      <c r="M29" s="105">
        <v>0</v>
      </c>
      <c r="N29" s="105">
        <v>0</v>
      </c>
      <c r="O29" s="105">
        <v>0</v>
      </c>
      <c r="P29" s="105">
        <v>0</v>
      </c>
      <c r="Q29" s="105">
        <v>0</v>
      </c>
      <c r="R29" s="105">
        <v>0</v>
      </c>
      <c r="S29" s="105">
        <v>0</v>
      </c>
      <c r="T29" s="105">
        <v>0</v>
      </c>
      <c r="U29" s="105">
        <v>0</v>
      </c>
      <c r="V29" s="105">
        <v>0</v>
      </c>
      <c r="W29" s="105">
        <v>0</v>
      </c>
      <c r="X29" s="105">
        <v>0</v>
      </c>
      <c r="Y29" s="105">
        <v>0</v>
      </c>
      <c r="Z29" s="105">
        <v>0</v>
      </c>
      <c r="AA29" s="105">
        <v>0</v>
      </c>
      <c r="AB29" s="105">
        <v>0</v>
      </c>
    </row>
    <row r="30" spans="1:28" customFormat="1" x14ac:dyDescent="0.15"/>
    <row r="31" spans="1:28" customFormat="1" x14ac:dyDescent="0.15"/>
    <row r="32" spans="1:2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5" bestFit="1" customWidth="1"/>
    <col min="2" max="28" width="2.33203125" style="105" customWidth="1"/>
    <col min="29" max="16384" width="10.83203125" style="105"/>
  </cols>
  <sheetData>
    <row r="1" spans="1:31" x14ac:dyDescent="0.15">
      <c r="A1" s="63" t="s">
        <v>139</v>
      </c>
      <c r="B1" s="188" t="s">
        <v>193</v>
      </c>
      <c r="C1" s="188" t="s">
        <v>194</v>
      </c>
      <c r="D1" s="188" t="s">
        <v>195</v>
      </c>
      <c r="E1" s="188" t="s">
        <v>196</v>
      </c>
      <c r="F1" s="188" t="s">
        <v>197</v>
      </c>
      <c r="G1" s="188" t="s">
        <v>198</v>
      </c>
      <c r="H1" s="188" t="s">
        <v>199</v>
      </c>
      <c r="I1" s="188" t="s">
        <v>200</v>
      </c>
      <c r="J1" s="188" t="s">
        <v>201</v>
      </c>
      <c r="K1" s="188" t="s">
        <v>202</v>
      </c>
      <c r="L1" s="188" t="s">
        <v>203</v>
      </c>
      <c r="M1" s="188" t="s">
        <v>166</v>
      </c>
      <c r="N1" s="188" t="s">
        <v>204</v>
      </c>
      <c r="O1" s="188" t="s">
        <v>205</v>
      </c>
      <c r="P1" s="188" t="s">
        <v>206</v>
      </c>
      <c r="Q1" s="188" t="s">
        <v>207</v>
      </c>
      <c r="R1" s="188" t="s">
        <v>208</v>
      </c>
      <c r="S1" s="188" t="s">
        <v>209</v>
      </c>
      <c r="T1" s="188" t="s">
        <v>210</v>
      </c>
      <c r="U1" s="188" t="s">
        <v>211</v>
      </c>
      <c r="V1" s="188" t="s">
        <v>212</v>
      </c>
      <c r="W1" s="188" t="s">
        <v>213</v>
      </c>
      <c r="X1" s="188" t="s">
        <v>214</v>
      </c>
      <c r="Y1" s="188" t="s">
        <v>215</v>
      </c>
      <c r="Z1" s="188" t="s">
        <v>216</v>
      </c>
      <c r="AA1" s="188" t="s">
        <v>217</v>
      </c>
      <c r="AB1" s="188" t="s">
        <v>218</v>
      </c>
      <c r="AC1"/>
      <c r="AD1"/>
      <c r="AE1"/>
    </row>
    <row r="2" spans="1:31" customFormat="1" x14ac:dyDescent="0.15">
      <c r="A2" s="187" t="s">
        <v>193</v>
      </c>
      <c r="B2" s="105">
        <v>0</v>
      </c>
      <c r="C2" s="105">
        <v>1</v>
      </c>
      <c r="D2" s="105">
        <v>1</v>
      </c>
      <c r="E2" s="105">
        <v>1</v>
      </c>
      <c r="F2" s="105">
        <v>1</v>
      </c>
      <c r="G2" s="105">
        <v>0</v>
      </c>
      <c r="H2" s="105">
        <v>0</v>
      </c>
      <c r="I2" s="105">
        <v>1</v>
      </c>
      <c r="J2" s="105">
        <v>1</v>
      </c>
      <c r="K2" s="105">
        <v>0</v>
      </c>
      <c r="L2" s="105">
        <v>0</v>
      </c>
      <c r="M2" s="105">
        <v>0</v>
      </c>
      <c r="N2" s="105">
        <v>1</v>
      </c>
      <c r="O2" s="105">
        <v>0</v>
      </c>
      <c r="P2" s="105">
        <v>0</v>
      </c>
      <c r="Q2" s="105">
        <v>0</v>
      </c>
      <c r="R2" s="105">
        <v>0</v>
      </c>
      <c r="S2" s="105">
        <v>0</v>
      </c>
      <c r="T2" s="105">
        <v>0</v>
      </c>
      <c r="U2" s="105">
        <v>0</v>
      </c>
      <c r="V2" s="105">
        <v>0</v>
      </c>
      <c r="W2" s="105">
        <v>0</v>
      </c>
      <c r="X2" s="105">
        <v>0</v>
      </c>
      <c r="Y2" s="105">
        <v>0</v>
      </c>
      <c r="Z2" s="105">
        <v>0</v>
      </c>
      <c r="AA2" s="105">
        <v>0</v>
      </c>
      <c r="AB2" s="105">
        <v>0</v>
      </c>
    </row>
    <row r="3" spans="1:31" customFormat="1" x14ac:dyDescent="0.15">
      <c r="A3" s="187" t="s">
        <v>194</v>
      </c>
      <c r="B3" s="105">
        <v>0</v>
      </c>
      <c r="C3" s="105">
        <v>1</v>
      </c>
      <c r="D3" s="105">
        <v>1</v>
      </c>
      <c r="E3" s="105">
        <v>0</v>
      </c>
      <c r="F3" s="105">
        <v>0</v>
      </c>
      <c r="G3" s="105">
        <v>0</v>
      </c>
      <c r="H3" s="105">
        <v>0</v>
      </c>
      <c r="I3" s="105">
        <v>1</v>
      </c>
      <c r="J3" s="105">
        <v>1</v>
      </c>
      <c r="K3" s="105">
        <v>0</v>
      </c>
      <c r="L3" s="105">
        <v>0</v>
      </c>
      <c r="M3" s="105">
        <v>0</v>
      </c>
      <c r="N3" s="105">
        <v>1</v>
      </c>
      <c r="O3" s="105">
        <v>0</v>
      </c>
      <c r="P3" s="105">
        <v>0</v>
      </c>
      <c r="Q3" s="105">
        <v>0</v>
      </c>
      <c r="R3" s="105">
        <v>0</v>
      </c>
      <c r="S3" s="105">
        <v>0</v>
      </c>
      <c r="T3" s="105">
        <v>0</v>
      </c>
      <c r="U3" s="105">
        <v>0</v>
      </c>
      <c r="V3" s="105">
        <v>0</v>
      </c>
      <c r="W3" s="105">
        <v>0</v>
      </c>
      <c r="X3" s="105">
        <v>0</v>
      </c>
      <c r="Y3" s="105">
        <v>0</v>
      </c>
      <c r="Z3" s="105">
        <v>0</v>
      </c>
      <c r="AA3" s="105">
        <v>0</v>
      </c>
      <c r="AB3" s="105">
        <v>0</v>
      </c>
    </row>
    <row r="4" spans="1:31" customFormat="1" x14ac:dyDescent="0.15">
      <c r="A4" s="187" t="s">
        <v>195</v>
      </c>
      <c r="B4" s="105">
        <v>0</v>
      </c>
      <c r="C4" s="105">
        <v>0</v>
      </c>
      <c r="D4" s="105">
        <v>0</v>
      </c>
      <c r="E4" s="105">
        <v>1</v>
      </c>
      <c r="F4" s="105">
        <v>1</v>
      </c>
      <c r="G4" s="105">
        <v>0</v>
      </c>
      <c r="H4" s="105">
        <v>0</v>
      </c>
      <c r="I4" s="105">
        <v>1</v>
      </c>
      <c r="J4" s="105">
        <v>1</v>
      </c>
      <c r="K4" s="105">
        <v>1</v>
      </c>
      <c r="L4" s="105">
        <v>1</v>
      </c>
      <c r="M4" s="105">
        <v>1</v>
      </c>
      <c r="N4" s="105">
        <v>1</v>
      </c>
      <c r="O4" s="105">
        <v>1</v>
      </c>
      <c r="P4" s="105">
        <v>1</v>
      </c>
      <c r="Q4" s="105">
        <v>0</v>
      </c>
      <c r="R4" s="105">
        <v>1</v>
      </c>
      <c r="S4" s="105">
        <v>0</v>
      </c>
      <c r="T4" s="105">
        <v>0</v>
      </c>
      <c r="U4" s="105">
        <v>0</v>
      </c>
      <c r="V4" s="105">
        <v>1</v>
      </c>
      <c r="W4" s="105">
        <v>0</v>
      </c>
      <c r="X4" s="105">
        <v>1</v>
      </c>
      <c r="Y4" s="105">
        <v>0</v>
      </c>
      <c r="Z4" s="105">
        <v>1</v>
      </c>
      <c r="AA4" s="105">
        <v>0</v>
      </c>
      <c r="AB4" s="105">
        <v>0</v>
      </c>
    </row>
    <row r="5" spans="1:31" customFormat="1" x14ac:dyDescent="0.15">
      <c r="A5" s="187" t="s">
        <v>196</v>
      </c>
      <c r="B5" s="105">
        <v>0</v>
      </c>
      <c r="C5" s="105">
        <v>0</v>
      </c>
      <c r="D5" s="105">
        <v>0</v>
      </c>
      <c r="E5" s="105">
        <v>0</v>
      </c>
      <c r="F5" s="105">
        <v>1</v>
      </c>
      <c r="G5" s="105">
        <v>0</v>
      </c>
      <c r="H5" s="105">
        <v>0</v>
      </c>
      <c r="I5" s="105">
        <v>1</v>
      </c>
      <c r="J5" s="105">
        <v>1</v>
      </c>
      <c r="K5" s="105">
        <v>1</v>
      </c>
      <c r="L5" s="105">
        <v>1</v>
      </c>
      <c r="M5" s="105">
        <v>1</v>
      </c>
      <c r="N5" s="105">
        <v>1</v>
      </c>
      <c r="O5" s="105">
        <v>1</v>
      </c>
      <c r="P5" s="105">
        <v>1</v>
      </c>
      <c r="Q5" s="105">
        <v>1</v>
      </c>
      <c r="R5" s="105">
        <v>1</v>
      </c>
      <c r="S5" s="105">
        <v>1</v>
      </c>
      <c r="T5" s="105">
        <v>1</v>
      </c>
      <c r="U5" s="105">
        <v>1</v>
      </c>
      <c r="V5" s="105">
        <v>1</v>
      </c>
      <c r="W5" s="105">
        <v>0</v>
      </c>
      <c r="X5" s="105">
        <v>1</v>
      </c>
      <c r="Y5" s="105">
        <v>0</v>
      </c>
      <c r="Z5" s="105">
        <v>1</v>
      </c>
      <c r="AA5" s="105">
        <v>0</v>
      </c>
      <c r="AB5" s="105">
        <v>0</v>
      </c>
    </row>
    <row r="6" spans="1:31" customFormat="1" x14ac:dyDescent="0.15">
      <c r="A6" s="187" t="s">
        <v>197</v>
      </c>
      <c r="B6" s="105">
        <v>0</v>
      </c>
      <c r="C6" s="105">
        <v>0</v>
      </c>
      <c r="D6" s="105">
        <v>0</v>
      </c>
      <c r="E6" s="105">
        <v>0</v>
      </c>
      <c r="F6" s="105">
        <v>1</v>
      </c>
      <c r="G6" s="105">
        <v>0</v>
      </c>
      <c r="H6" s="105">
        <v>0</v>
      </c>
      <c r="I6" s="105">
        <v>0</v>
      </c>
      <c r="J6" s="105">
        <v>0</v>
      </c>
      <c r="K6" s="105">
        <v>0</v>
      </c>
      <c r="L6" s="105">
        <v>0</v>
      </c>
      <c r="M6" s="105">
        <v>0</v>
      </c>
      <c r="N6" s="105">
        <v>1</v>
      </c>
      <c r="O6" s="105">
        <v>0</v>
      </c>
      <c r="P6" s="105">
        <v>0</v>
      </c>
      <c r="Q6" s="105">
        <v>0</v>
      </c>
      <c r="R6" s="105">
        <v>0</v>
      </c>
      <c r="S6" s="105">
        <v>0</v>
      </c>
      <c r="T6" s="105">
        <v>0</v>
      </c>
      <c r="U6" s="105">
        <v>0</v>
      </c>
      <c r="V6" s="105">
        <v>0</v>
      </c>
      <c r="W6" s="105">
        <v>0</v>
      </c>
      <c r="X6" s="105">
        <v>0</v>
      </c>
      <c r="Y6" s="105">
        <v>0</v>
      </c>
      <c r="Z6" s="105">
        <v>0</v>
      </c>
      <c r="AA6" s="105">
        <v>0</v>
      </c>
      <c r="AB6" s="105">
        <v>0</v>
      </c>
    </row>
    <row r="7" spans="1:31" customFormat="1" x14ac:dyDescent="0.15">
      <c r="A7" s="187" t="s">
        <v>198</v>
      </c>
      <c r="B7" s="105">
        <v>0</v>
      </c>
      <c r="C7" s="105">
        <v>0</v>
      </c>
      <c r="D7" s="105">
        <v>0</v>
      </c>
      <c r="E7" s="105">
        <v>0</v>
      </c>
      <c r="F7" s="105">
        <v>0</v>
      </c>
      <c r="G7" s="105">
        <v>0</v>
      </c>
      <c r="H7" s="105">
        <v>1</v>
      </c>
      <c r="I7" s="105">
        <v>0</v>
      </c>
      <c r="J7" s="105">
        <v>0</v>
      </c>
      <c r="K7" s="105">
        <v>1</v>
      </c>
      <c r="L7" s="105">
        <v>0</v>
      </c>
      <c r="M7" s="105">
        <v>0</v>
      </c>
      <c r="N7" s="105">
        <v>0</v>
      </c>
      <c r="O7" s="105">
        <v>1</v>
      </c>
      <c r="P7" s="105">
        <v>1</v>
      </c>
      <c r="Q7" s="105">
        <v>0</v>
      </c>
      <c r="R7" s="105">
        <v>0</v>
      </c>
      <c r="S7" s="105">
        <v>0</v>
      </c>
      <c r="T7" s="105">
        <v>1</v>
      </c>
      <c r="U7" s="105">
        <v>1</v>
      </c>
      <c r="V7" s="105">
        <v>0</v>
      </c>
      <c r="W7" s="105">
        <v>1</v>
      </c>
      <c r="X7" s="105">
        <v>0</v>
      </c>
      <c r="Y7" s="105">
        <v>0</v>
      </c>
      <c r="Z7" s="105">
        <v>0</v>
      </c>
      <c r="AA7" s="105">
        <v>0</v>
      </c>
      <c r="AB7" s="105">
        <v>0</v>
      </c>
    </row>
    <row r="8" spans="1:31" customFormat="1" x14ac:dyDescent="0.15">
      <c r="A8" s="187" t="s">
        <v>199</v>
      </c>
      <c r="B8" s="105">
        <v>0</v>
      </c>
      <c r="C8" s="105">
        <v>0</v>
      </c>
      <c r="D8" s="105">
        <v>0</v>
      </c>
      <c r="E8" s="105">
        <v>0</v>
      </c>
      <c r="F8" s="105">
        <v>0</v>
      </c>
      <c r="G8" s="105">
        <v>0</v>
      </c>
      <c r="H8" s="105">
        <v>1</v>
      </c>
      <c r="I8" s="105">
        <v>0</v>
      </c>
      <c r="J8" s="105">
        <v>0</v>
      </c>
      <c r="K8" s="105">
        <v>1</v>
      </c>
      <c r="L8" s="105">
        <v>0</v>
      </c>
      <c r="M8" s="105">
        <v>0</v>
      </c>
      <c r="N8" s="105">
        <v>0</v>
      </c>
      <c r="O8" s="105">
        <v>0</v>
      </c>
      <c r="P8" s="105">
        <v>0</v>
      </c>
      <c r="Q8" s="105">
        <v>0</v>
      </c>
      <c r="R8" s="105">
        <v>0</v>
      </c>
      <c r="S8" s="105">
        <v>0</v>
      </c>
      <c r="T8" s="105">
        <v>1</v>
      </c>
      <c r="U8" s="105">
        <v>1</v>
      </c>
      <c r="V8" s="105">
        <v>0</v>
      </c>
      <c r="W8" s="105">
        <v>1</v>
      </c>
      <c r="X8" s="105">
        <v>0</v>
      </c>
      <c r="Y8" s="105">
        <v>0</v>
      </c>
      <c r="Z8" s="105">
        <v>0</v>
      </c>
      <c r="AA8" s="105">
        <v>0</v>
      </c>
      <c r="AB8" s="105">
        <v>0</v>
      </c>
    </row>
    <row r="9" spans="1:31" customFormat="1" x14ac:dyDescent="0.15">
      <c r="A9" s="187" t="s">
        <v>200</v>
      </c>
      <c r="B9" s="105">
        <v>0</v>
      </c>
      <c r="C9" s="105">
        <v>0</v>
      </c>
      <c r="D9" s="105">
        <v>0</v>
      </c>
      <c r="E9" s="105">
        <v>0</v>
      </c>
      <c r="F9" s="105">
        <v>0</v>
      </c>
      <c r="G9" s="105">
        <v>0</v>
      </c>
      <c r="H9" s="105">
        <v>0</v>
      </c>
      <c r="I9" s="105">
        <v>0</v>
      </c>
      <c r="J9" s="105">
        <v>0</v>
      </c>
      <c r="K9" s="105">
        <v>0</v>
      </c>
      <c r="L9" s="105">
        <v>0</v>
      </c>
      <c r="M9" s="105">
        <v>1</v>
      </c>
      <c r="N9" s="105">
        <v>0</v>
      </c>
      <c r="O9" s="105">
        <v>0</v>
      </c>
      <c r="P9" s="105">
        <v>0</v>
      </c>
      <c r="Q9" s="105">
        <v>1</v>
      </c>
      <c r="R9" s="105">
        <v>0</v>
      </c>
      <c r="S9" s="105">
        <v>1</v>
      </c>
      <c r="T9" s="105">
        <v>0</v>
      </c>
      <c r="U9" s="105">
        <v>0</v>
      </c>
      <c r="V9" s="105">
        <v>1</v>
      </c>
      <c r="W9" s="105">
        <v>1</v>
      </c>
      <c r="X9" s="105">
        <v>1</v>
      </c>
      <c r="Y9" s="105">
        <v>1</v>
      </c>
      <c r="Z9" s="105">
        <v>1</v>
      </c>
      <c r="AA9" s="105">
        <v>0</v>
      </c>
      <c r="AB9" s="105">
        <v>0</v>
      </c>
    </row>
    <row r="10" spans="1:31" customFormat="1" x14ac:dyDescent="0.15">
      <c r="A10" s="187" t="s">
        <v>201</v>
      </c>
      <c r="B10" s="105">
        <v>0</v>
      </c>
      <c r="C10" s="105">
        <v>0</v>
      </c>
      <c r="D10" s="105">
        <v>0</v>
      </c>
      <c r="E10" s="105">
        <v>0</v>
      </c>
      <c r="F10" s="105">
        <v>0</v>
      </c>
      <c r="G10" s="105">
        <v>0</v>
      </c>
      <c r="H10" s="105">
        <v>0</v>
      </c>
      <c r="I10" s="105">
        <v>0</v>
      </c>
      <c r="J10" s="105">
        <v>0</v>
      </c>
      <c r="K10" s="105">
        <v>0</v>
      </c>
      <c r="L10" s="105">
        <v>0</v>
      </c>
      <c r="M10" s="105">
        <v>1</v>
      </c>
      <c r="N10" s="105">
        <v>0</v>
      </c>
      <c r="O10" s="105">
        <v>0</v>
      </c>
      <c r="P10" s="105">
        <v>0</v>
      </c>
      <c r="Q10" s="105">
        <v>1</v>
      </c>
      <c r="R10" s="105">
        <v>0</v>
      </c>
      <c r="S10" s="105">
        <v>1</v>
      </c>
      <c r="T10" s="105">
        <v>0</v>
      </c>
      <c r="U10" s="105">
        <v>0</v>
      </c>
      <c r="V10" s="105">
        <v>1</v>
      </c>
      <c r="W10" s="105">
        <v>1</v>
      </c>
      <c r="X10" s="105">
        <v>1</v>
      </c>
      <c r="Y10" s="105">
        <v>1</v>
      </c>
      <c r="Z10" s="105">
        <v>1</v>
      </c>
      <c r="AA10" s="105">
        <v>0</v>
      </c>
      <c r="AB10" s="105">
        <v>0</v>
      </c>
    </row>
    <row r="11" spans="1:31" customFormat="1" x14ac:dyDescent="0.15">
      <c r="A11" s="187" t="s">
        <v>202</v>
      </c>
      <c r="B11" s="105">
        <v>0</v>
      </c>
      <c r="C11" s="105">
        <v>0</v>
      </c>
      <c r="D11" s="105">
        <v>0</v>
      </c>
      <c r="E11" s="105">
        <v>0</v>
      </c>
      <c r="F11" s="105">
        <v>0</v>
      </c>
      <c r="G11" s="105">
        <v>0</v>
      </c>
      <c r="H11" s="105">
        <v>0</v>
      </c>
      <c r="I11" s="105">
        <v>0</v>
      </c>
      <c r="J11" s="105">
        <v>0</v>
      </c>
      <c r="K11" s="105">
        <v>1</v>
      </c>
      <c r="L11" s="105">
        <v>0</v>
      </c>
      <c r="M11" s="105">
        <v>1</v>
      </c>
      <c r="N11" s="105">
        <v>0</v>
      </c>
      <c r="O11" s="105">
        <v>0</v>
      </c>
      <c r="P11" s="105">
        <v>1</v>
      </c>
      <c r="Q11" s="105">
        <v>1</v>
      </c>
      <c r="R11" s="105">
        <v>1</v>
      </c>
      <c r="S11" s="105">
        <v>1</v>
      </c>
      <c r="T11" s="105">
        <v>1</v>
      </c>
      <c r="U11" s="105">
        <v>0</v>
      </c>
      <c r="V11" s="105">
        <v>1</v>
      </c>
      <c r="W11" s="105">
        <v>1</v>
      </c>
      <c r="X11" s="105">
        <v>1</v>
      </c>
      <c r="Y11" s="105">
        <v>1</v>
      </c>
      <c r="Z11" s="105">
        <v>1</v>
      </c>
      <c r="AA11" s="105">
        <v>0</v>
      </c>
      <c r="AB11" s="105">
        <v>0</v>
      </c>
    </row>
    <row r="12" spans="1:31" customFormat="1" x14ac:dyDescent="0.15">
      <c r="A12" s="187" t="s">
        <v>203</v>
      </c>
      <c r="B12" s="105">
        <v>0</v>
      </c>
      <c r="C12" s="105">
        <v>0</v>
      </c>
      <c r="D12" s="105">
        <v>0</v>
      </c>
      <c r="E12" s="105">
        <v>0</v>
      </c>
      <c r="F12" s="105">
        <v>0</v>
      </c>
      <c r="G12" s="105">
        <v>0</v>
      </c>
      <c r="H12" s="105">
        <v>0</v>
      </c>
      <c r="I12" s="105">
        <v>0</v>
      </c>
      <c r="J12" s="105">
        <v>0</v>
      </c>
      <c r="K12" s="105">
        <v>1</v>
      </c>
      <c r="L12" s="105">
        <v>0</v>
      </c>
      <c r="M12" s="105">
        <v>1</v>
      </c>
      <c r="N12" s="105">
        <v>0</v>
      </c>
      <c r="O12" s="105">
        <v>0</v>
      </c>
      <c r="P12" s="105">
        <v>1</v>
      </c>
      <c r="Q12" s="105">
        <v>1</v>
      </c>
      <c r="R12" s="105">
        <v>1</v>
      </c>
      <c r="S12" s="105">
        <v>1</v>
      </c>
      <c r="T12" s="105">
        <v>1</v>
      </c>
      <c r="U12" s="105">
        <v>1</v>
      </c>
      <c r="V12" s="105">
        <v>1</v>
      </c>
      <c r="W12" s="105">
        <v>1</v>
      </c>
      <c r="X12" s="105">
        <v>1</v>
      </c>
      <c r="Y12" s="105">
        <v>1</v>
      </c>
      <c r="Z12" s="105">
        <v>0</v>
      </c>
      <c r="AA12" s="105">
        <v>0</v>
      </c>
      <c r="AB12" s="105">
        <v>0</v>
      </c>
    </row>
    <row r="13" spans="1:31" customFormat="1" x14ac:dyDescent="0.15">
      <c r="A13" s="187" t="s">
        <v>166</v>
      </c>
      <c r="B13" s="105">
        <v>0</v>
      </c>
      <c r="C13" s="105">
        <v>0</v>
      </c>
      <c r="D13" s="105">
        <v>0</v>
      </c>
      <c r="E13" s="105">
        <v>0</v>
      </c>
      <c r="F13" s="105">
        <v>0</v>
      </c>
      <c r="G13" s="105">
        <v>0</v>
      </c>
      <c r="H13" s="105">
        <v>0</v>
      </c>
      <c r="I13" s="105">
        <v>0</v>
      </c>
      <c r="J13" s="105">
        <v>0</v>
      </c>
      <c r="K13" s="105">
        <v>0</v>
      </c>
      <c r="L13" s="105">
        <v>0</v>
      </c>
      <c r="M13" s="105">
        <v>1</v>
      </c>
      <c r="N13" s="105">
        <v>0</v>
      </c>
      <c r="O13" s="105">
        <v>0</v>
      </c>
      <c r="P13" s="105">
        <v>0</v>
      </c>
      <c r="Q13" s="105">
        <v>1</v>
      </c>
      <c r="R13" s="105">
        <v>1</v>
      </c>
      <c r="S13" s="105">
        <v>1</v>
      </c>
      <c r="T13" s="105">
        <v>1</v>
      </c>
      <c r="U13" s="105">
        <v>1</v>
      </c>
      <c r="V13" s="105">
        <v>1</v>
      </c>
      <c r="W13" s="105">
        <v>1</v>
      </c>
      <c r="X13" s="105">
        <v>1</v>
      </c>
      <c r="Y13" s="105">
        <v>1</v>
      </c>
      <c r="Z13" s="105">
        <v>1</v>
      </c>
      <c r="AA13" s="105">
        <v>0</v>
      </c>
      <c r="AB13" s="105">
        <v>0</v>
      </c>
    </row>
    <row r="14" spans="1:31" customFormat="1" x14ac:dyDescent="0.15">
      <c r="A14" s="187" t="s">
        <v>204</v>
      </c>
      <c r="B14" s="105">
        <v>0</v>
      </c>
      <c r="C14" s="105">
        <v>0</v>
      </c>
      <c r="D14" s="105">
        <v>0</v>
      </c>
      <c r="E14" s="105">
        <v>0</v>
      </c>
      <c r="F14" s="105">
        <v>0</v>
      </c>
      <c r="G14" s="105">
        <v>0</v>
      </c>
      <c r="H14" s="105">
        <v>0</v>
      </c>
      <c r="I14" s="105">
        <v>0</v>
      </c>
      <c r="J14" s="105">
        <v>0</v>
      </c>
      <c r="K14" s="105">
        <v>1</v>
      </c>
      <c r="L14" s="105">
        <v>0</v>
      </c>
      <c r="M14" s="105">
        <v>1</v>
      </c>
      <c r="N14" s="105">
        <v>0</v>
      </c>
      <c r="O14" s="105">
        <v>0</v>
      </c>
      <c r="P14" s="105">
        <v>0</v>
      </c>
      <c r="Q14" s="105">
        <v>1</v>
      </c>
      <c r="R14" s="105">
        <v>1</v>
      </c>
      <c r="S14" s="105">
        <v>1</v>
      </c>
      <c r="T14" s="105">
        <v>1</v>
      </c>
      <c r="U14" s="105">
        <v>1</v>
      </c>
      <c r="V14" s="105">
        <v>1</v>
      </c>
      <c r="W14" s="105">
        <v>1</v>
      </c>
      <c r="X14" s="105">
        <v>1</v>
      </c>
      <c r="Y14" s="105">
        <v>1</v>
      </c>
      <c r="Z14" s="105">
        <v>1</v>
      </c>
      <c r="AA14" s="105">
        <v>0</v>
      </c>
      <c r="AB14" s="105">
        <v>0</v>
      </c>
    </row>
    <row r="15" spans="1:31" customFormat="1" x14ac:dyDescent="0.15">
      <c r="A15" s="187" t="s">
        <v>205</v>
      </c>
      <c r="B15" s="105">
        <v>0</v>
      </c>
      <c r="C15" s="105">
        <v>0</v>
      </c>
      <c r="D15" s="105">
        <v>0</v>
      </c>
      <c r="E15" s="105">
        <v>0</v>
      </c>
      <c r="F15" s="105">
        <v>0</v>
      </c>
      <c r="G15" s="105">
        <v>0</v>
      </c>
      <c r="H15" s="105">
        <v>0</v>
      </c>
      <c r="I15" s="105">
        <v>0</v>
      </c>
      <c r="J15" s="105">
        <v>0</v>
      </c>
      <c r="K15" s="105">
        <v>0</v>
      </c>
      <c r="L15" s="105">
        <v>0</v>
      </c>
      <c r="M15" s="105">
        <v>1</v>
      </c>
      <c r="N15" s="105">
        <v>0</v>
      </c>
      <c r="O15" s="105">
        <v>0</v>
      </c>
      <c r="P15" s="105">
        <v>0</v>
      </c>
      <c r="Q15" s="105">
        <v>1</v>
      </c>
      <c r="R15" s="105">
        <v>0</v>
      </c>
      <c r="S15" s="105">
        <v>1</v>
      </c>
      <c r="T15" s="105">
        <v>0</v>
      </c>
      <c r="U15" s="105">
        <v>0</v>
      </c>
      <c r="V15" s="105">
        <v>0</v>
      </c>
      <c r="W15" s="105">
        <v>1</v>
      </c>
      <c r="X15" s="105">
        <v>1</v>
      </c>
      <c r="Y15" s="105">
        <v>1</v>
      </c>
      <c r="Z15" s="105">
        <v>1</v>
      </c>
      <c r="AA15" s="105">
        <v>0</v>
      </c>
      <c r="AB15" s="105">
        <v>0</v>
      </c>
    </row>
    <row r="16" spans="1:31" customFormat="1" x14ac:dyDescent="0.15">
      <c r="A16" s="187" t="s">
        <v>206</v>
      </c>
      <c r="B16" s="105">
        <v>0</v>
      </c>
      <c r="C16" s="105">
        <v>0</v>
      </c>
      <c r="D16" s="105">
        <v>0</v>
      </c>
      <c r="E16" s="105">
        <v>0</v>
      </c>
      <c r="F16" s="105">
        <v>0</v>
      </c>
      <c r="G16" s="105">
        <v>0</v>
      </c>
      <c r="H16" s="105">
        <v>0</v>
      </c>
      <c r="I16" s="105">
        <v>0</v>
      </c>
      <c r="J16" s="105">
        <v>0</v>
      </c>
      <c r="K16" s="105">
        <v>0</v>
      </c>
      <c r="L16" s="105">
        <v>0</v>
      </c>
      <c r="M16" s="105">
        <v>0</v>
      </c>
      <c r="N16" s="105">
        <v>0</v>
      </c>
      <c r="O16" s="105">
        <v>0</v>
      </c>
      <c r="P16" s="105">
        <v>0</v>
      </c>
      <c r="Q16" s="105">
        <v>0</v>
      </c>
      <c r="R16" s="105">
        <v>0</v>
      </c>
      <c r="S16" s="105">
        <v>1</v>
      </c>
      <c r="T16" s="105">
        <v>0</v>
      </c>
      <c r="U16" s="105">
        <v>1</v>
      </c>
      <c r="V16" s="105">
        <v>1</v>
      </c>
      <c r="W16" s="105">
        <v>1</v>
      </c>
      <c r="X16" s="105">
        <v>0</v>
      </c>
      <c r="Y16" s="105">
        <v>1</v>
      </c>
      <c r="Z16" s="105">
        <v>1</v>
      </c>
      <c r="AA16" s="105">
        <v>0</v>
      </c>
      <c r="AB16" s="105">
        <v>0</v>
      </c>
    </row>
    <row r="17" spans="1:28" customFormat="1" x14ac:dyDescent="0.15">
      <c r="A17" s="187" t="s">
        <v>207</v>
      </c>
      <c r="B17" s="105">
        <v>0</v>
      </c>
      <c r="C17" s="105">
        <v>0</v>
      </c>
      <c r="D17" s="105">
        <v>0</v>
      </c>
      <c r="E17" s="105">
        <v>0</v>
      </c>
      <c r="F17" s="105">
        <v>0</v>
      </c>
      <c r="G17" s="105">
        <v>0</v>
      </c>
      <c r="H17" s="105">
        <v>0</v>
      </c>
      <c r="I17" s="105">
        <v>0</v>
      </c>
      <c r="J17" s="105">
        <v>0</v>
      </c>
      <c r="K17" s="105">
        <v>0</v>
      </c>
      <c r="L17" s="105">
        <v>0</v>
      </c>
      <c r="M17" s="105">
        <v>0</v>
      </c>
      <c r="N17" s="105">
        <v>0</v>
      </c>
      <c r="O17" s="105">
        <v>0</v>
      </c>
      <c r="P17" s="105">
        <v>0</v>
      </c>
      <c r="Q17" s="105">
        <v>0</v>
      </c>
      <c r="R17" s="105">
        <v>0</v>
      </c>
      <c r="S17" s="105">
        <v>0</v>
      </c>
      <c r="T17" s="105">
        <v>0</v>
      </c>
      <c r="U17" s="105">
        <v>0</v>
      </c>
      <c r="V17" s="105">
        <v>0</v>
      </c>
      <c r="W17" s="105">
        <v>1</v>
      </c>
      <c r="X17" s="105">
        <v>1</v>
      </c>
      <c r="Y17" s="105">
        <v>0</v>
      </c>
      <c r="Z17" s="105">
        <v>1</v>
      </c>
      <c r="AA17" s="105">
        <v>0</v>
      </c>
      <c r="AB17" s="105">
        <v>0</v>
      </c>
    </row>
    <row r="18" spans="1:28" customFormat="1" x14ac:dyDescent="0.15">
      <c r="A18" s="187" t="s">
        <v>208</v>
      </c>
      <c r="B18" s="105">
        <v>0</v>
      </c>
      <c r="C18" s="105">
        <v>0</v>
      </c>
      <c r="D18" s="105">
        <v>0</v>
      </c>
      <c r="E18" s="105">
        <v>0</v>
      </c>
      <c r="F18" s="105">
        <v>0</v>
      </c>
      <c r="G18" s="105">
        <v>0</v>
      </c>
      <c r="H18" s="105">
        <v>0</v>
      </c>
      <c r="I18" s="105">
        <v>0</v>
      </c>
      <c r="J18" s="105">
        <v>0</v>
      </c>
      <c r="K18" s="105">
        <v>0</v>
      </c>
      <c r="L18" s="105">
        <v>0</v>
      </c>
      <c r="M18" s="105">
        <v>0</v>
      </c>
      <c r="N18" s="105">
        <v>0</v>
      </c>
      <c r="O18" s="105">
        <v>0</v>
      </c>
      <c r="P18" s="105">
        <v>0</v>
      </c>
      <c r="Q18" s="105">
        <v>1</v>
      </c>
      <c r="R18" s="105">
        <v>0</v>
      </c>
      <c r="S18" s="105">
        <v>1</v>
      </c>
      <c r="T18" s="105">
        <v>1</v>
      </c>
      <c r="U18" s="105">
        <v>0</v>
      </c>
      <c r="V18" s="105">
        <v>0</v>
      </c>
      <c r="W18" s="105">
        <v>0</v>
      </c>
      <c r="X18" s="105">
        <v>1</v>
      </c>
      <c r="Y18" s="105">
        <v>1</v>
      </c>
      <c r="Z18" s="105">
        <v>0</v>
      </c>
      <c r="AA18" s="105">
        <v>0</v>
      </c>
      <c r="AB18" s="105">
        <v>0</v>
      </c>
    </row>
    <row r="19" spans="1:28" customFormat="1" x14ac:dyDescent="0.15">
      <c r="A19" s="187" t="s">
        <v>209</v>
      </c>
      <c r="B19" s="105">
        <v>0</v>
      </c>
      <c r="C19" s="105">
        <v>0</v>
      </c>
      <c r="D19" s="105">
        <v>0</v>
      </c>
      <c r="E19" s="105">
        <v>0</v>
      </c>
      <c r="F19" s="105">
        <v>0</v>
      </c>
      <c r="G19" s="105">
        <v>0</v>
      </c>
      <c r="H19" s="105">
        <v>0</v>
      </c>
      <c r="I19" s="105">
        <v>0</v>
      </c>
      <c r="J19" s="105">
        <v>0</v>
      </c>
      <c r="K19" s="105">
        <v>0</v>
      </c>
      <c r="L19" s="105">
        <v>0</v>
      </c>
      <c r="M19" s="105">
        <v>1</v>
      </c>
      <c r="N19" s="105">
        <v>0</v>
      </c>
      <c r="O19" s="105">
        <v>0</v>
      </c>
      <c r="P19" s="105">
        <v>0</v>
      </c>
      <c r="Q19" s="105">
        <v>1</v>
      </c>
      <c r="R19" s="105">
        <v>0</v>
      </c>
      <c r="S19" s="105">
        <v>1</v>
      </c>
      <c r="T19" s="105">
        <v>1</v>
      </c>
      <c r="U19" s="105">
        <v>1</v>
      </c>
      <c r="V19" s="105">
        <v>0</v>
      </c>
      <c r="W19" s="105">
        <v>1</v>
      </c>
      <c r="X19" s="105">
        <v>1</v>
      </c>
      <c r="Y19" s="105">
        <v>1</v>
      </c>
      <c r="Z19" s="105">
        <v>1</v>
      </c>
      <c r="AA19" s="105">
        <v>0</v>
      </c>
      <c r="AB19" s="105">
        <v>0</v>
      </c>
    </row>
    <row r="20" spans="1:28" customFormat="1" x14ac:dyDescent="0.15">
      <c r="A20" s="187" t="s">
        <v>210</v>
      </c>
      <c r="B20" s="105">
        <v>0</v>
      </c>
      <c r="C20" s="105">
        <v>0</v>
      </c>
      <c r="D20" s="105">
        <v>0</v>
      </c>
      <c r="E20" s="105">
        <v>0</v>
      </c>
      <c r="F20" s="105">
        <v>0</v>
      </c>
      <c r="G20" s="105">
        <v>0</v>
      </c>
      <c r="H20" s="105">
        <v>0</v>
      </c>
      <c r="I20" s="105">
        <v>0</v>
      </c>
      <c r="J20" s="105">
        <v>0</v>
      </c>
      <c r="K20" s="105">
        <v>0</v>
      </c>
      <c r="L20" s="105">
        <v>0</v>
      </c>
      <c r="M20" s="105">
        <v>0</v>
      </c>
      <c r="N20" s="105">
        <v>0</v>
      </c>
      <c r="O20" s="105">
        <v>0</v>
      </c>
      <c r="P20" s="105">
        <v>0</v>
      </c>
      <c r="Q20" s="105">
        <v>1</v>
      </c>
      <c r="R20" s="105">
        <v>0</v>
      </c>
      <c r="S20" s="105">
        <v>1</v>
      </c>
      <c r="T20" s="105">
        <v>0</v>
      </c>
      <c r="U20" s="105">
        <v>1</v>
      </c>
      <c r="V20" s="105">
        <v>1</v>
      </c>
      <c r="W20" s="105">
        <v>1</v>
      </c>
      <c r="X20" s="105">
        <v>1</v>
      </c>
      <c r="Y20" s="105">
        <v>0</v>
      </c>
      <c r="Z20" s="105">
        <v>1</v>
      </c>
      <c r="AA20" s="105">
        <v>0</v>
      </c>
      <c r="AB20" s="105">
        <v>0</v>
      </c>
    </row>
    <row r="21" spans="1:28" customFormat="1" x14ac:dyDescent="0.15">
      <c r="A21" s="187" t="s">
        <v>211</v>
      </c>
      <c r="B21" s="105">
        <v>0</v>
      </c>
      <c r="C21" s="105">
        <v>0</v>
      </c>
      <c r="D21" s="105">
        <v>0</v>
      </c>
      <c r="E21" s="105">
        <v>0</v>
      </c>
      <c r="F21" s="105">
        <v>0</v>
      </c>
      <c r="G21" s="105">
        <v>0</v>
      </c>
      <c r="H21" s="105">
        <v>0</v>
      </c>
      <c r="I21" s="105">
        <v>0</v>
      </c>
      <c r="J21" s="105">
        <v>0</v>
      </c>
      <c r="K21" s="105">
        <v>0</v>
      </c>
      <c r="L21" s="105">
        <v>0</v>
      </c>
      <c r="M21" s="105">
        <v>0</v>
      </c>
      <c r="N21" s="105">
        <v>0</v>
      </c>
      <c r="O21" s="105">
        <v>0</v>
      </c>
      <c r="P21" s="105">
        <v>0</v>
      </c>
      <c r="Q21" s="105">
        <v>0</v>
      </c>
      <c r="R21" s="105">
        <v>0</v>
      </c>
      <c r="S21" s="105">
        <v>1</v>
      </c>
      <c r="T21" s="105">
        <v>1</v>
      </c>
      <c r="U21" s="105">
        <v>1</v>
      </c>
      <c r="V21" s="105">
        <v>0</v>
      </c>
      <c r="W21" s="105">
        <v>1</v>
      </c>
      <c r="X21" s="105">
        <v>0</v>
      </c>
      <c r="Y21" s="105">
        <v>0</v>
      </c>
      <c r="Z21" s="105">
        <v>0</v>
      </c>
      <c r="AA21" s="105">
        <v>0</v>
      </c>
      <c r="AB21" s="105">
        <v>0</v>
      </c>
    </row>
    <row r="22" spans="1:28" customFormat="1" x14ac:dyDescent="0.15">
      <c r="A22" s="187" t="s">
        <v>212</v>
      </c>
      <c r="B22" s="105">
        <v>0</v>
      </c>
      <c r="C22" s="105">
        <v>0</v>
      </c>
      <c r="D22" s="105">
        <v>0</v>
      </c>
      <c r="E22" s="105">
        <v>0</v>
      </c>
      <c r="F22" s="105">
        <v>0</v>
      </c>
      <c r="G22" s="105">
        <v>0</v>
      </c>
      <c r="H22" s="105">
        <v>0</v>
      </c>
      <c r="I22" s="105">
        <v>0</v>
      </c>
      <c r="J22" s="105">
        <v>0</v>
      </c>
      <c r="K22" s="105">
        <v>0</v>
      </c>
      <c r="L22" s="105">
        <v>0</v>
      </c>
      <c r="M22" s="105">
        <v>0</v>
      </c>
      <c r="N22" s="105">
        <v>0</v>
      </c>
      <c r="O22" s="105">
        <v>0</v>
      </c>
      <c r="P22" s="105">
        <v>0</v>
      </c>
      <c r="Q22" s="105">
        <v>1</v>
      </c>
      <c r="R22" s="105">
        <v>0</v>
      </c>
      <c r="S22" s="105">
        <v>1</v>
      </c>
      <c r="T22" s="105">
        <v>1</v>
      </c>
      <c r="U22" s="105">
        <v>1</v>
      </c>
      <c r="V22" s="105">
        <v>1</v>
      </c>
      <c r="W22" s="105">
        <v>1</v>
      </c>
      <c r="X22" s="105">
        <v>1</v>
      </c>
      <c r="Y22" s="105">
        <v>1</v>
      </c>
      <c r="Z22" s="105">
        <v>0</v>
      </c>
      <c r="AA22" s="105">
        <v>0</v>
      </c>
      <c r="AB22" s="105">
        <v>0</v>
      </c>
    </row>
    <row r="23" spans="1:28" customFormat="1" x14ac:dyDescent="0.15">
      <c r="A23" s="187" t="s">
        <v>213</v>
      </c>
      <c r="B23" s="105">
        <v>0</v>
      </c>
      <c r="C23" s="105">
        <v>0</v>
      </c>
      <c r="D23" s="105">
        <v>0</v>
      </c>
      <c r="E23" s="105">
        <v>0</v>
      </c>
      <c r="F23" s="105">
        <v>0</v>
      </c>
      <c r="G23" s="105">
        <v>0</v>
      </c>
      <c r="H23" s="105">
        <v>0</v>
      </c>
      <c r="I23" s="105">
        <v>0</v>
      </c>
      <c r="J23" s="105">
        <v>0</v>
      </c>
      <c r="K23" s="105">
        <v>0</v>
      </c>
      <c r="L23" s="105">
        <v>0</v>
      </c>
      <c r="M23" s="105">
        <v>0</v>
      </c>
      <c r="N23" s="105">
        <v>0</v>
      </c>
      <c r="O23" s="105">
        <v>0</v>
      </c>
      <c r="P23" s="105">
        <v>0</v>
      </c>
      <c r="Q23" s="105">
        <v>0</v>
      </c>
      <c r="R23" s="105">
        <v>0</v>
      </c>
      <c r="S23" s="105">
        <v>0</v>
      </c>
      <c r="T23" s="105">
        <v>0</v>
      </c>
      <c r="U23" s="105">
        <v>0</v>
      </c>
      <c r="V23" s="105">
        <v>0</v>
      </c>
      <c r="W23" s="105">
        <v>1</v>
      </c>
      <c r="X23" s="105">
        <v>0</v>
      </c>
      <c r="Y23" s="105">
        <v>0</v>
      </c>
      <c r="Z23" s="105">
        <v>0</v>
      </c>
      <c r="AA23" s="105">
        <v>0</v>
      </c>
      <c r="AB23" s="105">
        <v>0</v>
      </c>
    </row>
    <row r="24" spans="1:28" customFormat="1" x14ac:dyDescent="0.15">
      <c r="A24" s="187" t="s">
        <v>214</v>
      </c>
      <c r="B24" s="105">
        <v>0</v>
      </c>
      <c r="C24" s="105">
        <v>0</v>
      </c>
      <c r="D24" s="105">
        <v>0</v>
      </c>
      <c r="E24" s="105">
        <v>0</v>
      </c>
      <c r="F24" s="105">
        <v>0</v>
      </c>
      <c r="G24" s="105">
        <v>0</v>
      </c>
      <c r="H24" s="105">
        <v>0</v>
      </c>
      <c r="I24" s="105">
        <v>0</v>
      </c>
      <c r="J24" s="105">
        <v>0</v>
      </c>
      <c r="K24" s="105">
        <v>0</v>
      </c>
      <c r="L24" s="105">
        <v>0</v>
      </c>
      <c r="M24" s="105">
        <v>0</v>
      </c>
      <c r="N24" s="105">
        <v>0</v>
      </c>
      <c r="O24" s="105">
        <v>0</v>
      </c>
      <c r="P24" s="105">
        <v>0</v>
      </c>
      <c r="Q24" s="105">
        <v>0</v>
      </c>
      <c r="R24" s="105">
        <v>0</v>
      </c>
      <c r="S24" s="105">
        <v>0</v>
      </c>
      <c r="T24" s="105">
        <v>0</v>
      </c>
      <c r="U24" s="105">
        <v>0</v>
      </c>
      <c r="V24" s="105">
        <v>0</v>
      </c>
      <c r="W24" s="105">
        <v>0</v>
      </c>
      <c r="X24" s="105">
        <v>0</v>
      </c>
      <c r="Y24" s="105">
        <v>0</v>
      </c>
      <c r="Z24" s="105">
        <v>1</v>
      </c>
      <c r="AA24" s="105">
        <v>0</v>
      </c>
      <c r="AB24" s="105">
        <v>0</v>
      </c>
    </row>
    <row r="25" spans="1:28" customFormat="1" x14ac:dyDescent="0.15">
      <c r="A25" s="187" t="s">
        <v>215</v>
      </c>
      <c r="B25" s="105">
        <v>0</v>
      </c>
      <c r="C25" s="105">
        <v>0</v>
      </c>
      <c r="D25" s="105">
        <v>0</v>
      </c>
      <c r="E25" s="105">
        <v>0</v>
      </c>
      <c r="F25" s="105">
        <v>0</v>
      </c>
      <c r="G25" s="105">
        <v>0</v>
      </c>
      <c r="H25" s="105">
        <v>0</v>
      </c>
      <c r="I25" s="105">
        <v>0</v>
      </c>
      <c r="J25" s="105">
        <v>0</v>
      </c>
      <c r="K25" s="105">
        <v>0</v>
      </c>
      <c r="L25" s="105">
        <v>0</v>
      </c>
      <c r="M25" s="105">
        <v>0</v>
      </c>
      <c r="N25" s="105">
        <v>0</v>
      </c>
      <c r="O25" s="105">
        <v>0</v>
      </c>
      <c r="P25" s="105">
        <v>0</v>
      </c>
      <c r="Q25" s="105">
        <v>0</v>
      </c>
      <c r="R25" s="105">
        <v>0</v>
      </c>
      <c r="S25" s="105">
        <v>0</v>
      </c>
      <c r="T25" s="105">
        <v>0</v>
      </c>
      <c r="U25" s="105">
        <v>0</v>
      </c>
      <c r="V25" s="105">
        <v>0</v>
      </c>
      <c r="W25" s="105">
        <v>1</v>
      </c>
      <c r="X25" s="105">
        <v>1</v>
      </c>
      <c r="Y25" s="105">
        <v>0</v>
      </c>
      <c r="Z25" s="105">
        <v>1</v>
      </c>
      <c r="AA25" s="105">
        <v>0</v>
      </c>
      <c r="AB25" s="105">
        <v>0</v>
      </c>
    </row>
    <row r="26" spans="1:28" customFormat="1" x14ac:dyDescent="0.15">
      <c r="A26" s="187" t="s">
        <v>216</v>
      </c>
      <c r="B26" s="105">
        <v>0</v>
      </c>
      <c r="C26" s="105">
        <v>0</v>
      </c>
      <c r="D26" s="105">
        <v>0</v>
      </c>
      <c r="E26" s="105">
        <v>0</v>
      </c>
      <c r="F26" s="105">
        <v>0</v>
      </c>
      <c r="G26" s="105">
        <v>0</v>
      </c>
      <c r="H26" s="105">
        <v>0</v>
      </c>
      <c r="I26" s="105">
        <v>0</v>
      </c>
      <c r="J26" s="105">
        <v>0</v>
      </c>
      <c r="K26" s="105">
        <v>0</v>
      </c>
      <c r="L26" s="105">
        <v>0</v>
      </c>
      <c r="M26" s="105">
        <v>0</v>
      </c>
      <c r="N26" s="105">
        <v>0</v>
      </c>
      <c r="O26" s="105">
        <v>0</v>
      </c>
      <c r="P26" s="105">
        <v>0</v>
      </c>
      <c r="Q26" s="105">
        <v>0</v>
      </c>
      <c r="R26" s="105">
        <v>0</v>
      </c>
      <c r="S26" s="105">
        <v>0</v>
      </c>
      <c r="T26" s="105">
        <v>0</v>
      </c>
      <c r="U26" s="105">
        <v>0</v>
      </c>
      <c r="V26" s="105">
        <v>0</v>
      </c>
      <c r="W26" s="105">
        <v>0</v>
      </c>
      <c r="X26" s="105">
        <v>0</v>
      </c>
      <c r="Y26" s="105">
        <v>0</v>
      </c>
      <c r="Z26" s="105">
        <v>0</v>
      </c>
      <c r="AA26" s="105">
        <v>0</v>
      </c>
      <c r="AB26" s="105">
        <v>0</v>
      </c>
    </row>
    <row r="27" spans="1:28" customFormat="1" x14ac:dyDescent="0.15">
      <c r="A27" s="187" t="s">
        <v>217</v>
      </c>
      <c r="B27" s="105">
        <v>0</v>
      </c>
      <c r="C27" s="105">
        <v>1</v>
      </c>
      <c r="D27" s="105">
        <v>0</v>
      </c>
      <c r="E27" s="105">
        <v>0</v>
      </c>
      <c r="F27" s="105">
        <v>1</v>
      </c>
      <c r="G27" s="105">
        <v>1</v>
      </c>
      <c r="H27" s="105">
        <v>1</v>
      </c>
      <c r="I27" s="105">
        <v>0</v>
      </c>
      <c r="J27" s="105">
        <v>0</v>
      </c>
      <c r="K27" s="105">
        <v>1</v>
      </c>
      <c r="L27" s="105">
        <v>0</v>
      </c>
      <c r="M27" s="105">
        <v>0</v>
      </c>
      <c r="N27" s="105">
        <v>1</v>
      </c>
      <c r="O27" s="105">
        <v>0</v>
      </c>
      <c r="P27" s="105">
        <v>0</v>
      </c>
      <c r="Q27" s="105">
        <v>0</v>
      </c>
      <c r="R27" s="105">
        <v>0</v>
      </c>
      <c r="S27" s="105">
        <v>0</v>
      </c>
      <c r="T27" s="105">
        <v>1</v>
      </c>
      <c r="U27" s="105">
        <v>1</v>
      </c>
      <c r="V27" s="105">
        <v>0</v>
      </c>
      <c r="W27" s="105">
        <v>1</v>
      </c>
      <c r="X27" s="105">
        <v>0</v>
      </c>
      <c r="Y27" s="105">
        <v>0</v>
      </c>
      <c r="Z27" s="105">
        <v>0</v>
      </c>
      <c r="AA27" s="105">
        <v>0</v>
      </c>
      <c r="AB27" s="105">
        <v>0</v>
      </c>
    </row>
    <row r="28" spans="1:28" customFormat="1" x14ac:dyDescent="0.15">
      <c r="A28" s="187" t="s">
        <v>218</v>
      </c>
      <c r="B28" s="105">
        <v>0</v>
      </c>
      <c r="C28" s="105">
        <v>0</v>
      </c>
      <c r="D28" s="105">
        <v>0</v>
      </c>
      <c r="E28" s="105">
        <v>0</v>
      </c>
      <c r="F28" s="105">
        <v>0</v>
      </c>
      <c r="G28" s="105">
        <v>0</v>
      </c>
      <c r="H28" s="105">
        <v>0</v>
      </c>
      <c r="I28" s="105">
        <v>0</v>
      </c>
      <c r="J28" s="105">
        <v>0</v>
      </c>
      <c r="K28" s="105">
        <v>0</v>
      </c>
      <c r="L28" s="105">
        <v>0</v>
      </c>
      <c r="M28" s="105">
        <v>0</v>
      </c>
      <c r="N28" s="105">
        <v>0</v>
      </c>
      <c r="O28" s="105">
        <v>0</v>
      </c>
      <c r="P28" s="105">
        <v>0</v>
      </c>
      <c r="Q28" s="105">
        <v>0</v>
      </c>
      <c r="R28" s="105">
        <v>0</v>
      </c>
      <c r="S28" s="105">
        <v>0</v>
      </c>
      <c r="T28" s="105">
        <v>0</v>
      </c>
      <c r="U28" s="105">
        <v>0</v>
      </c>
      <c r="V28" s="105">
        <v>0</v>
      </c>
      <c r="W28" s="105">
        <v>0</v>
      </c>
      <c r="X28" s="105">
        <v>0</v>
      </c>
      <c r="Y28" s="105">
        <v>0</v>
      </c>
      <c r="Z28" s="105">
        <v>0</v>
      </c>
      <c r="AA28" s="105">
        <v>0</v>
      </c>
      <c r="AB28" s="105">
        <v>0</v>
      </c>
    </row>
    <row r="29" spans="1:28" customFormat="1" x14ac:dyDescent="0.15">
      <c r="A29" s="187" t="s">
        <v>223</v>
      </c>
      <c r="B29" s="105">
        <v>0</v>
      </c>
      <c r="C29" s="105">
        <v>0</v>
      </c>
      <c r="D29" s="105">
        <v>0</v>
      </c>
      <c r="E29" s="105">
        <v>0</v>
      </c>
      <c r="F29" s="105">
        <v>0</v>
      </c>
      <c r="G29" s="105">
        <v>0</v>
      </c>
      <c r="H29" s="105">
        <v>0</v>
      </c>
      <c r="I29" s="105">
        <v>0</v>
      </c>
      <c r="J29" s="105">
        <v>0</v>
      </c>
      <c r="K29" s="105">
        <v>0</v>
      </c>
      <c r="L29" s="105">
        <v>0</v>
      </c>
      <c r="M29" s="105">
        <v>0</v>
      </c>
      <c r="N29" s="105">
        <v>0</v>
      </c>
      <c r="O29" s="105">
        <v>0</v>
      </c>
      <c r="P29" s="105">
        <v>0</v>
      </c>
      <c r="Q29" s="105">
        <v>0</v>
      </c>
      <c r="R29" s="105">
        <v>0</v>
      </c>
      <c r="S29" s="105">
        <v>0</v>
      </c>
      <c r="T29" s="105">
        <v>0</v>
      </c>
      <c r="U29" s="105">
        <v>0</v>
      </c>
      <c r="V29" s="105">
        <v>0</v>
      </c>
      <c r="W29" s="105">
        <v>0</v>
      </c>
      <c r="X29" s="105">
        <v>0</v>
      </c>
      <c r="Y29" s="105">
        <v>0</v>
      </c>
      <c r="Z29" s="105">
        <v>0</v>
      </c>
      <c r="AA29" s="105">
        <v>0</v>
      </c>
      <c r="AB29" s="105">
        <v>0</v>
      </c>
    </row>
    <row r="30" spans="1:28" customFormat="1" x14ac:dyDescent="0.15"/>
    <row r="31" spans="1:2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F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83</v>
      </c>
      <c r="B1" s="3" t="s">
        <v>0</v>
      </c>
      <c r="C1" s="190" t="s">
        <v>219</v>
      </c>
      <c r="D1" s="190" t="s">
        <v>220</v>
      </c>
      <c r="E1" s="190" t="s">
        <v>221</v>
      </c>
      <c r="F1" s="190" t="s">
        <v>222</v>
      </c>
    </row>
    <row r="2" spans="1:6" x14ac:dyDescent="0.15">
      <c r="A2">
        <v>1</v>
      </c>
      <c r="B2" s="189" t="s">
        <v>193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89" t="s">
        <v>194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89" t="s">
        <v>195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89" t="s">
        <v>196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89" t="s">
        <v>197</v>
      </c>
      <c r="C6">
        <v>0</v>
      </c>
      <c r="D6">
        <v>0</v>
      </c>
      <c r="E6">
        <v>0</v>
      </c>
      <c r="F6">
        <v>0</v>
      </c>
    </row>
    <row r="7" spans="1:6" x14ac:dyDescent="0.15">
      <c r="A7">
        <v>6</v>
      </c>
      <c r="B7" s="189" t="s">
        <v>198</v>
      </c>
      <c r="C7">
        <v>0</v>
      </c>
      <c r="D7">
        <v>0</v>
      </c>
      <c r="E7">
        <v>0</v>
      </c>
      <c r="F7">
        <v>0</v>
      </c>
    </row>
    <row r="8" spans="1:6" x14ac:dyDescent="0.15">
      <c r="A8">
        <v>7</v>
      </c>
      <c r="B8" s="189" t="s">
        <v>199</v>
      </c>
      <c r="C8">
        <v>0</v>
      </c>
      <c r="D8">
        <v>0</v>
      </c>
      <c r="E8">
        <v>0</v>
      </c>
      <c r="F8">
        <v>0</v>
      </c>
    </row>
    <row r="9" spans="1:6" x14ac:dyDescent="0.15">
      <c r="A9">
        <v>8</v>
      </c>
      <c r="B9" s="189" t="s">
        <v>200</v>
      </c>
      <c r="C9">
        <v>0.8</v>
      </c>
      <c r="D9">
        <v>0</v>
      </c>
      <c r="E9">
        <v>0</v>
      </c>
      <c r="F9">
        <v>0</v>
      </c>
    </row>
    <row r="10" spans="1:6" x14ac:dyDescent="0.15">
      <c r="A10">
        <v>9</v>
      </c>
      <c r="B10" s="189" t="s">
        <v>201</v>
      </c>
      <c r="C10">
        <v>0</v>
      </c>
      <c r="D10">
        <v>0</v>
      </c>
      <c r="E10">
        <v>0</v>
      </c>
      <c r="F10">
        <v>0</v>
      </c>
    </row>
    <row r="11" spans="1:6" x14ac:dyDescent="0.15">
      <c r="A11">
        <v>10</v>
      </c>
      <c r="B11" s="189" t="s">
        <v>202</v>
      </c>
      <c r="C11">
        <v>0</v>
      </c>
      <c r="D11">
        <v>0</v>
      </c>
      <c r="E11">
        <v>0</v>
      </c>
      <c r="F11">
        <v>0</v>
      </c>
    </row>
    <row r="12" spans="1:6" x14ac:dyDescent="0.15">
      <c r="A12">
        <v>11</v>
      </c>
      <c r="B12" s="189" t="s">
        <v>203</v>
      </c>
      <c r="C12">
        <v>0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89" t="s">
        <v>166</v>
      </c>
      <c r="C13">
        <v>0</v>
      </c>
      <c r="D13">
        <v>0</v>
      </c>
      <c r="E13">
        <v>0</v>
      </c>
      <c r="F13">
        <v>0</v>
      </c>
    </row>
    <row r="14" spans="1:6" x14ac:dyDescent="0.15">
      <c r="A14">
        <v>13</v>
      </c>
      <c r="B14" s="189" t="s">
        <v>204</v>
      </c>
      <c r="C14">
        <v>0</v>
      </c>
      <c r="D14">
        <v>0</v>
      </c>
      <c r="E14">
        <v>0</v>
      </c>
      <c r="F14">
        <v>0</v>
      </c>
    </row>
    <row r="15" spans="1:6" x14ac:dyDescent="0.15">
      <c r="A15">
        <v>14</v>
      </c>
      <c r="B15" s="189" t="s">
        <v>205</v>
      </c>
      <c r="C15">
        <v>0</v>
      </c>
      <c r="D15">
        <v>0</v>
      </c>
      <c r="E15">
        <v>0</v>
      </c>
      <c r="F15">
        <v>0</v>
      </c>
    </row>
    <row r="16" spans="1:6" x14ac:dyDescent="0.15">
      <c r="A16">
        <v>15</v>
      </c>
      <c r="B16" s="189" t="s">
        <v>206</v>
      </c>
      <c r="C16">
        <v>0</v>
      </c>
      <c r="D16">
        <v>0.8</v>
      </c>
      <c r="E16">
        <v>0</v>
      </c>
      <c r="F16">
        <v>0</v>
      </c>
    </row>
    <row r="17" spans="1:6" x14ac:dyDescent="0.15">
      <c r="A17">
        <v>16</v>
      </c>
      <c r="B17" s="189" t="s">
        <v>207</v>
      </c>
      <c r="C17">
        <v>0</v>
      </c>
      <c r="D17">
        <v>0</v>
      </c>
      <c r="E17">
        <v>0.8</v>
      </c>
      <c r="F17">
        <v>0</v>
      </c>
    </row>
    <row r="18" spans="1:6" x14ac:dyDescent="0.15">
      <c r="A18">
        <v>17</v>
      </c>
      <c r="B18" s="189" t="s">
        <v>208</v>
      </c>
      <c r="C18">
        <v>0</v>
      </c>
      <c r="D18">
        <v>0</v>
      </c>
      <c r="E18">
        <v>0</v>
      </c>
      <c r="F18">
        <v>0</v>
      </c>
    </row>
    <row r="19" spans="1:6" x14ac:dyDescent="0.15">
      <c r="A19">
        <v>18</v>
      </c>
      <c r="B19" s="189" t="s">
        <v>209</v>
      </c>
      <c r="C19">
        <v>0</v>
      </c>
      <c r="D19">
        <v>0.8</v>
      </c>
      <c r="E19">
        <v>0</v>
      </c>
      <c r="F19">
        <v>0</v>
      </c>
    </row>
    <row r="20" spans="1:6" x14ac:dyDescent="0.15">
      <c r="A20">
        <v>19</v>
      </c>
      <c r="B20" s="189" t="s">
        <v>210</v>
      </c>
      <c r="C20">
        <v>0</v>
      </c>
      <c r="D20">
        <v>0.8</v>
      </c>
      <c r="E20">
        <v>0</v>
      </c>
      <c r="F20">
        <v>0</v>
      </c>
    </row>
    <row r="21" spans="1:6" x14ac:dyDescent="0.15">
      <c r="A21">
        <v>20</v>
      </c>
      <c r="B21" s="189" t="s">
        <v>211</v>
      </c>
      <c r="C21">
        <v>0</v>
      </c>
      <c r="D21">
        <v>0.8</v>
      </c>
      <c r="E21">
        <v>0</v>
      </c>
      <c r="F21">
        <v>0</v>
      </c>
    </row>
    <row r="22" spans="1:6" x14ac:dyDescent="0.15">
      <c r="A22">
        <v>21</v>
      </c>
      <c r="B22" s="189" t="s">
        <v>212</v>
      </c>
      <c r="C22">
        <v>0</v>
      </c>
      <c r="D22">
        <v>0</v>
      </c>
      <c r="E22">
        <v>0</v>
      </c>
      <c r="F22">
        <v>0</v>
      </c>
    </row>
    <row r="23" spans="1:6" x14ac:dyDescent="0.15">
      <c r="A23">
        <v>22</v>
      </c>
      <c r="B23" s="189" t="s">
        <v>213</v>
      </c>
      <c r="C23">
        <v>0</v>
      </c>
      <c r="D23">
        <v>0</v>
      </c>
      <c r="E23">
        <v>0</v>
      </c>
      <c r="F23">
        <v>0</v>
      </c>
    </row>
    <row r="24" spans="1:6" x14ac:dyDescent="0.15">
      <c r="A24">
        <v>23</v>
      </c>
      <c r="B24" s="189" t="s">
        <v>214</v>
      </c>
      <c r="C24">
        <v>0</v>
      </c>
      <c r="D24">
        <v>0</v>
      </c>
      <c r="E24">
        <v>0</v>
      </c>
      <c r="F24">
        <v>0</v>
      </c>
    </row>
    <row r="25" spans="1:6" x14ac:dyDescent="0.15">
      <c r="A25">
        <v>24</v>
      </c>
      <c r="B25" s="189" t="s">
        <v>215</v>
      </c>
      <c r="C25">
        <v>0</v>
      </c>
      <c r="D25">
        <v>0</v>
      </c>
      <c r="E25">
        <v>0</v>
      </c>
      <c r="F25">
        <v>0.8</v>
      </c>
    </row>
    <row r="26" spans="1:6" x14ac:dyDescent="0.15">
      <c r="A26">
        <v>25</v>
      </c>
      <c r="B26" s="189" t="s">
        <v>216</v>
      </c>
      <c r="C26">
        <v>0</v>
      </c>
      <c r="D26">
        <v>0</v>
      </c>
      <c r="E26">
        <v>0</v>
      </c>
      <c r="F26">
        <v>0</v>
      </c>
    </row>
    <row r="27" spans="1:6" x14ac:dyDescent="0.15">
      <c r="A27">
        <v>26</v>
      </c>
      <c r="B27" s="189" t="s">
        <v>217</v>
      </c>
      <c r="C27">
        <v>0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89" t="s">
        <v>218</v>
      </c>
      <c r="C28">
        <v>0</v>
      </c>
      <c r="D28">
        <v>0</v>
      </c>
      <c r="E28">
        <v>0</v>
      </c>
      <c r="F28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F28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82</v>
      </c>
      <c r="B1" s="3" t="s">
        <v>0</v>
      </c>
      <c r="C1" s="192" t="s">
        <v>219</v>
      </c>
      <c r="D1" s="192" t="s">
        <v>220</v>
      </c>
      <c r="E1" s="192" t="s">
        <v>221</v>
      </c>
      <c r="F1" s="192" t="s">
        <v>222</v>
      </c>
    </row>
    <row r="2" spans="1:6" x14ac:dyDescent="0.15">
      <c r="A2">
        <v>1</v>
      </c>
      <c r="B2" s="191" t="s">
        <v>193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91" t="s">
        <v>194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91" t="s">
        <v>195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91" t="s">
        <v>196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91" t="s">
        <v>197</v>
      </c>
      <c r="C6">
        <v>0</v>
      </c>
      <c r="D6">
        <v>0</v>
      </c>
      <c r="E6">
        <v>0</v>
      </c>
      <c r="F6">
        <v>0</v>
      </c>
    </row>
    <row r="7" spans="1:6" x14ac:dyDescent="0.15">
      <c r="A7">
        <v>6</v>
      </c>
      <c r="B7" s="191" t="s">
        <v>198</v>
      </c>
      <c r="C7">
        <v>0</v>
      </c>
      <c r="D7">
        <v>0</v>
      </c>
      <c r="E7">
        <v>0</v>
      </c>
      <c r="F7">
        <v>0</v>
      </c>
    </row>
    <row r="8" spans="1:6" x14ac:dyDescent="0.15">
      <c r="A8">
        <v>7</v>
      </c>
      <c r="B8" s="191" t="s">
        <v>199</v>
      </c>
      <c r="C8">
        <v>0</v>
      </c>
      <c r="D8">
        <v>0</v>
      </c>
      <c r="E8">
        <v>0</v>
      </c>
      <c r="F8">
        <v>0</v>
      </c>
    </row>
    <row r="9" spans="1:6" x14ac:dyDescent="0.15">
      <c r="A9">
        <v>8</v>
      </c>
      <c r="B9" s="191" t="s">
        <v>200</v>
      </c>
      <c r="C9">
        <v>0.8</v>
      </c>
      <c r="D9">
        <v>0</v>
      </c>
      <c r="E9">
        <v>0</v>
      </c>
      <c r="F9">
        <v>0</v>
      </c>
    </row>
    <row r="10" spans="1:6" x14ac:dyDescent="0.15">
      <c r="A10">
        <v>9</v>
      </c>
      <c r="B10" s="191" t="s">
        <v>201</v>
      </c>
      <c r="C10">
        <v>0</v>
      </c>
      <c r="D10">
        <v>0</v>
      </c>
      <c r="E10">
        <v>0</v>
      </c>
      <c r="F10">
        <v>0</v>
      </c>
    </row>
    <row r="11" spans="1:6" x14ac:dyDescent="0.15">
      <c r="A11">
        <v>10</v>
      </c>
      <c r="B11" s="191" t="s">
        <v>202</v>
      </c>
      <c r="C11">
        <v>0</v>
      </c>
      <c r="D11">
        <v>0</v>
      </c>
      <c r="E11">
        <v>0</v>
      </c>
      <c r="F11">
        <v>0</v>
      </c>
    </row>
    <row r="12" spans="1:6" x14ac:dyDescent="0.15">
      <c r="A12">
        <v>11</v>
      </c>
      <c r="B12" s="191" t="s">
        <v>203</v>
      </c>
      <c r="C12">
        <v>0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91" t="s">
        <v>166</v>
      </c>
      <c r="C13">
        <v>0</v>
      </c>
      <c r="D13">
        <v>0</v>
      </c>
      <c r="E13">
        <v>0</v>
      </c>
      <c r="F13">
        <v>0</v>
      </c>
    </row>
    <row r="14" spans="1:6" x14ac:dyDescent="0.15">
      <c r="A14">
        <v>13</v>
      </c>
      <c r="B14" s="191" t="s">
        <v>204</v>
      </c>
      <c r="C14">
        <v>0</v>
      </c>
      <c r="D14">
        <v>0</v>
      </c>
      <c r="E14">
        <v>0</v>
      </c>
      <c r="F14">
        <v>0</v>
      </c>
    </row>
    <row r="15" spans="1:6" x14ac:dyDescent="0.15">
      <c r="A15">
        <v>14</v>
      </c>
      <c r="B15" s="191" t="s">
        <v>205</v>
      </c>
      <c r="C15">
        <v>0</v>
      </c>
      <c r="D15">
        <v>0</v>
      </c>
      <c r="E15">
        <v>0</v>
      </c>
      <c r="F15">
        <v>0</v>
      </c>
    </row>
    <row r="16" spans="1:6" x14ac:dyDescent="0.15">
      <c r="A16">
        <v>15</v>
      </c>
      <c r="B16" s="191" t="s">
        <v>206</v>
      </c>
      <c r="C16">
        <v>0</v>
      </c>
      <c r="D16">
        <v>0.8</v>
      </c>
      <c r="E16">
        <v>0</v>
      </c>
      <c r="F16">
        <v>0</v>
      </c>
    </row>
    <row r="17" spans="1:6" x14ac:dyDescent="0.15">
      <c r="A17">
        <v>16</v>
      </c>
      <c r="B17" s="191" t="s">
        <v>207</v>
      </c>
      <c r="C17">
        <v>0</v>
      </c>
      <c r="D17">
        <v>0</v>
      </c>
      <c r="E17">
        <v>0.8</v>
      </c>
      <c r="F17">
        <v>0</v>
      </c>
    </row>
    <row r="18" spans="1:6" x14ac:dyDescent="0.15">
      <c r="A18">
        <v>17</v>
      </c>
      <c r="B18" s="191" t="s">
        <v>208</v>
      </c>
      <c r="C18">
        <v>0</v>
      </c>
      <c r="D18">
        <v>0</v>
      </c>
      <c r="E18">
        <v>0</v>
      </c>
      <c r="F18">
        <v>0</v>
      </c>
    </row>
    <row r="19" spans="1:6" x14ac:dyDescent="0.15">
      <c r="A19">
        <v>18</v>
      </c>
      <c r="B19" s="191" t="s">
        <v>209</v>
      </c>
      <c r="C19">
        <v>0</v>
      </c>
      <c r="D19">
        <v>0.8</v>
      </c>
      <c r="E19">
        <v>0</v>
      </c>
      <c r="F19">
        <v>0</v>
      </c>
    </row>
    <row r="20" spans="1:6" x14ac:dyDescent="0.15">
      <c r="A20">
        <v>19</v>
      </c>
      <c r="B20" s="191" t="s">
        <v>210</v>
      </c>
      <c r="C20">
        <v>0</v>
      </c>
      <c r="D20">
        <v>0.8</v>
      </c>
      <c r="E20">
        <v>0</v>
      </c>
      <c r="F20">
        <v>0</v>
      </c>
    </row>
    <row r="21" spans="1:6" x14ac:dyDescent="0.15">
      <c r="A21">
        <v>20</v>
      </c>
      <c r="B21" s="191" t="s">
        <v>211</v>
      </c>
      <c r="C21">
        <v>0</v>
      </c>
      <c r="D21">
        <v>0.8</v>
      </c>
      <c r="E21">
        <v>0</v>
      </c>
      <c r="F21">
        <v>0</v>
      </c>
    </row>
    <row r="22" spans="1:6" x14ac:dyDescent="0.15">
      <c r="A22">
        <v>21</v>
      </c>
      <c r="B22" s="191" t="s">
        <v>212</v>
      </c>
      <c r="C22">
        <v>0</v>
      </c>
      <c r="D22">
        <v>0</v>
      </c>
      <c r="E22">
        <v>0</v>
      </c>
      <c r="F22">
        <v>0</v>
      </c>
    </row>
    <row r="23" spans="1:6" x14ac:dyDescent="0.15">
      <c r="A23">
        <v>22</v>
      </c>
      <c r="B23" s="191" t="s">
        <v>213</v>
      </c>
      <c r="C23">
        <v>0</v>
      </c>
      <c r="D23">
        <v>0</v>
      </c>
      <c r="E23">
        <v>0</v>
      </c>
      <c r="F23">
        <v>0</v>
      </c>
    </row>
    <row r="24" spans="1:6" x14ac:dyDescent="0.15">
      <c r="A24">
        <v>23</v>
      </c>
      <c r="B24" s="191" t="s">
        <v>214</v>
      </c>
      <c r="C24">
        <v>0</v>
      </c>
      <c r="D24">
        <v>0</v>
      </c>
      <c r="E24">
        <v>0</v>
      </c>
      <c r="F24">
        <v>0</v>
      </c>
    </row>
    <row r="25" spans="1:6" x14ac:dyDescent="0.15">
      <c r="A25">
        <v>24</v>
      </c>
      <c r="B25" s="191" t="s">
        <v>215</v>
      </c>
      <c r="C25">
        <v>0</v>
      </c>
      <c r="D25">
        <v>0</v>
      </c>
      <c r="E25">
        <v>0</v>
      </c>
      <c r="F25">
        <v>0.8</v>
      </c>
    </row>
    <row r="26" spans="1:6" x14ac:dyDescent="0.15">
      <c r="A26">
        <v>25</v>
      </c>
      <c r="B26" s="191" t="s">
        <v>216</v>
      </c>
      <c r="C26">
        <v>0</v>
      </c>
      <c r="D26">
        <v>0</v>
      </c>
      <c r="E26">
        <v>0</v>
      </c>
      <c r="F26">
        <v>0</v>
      </c>
    </row>
    <row r="27" spans="1:6" x14ac:dyDescent="0.15">
      <c r="A27">
        <v>26</v>
      </c>
      <c r="B27" s="191" t="s">
        <v>217</v>
      </c>
      <c r="C27">
        <v>0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91" t="s">
        <v>218</v>
      </c>
      <c r="C28">
        <v>0</v>
      </c>
      <c r="D28">
        <v>0</v>
      </c>
      <c r="E28">
        <v>0</v>
      </c>
      <c r="F2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4" sqref="L4"/>
    </sheetView>
  </sheetViews>
  <sheetFormatPr baseColWidth="10" defaultColWidth="8.83203125" defaultRowHeight="15" customHeight="1" x14ac:dyDescent="0.15"/>
  <cols>
    <col min="1" max="1" width="8.83203125" style="77"/>
    <col min="2" max="2" width="41.83203125" style="77" bestFit="1" customWidth="1"/>
    <col min="3" max="3" width="9.33203125" style="77" bestFit="1" customWidth="1"/>
    <col min="4" max="4" width="13" style="77" bestFit="1" customWidth="1"/>
    <col min="5" max="6" width="9.33203125" style="77" bestFit="1" customWidth="1"/>
    <col min="7" max="7" width="9.33203125" style="93" bestFit="1" customWidth="1"/>
    <col min="8" max="8" width="9.33203125" style="77" bestFit="1" customWidth="1"/>
    <col min="9" max="9" width="11" style="77" customWidth="1"/>
    <col min="10" max="10" width="8.83203125" style="77"/>
    <col min="15" max="16384" width="8.83203125" style="7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4">
        <v>1</v>
      </c>
      <c r="B2" s="144" t="s">
        <v>193</v>
      </c>
      <c r="C2" s="8">
        <v>1</v>
      </c>
      <c r="D2" s="9">
        <v>214.28599548339844</v>
      </c>
      <c r="E2" s="9">
        <v>35.700000762939453</v>
      </c>
      <c r="F2" s="10"/>
      <c r="G2" s="9">
        <v>0.74966472387313843</v>
      </c>
      <c r="H2" s="10"/>
      <c r="I2">
        <v>0</v>
      </c>
      <c r="J2"/>
    </row>
    <row r="3" spans="1:10" ht="15" customHeight="1" x14ac:dyDescent="0.15">
      <c r="A3" s="145">
        <v>2</v>
      </c>
      <c r="B3" s="145" t="s">
        <v>194</v>
      </c>
      <c r="C3" s="8">
        <v>2.0638298988342285</v>
      </c>
      <c r="D3" s="9">
        <v>3.8463382720947266</v>
      </c>
      <c r="E3" s="9">
        <v>482</v>
      </c>
      <c r="F3" s="9">
        <v>1928</v>
      </c>
      <c r="G3" s="9">
        <v>0.99900001287460327</v>
      </c>
      <c r="H3" s="9">
        <v>0.25</v>
      </c>
      <c r="I3">
        <v>0</v>
      </c>
      <c r="J3"/>
    </row>
    <row r="4" spans="1:10" ht="15" customHeight="1" x14ac:dyDescent="0.15">
      <c r="A4" s="146">
        <v>3</v>
      </c>
      <c r="B4" s="146" t="s">
        <v>195</v>
      </c>
      <c r="C4" s="8">
        <v>2.5319149494171143</v>
      </c>
      <c r="D4" s="9">
        <v>20.512870788574219</v>
      </c>
      <c r="E4" s="9">
        <v>40</v>
      </c>
      <c r="F4" s="9">
        <v>133.33299255371094</v>
      </c>
      <c r="G4" s="9">
        <v>0.9989999532699585</v>
      </c>
      <c r="H4" s="9">
        <v>0.30000075697898865</v>
      </c>
      <c r="I4">
        <v>0</v>
      </c>
      <c r="J4"/>
    </row>
    <row r="5" spans="1:10" ht="15" customHeight="1" x14ac:dyDescent="0.15">
      <c r="A5" s="147">
        <v>4</v>
      </c>
      <c r="B5" s="147" t="s">
        <v>196</v>
      </c>
      <c r="C5" s="8">
        <v>2.6127660274505615</v>
      </c>
      <c r="D5" s="9">
        <v>32.042179107666016</v>
      </c>
      <c r="E5" s="9">
        <v>13</v>
      </c>
      <c r="F5" s="9">
        <v>31.707000732421875</v>
      </c>
      <c r="G5" s="9">
        <v>0.99899989366531372</v>
      </c>
      <c r="H5" s="9">
        <v>0.41000407934188843</v>
      </c>
      <c r="I5">
        <v>0</v>
      </c>
      <c r="J5"/>
    </row>
    <row r="6" spans="1:10" ht="15" customHeight="1" x14ac:dyDescent="0.15">
      <c r="A6" s="148">
        <v>5</v>
      </c>
      <c r="B6" s="148" t="s">
        <v>197</v>
      </c>
      <c r="C6" s="8">
        <v>3.2326242923736572</v>
      </c>
      <c r="D6" s="9">
        <v>28.467462539672852</v>
      </c>
      <c r="E6" s="9">
        <v>0.43999999761581421</v>
      </c>
      <c r="F6" s="9">
        <v>1.4670000076293945</v>
      </c>
      <c r="G6" s="9">
        <v>0.5</v>
      </c>
      <c r="H6" s="9">
        <v>0.29993182420730591</v>
      </c>
      <c r="I6">
        <v>0</v>
      </c>
      <c r="J6"/>
    </row>
    <row r="7" spans="1:10" ht="15" customHeight="1" x14ac:dyDescent="0.15">
      <c r="A7" s="149">
        <v>6</v>
      </c>
      <c r="B7" s="149" t="s">
        <v>198</v>
      </c>
      <c r="C7" s="8">
        <v>2</v>
      </c>
      <c r="D7" s="9">
        <v>43.807037353515625</v>
      </c>
      <c r="E7" s="9">
        <v>8</v>
      </c>
      <c r="F7" s="9">
        <v>33</v>
      </c>
      <c r="G7" s="9">
        <v>0.9989999532699585</v>
      </c>
      <c r="H7" s="9">
        <v>0.24242424964904785</v>
      </c>
      <c r="I7">
        <v>0</v>
      </c>
      <c r="J7"/>
    </row>
    <row r="8" spans="1:10" ht="15" customHeight="1" x14ac:dyDescent="0.15">
      <c r="A8" s="150">
        <v>7</v>
      </c>
      <c r="B8" s="150" t="s">
        <v>199</v>
      </c>
      <c r="C8" s="8">
        <v>2.9578948020935059</v>
      </c>
      <c r="D8" s="9">
        <v>15.376301765441895</v>
      </c>
      <c r="E8" s="9">
        <v>1.2000000476837158</v>
      </c>
      <c r="F8" s="9">
        <v>10</v>
      </c>
      <c r="G8" s="9">
        <v>0.99900007247924805</v>
      </c>
      <c r="H8" s="9">
        <v>0.12000000476837158</v>
      </c>
      <c r="I8">
        <v>0</v>
      </c>
      <c r="J8"/>
    </row>
    <row r="9" spans="1:10" ht="15" customHeight="1" x14ac:dyDescent="0.15">
      <c r="A9" s="151">
        <v>8</v>
      </c>
      <c r="B9" s="151" t="s">
        <v>200</v>
      </c>
      <c r="C9" s="8">
        <v>2.651148796081543</v>
      </c>
      <c r="D9" s="9">
        <v>34.077999114990234</v>
      </c>
      <c r="E9" s="9">
        <v>1.3500000238418579</v>
      </c>
      <c r="F9" s="9">
        <v>14</v>
      </c>
      <c r="G9" s="9">
        <v>0.81443685293197632</v>
      </c>
      <c r="H9" s="9">
        <v>9.6428573131561279E-2</v>
      </c>
      <c r="I9">
        <v>5.4748601913452148</v>
      </c>
      <c r="J9"/>
    </row>
    <row r="10" spans="1:10" ht="15" customHeight="1" x14ac:dyDescent="0.15">
      <c r="A10" s="152">
        <v>9</v>
      </c>
      <c r="B10" s="152" t="s">
        <v>201</v>
      </c>
      <c r="C10" s="8">
        <v>3.0335321426391602</v>
      </c>
      <c r="D10" s="9">
        <v>0.53940576314926147</v>
      </c>
      <c r="E10" s="9">
        <v>1.7999999523162842</v>
      </c>
      <c r="F10" s="9">
        <v>18</v>
      </c>
      <c r="G10" s="9">
        <v>0.99900007247924805</v>
      </c>
      <c r="H10" s="9">
        <v>9.9999994039535522E-2</v>
      </c>
      <c r="I10">
        <v>0</v>
      </c>
      <c r="J10"/>
    </row>
    <row r="11" spans="1:10" ht="15" customHeight="1" x14ac:dyDescent="0.15">
      <c r="A11" s="153">
        <v>10</v>
      </c>
      <c r="B11" s="153" t="s">
        <v>202</v>
      </c>
      <c r="C11" s="8">
        <v>3.0907044410705566</v>
      </c>
      <c r="D11" s="9">
        <v>21.959003448486328</v>
      </c>
      <c r="E11" s="9">
        <v>1.7999999523162842</v>
      </c>
      <c r="F11" s="9">
        <v>12</v>
      </c>
      <c r="G11" s="9">
        <v>0.99900007247924805</v>
      </c>
      <c r="H11" s="9">
        <v>0.14999999105930328</v>
      </c>
      <c r="I11">
        <v>0</v>
      </c>
      <c r="J11"/>
    </row>
    <row r="12" spans="1:10" ht="15" customHeight="1" x14ac:dyDescent="0.15">
      <c r="A12" s="154">
        <v>11</v>
      </c>
      <c r="B12" s="154" t="s">
        <v>203</v>
      </c>
      <c r="C12" s="8">
        <v>3.580425500869751</v>
      </c>
      <c r="D12" s="9">
        <v>15.796857833862305</v>
      </c>
      <c r="E12" s="9">
        <v>1.2300000190734863</v>
      </c>
      <c r="F12" s="9">
        <v>12.300000190734863</v>
      </c>
      <c r="G12" s="9">
        <v>0.99899989366531372</v>
      </c>
      <c r="H12" s="9">
        <v>0.10000000149011612</v>
      </c>
      <c r="I12">
        <v>0</v>
      </c>
      <c r="J12"/>
    </row>
    <row r="13" spans="1:10" ht="15" customHeight="1" x14ac:dyDescent="0.15">
      <c r="A13" s="155">
        <v>12</v>
      </c>
      <c r="B13" s="155" t="s">
        <v>166</v>
      </c>
      <c r="C13" s="8">
        <v>3.9388682842254639</v>
      </c>
      <c r="D13" s="9">
        <v>4.3128972053527832</v>
      </c>
      <c r="E13" s="9">
        <v>5</v>
      </c>
      <c r="F13" s="9">
        <v>15</v>
      </c>
      <c r="G13" s="9">
        <v>0.99900007247924805</v>
      </c>
      <c r="H13" s="9">
        <v>0.3333333432674408</v>
      </c>
      <c r="I13">
        <v>0</v>
      </c>
      <c r="J13"/>
    </row>
    <row r="14" spans="1:10" ht="15" customHeight="1" x14ac:dyDescent="0.15">
      <c r="A14" s="156">
        <v>13</v>
      </c>
      <c r="B14" s="156" t="s">
        <v>204</v>
      </c>
      <c r="C14" s="8">
        <v>3.524303674697876</v>
      </c>
      <c r="D14" s="9">
        <v>18.892204284667969</v>
      </c>
      <c r="E14" s="9">
        <v>0.95822399854660034</v>
      </c>
      <c r="F14" s="9">
        <v>9.3493404388427734</v>
      </c>
      <c r="G14" s="9">
        <v>0.9990001916885376</v>
      </c>
      <c r="H14" s="9">
        <v>0.10249108076095581</v>
      </c>
      <c r="I14">
        <v>0</v>
      </c>
      <c r="J14"/>
    </row>
    <row r="15" spans="1:10" ht="15" customHeight="1" x14ac:dyDescent="0.15">
      <c r="A15" s="157">
        <v>14</v>
      </c>
      <c r="B15" s="157" t="s">
        <v>205</v>
      </c>
      <c r="C15" s="8">
        <v>3.3885107040405273</v>
      </c>
      <c r="D15" s="9">
        <v>9.6077432632446289</v>
      </c>
      <c r="E15" s="9">
        <v>1.2000000476837158</v>
      </c>
      <c r="F15" s="9">
        <v>10</v>
      </c>
      <c r="G15" s="9">
        <v>0.9990001916885376</v>
      </c>
      <c r="H15" s="9">
        <v>0.12000000476837158</v>
      </c>
      <c r="I15">
        <v>0</v>
      </c>
      <c r="J15"/>
    </row>
    <row r="16" spans="1:10" ht="15" customHeight="1" x14ac:dyDescent="0.15">
      <c r="A16" s="158">
        <v>15</v>
      </c>
      <c r="B16" s="158" t="s">
        <v>206</v>
      </c>
      <c r="C16" s="8">
        <v>3.5969502925872803</v>
      </c>
      <c r="D16" s="9">
        <v>5.2125344276428223</v>
      </c>
      <c r="E16" s="9">
        <v>0.80000001192092896</v>
      </c>
      <c r="F16" s="9">
        <v>5.3330001831054688</v>
      </c>
      <c r="G16" s="9">
        <v>0.9989999532699585</v>
      </c>
      <c r="H16" s="9">
        <v>0.15000937879085541</v>
      </c>
      <c r="I16">
        <v>0.28715100884437561</v>
      </c>
      <c r="J16"/>
    </row>
    <row r="17" spans="1:10" ht="15" customHeight="1" x14ac:dyDescent="0.15">
      <c r="A17" s="159">
        <v>16</v>
      </c>
      <c r="B17" s="159" t="s">
        <v>207</v>
      </c>
      <c r="C17" s="8">
        <v>4.5163440704345703</v>
      </c>
      <c r="D17" s="9">
        <v>4.886733740568161E-2</v>
      </c>
      <c r="E17" s="9">
        <v>0.5</v>
      </c>
      <c r="F17" s="9">
        <v>5</v>
      </c>
      <c r="G17" s="9">
        <v>0.99900007247924805</v>
      </c>
      <c r="H17" s="9">
        <v>0.10000000149011612</v>
      </c>
      <c r="I17">
        <v>1.0949720628559589E-2</v>
      </c>
      <c r="J17"/>
    </row>
    <row r="18" spans="1:10" ht="15" customHeight="1" x14ac:dyDescent="0.15">
      <c r="A18" s="160">
        <v>17</v>
      </c>
      <c r="B18" s="160" t="s">
        <v>208</v>
      </c>
      <c r="C18" s="8">
        <v>3.904132604598999</v>
      </c>
      <c r="D18" s="9">
        <v>4.4820346832275391</v>
      </c>
      <c r="E18" s="9">
        <v>2</v>
      </c>
      <c r="F18" s="9">
        <v>13.33329963684082</v>
      </c>
      <c r="G18" s="9">
        <v>0.9989999532699585</v>
      </c>
      <c r="H18" s="9">
        <v>0.15000037848949432</v>
      </c>
      <c r="I18">
        <v>0</v>
      </c>
      <c r="J18"/>
    </row>
    <row r="19" spans="1:10" ht="15" customHeight="1" x14ac:dyDescent="0.15">
      <c r="A19" s="161">
        <v>18</v>
      </c>
      <c r="B19" s="161" t="s">
        <v>209</v>
      </c>
      <c r="C19" s="8">
        <v>4.1916728019714355</v>
      </c>
      <c r="D19" s="9">
        <v>11.698770523071289</v>
      </c>
      <c r="E19" s="9">
        <v>1.2282500267028809</v>
      </c>
      <c r="F19" s="9">
        <v>7.8243999481201172</v>
      </c>
      <c r="G19" s="9">
        <v>0.99640345573425293</v>
      </c>
      <c r="H19" s="9">
        <v>0.15697689354419708</v>
      </c>
      <c r="I19">
        <v>1.2614400386810303</v>
      </c>
      <c r="J19"/>
    </row>
    <row r="20" spans="1:10" ht="15" customHeight="1" x14ac:dyDescent="0.15">
      <c r="A20" s="162">
        <v>19</v>
      </c>
      <c r="B20" s="162" t="s">
        <v>210</v>
      </c>
      <c r="C20" s="8">
        <v>3.9308445453643799</v>
      </c>
      <c r="D20" s="9">
        <v>6.5805587768554688</v>
      </c>
      <c r="E20" s="9">
        <v>1.1400209665298462</v>
      </c>
      <c r="F20" s="9">
        <v>7.2775001525878906</v>
      </c>
      <c r="G20" s="9">
        <v>0.91502547264099121</v>
      </c>
      <c r="H20" s="9">
        <v>0.15665008127689362</v>
      </c>
      <c r="I20">
        <v>2.2425599098205566</v>
      </c>
      <c r="J20"/>
    </row>
    <row r="21" spans="1:10" ht="15" customHeight="1" x14ac:dyDescent="0.15">
      <c r="A21" s="163">
        <v>20</v>
      </c>
      <c r="B21" s="163" t="s">
        <v>211</v>
      </c>
      <c r="C21" s="8">
        <v>3.905642032623291</v>
      </c>
      <c r="D21" s="9">
        <v>4.4536013603210449</v>
      </c>
      <c r="E21" s="9">
        <v>1</v>
      </c>
      <c r="F21" s="9">
        <v>5</v>
      </c>
      <c r="G21" s="9">
        <v>0.9989999532699585</v>
      </c>
      <c r="H21" s="9">
        <v>0.20000000298023224</v>
      </c>
      <c r="I21">
        <v>8.5310004651546478E-3</v>
      </c>
      <c r="J21"/>
    </row>
    <row r="22" spans="1:10" ht="15" customHeight="1" x14ac:dyDescent="0.15">
      <c r="A22" s="164">
        <v>21</v>
      </c>
      <c r="B22" s="164" t="s">
        <v>212</v>
      </c>
      <c r="C22" s="8">
        <v>3.9469387531280518</v>
      </c>
      <c r="D22" s="9">
        <v>4.1123847961425781</v>
      </c>
      <c r="E22" s="9">
        <v>1</v>
      </c>
      <c r="F22" s="9">
        <v>5</v>
      </c>
      <c r="G22" s="9">
        <v>0.99900001287460327</v>
      </c>
      <c r="H22" s="9">
        <v>0.20000000298023224</v>
      </c>
      <c r="I22">
        <v>0</v>
      </c>
      <c r="J22"/>
    </row>
    <row r="23" spans="1:10" ht="15" customHeight="1" x14ac:dyDescent="0.15">
      <c r="A23" s="165">
        <v>22</v>
      </c>
      <c r="B23" s="165" t="s">
        <v>213</v>
      </c>
      <c r="C23" s="8">
        <v>3.746720552444458</v>
      </c>
      <c r="D23" s="9">
        <v>0.36000001430511475</v>
      </c>
      <c r="E23" s="9">
        <v>0.5</v>
      </c>
      <c r="F23" s="9">
        <v>3.3333001136779785</v>
      </c>
      <c r="G23" s="9">
        <v>0.66666007041931152</v>
      </c>
      <c r="H23" s="9">
        <v>0.15000149607658386</v>
      </c>
      <c r="I23">
        <v>0</v>
      </c>
      <c r="J23"/>
    </row>
    <row r="24" spans="1:10" ht="15" customHeight="1" x14ac:dyDescent="0.15">
      <c r="A24" s="166">
        <v>23</v>
      </c>
      <c r="B24" s="166" t="s">
        <v>214</v>
      </c>
      <c r="C24" s="8">
        <v>4.2594671249389648</v>
      </c>
      <c r="D24" s="9">
        <v>1.657399907708168E-2</v>
      </c>
      <c r="E24" s="9">
        <v>0.15600000321865082</v>
      </c>
      <c r="F24" s="9">
        <v>120.30000305175781</v>
      </c>
      <c r="G24" s="9">
        <v>0.16354125738143921</v>
      </c>
      <c r="H24" s="9">
        <v>1.2967580696567893E-3</v>
      </c>
      <c r="I24">
        <v>0</v>
      </c>
      <c r="J24"/>
    </row>
    <row r="25" spans="1:10" ht="15" customHeight="1" x14ac:dyDescent="0.15">
      <c r="A25" s="167">
        <v>24</v>
      </c>
      <c r="B25" s="167" t="s">
        <v>215</v>
      </c>
      <c r="C25" s="8">
        <v>4.5274009704589844</v>
      </c>
      <c r="D25" s="9">
        <v>8.5504360496997833E-2</v>
      </c>
      <c r="E25" s="9">
        <v>0.28999999165534973</v>
      </c>
      <c r="F25" s="9">
        <v>18.25</v>
      </c>
      <c r="G25" s="9">
        <v>0.7332194447517395</v>
      </c>
      <c r="H25" s="9">
        <v>1.5890410169959068E-2</v>
      </c>
      <c r="I25">
        <v>9.1359997168183327E-3</v>
      </c>
      <c r="J25"/>
    </row>
    <row r="26" spans="1:10" ht="15" customHeight="1" x14ac:dyDescent="0.15">
      <c r="A26" s="168">
        <v>25</v>
      </c>
      <c r="B26" s="168" t="s">
        <v>216</v>
      </c>
      <c r="C26" s="8">
        <v>4.2381191253662109</v>
      </c>
      <c r="D26" s="9">
        <v>1.8999999389052391E-2</v>
      </c>
      <c r="E26" s="9">
        <v>0.15000000596046448</v>
      </c>
      <c r="F26" s="9">
        <v>7.4183001518249512</v>
      </c>
      <c r="G26" s="7">
        <v>0</v>
      </c>
      <c r="H26" s="9">
        <v>2.0220266655087471E-2</v>
      </c>
      <c r="I26">
        <v>0</v>
      </c>
      <c r="J26"/>
    </row>
    <row r="27" spans="1:10" ht="15" customHeight="1" x14ac:dyDescent="0.15">
      <c r="A27" s="169">
        <v>26</v>
      </c>
      <c r="B27" s="169" t="s">
        <v>217</v>
      </c>
      <c r="C27" s="8">
        <v>1</v>
      </c>
      <c r="D27" s="10"/>
      <c r="E27" s="10"/>
      <c r="F27" s="10"/>
      <c r="G27" s="9">
        <v>0.92111688852310181</v>
      </c>
      <c r="H27" s="10"/>
      <c r="I27">
        <v>0</v>
      </c>
      <c r="J27"/>
    </row>
    <row r="28" spans="1:10" ht="15" customHeight="1" x14ac:dyDescent="0.15">
      <c r="A28" s="170">
        <v>27</v>
      </c>
      <c r="B28" s="170" t="s">
        <v>218</v>
      </c>
      <c r="C28" s="8">
        <v>1</v>
      </c>
      <c r="D28" s="9">
        <v>5</v>
      </c>
      <c r="E28" s="10"/>
      <c r="F28" s="10"/>
      <c r="G28" s="7">
        <v>0</v>
      </c>
      <c r="H28" s="10"/>
      <c r="I28">
        <v>0</v>
      </c>
      <c r="J28"/>
    </row>
    <row r="29" spans="1:10" ht="15" customHeight="1" x14ac:dyDescent="0.15">
      <c r="A29" s="171">
        <v>28</v>
      </c>
      <c r="B29" s="171" t="s">
        <v>219</v>
      </c>
      <c r="C29" s="8">
        <v>3.6511490345001221</v>
      </c>
      <c r="D29" s="10"/>
      <c r="E29" s="10"/>
      <c r="F29" s="10"/>
      <c r="G29" s="10"/>
      <c r="H29" s="10"/>
      <c r="I29">
        <v>5.4748601913452148</v>
      </c>
      <c r="J29"/>
    </row>
    <row r="30" spans="1:10" ht="15" customHeight="1" x14ac:dyDescent="0.15">
      <c r="A30" s="172">
        <v>29</v>
      </c>
      <c r="B30" s="172" t="s">
        <v>220</v>
      </c>
      <c r="C30" s="8">
        <v>4.9921455383300781</v>
      </c>
      <c r="D30" s="10"/>
      <c r="E30" s="10"/>
      <c r="F30" s="10"/>
      <c r="G30" s="10"/>
      <c r="H30" s="10"/>
      <c r="I30">
        <v>3.7996821403503418</v>
      </c>
      <c r="J30"/>
    </row>
    <row r="31" spans="1:10" ht="15" customHeight="1" x14ac:dyDescent="0.15">
      <c r="A31" s="173">
        <v>30</v>
      </c>
      <c r="B31" s="173" t="s">
        <v>221</v>
      </c>
      <c r="C31" s="8">
        <v>5.5163435935974121</v>
      </c>
      <c r="D31" s="10"/>
      <c r="E31" s="10"/>
      <c r="F31" s="10"/>
      <c r="G31" s="10"/>
      <c r="H31" s="10"/>
      <c r="I31">
        <v>1.0949720628559589E-2</v>
      </c>
      <c r="J31"/>
    </row>
    <row r="32" spans="1:10" ht="15" customHeight="1" x14ac:dyDescent="0.15">
      <c r="A32" s="201">
        <v>31</v>
      </c>
      <c r="B32" s="201" t="s">
        <v>222</v>
      </c>
      <c r="C32" s="8">
        <v>5.5274019241333008</v>
      </c>
      <c r="D32" s="10"/>
      <c r="E32" s="10"/>
      <c r="F32" s="10"/>
      <c r="G32" s="10"/>
      <c r="H32" s="10"/>
      <c r="I32">
        <v>9.1359997168183327E-3</v>
      </c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7" bestFit="1" customWidth="1"/>
    <col min="2" max="4" width="9.5" style="77" bestFit="1" customWidth="1"/>
    <col min="5" max="7" width="9" style="77" bestFit="1" customWidth="1"/>
    <col min="8" max="16" width="12.6640625" style="77" bestFit="1" customWidth="1"/>
    <col min="17" max="17" width="12.33203125" style="77" bestFit="1" customWidth="1"/>
    <col min="18" max="18" width="8.83203125" style="77"/>
    <col min="19" max="21" width="9.33203125" style="77" bestFit="1" customWidth="1"/>
    <col min="22" max="23" width="8.83203125" style="77"/>
    <col min="24" max="24" width="9.33203125" style="77" bestFit="1" customWidth="1"/>
    <col min="25" max="27" width="8.83203125" style="77"/>
    <col min="28" max="58" width="9" style="77" bestFit="1" customWidth="1"/>
    <col min="59" max="59" width="12.33203125" style="77" bestFit="1" customWidth="1"/>
    <col min="60" max="60" width="9" style="77" bestFit="1" customWidth="1"/>
    <col min="61" max="61" width="11.33203125" style="77" bestFit="1" customWidth="1"/>
    <col min="62" max="77" width="9" style="77" bestFit="1" customWidth="1"/>
    <col min="78" max="78" width="12.33203125" style="77" bestFit="1" customWidth="1"/>
    <col min="79" max="79" width="9" style="77" bestFit="1" customWidth="1"/>
    <col min="80" max="80" width="12.33203125" style="77" bestFit="1" customWidth="1"/>
    <col min="81" max="107" width="9" style="77" bestFit="1" customWidth="1"/>
    <col min="108" max="108" width="11.33203125" style="77" bestFit="1" customWidth="1"/>
    <col min="109" max="124" width="9" style="77" bestFit="1" customWidth="1"/>
    <col min="125" max="125" width="10.33203125" style="77" bestFit="1" customWidth="1"/>
    <col min="126" max="129" width="9.33203125" style="77" bestFit="1" customWidth="1"/>
    <col min="130" max="130" width="9" style="77" bestFit="1" customWidth="1"/>
    <col min="131" max="134" width="9.33203125" style="77" bestFit="1" customWidth="1"/>
    <col min="135" max="165" width="9" style="77" bestFit="1" customWidth="1"/>
    <col min="166" max="166" width="12.33203125" style="77" bestFit="1" customWidth="1"/>
    <col min="167" max="170" width="9" style="77" bestFit="1" customWidth="1"/>
    <col min="171" max="176" width="8.83203125" style="77"/>
    <col min="177" max="177" width="13.83203125" style="77" bestFit="1" customWidth="1"/>
    <col min="178" max="16384" width="8.83203125" style="7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227</v>
      </c>
      <c r="E1" t="s">
        <v>228</v>
      </c>
      <c r="F1" t="s">
        <v>229</v>
      </c>
      <c r="G1" t="s">
        <v>230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166</v>
      </c>
      <c r="T1" t="s">
        <v>204</v>
      </c>
      <c r="U1" t="s">
        <v>205</v>
      </c>
      <c r="V1" t="s">
        <v>206</v>
      </c>
      <c r="W1" t="s">
        <v>207</v>
      </c>
      <c r="X1" t="s">
        <v>208</v>
      </c>
      <c r="Y1" t="s">
        <v>209</v>
      </c>
      <c r="Z1" t="s">
        <v>210</v>
      </c>
      <c r="AA1" t="s">
        <v>211</v>
      </c>
      <c r="AB1" t="s">
        <v>212</v>
      </c>
      <c r="AC1" t="s">
        <v>213</v>
      </c>
      <c r="AD1" t="s">
        <v>214</v>
      </c>
      <c r="AE1" t="s">
        <v>215</v>
      </c>
      <c r="AF1" t="s">
        <v>216</v>
      </c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35.700000762939453</v>
      </c>
      <c r="C2">
        <v>8.9369697570800781</v>
      </c>
      <c r="D2"/>
      <c r="E2"/>
      <c r="F2"/>
      <c r="G2"/>
      <c r="H2"/>
      <c r="I2" s="265">
        <v>16.265169143676758</v>
      </c>
      <c r="J2" s="263">
        <v>6.3817572593688965</v>
      </c>
      <c r="K2" s="208">
        <v>2.8446881771087646</v>
      </c>
      <c r="L2" s="11">
        <v>3.8977598305791616E-3</v>
      </c>
      <c r="M2"/>
      <c r="N2"/>
      <c r="O2" s="28">
        <v>1.2467987537384033</v>
      </c>
      <c r="P2" s="11">
        <v>1.4952308498322964E-2</v>
      </c>
      <c r="Q2"/>
      <c r="R2"/>
      <c r="S2"/>
      <c r="T2" s="11">
        <v>5.7698949240148067E-3</v>
      </c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482</v>
      </c>
      <c r="C3">
        <v>0.48199379444122314</v>
      </c>
      <c r="D3"/>
      <c r="E3"/>
      <c r="F3"/>
      <c r="G3"/>
      <c r="H3"/>
      <c r="I3" s="262">
        <v>115.67999267578125</v>
      </c>
      <c r="J3" s="264">
        <v>355.53848266601562</v>
      </c>
      <c r="K3"/>
      <c r="L3"/>
      <c r="M3"/>
      <c r="N3"/>
      <c r="O3" s="21">
        <v>9.9230375289916992</v>
      </c>
      <c r="P3" s="11">
        <v>0.10097191482782364</v>
      </c>
      <c r="Q3"/>
      <c r="R3"/>
      <c r="S3"/>
      <c r="T3" s="11">
        <v>0.27552902698516846</v>
      </c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40</v>
      </c>
      <c r="C4">
        <v>4.0001869201660156E-2</v>
      </c>
      <c r="D4"/>
      <c r="E4"/>
      <c r="F4"/>
      <c r="G4"/>
      <c r="H4"/>
      <c r="I4"/>
      <c r="J4"/>
      <c r="K4" s="261">
        <v>19.811199188232422</v>
      </c>
      <c r="L4" s="25">
        <v>1.2622463703155518</v>
      </c>
      <c r="M4"/>
      <c r="N4"/>
      <c r="O4" s="256">
        <v>4.1864724159240723</v>
      </c>
      <c r="P4" s="12">
        <v>0.14673149585723877</v>
      </c>
      <c r="Q4" s="65">
        <v>0.87352710962295532</v>
      </c>
      <c r="R4" s="71">
        <v>3.7888672351837158</v>
      </c>
      <c r="S4" s="14">
        <v>6.3075974583625793E-2</v>
      </c>
      <c r="T4" s="238">
        <v>6.6646618843078613</v>
      </c>
      <c r="U4" s="66">
        <v>2.3418817520141602</v>
      </c>
      <c r="V4" s="23">
        <v>0.20327566564083099</v>
      </c>
      <c r="W4"/>
      <c r="X4" s="18">
        <v>0.43699625134468079</v>
      </c>
      <c r="Y4"/>
      <c r="Z4"/>
      <c r="AA4"/>
      <c r="AB4" s="12">
        <v>0.18043044209480286</v>
      </c>
      <c r="AC4"/>
      <c r="AD4" s="11">
        <v>2.9160018311813474E-4</v>
      </c>
      <c r="AE4"/>
      <c r="AF4" s="11">
        <v>3.4355916432105005E-4</v>
      </c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13</v>
      </c>
      <c r="C5">
        <v>1.3001382350921631E-2</v>
      </c>
      <c r="D5"/>
      <c r="E5"/>
      <c r="F5"/>
      <c r="G5"/>
      <c r="H5"/>
      <c r="I5"/>
      <c r="J5"/>
      <c r="K5"/>
      <c r="L5" s="18">
        <v>0.15640047192573547</v>
      </c>
      <c r="M5"/>
      <c r="N5"/>
      <c r="O5" s="257">
        <v>2.680109977722168</v>
      </c>
      <c r="P5" s="22">
        <v>9.6965231001377106E-2</v>
      </c>
      <c r="Q5" s="255">
        <v>1.1760015487670898</v>
      </c>
      <c r="R5" s="258">
        <v>3.6383547782897949</v>
      </c>
      <c r="S5" s="236">
        <v>1.1306452751159668</v>
      </c>
      <c r="T5" s="254">
        <v>0.93710982799530029</v>
      </c>
      <c r="U5" s="29">
        <v>0.59969347715377808</v>
      </c>
      <c r="V5" s="20">
        <v>0.56391268968582153</v>
      </c>
      <c r="W5" s="11">
        <v>1.5250941505655646E-3</v>
      </c>
      <c r="X5" s="67">
        <v>0.80570226907730103</v>
      </c>
      <c r="Y5" s="25">
        <v>0.40565571188926697</v>
      </c>
      <c r="Z5" s="25">
        <v>0.40354013442993164</v>
      </c>
      <c r="AA5" s="23">
        <v>6.6021129488945007E-2</v>
      </c>
      <c r="AB5" s="26">
        <v>0.32085713744163513</v>
      </c>
      <c r="AC5"/>
      <c r="AD5" s="11">
        <v>2.6757118757814169E-3</v>
      </c>
      <c r="AE5"/>
      <c r="AF5" s="11">
        <v>1.8299081129953265E-3</v>
      </c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0.43999999761581421</v>
      </c>
      <c r="C6">
        <v>0.2199999988079071</v>
      </c>
      <c r="D6"/>
      <c r="E6"/>
      <c r="F6"/>
      <c r="G6"/>
      <c r="H6"/>
      <c r="I6"/>
      <c r="J6"/>
      <c r="K6"/>
      <c r="L6" s="225">
        <v>5.8680001646280289E-2</v>
      </c>
      <c r="M6"/>
      <c r="N6"/>
      <c r="O6"/>
      <c r="P6"/>
      <c r="Q6"/>
      <c r="R6"/>
      <c r="S6"/>
      <c r="T6" s="241">
        <v>0.16132000088691711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8</v>
      </c>
      <c r="C7">
        <v>8.0003738403320312E-3</v>
      </c>
      <c r="D7"/>
      <c r="E7"/>
      <c r="F7"/>
      <c r="G7"/>
      <c r="H7"/>
      <c r="I7"/>
      <c r="J7"/>
      <c r="K7"/>
      <c r="L7"/>
      <c r="M7"/>
      <c r="N7" s="259">
        <v>3.0186061859130859</v>
      </c>
      <c r="O7"/>
      <c r="P7"/>
      <c r="Q7" s="260">
        <v>3.909879207611084</v>
      </c>
      <c r="R7"/>
      <c r="S7"/>
      <c r="T7"/>
      <c r="U7" s="253">
        <v>0.65795892477035522</v>
      </c>
      <c r="V7" s="22">
        <v>6.3456572592258453E-2</v>
      </c>
      <c r="W7"/>
      <c r="X7"/>
      <c r="Y7"/>
      <c r="Z7" s="26">
        <v>0.19896309077739716</v>
      </c>
      <c r="AA7" s="19">
        <v>0.1372465044260025</v>
      </c>
      <c r="AB7"/>
      <c r="AC7" s="11">
        <v>5.8894064277410507E-3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1.2000000476837158</v>
      </c>
      <c r="C8">
        <v>1.1999130947515368E-3</v>
      </c>
      <c r="D8"/>
      <c r="E8"/>
      <c r="F8"/>
      <c r="G8"/>
      <c r="H8"/>
      <c r="I8"/>
      <c r="J8"/>
      <c r="K8"/>
      <c r="L8"/>
      <c r="M8"/>
      <c r="N8" s="250">
        <v>0.5</v>
      </c>
      <c r="O8"/>
      <c r="P8"/>
      <c r="Q8" s="143">
        <v>0.42843210697174072</v>
      </c>
      <c r="R8"/>
      <c r="S8"/>
      <c r="T8"/>
      <c r="U8"/>
      <c r="V8"/>
      <c r="W8"/>
      <c r="X8"/>
      <c r="Y8"/>
      <c r="Z8" s="136">
        <v>0.15572671592235565</v>
      </c>
      <c r="AA8" s="224">
        <v>0.10137422382831573</v>
      </c>
      <c r="AB8"/>
      <c r="AC8" s="18">
        <v>1.3267039321362972E-2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1.3500000238418579</v>
      </c>
      <c r="C9">
        <v>0.25051024556159973</v>
      </c>
      <c r="D9" s="137">
        <v>0.16065673530101776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 s="27">
        <v>0.10441166162490845</v>
      </c>
      <c r="T9"/>
      <c r="U9"/>
      <c r="V9"/>
      <c r="W9" s="11">
        <v>1.2188874097773805E-4</v>
      </c>
      <c r="X9"/>
      <c r="Y9" s="252">
        <v>0.827309250831604</v>
      </c>
      <c r="Z9"/>
      <c r="AA9"/>
      <c r="AB9" s="14">
        <v>3.620269475504756E-3</v>
      </c>
      <c r="AC9" s="11">
        <v>4.2255586595274508E-4</v>
      </c>
      <c r="AD9" s="14">
        <v>2.2233224008232355E-3</v>
      </c>
      <c r="AE9" s="11">
        <v>6.8686006125062704E-4</v>
      </c>
      <c r="AF9" s="11">
        <v>3.7224286643322557E-5</v>
      </c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1.7999999523162842</v>
      </c>
      <c r="C10">
        <v>1.7998694675043225E-3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 s="103">
        <v>0.11993469297885895</v>
      </c>
      <c r="T10"/>
      <c r="U10"/>
      <c r="V10"/>
      <c r="W10" s="11">
        <v>1.358921523205936E-3</v>
      </c>
      <c r="X10"/>
      <c r="Y10" s="218">
        <v>1.0181854963302612</v>
      </c>
      <c r="Z10"/>
      <c r="AA10"/>
      <c r="AB10" s="65">
        <v>3.8119584321975708E-2</v>
      </c>
      <c r="AC10" s="18">
        <v>2.2246483713388443E-2</v>
      </c>
      <c r="AD10" s="216">
        <v>0.55076158046722412</v>
      </c>
      <c r="AE10" s="26">
        <v>4.6286627650260925E-2</v>
      </c>
      <c r="AF10" s="11">
        <v>1.3065090170130134E-3</v>
      </c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1.7999999523162842</v>
      </c>
      <c r="C11">
        <v>1.7998694675043225E-3</v>
      </c>
      <c r="D11"/>
      <c r="E11"/>
      <c r="F11"/>
      <c r="G11"/>
      <c r="H11"/>
      <c r="I11"/>
      <c r="J11"/>
      <c r="K11"/>
      <c r="L11"/>
      <c r="M11"/>
      <c r="N11"/>
      <c r="O11"/>
      <c r="P11"/>
      <c r="Q11" s="142">
        <v>0.10799999535083771</v>
      </c>
      <c r="R11"/>
      <c r="S11" s="236">
        <v>0.15614339709281921</v>
      </c>
      <c r="T11"/>
      <c r="U11"/>
      <c r="V11" s="228">
        <v>0.10127398371696472</v>
      </c>
      <c r="W11" s="11">
        <v>5.5634742602705956E-4</v>
      </c>
      <c r="X11" s="138">
        <v>0.6803622841835022</v>
      </c>
      <c r="Y11" s="251">
        <v>0.49188166856765747</v>
      </c>
      <c r="Z11" s="224">
        <v>0.15266180038452148</v>
      </c>
      <c r="AA11"/>
      <c r="AB11" s="21">
        <v>3.651873767375946E-2</v>
      </c>
      <c r="AC11" s="11">
        <v>1.3661687262356281E-3</v>
      </c>
      <c r="AD11" s="221">
        <v>4.2221464216709137E-2</v>
      </c>
      <c r="AE11" s="16">
        <v>2.6790440082550049E-2</v>
      </c>
      <c r="AF11" s="11">
        <v>4.2363253305666149E-4</v>
      </c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1.2300000190734863</v>
      </c>
      <c r="C12">
        <v>1.2301307870075107E-3</v>
      </c>
      <c r="D12"/>
      <c r="E12"/>
      <c r="F12"/>
      <c r="G12"/>
      <c r="H12"/>
      <c r="I12"/>
      <c r="J12"/>
      <c r="K12"/>
      <c r="L12"/>
      <c r="M12"/>
      <c r="N12"/>
      <c r="O12"/>
      <c r="P12"/>
      <c r="Q12" s="202">
        <v>8.3405204117298126E-2</v>
      </c>
      <c r="R12"/>
      <c r="S12" s="247">
        <v>0.4218197762966156</v>
      </c>
      <c r="T12"/>
      <c r="U12"/>
      <c r="V12" s="141">
        <v>3.5194907337427139E-2</v>
      </c>
      <c r="W12" s="14">
        <v>2.0571677014231682E-3</v>
      </c>
      <c r="X12" s="227">
        <v>0.12484066188335419</v>
      </c>
      <c r="Y12" s="229">
        <v>0.15065859258174896</v>
      </c>
      <c r="Z12" s="242">
        <v>0.30316168069839478</v>
      </c>
      <c r="AA12" s="28">
        <v>4.2289435863494873E-2</v>
      </c>
      <c r="AB12" s="13">
        <v>4.6859271824359894E-2</v>
      </c>
      <c r="AC12" s="14">
        <v>1.8990931566804647E-3</v>
      </c>
      <c r="AD12" s="23">
        <v>6.3109137117862701E-3</v>
      </c>
      <c r="AE12" s="22">
        <v>1.0273388586938381E-2</v>
      </c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166</v>
      </c>
      <c r="B13">
        <v>5</v>
      </c>
      <c r="C13">
        <v>4.9996376037597656E-3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 s="141">
        <v>0.15000000596046448</v>
      </c>
      <c r="T13"/>
      <c r="U13"/>
      <c r="V13"/>
      <c r="W13" s="12">
        <v>1.6712507233023643E-2</v>
      </c>
      <c r="X13" s="104">
        <v>0.96993309259414673</v>
      </c>
      <c r="Y13" s="237">
        <v>0.82772636413574219</v>
      </c>
      <c r="Z13" s="238">
        <v>0.83279317617416382</v>
      </c>
      <c r="AA13" s="245">
        <v>1.3940427303314209</v>
      </c>
      <c r="AB13" s="235">
        <v>0.73420166969299316</v>
      </c>
      <c r="AC13" s="23">
        <v>2.7823250740766525E-2</v>
      </c>
      <c r="AD13" s="12">
        <v>2.0803498104214668E-2</v>
      </c>
      <c r="AE13" s="14">
        <v>1.2663392350077629E-2</v>
      </c>
      <c r="AF13" s="14">
        <v>8.3008510991930962E-3</v>
      </c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0.95822399854660034</v>
      </c>
      <c r="C14">
        <v>9.5804029842838645E-4</v>
      </c>
      <c r="D14"/>
      <c r="E14"/>
      <c r="F14"/>
      <c r="G14"/>
      <c r="H14"/>
      <c r="I14"/>
      <c r="J14"/>
      <c r="K14"/>
      <c r="L14"/>
      <c r="M14"/>
      <c r="N14"/>
      <c r="O14"/>
      <c r="P14"/>
      <c r="Q14" s="231">
        <v>0.13947977125644684</v>
      </c>
      <c r="R14"/>
      <c r="S14" s="240">
        <v>0.23285563290119171</v>
      </c>
      <c r="T14"/>
      <c r="U14"/>
      <c r="V14"/>
      <c r="W14" s="14">
        <v>1.0346561903133988E-3</v>
      </c>
      <c r="X14" s="239">
        <v>0.20560967922210693</v>
      </c>
      <c r="Y14" s="244">
        <v>0.27132928371429443</v>
      </c>
      <c r="Z14" s="26">
        <v>2.534908801317215E-2</v>
      </c>
      <c r="AA14" s="25">
        <v>2.9467193409800529E-2</v>
      </c>
      <c r="AB14" s="220">
        <v>3.7004970014095306E-2</v>
      </c>
      <c r="AC14" s="12">
        <v>4.4462345540523529E-3</v>
      </c>
      <c r="AD14" s="15">
        <v>8.7596829980611801E-3</v>
      </c>
      <c r="AE14" s="14">
        <v>1.899749506264925E-3</v>
      </c>
      <c r="AF14" s="11">
        <v>2.9842512958566658E-5</v>
      </c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1.2000000476837158</v>
      </c>
      <c r="C15">
        <v>1.1997700203210115E-3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 s="246">
        <v>0.67334717512130737</v>
      </c>
      <c r="T15"/>
      <c r="U15"/>
      <c r="V15"/>
      <c r="W15" s="11">
        <v>7.1207439759746194E-4</v>
      </c>
      <c r="X15"/>
      <c r="Y15" s="243">
        <v>0.51447421312332153</v>
      </c>
      <c r="Z15"/>
      <c r="AA15"/>
      <c r="AB15"/>
      <c r="AC15" s="11">
        <v>3.7469409289769828E-4</v>
      </c>
      <c r="AD15" s="11">
        <v>1.0376276914030313E-3</v>
      </c>
      <c r="AE15" s="23">
        <v>8.120817132294178E-3</v>
      </c>
      <c r="AF15" s="11">
        <v>7.3351094033569098E-4</v>
      </c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0.80000001192092896</v>
      </c>
      <c r="C16">
        <v>8.0003740731626749E-4</v>
      </c>
      <c r="D16"/>
      <c r="E16" s="202">
        <v>5.5088557302951813E-2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234">
        <v>0.57950377464294434</v>
      </c>
      <c r="Z16"/>
      <c r="AA16" s="208">
        <v>6.4080171287059784E-2</v>
      </c>
      <c r="AB16" s="217">
        <v>7.8894145786762238E-2</v>
      </c>
      <c r="AC16" s="23">
        <v>4.6042408794164658E-3</v>
      </c>
      <c r="AD16"/>
      <c r="AE16" s="21">
        <v>1.5866387635469437E-2</v>
      </c>
      <c r="AF16" s="14">
        <v>1.1627263156697154E-3</v>
      </c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0.5</v>
      </c>
      <c r="C17">
        <v>4.9996376037597656E-4</v>
      </c>
      <c r="D17"/>
      <c r="E17"/>
      <c r="F17" s="205">
        <v>0.22407034039497375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 s="212">
        <v>9.8224163055419922E-2</v>
      </c>
      <c r="AD17" s="213">
        <v>0.12240397930145264</v>
      </c>
      <c r="AE17"/>
      <c r="AF17" s="210">
        <v>5.4801557213068008E-2</v>
      </c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2</v>
      </c>
      <c r="C18">
        <v>2.0000934600830078E-3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 s="11">
        <v>1.2538377195596695E-3</v>
      </c>
      <c r="X18"/>
      <c r="Y18" s="249">
        <v>1.6950953006744385</v>
      </c>
      <c r="Z18" s="101">
        <v>0.24575230479240417</v>
      </c>
      <c r="AA18"/>
      <c r="AB18"/>
      <c r="AC18"/>
      <c r="AD18" s="11">
        <v>8.8970852084457874E-4</v>
      </c>
      <c r="AE18" s="24">
        <v>5.5008910596370697E-2</v>
      </c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1.2282500267028809</v>
      </c>
      <c r="C19">
        <v>4.41745575517416E-3</v>
      </c>
      <c r="D19"/>
      <c r="E19" s="203">
        <v>0.10782671719789505</v>
      </c>
      <c r="F19"/>
      <c r="G19"/>
      <c r="H19"/>
      <c r="I19"/>
      <c r="J19"/>
      <c r="K19"/>
      <c r="L19"/>
      <c r="M19"/>
      <c r="N19"/>
      <c r="O19"/>
      <c r="P19"/>
      <c r="Q19"/>
      <c r="R19"/>
      <c r="S19" s="226">
        <v>0.16589809954166412</v>
      </c>
      <c r="T19"/>
      <c r="U19"/>
      <c r="V19"/>
      <c r="W19" s="11">
        <v>5.2214186871424317E-4</v>
      </c>
      <c r="X19"/>
      <c r="Y19" s="248">
        <v>0.62595200538635254</v>
      </c>
      <c r="Z19" s="233">
        <v>0.2456156313419342</v>
      </c>
      <c r="AA19" s="220">
        <v>4.7586217522621155E-2</v>
      </c>
      <c r="AB19"/>
      <c r="AC19" s="11">
        <v>2.0514776406344026E-4</v>
      </c>
      <c r="AD19" s="22">
        <v>8.8624963536858559E-3</v>
      </c>
      <c r="AE19" s="19">
        <v>2.1075021475553513E-2</v>
      </c>
      <c r="AF19" s="11">
        <v>2.8915386064909399E-4</v>
      </c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1.1400209665298462</v>
      </c>
      <c r="C20">
        <v>9.6872739493846893E-2</v>
      </c>
      <c r="D20"/>
      <c r="E20" s="204">
        <v>0.34078562259674072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 s="14">
        <v>1.7079839017242193E-3</v>
      </c>
      <c r="X20"/>
      <c r="Y20" s="232">
        <v>0.40339124202728271</v>
      </c>
      <c r="Z20"/>
      <c r="AA20" s="223">
        <v>0.21995405852794647</v>
      </c>
      <c r="AB20" s="64">
        <v>6.2492940574884415E-2</v>
      </c>
      <c r="AC20" s="11">
        <v>3.6470711347647011E-4</v>
      </c>
      <c r="AD20" s="18">
        <v>1.3937599956989288E-2</v>
      </c>
      <c r="AE20"/>
      <c r="AF20" s="11">
        <v>5.1405129488557577E-4</v>
      </c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</v>
      </c>
      <c r="C21">
        <v>1.0000467300415039E-3</v>
      </c>
      <c r="D21"/>
      <c r="E21" s="14">
        <v>1.9155285554006696E-3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222">
        <v>0.26719188690185547</v>
      </c>
      <c r="Z21" s="106">
        <v>0.59142047166824341</v>
      </c>
      <c r="AA21" s="219">
        <v>0.12500001490116119</v>
      </c>
      <c r="AB21"/>
      <c r="AC21" s="17">
        <v>1.3472110964357853E-2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</v>
      </c>
      <c r="C22">
        <v>9.9998712539672852E-4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 s="23">
        <v>5.9414845891296864E-3</v>
      </c>
      <c r="X22"/>
      <c r="Y22" s="102">
        <v>0.28936159610748291</v>
      </c>
      <c r="Z22" s="230">
        <v>0.58226579427719116</v>
      </c>
      <c r="AA22" s="64">
        <v>5.414864793419838E-2</v>
      </c>
      <c r="AB22" s="215">
        <v>4.9999997019767761E-2</v>
      </c>
      <c r="AC22" s="23">
        <v>5.8359722606837749E-3</v>
      </c>
      <c r="AD22" s="22">
        <v>7.2726127691566944E-3</v>
      </c>
      <c r="AE22" s="12">
        <v>4.1739768348634243E-3</v>
      </c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0.5</v>
      </c>
      <c r="C23">
        <v>0.16666996479034424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 s="214">
        <v>0.33333003520965576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0.15600000321865082</v>
      </c>
      <c r="C24">
        <v>0.13048756122589111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07">
        <v>2.5512436404824257E-2</v>
      </c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0.28999999165534973</v>
      </c>
      <c r="C25">
        <v>7.7366359531879425E-2</v>
      </c>
      <c r="D25"/>
      <c r="E25"/>
      <c r="F25"/>
      <c r="G25" s="206">
        <v>0.10684835165739059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 s="209">
        <v>2.806846983730793E-2</v>
      </c>
      <c r="AD25" s="208">
        <v>2.3318719118833542E-2</v>
      </c>
      <c r="AE25"/>
      <c r="AF25" s="211">
        <v>5.4398093372583389E-2</v>
      </c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0.15000000596046448</v>
      </c>
      <c r="C26">
        <v>0.15000000596046448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/>
      <c r="C27">
        <v>0.92111688852310181</v>
      </c>
      <c r="D27"/>
      <c r="E27"/>
      <c r="F27"/>
      <c r="G27"/>
      <c r="H27"/>
      <c r="I27" s="9">
        <v>3485.39794921875</v>
      </c>
      <c r="J27"/>
      <c r="K27"/>
      <c r="L27" s="9">
        <v>8.3523540496826172</v>
      </c>
      <c r="M27" s="9">
        <v>1445.6322021484375</v>
      </c>
      <c r="N27" s="9">
        <v>13.838671684265137</v>
      </c>
      <c r="O27"/>
      <c r="P27"/>
      <c r="Q27" s="9">
        <v>23.715724945068359</v>
      </c>
      <c r="R27"/>
      <c r="S27"/>
      <c r="T27" s="9">
        <v>3.0027041435241699</v>
      </c>
      <c r="U27"/>
      <c r="V27"/>
      <c r="W27"/>
      <c r="X27"/>
      <c r="Y27"/>
      <c r="Z27" s="9">
        <v>2.63395094871521</v>
      </c>
      <c r="AA27" s="9">
        <v>2.2268009185791016</v>
      </c>
      <c r="AB27"/>
      <c r="AC27" s="9">
        <v>0.20399799942970276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/>
      <c r="C28">
        <v>0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167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168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3" t="s">
        <v>193</v>
      </c>
      <c r="E5">
        <v>4</v>
      </c>
      <c r="F5">
        <v>2</v>
      </c>
      <c r="G5">
        <v>4</v>
      </c>
      <c r="H5" s="194" t="s">
        <v>193</v>
      </c>
      <c r="J5" s="57"/>
      <c r="K5" s="58"/>
    </row>
    <row r="6" spans="1:12" ht="14" thickBot="1" x14ac:dyDescent="0.2">
      <c r="A6" s="41" t="s">
        <v>121</v>
      </c>
      <c r="D6" s="193" t="s">
        <v>194</v>
      </c>
      <c r="E6">
        <v>5</v>
      </c>
      <c r="F6">
        <v>3.14</v>
      </c>
      <c r="G6">
        <v>5</v>
      </c>
      <c r="H6" s="194" t="s">
        <v>194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3" t="s">
        <v>195</v>
      </c>
      <c r="E7">
        <v>6</v>
      </c>
      <c r="F7">
        <v>3.11</v>
      </c>
      <c r="G7">
        <v>6</v>
      </c>
      <c r="H7" s="194" t="s">
        <v>195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3" t="s">
        <v>196</v>
      </c>
      <c r="E8">
        <v>7</v>
      </c>
      <c r="F8">
        <v>3.11</v>
      </c>
      <c r="G8">
        <v>7</v>
      </c>
      <c r="H8" s="194" t="s">
        <v>196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3" t="s">
        <v>197</v>
      </c>
      <c r="E9">
        <v>8</v>
      </c>
      <c r="F9">
        <v>3.11</v>
      </c>
      <c r="G9">
        <v>8</v>
      </c>
      <c r="H9" s="194" t="s">
        <v>197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3" t="s">
        <v>198</v>
      </c>
      <c r="E10">
        <v>9</v>
      </c>
      <c r="F10">
        <v>3.21</v>
      </c>
      <c r="G10">
        <v>9</v>
      </c>
      <c r="H10" s="194" t="s">
        <v>198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3" t="s">
        <v>199</v>
      </c>
      <c r="E11">
        <v>10</v>
      </c>
      <c r="F11">
        <v>3.21</v>
      </c>
      <c r="G11">
        <v>10</v>
      </c>
      <c r="H11" s="194" t="s">
        <v>199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3" t="s">
        <v>200</v>
      </c>
      <c r="E12">
        <v>11</v>
      </c>
      <c r="F12">
        <v>3.12</v>
      </c>
      <c r="G12">
        <v>11</v>
      </c>
      <c r="H12" s="194" t="s">
        <v>200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3" t="s">
        <v>201</v>
      </c>
      <c r="E13">
        <v>12</v>
      </c>
      <c r="F13">
        <v>3.12</v>
      </c>
      <c r="G13">
        <v>12</v>
      </c>
      <c r="H13" s="194" t="s">
        <v>201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3" t="s">
        <v>202</v>
      </c>
      <c r="E14">
        <v>13</v>
      </c>
      <c r="F14">
        <v>3.22</v>
      </c>
      <c r="G14">
        <v>13</v>
      </c>
      <c r="H14" s="194" t="s">
        <v>202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3" t="s">
        <v>203</v>
      </c>
      <c r="E15">
        <v>14</v>
      </c>
      <c r="F15">
        <v>3.12</v>
      </c>
      <c r="G15">
        <v>14</v>
      </c>
      <c r="H15" s="194" t="s">
        <v>203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3" t="s">
        <v>166</v>
      </c>
      <c r="E16">
        <v>15</v>
      </c>
      <c r="F16">
        <v>3.12</v>
      </c>
      <c r="G16">
        <v>15</v>
      </c>
      <c r="H16" s="194" t="s">
        <v>166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3" t="s">
        <v>204</v>
      </c>
      <c r="E17">
        <v>16</v>
      </c>
      <c r="F17">
        <v>3.1</v>
      </c>
      <c r="G17">
        <v>16</v>
      </c>
      <c r="H17" s="194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3" t="s">
        <v>205</v>
      </c>
      <c r="E18">
        <v>17</v>
      </c>
      <c r="F18">
        <v>3.12</v>
      </c>
      <c r="G18">
        <v>17</v>
      </c>
      <c r="H18" s="194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3" t="s">
        <v>206</v>
      </c>
      <c r="E19">
        <v>18</v>
      </c>
      <c r="F19">
        <v>3.12</v>
      </c>
      <c r="G19">
        <v>18</v>
      </c>
      <c r="H19" s="194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3" t="s">
        <v>207</v>
      </c>
      <c r="E20">
        <v>19</v>
      </c>
      <c r="F20">
        <v>3.1</v>
      </c>
      <c r="G20">
        <v>19</v>
      </c>
      <c r="H20" s="194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3" t="s">
        <v>208</v>
      </c>
      <c r="E21">
        <v>20</v>
      </c>
      <c r="F21">
        <v>3.12</v>
      </c>
      <c r="G21">
        <v>20</v>
      </c>
      <c r="H21" s="194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3" t="s">
        <v>209</v>
      </c>
      <c r="E22">
        <v>21</v>
      </c>
      <c r="F22">
        <v>3.12</v>
      </c>
      <c r="G22">
        <v>21</v>
      </c>
      <c r="H22" s="194" t="s">
        <v>209</v>
      </c>
    </row>
    <row r="23" spans="1:12" x14ac:dyDescent="0.15">
      <c r="A23" s="36" t="s">
        <v>129</v>
      </c>
      <c r="B23" s="44">
        <v>4</v>
      </c>
      <c r="C23" s="38"/>
      <c r="D23" s="193" t="s">
        <v>210</v>
      </c>
      <c r="E23">
        <v>22</v>
      </c>
      <c r="F23">
        <v>3.12</v>
      </c>
      <c r="G23">
        <v>22</v>
      </c>
      <c r="H23" s="194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3" t="s">
        <v>211</v>
      </c>
      <c r="E24">
        <v>23</v>
      </c>
      <c r="F24">
        <v>3.2</v>
      </c>
      <c r="G24">
        <v>23</v>
      </c>
      <c r="H24" s="194" t="s">
        <v>211</v>
      </c>
    </row>
    <row r="25" spans="1:12" x14ac:dyDescent="0.15">
      <c r="A25" s="36" t="s">
        <v>70</v>
      </c>
      <c r="B25" s="44">
        <v>4.2</v>
      </c>
      <c r="C25" s="38"/>
      <c r="D25" s="193" t="s">
        <v>212</v>
      </c>
      <c r="E25">
        <v>24</v>
      </c>
      <c r="F25">
        <v>3.1</v>
      </c>
      <c r="G25">
        <v>24</v>
      </c>
      <c r="H25" s="194" t="s">
        <v>212</v>
      </c>
    </row>
    <row r="26" spans="1:12" x14ac:dyDescent="0.15">
      <c r="A26" s="36" t="s">
        <v>123</v>
      </c>
      <c r="B26" s="44">
        <v>4.3</v>
      </c>
      <c r="C26" s="38"/>
      <c r="D26" s="193" t="s">
        <v>213</v>
      </c>
      <c r="E26">
        <v>25</v>
      </c>
      <c r="F26">
        <v>3.12</v>
      </c>
      <c r="G26">
        <v>25</v>
      </c>
      <c r="H26" s="194" t="s">
        <v>213</v>
      </c>
    </row>
    <row r="27" spans="1:12" x14ac:dyDescent="0.15">
      <c r="A27" s="36" t="s">
        <v>125</v>
      </c>
      <c r="B27" s="44">
        <v>6.1</v>
      </c>
      <c r="D27" s="193" t="s">
        <v>214</v>
      </c>
      <c r="E27">
        <v>26</v>
      </c>
      <c r="F27">
        <v>3.13</v>
      </c>
      <c r="G27">
        <v>26</v>
      </c>
      <c r="H27" s="194" t="s">
        <v>214</v>
      </c>
    </row>
    <row r="28" spans="1:12" x14ac:dyDescent="0.15">
      <c r="A28" s="36" t="s">
        <v>124</v>
      </c>
      <c r="B28" s="44">
        <v>6.2</v>
      </c>
      <c r="D28" s="193" t="s">
        <v>215</v>
      </c>
      <c r="E28">
        <v>27</v>
      </c>
      <c r="F28">
        <v>3.13</v>
      </c>
      <c r="G28">
        <v>27</v>
      </c>
      <c r="H28" s="194" t="s">
        <v>215</v>
      </c>
    </row>
    <row r="29" spans="1:12" x14ac:dyDescent="0.15">
      <c r="A29" s="36" t="s">
        <v>44</v>
      </c>
      <c r="B29" s="44">
        <v>5</v>
      </c>
      <c r="D29" s="193" t="s">
        <v>216</v>
      </c>
      <c r="E29">
        <v>28</v>
      </c>
      <c r="F29">
        <v>3.13</v>
      </c>
      <c r="G29">
        <v>28</v>
      </c>
      <c r="H29" s="194" t="s">
        <v>216</v>
      </c>
    </row>
    <row r="30" spans="1:12" x14ac:dyDescent="0.15">
      <c r="A30" s="36" t="s">
        <v>73</v>
      </c>
      <c r="B30" s="44">
        <v>7</v>
      </c>
      <c r="D30" s="193" t="s">
        <v>217</v>
      </c>
      <c r="E30">
        <v>29</v>
      </c>
      <c r="F30">
        <v>4.0999999999999996</v>
      </c>
      <c r="G30">
        <v>29</v>
      </c>
      <c r="H30" s="194" t="s">
        <v>217</v>
      </c>
    </row>
    <row r="31" spans="1:12" x14ac:dyDescent="0.15">
      <c r="A31" s="36" t="s">
        <v>170</v>
      </c>
      <c r="B31" s="44">
        <v>3.14</v>
      </c>
      <c r="D31" s="193" t="s">
        <v>218</v>
      </c>
      <c r="E31">
        <v>30</v>
      </c>
      <c r="F31">
        <v>4.3</v>
      </c>
      <c r="G31">
        <v>30</v>
      </c>
      <c r="H31" s="194" t="s">
        <v>218</v>
      </c>
    </row>
    <row r="32" spans="1:12" ht="12" customHeight="1" thickBot="1" x14ac:dyDescent="0.2">
      <c r="A32" s="42" t="s">
        <v>171</v>
      </c>
      <c r="B32" s="45">
        <v>9</v>
      </c>
      <c r="D32" s="193" t="s">
        <v>219</v>
      </c>
      <c r="E32">
        <v>31</v>
      </c>
      <c r="F32">
        <v>5</v>
      </c>
      <c r="G32">
        <v>31</v>
      </c>
      <c r="H32" s="194" t="s">
        <v>219</v>
      </c>
    </row>
    <row r="33" spans="4:8" customFormat="1" ht="12" customHeight="1" x14ac:dyDescent="0.15">
      <c r="D33" s="193" t="s">
        <v>220</v>
      </c>
      <c r="E33">
        <v>32</v>
      </c>
      <c r="F33">
        <v>5</v>
      </c>
      <c r="G33">
        <v>32</v>
      </c>
      <c r="H33" s="194" t="s">
        <v>220</v>
      </c>
    </row>
    <row r="34" spans="4:8" customFormat="1" ht="12" customHeight="1" x14ac:dyDescent="0.15">
      <c r="D34" s="193" t="s">
        <v>221</v>
      </c>
      <c r="E34">
        <v>33</v>
      </c>
      <c r="F34">
        <v>5</v>
      </c>
      <c r="G34">
        <v>33</v>
      </c>
      <c r="H34" s="194" t="s">
        <v>221</v>
      </c>
    </row>
    <row r="35" spans="4:8" customFormat="1" x14ac:dyDescent="0.15">
      <c r="D35" s="193" t="s">
        <v>222</v>
      </c>
      <c r="E35">
        <v>34</v>
      </c>
      <c r="F35">
        <v>5</v>
      </c>
      <c r="G35">
        <v>34</v>
      </c>
      <c r="H35" s="194" t="s">
        <v>222</v>
      </c>
    </row>
    <row r="36" spans="4:8" customFormat="1" x14ac:dyDescent="0.15">
      <c r="D36" s="193" t="s">
        <v>138</v>
      </c>
      <c r="E36">
        <v>35</v>
      </c>
      <c r="F36">
        <v>6.1</v>
      </c>
      <c r="G36">
        <v>35</v>
      </c>
      <c r="H36" s="194" t="s">
        <v>138</v>
      </c>
    </row>
    <row r="37" spans="4:8" customFormat="1" ht="12" customHeight="1" x14ac:dyDescent="0.15">
      <c r="D37" s="193" t="s">
        <v>45</v>
      </c>
      <c r="E37">
        <v>36</v>
      </c>
      <c r="F37">
        <v>6.2</v>
      </c>
      <c r="G37">
        <v>36</v>
      </c>
      <c r="H37" s="194" t="s">
        <v>45</v>
      </c>
    </row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8" bestFit="1" customWidth="1"/>
    <col min="2" max="2" width="7.83203125" style="77" customWidth="1"/>
    <col min="3" max="3" width="13.1640625" style="77" customWidth="1"/>
    <col min="4" max="4" width="39.6640625" style="77" customWidth="1"/>
    <col min="5" max="5" width="8.1640625" style="77" customWidth="1"/>
    <col min="6" max="6" width="21.6640625" style="77" bestFit="1" customWidth="1"/>
    <col min="7" max="9" width="2.33203125" style="77" customWidth="1"/>
    <col min="10" max="10" width="2.33203125" style="77" bestFit="1" customWidth="1"/>
    <col min="11" max="15" width="2.33203125" style="77" customWidth="1"/>
    <col min="16" max="16" width="2.33203125" style="69" customWidth="1"/>
    <col min="17" max="17" width="2.33203125" style="77" customWidth="1"/>
    <col min="18" max="18" width="2.33203125" style="70" customWidth="1"/>
    <col min="19" max="16384" width="11.5" style="77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79" t="s">
        <v>48</v>
      </c>
      <c r="L1" s="70"/>
      <c r="M1" s="79" t="s">
        <v>119</v>
      </c>
      <c r="N1" s="70"/>
      <c r="O1" s="79" t="s">
        <v>49</v>
      </c>
      <c r="P1" s="72"/>
      <c r="Q1" s="79" t="s">
        <v>50</v>
      </c>
      <c r="R1" s="68" t="s">
        <v>154</v>
      </c>
    </row>
    <row r="2" spans="1:23" ht="15" customHeight="1" x14ac:dyDescent="0.15">
      <c r="A2" s="79" t="s">
        <v>51</v>
      </c>
      <c r="B2" s="80">
        <v>0.5</v>
      </c>
      <c r="C2" s="78" t="s">
        <v>52</v>
      </c>
      <c r="D2" s="81"/>
      <c r="F2" s="1"/>
      <c r="G2" s="82"/>
      <c r="H2" s="82"/>
      <c r="I2" s="82" t="s">
        <v>133</v>
      </c>
      <c r="J2" s="82" t="s">
        <v>133</v>
      </c>
      <c r="K2" s="82" t="s">
        <v>52</v>
      </c>
      <c r="L2" s="82" t="s">
        <v>53</v>
      </c>
      <c r="M2" s="82" t="s">
        <v>52</v>
      </c>
      <c r="N2" s="82" t="s">
        <v>53</v>
      </c>
      <c r="O2" s="82" t="s">
        <v>52</v>
      </c>
      <c r="P2" s="83" t="s">
        <v>53</v>
      </c>
      <c r="Q2" s="82"/>
      <c r="R2" s="84" t="s">
        <v>155</v>
      </c>
    </row>
    <row r="3" spans="1:23" ht="15" customHeight="1" thickBot="1" x14ac:dyDescent="0.2">
      <c r="A3" s="79" t="s">
        <v>54</v>
      </c>
      <c r="B3" s="85">
        <v>0.5</v>
      </c>
      <c r="C3" s="78" t="s">
        <v>53</v>
      </c>
      <c r="D3" s="8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5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5">
        <v>0</v>
      </c>
      <c r="R4" s="107">
        <v>0</v>
      </c>
    </row>
    <row r="5" spans="1:23" ht="15" customHeight="1" x14ac:dyDescent="0.15">
      <c r="A5" s="79" t="s">
        <v>55</v>
      </c>
      <c r="B5" s="86">
        <v>0.5</v>
      </c>
      <c r="C5" s="78" t="s">
        <v>52</v>
      </c>
      <c r="D5" s="8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5">
        <v>0</v>
      </c>
      <c r="R5" s="107">
        <v>0</v>
      </c>
    </row>
    <row r="6" spans="1:23" ht="15" customHeight="1" thickBot="1" x14ac:dyDescent="0.2">
      <c r="A6" s="79"/>
      <c r="B6" s="87">
        <v>0.5</v>
      </c>
      <c r="C6" s="78" t="s">
        <v>53</v>
      </c>
      <c r="D6" s="81"/>
      <c r="F6" s="195" t="s">
        <v>193</v>
      </c>
      <c r="G6" s="77">
        <v>0</v>
      </c>
      <c r="H6" s="77">
        <v>0</v>
      </c>
      <c r="I6" s="77">
        <v>0</v>
      </c>
      <c r="J6" s="77">
        <v>0</v>
      </c>
      <c r="K6" s="77">
        <v>0</v>
      </c>
      <c r="L6" s="77">
        <v>0</v>
      </c>
      <c r="M6" s="77">
        <v>1</v>
      </c>
      <c r="N6" s="77">
        <v>0</v>
      </c>
      <c r="O6" s="77">
        <v>0</v>
      </c>
      <c r="P6" s="69">
        <v>0</v>
      </c>
      <c r="Q6" s="77">
        <v>0</v>
      </c>
      <c r="R6" s="70">
        <v>1</v>
      </c>
      <c r="S6"/>
      <c r="T6"/>
    </row>
    <row r="7" spans="1:23" ht="15" customHeight="1" thickBot="1" x14ac:dyDescent="0.2">
      <c r="F7" s="195" t="s">
        <v>194</v>
      </c>
      <c r="G7" s="77">
        <v>0</v>
      </c>
      <c r="H7" s="77">
        <v>0</v>
      </c>
      <c r="I7" s="77">
        <v>0</v>
      </c>
      <c r="J7" s="77">
        <v>0</v>
      </c>
      <c r="K7" s="77">
        <v>1</v>
      </c>
      <c r="L7" s="77">
        <v>0</v>
      </c>
      <c r="M7" s="77">
        <v>1</v>
      </c>
      <c r="N7" s="77">
        <v>0</v>
      </c>
      <c r="O7" s="77">
        <v>1</v>
      </c>
      <c r="P7" s="69">
        <v>0</v>
      </c>
      <c r="Q7" s="77">
        <v>0</v>
      </c>
      <c r="R7" s="70">
        <v>1</v>
      </c>
      <c r="S7"/>
      <c r="T7"/>
    </row>
    <row r="8" spans="1:23" ht="15" customHeight="1" x14ac:dyDescent="0.15">
      <c r="A8" s="79" t="s">
        <v>56</v>
      </c>
      <c r="B8" s="86">
        <v>1</v>
      </c>
      <c r="C8" s="196" t="s">
        <v>193</v>
      </c>
      <c r="D8" s="81" t="s">
        <v>160</v>
      </c>
      <c r="F8" s="195" t="s">
        <v>195</v>
      </c>
      <c r="G8" s="77">
        <v>0</v>
      </c>
      <c r="H8" s="77">
        <v>0</v>
      </c>
      <c r="I8" s="77">
        <v>0</v>
      </c>
      <c r="J8" s="77">
        <v>0</v>
      </c>
      <c r="K8" s="77">
        <v>1</v>
      </c>
      <c r="L8" s="77">
        <v>0</v>
      </c>
      <c r="M8" s="77">
        <v>1</v>
      </c>
      <c r="N8" s="77">
        <v>0</v>
      </c>
      <c r="O8" s="77">
        <v>1</v>
      </c>
      <c r="P8" s="69">
        <v>0</v>
      </c>
      <c r="Q8" s="77">
        <v>0</v>
      </c>
      <c r="R8" s="70">
        <v>1</v>
      </c>
      <c r="S8"/>
      <c r="T8"/>
      <c r="W8"/>
    </row>
    <row r="9" spans="1:23" ht="15" customHeight="1" x14ac:dyDescent="0.15">
      <c r="A9" s="121" t="s">
        <v>169</v>
      </c>
      <c r="B9" s="88"/>
      <c r="C9" s="76"/>
      <c r="D9" s="81" t="s">
        <v>160</v>
      </c>
      <c r="F9" s="195" t="s">
        <v>196</v>
      </c>
      <c r="G9" s="77">
        <v>0</v>
      </c>
      <c r="H9" s="77">
        <v>0</v>
      </c>
      <c r="I9" s="77">
        <v>0</v>
      </c>
      <c r="J9" s="77">
        <v>0</v>
      </c>
      <c r="K9" s="77">
        <v>1</v>
      </c>
      <c r="L9" s="77">
        <v>0</v>
      </c>
      <c r="M9" s="77">
        <v>1</v>
      </c>
      <c r="N9" s="77">
        <v>0</v>
      </c>
      <c r="O9" s="77">
        <v>1</v>
      </c>
      <c r="P9" s="69">
        <v>0</v>
      </c>
      <c r="Q9" s="77">
        <v>0</v>
      </c>
      <c r="R9" s="70">
        <v>1</v>
      </c>
      <c r="S9"/>
      <c r="T9"/>
      <c r="W9"/>
    </row>
    <row r="10" spans="1:23" ht="15" customHeight="1" x14ac:dyDescent="0.15">
      <c r="B10" s="88"/>
      <c r="C10" s="76"/>
      <c r="D10" s="81" t="s">
        <v>160</v>
      </c>
      <c r="F10" s="195" t="s">
        <v>197</v>
      </c>
      <c r="G10" s="77">
        <v>0</v>
      </c>
      <c r="H10" s="77">
        <v>0</v>
      </c>
      <c r="I10" s="77">
        <v>0</v>
      </c>
      <c r="J10" s="77">
        <v>0</v>
      </c>
      <c r="K10" s="77">
        <v>1</v>
      </c>
      <c r="L10" s="77">
        <v>0</v>
      </c>
      <c r="M10" s="77">
        <v>1</v>
      </c>
      <c r="N10" s="77">
        <v>0</v>
      </c>
      <c r="O10" s="77">
        <v>1</v>
      </c>
      <c r="P10" s="69">
        <v>0</v>
      </c>
      <c r="Q10" s="77">
        <v>0</v>
      </c>
      <c r="R10" s="70">
        <v>1</v>
      </c>
      <c r="S10"/>
      <c r="T10"/>
      <c r="W10"/>
    </row>
    <row r="11" spans="1:23" ht="15" customHeight="1" x14ac:dyDescent="0.15">
      <c r="A11" s="79"/>
      <c r="B11" s="88"/>
      <c r="C11" s="91"/>
      <c r="D11" s="81" t="s">
        <v>160</v>
      </c>
      <c r="F11" s="195" t="s">
        <v>198</v>
      </c>
      <c r="G11" s="77">
        <v>0</v>
      </c>
      <c r="H11" s="77">
        <v>0</v>
      </c>
      <c r="I11" s="77">
        <v>0</v>
      </c>
      <c r="J11" s="77">
        <v>0</v>
      </c>
      <c r="K11" s="77">
        <v>1</v>
      </c>
      <c r="L11" s="77">
        <v>0</v>
      </c>
      <c r="M11" s="77">
        <v>1</v>
      </c>
      <c r="N11" s="77">
        <v>0</v>
      </c>
      <c r="O11" s="77">
        <v>1</v>
      </c>
      <c r="P11" s="69">
        <v>0</v>
      </c>
      <c r="Q11" s="77">
        <v>0</v>
      </c>
      <c r="R11" s="70">
        <v>1</v>
      </c>
      <c r="S11"/>
      <c r="T11"/>
      <c r="W11"/>
    </row>
    <row r="12" spans="1:23" ht="15" customHeight="1" x14ac:dyDescent="0.15">
      <c r="B12" s="88"/>
      <c r="C12" s="92"/>
      <c r="D12" s="81" t="s">
        <v>160</v>
      </c>
      <c r="F12" s="195" t="s">
        <v>199</v>
      </c>
      <c r="G12" s="77">
        <v>0</v>
      </c>
      <c r="H12" s="77">
        <v>0</v>
      </c>
      <c r="I12" s="77">
        <v>0</v>
      </c>
      <c r="J12" s="77">
        <v>0</v>
      </c>
      <c r="K12" s="77">
        <v>1</v>
      </c>
      <c r="L12" s="77">
        <v>0</v>
      </c>
      <c r="M12" s="77">
        <v>1</v>
      </c>
      <c r="N12" s="77">
        <v>0</v>
      </c>
      <c r="O12" s="77">
        <v>1</v>
      </c>
      <c r="P12" s="69">
        <v>0</v>
      </c>
      <c r="Q12" s="77">
        <v>0</v>
      </c>
      <c r="R12" s="70">
        <v>1</v>
      </c>
      <c r="S12"/>
      <c r="T12"/>
      <c r="W12"/>
    </row>
    <row r="13" spans="1:23" ht="15" customHeight="1" x14ac:dyDescent="0.15">
      <c r="B13" s="88"/>
      <c r="C13" s="92"/>
      <c r="D13" s="81" t="s">
        <v>160</v>
      </c>
      <c r="F13" s="195" t="s">
        <v>200</v>
      </c>
      <c r="G13" s="77">
        <v>0</v>
      </c>
      <c r="H13" s="77">
        <v>0</v>
      </c>
      <c r="I13" s="77">
        <v>0</v>
      </c>
      <c r="J13" s="77">
        <v>0</v>
      </c>
      <c r="K13" s="77">
        <v>1</v>
      </c>
      <c r="L13" s="77">
        <v>0</v>
      </c>
      <c r="M13" s="77">
        <v>1</v>
      </c>
      <c r="N13" s="77">
        <v>0</v>
      </c>
      <c r="O13" s="77">
        <v>1</v>
      </c>
      <c r="P13" s="69">
        <v>0</v>
      </c>
      <c r="Q13" s="77">
        <v>0</v>
      </c>
      <c r="R13" s="70">
        <v>1</v>
      </c>
      <c r="S13"/>
      <c r="T13"/>
      <c r="W13"/>
    </row>
    <row r="14" spans="1:23" ht="15" customHeight="1" x14ac:dyDescent="0.15">
      <c r="B14" s="88"/>
      <c r="C14" s="76"/>
      <c r="D14" s="81" t="s">
        <v>160</v>
      </c>
      <c r="F14" s="195" t="s">
        <v>201</v>
      </c>
      <c r="G14" s="77">
        <v>0</v>
      </c>
      <c r="H14" s="77">
        <v>0</v>
      </c>
      <c r="I14" s="77">
        <v>0</v>
      </c>
      <c r="J14" s="77">
        <v>0</v>
      </c>
      <c r="K14" s="77">
        <v>1</v>
      </c>
      <c r="L14" s="77">
        <v>0</v>
      </c>
      <c r="M14" s="77">
        <v>1</v>
      </c>
      <c r="N14" s="77">
        <v>0</v>
      </c>
      <c r="O14" s="77">
        <v>1</v>
      </c>
      <c r="P14" s="69">
        <v>0</v>
      </c>
      <c r="Q14" s="77">
        <v>0</v>
      </c>
      <c r="R14" s="70">
        <v>1</v>
      </c>
      <c r="S14"/>
      <c r="T14"/>
      <c r="W14"/>
    </row>
    <row r="15" spans="1:23" ht="15" customHeight="1" x14ac:dyDescent="0.15">
      <c r="B15" s="88"/>
      <c r="C15" s="76"/>
      <c r="D15" s="81" t="s">
        <v>160</v>
      </c>
      <c r="F15" s="195" t="s">
        <v>202</v>
      </c>
      <c r="G15" s="77">
        <v>0</v>
      </c>
      <c r="H15" s="77">
        <v>0</v>
      </c>
      <c r="I15" s="77">
        <v>0</v>
      </c>
      <c r="J15" s="77">
        <v>0</v>
      </c>
      <c r="K15" s="77">
        <v>1</v>
      </c>
      <c r="L15" s="77">
        <v>0</v>
      </c>
      <c r="M15" s="77">
        <v>1</v>
      </c>
      <c r="N15" s="77">
        <v>0</v>
      </c>
      <c r="O15" s="77">
        <v>1</v>
      </c>
      <c r="P15" s="69">
        <v>0</v>
      </c>
      <c r="Q15" s="77">
        <v>0</v>
      </c>
      <c r="R15" s="70">
        <v>1</v>
      </c>
      <c r="S15"/>
      <c r="T15"/>
      <c r="W15"/>
    </row>
    <row r="16" spans="1:23" ht="15" customHeight="1" x14ac:dyDescent="0.15">
      <c r="B16" s="88"/>
      <c r="C16" s="76"/>
      <c r="D16" s="81" t="s">
        <v>160</v>
      </c>
      <c r="F16" s="195" t="s">
        <v>203</v>
      </c>
      <c r="G16" s="77">
        <v>0</v>
      </c>
      <c r="H16" s="77">
        <v>0</v>
      </c>
      <c r="I16" s="77">
        <v>0</v>
      </c>
      <c r="J16" s="77">
        <v>0</v>
      </c>
      <c r="K16" s="77">
        <v>1</v>
      </c>
      <c r="L16" s="77">
        <v>0</v>
      </c>
      <c r="M16" s="77">
        <v>1</v>
      </c>
      <c r="N16" s="77">
        <v>0</v>
      </c>
      <c r="O16" s="77">
        <v>1</v>
      </c>
      <c r="P16" s="69">
        <v>0</v>
      </c>
      <c r="Q16" s="77">
        <v>0</v>
      </c>
      <c r="R16" s="70">
        <v>1</v>
      </c>
      <c r="S16"/>
      <c r="T16"/>
    </row>
    <row r="17" spans="1:20" ht="15" customHeight="1" thickBot="1" x14ac:dyDescent="0.2">
      <c r="B17" s="87"/>
      <c r="C17" s="76"/>
      <c r="D17" s="81" t="s">
        <v>160</v>
      </c>
      <c r="F17" s="195" t="s">
        <v>166</v>
      </c>
      <c r="G17" s="77">
        <v>0</v>
      </c>
      <c r="H17" s="77">
        <v>0</v>
      </c>
      <c r="I17" s="77">
        <v>0</v>
      </c>
      <c r="J17" s="77">
        <v>0</v>
      </c>
      <c r="K17" s="77">
        <v>1</v>
      </c>
      <c r="L17" s="77">
        <v>0</v>
      </c>
      <c r="M17" s="77">
        <v>1</v>
      </c>
      <c r="N17" s="77">
        <v>0</v>
      </c>
      <c r="O17" s="77">
        <v>1</v>
      </c>
      <c r="P17" s="69">
        <v>0</v>
      </c>
      <c r="Q17" s="77">
        <v>0</v>
      </c>
      <c r="R17" s="70">
        <v>1</v>
      </c>
      <c r="S17"/>
      <c r="T17"/>
    </row>
    <row r="18" spans="1:20" ht="15" customHeight="1" thickBot="1" x14ac:dyDescent="0.2">
      <c r="B18" s="89"/>
      <c r="F18" s="195" t="s">
        <v>204</v>
      </c>
      <c r="G18" s="77">
        <v>0</v>
      </c>
      <c r="H18" s="77">
        <v>0</v>
      </c>
      <c r="I18" s="77">
        <v>0</v>
      </c>
      <c r="J18" s="77">
        <v>0</v>
      </c>
      <c r="K18" s="77">
        <v>1</v>
      </c>
      <c r="L18" s="77">
        <v>0</v>
      </c>
      <c r="M18" s="77">
        <v>1</v>
      </c>
      <c r="N18" s="77">
        <v>0</v>
      </c>
      <c r="O18" s="77">
        <v>1</v>
      </c>
      <c r="P18" s="69">
        <v>0</v>
      </c>
      <c r="Q18" s="77">
        <v>0</v>
      </c>
      <c r="R18" s="70">
        <v>1</v>
      </c>
      <c r="S18"/>
      <c r="T18"/>
    </row>
    <row r="19" spans="1:20" ht="15" customHeight="1" x14ac:dyDescent="0.15">
      <c r="A19" s="79" t="s">
        <v>57</v>
      </c>
      <c r="B19" s="86">
        <v>1</v>
      </c>
      <c r="C19" s="197" t="s">
        <v>193</v>
      </c>
      <c r="D19" s="81" t="s">
        <v>160</v>
      </c>
      <c r="F19" s="195" t="s">
        <v>205</v>
      </c>
      <c r="G19" s="77">
        <v>0</v>
      </c>
      <c r="H19" s="77">
        <v>0</v>
      </c>
      <c r="I19" s="77">
        <v>0</v>
      </c>
      <c r="J19" s="77">
        <v>0</v>
      </c>
      <c r="K19" s="77">
        <v>1</v>
      </c>
      <c r="L19" s="77">
        <v>0</v>
      </c>
      <c r="M19" s="77">
        <v>1</v>
      </c>
      <c r="N19" s="77">
        <v>0</v>
      </c>
      <c r="O19" s="77">
        <v>1</v>
      </c>
      <c r="P19" s="69">
        <v>0</v>
      </c>
      <c r="Q19" s="77">
        <v>0</v>
      </c>
      <c r="R19" s="70">
        <v>1</v>
      </c>
      <c r="S19"/>
      <c r="T19"/>
    </row>
    <row r="20" spans="1:20" ht="15" customHeight="1" x14ac:dyDescent="0.15">
      <c r="A20" s="121" t="s">
        <v>169</v>
      </c>
      <c r="B20" s="88"/>
      <c r="C20" s="76"/>
      <c r="D20" s="81" t="s">
        <v>160</v>
      </c>
      <c r="F20" s="195" t="s">
        <v>206</v>
      </c>
      <c r="G20" s="77">
        <v>0</v>
      </c>
      <c r="H20" s="77">
        <v>0</v>
      </c>
      <c r="I20" s="77">
        <v>0</v>
      </c>
      <c r="J20" s="77">
        <v>0</v>
      </c>
      <c r="K20" s="77">
        <v>1</v>
      </c>
      <c r="L20" s="77">
        <v>0</v>
      </c>
      <c r="M20" s="77">
        <v>1</v>
      </c>
      <c r="N20" s="77">
        <v>0</v>
      </c>
      <c r="O20" s="77">
        <v>1</v>
      </c>
      <c r="P20" s="69">
        <v>0</v>
      </c>
      <c r="Q20" s="77">
        <v>0</v>
      </c>
      <c r="R20" s="70">
        <v>1</v>
      </c>
      <c r="S20"/>
      <c r="T20"/>
    </row>
    <row r="21" spans="1:20" ht="15" customHeight="1" x14ac:dyDescent="0.15">
      <c r="B21" s="88"/>
      <c r="C21" s="76"/>
      <c r="D21" s="81" t="s">
        <v>160</v>
      </c>
      <c r="F21" s="195" t="s">
        <v>207</v>
      </c>
      <c r="G21" s="77">
        <v>0</v>
      </c>
      <c r="H21" s="77">
        <v>0</v>
      </c>
      <c r="I21" s="77">
        <v>0</v>
      </c>
      <c r="J21" s="77">
        <v>0</v>
      </c>
      <c r="K21" s="77">
        <v>1</v>
      </c>
      <c r="L21" s="77">
        <v>0</v>
      </c>
      <c r="M21" s="77">
        <v>1</v>
      </c>
      <c r="N21" s="77">
        <v>0</v>
      </c>
      <c r="O21" s="77">
        <v>1</v>
      </c>
      <c r="P21" s="69">
        <v>0</v>
      </c>
      <c r="Q21" s="77">
        <v>0</v>
      </c>
      <c r="R21" s="70">
        <v>1</v>
      </c>
      <c r="S21"/>
      <c r="T21"/>
    </row>
    <row r="22" spans="1:20" ht="15" customHeight="1" x14ac:dyDescent="0.15">
      <c r="A22" s="77"/>
      <c r="B22" s="88"/>
      <c r="C22" s="91"/>
      <c r="D22" s="81" t="s">
        <v>160</v>
      </c>
      <c r="F22" s="195" t="s">
        <v>208</v>
      </c>
      <c r="G22" s="77">
        <v>0</v>
      </c>
      <c r="H22" s="77">
        <v>0</v>
      </c>
      <c r="I22" s="77">
        <v>0</v>
      </c>
      <c r="J22" s="77">
        <v>0</v>
      </c>
      <c r="K22" s="77">
        <v>1</v>
      </c>
      <c r="L22" s="77">
        <v>0</v>
      </c>
      <c r="M22" s="77">
        <v>1</v>
      </c>
      <c r="N22" s="77">
        <v>0</v>
      </c>
      <c r="O22" s="77">
        <v>1</v>
      </c>
      <c r="P22" s="69">
        <v>0</v>
      </c>
      <c r="Q22" s="77">
        <v>0</v>
      </c>
      <c r="R22" s="70">
        <v>1</v>
      </c>
      <c r="S22"/>
      <c r="T22"/>
    </row>
    <row r="23" spans="1:20" ht="15" customHeight="1" x14ac:dyDescent="0.15">
      <c r="A23" s="77"/>
      <c r="B23" s="88"/>
      <c r="C23" s="92"/>
      <c r="D23" s="81" t="s">
        <v>160</v>
      </c>
      <c r="F23" s="195" t="s">
        <v>209</v>
      </c>
      <c r="G23" s="77">
        <v>0</v>
      </c>
      <c r="H23" s="77">
        <v>0</v>
      </c>
      <c r="I23" s="77">
        <v>0</v>
      </c>
      <c r="J23" s="77">
        <v>0</v>
      </c>
      <c r="K23" s="77">
        <v>1</v>
      </c>
      <c r="L23" s="77">
        <v>0</v>
      </c>
      <c r="M23" s="77">
        <v>1</v>
      </c>
      <c r="N23" s="77">
        <v>0</v>
      </c>
      <c r="O23" s="77">
        <v>1</v>
      </c>
      <c r="P23" s="69">
        <v>0</v>
      </c>
      <c r="Q23" s="77">
        <v>0</v>
      </c>
      <c r="R23" s="70">
        <v>1</v>
      </c>
      <c r="S23"/>
      <c r="T23"/>
    </row>
    <row r="24" spans="1:20" ht="15" customHeight="1" x14ac:dyDescent="0.15">
      <c r="A24" s="77"/>
      <c r="B24" s="88"/>
      <c r="C24" s="92"/>
      <c r="D24" s="81" t="s">
        <v>160</v>
      </c>
      <c r="F24" s="195" t="s">
        <v>210</v>
      </c>
      <c r="G24" s="77">
        <v>0</v>
      </c>
      <c r="H24" s="77">
        <v>0</v>
      </c>
      <c r="I24" s="77">
        <v>0</v>
      </c>
      <c r="J24" s="77">
        <v>0</v>
      </c>
      <c r="K24" s="77">
        <v>1</v>
      </c>
      <c r="L24" s="77">
        <v>0</v>
      </c>
      <c r="M24" s="77">
        <v>1</v>
      </c>
      <c r="N24" s="77">
        <v>0</v>
      </c>
      <c r="O24" s="77">
        <v>1</v>
      </c>
      <c r="P24" s="69">
        <v>0</v>
      </c>
      <c r="Q24" s="77">
        <v>0</v>
      </c>
      <c r="R24" s="70">
        <v>1</v>
      </c>
      <c r="S24"/>
      <c r="T24"/>
    </row>
    <row r="25" spans="1:20" ht="15" customHeight="1" x14ac:dyDescent="0.15">
      <c r="A25" s="77"/>
      <c r="B25" s="88"/>
      <c r="C25" s="76"/>
      <c r="D25" s="81" t="s">
        <v>160</v>
      </c>
      <c r="F25" s="195" t="s">
        <v>211</v>
      </c>
      <c r="G25" s="77">
        <v>0</v>
      </c>
      <c r="H25" s="77">
        <v>0</v>
      </c>
      <c r="I25" s="77">
        <v>0</v>
      </c>
      <c r="J25" s="77">
        <v>0</v>
      </c>
      <c r="K25" s="77">
        <v>1</v>
      </c>
      <c r="L25" s="77">
        <v>0</v>
      </c>
      <c r="M25" s="77">
        <v>1</v>
      </c>
      <c r="N25" s="77">
        <v>0</v>
      </c>
      <c r="O25" s="77">
        <v>1</v>
      </c>
      <c r="P25" s="69">
        <v>0</v>
      </c>
      <c r="Q25" s="77">
        <v>0</v>
      </c>
      <c r="R25" s="70">
        <v>1</v>
      </c>
      <c r="S25"/>
      <c r="T25"/>
    </row>
    <row r="26" spans="1:20" ht="15" customHeight="1" x14ac:dyDescent="0.15">
      <c r="B26" s="88"/>
      <c r="C26" s="76"/>
      <c r="D26" s="81" t="s">
        <v>160</v>
      </c>
      <c r="F26" s="195" t="s">
        <v>212</v>
      </c>
      <c r="G26" s="77">
        <v>0</v>
      </c>
      <c r="H26" s="77">
        <v>0</v>
      </c>
      <c r="I26" s="77">
        <v>0</v>
      </c>
      <c r="J26" s="77">
        <v>0</v>
      </c>
      <c r="K26" s="77">
        <v>1</v>
      </c>
      <c r="L26" s="77">
        <v>0</v>
      </c>
      <c r="M26" s="77">
        <v>1</v>
      </c>
      <c r="N26" s="77">
        <v>0</v>
      </c>
      <c r="O26" s="77">
        <v>1</v>
      </c>
      <c r="P26" s="69">
        <v>0</v>
      </c>
      <c r="Q26" s="77">
        <v>0</v>
      </c>
      <c r="R26" s="70">
        <v>1</v>
      </c>
      <c r="S26"/>
      <c r="T26"/>
    </row>
    <row r="27" spans="1:20" ht="15" customHeight="1" x14ac:dyDescent="0.15">
      <c r="B27" s="88"/>
      <c r="C27" s="76"/>
      <c r="D27" s="81" t="s">
        <v>160</v>
      </c>
      <c r="F27" s="195" t="s">
        <v>213</v>
      </c>
      <c r="G27" s="77">
        <v>0</v>
      </c>
      <c r="H27" s="77">
        <v>0</v>
      </c>
      <c r="I27" s="77">
        <v>0</v>
      </c>
      <c r="J27" s="77">
        <v>0</v>
      </c>
      <c r="K27" s="77">
        <v>1</v>
      </c>
      <c r="L27" s="77">
        <v>0</v>
      </c>
      <c r="M27" s="77">
        <v>1</v>
      </c>
      <c r="N27" s="77">
        <v>0</v>
      </c>
      <c r="O27" s="77">
        <v>1</v>
      </c>
      <c r="P27" s="69">
        <v>0</v>
      </c>
      <c r="Q27" s="77">
        <v>0</v>
      </c>
      <c r="R27" s="70">
        <v>1</v>
      </c>
      <c r="S27"/>
      <c r="T27"/>
    </row>
    <row r="28" spans="1:20" ht="15" customHeight="1" thickBot="1" x14ac:dyDescent="0.2">
      <c r="B28" s="87"/>
      <c r="C28" s="76"/>
      <c r="D28" s="81" t="s">
        <v>160</v>
      </c>
      <c r="F28" s="195" t="s">
        <v>214</v>
      </c>
      <c r="G28" s="77">
        <v>0</v>
      </c>
      <c r="H28" s="77">
        <v>0</v>
      </c>
      <c r="I28" s="77">
        <v>0</v>
      </c>
      <c r="J28" s="77">
        <v>0</v>
      </c>
      <c r="K28" s="77">
        <v>1</v>
      </c>
      <c r="L28" s="77">
        <v>0</v>
      </c>
      <c r="M28" s="77">
        <v>1</v>
      </c>
      <c r="N28" s="77">
        <v>0</v>
      </c>
      <c r="O28" s="77">
        <v>1</v>
      </c>
      <c r="P28" s="69">
        <v>0</v>
      </c>
      <c r="Q28" s="77">
        <v>0</v>
      </c>
      <c r="R28" s="70">
        <v>1</v>
      </c>
      <c r="S28"/>
      <c r="T28"/>
    </row>
    <row r="29" spans="1:20" ht="15" customHeight="1" x14ac:dyDescent="0.15">
      <c r="F29" s="195" t="s">
        <v>215</v>
      </c>
      <c r="G29" s="77">
        <v>0</v>
      </c>
      <c r="H29" s="77">
        <v>0</v>
      </c>
      <c r="I29" s="77">
        <v>0</v>
      </c>
      <c r="J29" s="77">
        <v>0</v>
      </c>
      <c r="K29" s="77">
        <v>1</v>
      </c>
      <c r="L29" s="77">
        <v>0</v>
      </c>
      <c r="M29" s="77">
        <v>1</v>
      </c>
      <c r="N29" s="77">
        <v>0</v>
      </c>
      <c r="O29" s="77">
        <v>1</v>
      </c>
      <c r="P29" s="69">
        <v>0</v>
      </c>
      <c r="Q29" s="77">
        <v>0</v>
      </c>
      <c r="R29" s="70">
        <v>1</v>
      </c>
      <c r="S29"/>
      <c r="T29"/>
    </row>
    <row r="30" spans="1:20" ht="15" customHeight="1" x14ac:dyDescent="0.15">
      <c r="F30" s="195" t="s">
        <v>216</v>
      </c>
      <c r="G30" s="77">
        <v>0</v>
      </c>
      <c r="H30" s="77">
        <v>0</v>
      </c>
      <c r="I30" s="77">
        <v>0</v>
      </c>
      <c r="J30" s="77">
        <v>0</v>
      </c>
      <c r="K30" s="77">
        <v>1</v>
      </c>
      <c r="L30" s="77">
        <v>0</v>
      </c>
      <c r="M30" s="77">
        <v>1</v>
      </c>
      <c r="N30" s="77">
        <v>0</v>
      </c>
      <c r="O30" s="77">
        <v>1</v>
      </c>
      <c r="P30" s="69">
        <v>0</v>
      </c>
      <c r="Q30" s="77">
        <v>0</v>
      </c>
      <c r="R30" s="70">
        <v>1</v>
      </c>
      <c r="S30"/>
      <c r="T30"/>
    </row>
    <row r="31" spans="1:20" ht="15" customHeight="1" x14ac:dyDescent="0.15">
      <c r="A31" s="122"/>
      <c r="B31" s="133" t="s">
        <v>17</v>
      </c>
      <c r="C31" s="133" t="s">
        <v>1</v>
      </c>
      <c r="D31" s="133" t="s">
        <v>161</v>
      </c>
      <c r="E31" s="134" t="s">
        <v>163</v>
      </c>
      <c r="F31" s="195" t="s">
        <v>217</v>
      </c>
      <c r="G31" s="77">
        <v>0</v>
      </c>
      <c r="H31" s="77">
        <v>0</v>
      </c>
      <c r="I31" s="77">
        <v>0</v>
      </c>
      <c r="J31" s="77">
        <v>0</v>
      </c>
      <c r="K31" s="77">
        <v>0</v>
      </c>
      <c r="L31" s="77">
        <v>1</v>
      </c>
      <c r="M31" s="77">
        <v>0</v>
      </c>
      <c r="N31" s="77">
        <v>1</v>
      </c>
      <c r="O31" s="77">
        <v>0</v>
      </c>
      <c r="P31" s="69">
        <v>1</v>
      </c>
      <c r="Q31" s="77">
        <v>0</v>
      </c>
      <c r="R31" s="70">
        <v>1</v>
      </c>
      <c r="S31"/>
      <c r="T31"/>
    </row>
    <row r="32" spans="1:20" ht="15" customHeight="1" x14ac:dyDescent="0.15">
      <c r="A32" s="198" t="s">
        <v>193</v>
      </c>
      <c r="B32" s="89">
        <v>214.286</v>
      </c>
      <c r="C32" s="89">
        <v>35.700000000000003</v>
      </c>
      <c r="D32" s="89">
        <v>7650.0102000000006</v>
      </c>
      <c r="E32" s="124">
        <v>1</v>
      </c>
      <c r="F32" s="195" t="s">
        <v>218</v>
      </c>
      <c r="G32" s="77">
        <v>0</v>
      </c>
      <c r="H32" s="77">
        <v>0</v>
      </c>
      <c r="I32" s="77">
        <v>0</v>
      </c>
      <c r="J32" s="77">
        <v>0</v>
      </c>
      <c r="K32" s="77">
        <v>0</v>
      </c>
      <c r="L32" s="77">
        <v>1</v>
      </c>
      <c r="M32" s="77">
        <v>0</v>
      </c>
      <c r="N32" s="77">
        <v>1</v>
      </c>
      <c r="O32" s="77">
        <v>0</v>
      </c>
      <c r="P32" s="69">
        <v>1</v>
      </c>
      <c r="Q32" s="77">
        <v>0</v>
      </c>
      <c r="R32" s="70">
        <v>1</v>
      </c>
      <c r="S32"/>
      <c r="T32"/>
    </row>
    <row r="33" spans="1:20" ht="15" customHeight="1" x14ac:dyDescent="0.15">
      <c r="A33" s="123"/>
      <c r="B33" s="89"/>
      <c r="C33" s="89"/>
      <c r="D33" s="89"/>
      <c r="E33" s="124"/>
      <c r="F33" s="195" t="s">
        <v>219</v>
      </c>
      <c r="G33" s="77">
        <v>0</v>
      </c>
      <c r="H33" s="77">
        <v>0</v>
      </c>
      <c r="I33" s="77">
        <v>0</v>
      </c>
      <c r="J33" s="77">
        <v>0</v>
      </c>
      <c r="K33" s="77">
        <v>0</v>
      </c>
      <c r="L33" s="77">
        <v>1</v>
      </c>
      <c r="M33" s="77">
        <v>0</v>
      </c>
      <c r="N33" s="77">
        <v>0</v>
      </c>
      <c r="O33" s="77">
        <v>0</v>
      </c>
      <c r="P33" s="69">
        <v>0</v>
      </c>
      <c r="Q33" s="77">
        <v>0</v>
      </c>
      <c r="R33" s="70">
        <v>1</v>
      </c>
      <c r="S33"/>
      <c r="T33"/>
    </row>
    <row r="34" spans="1:20" ht="15" customHeight="1" x14ac:dyDescent="0.15">
      <c r="A34" s="125"/>
      <c r="B34" s="89"/>
      <c r="C34" s="89"/>
      <c r="D34" s="89"/>
      <c r="E34" s="124"/>
      <c r="F34" s="195" t="s">
        <v>220</v>
      </c>
      <c r="G34" s="77">
        <v>0</v>
      </c>
      <c r="H34" s="77">
        <v>0</v>
      </c>
      <c r="I34" s="77">
        <v>0</v>
      </c>
      <c r="J34" s="77">
        <v>0</v>
      </c>
      <c r="K34" s="77">
        <v>0</v>
      </c>
      <c r="L34" s="77">
        <v>1</v>
      </c>
      <c r="M34" s="77">
        <v>0</v>
      </c>
      <c r="N34" s="77">
        <v>0</v>
      </c>
      <c r="O34" s="77">
        <v>0</v>
      </c>
      <c r="P34" s="69">
        <v>0</v>
      </c>
      <c r="Q34" s="77">
        <v>0</v>
      </c>
      <c r="R34" s="70">
        <v>1</v>
      </c>
      <c r="S34"/>
      <c r="T34"/>
    </row>
    <row r="35" spans="1:20" ht="15" customHeight="1" x14ac:dyDescent="0.15">
      <c r="A35" s="126"/>
      <c r="B35" s="89"/>
      <c r="C35" s="89"/>
      <c r="D35" s="89"/>
      <c r="E35" s="124"/>
      <c r="F35" s="195" t="s">
        <v>221</v>
      </c>
      <c r="G35" s="77">
        <v>0</v>
      </c>
      <c r="H35" s="77">
        <v>0</v>
      </c>
      <c r="I35" s="77">
        <v>0</v>
      </c>
      <c r="J35" s="77">
        <v>0</v>
      </c>
      <c r="K35" s="77">
        <v>0</v>
      </c>
      <c r="L35" s="77">
        <v>1</v>
      </c>
      <c r="M35" s="77">
        <v>0</v>
      </c>
      <c r="N35" s="77">
        <v>0</v>
      </c>
      <c r="O35" s="77">
        <v>0</v>
      </c>
      <c r="P35" s="69">
        <v>0</v>
      </c>
      <c r="Q35" s="77">
        <v>0</v>
      </c>
      <c r="R35" s="70">
        <v>1</v>
      </c>
      <c r="S35"/>
      <c r="T35"/>
    </row>
    <row r="36" spans="1:20" ht="15" customHeight="1" x14ac:dyDescent="0.15">
      <c r="A36" s="127"/>
      <c r="B36" s="89"/>
      <c r="C36" s="89"/>
      <c r="D36" s="89"/>
      <c r="E36" s="124"/>
      <c r="F36" s="195" t="s">
        <v>222</v>
      </c>
      <c r="G36" s="77">
        <v>0</v>
      </c>
      <c r="H36" s="77">
        <v>0</v>
      </c>
      <c r="I36" s="77">
        <v>0</v>
      </c>
      <c r="J36" s="77">
        <v>0</v>
      </c>
      <c r="K36" s="77">
        <v>0</v>
      </c>
      <c r="L36" s="77">
        <v>1</v>
      </c>
      <c r="M36" s="77">
        <v>0</v>
      </c>
      <c r="N36" s="77">
        <v>0</v>
      </c>
      <c r="O36" s="77">
        <v>0</v>
      </c>
      <c r="P36" s="69">
        <v>0</v>
      </c>
      <c r="Q36" s="77">
        <v>0</v>
      </c>
      <c r="R36" s="70">
        <v>1</v>
      </c>
      <c r="S36"/>
      <c r="T36"/>
    </row>
    <row r="37" spans="1:20" ht="15" customHeight="1" x14ac:dyDescent="0.15">
      <c r="A37" s="127"/>
      <c r="B37" s="89"/>
      <c r="C37" s="89"/>
      <c r="D37" s="89"/>
      <c r="E37" s="124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8"/>
      <c r="B38" s="89"/>
      <c r="C38" s="89"/>
      <c r="D38" s="89"/>
      <c r="E38" s="124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8"/>
      <c r="B39" s="89"/>
      <c r="C39" s="89"/>
      <c r="D39" s="89"/>
      <c r="E39" s="124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8"/>
      <c r="B40" s="89"/>
      <c r="C40" s="89"/>
      <c r="D40" s="89"/>
      <c r="E40" s="124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8"/>
      <c r="B41" s="89"/>
      <c r="C41" s="89"/>
      <c r="D41" s="90"/>
      <c r="E41" s="129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0"/>
      <c r="B42" s="131"/>
      <c r="C42" s="131" t="s">
        <v>162</v>
      </c>
      <c r="D42" s="131">
        <f>SUM(D32:D41)</f>
        <v>7650.0102000000006</v>
      </c>
      <c r="E42" s="132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M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7" customWidth="1"/>
    <col min="3" max="5" width="7.83203125" style="107" customWidth="1"/>
    <col min="6" max="8" width="8.83203125" style="6"/>
    <col min="9" max="9" width="13.1640625" style="6" customWidth="1"/>
    <col min="10" max="10" width="14.83203125" style="6" customWidth="1"/>
    <col min="11" max="11" width="15.83203125" style="6" customWidth="1"/>
    <col min="12" max="12" width="15.5" style="6" customWidth="1"/>
    <col min="13" max="13" width="14.6640625" style="6" customWidth="1"/>
    <col min="14" max="14" width="11.83203125" style="6" customWidth="1"/>
    <col min="15" max="15" width="13" style="6" customWidth="1"/>
    <col min="16" max="16" width="7.5" style="6" customWidth="1"/>
    <col min="17" max="17" width="8.33203125" style="6" customWidth="1"/>
    <col min="18" max="18" width="12.5" style="6" customWidth="1"/>
    <col min="19" max="19" width="12.6640625" style="6" customWidth="1"/>
    <col min="20" max="20" width="11.6640625" style="6" customWidth="1"/>
    <col min="21" max="21" width="13.83203125" style="6" customWidth="1"/>
    <col min="22" max="22" width="12.83203125" style="6" customWidth="1"/>
    <col min="23" max="23" width="14.83203125" style="6" customWidth="1"/>
    <col min="24" max="24" width="13.33203125" style="6" customWidth="1"/>
    <col min="25" max="25" width="15.33203125" style="6" customWidth="1"/>
    <col min="26" max="26" width="15.1640625" style="6" customWidth="1"/>
    <col min="27" max="27" width="14.6640625" style="6" customWidth="1"/>
    <col min="28" max="28" width="14" style="6" customWidth="1"/>
    <col min="29" max="29" width="13.83203125" style="6" customWidth="1"/>
    <col min="30" max="30" width="15.1640625" style="6" customWidth="1"/>
    <col min="31" max="31" width="8.5" style="6" customWidth="1"/>
    <col min="32" max="32" width="6" style="6" customWidth="1"/>
    <col min="33" max="33" width="10.1640625" style="6" customWidth="1"/>
    <col min="34" max="34" width="7.6640625" style="6" customWidth="1"/>
    <col min="35" max="35" width="21.6640625" style="6" customWidth="1"/>
    <col min="36" max="36" width="7.1640625" style="6" customWidth="1"/>
    <col min="37" max="37" width="8.83203125" style="6" customWidth="1"/>
    <col min="38" max="38" width="7" style="6" customWidth="1"/>
    <col min="39" max="39" width="7.1640625" customWidth="1"/>
    <col min="81" max="81" width="22.1640625" bestFit="1" customWidth="1"/>
  </cols>
  <sheetData>
    <row r="1" spans="1:39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0" t="s">
        <v>193</v>
      </c>
      <c r="J1" s="200" t="s">
        <v>194</v>
      </c>
      <c r="K1" s="200" t="s">
        <v>195</v>
      </c>
      <c r="L1" s="200" t="s">
        <v>196</v>
      </c>
      <c r="M1" s="200" t="s">
        <v>197</v>
      </c>
      <c r="N1" s="200" t="s">
        <v>198</v>
      </c>
      <c r="O1" s="200" t="s">
        <v>199</v>
      </c>
      <c r="P1" s="200" t="s">
        <v>200</v>
      </c>
      <c r="Q1" s="200" t="s">
        <v>201</v>
      </c>
      <c r="R1" s="200" t="s">
        <v>202</v>
      </c>
      <c r="S1" s="200" t="s">
        <v>203</v>
      </c>
      <c r="T1" s="200" t="s">
        <v>166</v>
      </c>
      <c r="U1" s="200" t="s">
        <v>204</v>
      </c>
      <c r="V1" s="200" t="s">
        <v>205</v>
      </c>
      <c r="W1" s="200" t="s">
        <v>206</v>
      </c>
      <c r="X1" s="200" t="s">
        <v>207</v>
      </c>
      <c r="Y1" s="200" t="s">
        <v>208</v>
      </c>
      <c r="Z1" s="200" t="s">
        <v>209</v>
      </c>
      <c r="AA1" s="200" t="s">
        <v>210</v>
      </c>
      <c r="AB1" s="200" t="s">
        <v>211</v>
      </c>
      <c r="AC1" s="200" t="s">
        <v>212</v>
      </c>
      <c r="AD1" s="200" t="s">
        <v>213</v>
      </c>
      <c r="AE1" s="200" t="s">
        <v>214</v>
      </c>
      <c r="AF1" s="200" t="s">
        <v>215</v>
      </c>
      <c r="AG1" s="200" t="s">
        <v>216</v>
      </c>
      <c r="AH1" s="200" t="s">
        <v>217</v>
      </c>
      <c r="AI1" s="200" t="s">
        <v>218</v>
      </c>
      <c r="AJ1" s="200" t="s">
        <v>219</v>
      </c>
      <c r="AK1" s="200" t="s">
        <v>220</v>
      </c>
      <c r="AL1" s="200" t="s">
        <v>221</v>
      </c>
      <c r="AM1" s="200" t="s">
        <v>222</v>
      </c>
    </row>
    <row r="2" spans="1:39" x14ac:dyDescent="0.15">
      <c r="A2" t="s">
        <v>38</v>
      </c>
      <c r="B2" s="10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9" x14ac:dyDescent="0.15">
      <c r="A3" t="s">
        <v>40</v>
      </c>
      <c r="B3" s="10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9" x14ac:dyDescent="0.15">
      <c r="A4" t="s">
        <v>41</v>
      </c>
      <c r="B4" s="10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9" x14ac:dyDescent="0.15">
      <c r="A5" s="199" t="s">
        <v>193</v>
      </c>
      <c r="B5" s="10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9" x14ac:dyDescent="0.15">
      <c r="A6" s="199" t="s">
        <v>194</v>
      </c>
      <c r="B6" s="10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9" x14ac:dyDescent="0.15">
      <c r="A7" s="199" t="s">
        <v>195</v>
      </c>
      <c r="B7" s="10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9" x14ac:dyDescent="0.15">
      <c r="A8" s="199" t="s">
        <v>196</v>
      </c>
      <c r="B8" s="10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9" x14ac:dyDescent="0.15">
      <c r="A9" s="199" t="s">
        <v>197</v>
      </c>
      <c r="B9" s="10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9" x14ac:dyDescent="0.15">
      <c r="A10" s="199" t="s">
        <v>198</v>
      </c>
      <c r="B10" s="10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9" x14ac:dyDescent="0.15">
      <c r="A11" s="199" t="s">
        <v>199</v>
      </c>
      <c r="B11" s="10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9" x14ac:dyDescent="0.15">
      <c r="A12" s="199" t="s">
        <v>200</v>
      </c>
      <c r="B12" s="10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9" x14ac:dyDescent="0.15">
      <c r="A13" s="199" t="s">
        <v>201</v>
      </c>
      <c r="B13" s="10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9" x14ac:dyDescent="0.15">
      <c r="A14" s="199" t="s">
        <v>202</v>
      </c>
      <c r="B14" s="10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9" x14ac:dyDescent="0.15">
      <c r="A15" s="199" t="s">
        <v>203</v>
      </c>
      <c r="B15" s="10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9" x14ac:dyDescent="0.15">
      <c r="A16" s="199" t="s">
        <v>166</v>
      </c>
      <c r="B16" s="10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9" t="s">
        <v>204</v>
      </c>
      <c r="B17" s="10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9" t="s">
        <v>205</v>
      </c>
      <c r="B18" s="10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9" t="s">
        <v>206</v>
      </c>
      <c r="B19" s="10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9" t="s">
        <v>207</v>
      </c>
      <c r="B20" s="10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9" t="s">
        <v>208</v>
      </c>
      <c r="B21" s="10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9" t="s">
        <v>209</v>
      </c>
      <c r="B22" s="10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9" t="s">
        <v>210</v>
      </c>
      <c r="B23" s="10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9" t="s">
        <v>211</v>
      </c>
      <c r="B24" s="107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9" t="s">
        <v>212</v>
      </c>
      <c r="B25" s="107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9" t="s">
        <v>213</v>
      </c>
      <c r="B26" s="107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9" t="s">
        <v>214</v>
      </c>
      <c r="B27" s="107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9" t="s">
        <v>215</v>
      </c>
      <c r="B28" s="107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9" t="s">
        <v>216</v>
      </c>
      <c r="B29" s="107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9" t="s">
        <v>217</v>
      </c>
      <c r="B30" s="107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9" t="s">
        <v>218</v>
      </c>
      <c r="B31" s="107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9" t="s">
        <v>219</v>
      </c>
      <c r="B32" s="107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9" t="s">
        <v>220</v>
      </c>
      <c r="B33" s="107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9" t="s">
        <v>221</v>
      </c>
      <c r="B34" s="107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9" t="s">
        <v>222</v>
      </c>
      <c r="B35" s="107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B36"/>
      <c r="C36"/>
      <c r="D36"/>
    </row>
    <row r="37" spans="1:38" ht="15" customHeight="1" x14ac:dyDescent="0.15">
      <c r="B37"/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2022-10-24T04:36:48Z</dcterms:modified>
</cp:coreProperties>
</file>