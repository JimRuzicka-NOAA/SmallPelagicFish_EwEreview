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F45B8A95-D64D-204E-A94C-432759556729}" xr6:coauthVersionLast="45" xr6:coauthVersionMax="45" xr10:uidLastSave="{00000000-0000-0000-0000-000000000000}"/>
  <bookViews>
    <workbookView xWindow="0" yWindow="460" windowWidth="25600" windowHeight="14240" tabRatio="728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Main!$C$2:$N$35</definedName>
    <definedName name="matDetritus">Detritus!$C$2:$E$35</definedName>
    <definedName name="matDiet">Diets!$B$2:$AF$35</definedName>
    <definedName name="matDiscards">Discards!$C$2:$C$34</definedName>
    <definedName name="matFishery">Fishing!$C$2:$C$34</definedName>
    <definedName name="matFishing">Fishing!#REF!</definedName>
    <definedName name="matMort">Mortalities!$A$1:$AK$34</definedName>
    <definedName name="matOut">MainOutputs!$A$2:$I$35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<sst xmlns="http://schemas.openxmlformats.org/spreadsheetml/2006/main" count="995" uniqueCount="231">
  <si>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</si>
  <si>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</si>
  <si>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</si>
  <si>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</si>
  <si>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</si>
  <si>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</si>
  <si>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</si>
  <si>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</si>
  <si>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</si>
  <si>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</si>
  <si>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</si>
  <si>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</si>
  <si>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</si>
  <si>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</si>
  <si>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</si>
  <si>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</si>
  <si>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</si>
  <si>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</si>
  <si>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</si>
  <si>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</si>
  <si>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</si>
  <si>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</si>
  <si>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</si>
  <si>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</si>
  <si>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</si>
  <si>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</si>
  <si>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</si>
  <si>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</si>
  <si>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</si>
  <si>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</si>
  <si>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</si>
  <si>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</si>
  <si>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</si>
  <si>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</si>
  <si>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</si>
  <si>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</si>
  <si>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</si>
  <si>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</si>
  <si>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</si>
  <si>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</si>
  <si>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</si>
  <si>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</si>
  <si>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</si>
  <si>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</si>
  <si>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</si>
  <si>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</si>
  <si>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</si>
  <si>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</si>
  <si>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</si>
  <si>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</si>
  <si>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</si>
  <si>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</si>
  <si>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</si>
  <si>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</si>
  <si>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</si>
  <si>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</si>
  <si>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</si>
  <si>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</si>
  <si>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</si>
  <si>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</si>
  <si>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</si>
  <si>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</si>
  <si>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</si>
  <si>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</si>
  <si>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</si>
  <si>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</si>
  <si>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</si>
  <si>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</si>
  <si>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</si>
  <si>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</si>
  <si>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</si>
  <si>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</si>
  <si>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</si>
  <si>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</si>
  <si>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</si>
  <si>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</si>
  <si>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</si>
  <si>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</si>
  <si>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</si>
  <si>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</si>
  <si>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</si>
  <si>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</si>
  <si>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</si>
  <si>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</si>
  <si>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</si>
  <si>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</si>
  <si>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</si>
  <si>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</si>
  <si>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</si>
  <si>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</si>
  <si>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</si>
  <si>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</si>
  <si>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</si>
  <si>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</si>
  <si>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</si>
  <si>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</si>
  <si>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</si>
  <si>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</si>
  <si>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</si>
  <si>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</si>
  <si>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</si>
  <si>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</si>
  <si>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</si>
  <si>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</si>
  <si>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</si>
  <si>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</si>
  <si>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</si>
  <si>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</si>
  <si>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</si>
  <si>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</si>
  <si>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</si>
  <si>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</si>
  <si>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</si>
  <si>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</si>
  <si>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</si>
  <si>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</si>
  <si>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</si>
  <si>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</si>
  <si>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</si>
  <si>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</si>
  <si>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</si>
  <si>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</si>
  <si>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</si>
  <si>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</si>
  <si>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</si>
  <si>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</si>
  <si>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</si>
  <si>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</si>
  <si>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</si>
  <si>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</si>
  <si>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</si>
  <si>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</si>
  <si>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</si>
  <si>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</si>
  <si>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</si>
  <si>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</si>
  <si>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</si>
  <si>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</si>
  <si>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</si>
  <si>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</si>
  <si>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</si>
  <si>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</si>
  <si>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</si>
  <si>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</si>
  <si>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</si>
  <si>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</si>
  <si>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</si>
  <si>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</si>
  <si>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</si>
  <si>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</si>
  <si>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</si>
  <si>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</si>
  <si>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</si>
  <si>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</si>
  <si>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</si>
  <si>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</si>
  <si>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</si>
  <si>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</si>
  <si>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</si>
  <si>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</si>
  <si>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</si>
  <si>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</si>
  <si>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</si>
  <si>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</si>
  <si>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</si>
  <si>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</si>
  <si>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</si>
  <si>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</si>
  <si>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</si>
  <si>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</si>
  <si>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</si>
  <si>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</si>
  <si>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</si>
  <si>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</si>
  <si>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</si>
  <si>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</si>
  <si>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</si>
  <si>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</si>
  <si>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</si>
  <si>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</si>
  <si>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</si>
  <si>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</si>
  <si>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</si>
  <si>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</si>
  <si>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</si>
  <si>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Northern Gulf of St Lawrence</t>
  </si>
  <si>
    <t>Canada</t>
  </si>
  <si>
    <t>BOX(-67.3675271156679 47.2084252641828,-56.4318334678463 51.6577516012867)</t>
  </si>
  <si>
    <t>channel/strait</t>
  </si>
  <si>
    <t>WetWeight</t>
  </si>
  <si>
    <t>; 2007-10-12 10:32:19</t>
  </si>
  <si>
    <t>Savenkoff C.,Bourdages H.,Castonguay M.,Morissette L.,Chabot D.,Hammill M.O.(2004). Input data and parameter estimates for ecosystem models of the northern Gulf of St. Lawrence (mid-1990s) Canadian Technical Report of Fisheries and Aquatic Sciences</t>
  </si>
  <si>
    <t>Cetacea</t>
  </si>
  <si>
    <t>Harp seals</t>
  </si>
  <si>
    <t>Hooded seals</t>
  </si>
  <si>
    <t>Grey seals</t>
  </si>
  <si>
    <t>Harbour seals</t>
  </si>
  <si>
    <t>Seabirds</t>
  </si>
  <si>
    <t>Large cod</t>
  </si>
  <si>
    <t>Small cod</t>
  </si>
  <si>
    <t>L. Greenland halibut</t>
  </si>
  <si>
    <t>S. Greenland halibut</t>
  </si>
  <si>
    <t>American plaice</t>
  </si>
  <si>
    <t>Flounders</t>
  </si>
  <si>
    <t>Skates</t>
  </si>
  <si>
    <t>Redfish</t>
  </si>
  <si>
    <t>L. demersals</t>
  </si>
  <si>
    <t>S. demersals</t>
  </si>
  <si>
    <t>Capelin</t>
  </si>
  <si>
    <t>Sand lance</t>
  </si>
  <si>
    <t>Arctic cod</t>
  </si>
  <si>
    <t>Large pelagics</t>
  </si>
  <si>
    <t>Piscivorous small pelagics</t>
  </si>
  <si>
    <t>Planktivorous small pelagics</t>
  </si>
  <si>
    <t>Shrimp</t>
  </si>
  <si>
    <t>Large crustacea</t>
  </si>
  <si>
    <t>Echinoderms</t>
  </si>
  <si>
    <t>Molluscs</t>
  </si>
  <si>
    <t>Polychaetes</t>
  </si>
  <si>
    <t>Other bent. invert.</t>
  </si>
  <si>
    <t>Large zooplankton</t>
  </si>
  <si>
    <t>Small zooplankton</t>
  </si>
  <si>
    <t>Phytoplankton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</si>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</sst>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37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FF70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D6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CA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E7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ED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FFDA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FFF500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C9FF00"/>
        <bgColor indexed="64"/>
      </patternFill>
    </fill>
    <fill>
      <patternFill patternType="solid">
        <fgColor rgb="FFFFD8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60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1" fillId="0" borderId="0" xfId="0" applyFont="1" applyAlignment="1">
      <alignment horizontal="center"/>
    </xf>
    <xf numFmtId="0" fontId="0" fillId="35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7" borderId="0" xfId="0" applyFill="1"/>
    <xf numFmtId="0" fontId="0" fillId="0" borderId="0" xfId="0" applyFont="1" applyFill="1" applyAlignment="1">
      <alignment horizontal="center"/>
    </xf>
    <xf numFmtId="0" fontId="0" fillId="38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6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6" borderId="3" xfId="0" applyNumberFormat="1" applyFont="1" applyFill="1" applyBorder="1"/>
    <xf numFmtId="0" fontId="0" fillId="36" borderId="2" xfId="0" applyFont="1" applyFill="1" applyBorder="1"/>
    <xf numFmtId="0" fontId="0" fillId="36" borderId="3" xfId="0" applyFont="1" applyFill="1" applyBorder="1"/>
    <xf numFmtId="0" fontId="0" fillId="36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3" borderId="0" xfId="0" applyFill="1"/>
    <xf numFmtId="0" fontId="0" fillId="44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14.8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164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165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4" x14ac:dyDescent="0.15">
      <c r="B49" s="48" t="s">
        <v>44</v>
      </c>
      <c r="C49" s="32">
        <v>5</v>
      </c>
    </row>
    <row r="50" spans="2:4" x14ac:dyDescent="0.15">
      <c r="B50" s="48"/>
      <c r="C50" s="32"/>
    </row>
    <row r="51" spans="2:4" ht="14" thickBot="1" x14ac:dyDescent="0.2">
      <c r="B51" s="49" t="s">
        <v>73</v>
      </c>
      <c r="C51" s="33">
        <v>7</v>
      </c>
    </row>
    <row r="53" spans="2:4" x14ac:dyDescent="0.15">
      <c r="B53" s="172" t="s">
        <v>171</v>
      </c>
      <c r="C53" s="107">
        <v>462</v>
      </c>
      <c r="D53" s="107"/>
    </row>
    <row r="54" spans="2:4" x14ac:dyDescent="0.15">
      <c r="B54" s="172" t="s">
        <v>172</v>
      </c>
      <c r="C54" s="172" t="s">
        <v>185</v>
      </c>
      <c r="D54" s="107"/>
    </row>
    <row r="55" spans="2:4" x14ac:dyDescent="0.15">
      <c r="B55" s="172" t="s">
        <v>173</v>
      </c>
      <c r="C55" s="172" t="s">
        <v>186</v>
      </c>
      <c r="D55" s="107"/>
    </row>
    <row r="56" spans="2:4" x14ac:dyDescent="0.15">
      <c r="B56" s="172" t="s">
        <v>174</v>
      </c>
      <c r="C56" s="107">
        <v>103812</v>
      </c>
      <c r="D56" s="107"/>
    </row>
    <row r="57" spans="2:4" x14ac:dyDescent="0.15">
      <c r="B57" s="172" t="s">
        <v>175</v>
      </c>
      <c r="C57" s="172" t="s">
        <v>187</v>
      </c>
      <c r="D57" s="107"/>
    </row>
    <row r="58" spans="2:4" x14ac:dyDescent="0.15">
      <c r="B58" s="172" t="s">
        <v>176</v>
      </c>
      <c r="C58" s="172" t="s">
        <v>188</v>
      </c>
      <c r="D58" s="107"/>
    </row>
    <row r="59" spans="2:4" x14ac:dyDescent="0.15">
      <c r="B59" s="172" t="s">
        <v>177</v>
      </c>
      <c r="C59" s="172" t="s">
        <v>189</v>
      </c>
      <c r="D59" s="107"/>
    </row>
    <row r="60" spans="2:4" x14ac:dyDescent="0.15">
      <c r="B60" s="172" t="s">
        <v>178</v>
      </c>
      <c r="C60" s="172" t="s">
        <v>190</v>
      </c>
      <c r="D60" s="107"/>
    </row>
    <row r="61" spans="2:4" x14ac:dyDescent="0.15">
      <c r="B61" s="172" t="s">
        <v>179</v>
      </c>
      <c r="C61" s="107">
        <v>32</v>
      </c>
      <c r="D61" s="107"/>
    </row>
    <row r="62" spans="2:4" x14ac:dyDescent="0.15">
      <c r="B62" s="172" t="s">
        <v>180</v>
      </c>
      <c r="C62" s="107">
        <v>1</v>
      </c>
      <c r="D62" s="107"/>
    </row>
    <row r="63" spans="2:4" x14ac:dyDescent="0.15">
      <c r="B63" s="172" t="s">
        <v>181</v>
      </c>
      <c r="C63" s="107">
        <v>1990</v>
      </c>
      <c r="D63" s="107"/>
    </row>
    <row r="64" spans="2:4" x14ac:dyDescent="0.15">
      <c r="B64" s="172" t="s">
        <v>182</v>
      </c>
      <c r="C64" s="107">
        <v>1</v>
      </c>
      <c r="D64" s="107"/>
    </row>
    <row r="65" spans="2:4" x14ac:dyDescent="0.15">
      <c r="B65" s="172" t="s">
        <v>183</v>
      </c>
      <c r="C65" s="172" t="s">
        <v>191</v>
      </c>
      <c r="D65" s="107"/>
    </row>
    <row r="66" spans="2:4" x14ac:dyDescent="0.15">
      <c r="B66" s="172" t="s">
        <v>184</v>
      </c>
      <c r="D66" s="107"/>
    </row>
    <row r="67" spans="2:4" x14ac:dyDescent="0.15">
      <c r="B67" s="107"/>
      <c r="C67" s="107"/>
      <c r="D67" s="107"/>
    </row>
    <row r="68" spans="2:4" x14ac:dyDescent="0.15">
      <c r="B68" s="107"/>
      <c r="C68" s="107"/>
      <c r="D68" s="107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5" sqref="Q5"/>
    </sheetView>
  </sheetViews>
  <sheetFormatPr baseColWidth="10" defaultColWidth="8.83203125" defaultRowHeight="15" customHeight="1" x14ac:dyDescent="0.15"/>
  <cols>
    <col min="1" max="1" width="22.5" style="79" customWidth="1"/>
    <col min="2" max="3" width="3.33203125" style="79" customWidth="1"/>
    <col min="4" max="4" width="14.33203125" style="79" customWidth="1"/>
    <col min="5" max="5" width="24.6640625" style="79" bestFit="1" customWidth="1"/>
    <col min="6" max="6" width="2.33203125" style="79" bestFit="1" customWidth="1"/>
    <col min="7" max="7" width="10.83203125" style="79" bestFit="1" customWidth="1"/>
    <col min="8" max="8" width="12.83203125" style="79" customWidth="1"/>
    <col min="9" max="9" width="10.83203125" style="79" customWidth="1"/>
    <col min="10" max="11" width="13.83203125" style="79" customWidth="1"/>
    <col min="12" max="12" width="2.33203125" style="79" customWidth="1"/>
    <col min="13" max="13" width="6.83203125" style="79" customWidth="1"/>
    <col min="14" max="14" width="2.33203125" style="79" customWidth="1"/>
    <col min="16" max="25" width="8.83203125" style="79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9"/>
  </cols>
  <sheetData>
    <row r="1" spans="1:46" s="96" customFormat="1" ht="15" customHeight="1" x14ac:dyDescent="0.15">
      <c r="A1" s="75" t="s">
        <v>18</v>
      </c>
      <c r="C1" s="76" t="s">
        <v>8</v>
      </c>
      <c r="D1" s="75" t="s">
        <v>23</v>
      </c>
      <c r="E1" s="75" t="s">
        <v>0</v>
      </c>
      <c r="F1" s="75" t="s">
        <v>7</v>
      </c>
      <c r="G1" s="77" t="s">
        <v>13</v>
      </c>
      <c r="H1" s="75" t="s">
        <v>1</v>
      </c>
      <c r="I1" s="75" t="s">
        <v>2</v>
      </c>
      <c r="J1" s="75" t="s">
        <v>14</v>
      </c>
      <c r="K1" s="75" t="s">
        <v>3</v>
      </c>
      <c r="L1" s="75" t="s">
        <v>4</v>
      </c>
      <c r="M1" s="75" t="s">
        <v>5</v>
      </c>
      <c r="N1" s="75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6">
        <v>1</v>
      </c>
      <c r="D2"/>
      <c r="E2" s="173" t="s">
        <v>192</v>
      </c>
      <c r="F2" s="79">
        <v>0</v>
      </c>
      <c r="G2" s="79">
        <v>0.23311000000000001</v>
      </c>
      <c r="H2" s="79">
        <v>5.8287702500000003E-2</v>
      </c>
      <c r="I2" s="6">
        <v>5.9558563199999996</v>
      </c>
      <c r="J2" s="6">
        <v>2.7231018999999999E-2</v>
      </c>
      <c r="K2" s="6">
        <v>9.7866199999999993E-3</v>
      </c>
      <c r="L2" s="6">
        <v>0</v>
      </c>
      <c r="M2" s="79">
        <v>0.29380000000000001</v>
      </c>
      <c r="N2" s="79">
        <v>0</v>
      </c>
    </row>
    <row r="3" spans="1:46" ht="15" customHeight="1" x14ac:dyDescent="0.15">
      <c r="A3" s="1" t="s">
        <v>9</v>
      </c>
      <c r="B3" s="4">
        <v>31</v>
      </c>
      <c r="C3" s="79">
        <v>2</v>
      </c>
      <c r="D3"/>
      <c r="E3" s="173" t="s">
        <v>193</v>
      </c>
      <c r="F3" s="79">
        <v>0</v>
      </c>
      <c r="G3" s="79">
        <v>0.12741</v>
      </c>
      <c r="H3" s="79">
        <v>6.4316150000000002E-2</v>
      </c>
      <c r="I3" s="79">
        <v>6.9375419999999997</v>
      </c>
      <c r="J3" s="79">
        <v>0.78100970000000003</v>
      </c>
      <c r="K3" s="79">
        <v>9.2707410000000007E-3</v>
      </c>
      <c r="L3" s="79">
        <v>0</v>
      </c>
      <c r="M3" s="79">
        <v>0.27700000000000002</v>
      </c>
      <c r="N3" s="79">
        <v>0</v>
      </c>
    </row>
    <row r="4" spans="1:46" ht="15" customHeight="1" x14ac:dyDescent="0.15">
      <c r="A4" s="1" t="s">
        <v>10</v>
      </c>
      <c r="B4" s="4">
        <v>2</v>
      </c>
      <c r="C4" s="79">
        <v>3</v>
      </c>
      <c r="D4"/>
      <c r="E4" s="173" t="s">
        <v>194</v>
      </c>
      <c r="F4" s="79">
        <v>0</v>
      </c>
      <c r="G4" s="79">
        <v>5.2399999999999999E-3</v>
      </c>
      <c r="H4" s="79">
        <v>9.3314789999999995E-2</v>
      </c>
      <c r="I4" s="79">
        <v>10.024330000000001</v>
      </c>
      <c r="J4" s="79">
        <v>4.60151434E-2</v>
      </c>
      <c r="K4" s="79">
        <v>9.308831E-3</v>
      </c>
      <c r="L4" s="79">
        <v>0</v>
      </c>
      <c r="M4" s="79">
        <v>0.29370000000000002</v>
      </c>
      <c r="N4" s="79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9">
        <v>4</v>
      </c>
      <c r="D5"/>
      <c r="E5" s="173" t="s">
        <v>195</v>
      </c>
      <c r="F5" s="79">
        <v>0</v>
      </c>
      <c r="G5" s="79">
        <v>3.4529999999999998E-2</v>
      </c>
      <c r="H5" s="79">
        <v>4.3245717900000001E-2</v>
      </c>
      <c r="I5" s="79">
        <v>4.9835229999999999</v>
      </c>
      <c r="J5" s="79">
        <v>9.7771709999999994E-3</v>
      </c>
      <c r="K5" s="79">
        <v>8.6777409999999992E-3</v>
      </c>
      <c r="L5" s="79">
        <v>0</v>
      </c>
      <c r="M5" s="79">
        <v>0.3</v>
      </c>
      <c r="N5" s="79">
        <v>0</v>
      </c>
      <c r="P5" s="70"/>
      <c r="Q5" s="70"/>
      <c r="R5" s="70"/>
    </row>
    <row r="6" spans="1:46" ht="15" customHeight="1" thickBot="1" x14ac:dyDescent="0.2">
      <c r="B6" s="1"/>
      <c r="C6" s="79">
        <v>5</v>
      </c>
      <c r="D6"/>
      <c r="E6" s="173" t="s">
        <v>196</v>
      </c>
      <c r="F6" s="79">
        <v>0</v>
      </c>
      <c r="G6" s="79">
        <v>4.1700000000000001E-3</v>
      </c>
      <c r="H6" s="79">
        <v>4.6904496800000001E-2</v>
      </c>
      <c r="I6" s="79">
        <v>5.2795120000000004</v>
      </c>
      <c r="J6" s="79">
        <v>0</v>
      </c>
      <c r="K6" s="79">
        <v>8.8842480000000008E-3</v>
      </c>
      <c r="L6" s="79">
        <v>0</v>
      </c>
      <c r="M6" s="79">
        <v>0.28460000000000002</v>
      </c>
      <c r="N6" s="79">
        <v>0</v>
      </c>
      <c r="P6" s="70"/>
      <c r="Q6" s="70"/>
      <c r="R6" s="70"/>
      <c r="W6" s="35" t="s">
        <v>31</v>
      </c>
      <c r="X6" s="51">
        <f>MAX(MainOutputs!G:G)</f>
        <v>0.95028227567672729</v>
      </c>
    </row>
    <row r="7" spans="1:46" ht="15" customHeight="1" x14ac:dyDescent="0.15">
      <c r="A7" s="2" t="s">
        <v>27</v>
      </c>
      <c r="B7" s="79">
        <f ca="1">COUNTIF(OFFSET(cornerDiets,1,1,NumLiving+NumDead+1,NumLiving+NumDead),"&gt;0")+NumLiving+NumDead+1</f>
        <v>346</v>
      </c>
      <c r="C7" s="79">
        <v>6</v>
      </c>
      <c r="D7"/>
      <c r="E7" s="173" t="s">
        <v>197</v>
      </c>
      <c r="F7" s="79">
        <v>0</v>
      </c>
      <c r="G7" s="79">
        <v>4.0200000000000001E-3</v>
      </c>
      <c r="H7" s="79">
        <v>0.30719667699999997</v>
      </c>
      <c r="I7" s="79">
        <v>69.378590000000003</v>
      </c>
      <c r="J7" s="79">
        <v>8.0976210000000007E-2</v>
      </c>
      <c r="K7" s="79">
        <v>4.4278306899999996E-3</v>
      </c>
      <c r="L7" s="79">
        <v>0</v>
      </c>
      <c r="M7" s="79">
        <v>0.27710000000000001</v>
      </c>
      <c r="N7" s="79">
        <v>0</v>
      </c>
      <c r="P7" s="70"/>
      <c r="Q7" s="70"/>
      <c r="R7" s="70"/>
    </row>
    <row r="8" spans="1:46" ht="15" customHeight="1" x14ac:dyDescent="0.15">
      <c r="A8" s="2" t="s">
        <v>28</v>
      </c>
      <c r="B8" s="79">
        <f ca="1">COUNTIF(OFFSET(cornerFishing,1,2,NumLiving+NumDead,NumGears),"&gt;0")+NumDead*COUNTIF(OFFSET(cornerDiscards,1,2,NumLiving+NumDead,NumGears),"&gt;0")+NumLiving+NumDead+1</f>
        <v>55</v>
      </c>
      <c r="C8" s="79">
        <v>7</v>
      </c>
      <c r="D8"/>
      <c r="E8" s="173" t="s">
        <v>198</v>
      </c>
      <c r="F8" s="79">
        <v>0</v>
      </c>
      <c r="G8" s="79">
        <v>0.26782</v>
      </c>
      <c r="H8" s="79">
        <v>0.280423641</v>
      </c>
      <c r="I8" s="79">
        <v>1.3786274199999999</v>
      </c>
      <c r="J8" s="79">
        <v>0.70121955899999999</v>
      </c>
      <c r="K8" s="79">
        <v>0.203407854</v>
      </c>
      <c r="L8" s="79">
        <v>0</v>
      </c>
      <c r="M8" s="79">
        <v>0.18809999999999999</v>
      </c>
      <c r="N8" s="79">
        <v>0</v>
      </c>
      <c r="P8" s="70"/>
      <c r="Q8" s="70"/>
      <c r="R8" s="70"/>
    </row>
    <row r="9" spans="1:46" ht="15" customHeight="1" x14ac:dyDescent="0.15">
      <c r="B9" s="1"/>
      <c r="C9" s="79">
        <v>8</v>
      </c>
      <c r="D9"/>
      <c r="E9" s="173" t="s">
        <v>199</v>
      </c>
      <c r="F9" s="79">
        <v>0</v>
      </c>
      <c r="G9" s="79">
        <v>6.0389999999999999E-2</v>
      </c>
      <c r="H9" s="79">
        <v>0.93630369999999996</v>
      </c>
      <c r="I9" s="79">
        <v>4.3679750000000004</v>
      </c>
      <c r="J9" s="79">
        <v>0.94724494199999998</v>
      </c>
      <c r="K9" s="79">
        <v>0.214356452</v>
      </c>
      <c r="L9" s="79">
        <v>0</v>
      </c>
      <c r="M9" s="79">
        <v>0.21740000000000001</v>
      </c>
      <c r="N9" s="79">
        <v>0</v>
      </c>
      <c r="P9" s="70"/>
      <c r="Q9" s="70"/>
      <c r="R9" s="70"/>
    </row>
    <row r="10" spans="1:46" ht="15" customHeight="1" x14ac:dyDescent="0.15">
      <c r="B10" s="1"/>
      <c r="C10" s="79">
        <v>9</v>
      </c>
      <c r="D10"/>
      <c r="E10" s="173" t="s">
        <v>200</v>
      </c>
      <c r="F10" s="79">
        <v>0</v>
      </c>
      <c r="G10" s="79">
        <v>0.23119000000000001</v>
      </c>
      <c r="H10" s="79">
        <v>0.14699770000000001</v>
      </c>
      <c r="I10" s="79">
        <v>1.0225023</v>
      </c>
      <c r="J10" s="79">
        <v>0.84850084800000003</v>
      </c>
      <c r="K10" s="79">
        <v>0.14376270799999999</v>
      </c>
      <c r="L10" s="79">
        <v>0</v>
      </c>
      <c r="M10" s="79">
        <v>0.2155</v>
      </c>
      <c r="N10" s="79">
        <v>0</v>
      </c>
    </row>
    <row r="11" spans="1:46" ht="15" customHeight="1" x14ac:dyDescent="0.15">
      <c r="C11" s="79">
        <v>10</v>
      </c>
      <c r="D11"/>
      <c r="E11" s="173" t="s">
        <v>201</v>
      </c>
      <c r="F11" s="79">
        <v>0</v>
      </c>
      <c r="G11" s="79">
        <v>0.20426</v>
      </c>
      <c r="H11" s="79">
        <v>0.39123845099999999</v>
      </c>
      <c r="I11" s="79">
        <v>2.0415537399999999</v>
      </c>
      <c r="J11" s="79">
        <v>0.80481964299999997</v>
      </c>
      <c r="K11" s="79">
        <v>0.191637591</v>
      </c>
      <c r="L11" s="79">
        <v>0</v>
      </c>
      <c r="M11" s="79">
        <v>0.22520000000000001</v>
      </c>
      <c r="N11" s="79">
        <v>0</v>
      </c>
    </row>
    <row r="12" spans="1:46" ht="15" customHeight="1" x14ac:dyDescent="0.15">
      <c r="C12" s="79">
        <v>11</v>
      </c>
      <c r="D12"/>
      <c r="E12" s="173" t="s">
        <v>202</v>
      </c>
      <c r="F12" s="79">
        <v>0</v>
      </c>
      <c r="G12" s="79">
        <v>0.96362000000000003</v>
      </c>
      <c r="H12" s="79">
        <v>0.211638466</v>
      </c>
      <c r="I12" s="79">
        <v>1.01566315</v>
      </c>
      <c r="J12" s="79">
        <v>0.89032690000000003</v>
      </c>
      <c r="K12" s="79">
        <v>0.20837466399999999</v>
      </c>
      <c r="L12" s="79">
        <v>0</v>
      </c>
      <c r="M12" s="79">
        <v>0.19400000000000001</v>
      </c>
      <c r="N12" s="79">
        <v>0</v>
      </c>
    </row>
    <row r="13" spans="1:46" ht="15" customHeight="1" x14ac:dyDescent="0.15">
      <c r="C13" s="79">
        <v>12</v>
      </c>
      <c r="D13"/>
      <c r="E13" s="173" t="s">
        <v>203</v>
      </c>
      <c r="F13" s="79">
        <v>0</v>
      </c>
      <c r="G13" s="79">
        <v>6.3619999999999996E-2</v>
      </c>
      <c r="H13" s="79">
        <v>0.31023406999999997</v>
      </c>
      <c r="I13" s="79">
        <v>1.30587542</v>
      </c>
      <c r="J13" s="79">
        <v>0.88139210000000001</v>
      </c>
      <c r="K13" s="79">
        <v>0.23756788700000001</v>
      </c>
      <c r="L13" s="79">
        <v>0</v>
      </c>
      <c r="M13" s="79">
        <v>0.18509999999999999</v>
      </c>
      <c r="N13" s="79">
        <v>0</v>
      </c>
    </row>
    <row r="14" spans="1:46" ht="15" customHeight="1" x14ac:dyDescent="0.15">
      <c r="C14" s="79">
        <v>13</v>
      </c>
      <c r="D14"/>
      <c r="E14" s="173" t="s">
        <v>204</v>
      </c>
      <c r="F14" s="79">
        <v>0</v>
      </c>
      <c r="G14" s="79">
        <v>0.16059999999999999</v>
      </c>
      <c r="H14" s="79">
        <v>0.23301944099999999</v>
      </c>
      <c r="I14" s="79">
        <v>1.1906639299999999</v>
      </c>
      <c r="J14" s="79">
        <v>0.90685570000000004</v>
      </c>
      <c r="K14" s="79">
        <v>0.19570547299999999</v>
      </c>
      <c r="L14" s="79">
        <v>0</v>
      </c>
      <c r="M14" s="79">
        <v>0.21310000000000001</v>
      </c>
      <c r="N14" s="79">
        <v>0</v>
      </c>
    </row>
    <row r="15" spans="1:46" ht="15" customHeight="1" x14ac:dyDescent="0.15">
      <c r="C15" s="79">
        <v>14</v>
      </c>
      <c r="D15"/>
      <c r="E15" s="173" t="s">
        <v>205</v>
      </c>
      <c r="F15" s="79">
        <v>0</v>
      </c>
      <c r="G15" s="79">
        <v>1.43222</v>
      </c>
      <c r="H15" s="79">
        <v>0.162441373</v>
      </c>
      <c r="I15" s="79">
        <v>1.01752245</v>
      </c>
      <c r="J15" s="79">
        <v>0.89085979999999998</v>
      </c>
      <c r="K15" s="79">
        <v>0.159644023</v>
      </c>
      <c r="L15" s="79">
        <v>0</v>
      </c>
      <c r="M15" s="79">
        <v>0.23930000000000001</v>
      </c>
      <c r="N15" s="79">
        <v>0</v>
      </c>
    </row>
    <row r="16" spans="1:46" ht="15" customHeight="1" x14ac:dyDescent="0.15">
      <c r="C16" s="79">
        <v>15</v>
      </c>
      <c r="D16"/>
      <c r="E16" s="173" t="s">
        <v>206</v>
      </c>
      <c r="F16" s="79">
        <v>0</v>
      </c>
      <c r="G16" s="79">
        <v>0.22156000000000001</v>
      </c>
      <c r="H16" s="79">
        <v>0.18005295099999999</v>
      </c>
      <c r="I16" s="79">
        <v>1.07754683</v>
      </c>
      <c r="J16" s="79">
        <v>0.93504446699999999</v>
      </c>
      <c r="K16" s="79">
        <v>0.167095244</v>
      </c>
      <c r="L16" s="79">
        <v>0</v>
      </c>
      <c r="M16" s="79">
        <v>0.21879999999999999</v>
      </c>
      <c r="N16" s="79">
        <v>0</v>
      </c>
    </row>
    <row r="17" spans="1:22" ht="15" customHeight="1" x14ac:dyDescent="0.15">
      <c r="C17" s="79">
        <v>16</v>
      </c>
      <c r="D17"/>
      <c r="E17" s="173" t="s">
        <v>207</v>
      </c>
      <c r="F17" s="79">
        <v>0</v>
      </c>
      <c r="G17" s="79">
        <v>0.24092</v>
      </c>
      <c r="H17" s="79">
        <v>0.41787871700000001</v>
      </c>
      <c r="I17" s="79">
        <v>1.4036659</v>
      </c>
      <c r="J17" s="79">
        <v>0.94959499999999997</v>
      </c>
      <c r="K17" s="79">
        <v>0.297705263</v>
      </c>
      <c r="L17" s="79">
        <v>0</v>
      </c>
      <c r="M17" s="79">
        <v>0.2233</v>
      </c>
      <c r="N17" s="79">
        <v>0</v>
      </c>
      <c r="V17" s="1" t="s">
        <v>30</v>
      </c>
    </row>
    <row r="18" spans="1:22" ht="15" customHeight="1" x14ac:dyDescent="0.15">
      <c r="C18" s="79">
        <v>17</v>
      </c>
      <c r="D18"/>
      <c r="E18" s="173" t="s">
        <v>208</v>
      </c>
      <c r="F18" s="79">
        <v>0</v>
      </c>
      <c r="G18" s="79">
        <v>16.673690000000001</v>
      </c>
      <c r="H18" s="79">
        <v>0.23443449999999999</v>
      </c>
      <c r="I18" s="79">
        <v>0.85360590000000003</v>
      </c>
      <c r="J18" s="79">
        <v>0.77889323200000005</v>
      </c>
      <c r="K18" s="79">
        <v>0.2746402</v>
      </c>
      <c r="L18" s="79">
        <v>0</v>
      </c>
      <c r="M18" s="79">
        <v>0.25740000000000002</v>
      </c>
      <c r="N18" s="79">
        <v>0</v>
      </c>
      <c r="V18" s="1"/>
    </row>
    <row r="19" spans="1:22" ht="15" customHeight="1" x14ac:dyDescent="0.15">
      <c r="C19" s="79">
        <v>18</v>
      </c>
      <c r="D19"/>
      <c r="E19" s="173" t="s">
        <v>209</v>
      </c>
      <c r="F19" s="79">
        <v>0</v>
      </c>
      <c r="G19" s="79">
        <v>0.12178</v>
      </c>
      <c r="H19" s="79">
        <v>1.1630116699999999</v>
      </c>
      <c r="I19" s="79">
        <v>4.1834292399999997</v>
      </c>
      <c r="J19" s="79">
        <v>0.93194454900000001</v>
      </c>
      <c r="K19" s="79">
        <v>0.278004378</v>
      </c>
      <c r="L19" s="79">
        <v>0</v>
      </c>
      <c r="M19" s="79">
        <v>0.16320000000000001</v>
      </c>
      <c r="N19" s="79">
        <v>0</v>
      </c>
    </row>
    <row r="20" spans="1:22" ht="15" customHeight="1" thickBot="1" x14ac:dyDescent="0.2">
      <c r="C20" s="79">
        <v>19</v>
      </c>
      <c r="D20"/>
      <c r="E20" s="173" t="s">
        <v>210</v>
      </c>
      <c r="F20" s="79">
        <v>0</v>
      </c>
      <c r="G20" s="79">
        <v>2.0570000000000001E-2</v>
      </c>
      <c r="H20" s="79">
        <v>1.0442652699999999</v>
      </c>
      <c r="I20" s="79">
        <v>4.6990036999999996</v>
      </c>
      <c r="J20" s="79">
        <v>0.91717034600000003</v>
      </c>
      <c r="K20" s="79">
        <v>0.22223120900000001</v>
      </c>
      <c r="L20" s="79">
        <v>0</v>
      </c>
      <c r="M20" s="79">
        <v>0.2099</v>
      </c>
      <c r="N20" s="79">
        <v>0</v>
      </c>
    </row>
    <row r="21" spans="1:22" ht="15" customHeight="1" thickBot="1" x14ac:dyDescent="0.2">
      <c r="A21" s="46" t="s">
        <v>137</v>
      </c>
      <c r="B21" s="97"/>
      <c r="C21" s="79">
        <v>20</v>
      </c>
      <c r="D21"/>
      <c r="E21" s="173" t="s">
        <v>211</v>
      </c>
      <c r="F21" s="79">
        <v>0</v>
      </c>
      <c r="G21" s="79">
        <v>3.9210000000000002E-2</v>
      </c>
      <c r="H21" s="79">
        <v>0.21007104200000001</v>
      </c>
      <c r="I21" s="79">
        <v>1.0368343600000001</v>
      </c>
      <c r="J21" s="79">
        <v>0.90297090000000002</v>
      </c>
      <c r="K21" s="79">
        <v>0.20260810900000001</v>
      </c>
      <c r="L21" s="79">
        <v>0</v>
      </c>
      <c r="M21" s="79">
        <v>0.19439999999999999</v>
      </c>
      <c r="N21" s="79">
        <v>0</v>
      </c>
    </row>
    <row r="22" spans="1:22" ht="15" customHeight="1" x14ac:dyDescent="0.15">
      <c r="A22" s="98" t="s">
        <v>58</v>
      </c>
      <c r="B22" s="99">
        <v>0</v>
      </c>
      <c r="C22" s="79">
        <v>21</v>
      </c>
      <c r="D22"/>
      <c r="E22" s="173" t="s">
        <v>212</v>
      </c>
      <c r="F22" s="79">
        <v>0</v>
      </c>
      <c r="G22" s="79">
        <v>0.55849000000000004</v>
      </c>
      <c r="H22" s="79">
        <v>0.35795631999999999</v>
      </c>
      <c r="I22" s="79">
        <v>1.67068434</v>
      </c>
      <c r="J22" s="79">
        <v>0.94924779999999997</v>
      </c>
      <c r="K22" s="79">
        <v>0.21425730000000001</v>
      </c>
      <c r="L22" s="79">
        <v>0</v>
      </c>
      <c r="M22" s="79">
        <v>0.2079</v>
      </c>
      <c r="N22" s="79">
        <v>0</v>
      </c>
    </row>
    <row r="23" spans="1:22" ht="15" customHeight="1" x14ac:dyDescent="0.15">
      <c r="A23" s="98" t="s">
        <v>59</v>
      </c>
      <c r="B23" s="99">
        <v>1</v>
      </c>
      <c r="C23" s="79">
        <v>22</v>
      </c>
      <c r="D23"/>
      <c r="E23" s="173" t="s">
        <v>213</v>
      </c>
      <c r="F23" s="79">
        <v>0</v>
      </c>
      <c r="G23" s="79">
        <v>1.14863</v>
      </c>
      <c r="H23" s="79">
        <v>0.33283364799999998</v>
      </c>
      <c r="I23" s="79">
        <v>1.9794358000000001</v>
      </c>
      <c r="J23" s="79">
        <v>0.94982284299999997</v>
      </c>
      <c r="K23" s="79">
        <v>0.168145716</v>
      </c>
      <c r="L23" s="79">
        <v>0</v>
      </c>
      <c r="M23" s="79">
        <v>0.23319999999999999</v>
      </c>
      <c r="N23" s="79">
        <v>0</v>
      </c>
    </row>
    <row r="24" spans="1:22" ht="15" customHeight="1" x14ac:dyDescent="0.15">
      <c r="A24" s="98" t="s">
        <v>60</v>
      </c>
      <c r="B24" s="99">
        <v>2</v>
      </c>
      <c r="C24" s="79">
        <v>23</v>
      </c>
      <c r="D24"/>
      <c r="E24" s="173" t="s">
        <v>214</v>
      </c>
      <c r="F24" s="79">
        <v>0</v>
      </c>
      <c r="G24" s="79">
        <v>0.61526000000000003</v>
      </c>
      <c r="H24" s="79">
        <v>0.95193090000000002</v>
      </c>
      <c r="I24" s="79">
        <v>4.2816925000000001</v>
      </c>
      <c r="J24" s="79">
        <v>0.95028230000000002</v>
      </c>
      <c r="K24" s="79">
        <v>0.22232584699999999</v>
      </c>
      <c r="L24" s="79">
        <v>0</v>
      </c>
      <c r="M24" s="79">
        <v>0.2077</v>
      </c>
      <c r="N24" s="79">
        <v>0</v>
      </c>
    </row>
    <row r="25" spans="1:22" ht="15" customHeight="1" thickBot="1" x14ac:dyDescent="0.2">
      <c r="A25" s="100" t="s">
        <v>44</v>
      </c>
      <c r="B25" s="101">
        <v>3</v>
      </c>
      <c r="C25" s="79">
        <v>24</v>
      </c>
      <c r="D25"/>
      <c r="E25" s="173" t="s">
        <v>215</v>
      </c>
      <c r="F25" s="79">
        <v>0</v>
      </c>
      <c r="G25" s="79">
        <v>0.86214000000000002</v>
      </c>
      <c r="H25" s="79">
        <v>0.27073619999999998</v>
      </c>
      <c r="I25" s="79">
        <v>1.6972888699999999</v>
      </c>
      <c r="J25" s="79">
        <v>0.95018434500000004</v>
      </c>
      <c r="K25" s="79">
        <v>0.15951097</v>
      </c>
      <c r="L25" s="79">
        <v>0</v>
      </c>
      <c r="M25" s="79">
        <v>0.22009999999999999</v>
      </c>
      <c r="N25" s="79">
        <v>0</v>
      </c>
    </row>
    <row r="26" spans="1:22" ht="15" customHeight="1" x14ac:dyDescent="0.15">
      <c r="A26" s="102" t="s">
        <v>140</v>
      </c>
      <c r="C26" s="79">
        <v>25</v>
      </c>
      <c r="D26"/>
      <c r="E26" s="173" t="s">
        <v>216</v>
      </c>
      <c r="F26" s="79">
        <v>0</v>
      </c>
      <c r="G26" s="79">
        <v>112.3</v>
      </c>
      <c r="H26" s="79">
        <v>0.29244247099999998</v>
      </c>
      <c r="I26" s="79">
        <v>0.99732860000000001</v>
      </c>
      <c r="J26" s="79">
        <v>6.6796694899999998E-3</v>
      </c>
      <c r="K26" s="79">
        <v>0.29322579999999998</v>
      </c>
      <c r="L26" s="79">
        <v>0</v>
      </c>
      <c r="M26" s="79">
        <v>0.26879999999999998</v>
      </c>
      <c r="N26" s="79">
        <v>0</v>
      </c>
    </row>
    <row r="27" spans="1:22" ht="15" customHeight="1" x14ac:dyDescent="0.15">
      <c r="C27" s="79">
        <v>26</v>
      </c>
      <c r="D27"/>
      <c r="E27" s="173" t="s">
        <v>217</v>
      </c>
      <c r="F27" s="79">
        <v>0</v>
      </c>
      <c r="G27" s="79">
        <v>42.1</v>
      </c>
      <c r="H27" s="79">
        <v>1.69400811</v>
      </c>
      <c r="I27" s="79">
        <v>5.7834649999999996</v>
      </c>
      <c r="J27" s="79">
        <v>8.8483920000000001E-3</v>
      </c>
      <c r="K27" s="79">
        <v>0.29290539999999998</v>
      </c>
      <c r="L27" s="79">
        <v>0</v>
      </c>
      <c r="M27" s="79">
        <v>0.3</v>
      </c>
      <c r="N27" s="79">
        <v>0</v>
      </c>
    </row>
    <row r="28" spans="1:22" ht="15" customHeight="1" x14ac:dyDescent="0.15">
      <c r="C28" s="79">
        <v>27</v>
      </c>
      <c r="D28"/>
      <c r="E28" s="173" t="s">
        <v>218</v>
      </c>
      <c r="F28" s="79">
        <v>0</v>
      </c>
      <c r="G28" s="79">
        <v>10.5</v>
      </c>
      <c r="H28" s="79">
        <v>1.2124857899999999</v>
      </c>
      <c r="I28" s="79">
        <v>6.0903544399999996</v>
      </c>
      <c r="J28" s="79">
        <v>0.72707370000000004</v>
      </c>
      <c r="K28" s="79">
        <v>0.19908295600000001</v>
      </c>
      <c r="L28" s="79">
        <v>0</v>
      </c>
      <c r="M28" s="79">
        <v>0.20660000000000001</v>
      </c>
      <c r="N28" s="79">
        <v>0</v>
      </c>
    </row>
    <row r="29" spans="1:22" customFormat="1" ht="15" customHeight="1" x14ac:dyDescent="0.15">
      <c r="C29" s="79">
        <v>28</v>
      </c>
      <c r="E29" s="173" t="s">
        <v>219</v>
      </c>
      <c r="F29" s="79">
        <v>0</v>
      </c>
      <c r="G29" s="79">
        <v>7.8</v>
      </c>
      <c r="H29" s="79">
        <v>1.18092394</v>
      </c>
      <c r="I29" s="79">
        <v>4.025004</v>
      </c>
      <c r="J29" s="79">
        <v>0.119949922</v>
      </c>
      <c r="K29" s="79">
        <v>0.29339697999999997</v>
      </c>
      <c r="L29" s="79">
        <v>0</v>
      </c>
      <c r="M29" s="79">
        <v>0.19059999999999999</v>
      </c>
      <c r="N29" s="79">
        <v>0</v>
      </c>
    </row>
    <row r="30" spans="1:22" customFormat="1" ht="15" customHeight="1" x14ac:dyDescent="0.15">
      <c r="C30" s="79">
        <v>29</v>
      </c>
      <c r="E30" s="173" t="s">
        <v>220</v>
      </c>
      <c r="F30" s="79">
        <v>0</v>
      </c>
      <c r="G30" s="79">
        <v>9.6425000000000001</v>
      </c>
      <c r="H30" s="79">
        <v>2.5167741800000001</v>
      </c>
      <c r="I30" s="79">
        <v>14.545787799999999</v>
      </c>
      <c r="J30" s="79">
        <v>0.80120176099999996</v>
      </c>
      <c r="K30" s="79">
        <v>0.17302426700000001</v>
      </c>
      <c r="L30" s="79">
        <v>0</v>
      </c>
      <c r="M30" s="79">
        <v>0.47099999999999997</v>
      </c>
      <c r="N30" s="79">
        <v>0</v>
      </c>
    </row>
    <row r="31" spans="1:22" customFormat="1" ht="15" customHeight="1" x14ac:dyDescent="0.15">
      <c r="C31" s="79">
        <v>30</v>
      </c>
      <c r="E31" s="173" t="s">
        <v>221</v>
      </c>
      <c r="F31" s="79">
        <v>0</v>
      </c>
      <c r="G31" s="79">
        <v>50</v>
      </c>
      <c r="H31" s="79">
        <v>6.4293170000000002</v>
      </c>
      <c r="I31" s="79">
        <v>24.4799252</v>
      </c>
      <c r="J31" s="79">
        <v>0.59018930000000003</v>
      </c>
      <c r="K31" s="79">
        <v>0.26263629999999999</v>
      </c>
      <c r="L31" s="79">
        <v>0</v>
      </c>
      <c r="M31" s="79">
        <v>0.432</v>
      </c>
      <c r="N31" s="79">
        <v>0</v>
      </c>
    </row>
    <row r="32" spans="1:22" customFormat="1" ht="15" customHeight="1" x14ac:dyDescent="0.15">
      <c r="C32" s="79">
        <v>31</v>
      </c>
      <c r="E32" s="173" t="s">
        <v>222</v>
      </c>
      <c r="F32" s="79">
        <v>1</v>
      </c>
      <c r="G32" s="79">
        <v>23.411239999999999</v>
      </c>
      <c r="H32" s="79">
        <v>55.974605599999997</v>
      </c>
      <c r="I32" s="79">
        <v>0</v>
      </c>
      <c r="J32" s="79">
        <v>0.66666369999999997</v>
      </c>
      <c r="K32" s="79">
        <v>0</v>
      </c>
      <c r="L32" s="79">
        <v>0</v>
      </c>
      <c r="M32" s="79">
        <v>0</v>
      </c>
      <c r="N32" s="79">
        <v>0</v>
      </c>
    </row>
    <row r="33" spans="3:14" customFormat="1" ht="15" customHeight="1" x14ac:dyDescent="0.15">
      <c r="C33" s="79">
        <v>32</v>
      </c>
      <c r="E33" s="173" t="s">
        <v>223</v>
      </c>
      <c r="F33" s="79">
        <v>2</v>
      </c>
      <c r="G33" s="79">
        <v>132.60801699999999</v>
      </c>
      <c r="H33" s="79">
        <v>0</v>
      </c>
      <c r="I33" s="79">
        <v>0</v>
      </c>
      <c r="J33" s="79">
        <v>0.81625760000000003</v>
      </c>
      <c r="K33" s="79">
        <v>0</v>
      </c>
      <c r="L33" s="79">
        <v>0</v>
      </c>
      <c r="M33" s="79">
        <v>0</v>
      </c>
      <c r="N33" s="79">
        <v>0</v>
      </c>
    </row>
    <row r="34" spans="3:14" customFormat="1" ht="15" customHeight="1" x14ac:dyDescent="0.15">
      <c r="C34" s="79">
        <v>33</v>
      </c>
      <c r="E34" s="173" t="s">
        <v>224</v>
      </c>
      <c r="F34" s="79">
        <v>2</v>
      </c>
      <c r="G34" s="79">
        <v>5</v>
      </c>
      <c r="H34" s="79">
        <v>0</v>
      </c>
      <c r="I34" s="79">
        <v>0</v>
      </c>
      <c r="J34" s="79">
        <v>0</v>
      </c>
      <c r="K34" s="79">
        <v>0</v>
      </c>
      <c r="L34" s="79">
        <v>0</v>
      </c>
      <c r="M34" s="79">
        <v>0</v>
      </c>
      <c r="N34" s="79">
        <v>0</v>
      </c>
    </row>
    <row r="35" spans="3:14" customFormat="1" ht="15" customHeight="1" x14ac:dyDescent="0.15">
      <c r="C35" s="79">
        <v>34</v>
      </c>
      <c r="E35" s="173" t="s">
        <v>225</v>
      </c>
      <c r="F35" s="79">
        <v>3</v>
      </c>
      <c r="G35" s="79">
        <v>0</v>
      </c>
      <c r="H35" s="79">
        <v>0</v>
      </c>
      <c r="I35" s="79">
        <v>0</v>
      </c>
      <c r="J35" s="79">
        <v>0</v>
      </c>
      <c r="K35" s="79">
        <v>0</v>
      </c>
      <c r="L35" s="79">
        <v>0</v>
      </c>
      <c r="M35" s="79">
        <v>0</v>
      </c>
      <c r="N35" s="79">
        <v>0</v>
      </c>
    </row>
    <row r="36" spans="3:14" customFormat="1" ht="15" customHeight="1" x14ac:dyDescent="0.15"/>
    <row r="37" spans="3:14" customFormat="1" ht="15" customHeight="1" x14ac:dyDescent="0.15"/>
    <row r="38" spans="3:14" customFormat="1" ht="15" customHeight="1" x14ac:dyDescent="0.15"/>
    <row r="39" spans="3:14" customFormat="1" ht="15" customHeight="1" x14ac:dyDescent="0.15"/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4.6640625" style="140" bestFit="1" customWidth="1"/>
    <col min="2" max="4" width="6.83203125" style="140" bestFit="1" customWidth="1"/>
    <col min="5" max="5" width="15.83203125" style="140" bestFit="1" customWidth="1"/>
    <col min="6" max="7" width="6.83203125" style="140" bestFit="1" customWidth="1"/>
    <col min="8" max="11" width="15.83203125" style="140" bestFit="1" customWidth="1"/>
    <col min="12" max="12" width="14.83203125" style="140" bestFit="1" customWidth="1"/>
    <col min="13" max="13" width="15.83203125" style="140" bestFit="1" customWidth="1"/>
    <col min="14" max="14" width="6.83203125" style="140" bestFit="1" customWidth="1"/>
    <col min="15" max="15" width="15.83203125" style="140" bestFit="1" customWidth="1"/>
    <col min="16" max="16" width="6.83203125" style="140" bestFit="1" customWidth="1"/>
    <col min="17" max="17" width="15.83203125" style="140" bestFit="1" customWidth="1"/>
    <col min="18" max="20" width="6.83203125" style="140" bestFit="1" customWidth="1"/>
    <col min="21" max="21" width="14.83203125" style="140" bestFit="1" customWidth="1"/>
    <col min="22" max="23" width="6.83203125" style="140" bestFit="1" customWidth="1"/>
    <col min="24" max="24" width="13.83203125" style="140" bestFit="1" customWidth="1"/>
    <col min="25" max="25" width="14.83203125" style="140" bestFit="1" customWidth="1"/>
    <col min="26" max="26" width="2.33203125" style="140" bestFit="1" customWidth="1"/>
    <col min="27" max="28" width="6.83203125" style="140" bestFit="1" customWidth="1"/>
    <col min="29" max="29" width="2.33203125" style="140" bestFit="1" customWidth="1"/>
    <col min="30" max="30" width="13.83203125" style="140" customWidth="1"/>
    <col min="31" max="31" width="6.83203125" style="140" customWidth="1"/>
    <col min="32" max="34" width="2.33203125" style="140" customWidth="1"/>
    <col min="35" max="16384" width="8.83203125" style="140"/>
  </cols>
  <sheetData>
    <row r="1" spans="1:34" x14ac:dyDescent="0.15">
      <c r="A1" s="139" t="s">
        <v>19</v>
      </c>
      <c r="B1" s="175" t="s">
        <v>192</v>
      </c>
      <c r="C1" s="175" t="s">
        <v>193</v>
      </c>
      <c r="D1" s="175" t="s">
        <v>194</v>
      </c>
      <c r="E1" s="175" t="s">
        <v>195</v>
      </c>
      <c r="F1" s="175" t="s">
        <v>196</v>
      </c>
      <c r="G1" s="175" t="s">
        <v>197</v>
      </c>
      <c r="H1" s="175" t="s">
        <v>198</v>
      </c>
      <c r="I1" s="175" t="s">
        <v>199</v>
      </c>
      <c r="J1" s="175" t="s">
        <v>200</v>
      </c>
      <c r="K1" s="175" t="s">
        <v>201</v>
      </c>
      <c r="L1" s="175" t="s">
        <v>202</v>
      </c>
      <c r="M1" s="175" t="s">
        <v>203</v>
      </c>
      <c r="N1" s="175" t="s">
        <v>204</v>
      </c>
      <c r="O1" s="175" t="s">
        <v>205</v>
      </c>
      <c r="P1" s="175" t="s">
        <v>206</v>
      </c>
      <c r="Q1" s="175" t="s">
        <v>207</v>
      </c>
      <c r="R1" s="175" t="s">
        <v>208</v>
      </c>
      <c r="S1" s="175" t="s">
        <v>209</v>
      </c>
      <c r="T1" s="175" t="s">
        <v>210</v>
      </c>
      <c r="U1" s="175" t="s">
        <v>211</v>
      </c>
      <c r="V1" s="175" t="s">
        <v>212</v>
      </c>
      <c r="W1" s="175" t="s">
        <v>213</v>
      </c>
      <c r="X1" s="175" t="s">
        <v>214</v>
      </c>
      <c r="Y1" s="175" t="s">
        <v>215</v>
      </c>
      <c r="Z1" s="175" t="s">
        <v>216</v>
      </c>
      <c r="AA1" s="175" t="s">
        <v>217</v>
      </c>
      <c r="AB1" s="175" t="s">
        <v>218</v>
      </c>
      <c r="AC1" s="175" t="s">
        <v>219</v>
      </c>
      <c r="AD1" s="175" t="s">
        <v>220</v>
      </c>
      <c r="AE1" s="175" t="s">
        <v>221</v>
      </c>
      <c r="AF1" s="175" t="s">
        <v>222</v>
      </c>
      <c r="AG1" s="175" t="s">
        <v>223</v>
      </c>
      <c r="AH1" s="175" t="s">
        <v>224</v>
      </c>
    </row>
    <row r="2" spans="1:34" customFormat="1" x14ac:dyDescent="0.15">
      <c r="A2" s="174" t="s">
        <v>192</v>
      </c>
      <c r="B2" s="140">
        <v>0</v>
      </c>
      <c r="C2" s="140">
        <v>0</v>
      </c>
      <c r="D2" s="140">
        <v>0</v>
      </c>
      <c r="E2" s="140">
        <v>0</v>
      </c>
      <c r="F2" s="140">
        <v>0</v>
      </c>
      <c r="G2" s="140">
        <v>0</v>
      </c>
      <c r="H2" s="140">
        <v>0</v>
      </c>
      <c r="I2" s="140">
        <v>0</v>
      </c>
      <c r="J2" s="140">
        <v>0</v>
      </c>
      <c r="K2" s="140">
        <v>0</v>
      </c>
      <c r="L2" s="140">
        <v>0</v>
      </c>
      <c r="M2" s="140">
        <v>0</v>
      </c>
      <c r="N2" s="140">
        <v>0</v>
      </c>
      <c r="O2" s="140">
        <v>0</v>
      </c>
      <c r="P2" s="140">
        <v>0</v>
      </c>
      <c r="Q2" s="140">
        <v>0</v>
      </c>
      <c r="R2" s="140">
        <v>0</v>
      </c>
      <c r="S2" s="140">
        <v>0</v>
      </c>
      <c r="T2" s="140">
        <v>0</v>
      </c>
      <c r="U2" s="140">
        <v>0</v>
      </c>
      <c r="V2" s="140">
        <v>0</v>
      </c>
      <c r="W2" s="140">
        <v>0</v>
      </c>
      <c r="X2" s="140">
        <v>0</v>
      </c>
      <c r="Y2" s="140">
        <v>0</v>
      </c>
      <c r="Z2" s="140">
        <v>0</v>
      </c>
      <c r="AA2" s="140">
        <v>0</v>
      </c>
      <c r="AB2" s="140">
        <v>0</v>
      </c>
      <c r="AC2" s="140">
        <v>0</v>
      </c>
      <c r="AD2" s="140">
        <v>0</v>
      </c>
      <c r="AE2" s="140">
        <v>0</v>
      </c>
      <c r="AF2" s="140">
        <v>0</v>
      </c>
      <c r="AG2" s="140">
        <v>0</v>
      </c>
      <c r="AH2" s="140">
        <v>0</v>
      </c>
    </row>
    <row r="3" spans="1:34" customFormat="1" x14ac:dyDescent="0.15">
      <c r="A3" s="174" t="s">
        <v>193</v>
      </c>
      <c r="B3" s="140">
        <v>0</v>
      </c>
      <c r="C3" s="140">
        <v>0</v>
      </c>
      <c r="D3" s="140">
        <v>0</v>
      </c>
      <c r="E3" s="140">
        <v>0</v>
      </c>
      <c r="F3" s="140">
        <v>0</v>
      </c>
      <c r="G3" s="140">
        <v>0</v>
      </c>
      <c r="H3" s="140">
        <v>0</v>
      </c>
      <c r="I3" s="140">
        <v>0</v>
      </c>
      <c r="J3" s="140">
        <v>0</v>
      </c>
      <c r="K3" s="140">
        <v>0</v>
      </c>
      <c r="L3" s="140">
        <v>0</v>
      </c>
      <c r="M3" s="140">
        <v>0</v>
      </c>
      <c r="N3" s="140">
        <v>0</v>
      </c>
      <c r="O3" s="140">
        <v>0</v>
      </c>
      <c r="P3" s="140">
        <v>0</v>
      </c>
      <c r="Q3" s="140">
        <v>0</v>
      </c>
      <c r="R3" s="140">
        <v>0</v>
      </c>
      <c r="S3" s="140">
        <v>0</v>
      </c>
      <c r="T3" s="140">
        <v>0</v>
      </c>
      <c r="U3" s="140">
        <v>0</v>
      </c>
      <c r="V3" s="140">
        <v>0</v>
      </c>
      <c r="W3" s="140">
        <v>0</v>
      </c>
      <c r="X3" s="140">
        <v>0</v>
      </c>
      <c r="Y3" s="140">
        <v>0</v>
      </c>
      <c r="Z3" s="140">
        <v>0</v>
      </c>
      <c r="AA3" s="140">
        <v>0</v>
      </c>
      <c r="AB3" s="140">
        <v>0</v>
      </c>
      <c r="AC3" s="140">
        <v>0</v>
      </c>
      <c r="AD3" s="140">
        <v>0</v>
      </c>
      <c r="AE3" s="140">
        <v>0</v>
      </c>
      <c r="AF3" s="140">
        <v>0</v>
      </c>
      <c r="AG3" s="140">
        <v>0</v>
      </c>
      <c r="AH3" s="140">
        <v>0</v>
      </c>
    </row>
    <row r="4" spans="1:34" customFormat="1" x14ac:dyDescent="0.15">
      <c r="A4" s="174" t="s">
        <v>194</v>
      </c>
      <c r="B4" s="140">
        <v>0</v>
      </c>
      <c r="C4" s="140">
        <v>0</v>
      </c>
      <c r="D4" s="140">
        <v>0</v>
      </c>
      <c r="E4" s="140">
        <v>0</v>
      </c>
      <c r="F4" s="140">
        <v>0</v>
      </c>
      <c r="G4" s="140">
        <v>0</v>
      </c>
      <c r="H4" s="140">
        <v>0</v>
      </c>
      <c r="I4" s="140">
        <v>0</v>
      </c>
      <c r="J4" s="140">
        <v>0</v>
      </c>
      <c r="K4" s="140">
        <v>0</v>
      </c>
      <c r="L4" s="140">
        <v>0</v>
      </c>
      <c r="M4" s="140">
        <v>0</v>
      </c>
      <c r="N4" s="140">
        <v>0</v>
      </c>
      <c r="O4" s="140">
        <v>0</v>
      </c>
      <c r="P4" s="140">
        <v>0</v>
      </c>
      <c r="Q4" s="140">
        <v>0</v>
      </c>
      <c r="R4" s="140">
        <v>0</v>
      </c>
      <c r="S4" s="140">
        <v>0</v>
      </c>
      <c r="T4" s="140">
        <v>0</v>
      </c>
      <c r="U4" s="140">
        <v>0</v>
      </c>
      <c r="V4" s="140">
        <v>0</v>
      </c>
      <c r="W4" s="140">
        <v>0</v>
      </c>
      <c r="X4" s="140">
        <v>0</v>
      </c>
      <c r="Y4" s="140">
        <v>0</v>
      </c>
      <c r="Z4" s="140">
        <v>0</v>
      </c>
      <c r="AA4" s="140">
        <v>0</v>
      </c>
      <c r="AB4" s="140">
        <v>0</v>
      </c>
      <c r="AC4" s="140">
        <v>0</v>
      </c>
      <c r="AD4" s="140">
        <v>0</v>
      </c>
      <c r="AE4" s="140">
        <v>0</v>
      </c>
      <c r="AF4" s="140">
        <v>0</v>
      </c>
      <c r="AG4" s="140">
        <v>0</v>
      </c>
      <c r="AH4" s="140">
        <v>0</v>
      </c>
    </row>
    <row r="5" spans="1:34" customFormat="1" x14ac:dyDescent="0.15">
      <c r="A5" s="174" t="s">
        <v>195</v>
      </c>
      <c r="B5" s="140">
        <v>0</v>
      </c>
      <c r="C5" s="140">
        <v>0</v>
      </c>
      <c r="D5" s="140">
        <v>0</v>
      </c>
      <c r="E5" s="140">
        <v>0</v>
      </c>
      <c r="F5" s="140">
        <v>0</v>
      </c>
      <c r="G5" s="140">
        <v>0</v>
      </c>
      <c r="H5" s="140">
        <v>0</v>
      </c>
      <c r="I5" s="140">
        <v>0</v>
      </c>
      <c r="J5" s="140">
        <v>0</v>
      </c>
      <c r="K5" s="140">
        <v>0</v>
      </c>
      <c r="L5" s="140">
        <v>0</v>
      </c>
      <c r="M5" s="140">
        <v>0</v>
      </c>
      <c r="N5" s="140">
        <v>0</v>
      </c>
      <c r="O5" s="140">
        <v>0</v>
      </c>
      <c r="P5" s="140">
        <v>0</v>
      </c>
      <c r="Q5" s="140">
        <v>0</v>
      </c>
      <c r="R5" s="140">
        <v>0</v>
      </c>
      <c r="S5" s="140">
        <v>0</v>
      </c>
      <c r="T5" s="140">
        <v>0</v>
      </c>
      <c r="U5" s="140">
        <v>0</v>
      </c>
      <c r="V5" s="140">
        <v>0</v>
      </c>
      <c r="W5" s="140">
        <v>0</v>
      </c>
      <c r="X5" s="140">
        <v>0</v>
      </c>
      <c r="Y5" s="140">
        <v>0</v>
      </c>
      <c r="Z5" s="140">
        <v>0</v>
      </c>
      <c r="AA5" s="140">
        <v>0</v>
      </c>
      <c r="AB5" s="140">
        <v>0</v>
      </c>
      <c r="AC5" s="140">
        <v>0</v>
      </c>
      <c r="AD5" s="140">
        <v>0</v>
      </c>
      <c r="AE5" s="140">
        <v>0</v>
      </c>
      <c r="AF5" s="140">
        <v>0</v>
      </c>
      <c r="AG5" s="140">
        <v>0</v>
      </c>
      <c r="AH5" s="140">
        <v>0</v>
      </c>
    </row>
    <row r="6" spans="1:34" customFormat="1" x14ac:dyDescent="0.15">
      <c r="A6" s="174" t="s">
        <v>196</v>
      </c>
      <c r="B6" s="140">
        <v>0</v>
      </c>
      <c r="C6" s="140">
        <v>0</v>
      </c>
      <c r="D6" s="140">
        <v>0</v>
      </c>
      <c r="E6" s="140">
        <v>0</v>
      </c>
      <c r="F6" s="140">
        <v>0</v>
      </c>
      <c r="G6" s="140">
        <v>0</v>
      </c>
      <c r="H6" s="140">
        <v>0</v>
      </c>
      <c r="I6" s="140">
        <v>0</v>
      </c>
      <c r="J6" s="140">
        <v>0</v>
      </c>
      <c r="K6" s="140">
        <v>0</v>
      </c>
      <c r="L6" s="140">
        <v>0</v>
      </c>
      <c r="M6" s="140">
        <v>0</v>
      </c>
      <c r="N6" s="140">
        <v>0</v>
      </c>
      <c r="O6" s="140">
        <v>0</v>
      </c>
      <c r="P6" s="140">
        <v>0</v>
      </c>
      <c r="Q6" s="140">
        <v>0</v>
      </c>
      <c r="R6" s="140">
        <v>0</v>
      </c>
      <c r="S6" s="140">
        <v>0</v>
      </c>
      <c r="T6" s="140">
        <v>0</v>
      </c>
      <c r="U6" s="140">
        <v>0</v>
      </c>
      <c r="V6" s="140">
        <v>0</v>
      </c>
      <c r="W6" s="140">
        <v>0</v>
      </c>
      <c r="X6" s="140">
        <v>0</v>
      </c>
      <c r="Y6" s="140">
        <v>0</v>
      </c>
      <c r="Z6" s="140">
        <v>0</v>
      </c>
      <c r="AA6" s="140">
        <v>0</v>
      </c>
      <c r="AB6" s="140">
        <v>0</v>
      </c>
      <c r="AC6" s="140">
        <v>0</v>
      </c>
      <c r="AD6" s="140">
        <v>0</v>
      </c>
      <c r="AE6" s="140">
        <v>0</v>
      </c>
      <c r="AF6" s="140">
        <v>0</v>
      </c>
      <c r="AG6" s="140">
        <v>0</v>
      </c>
      <c r="AH6" s="140">
        <v>0</v>
      </c>
    </row>
    <row r="7" spans="1:34" customFormat="1" x14ac:dyDescent="0.15">
      <c r="A7" s="174" t="s">
        <v>197</v>
      </c>
      <c r="B7" s="140">
        <v>0</v>
      </c>
      <c r="C7" s="140">
        <v>0</v>
      </c>
      <c r="D7" s="140">
        <v>0</v>
      </c>
      <c r="E7" s="140">
        <v>0</v>
      </c>
      <c r="F7" s="140">
        <v>0</v>
      </c>
      <c r="G7" s="140">
        <v>0</v>
      </c>
      <c r="H7" s="140">
        <v>0</v>
      </c>
      <c r="I7" s="140">
        <v>0</v>
      </c>
      <c r="J7" s="140">
        <v>0</v>
      </c>
      <c r="K7" s="140">
        <v>0</v>
      </c>
      <c r="L7" s="140">
        <v>0</v>
      </c>
      <c r="M7" s="140">
        <v>0</v>
      </c>
      <c r="N7" s="140">
        <v>0</v>
      </c>
      <c r="O7" s="140">
        <v>0</v>
      </c>
      <c r="P7" s="140">
        <v>0</v>
      </c>
      <c r="Q7" s="140">
        <v>0</v>
      </c>
      <c r="R7" s="140">
        <v>0</v>
      </c>
      <c r="S7" s="140">
        <v>0</v>
      </c>
      <c r="T7" s="140">
        <v>0</v>
      </c>
      <c r="U7" s="140">
        <v>0</v>
      </c>
      <c r="V7" s="140">
        <v>0</v>
      </c>
      <c r="W7" s="140">
        <v>0</v>
      </c>
      <c r="X7" s="140">
        <v>0</v>
      </c>
      <c r="Y7" s="140">
        <v>0</v>
      </c>
      <c r="Z7" s="140">
        <v>0</v>
      </c>
      <c r="AA7" s="140">
        <v>0</v>
      </c>
      <c r="AB7" s="140">
        <v>0</v>
      </c>
      <c r="AC7" s="140">
        <v>0</v>
      </c>
      <c r="AD7" s="140">
        <v>0</v>
      </c>
      <c r="AE7" s="140">
        <v>0</v>
      </c>
      <c r="AF7" s="140">
        <v>0</v>
      </c>
      <c r="AG7" s="140">
        <v>0</v>
      </c>
      <c r="AH7" s="140">
        <v>0</v>
      </c>
    </row>
    <row r="8" spans="1:34" customFormat="1" x14ac:dyDescent="0.15">
      <c r="A8" s="174" t="s">
        <v>198</v>
      </c>
      <c r="B8" s="140">
        <v>1.8E-3</v>
      </c>
      <c r="C8" s="140">
        <v>1.4600000000000002E-2</v>
      </c>
      <c r="D8" s="140">
        <v>0.15180000000000002</v>
      </c>
      <c r="E8" s="140">
        <v>0.14708529867314349</v>
      </c>
      <c r="F8" s="140">
        <v>4.4299999999999999E-2</v>
      </c>
      <c r="G8" s="140">
        <v>0</v>
      </c>
      <c r="H8" s="140">
        <v>0</v>
      </c>
      <c r="I8" s="140">
        <v>0</v>
      </c>
      <c r="J8" s="140">
        <v>0</v>
      </c>
      <c r="K8" s="140">
        <v>0</v>
      </c>
      <c r="L8" s="140">
        <v>0</v>
      </c>
      <c r="M8" s="140">
        <v>0</v>
      </c>
      <c r="N8" s="140">
        <v>0</v>
      </c>
      <c r="O8" s="140">
        <v>0</v>
      </c>
      <c r="P8" s="140">
        <v>0</v>
      </c>
      <c r="Q8" s="140">
        <v>0</v>
      </c>
      <c r="R8" s="140">
        <v>0</v>
      </c>
      <c r="S8" s="140">
        <v>0</v>
      </c>
      <c r="T8" s="140">
        <v>0</v>
      </c>
      <c r="U8" s="140">
        <v>0</v>
      </c>
      <c r="V8" s="140">
        <v>0</v>
      </c>
      <c r="W8" s="140">
        <v>0</v>
      </c>
      <c r="X8" s="140">
        <v>0</v>
      </c>
      <c r="Y8" s="140">
        <v>0</v>
      </c>
      <c r="Z8" s="140">
        <v>0</v>
      </c>
      <c r="AA8" s="140">
        <v>0</v>
      </c>
      <c r="AB8" s="140">
        <v>0</v>
      </c>
      <c r="AC8" s="140">
        <v>0</v>
      </c>
      <c r="AD8" s="140">
        <v>0</v>
      </c>
      <c r="AE8" s="140">
        <v>0</v>
      </c>
      <c r="AF8" s="140">
        <v>0</v>
      </c>
      <c r="AG8" s="140">
        <v>0</v>
      </c>
      <c r="AH8" s="140">
        <v>0</v>
      </c>
    </row>
    <row r="9" spans="1:34" customFormat="1" x14ac:dyDescent="0.15">
      <c r="A9" s="174" t="s">
        <v>199</v>
      </c>
      <c r="B9" s="140">
        <v>0</v>
      </c>
      <c r="C9" s="140">
        <v>1.0000000000000002E-2</v>
      </c>
      <c r="D9" s="140">
        <v>9.9700000000000025E-2</v>
      </c>
      <c r="E9" s="140">
        <v>9.6090389133168586E-2</v>
      </c>
      <c r="F9" s="140">
        <v>4.02E-2</v>
      </c>
      <c r="G9" s="140">
        <v>2.2000000000000006E-3</v>
      </c>
      <c r="H9" s="140">
        <v>3.7696229794178589E-2</v>
      </c>
      <c r="I9" s="140">
        <v>1.0001000278627868E-3</v>
      </c>
      <c r="J9" s="140">
        <v>1.0000999993659365E-3</v>
      </c>
      <c r="K9" s="140">
        <v>1.2019231196346155E-3</v>
      </c>
      <c r="L9" s="140">
        <v>1.200120067965196E-3</v>
      </c>
      <c r="M9" s="140">
        <v>0</v>
      </c>
      <c r="N9" s="140">
        <v>5.000000000000001E-3</v>
      </c>
      <c r="O9" s="140">
        <v>9.0009001030603053E-4</v>
      </c>
      <c r="P9" s="140">
        <v>5.0000000000000001E-3</v>
      </c>
      <c r="Q9" s="140">
        <v>5.0009999972344477E-3</v>
      </c>
      <c r="R9" s="140">
        <v>0</v>
      </c>
      <c r="S9" s="140">
        <v>0</v>
      </c>
      <c r="T9" s="140">
        <v>0</v>
      </c>
      <c r="U9" s="140">
        <v>5.0005000380038004E-3</v>
      </c>
      <c r="V9" s="140">
        <v>0</v>
      </c>
      <c r="W9" s="140">
        <v>0</v>
      </c>
      <c r="X9" s="140">
        <v>0</v>
      </c>
      <c r="Y9" s="140">
        <v>0</v>
      </c>
      <c r="Z9" s="140">
        <v>0</v>
      </c>
      <c r="AA9" s="140">
        <v>0</v>
      </c>
      <c r="AB9" s="140">
        <v>0</v>
      </c>
      <c r="AC9" s="140">
        <v>0</v>
      </c>
      <c r="AD9" s="140">
        <v>0</v>
      </c>
      <c r="AE9" s="140">
        <v>0</v>
      </c>
      <c r="AF9" s="140">
        <v>0</v>
      </c>
      <c r="AG9" s="140">
        <v>0</v>
      </c>
      <c r="AH9" s="140">
        <v>0</v>
      </c>
    </row>
    <row r="10" spans="1:34" customFormat="1" x14ac:dyDescent="0.15">
      <c r="A10" s="174" t="s">
        <v>200</v>
      </c>
      <c r="B10" s="140">
        <v>0</v>
      </c>
      <c r="C10" s="140">
        <v>2.0300000000000002E-2</v>
      </c>
      <c r="D10" s="140">
        <v>2.2700000000000005E-2</v>
      </c>
      <c r="E10" s="140">
        <v>0</v>
      </c>
      <c r="F10" s="140">
        <v>0</v>
      </c>
      <c r="G10" s="140">
        <v>0</v>
      </c>
      <c r="H10" s="140">
        <v>0</v>
      </c>
      <c r="I10" s="140">
        <v>0</v>
      </c>
      <c r="J10" s="140">
        <v>0</v>
      </c>
      <c r="K10" s="140">
        <v>0</v>
      </c>
      <c r="L10" s="140">
        <v>0</v>
      </c>
      <c r="M10" s="140">
        <v>0</v>
      </c>
      <c r="N10" s="140">
        <v>0</v>
      </c>
      <c r="O10" s="140">
        <v>0</v>
      </c>
      <c r="P10" s="140">
        <v>0</v>
      </c>
      <c r="Q10" s="140">
        <v>0</v>
      </c>
      <c r="R10" s="140">
        <v>0</v>
      </c>
      <c r="S10" s="140">
        <v>0</v>
      </c>
      <c r="T10" s="140">
        <v>0</v>
      </c>
      <c r="U10" s="140">
        <v>0</v>
      </c>
      <c r="V10" s="140">
        <v>0</v>
      </c>
      <c r="W10" s="140">
        <v>0</v>
      </c>
      <c r="X10" s="140">
        <v>0</v>
      </c>
      <c r="Y10" s="140">
        <v>0</v>
      </c>
      <c r="Z10" s="140">
        <v>0</v>
      </c>
      <c r="AA10" s="140">
        <v>0</v>
      </c>
      <c r="AB10" s="140">
        <v>0</v>
      </c>
      <c r="AC10" s="140">
        <v>0</v>
      </c>
      <c r="AD10" s="140">
        <v>0</v>
      </c>
      <c r="AE10" s="140">
        <v>0</v>
      </c>
      <c r="AF10" s="140">
        <v>0</v>
      </c>
      <c r="AG10" s="140">
        <v>0</v>
      </c>
      <c r="AH10" s="140">
        <v>0</v>
      </c>
    </row>
    <row r="11" spans="1:34" customFormat="1" x14ac:dyDescent="0.15">
      <c r="A11" s="174" t="s">
        <v>201</v>
      </c>
      <c r="B11" s="140">
        <v>0</v>
      </c>
      <c r="C11" s="140">
        <v>5.170000000000001E-2</v>
      </c>
      <c r="D11" s="140">
        <v>0.19820000000000004</v>
      </c>
      <c r="E11" s="140">
        <v>2.8997098338417169E-3</v>
      </c>
      <c r="F11" s="140">
        <v>0</v>
      </c>
      <c r="G11" s="140">
        <v>3.7000000000000006E-3</v>
      </c>
      <c r="H11" s="140">
        <v>3.4996501408919114E-3</v>
      </c>
      <c r="I11" s="140">
        <v>0</v>
      </c>
      <c r="J11" s="140">
        <v>9.9009899937227714E-3</v>
      </c>
      <c r="K11" s="140">
        <v>1.4022435095737181E-3</v>
      </c>
      <c r="L11" s="140">
        <v>2.000199979941995E-3</v>
      </c>
      <c r="M11" s="140">
        <v>0</v>
      </c>
      <c r="N11" s="140">
        <v>5.0000000000000012E-4</v>
      </c>
      <c r="O11" s="140">
        <v>0</v>
      </c>
      <c r="P11" s="140">
        <v>1.6999999999999999E-3</v>
      </c>
      <c r="Q11" s="140">
        <v>0</v>
      </c>
      <c r="R11" s="140">
        <v>0</v>
      </c>
      <c r="S11" s="140">
        <v>0</v>
      </c>
      <c r="T11" s="140">
        <v>0</v>
      </c>
      <c r="U11" s="140">
        <v>0</v>
      </c>
      <c r="V11" s="140">
        <v>0</v>
      </c>
      <c r="W11" s="140">
        <v>0</v>
      </c>
      <c r="X11" s="140">
        <v>0</v>
      </c>
      <c r="Y11" s="140">
        <v>0</v>
      </c>
      <c r="Z11" s="140">
        <v>0</v>
      </c>
      <c r="AA11" s="140">
        <v>0</v>
      </c>
      <c r="AB11" s="140">
        <v>0</v>
      </c>
      <c r="AC11" s="140">
        <v>0</v>
      </c>
      <c r="AD11" s="140">
        <v>0</v>
      </c>
      <c r="AE11" s="140">
        <v>0</v>
      </c>
      <c r="AF11" s="140">
        <v>0</v>
      </c>
      <c r="AG11" s="140">
        <v>0</v>
      </c>
      <c r="AH11" s="140">
        <v>0</v>
      </c>
    </row>
    <row r="12" spans="1:34" customFormat="1" x14ac:dyDescent="0.15">
      <c r="A12" s="174" t="s">
        <v>202</v>
      </c>
      <c r="B12" s="140">
        <v>0</v>
      </c>
      <c r="C12" s="140">
        <v>6.2800000000000009E-2</v>
      </c>
      <c r="D12" s="140">
        <v>0</v>
      </c>
      <c r="E12" s="140">
        <v>0.10948904501229931</v>
      </c>
      <c r="F12" s="140">
        <v>0</v>
      </c>
      <c r="G12" s="140">
        <v>3.7000000000000006E-3</v>
      </c>
      <c r="H12" s="140">
        <v>2.7997201147135286E-2</v>
      </c>
      <c r="I12" s="140">
        <v>0</v>
      </c>
      <c r="J12" s="140">
        <v>3.0003001980978089E-4</v>
      </c>
      <c r="K12" s="140">
        <v>0</v>
      </c>
      <c r="L12" s="140">
        <v>1.0000999899709973E-2</v>
      </c>
      <c r="M12" s="140">
        <v>0</v>
      </c>
      <c r="N12" s="140">
        <v>5.0000000000000012E-4</v>
      </c>
      <c r="O12" s="140">
        <v>0</v>
      </c>
      <c r="P12" s="140">
        <v>1.11E-2</v>
      </c>
      <c r="Q12" s="140">
        <v>0.24084816886681099</v>
      </c>
      <c r="R12" s="140">
        <v>0</v>
      </c>
      <c r="S12" s="140">
        <v>0</v>
      </c>
      <c r="T12" s="140">
        <v>0</v>
      </c>
      <c r="U12" s="140">
        <v>0</v>
      </c>
      <c r="V12" s="140">
        <v>0</v>
      </c>
      <c r="W12" s="140">
        <v>0</v>
      </c>
      <c r="X12" s="140">
        <v>0</v>
      </c>
      <c r="Y12" s="140">
        <v>0</v>
      </c>
      <c r="Z12" s="140">
        <v>0</v>
      </c>
      <c r="AA12" s="140">
        <v>0</v>
      </c>
      <c r="AB12" s="140">
        <v>0</v>
      </c>
      <c r="AC12" s="140">
        <v>0</v>
      </c>
      <c r="AD12" s="140">
        <v>0</v>
      </c>
      <c r="AE12" s="140">
        <v>0</v>
      </c>
      <c r="AF12" s="140">
        <v>0</v>
      </c>
      <c r="AG12" s="140">
        <v>0</v>
      </c>
      <c r="AH12" s="140">
        <v>0</v>
      </c>
    </row>
    <row r="13" spans="1:34" customFormat="1" x14ac:dyDescent="0.15">
      <c r="A13" s="174" t="s">
        <v>203</v>
      </c>
      <c r="B13" s="140">
        <v>0</v>
      </c>
      <c r="C13" s="140">
        <v>3.4000000000000002E-3</v>
      </c>
      <c r="D13" s="140">
        <v>0.10160000000000002</v>
      </c>
      <c r="E13" s="140">
        <v>9.1990799170150982E-3</v>
      </c>
      <c r="F13" s="140">
        <v>1.7600000000000001E-2</v>
      </c>
      <c r="G13" s="140">
        <v>3.7000000000000006E-3</v>
      </c>
      <c r="H13" s="140">
        <v>5.3994599705189496E-3</v>
      </c>
      <c r="I13" s="140">
        <v>1.0001000278627868E-4</v>
      </c>
      <c r="J13" s="140">
        <v>3.0003001380978092E-3</v>
      </c>
      <c r="K13" s="140">
        <v>0</v>
      </c>
      <c r="L13" s="140">
        <v>4.0003997498839914E-4</v>
      </c>
      <c r="M13" s="140">
        <v>0</v>
      </c>
      <c r="N13" s="140">
        <v>3.200000000000001E-3</v>
      </c>
      <c r="O13" s="140">
        <v>0</v>
      </c>
      <c r="P13" s="140">
        <v>0</v>
      </c>
      <c r="Q13" s="140">
        <v>7.0013999961282265E-4</v>
      </c>
      <c r="R13" s="140">
        <v>0</v>
      </c>
      <c r="S13" s="140">
        <v>0</v>
      </c>
      <c r="T13" s="140">
        <v>0</v>
      </c>
      <c r="U13" s="140">
        <v>9.4009400714471451E-3</v>
      </c>
      <c r="V13" s="140">
        <v>0</v>
      </c>
      <c r="W13" s="140">
        <v>0</v>
      </c>
      <c r="X13" s="140">
        <v>0</v>
      </c>
      <c r="Y13" s="140">
        <v>0</v>
      </c>
      <c r="Z13" s="140">
        <v>0</v>
      </c>
      <c r="AA13" s="140">
        <v>0</v>
      </c>
      <c r="AB13" s="140">
        <v>0</v>
      </c>
      <c r="AC13" s="140">
        <v>0</v>
      </c>
      <c r="AD13" s="140">
        <v>0</v>
      </c>
      <c r="AE13" s="140">
        <v>0</v>
      </c>
      <c r="AF13" s="140">
        <v>0</v>
      </c>
      <c r="AG13" s="140">
        <v>0</v>
      </c>
      <c r="AH13" s="140">
        <v>0</v>
      </c>
    </row>
    <row r="14" spans="1:34" customFormat="1" x14ac:dyDescent="0.15">
      <c r="A14" s="174" t="s">
        <v>204</v>
      </c>
      <c r="B14" s="140">
        <v>0</v>
      </c>
      <c r="C14" s="140">
        <v>0</v>
      </c>
      <c r="D14" s="140">
        <v>0</v>
      </c>
      <c r="E14" s="140">
        <v>9.8290174313324319E-2</v>
      </c>
      <c r="F14" s="140">
        <v>1.2999999999999999E-3</v>
      </c>
      <c r="G14" s="140">
        <v>3.7000000000000006E-3</v>
      </c>
      <c r="H14" s="140">
        <v>2.9996999836216386E-4</v>
      </c>
      <c r="I14" s="140">
        <v>0</v>
      </c>
      <c r="J14" s="140">
        <v>1.2001200792391236E-3</v>
      </c>
      <c r="K14" s="140">
        <v>0</v>
      </c>
      <c r="L14" s="140">
        <v>0</v>
      </c>
      <c r="M14" s="140">
        <v>0</v>
      </c>
      <c r="N14" s="140">
        <v>4.7300000000000016E-2</v>
      </c>
      <c r="O14" s="140">
        <v>0</v>
      </c>
      <c r="P14" s="140">
        <v>1.95E-2</v>
      </c>
      <c r="Q14" s="140">
        <v>0</v>
      </c>
      <c r="R14" s="140">
        <v>0</v>
      </c>
      <c r="S14" s="140">
        <v>0</v>
      </c>
      <c r="T14" s="140">
        <v>0</v>
      </c>
      <c r="U14" s="140">
        <v>1.8401840139853985E-2</v>
      </c>
      <c r="V14" s="140">
        <v>0</v>
      </c>
      <c r="W14" s="140">
        <v>0</v>
      </c>
      <c r="X14" s="140">
        <v>0</v>
      </c>
      <c r="Y14" s="140">
        <v>0</v>
      </c>
      <c r="Z14" s="140">
        <v>0</v>
      </c>
      <c r="AA14" s="140">
        <v>0</v>
      </c>
      <c r="AB14" s="140">
        <v>0</v>
      </c>
      <c r="AC14" s="140">
        <v>0</v>
      </c>
      <c r="AD14" s="140">
        <v>0</v>
      </c>
      <c r="AE14" s="140">
        <v>0</v>
      </c>
      <c r="AF14" s="140">
        <v>0</v>
      </c>
      <c r="AG14" s="140">
        <v>0</v>
      </c>
      <c r="AH14" s="140">
        <v>0</v>
      </c>
    </row>
    <row r="15" spans="1:34" customFormat="1" x14ac:dyDescent="0.15">
      <c r="A15" s="174" t="s">
        <v>205</v>
      </c>
      <c r="B15" s="140">
        <v>1.5E-3</v>
      </c>
      <c r="C15" s="140">
        <v>6.9800000000000015E-2</v>
      </c>
      <c r="D15" s="140">
        <v>0.14420000000000002</v>
      </c>
      <c r="E15" s="140">
        <v>3.9995999639196077E-4</v>
      </c>
      <c r="F15" s="140">
        <v>4.3E-3</v>
      </c>
      <c r="G15" s="140">
        <v>0</v>
      </c>
      <c r="H15" s="140">
        <v>1.6998299907189287E-2</v>
      </c>
      <c r="I15" s="140">
        <v>1.4001400390079015E-3</v>
      </c>
      <c r="J15" s="140">
        <v>9.8709873837417916E-2</v>
      </c>
      <c r="K15" s="140">
        <v>4.2067305187211542E-3</v>
      </c>
      <c r="L15" s="140">
        <v>1.0000999399709978E-4</v>
      </c>
      <c r="M15" s="140">
        <v>0</v>
      </c>
      <c r="N15" s="140">
        <v>0.23530000000000006</v>
      </c>
      <c r="O15" s="140">
        <v>2.2602261455240295E-2</v>
      </c>
      <c r="P15" s="140">
        <v>2.5899999999999999E-2</v>
      </c>
      <c r="Q15" s="140">
        <v>0</v>
      </c>
      <c r="R15" s="140">
        <v>0</v>
      </c>
      <c r="S15" s="140">
        <v>0</v>
      </c>
      <c r="T15" s="140">
        <v>0</v>
      </c>
      <c r="U15" s="140">
        <v>9.7009700737273729E-3</v>
      </c>
      <c r="V15" s="140">
        <v>0</v>
      </c>
      <c r="W15" s="140">
        <v>0</v>
      </c>
      <c r="X15" s="140">
        <v>0</v>
      </c>
      <c r="Y15" s="140">
        <v>0</v>
      </c>
      <c r="Z15" s="140">
        <v>0</v>
      </c>
      <c r="AA15" s="140">
        <v>0</v>
      </c>
      <c r="AB15" s="140">
        <v>0</v>
      </c>
      <c r="AC15" s="140">
        <v>0</v>
      </c>
      <c r="AD15" s="140">
        <v>0</v>
      </c>
      <c r="AE15" s="140">
        <v>0</v>
      </c>
      <c r="AF15" s="140">
        <v>0</v>
      </c>
      <c r="AG15" s="140">
        <v>0</v>
      </c>
      <c r="AH15" s="140">
        <v>0</v>
      </c>
    </row>
    <row r="16" spans="1:34" customFormat="1" x14ac:dyDescent="0.15">
      <c r="A16" s="174" t="s">
        <v>206</v>
      </c>
      <c r="B16" s="140">
        <v>1.14E-2</v>
      </c>
      <c r="C16" s="140">
        <v>0</v>
      </c>
      <c r="D16" s="140">
        <v>7.5000000000000015E-3</v>
      </c>
      <c r="E16" s="140">
        <v>0.10788921202673139</v>
      </c>
      <c r="F16" s="140">
        <v>2.7900000000000001E-2</v>
      </c>
      <c r="G16" s="140">
        <v>0</v>
      </c>
      <c r="H16" s="140">
        <v>0</v>
      </c>
      <c r="I16" s="140">
        <v>0</v>
      </c>
      <c r="J16" s="140">
        <v>0</v>
      </c>
      <c r="K16" s="140">
        <v>0</v>
      </c>
      <c r="L16" s="140">
        <v>0</v>
      </c>
      <c r="M16" s="140">
        <v>0</v>
      </c>
      <c r="N16" s="140">
        <v>0</v>
      </c>
      <c r="O16" s="140">
        <v>0</v>
      </c>
      <c r="P16" s="140">
        <v>0</v>
      </c>
      <c r="Q16" s="140">
        <v>0</v>
      </c>
      <c r="R16" s="140">
        <v>0</v>
      </c>
      <c r="S16" s="140">
        <v>0</v>
      </c>
      <c r="T16" s="140">
        <v>0</v>
      </c>
      <c r="U16" s="140">
        <v>0</v>
      </c>
      <c r="V16" s="140">
        <v>0</v>
      </c>
      <c r="W16" s="140">
        <v>0</v>
      </c>
      <c r="X16" s="140">
        <v>0</v>
      </c>
      <c r="Y16" s="140">
        <v>0</v>
      </c>
      <c r="Z16" s="140">
        <v>0</v>
      </c>
      <c r="AA16" s="140">
        <v>0</v>
      </c>
      <c r="AB16" s="140">
        <v>0</v>
      </c>
      <c r="AC16" s="140">
        <v>0</v>
      </c>
      <c r="AD16" s="140">
        <v>0</v>
      </c>
      <c r="AE16" s="140">
        <v>0</v>
      </c>
      <c r="AF16" s="140">
        <v>0</v>
      </c>
      <c r="AG16" s="140">
        <v>0</v>
      </c>
      <c r="AH16" s="140">
        <v>0</v>
      </c>
    </row>
    <row r="17" spans="1:34" customFormat="1" x14ac:dyDescent="0.15">
      <c r="A17" s="174" t="s">
        <v>207</v>
      </c>
      <c r="B17" s="140">
        <v>5.3E-3</v>
      </c>
      <c r="C17" s="140">
        <v>7.8000000000000005E-3</v>
      </c>
      <c r="D17" s="140">
        <v>4.7800000000000016E-2</v>
      </c>
      <c r="E17" s="140">
        <v>5.5894409495776523E-2</v>
      </c>
      <c r="F17" s="140">
        <v>2.3900000000000001E-2</v>
      </c>
      <c r="G17" s="140">
        <v>1.7300000000000003E-2</v>
      </c>
      <c r="H17" s="140">
        <v>2.4497549866243383E-2</v>
      </c>
      <c r="I17" s="140">
        <v>1.1001100306490654E-2</v>
      </c>
      <c r="J17" s="140">
        <v>0.1291128999181424</v>
      </c>
      <c r="K17" s="140">
        <v>2.3137018092966349E-2</v>
      </c>
      <c r="L17" s="140">
        <v>0</v>
      </c>
      <c r="M17" s="140">
        <v>1.140114006328773E-2</v>
      </c>
      <c r="N17" s="140">
        <v>2.5800000000000007E-2</v>
      </c>
      <c r="O17" s="140">
        <v>1.1001099734851496E-3</v>
      </c>
      <c r="P17" s="140">
        <v>1.1000000000000001E-3</v>
      </c>
      <c r="Q17" s="140">
        <v>1.0001999994468895E-2</v>
      </c>
      <c r="R17" s="140">
        <v>0</v>
      </c>
      <c r="S17" s="140">
        <v>0</v>
      </c>
      <c r="T17" s="140">
        <v>0</v>
      </c>
      <c r="U17" s="140">
        <v>1.5301530116291632E-2</v>
      </c>
      <c r="V17" s="140">
        <v>0</v>
      </c>
      <c r="W17" s="140">
        <v>0</v>
      </c>
      <c r="X17" s="140">
        <v>0</v>
      </c>
      <c r="Y17" s="140">
        <v>0</v>
      </c>
      <c r="Z17" s="140">
        <v>0</v>
      </c>
      <c r="AA17" s="140">
        <v>0</v>
      </c>
      <c r="AB17" s="140">
        <v>0</v>
      </c>
      <c r="AC17" s="140">
        <v>0</v>
      </c>
      <c r="AD17" s="140">
        <v>0</v>
      </c>
      <c r="AE17" s="140">
        <v>0</v>
      </c>
      <c r="AF17" s="140">
        <v>0</v>
      </c>
      <c r="AG17" s="140">
        <v>0</v>
      </c>
      <c r="AH17" s="140">
        <v>0</v>
      </c>
    </row>
    <row r="18" spans="1:34" customFormat="1" x14ac:dyDescent="0.15">
      <c r="A18" s="174" t="s">
        <v>208</v>
      </c>
      <c r="B18" s="140">
        <v>0.56659999999999999</v>
      </c>
      <c r="C18" s="140">
        <v>0.57760000000000011</v>
      </c>
      <c r="D18" s="140">
        <v>5.3000000000000009E-3</v>
      </c>
      <c r="E18" s="140">
        <v>0.14018598073538224</v>
      </c>
      <c r="F18" s="140">
        <v>6.8900000000000003E-2</v>
      </c>
      <c r="G18" s="140">
        <v>0.69880000000000009</v>
      </c>
      <c r="H18" s="140">
        <v>0.39156085086207781</v>
      </c>
      <c r="I18" s="140">
        <v>0.32043204592723679</v>
      </c>
      <c r="J18" s="140">
        <v>0.33643364878670101</v>
      </c>
      <c r="K18" s="140">
        <v>0.66205929979873401</v>
      </c>
      <c r="L18" s="140">
        <v>0.11381137285869956</v>
      </c>
      <c r="M18" s="140">
        <v>2.320232012879608E-2</v>
      </c>
      <c r="N18" s="140">
        <v>9.9300000000000027E-2</v>
      </c>
      <c r="O18" s="140">
        <v>0.20962096294771554</v>
      </c>
      <c r="P18" s="140">
        <v>7.1599999999999997E-2</v>
      </c>
      <c r="Q18" s="140">
        <v>1.1402280993694541E-2</v>
      </c>
      <c r="R18" s="140">
        <v>2.0299999999999999E-2</v>
      </c>
      <c r="S18" s="140">
        <v>0</v>
      </c>
      <c r="T18" s="140">
        <v>1.5100000000000001E-2</v>
      </c>
      <c r="U18" s="140">
        <v>7.4107416563216372E-2</v>
      </c>
      <c r="V18" s="140">
        <v>0.16220000000000001</v>
      </c>
      <c r="W18" s="140">
        <v>3.3E-3</v>
      </c>
      <c r="X18" s="140">
        <v>0</v>
      </c>
      <c r="Y18" s="140">
        <v>0</v>
      </c>
      <c r="Z18" s="140">
        <v>0</v>
      </c>
      <c r="AA18" s="140">
        <v>0</v>
      </c>
      <c r="AB18" s="140">
        <v>0</v>
      </c>
      <c r="AC18" s="140">
        <v>0</v>
      </c>
      <c r="AD18" s="140">
        <v>0</v>
      </c>
      <c r="AE18" s="140">
        <v>0</v>
      </c>
      <c r="AF18" s="140">
        <v>0</v>
      </c>
      <c r="AG18" s="140">
        <v>0</v>
      </c>
      <c r="AH18" s="140">
        <v>0</v>
      </c>
    </row>
    <row r="19" spans="1:34" customFormat="1" x14ac:dyDescent="0.15">
      <c r="A19" s="174" t="s">
        <v>209</v>
      </c>
      <c r="B19" s="140">
        <v>5.3100000000000001E-2</v>
      </c>
      <c r="C19" s="140">
        <v>0</v>
      </c>
      <c r="D19" s="140">
        <v>0</v>
      </c>
      <c r="E19" s="140">
        <v>6.2193776838949923E-2</v>
      </c>
      <c r="F19" s="140">
        <v>0</v>
      </c>
      <c r="G19" s="140">
        <v>6.140000000000001E-2</v>
      </c>
      <c r="H19" s="140">
        <v>3.2496749822567748E-2</v>
      </c>
      <c r="I19" s="140">
        <v>3.8203821064358455E-2</v>
      </c>
      <c r="J19" s="140">
        <v>2.0001998887318728E-4</v>
      </c>
      <c r="K19" s="140">
        <v>4.1065704987516029E-3</v>
      </c>
      <c r="L19" s="140">
        <v>4.0003997498839914E-4</v>
      </c>
      <c r="M19" s="140">
        <v>4.5004496649819967E-3</v>
      </c>
      <c r="N19" s="140">
        <v>2.1000000000000003E-3</v>
      </c>
      <c r="O19" s="140">
        <v>1.5001500338433838E-3</v>
      </c>
      <c r="P19" s="140">
        <v>0</v>
      </c>
      <c r="Q19" s="140">
        <v>0</v>
      </c>
      <c r="R19" s="140">
        <v>0</v>
      </c>
      <c r="S19" s="140">
        <v>0</v>
      </c>
      <c r="T19" s="140">
        <v>0</v>
      </c>
      <c r="U19" s="140">
        <v>8.200820062326232E-3</v>
      </c>
      <c r="V19" s="140">
        <v>2.0000000000000001E-4</v>
      </c>
      <c r="W19" s="140">
        <v>1.1999999999999999E-3</v>
      </c>
      <c r="X19" s="140">
        <v>0</v>
      </c>
      <c r="Y19" s="140">
        <v>0</v>
      </c>
      <c r="Z19" s="140">
        <v>0</v>
      </c>
      <c r="AA19" s="140">
        <v>0</v>
      </c>
      <c r="AB19" s="140">
        <v>0</v>
      </c>
      <c r="AC19" s="140">
        <v>0</v>
      </c>
      <c r="AD19" s="140">
        <v>0</v>
      </c>
      <c r="AE19" s="140">
        <v>0</v>
      </c>
      <c r="AF19" s="140">
        <v>0</v>
      </c>
      <c r="AG19" s="140">
        <v>0</v>
      </c>
      <c r="AH19" s="140">
        <v>0</v>
      </c>
    </row>
    <row r="20" spans="1:34" customFormat="1" x14ac:dyDescent="0.15">
      <c r="A20" s="174" t="s">
        <v>210</v>
      </c>
      <c r="B20" s="140">
        <v>0</v>
      </c>
      <c r="C20" s="140">
        <v>1.2000000000000001E-3</v>
      </c>
      <c r="D20" s="140">
        <v>0.11000000000000003</v>
      </c>
      <c r="E20" s="140">
        <v>0</v>
      </c>
      <c r="F20" s="140">
        <v>0</v>
      </c>
      <c r="G20" s="140">
        <v>3.2300000000000009E-2</v>
      </c>
      <c r="H20" s="140">
        <v>3.6996299798000214E-3</v>
      </c>
      <c r="I20" s="140">
        <v>0</v>
      </c>
      <c r="J20" s="140">
        <v>0</v>
      </c>
      <c r="K20" s="140">
        <v>0</v>
      </c>
      <c r="L20" s="140">
        <v>5.0004999498549875E-4</v>
      </c>
      <c r="M20" s="140">
        <v>0</v>
      </c>
      <c r="N20" s="140">
        <v>5.0000000000000012E-4</v>
      </c>
      <c r="O20" s="140">
        <v>0</v>
      </c>
      <c r="P20" s="140">
        <v>2.2000000000000001E-3</v>
      </c>
      <c r="Q20" s="140">
        <v>1.6003199991150231E-3</v>
      </c>
      <c r="R20" s="140">
        <v>0</v>
      </c>
      <c r="S20" s="140">
        <v>0</v>
      </c>
      <c r="T20" s="140">
        <v>1E-3</v>
      </c>
      <c r="U20" s="140">
        <v>1.8201820138333834E-2</v>
      </c>
      <c r="V20" s="140">
        <v>0</v>
      </c>
      <c r="W20" s="140">
        <v>0</v>
      </c>
      <c r="X20" s="140">
        <v>0</v>
      </c>
      <c r="Y20" s="140">
        <v>0</v>
      </c>
      <c r="Z20" s="140">
        <v>0</v>
      </c>
      <c r="AA20" s="140">
        <v>0</v>
      </c>
      <c r="AB20" s="140">
        <v>0</v>
      </c>
      <c r="AC20" s="140">
        <v>0</v>
      </c>
      <c r="AD20" s="140">
        <v>0</v>
      </c>
      <c r="AE20" s="140">
        <v>0</v>
      </c>
      <c r="AF20" s="140">
        <v>0</v>
      </c>
      <c r="AG20" s="140">
        <v>0</v>
      </c>
      <c r="AH20" s="140">
        <v>0</v>
      </c>
    </row>
    <row r="21" spans="1:34" customFormat="1" x14ac:dyDescent="0.15">
      <c r="A21" s="174" t="s">
        <v>211</v>
      </c>
      <c r="B21" s="140">
        <v>2.2000000000000001E-3</v>
      </c>
      <c r="C21" s="140">
        <v>1.5000000000000002E-3</v>
      </c>
      <c r="D21" s="140">
        <v>0</v>
      </c>
      <c r="E21" s="140">
        <v>5.5994395594874541E-3</v>
      </c>
      <c r="F21" s="140">
        <v>8.7900000000000006E-2</v>
      </c>
      <c r="G21" s="140">
        <v>4.0000000000000007E-4</v>
      </c>
      <c r="H21" s="140">
        <v>0</v>
      </c>
      <c r="I21" s="140">
        <v>0</v>
      </c>
      <c r="J21" s="140">
        <v>0</v>
      </c>
      <c r="K21" s="140">
        <v>0</v>
      </c>
      <c r="L21" s="140">
        <v>0</v>
      </c>
      <c r="M21" s="140">
        <v>0</v>
      </c>
      <c r="N21" s="140">
        <v>0</v>
      </c>
      <c r="O21" s="140">
        <v>0</v>
      </c>
      <c r="P21" s="140">
        <v>0</v>
      </c>
      <c r="Q21" s="140">
        <v>0</v>
      </c>
      <c r="R21" s="140">
        <v>0</v>
      </c>
      <c r="S21" s="140">
        <v>0</v>
      </c>
      <c r="T21" s="140">
        <v>0</v>
      </c>
      <c r="U21" s="140">
        <v>0</v>
      </c>
      <c r="V21" s="140">
        <v>0</v>
      </c>
      <c r="W21" s="140">
        <v>0</v>
      </c>
      <c r="X21" s="140">
        <v>0</v>
      </c>
      <c r="Y21" s="140">
        <v>0</v>
      </c>
      <c r="Z21" s="140">
        <v>0</v>
      </c>
      <c r="AA21" s="140">
        <v>0</v>
      </c>
      <c r="AB21" s="140">
        <v>0</v>
      </c>
      <c r="AC21" s="140">
        <v>0</v>
      </c>
      <c r="AD21" s="140">
        <v>0</v>
      </c>
      <c r="AE21" s="140">
        <v>0</v>
      </c>
      <c r="AF21" s="140">
        <v>0</v>
      </c>
      <c r="AG21" s="140">
        <v>0</v>
      </c>
      <c r="AH21" s="140">
        <v>0</v>
      </c>
    </row>
    <row r="22" spans="1:34" customFormat="1" x14ac:dyDescent="0.15">
      <c r="A22" s="174" t="s">
        <v>212</v>
      </c>
      <c r="B22" s="140">
        <v>8.1299999999999997E-2</v>
      </c>
      <c r="C22" s="140">
        <v>6.5000000000000006E-3</v>
      </c>
      <c r="D22" s="140">
        <v>3.6300000000000006E-2</v>
      </c>
      <c r="E22" s="140">
        <v>7.8992105287412212E-2</v>
      </c>
      <c r="F22" s="140">
        <v>0.37240000000000001</v>
      </c>
      <c r="G22" s="140">
        <v>1.6100000000000003E-2</v>
      </c>
      <c r="H22" s="140">
        <v>8.9990999508649163E-3</v>
      </c>
      <c r="I22" s="140">
        <v>1.0001000278627868E-3</v>
      </c>
      <c r="J22" s="140">
        <v>1.0501049493342332E-2</v>
      </c>
      <c r="K22" s="140">
        <v>1.0717147996741987E-2</v>
      </c>
      <c r="L22" s="140">
        <v>0</v>
      </c>
      <c r="M22" s="140">
        <v>0</v>
      </c>
      <c r="N22" s="140">
        <v>0</v>
      </c>
      <c r="O22" s="140">
        <v>2.5002499397389758E-3</v>
      </c>
      <c r="P22" s="140">
        <v>0</v>
      </c>
      <c r="Q22" s="140">
        <v>6.0012005266813374E-4</v>
      </c>
      <c r="R22" s="140">
        <v>0</v>
      </c>
      <c r="S22" s="140">
        <v>0</v>
      </c>
      <c r="T22" s="140">
        <v>0</v>
      </c>
      <c r="U22" s="140">
        <v>1.1701169488928888E-2</v>
      </c>
      <c r="V22" s="140">
        <v>0</v>
      </c>
      <c r="W22" s="140">
        <v>0</v>
      </c>
      <c r="X22" s="140">
        <v>0</v>
      </c>
      <c r="Y22" s="140">
        <v>0</v>
      </c>
      <c r="Z22" s="140">
        <v>0</v>
      </c>
      <c r="AA22" s="140">
        <v>0</v>
      </c>
      <c r="AB22" s="140">
        <v>0</v>
      </c>
      <c r="AC22" s="140">
        <v>0</v>
      </c>
      <c r="AD22" s="140">
        <v>0</v>
      </c>
      <c r="AE22" s="140">
        <v>0</v>
      </c>
      <c r="AF22" s="140">
        <v>0</v>
      </c>
      <c r="AG22" s="140">
        <v>0</v>
      </c>
      <c r="AH22" s="140">
        <v>0</v>
      </c>
    </row>
    <row r="23" spans="1:34" customFormat="1" x14ac:dyDescent="0.15">
      <c r="A23" s="174" t="s">
        <v>213</v>
      </c>
      <c r="B23" s="140">
        <v>8.9099999999999999E-2</v>
      </c>
      <c r="C23" s="140">
        <v>1.3100000000000002E-2</v>
      </c>
      <c r="D23" s="140">
        <v>7.4900000000000008E-2</v>
      </c>
      <c r="E23" s="140">
        <v>8.4991499233291662E-2</v>
      </c>
      <c r="F23" s="140">
        <v>0.24970000000000001</v>
      </c>
      <c r="G23" s="140">
        <v>1.6400000000000005E-2</v>
      </c>
      <c r="H23" s="140">
        <v>3.7196279796908316E-2</v>
      </c>
      <c r="I23" s="140">
        <v>7.0007001950395077E-4</v>
      </c>
      <c r="J23" s="140">
        <v>0.13951395491154811</v>
      </c>
      <c r="K23" s="140">
        <v>0</v>
      </c>
      <c r="L23" s="140">
        <v>1.0000999399709978E-4</v>
      </c>
      <c r="M23" s="140">
        <v>3.2003198477649755E-3</v>
      </c>
      <c r="N23" s="140">
        <v>6.700000000000002E-3</v>
      </c>
      <c r="O23" s="140">
        <v>2.0001999517911808E-3</v>
      </c>
      <c r="P23" s="140">
        <v>0</v>
      </c>
      <c r="Q23" s="140">
        <v>0</v>
      </c>
      <c r="R23" s="140">
        <v>0</v>
      </c>
      <c r="S23" s="140">
        <v>0</v>
      </c>
      <c r="T23" s="140">
        <v>0</v>
      </c>
      <c r="U23" s="140">
        <v>4.7904790364076411E-2</v>
      </c>
      <c r="V23" s="140">
        <v>0</v>
      </c>
      <c r="W23" s="140">
        <v>0</v>
      </c>
      <c r="X23" s="140">
        <v>0</v>
      </c>
      <c r="Y23" s="140">
        <v>0</v>
      </c>
      <c r="Z23" s="140">
        <v>0</v>
      </c>
      <c r="AA23" s="140">
        <v>0</v>
      </c>
      <c r="AB23" s="140">
        <v>0</v>
      </c>
      <c r="AC23" s="140">
        <v>0</v>
      </c>
      <c r="AD23" s="140">
        <v>0</v>
      </c>
      <c r="AE23" s="140">
        <v>0</v>
      </c>
      <c r="AF23" s="140">
        <v>0</v>
      </c>
      <c r="AG23" s="140">
        <v>0</v>
      </c>
      <c r="AH23" s="140">
        <v>0</v>
      </c>
    </row>
    <row r="24" spans="1:34" customFormat="1" x14ac:dyDescent="0.15">
      <c r="A24" s="174" t="s">
        <v>214</v>
      </c>
      <c r="B24" s="140">
        <v>6.9999999999999999E-4</v>
      </c>
      <c r="C24" s="140">
        <v>1.2100000000000001E-2</v>
      </c>
      <c r="D24" s="140">
        <v>0</v>
      </c>
      <c r="E24" s="140">
        <v>9.9989999097990193E-5</v>
      </c>
      <c r="F24" s="140">
        <v>5.4600000000000003E-2</v>
      </c>
      <c r="G24" s="140">
        <v>1.3100000000000002E-2</v>
      </c>
      <c r="H24" s="140">
        <v>8.9691029510286999E-2</v>
      </c>
      <c r="I24" s="140">
        <v>0.31663165382135788</v>
      </c>
      <c r="J24" s="140">
        <v>0.25452545283863082</v>
      </c>
      <c r="K24" s="140">
        <v>0.15444712295304808</v>
      </c>
      <c r="L24" s="140">
        <v>6.8006799318027821E-3</v>
      </c>
      <c r="M24" s="140">
        <v>1.1501150063842886E-2</v>
      </c>
      <c r="N24" s="140">
        <v>7.0000000000000021E-2</v>
      </c>
      <c r="O24" s="140">
        <v>6.1306128522399694E-2</v>
      </c>
      <c r="P24" s="140">
        <v>5.0799999999999998E-2</v>
      </c>
      <c r="Q24" s="140">
        <v>1.7403481490375877E-2</v>
      </c>
      <c r="R24" s="140">
        <v>0</v>
      </c>
      <c r="S24" s="140">
        <v>0</v>
      </c>
      <c r="T24" s="140">
        <v>0</v>
      </c>
      <c r="U24" s="140">
        <v>0.21652165264556458</v>
      </c>
      <c r="V24" s="140">
        <v>1.6999999999999999E-3</v>
      </c>
      <c r="W24" s="140">
        <v>0</v>
      </c>
      <c r="X24" s="140">
        <v>0</v>
      </c>
      <c r="Y24" s="140">
        <v>2.1002100210021002E-3</v>
      </c>
      <c r="Z24" s="140">
        <v>0</v>
      </c>
      <c r="AA24" s="140">
        <v>0</v>
      </c>
      <c r="AB24" s="140">
        <v>0</v>
      </c>
      <c r="AC24" s="140">
        <v>0</v>
      </c>
      <c r="AD24" s="140">
        <v>0</v>
      </c>
      <c r="AE24" s="140">
        <v>0</v>
      </c>
      <c r="AF24" s="140">
        <v>0</v>
      </c>
      <c r="AG24" s="140">
        <v>0</v>
      </c>
      <c r="AH24" s="140">
        <v>0</v>
      </c>
    </row>
    <row r="25" spans="1:34" customFormat="1" x14ac:dyDescent="0.15">
      <c r="A25" s="174" t="s">
        <v>215</v>
      </c>
      <c r="B25" s="140">
        <v>0</v>
      </c>
      <c r="C25" s="140">
        <v>4.8000000000000004E-3</v>
      </c>
      <c r="D25" s="140">
        <v>0</v>
      </c>
      <c r="E25" s="140">
        <v>6.9992994468593176E-4</v>
      </c>
      <c r="F25" s="140">
        <v>4.0000000000000001E-3</v>
      </c>
      <c r="G25" s="140">
        <v>0</v>
      </c>
      <c r="H25" s="140">
        <v>0.15508449015323872</v>
      </c>
      <c r="I25" s="140">
        <v>1.9501950543324341E-2</v>
      </c>
      <c r="J25" s="140">
        <v>0</v>
      </c>
      <c r="K25" s="140">
        <v>0</v>
      </c>
      <c r="L25" s="140">
        <v>4.6004599538665876E-3</v>
      </c>
      <c r="M25" s="140">
        <v>5.9005900327541759E-3</v>
      </c>
      <c r="N25" s="140">
        <v>0.32520000000000004</v>
      </c>
      <c r="O25" s="140">
        <v>0</v>
      </c>
      <c r="P25" s="140">
        <v>7.6999999999999999E-2</v>
      </c>
      <c r="Q25" s="140">
        <v>8.3016599954091833E-3</v>
      </c>
      <c r="R25" s="140">
        <v>0</v>
      </c>
      <c r="S25" s="140">
        <v>0</v>
      </c>
      <c r="T25" s="140">
        <v>0</v>
      </c>
      <c r="U25" s="140">
        <v>1.1501150087408742E-2</v>
      </c>
      <c r="V25" s="140">
        <v>0</v>
      </c>
      <c r="W25" s="140">
        <v>0</v>
      </c>
      <c r="X25" s="140">
        <v>0</v>
      </c>
      <c r="Y25" s="140">
        <v>2.0002000200020003E-4</v>
      </c>
      <c r="Z25" s="140">
        <v>0</v>
      </c>
      <c r="AA25" s="140">
        <v>0</v>
      </c>
      <c r="AB25" s="140">
        <v>0</v>
      </c>
      <c r="AC25" s="140">
        <v>0</v>
      </c>
      <c r="AD25" s="140">
        <v>0</v>
      </c>
      <c r="AE25" s="140">
        <v>0</v>
      </c>
      <c r="AF25" s="140">
        <v>0</v>
      </c>
      <c r="AG25" s="140">
        <v>0</v>
      </c>
      <c r="AH25" s="140">
        <v>0</v>
      </c>
    </row>
    <row r="26" spans="1:34" customFormat="1" x14ac:dyDescent="0.15">
      <c r="A26" s="174" t="s">
        <v>216</v>
      </c>
      <c r="B26" s="140">
        <v>0</v>
      </c>
      <c r="C26" s="140">
        <v>0</v>
      </c>
      <c r="D26" s="140">
        <v>0</v>
      </c>
      <c r="E26" s="140">
        <v>0</v>
      </c>
      <c r="F26" s="140">
        <v>0</v>
      </c>
      <c r="G26" s="140">
        <v>0</v>
      </c>
      <c r="H26" s="140">
        <v>1.0598939942129789E-2</v>
      </c>
      <c r="I26" s="140">
        <v>5.000500139313934E-4</v>
      </c>
      <c r="J26" s="140">
        <v>1.0000999493659365E-4</v>
      </c>
      <c r="K26" s="140">
        <v>0</v>
      </c>
      <c r="L26" s="140">
        <v>2.6102609738243028E-2</v>
      </c>
      <c r="M26" s="140">
        <v>0.23462344830239479</v>
      </c>
      <c r="N26" s="140">
        <v>1.9500000000000003E-2</v>
      </c>
      <c r="O26" s="140">
        <v>0</v>
      </c>
      <c r="P26" s="140">
        <v>0.1208</v>
      </c>
      <c r="Q26" s="140">
        <v>6.6913379962996899E-2</v>
      </c>
      <c r="R26" s="140">
        <v>0</v>
      </c>
      <c r="S26" s="140">
        <v>0</v>
      </c>
      <c r="T26" s="140">
        <v>0</v>
      </c>
      <c r="U26" s="140">
        <v>1.8901890143654367E-2</v>
      </c>
      <c r="V26" s="140">
        <v>0</v>
      </c>
      <c r="W26" s="140">
        <v>0</v>
      </c>
      <c r="X26" s="140">
        <v>0</v>
      </c>
      <c r="Y26" s="140">
        <v>7.8107810781078105E-2</v>
      </c>
      <c r="Z26" s="140">
        <v>0</v>
      </c>
      <c r="AA26" s="140">
        <v>0</v>
      </c>
      <c r="AB26" s="140">
        <v>0</v>
      </c>
      <c r="AC26" s="140">
        <v>0</v>
      </c>
      <c r="AD26" s="140">
        <v>0</v>
      </c>
      <c r="AE26" s="140">
        <v>0</v>
      </c>
      <c r="AF26" s="140">
        <v>0</v>
      </c>
      <c r="AG26" s="140">
        <v>0</v>
      </c>
      <c r="AH26" s="140">
        <v>0</v>
      </c>
    </row>
    <row r="27" spans="1:34" customFormat="1" x14ac:dyDescent="0.15">
      <c r="A27" s="174" t="s">
        <v>217</v>
      </c>
      <c r="B27" s="140">
        <v>0</v>
      </c>
      <c r="C27" s="140">
        <v>0</v>
      </c>
      <c r="D27" s="140">
        <v>0</v>
      </c>
      <c r="E27" s="140">
        <v>0</v>
      </c>
      <c r="F27" s="140">
        <v>2E-3</v>
      </c>
      <c r="G27" s="140">
        <v>4.0000000000000007E-4</v>
      </c>
      <c r="H27" s="140">
        <v>3.799619979254076E-3</v>
      </c>
      <c r="I27" s="140">
        <v>4.0004001114511472E-4</v>
      </c>
      <c r="J27" s="140">
        <v>0</v>
      </c>
      <c r="K27" s="140">
        <v>9.0144225372596159E-4</v>
      </c>
      <c r="L27" s="140">
        <v>0.21332132586081376</v>
      </c>
      <c r="M27" s="140">
        <v>0.18881888804813365</v>
      </c>
      <c r="N27" s="140">
        <v>1.9500000000000003E-2</v>
      </c>
      <c r="O27" s="140">
        <v>1.0000999758955904E-4</v>
      </c>
      <c r="P27" s="140">
        <v>3.6799999999999999E-2</v>
      </c>
      <c r="Q27" s="140">
        <v>7.7115423957355184E-2</v>
      </c>
      <c r="R27" s="140">
        <v>0</v>
      </c>
      <c r="S27" s="140">
        <v>0</v>
      </c>
      <c r="T27" s="140">
        <v>0</v>
      </c>
      <c r="U27" s="140">
        <v>0</v>
      </c>
      <c r="V27" s="140">
        <v>1.6999999999999999E-3</v>
      </c>
      <c r="W27" s="140">
        <v>0</v>
      </c>
      <c r="X27" s="140">
        <v>0</v>
      </c>
      <c r="Y27" s="140">
        <v>0.24582459245824595</v>
      </c>
      <c r="Z27" s="140">
        <v>0</v>
      </c>
      <c r="AA27" s="140">
        <v>0</v>
      </c>
      <c r="AB27" s="140">
        <v>0</v>
      </c>
      <c r="AC27" s="140">
        <v>0</v>
      </c>
      <c r="AD27" s="140">
        <v>0</v>
      </c>
      <c r="AE27" s="140">
        <v>0</v>
      </c>
      <c r="AF27" s="140">
        <v>0</v>
      </c>
      <c r="AG27" s="140">
        <v>0</v>
      </c>
      <c r="AH27" s="140">
        <v>0</v>
      </c>
    </row>
    <row r="28" spans="1:34" customFormat="1" x14ac:dyDescent="0.15">
      <c r="A28" s="174" t="s">
        <v>218</v>
      </c>
      <c r="B28" s="140">
        <v>0</v>
      </c>
      <c r="C28" s="140">
        <v>0</v>
      </c>
      <c r="D28" s="140">
        <v>0</v>
      </c>
      <c r="E28" s="140">
        <v>0</v>
      </c>
      <c r="F28" s="140">
        <v>0</v>
      </c>
      <c r="G28" s="140">
        <v>0</v>
      </c>
      <c r="H28" s="140">
        <v>1.4998499918108194E-3</v>
      </c>
      <c r="I28" s="140">
        <v>3.7003701030923113E-3</v>
      </c>
      <c r="J28" s="140">
        <v>3.0003001980978089E-4</v>
      </c>
      <c r="K28" s="140">
        <v>0</v>
      </c>
      <c r="L28" s="140">
        <v>0.17551755723990992</v>
      </c>
      <c r="M28" s="140">
        <v>0.31693170175928786</v>
      </c>
      <c r="N28" s="140">
        <v>0.10670000000000003</v>
      </c>
      <c r="O28" s="140">
        <v>0</v>
      </c>
      <c r="P28" s="140">
        <v>0.3478</v>
      </c>
      <c r="Q28" s="140">
        <v>0.1946389228923647</v>
      </c>
      <c r="R28" s="140">
        <v>0</v>
      </c>
      <c r="S28" s="140">
        <v>0</v>
      </c>
      <c r="T28" s="140">
        <v>0</v>
      </c>
      <c r="U28" s="140">
        <v>3.5503550269826989E-2</v>
      </c>
      <c r="V28" s="140">
        <v>0</v>
      </c>
      <c r="W28" s="140">
        <v>0</v>
      </c>
      <c r="X28" s="140">
        <v>2.249775067493252E-2</v>
      </c>
      <c r="Y28" s="140">
        <v>0.15421542654215425</v>
      </c>
      <c r="Z28" s="140">
        <v>0</v>
      </c>
      <c r="AA28" s="140">
        <v>0</v>
      </c>
      <c r="AB28" s="140">
        <v>0.13450000000000001</v>
      </c>
      <c r="AC28" s="140">
        <v>0</v>
      </c>
      <c r="AD28" s="140">
        <v>0</v>
      </c>
      <c r="AE28" s="140">
        <v>0</v>
      </c>
      <c r="AF28" s="140">
        <v>0</v>
      </c>
      <c r="AG28" s="140">
        <v>0</v>
      </c>
      <c r="AH28" s="140">
        <v>0</v>
      </c>
    </row>
    <row r="29" spans="1:34" customFormat="1" x14ac:dyDescent="0.15">
      <c r="A29" s="174" t="s">
        <v>219</v>
      </c>
      <c r="B29" s="140">
        <v>0</v>
      </c>
      <c r="C29" s="140">
        <v>3.0900000000000004E-2</v>
      </c>
      <c r="D29" s="140">
        <v>0</v>
      </c>
      <c r="E29" s="140">
        <v>0</v>
      </c>
      <c r="F29" s="140">
        <v>1E-3</v>
      </c>
      <c r="G29" s="140">
        <v>1.3900000000000001E-2</v>
      </c>
      <c r="H29" s="140">
        <v>1.1998799934486554E-3</v>
      </c>
      <c r="I29" s="140">
        <v>4.0004001114511472E-4</v>
      </c>
      <c r="J29" s="140">
        <v>1.0000999493659365E-4</v>
      </c>
      <c r="K29" s="140">
        <v>0</v>
      </c>
      <c r="L29" s="140">
        <v>0.36053606538454436</v>
      </c>
      <c r="M29" s="140">
        <v>0.16251625190212773</v>
      </c>
      <c r="N29" s="140">
        <v>1.2900000000000003E-2</v>
      </c>
      <c r="O29" s="140">
        <v>0</v>
      </c>
      <c r="P29" s="140">
        <v>8.7599999999999997E-2</v>
      </c>
      <c r="Q29" s="140">
        <v>0.25315064186000769</v>
      </c>
      <c r="R29" s="140">
        <v>0</v>
      </c>
      <c r="S29" s="140">
        <v>4.0000000000000002E-4</v>
      </c>
      <c r="T29" s="140">
        <v>0</v>
      </c>
      <c r="U29" s="140">
        <v>0.13161316600026007</v>
      </c>
      <c r="V29" s="140">
        <v>0</v>
      </c>
      <c r="W29" s="140">
        <v>9.6199999999999994E-2</v>
      </c>
      <c r="X29" s="140">
        <v>2.249775067493252E-2</v>
      </c>
      <c r="Y29" s="140">
        <v>0.21472147314721474</v>
      </c>
      <c r="Z29" s="140">
        <v>0</v>
      </c>
      <c r="AA29" s="140">
        <v>0</v>
      </c>
      <c r="AB29" s="140">
        <v>0</v>
      </c>
      <c r="AC29" s="140">
        <v>0</v>
      </c>
      <c r="AD29" s="140">
        <v>0</v>
      </c>
      <c r="AE29" s="140">
        <v>0</v>
      </c>
      <c r="AF29" s="140">
        <v>0</v>
      </c>
      <c r="AG29" s="140">
        <v>0</v>
      </c>
      <c r="AH29" s="140">
        <v>0</v>
      </c>
    </row>
    <row r="30" spans="1:34" customFormat="1" x14ac:dyDescent="0.15">
      <c r="A30" s="174" t="s">
        <v>220</v>
      </c>
      <c r="B30" s="140">
        <v>0.104</v>
      </c>
      <c r="C30" s="140">
        <v>0.11190000000000001</v>
      </c>
      <c r="D30" s="140">
        <v>0</v>
      </c>
      <c r="E30" s="140">
        <v>0</v>
      </c>
      <c r="F30" s="140">
        <v>0</v>
      </c>
      <c r="G30" s="140">
        <v>0.11070000000000002</v>
      </c>
      <c r="H30" s="140">
        <v>0.14598539920291975</v>
      </c>
      <c r="I30" s="140">
        <v>0.28202820785730587</v>
      </c>
      <c r="J30" s="140">
        <v>1.5001499990489045E-2</v>
      </c>
      <c r="K30" s="140">
        <v>0.1373196999582548</v>
      </c>
      <c r="L30" s="140">
        <v>7.8407839213726196E-2</v>
      </c>
      <c r="M30" s="140">
        <v>2.6002600144340436E-2</v>
      </c>
      <c r="N30" s="140">
        <v>1.9500000000000003E-2</v>
      </c>
      <c r="O30" s="140">
        <v>0.53735374104870015</v>
      </c>
      <c r="P30" s="140">
        <v>0.13039999999999999</v>
      </c>
      <c r="Q30" s="140">
        <v>7.3314659959457004E-2</v>
      </c>
      <c r="R30" s="140">
        <v>0.5141</v>
      </c>
      <c r="S30" s="140">
        <v>0.2452</v>
      </c>
      <c r="T30" s="140">
        <v>0.37190000000000001</v>
      </c>
      <c r="U30" s="140">
        <v>0.35333532368534848</v>
      </c>
      <c r="V30" s="140">
        <v>0.3866</v>
      </c>
      <c r="W30" s="140">
        <v>0.60640000000000005</v>
      </c>
      <c r="X30" s="140">
        <v>0.17998200539946016</v>
      </c>
      <c r="Y30" s="140">
        <v>0.12911290129112901</v>
      </c>
      <c r="Z30" s="140">
        <v>0</v>
      </c>
      <c r="AA30" s="140">
        <v>0</v>
      </c>
      <c r="AB30" s="140">
        <v>0</v>
      </c>
      <c r="AC30" s="140">
        <v>0</v>
      </c>
      <c r="AD30" s="140">
        <v>5.8205820465646561E-2</v>
      </c>
      <c r="AE30" s="140">
        <v>0</v>
      </c>
      <c r="AF30" s="140">
        <v>0</v>
      </c>
      <c r="AG30" s="140">
        <v>0</v>
      </c>
      <c r="AH30" s="140">
        <v>0</v>
      </c>
    </row>
    <row r="31" spans="1:34" customFormat="1" x14ac:dyDescent="0.15">
      <c r="A31" s="174" t="s">
        <v>221</v>
      </c>
      <c r="B31" s="140">
        <v>8.3000000000000004E-2</v>
      </c>
      <c r="C31" s="140">
        <v>0</v>
      </c>
      <c r="D31" s="140">
        <v>0</v>
      </c>
      <c r="E31" s="140">
        <v>0</v>
      </c>
      <c r="F31" s="140">
        <v>0</v>
      </c>
      <c r="G31" s="140">
        <v>2.2000000000000006E-3</v>
      </c>
      <c r="H31" s="140">
        <v>1.7998199901729831E-3</v>
      </c>
      <c r="I31" s="140">
        <v>3.000300223588364E-3</v>
      </c>
      <c r="J31" s="140">
        <v>1.0000999493659365E-4</v>
      </c>
      <c r="K31" s="140">
        <v>5.0080129984775648E-4</v>
      </c>
      <c r="L31" s="140">
        <v>6.2006199378201827E-3</v>
      </c>
      <c r="M31" s="140">
        <v>4.0003998122062194E-4</v>
      </c>
      <c r="N31" s="140">
        <v>5.0000000000000012E-4</v>
      </c>
      <c r="O31" s="140">
        <v>0.16101609611919004</v>
      </c>
      <c r="P31" s="140">
        <v>1.0699999999999999E-2</v>
      </c>
      <c r="Q31" s="140">
        <v>3.9007799978428695E-2</v>
      </c>
      <c r="R31" s="140">
        <v>0.46560000000000001</v>
      </c>
      <c r="S31" s="140">
        <v>0.75390000000000001</v>
      </c>
      <c r="T31" s="140">
        <v>0.61199999999999999</v>
      </c>
      <c r="U31" s="140">
        <v>1.4701470111731174E-2</v>
      </c>
      <c r="V31" s="140">
        <v>0.4476</v>
      </c>
      <c r="W31" s="140">
        <v>0.29289999999999999</v>
      </c>
      <c r="X31" s="140">
        <v>0.28277170848315131</v>
      </c>
      <c r="Y31" s="140">
        <v>3.3203320332033208E-2</v>
      </c>
      <c r="Z31" s="140">
        <v>0</v>
      </c>
      <c r="AA31" s="140">
        <v>0</v>
      </c>
      <c r="AB31" s="140">
        <v>0</v>
      </c>
      <c r="AC31" s="140">
        <v>0</v>
      </c>
      <c r="AD31" s="140">
        <v>0.38213820305710561</v>
      </c>
      <c r="AE31" s="140">
        <v>0.1036</v>
      </c>
      <c r="AF31" s="140">
        <v>0</v>
      </c>
      <c r="AG31" s="140">
        <v>0</v>
      </c>
      <c r="AH31" s="140">
        <v>0</v>
      </c>
    </row>
    <row r="32" spans="1:34" customFormat="1" x14ac:dyDescent="0.15">
      <c r="A32" s="174" t="s">
        <v>222</v>
      </c>
      <c r="B32" s="140">
        <v>0</v>
      </c>
      <c r="C32" s="140">
        <v>0</v>
      </c>
      <c r="D32" s="140">
        <v>0</v>
      </c>
      <c r="E32" s="140">
        <v>0</v>
      </c>
      <c r="F32" s="140">
        <v>0</v>
      </c>
      <c r="G32" s="140">
        <v>0</v>
      </c>
      <c r="H32" s="140">
        <v>0</v>
      </c>
      <c r="I32" s="140">
        <v>0</v>
      </c>
      <c r="J32" s="140">
        <v>0</v>
      </c>
      <c r="K32" s="140">
        <v>0</v>
      </c>
      <c r="L32" s="140">
        <v>0</v>
      </c>
      <c r="M32" s="140">
        <v>0</v>
      </c>
      <c r="N32" s="140">
        <v>0</v>
      </c>
      <c r="O32" s="140">
        <v>0</v>
      </c>
      <c r="P32" s="140">
        <v>0</v>
      </c>
      <c r="Q32" s="140">
        <v>0</v>
      </c>
      <c r="R32" s="140">
        <v>0</v>
      </c>
      <c r="S32" s="140">
        <v>5.0000000000000001E-4</v>
      </c>
      <c r="T32" s="140">
        <v>0</v>
      </c>
      <c r="U32" s="140">
        <v>0</v>
      </c>
      <c r="V32" s="140">
        <v>0</v>
      </c>
      <c r="W32" s="140">
        <v>0</v>
      </c>
      <c r="X32" s="140">
        <v>0.12788722283661669</v>
      </c>
      <c r="Y32" s="140">
        <v>0</v>
      </c>
      <c r="Z32" s="140">
        <v>0</v>
      </c>
      <c r="AA32" s="140">
        <v>9.3200000000000005E-2</v>
      </c>
      <c r="AB32" s="140">
        <v>0.46889999999999998</v>
      </c>
      <c r="AC32" s="140">
        <v>0</v>
      </c>
      <c r="AD32" s="140">
        <v>0.45754576066036606</v>
      </c>
      <c r="AE32" s="140">
        <v>0.61799999999999999</v>
      </c>
      <c r="AF32" s="140">
        <v>0</v>
      </c>
      <c r="AG32" s="140">
        <v>0</v>
      </c>
      <c r="AH32" s="140">
        <v>0</v>
      </c>
    </row>
    <row r="33" spans="1:34" customFormat="1" x14ac:dyDescent="0.15">
      <c r="A33" s="174" t="s">
        <v>223</v>
      </c>
      <c r="B33" s="140">
        <v>0</v>
      </c>
      <c r="C33" s="140">
        <v>0</v>
      </c>
      <c r="D33" s="140">
        <v>0</v>
      </c>
      <c r="E33" s="140">
        <v>0</v>
      </c>
      <c r="F33" s="140">
        <v>0</v>
      </c>
      <c r="G33" s="140">
        <v>0</v>
      </c>
      <c r="H33" s="140">
        <v>0</v>
      </c>
      <c r="I33" s="140">
        <v>0</v>
      </c>
      <c r="J33" s="140">
        <v>0</v>
      </c>
      <c r="K33" s="140">
        <v>0</v>
      </c>
      <c r="L33" s="140">
        <v>0</v>
      </c>
      <c r="M33" s="140">
        <v>1.1001100061067108E-2</v>
      </c>
      <c r="N33" s="140">
        <v>0</v>
      </c>
      <c r="O33" s="140">
        <v>0</v>
      </c>
      <c r="P33" s="140">
        <v>0</v>
      </c>
      <c r="Q33" s="140">
        <v>0</v>
      </c>
      <c r="R33" s="140">
        <v>0</v>
      </c>
      <c r="S33" s="140">
        <v>0</v>
      </c>
      <c r="T33" s="140">
        <v>0</v>
      </c>
      <c r="U33" s="140">
        <v>0</v>
      </c>
      <c r="V33" s="140">
        <v>0</v>
      </c>
      <c r="W33" s="140">
        <v>0</v>
      </c>
      <c r="X33" s="140">
        <v>0.36436356193090685</v>
      </c>
      <c r="Y33" s="140">
        <v>0.14251424542514246</v>
      </c>
      <c r="Z33" s="140">
        <v>1</v>
      </c>
      <c r="AA33" s="140">
        <v>0.90680000000000005</v>
      </c>
      <c r="AB33" s="140">
        <v>0.39660000000000001</v>
      </c>
      <c r="AC33" s="140">
        <v>1</v>
      </c>
      <c r="AD33" s="140">
        <v>0.10211021581688173</v>
      </c>
      <c r="AE33" s="140">
        <v>0.27839999999999998</v>
      </c>
      <c r="AF33" s="140">
        <v>0</v>
      </c>
      <c r="AG33" s="140">
        <v>0</v>
      </c>
      <c r="AH33" s="140">
        <v>0</v>
      </c>
    </row>
    <row r="34" spans="1:34" customFormat="1" x14ac:dyDescent="0.15">
      <c r="A34" s="174" t="s">
        <v>224</v>
      </c>
      <c r="B34" s="140">
        <v>0</v>
      </c>
      <c r="C34" s="140">
        <v>0</v>
      </c>
      <c r="D34" s="140">
        <v>0</v>
      </c>
      <c r="E34" s="140">
        <v>0</v>
      </c>
      <c r="F34" s="140">
        <v>0</v>
      </c>
      <c r="G34" s="140">
        <v>0</v>
      </c>
      <c r="H34" s="140">
        <v>0</v>
      </c>
      <c r="I34" s="140">
        <v>0</v>
      </c>
      <c r="J34" s="140">
        <v>0</v>
      </c>
      <c r="K34" s="140">
        <v>0</v>
      </c>
      <c r="L34" s="140">
        <v>0</v>
      </c>
      <c r="M34" s="140">
        <v>0</v>
      </c>
      <c r="N34" s="140">
        <v>0</v>
      </c>
      <c r="O34" s="140">
        <v>0</v>
      </c>
      <c r="P34" s="140">
        <v>0</v>
      </c>
      <c r="Q34" s="140">
        <v>0</v>
      </c>
      <c r="R34" s="140">
        <v>0</v>
      </c>
      <c r="S34" s="140">
        <v>0</v>
      </c>
      <c r="T34" s="140">
        <v>0</v>
      </c>
      <c r="U34" s="140">
        <v>0</v>
      </c>
      <c r="V34" s="140">
        <v>0</v>
      </c>
      <c r="W34" s="140">
        <v>0</v>
      </c>
      <c r="X34" s="140">
        <v>0</v>
      </c>
      <c r="Y34" s="140">
        <v>0</v>
      </c>
      <c r="Z34" s="140">
        <v>0</v>
      </c>
      <c r="AA34" s="140">
        <v>0</v>
      </c>
      <c r="AB34" s="140">
        <v>0</v>
      </c>
      <c r="AC34" s="140">
        <v>0</v>
      </c>
      <c r="AD34" s="140">
        <v>0</v>
      </c>
      <c r="AE34" s="140">
        <v>0</v>
      </c>
      <c r="AF34" s="140">
        <v>0</v>
      </c>
      <c r="AG34" s="140">
        <v>0</v>
      </c>
      <c r="AH34" s="140">
        <v>0</v>
      </c>
    </row>
    <row r="35" spans="1:34" customFormat="1" x14ac:dyDescent="0.15">
      <c r="A35" s="174" t="s">
        <v>226</v>
      </c>
      <c r="B35" s="140">
        <v>0</v>
      </c>
      <c r="C35" s="140">
        <v>0</v>
      </c>
      <c r="D35" s="140">
        <v>0</v>
      </c>
      <c r="E35" s="140">
        <v>0</v>
      </c>
      <c r="F35" s="140">
        <v>0</v>
      </c>
      <c r="G35" s="140">
        <v>0</v>
      </c>
      <c r="H35" s="140">
        <v>0</v>
      </c>
      <c r="I35" s="140">
        <v>0</v>
      </c>
      <c r="J35" s="140">
        <v>0</v>
      </c>
      <c r="K35" s="140">
        <v>0</v>
      </c>
      <c r="L35" s="140">
        <v>0</v>
      </c>
      <c r="M35" s="140">
        <v>0</v>
      </c>
      <c r="N35" s="140">
        <v>0</v>
      </c>
      <c r="O35" s="140">
        <v>0</v>
      </c>
      <c r="P35" s="140">
        <v>0</v>
      </c>
      <c r="Q35" s="140">
        <v>0</v>
      </c>
      <c r="R35" s="140">
        <v>0</v>
      </c>
      <c r="S35" s="140">
        <v>0</v>
      </c>
      <c r="T35" s="140">
        <v>0</v>
      </c>
      <c r="U35" s="140">
        <v>0</v>
      </c>
      <c r="V35" s="140">
        <v>0</v>
      </c>
      <c r="W35" s="140">
        <v>0</v>
      </c>
      <c r="X35" s="140">
        <v>0</v>
      </c>
      <c r="Y35" s="140">
        <v>0</v>
      </c>
      <c r="Z35" s="140">
        <v>0</v>
      </c>
      <c r="AA35" s="140">
        <v>0</v>
      </c>
      <c r="AB35" s="140">
        <v>0</v>
      </c>
      <c r="AC35" s="140">
        <v>0</v>
      </c>
      <c r="AD35" s="140">
        <v>0</v>
      </c>
      <c r="AE35" s="140">
        <v>0</v>
      </c>
      <c r="AF35" s="140">
        <v>0</v>
      </c>
      <c r="AG35" s="140">
        <v>0</v>
      </c>
      <c r="AH35" s="140">
        <v>0</v>
      </c>
    </row>
    <row r="36" spans="1:34" customFormat="1" x14ac:dyDescent="0.15"/>
    <row r="37" spans="1:34" customFormat="1" x14ac:dyDescent="0.15"/>
    <row r="38" spans="1:34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1" activePane="bottomRight" state="frozen"/>
      <selection pane="topRight" activeCell="C1" sqref="C1"/>
      <selection pane="bottomLeft" activeCell="A2" sqref="A2"/>
      <selection pane="bottomRight" activeCell="H37" sqref="H37"/>
    </sheetView>
  </sheetViews>
  <sheetFormatPr baseColWidth="10" defaultColWidth="8.83203125" defaultRowHeight="13" x14ac:dyDescent="0.15"/>
  <cols>
    <col min="1" max="1" width="3.33203125" customWidth="1"/>
    <col min="2" max="2" width="24.6640625" customWidth="1"/>
    <col min="3" max="4" width="19" style="109" customWidth="1"/>
    <col min="5" max="6" width="19" style="108" customWidth="1"/>
    <col min="7" max="8" width="8.83203125" style="109"/>
  </cols>
  <sheetData>
    <row r="1" spans="1:8" ht="70" x14ac:dyDescent="0.15">
      <c r="A1" s="5" t="s">
        <v>20</v>
      </c>
      <c r="B1" s="1" t="s">
        <v>0</v>
      </c>
      <c r="C1" s="177" t="s">
        <v>223</v>
      </c>
      <c r="D1" s="177" t="s">
        <v>224</v>
      </c>
      <c r="E1" s="177" t="s">
        <v>227</v>
      </c>
      <c r="F1" s="177" t="s">
        <v>228</v>
      </c>
      <c r="G1"/>
      <c r="H1"/>
    </row>
    <row r="2" spans="1:8" x14ac:dyDescent="0.15">
      <c r="A2">
        <v>1</v>
      </c>
      <c r="B2" s="176" t="s">
        <v>192</v>
      </c>
      <c r="C2" s="109">
        <v>1</v>
      </c>
      <c r="D2" s="109">
        <v>0</v>
      </c>
      <c r="E2" s="108">
        <v>0</v>
      </c>
      <c r="F2" s="108">
        <v>1</v>
      </c>
      <c r="G2"/>
      <c r="H2"/>
    </row>
    <row r="3" spans="1:8" x14ac:dyDescent="0.15">
      <c r="A3">
        <v>2</v>
      </c>
      <c r="B3" s="176" t="s">
        <v>193</v>
      </c>
      <c r="C3" s="109">
        <v>1</v>
      </c>
      <c r="D3" s="109">
        <v>0</v>
      </c>
      <c r="E3" s="108">
        <v>0</v>
      </c>
      <c r="F3" s="108">
        <v>1</v>
      </c>
      <c r="G3"/>
      <c r="H3"/>
    </row>
    <row r="4" spans="1:8" x14ac:dyDescent="0.15">
      <c r="A4">
        <v>3</v>
      </c>
      <c r="B4" s="176" t="s">
        <v>194</v>
      </c>
      <c r="C4" s="109">
        <v>1</v>
      </c>
      <c r="D4" s="109">
        <v>0</v>
      </c>
      <c r="E4" s="108">
        <v>0</v>
      </c>
      <c r="F4" s="108">
        <v>1</v>
      </c>
      <c r="G4"/>
      <c r="H4"/>
    </row>
    <row r="5" spans="1:8" x14ac:dyDescent="0.15">
      <c r="A5">
        <v>4</v>
      </c>
      <c r="B5" s="176" t="s">
        <v>195</v>
      </c>
      <c r="C5" s="109">
        <v>1</v>
      </c>
      <c r="D5" s="109">
        <v>0</v>
      </c>
      <c r="E5" s="108">
        <v>0</v>
      </c>
      <c r="F5" s="108">
        <v>1</v>
      </c>
      <c r="G5"/>
      <c r="H5"/>
    </row>
    <row r="6" spans="1:8" x14ac:dyDescent="0.15">
      <c r="A6">
        <v>5</v>
      </c>
      <c r="B6" s="176" t="s">
        <v>196</v>
      </c>
      <c r="C6" s="109">
        <v>1</v>
      </c>
      <c r="D6" s="109">
        <v>0</v>
      </c>
      <c r="E6" s="108">
        <v>0</v>
      </c>
      <c r="F6" s="108">
        <v>1</v>
      </c>
      <c r="G6"/>
      <c r="H6"/>
    </row>
    <row r="7" spans="1:8" x14ac:dyDescent="0.15">
      <c r="A7">
        <v>6</v>
      </c>
      <c r="B7" s="176" t="s">
        <v>197</v>
      </c>
      <c r="C7" s="109">
        <v>1</v>
      </c>
      <c r="D7" s="109">
        <v>0</v>
      </c>
      <c r="E7" s="108">
        <v>0</v>
      </c>
      <c r="F7" s="108">
        <v>1</v>
      </c>
      <c r="G7"/>
      <c r="H7"/>
    </row>
    <row r="8" spans="1:8" x14ac:dyDescent="0.15">
      <c r="A8">
        <v>7</v>
      </c>
      <c r="B8" s="176" t="s">
        <v>198</v>
      </c>
      <c r="C8" s="109">
        <v>1</v>
      </c>
      <c r="D8" s="109">
        <v>0</v>
      </c>
      <c r="E8" s="108">
        <v>0</v>
      </c>
      <c r="F8" s="108">
        <v>1</v>
      </c>
      <c r="G8"/>
      <c r="H8"/>
    </row>
    <row r="9" spans="1:8" x14ac:dyDescent="0.15">
      <c r="A9">
        <v>8</v>
      </c>
      <c r="B9" s="176" t="s">
        <v>199</v>
      </c>
      <c r="C9" s="109">
        <v>1</v>
      </c>
      <c r="D9" s="109">
        <v>0</v>
      </c>
      <c r="E9" s="108">
        <v>0</v>
      </c>
      <c r="F9" s="108">
        <v>1</v>
      </c>
      <c r="G9"/>
      <c r="H9"/>
    </row>
    <row r="10" spans="1:8" x14ac:dyDescent="0.15">
      <c r="A10">
        <v>9</v>
      </c>
      <c r="B10" s="176" t="s">
        <v>200</v>
      </c>
      <c r="C10" s="109">
        <v>1</v>
      </c>
      <c r="D10" s="109">
        <v>0</v>
      </c>
      <c r="E10" s="108">
        <v>0</v>
      </c>
      <c r="F10" s="108">
        <v>1</v>
      </c>
      <c r="G10"/>
      <c r="H10"/>
    </row>
    <row r="11" spans="1:8" x14ac:dyDescent="0.15">
      <c r="A11">
        <v>10</v>
      </c>
      <c r="B11" s="176" t="s">
        <v>201</v>
      </c>
      <c r="C11" s="109">
        <v>1</v>
      </c>
      <c r="D11" s="109">
        <v>0</v>
      </c>
      <c r="E11" s="108">
        <v>0</v>
      </c>
      <c r="F11" s="108">
        <v>1</v>
      </c>
      <c r="G11"/>
      <c r="H11"/>
    </row>
    <row r="12" spans="1:8" x14ac:dyDescent="0.15">
      <c r="A12">
        <v>11</v>
      </c>
      <c r="B12" s="176" t="s">
        <v>202</v>
      </c>
      <c r="C12" s="109">
        <v>1</v>
      </c>
      <c r="D12" s="109">
        <v>0</v>
      </c>
      <c r="E12" s="108">
        <v>0</v>
      </c>
      <c r="F12" s="108">
        <v>1</v>
      </c>
      <c r="G12"/>
      <c r="H12"/>
    </row>
    <row r="13" spans="1:8" x14ac:dyDescent="0.15">
      <c r="A13">
        <v>12</v>
      </c>
      <c r="B13" s="176" t="s">
        <v>203</v>
      </c>
      <c r="C13" s="109">
        <v>1</v>
      </c>
      <c r="D13" s="109">
        <v>0</v>
      </c>
      <c r="E13" s="108">
        <v>0</v>
      </c>
      <c r="F13" s="108">
        <v>1</v>
      </c>
      <c r="G13"/>
      <c r="H13"/>
    </row>
    <row r="14" spans="1:8" x14ac:dyDescent="0.15">
      <c r="A14">
        <v>13</v>
      </c>
      <c r="B14" s="176" t="s">
        <v>204</v>
      </c>
      <c r="C14" s="109">
        <v>1</v>
      </c>
      <c r="D14" s="109">
        <v>0</v>
      </c>
      <c r="E14" s="108">
        <v>0</v>
      </c>
      <c r="F14" s="108">
        <v>1</v>
      </c>
      <c r="G14"/>
      <c r="H14"/>
    </row>
    <row r="15" spans="1:8" x14ac:dyDescent="0.15">
      <c r="A15">
        <v>14</v>
      </c>
      <c r="B15" s="176" t="s">
        <v>205</v>
      </c>
      <c r="C15" s="109">
        <v>1</v>
      </c>
      <c r="D15" s="109">
        <v>0</v>
      </c>
      <c r="E15" s="108">
        <v>0</v>
      </c>
      <c r="F15" s="108">
        <v>1</v>
      </c>
      <c r="G15"/>
      <c r="H15"/>
    </row>
    <row r="16" spans="1:8" x14ac:dyDescent="0.15">
      <c r="A16">
        <v>15</v>
      </c>
      <c r="B16" s="176" t="s">
        <v>206</v>
      </c>
      <c r="C16" s="109">
        <v>1</v>
      </c>
      <c r="D16" s="109">
        <v>0</v>
      </c>
      <c r="E16" s="108">
        <v>0</v>
      </c>
      <c r="F16" s="108">
        <v>1</v>
      </c>
      <c r="G16"/>
      <c r="H16"/>
    </row>
    <row r="17" spans="1:8" ht="15" customHeight="1" x14ac:dyDescent="0.15">
      <c r="A17">
        <v>16</v>
      </c>
      <c r="B17" s="176" t="s">
        <v>207</v>
      </c>
      <c r="C17" s="109">
        <v>1</v>
      </c>
      <c r="D17" s="109">
        <v>0</v>
      </c>
      <c r="E17" s="108">
        <v>0</v>
      </c>
      <c r="F17" s="108">
        <v>1</v>
      </c>
      <c r="G17"/>
      <c r="H17"/>
    </row>
    <row r="18" spans="1:8" ht="15" customHeight="1" x14ac:dyDescent="0.15">
      <c r="A18">
        <v>17</v>
      </c>
      <c r="B18" s="176" t="s">
        <v>208</v>
      </c>
      <c r="C18" s="109">
        <v>1</v>
      </c>
      <c r="D18" s="109">
        <v>0</v>
      </c>
      <c r="E18" s="108">
        <v>0</v>
      </c>
      <c r="F18" s="108">
        <v>1</v>
      </c>
      <c r="G18"/>
      <c r="H18"/>
    </row>
    <row r="19" spans="1:8" ht="15" customHeight="1" x14ac:dyDescent="0.15">
      <c r="A19">
        <v>18</v>
      </c>
      <c r="B19" s="176" t="s">
        <v>209</v>
      </c>
      <c r="C19" s="109">
        <v>1</v>
      </c>
      <c r="D19" s="109">
        <v>0</v>
      </c>
      <c r="E19" s="108">
        <v>0</v>
      </c>
      <c r="F19" s="108">
        <v>1</v>
      </c>
      <c r="G19"/>
      <c r="H19"/>
    </row>
    <row r="20" spans="1:8" ht="15" customHeight="1" x14ac:dyDescent="0.15">
      <c r="A20">
        <v>19</v>
      </c>
      <c r="B20" s="176" t="s">
        <v>210</v>
      </c>
      <c r="C20" s="109">
        <v>1</v>
      </c>
      <c r="D20" s="109">
        <v>0</v>
      </c>
      <c r="E20" s="108">
        <v>0</v>
      </c>
      <c r="F20" s="108">
        <v>1</v>
      </c>
      <c r="G20"/>
      <c r="H20"/>
    </row>
    <row r="21" spans="1:8" ht="15" customHeight="1" x14ac:dyDescent="0.15">
      <c r="A21">
        <v>20</v>
      </c>
      <c r="B21" s="176" t="s">
        <v>211</v>
      </c>
      <c r="C21" s="109">
        <v>1</v>
      </c>
      <c r="D21" s="109">
        <v>0</v>
      </c>
      <c r="E21" s="108">
        <v>0</v>
      </c>
      <c r="F21" s="108">
        <v>1</v>
      </c>
      <c r="G21"/>
      <c r="H21"/>
    </row>
    <row r="22" spans="1:8" ht="15" customHeight="1" x14ac:dyDescent="0.15">
      <c r="A22">
        <v>21</v>
      </c>
      <c r="B22" s="176" t="s">
        <v>212</v>
      </c>
      <c r="C22" s="109">
        <v>1</v>
      </c>
      <c r="D22" s="109">
        <v>0</v>
      </c>
      <c r="E22" s="108">
        <v>0</v>
      </c>
      <c r="F22" s="108">
        <v>1</v>
      </c>
      <c r="G22"/>
      <c r="H22"/>
    </row>
    <row r="23" spans="1:8" ht="15" customHeight="1" x14ac:dyDescent="0.15">
      <c r="A23">
        <v>22</v>
      </c>
      <c r="B23" s="176" t="s">
        <v>213</v>
      </c>
      <c r="C23" s="109">
        <v>1</v>
      </c>
      <c r="D23" s="109">
        <v>0</v>
      </c>
      <c r="E23" s="108">
        <v>0</v>
      </c>
      <c r="F23" s="108">
        <v>1</v>
      </c>
      <c r="G23"/>
      <c r="H23"/>
    </row>
    <row r="24" spans="1:8" ht="15" customHeight="1" x14ac:dyDescent="0.15">
      <c r="A24">
        <v>23</v>
      </c>
      <c r="B24" s="176" t="s">
        <v>214</v>
      </c>
      <c r="C24" s="109">
        <v>1</v>
      </c>
      <c r="D24" s="109">
        <v>0</v>
      </c>
      <c r="E24" s="108">
        <v>0</v>
      </c>
      <c r="F24" s="108">
        <v>1</v>
      </c>
      <c r="G24"/>
      <c r="H24"/>
    </row>
    <row r="25" spans="1:8" ht="15" customHeight="1" x14ac:dyDescent="0.15">
      <c r="A25">
        <v>24</v>
      </c>
      <c r="B25" s="176" t="s">
        <v>215</v>
      </c>
      <c r="C25" s="109">
        <v>1</v>
      </c>
      <c r="D25" s="109">
        <v>0</v>
      </c>
      <c r="E25" s="108">
        <v>0</v>
      </c>
      <c r="F25" s="108">
        <v>1</v>
      </c>
      <c r="G25"/>
      <c r="H25"/>
    </row>
    <row r="26" spans="1:8" ht="15" customHeight="1" x14ac:dyDescent="0.15">
      <c r="A26">
        <v>25</v>
      </c>
      <c r="B26" s="176" t="s">
        <v>216</v>
      </c>
      <c r="C26" s="109">
        <v>1</v>
      </c>
      <c r="D26" s="109">
        <v>0</v>
      </c>
      <c r="E26" s="108">
        <v>0</v>
      </c>
      <c r="F26" s="108">
        <v>1</v>
      </c>
      <c r="G26"/>
      <c r="H26"/>
    </row>
    <row r="27" spans="1:8" ht="15" customHeight="1" x14ac:dyDescent="0.15">
      <c r="A27">
        <v>26</v>
      </c>
      <c r="B27" s="176" t="s">
        <v>217</v>
      </c>
      <c r="C27" s="109">
        <v>1</v>
      </c>
      <c r="D27" s="109">
        <v>0</v>
      </c>
      <c r="E27" s="108">
        <v>0</v>
      </c>
      <c r="F27" s="108">
        <v>1</v>
      </c>
      <c r="G27"/>
      <c r="H27"/>
    </row>
    <row r="28" spans="1:8" ht="15" customHeight="1" x14ac:dyDescent="0.15">
      <c r="A28">
        <v>27</v>
      </c>
      <c r="B28" s="176" t="s">
        <v>218</v>
      </c>
      <c r="C28" s="109">
        <v>1</v>
      </c>
      <c r="D28" s="109">
        <v>0</v>
      </c>
      <c r="E28" s="108">
        <v>0</v>
      </c>
      <c r="F28" s="108">
        <v>1</v>
      </c>
      <c r="G28"/>
      <c r="H28"/>
    </row>
    <row r="29" spans="1:8" ht="15" customHeight="1" x14ac:dyDescent="0.15">
      <c r="A29">
        <v>28</v>
      </c>
      <c r="B29" s="176" t="s">
        <v>219</v>
      </c>
      <c r="C29" s="109">
        <v>1</v>
      </c>
      <c r="D29" s="109">
        <v>0</v>
      </c>
      <c r="E29" s="108">
        <v>0</v>
      </c>
      <c r="F29" s="108">
        <v>1</v>
      </c>
      <c r="G29"/>
      <c r="H29"/>
    </row>
    <row r="30" spans="1:8" ht="15" customHeight="1" x14ac:dyDescent="0.15">
      <c r="A30">
        <v>29</v>
      </c>
      <c r="B30" s="176" t="s">
        <v>220</v>
      </c>
      <c r="C30" s="109">
        <v>1</v>
      </c>
      <c r="D30" s="109">
        <v>0</v>
      </c>
      <c r="E30" s="108">
        <v>0</v>
      </c>
      <c r="F30" s="108">
        <v>1</v>
      </c>
      <c r="G30"/>
      <c r="H30"/>
    </row>
    <row r="31" spans="1:8" ht="15" customHeight="1" x14ac:dyDescent="0.15">
      <c r="A31">
        <v>30</v>
      </c>
      <c r="B31" s="176" t="s">
        <v>221</v>
      </c>
      <c r="C31" s="109">
        <v>1</v>
      </c>
      <c r="D31" s="109">
        <v>0</v>
      </c>
      <c r="E31" s="108">
        <v>0</v>
      </c>
      <c r="F31" s="108">
        <v>1</v>
      </c>
      <c r="G31"/>
      <c r="H31"/>
    </row>
    <row r="32" spans="1:8" ht="15" customHeight="1" x14ac:dyDescent="0.15">
      <c r="A32">
        <v>31</v>
      </c>
      <c r="B32" s="176" t="s">
        <v>222</v>
      </c>
      <c r="C32" s="109">
        <v>1</v>
      </c>
      <c r="D32" s="109">
        <v>0</v>
      </c>
      <c r="E32" s="108">
        <v>0</v>
      </c>
      <c r="F32" s="108">
        <v>1</v>
      </c>
    </row>
    <row r="33" spans="1:8" ht="15" customHeight="1" x14ac:dyDescent="0.15">
      <c r="A33">
        <v>32</v>
      </c>
      <c r="B33" s="176" t="s">
        <v>223</v>
      </c>
      <c r="C33" s="109">
        <v>0</v>
      </c>
      <c r="D33" s="109">
        <v>1</v>
      </c>
      <c r="E33" s="108">
        <v>0</v>
      </c>
      <c r="F33" s="108">
        <v>1</v>
      </c>
    </row>
    <row r="34" spans="1:8" ht="15" customHeight="1" x14ac:dyDescent="0.15">
      <c r="A34">
        <v>33</v>
      </c>
      <c r="B34" s="176" t="s">
        <v>224</v>
      </c>
      <c r="C34" s="109">
        <v>0</v>
      </c>
      <c r="D34" s="109">
        <v>0</v>
      </c>
      <c r="E34" s="108">
        <v>1</v>
      </c>
      <c r="F34" s="108">
        <v>1</v>
      </c>
    </row>
    <row r="35" spans="1:8" ht="15" customHeight="1" x14ac:dyDescent="0.15">
      <c r="A35">
        <v>34</v>
      </c>
      <c r="B35" s="176" t="s">
        <v>225</v>
      </c>
      <c r="C35" s="109">
        <v>0</v>
      </c>
      <c r="D35" s="109">
        <v>1</v>
      </c>
      <c r="E35" s="108">
        <v>0</v>
      </c>
      <c r="F35" s="108">
        <v>1</v>
      </c>
    </row>
    <row r="36" spans="1:8" ht="15" customHeight="1" x14ac:dyDescent="0.15">
      <c r="C36"/>
      <c r="D36"/>
      <c r="E36" s="109"/>
      <c r="F36" s="109"/>
      <c r="G36"/>
      <c r="H36"/>
    </row>
    <row r="37" spans="1:8" ht="15" customHeight="1" x14ac:dyDescent="0.15">
      <c r="C37"/>
      <c r="D37"/>
      <c r="E37" s="109"/>
      <c r="F37" s="109"/>
      <c r="G37"/>
      <c r="H37"/>
    </row>
    <row r="38" spans="1:8" ht="15" customHeight="1" x14ac:dyDescent="0.15">
      <c r="C38"/>
      <c r="D38"/>
      <c r="E38" s="109"/>
      <c r="F38" s="109"/>
      <c r="G38"/>
      <c r="H38"/>
    </row>
    <row r="39" spans="1:8" ht="15" customHeight="1" x14ac:dyDescent="0.15">
      <c r="C39"/>
      <c r="D39"/>
      <c r="E39" s="109"/>
      <c r="F39" s="109"/>
      <c r="G39"/>
      <c r="H39"/>
    </row>
    <row r="40" spans="1:8" ht="15" customHeight="1" x14ac:dyDescent="0.15">
      <c r="C40"/>
      <c r="D40"/>
      <c r="E40" s="109"/>
      <c r="F40" s="109"/>
      <c r="G40"/>
      <c r="H40"/>
    </row>
    <row r="41" spans="1:8" ht="15" customHeight="1" x14ac:dyDescent="0.15">
      <c r="C41"/>
      <c r="D41"/>
      <c r="E41" s="109"/>
      <c r="F41" s="109"/>
      <c r="G41"/>
      <c r="H41"/>
    </row>
    <row r="42" spans="1:8" ht="15" customHeight="1" x14ac:dyDescent="0.15">
      <c r="C42"/>
      <c r="D42"/>
      <c r="E42" s="109"/>
      <c r="F42" s="109"/>
      <c r="G42"/>
      <c r="H42"/>
    </row>
    <row r="43" spans="1:8" ht="15" customHeight="1" x14ac:dyDescent="0.15">
      <c r="C43"/>
      <c r="D43"/>
      <c r="E43" s="109"/>
      <c r="F43" s="109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09"/>
      <c r="F46" s="109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4.6640625" bestFit="1" customWidth="1"/>
    <col min="3" max="4" width="8.5" bestFit="1" customWidth="1"/>
    <col min="5" max="5" width="12.1640625" bestFit="1" customWidth="1"/>
  </cols>
  <sheetData>
    <row r="1" spans="1:5" s="110" customFormat="1" ht="112" x14ac:dyDescent="0.15">
      <c r="A1" s="5" t="s">
        <v>21</v>
      </c>
      <c r="B1" s="3" t="s">
        <v>0</v>
      </c>
      <c r="C1" s="179" t="s">
        <v>225</v>
      </c>
      <c r="D1" s="179" t="s">
        <v>229</v>
      </c>
      <c r="E1"/>
    </row>
    <row r="2" spans="1:5" ht="15" customHeight="1" x14ac:dyDescent="0.15">
      <c r="A2">
        <v>1</v>
      </c>
      <c r="B2" s="178" t="s">
        <v>192</v>
      </c>
      <c r="C2">
        <v>3.6999999999999999E-4</v>
      </c>
      <c r="D2">
        <v>3.6999999999999999E-4</v>
      </c>
    </row>
    <row r="3" spans="1:5" ht="15" customHeight="1" x14ac:dyDescent="0.15">
      <c r="A3">
        <v>2</v>
      </c>
      <c r="B3" s="178" t="s">
        <v>193</v>
      </c>
      <c r="C3">
        <v>6.4000000000000003E-3</v>
      </c>
      <c r="D3">
        <v>6.4000000000000003E-3</v>
      </c>
    </row>
    <row r="4" spans="1:5" ht="15" customHeight="1" x14ac:dyDescent="0.15">
      <c r="A4">
        <v>3</v>
      </c>
      <c r="B4" s="178" t="s">
        <v>194</v>
      </c>
      <c r="C4">
        <v>2.2500000000000001E-5</v>
      </c>
      <c r="D4">
        <v>2.2500000000000001E-5</v>
      </c>
    </row>
    <row r="5" spans="1:5" ht="15" customHeight="1" x14ac:dyDescent="0.15">
      <c r="A5">
        <v>4</v>
      </c>
      <c r="B5" s="178" t="s">
        <v>195</v>
      </c>
      <c r="C5">
        <v>1.4600000000000001E-5</v>
      </c>
      <c r="D5">
        <v>1.4600000000000001E-5</v>
      </c>
    </row>
    <row r="6" spans="1:5" ht="15" customHeight="1" x14ac:dyDescent="0.15">
      <c r="A6">
        <v>5</v>
      </c>
      <c r="B6" s="178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78" t="s">
        <v>197</v>
      </c>
      <c r="C7">
        <v>1E-4</v>
      </c>
      <c r="D7">
        <v>1E-4</v>
      </c>
    </row>
    <row r="8" spans="1:5" ht="15" customHeight="1" x14ac:dyDescent="0.15">
      <c r="A8">
        <v>7</v>
      </c>
      <c r="B8" s="178" t="s">
        <v>198</v>
      </c>
      <c r="C8">
        <v>3.0000000000000001E-3</v>
      </c>
      <c r="D8">
        <v>3.0000000000000001E-3</v>
      </c>
    </row>
    <row r="9" spans="1:5" ht="15" customHeight="1" x14ac:dyDescent="0.15">
      <c r="A9">
        <v>8</v>
      </c>
      <c r="B9" s="178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78" t="s">
        <v>200</v>
      </c>
      <c r="C10">
        <v>9.7000000000000003E-3</v>
      </c>
      <c r="D10">
        <v>9.7000000000000003E-3</v>
      </c>
    </row>
    <row r="11" spans="1:5" ht="15" customHeight="1" x14ac:dyDescent="0.15">
      <c r="A11">
        <v>10</v>
      </c>
      <c r="B11" s="178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78" t="s">
        <v>202</v>
      </c>
      <c r="C12">
        <v>1.8E-3</v>
      </c>
      <c r="D12">
        <v>1.8E-3</v>
      </c>
    </row>
    <row r="13" spans="1:5" ht="15" customHeight="1" x14ac:dyDescent="0.15">
      <c r="A13">
        <v>12</v>
      </c>
      <c r="B13" s="178" t="s">
        <v>203</v>
      </c>
      <c r="C13">
        <v>1.6999999999999999E-3</v>
      </c>
      <c r="D13">
        <v>1.6999999999999999E-3</v>
      </c>
    </row>
    <row r="14" spans="1:5" ht="15" customHeight="1" x14ac:dyDescent="0.15">
      <c r="A14">
        <v>13</v>
      </c>
      <c r="B14" s="178" t="s">
        <v>204</v>
      </c>
      <c r="C14">
        <v>1.1199999999999999E-3</v>
      </c>
      <c r="D14">
        <v>1.1199999999999999E-3</v>
      </c>
    </row>
    <row r="15" spans="1:5" ht="15" customHeight="1" x14ac:dyDescent="0.15">
      <c r="A15">
        <v>14</v>
      </c>
      <c r="B15" s="178" t="s">
        <v>205</v>
      </c>
      <c r="C15">
        <v>1.9400000000000001E-2</v>
      </c>
      <c r="D15">
        <v>1.9400000000000001E-2</v>
      </c>
    </row>
    <row r="16" spans="1:5" ht="15" customHeight="1" x14ac:dyDescent="0.15">
      <c r="A16">
        <v>15</v>
      </c>
      <c r="B16" s="178" t="s">
        <v>206</v>
      </c>
      <c r="C16">
        <v>1.9E-3</v>
      </c>
      <c r="D16">
        <v>1.9E-3</v>
      </c>
    </row>
    <row r="17" spans="1:4" ht="15" customHeight="1" x14ac:dyDescent="0.15">
      <c r="A17">
        <v>16</v>
      </c>
      <c r="B17" s="178" t="s">
        <v>207</v>
      </c>
      <c r="C17">
        <v>0</v>
      </c>
      <c r="D17">
        <v>0</v>
      </c>
    </row>
    <row r="18" spans="1:4" ht="15" customHeight="1" x14ac:dyDescent="0.15">
      <c r="A18">
        <v>17</v>
      </c>
      <c r="B18" s="178" t="s">
        <v>208</v>
      </c>
      <c r="C18">
        <v>3.09E-2</v>
      </c>
      <c r="D18">
        <v>3.09E-2</v>
      </c>
    </row>
    <row r="19" spans="1:4" ht="15" customHeight="1" x14ac:dyDescent="0.15">
      <c r="A19">
        <v>18</v>
      </c>
      <c r="B19" s="178" t="s">
        <v>209</v>
      </c>
      <c r="C19">
        <v>6.0100000000000001E-6</v>
      </c>
      <c r="D19">
        <v>6.0100000000000001E-6</v>
      </c>
    </row>
    <row r="20" spans="1:4" ht="15" customHeight="1" x14ac:dyDescent="0.15">
      <c r="A20">
        <v>19</v>
      </c>
      <c r="B20" s="178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78" t="s">
        <v>211</v>
      </c>
      <c r="C21">
        <v>4.71E-5</v>
      </c>
      <c r="D21">
        <v>4.71E-5</v>
      </c>
    </row>
    <row r="22" spans="1:4" ht="15" customHeight="1" x14ac:dyDescent="0.15">
      <c r="A22">
        <v>21</v>
      </c>
      <c r="B22" s="178" t="s">
        <v>212</v>
      </c>
      <c r="C22">
        <v>2.81E-2</v>
      </c>
      <c r="D22">
        <v>2.81E-2</v>
      </c>
    </row>
    <row r="23" spans="1:4" ht="15" customHeight="1" x14ac:dyDescent="0.15">
      <c r="A23">
        <v>22</v>
      </c>
      <c r="B23" s="178" t="s">
        <v>213</v>
      </c>
      <c r="C23">
        <v>0.14580000000000001</v>
      </c>
      <c r="D23">
        <v>0.14580000000000001</v>
      </c>
    </row>
    <row r="24" spans="1:4" ht="15" customHeight="1" x14ac:dyDescent="0.15">
      <c r="A24">
        <v>23</v>
      </c>
      <c r="B24" s="178" t="s">
        <v>214</v>
      </c>
      <c r="C24">
        <v>0.157</v>
      </c>
      <c r="D24">
        <v>0.157</v>
      </c>
    </row>
    <row r="25" spans="1:4" ht="15" customHeight="1" x14ac:dyDescent="0.15">
      <c r="A25">
        <v>24</v>
      </c>
      <c r="B25" s="178" t="s">
        <v>215</v>
      </c>
      <c r="C25">
        <v>6.5799999999999997E-2</v>
      </c>
      <c r="D25">
        <v>6.5799999999999997E-2</v>
      </c>
    </row>
    <row r="26" spans="1:4" ht="15" customHeight="1" x14ac:dyDescent="0.15">
      <c r="A26">
        <v>25</v>
      </c>
      <c r="B26" s="178" t="s">
        <v>216</v>
      </c>
      <c r="C26">
        <v>0</v>
      </c>
      <c r="D26">
        <v>0</v>
      </c>
    </row>
    <row r="27" spans="1:4" ht="15" customHeight="1" x14ac:dyDescent="0.15">
      <c r="A27">
        <v>26</v>
      </c>
      <c r="B27" s="178" t="s">
        <v>217</v>
      </c>
      <c r="C27">
        <v>4.4999999999999997E-3</v>
      </c>
      <c r="D27">
        <v>4.4999999999999997E-3</v>
      </c>
    </row>
    <row r="28" spans="1:4" ht="15" customHeight="1" x14ac:dyDescent="0.15">
      <c r="A28">
        <v>27</v>
      </c>
      <c r="B28" s="178" t="s">
        <v>218</v>
      </c>
      <c r="C28">
        <v>0</v>
      </c>
      <c r="D28">
        <v>0</v>
      </c>
    </row>
    <row r="29" spans="1:4" ht="15" customHeight="1" x14ac:dyDescent="0.15">
      <c r="A29">
        <v>28</v>
      </c>
      <c r="B29" s="178" t="s">
        <v>219</v>
      </c>
      <c r="C29">
        <v>0</v>
      </c>
      <c r="D29">
        <v>0</v>
      </c>
    </row>
    <row r="30" spans="1:4" ht="15" customHeight="1" x14ac:dyDescent="0.15">
      <c r="A30">
        <v>29</v>
      </c>
      <c r="B30" s="178" t="s">
        <v>220</v>
      </c>
      <c r="C30">
        <v>0</v>
      </c>
      <c r="D30">
        <v>0</v>
      </c>
    </row>
    <row r="31" spans="1:4" ht="15" customHeight="1" x14ac:dyDescent="0.15">
      <c r="A31">
        <v>30</v>
      </c>
      <c r="B31" s="178" t="s">
        <v>221</v>
      </c>
      <c r="C31">
        <v>0</v>
      </c>
      <c r="D31">
        <v>0</v>
      </c>
    </row>
    <row r="32" spans="1:4" ht="15" customHeight="1" x14ac:dyDescent="0.15">
      <c r="A32">
        <v>31</v>
      </c>
      <c r="B32" s="178" t="s">
        <v>222</v>
      </c>
      <c r="C32">
        <v>0</v>
      </c>
      <c r="D32">
        <v>0</v>
      </c>
    </row>
    <row r="33" spans="1:4" ht="15" customHeight="1" x14ac:dyDescent="0.15">
      <c r="A33">
        <v>32</v>
      </c>
      <c r="B33" s="178" t="s">
        <v>223</v>
      </c>
      <c r="C33">
        <v>55.783900000000003</v>
      </c>
      <c r="D33">
        <v>55.783900000000003</v>
      </c>
    </row>
    <row r="34" spans="1:4" ht="15" customHeight="1" x14ac:dyDescent="0.15">
      <c r="A34">
        <v>33</v>
      </c>
      <c r="B34" s="178" t="s">
        <v>224</v>
      </c>
      <c r="C34">
        <v>0</v>
      </c>
      <c r="D34">
        <v>0</v>
      </c>
    </row>
    <row r="35" spans="1:4" ht="15" customHeight="1" x14ac:dyDescent="0.15"/>
    <row r="36" spans="1:4" ht="15" customHeight="1" x14ac:dyDescent="0.15"/>
    <row r="37" spans="1:4" ht="15" customHeight="1" x14ac:dyDescent="0.15"/>
    <row r="38" spans="1:4" ht="15" customHeight="1" x14ac:dyDescent="0.15"/>
    <row r="39" spans="1:4" ht="15" customHeight="1" x14ac:dyDescent="0.15"/>
    <row r="40" spans="1:4" ht="15" customHeight="1" x14ac:dyDescent="0.15"/>
    <row r="41" spans="1:4" ht="15" customHeight="1" x14ac:dyDescent="0.15"/>
    <row r="42" spans="1:4" ht="15" customHeight="1" x14ac:dyDescent="0.15"/>
    <row r="43" spans="1:4" ht="15" customHeight="1" x14ac:dyDescent="0.15"/>
    <row r="44" spans="1:4" ht="15" customHeight="1" x14ac:dyDescent="0.15"/>
    <row r="45" spans="1:4" ht="15" customHeight="1" x14ac:dyDescent="0.15"/>
    <row r="46" spans="1:4" ht="15" customHeight="1" x14ac:dyDescent="0.15"/>
    <row r="47" spans="1:4" ht="15" customHeight="1" x14ac:dyDescent="0.15"/>
    <row r="48" spans="1:4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3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4.6640625" bestFit="1" customWidth="1"/>
    <col min="3" max="4" width="2.33203125" bestFit="1" customWidth="1"/>
    <col min="5" max="5" width="12.1640625" bestFit="1" customWidth="1"/>
  </cols>
  <sheetData>
    <row r="1" spans="1:4" s="110" customFormat="1" ht="112" x14ac:dyDescent="0.15">
      <c r="A1" s="5" t="s">
        <v>22</v>
      </c>
      <c r="B1" s="3" t="s">
        <v>0</v>
      </c>
      <c r="C1" s="181" t="s">
        <v>225</v>
      </c>
      <c r="D1" s="181" t="s">
        <v>229</v>
      </c>
    </row>
    <row r="2" spans="1:4" x14ac:dyDescent="0.15">
      <c r="A2">
        <v>1</v>
      </c>
      <c r="B2" s="180" t="s">
        <v>192</v>
      </c>
      <c r="C2">
        <v>0</v>
      </c>
      <c r="D2">
        <v>0</v>
      </c>
    </row>
    <row r="3" spans="1:4" x14ac:dyDescent="0.15">
      <c r="A3">
        <v>2</v>
      </c>
      <c r="B3" s="180" t="s">
        <v>193</v>
      </c>
      <c r="C3">
        <v>0</v>
      </c>
      <c r="D3">
        <v>0</v>
      </c>
    </row>
    <row r="4" spans="1:4" x14ac:dyDescent="0.15">
      <c r="A4">
        <v>3</v>
      </c>
      <c r="B4" s="180" t="s">
        <v>194</v>
      </c>
      <c r="C4">
        <v>0</v>
      </c>
      <c r="D4">
        <v>0</v>
      </c>
    </row>
    <row r="5" spans="1:4" x14ac:dyDescent="0.15">
      <c r="A5">
        <v>4</v>
      </c>
      <c r="B5" s="180" t="s">
        <v>195</v>
      </c>
      <c r="C5">
        <v>0</v>
      </c>
      <c r="D5">
        <v>0</v>
      </c>
    </row>
    <row r="6" spans="1:4" x14ac:dyDescent="0.15">
      <c r="A6">
        <v>5</v>
      </c>
      <c r="B6" s="180" t="s">
        <v>196</v>
      </c>
      <c r="C6">
        <v>0</v>
      </c>
      <c r="D6">
        <v>0</v>
      </c>
    </row>
    <row r="7" spans="1:4" x14ac:dyDescent="0.15">
      <c r="A7">
        <v>6</v>
      </c>
      <c r="B7" s="180" t="s">
        <v>197</v>
      </c>
      <c r="C7">
        <v>0</v>
      </c>
      <c r="D7">
        <v>0</v>
      </c>
    </row>
    <row r="8" spans="1:4" x14ac:dyDescent="0.15">
      <c r="A8">
        <v>7</v>
      </c>
      <c r="B8" s="180" t="s">
        <v>198</v>
      </c>
      <c r="C8">
        <v>0</v>
      </c>
      <c r="D8">
        <v>0</v>
      </c>
    </row>
    <row r="9" spans="1:4" x14ac:dyDescent="0.15">
      <c r="A9">
        <v>8</v>
      </c>
      <c r="B9" s="180" t="s">
        <v>199</v>
      </c>
      <c r="C9">
        <v>0</v>
      </c>
      <c r="D9">
        <v>0</v>
      </c>
    </row>
    <row r="10" spans="1:4" x14ac:dyDescent="0.15">
      <c r="A10">
        <v>9</v>
      </c>
      <c r="B10" s="180" t="s">
        <v>200</v>
      </c>
      <c r="C10">
        <v>0</v>
      </c>
      <c r="D10">
        <v>0</v>
      </c>
    </row>
    <row r="11" spans="1:4" x14ac:dyDescent="0.15">
      <c r="A11">
        <v>10</v>
      </c>
      <c r="B11" s="180" t="s">
        <v>201</v>
      </c>
      <c r="C11">
        <v>0</v>
      </c>
      <c r="D11">
        <v>0</v>
      </c>
    </row>
    <row r="12" spans="1:4" x14ac:dyDescent="0.15">
      <c r="A12">
        <v>11</v>
      </c>
      <c r="B12" s="180" t="s">
        <v>202</v>
      </c>
      <c r="C12">
        <v>0</v>
      </c>
      <c r="D12">
        <v>0</v>
      </c>
    </row>
    <row r="13" spans="1:4" x14ac:dyDescent="0.15">
      <c r="A13">
        <v>12</v>
      </c>
      <c r="B13" s="180" t="s">
        <v>203</v>
      </c>
      <c r="C13">
        <v>0</v>
      </c>
      <c r="D13">
        <v>0</v>
      </c>
    </row>
    <row r="14" spans="1:4" x14ac:dyDescent="0.15">
      <c r="A14">
        <v>13</v>
      </c>
      <c r="B14" s="180" t="s">
        <v>204</v>
      </c>
      <c r="C14">
        <v>0</v>
      </c>
      <c r="D14">
        <v>0</v>
      </c>
    </row>
    <row r="15" spans="1:4" x14ac:dyDescent="0.15">
      <c r="A15">
        <v>14</v>
      </c>
      <c r="B15" s="180" t="s">
        <v>205</v>
      </c>
      <c r="C15">
        <v>0</v>
      </c>
      <c r="D15">
        <v>0</v>
      </c>
    </row>
    <row r="16" spans="1:4" x14ac:dyDescent="0.15">
      <c r="A16">
        <v>15</v>
      </c>
      <c r="B16" s="180" t="s">
        <v>206</v>
      </c>
      <c r="C16">
        <v>0</v>
      </c>
      <c r="D16">
        <v>0</v>
      </c>
    </row>
    <row r="17" spans="1:4" x14ac:dyDescent="0.15">
      <c r="A17">
        <v>16</v>
      </c>
      <c r="B17" s="180" t="s">
        <v>207</v>
      </c>
      <c r="C17">
        <v>0</v>
      </c>
      <c r="D17">
        <v>0</v>
      </c>
    </row>
    <row r="18" spans="1:4" x14ac:dyDescent="0.15">
      <c r="A18">
        <v>17</v>
      </c>
      <c r="B18" s="180" t="s">
        <v>208</v>
      </c>
      <c r="C18">
        <v>0</v>
      </c>
      <c r="D18">
        <v>0</v>
      </c>
    </row>
    <row r="19" spans="1:4" x14ac:dyDescent="0.15">
      <c r="A19">
        <v>18</v>
      </c>
      <c r="B19" s="180" t="s">
        <v>209</v>
      </c>
      <c r="C19">
        <v>0</v>
      </c>
      <c r="D19">
        <v>0</v>
      </c>
    </row>
    <row r="20" spans="1:4" x14ac:dyDescent="0.15">
      <c r="A20">
        <v>19</v>
      </c>
      <c r="B20" s="180" t="s">
        <v>210</v>
      </c>
      <c r="C20">
        <v>0</v>
      </c>
      <c r="D20">
        <v>0</v>
      </c>
    </row>
    <row r="21" spans="1:4" x14ac:dyDescent="0.15">
      <c r="A21">
        <v>20</v>
      </c>
      <c r="B21" s="180" t="s">
        <v>211</v>
      </c>
      <c r="C21">
        <v>0</v>
      </c>
      <c r="D21">
        <v>0</v>
      </c>
    </row>
    <row r="22" spans="1:4" x14ac:dyDescent="0.15">
      <c r="A22">
        <v>21</v>
      </c>
      <c r="B22" s="180" t="s">
        <v>212</v>
      </c>
      <c r="C22">
        <v>0</v>
      </c>
      <c r="D22">
        <v>0</v>
      </c>
    </row>
    <row r="23" spans="1:4" x14ac:dyDescent="0.15">
      <c r="A23">
        <v>22</v>
      </c>
      <c r="B23" s="180" t="s">
        <v>213</v>
      </c>
      <c r="C23">
        <v>0</v>
      </c>
      <c r="D23">
        <v>0</v>
      </c>
    </row>
    <row r="24" spans="1:4" x14ac:dyDescent="0.15">
      <c r="A24">
        <v>23</v>
      </c>
      <c r="B24" s="180" t="s">
        <v>214</v>
      </c>
      <c r="C24">
        <v>0</v>
      </c>
      <c r="D24">
        <v>0</v>
      </c>
    </row>
    <row r="25" spans="1:4" x14ac:dyDescent="0.15">
      <c r="A25">
        <v>24</v>
      </c>
      <c r="B25" s="180" t="s">
        <v>215</v>
      </c>
      <c r="C25">
        <v>0</v>
      </c>
      <c r="D25">
        <v>0</v>
      </c>
    </row>
    <row r="26" spans="1:4" x14ac:dyDescent="0.15">
      <c r="A26">
        <v>25</v>
      </c>
      <c r="B26" s="180" t="s">
        <v>216</v>
      </c>
      <c r="C26">
        <v>0</v>
      </c>
      <c r="D26">
        <v>0</v>
      </c>
    </row>
    <row r="27" spans="1:4" x14ac:dyDescent="0.15">
      <c r="A27">
        <v>26</v>
      </c>
      <c r="B27" s="180" t="s">
        <v>217</v>
      </c>
      <c r="C27">
        <v>0</v>
      </c>
      <c r="D27">
        <v>0</v>
      </c>
    </row>
    <row r="28" spans="1:4" x14ac:dyDescent="0.15">
      <c r="A28">
        <v>27</v>
      </c>
      <c r="B28" s="180" t="s">
        <v>218</v>
      </c>
      <c r="C28">
        <v>0</v>
      </c>
      <c r="D28">
        <v>0</v>
      </c>
    </row>
    <row r="29" spans="1:4" x14ac:dyDescent="0.15">
      <c r="A29">
        <v>28</v>
      </c>
      <c r="B29" s="180" t="s">
        <v>219</v>
      </c>
      <c r="C29">
        <v>0</v>
      </c>
      <c r="D29">
        <v>0</v>
      </c>
    </row>
    <row r="30" spans="1:4" x14ac:dyDescent="0.15">
      <c r="A30">
        <v>29</v>
      </c>
      <c r="B30" s="180" t="s">
        <v>220</v>
      </c>
      <c r="C30">
        <v>0</v>
      </c>
      <c r="D30">
        <v>0</v>
      </c>
    </row>
    <row r="31" spans="1:4" x14ac:dyDescent="0.15">
      <c r="A31">
        <v>30</v>
      </c>
      <c r="B31" s="180" t="s">
        <v>221</v>
      </c>
      <c r="C31">
        <v>0</v>
      </c>
      <c r="D31">
        <v>0</v>
      </c>
    </row>
    <row r="32" spans="1:4" x14ac:dyDescent="0.15">
      <c r="A32">
        <v>31</v>
      </c>
      <c r="B32" s="180" t="s">
        <v>222</v>
      </c>
      <c r="C32">
        <v>0</v>
      </c>
      <c r="D32">
        <v>0</v>
      </c>
    </row>
    <row r="33" spans="1:4" x14ac:dyDescent="0.15">
      <c r="A33">
        <v>32</v>
      </c>
      <c r="B33" s="180" t="s">
        <v>223</v>
      </c>
      <c r="C33">
        <v>0</v>
      </c>
      <c r="D33">
        <v>0</v>
      </c>
    </row>
    <row r="34" spans="1:4" x14ac:dyDescent="0.15">
      <c r="A34">
        <v>33</v>
      </c>
      <c r="B34" s="180" t="s">
        <v>224</v>
      </c>
      <c r="C34">
        <v>0</v>
      </c>
      <c r="D34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4.6640625" bestFit="1" customWidth="1"/>
    <col min="6" max="6" width="4.83203125" bestFit="1" customWidth="1"/>
    <col min="7" max="9" width="3.83203125" bestFit="1" customWidth="1"/>
    <col min="10" max="11" width="4.83203125" style="109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1" customFormat="1" ht="14" thickBot="1" x14ac:dyDescent="0.2">
      <c r="D1" s="112" t="s">
        <v>8</v>
      </c>
      <c r="E1" s="112" t="s">
        <v>0</v>
      </c>
      <c r="F1" s="113" t="s">
        <v>99</v>
      </c>
      <c r="G1" s="114" t="s">
        <v>84</v>
      </c>
      <c r="H1" s="114" t="s">
        <v>85</v>
      </c>
      <c r="I1" s="114" t="s">
        <v>86</v>
      </c>
      <c r="J1" s="114" t="s">
        <v>87</v>
      </c>
      <c r="K1" s="114" t="s">
        <v>88</v>
      </c>
      <c r="L1" s="115" t="s">
        <v>89</v>
      </c>
      <c r="M1" s="115" t="s">
        <v>93</v>
      </c>
      <c r="N1" s="115" t="s">
        <v>92</v>
      </c>
      <c r="O1" s="115" t="s">
        <v>90</v>
      </c>
      <c r="P1" s="115" t="s">
        <v>91</v>
      </c>
      <c r="Q1" s="116" t="s">
        <v>94</v>
      </c>
      <c r="R1" s="116" t="s">
        <v>95</v>
      </c>
      <c r="S1" s="116" t="s">
        <v>96</v>
      </c>
      <c r="T1" s="116" t="s">
        <v>97</v>
      </c>
      <c r="U1" s="116" t="s">
        <v>98</v>
      </c>
      <c r="V1" s="114" t="s">
        <v>100</v>
      </c>
      <c r="W1" s="114" t="s">
        <v>101</v>
      </c>
      <c r="X1" s="114" t="s">
        <v>102</v>
      </c>
      <c r="Y1" s="114" t="s">
        <v>134</v>
      </c>
      <c r="Z1" s="115" t="s">
        <v>103</v>
      </c>
      <c r="AA1" s="115" t="s">
        <v>104</v>
      </c>
      <c r="AB1" s="115" t="s">
        <v>105</v>
      </c>
      <c r="AC1" s="117" t="s">
        <v>135</v>
      </c>
      <c r="AD1" s="116" t="s">
        <v>106</v>
      </c>
      <c r="AE1" s="116" t="s">
        <v>107</v>
      </c>
      <c r="AF1" s="116" t="s">
        <v>108</v>
      </c>
      <c r="AG1" s="116" t="s">
        <v>136</v>
      </c>
      <c r="AH1" s="114" t="s">
        <v>109</v>
      </c>
      <c r="AI1" s="114" t="s">
        <v>111</v>
      </c>
      <c r="AJ1" s="114" t="s">
        <v>110</v>
      </c>
      <c r="AK1" s="115" t="s">
        <v>115</v>
      </c>
      <c r="AL1" s="115" t="s">
        <v>116</v>
      </c>
      <c r="AM1" s="115" t="s">
        <v>117</v>
      </c>
      <c r="AN1" s="116" t="s">
        <v>112</v>
      </c>
      <c r="AO1" s="116" t="s">
        <v>113</v>
      </c>
      <c r="AP1" s="116" t="s">
        <v>114</v>
      </c>
    </row>
    <row r="2" spans="1:42" x14ac:dyDescent="0.15">
      <c r="A2" s="118" t="s">
        <v>74</v>
      </c>
      <c r="B2" s="119">
        <v>1</v>
      </c>
      <c r="D2">
        <v>1</v>
      </c>
      <c r="E2" s="182" t="s">
        <v>192</v>
      </c>
      <c r="F2">
        <v>0.98</v>
      </c>
      <c r="G2">
        <v>0.8</v>
      </c>
      <c r="H2">
        <v>0.8</v>
      </c>
      <c r="I2">
        <v>0.8</v>
      </c>
      <c r="J2" s="109">
        <v>0.25</v>
      </c>
      <c r="K2" s="109">
        <v>0.05</v>
      </c>
    </row>
    <row r="3" spans="1:42" x14ac:dyDescent="0.15">
      <c r="A3" s="118" t="s">
        <v>75</v>
      </c>
      <c r="B3" s="120">
        <v>1</v>
      </c>
      <c r="D3">
        <v>2</v>
      </c>
      <c r="E3" s="182" t="s">
        <v>193</v>
      </c>
      <c r="F3">
        <v>0.98</v>
      </c>
      <c r="G3">
        <v>0.8</v>
      </c>
      <c r="H3">
        <v>0.8</v>
      </c>
      <c r="I3">
        <v>0.8</v>
      </c>
      <c r="J3" s="109">
        <v>0.25</v>
      </c>
      <c r="K3" s="109">
        <v>0.05</v>
      </c>
    </row>
    <row r="4" spans="1:42" x14ac:dyDescent="0.15">
      <c r="A4" s="118" t="s">
        <v>76</v>
      </c>
      <c r="B4" s="120">
        <v>1</v>
      </c>
      <c r="D4">
        <v>3</v>
      </c>
      <c r="E4" s="182" t="s">
        <v>194</v>
      </c>
      <c r="F4">
        <v>0.98</v>
      </c>
      <c r="G4">
        <v>0.8</v>
      </c>
      <c r="H4">
        <v>0.8</v>
      </c>
      <c r="I4">
        <v>0.8</v>
      </c>
      <c r="J4" s="109">
        <v>0.25</v>
      </c>
      <c r="K4" s="109">
        <v>0.05</v>
      </c>
    </row>
    <row r="5" spans="1:42" x14ac:dyDescent="0.15">
      <c r="A5" s="118" t="s">
        <v>77</v>
      </c>
      <c r="B5" s="120">
        <v>1</v>
      </c>
      <c r="D5">
        <v>4</v>
      </c>
      <c r="E5" s="182" t="s">
        <v>195</v>
      </c>
      <c r="F5">
        <v>0.98</v>
      </c>
      <c r="G5">
        <v>0.8</v>
      </c>
      <c r="H5">
        <v>0.8</v>
      </c>
      <c r="I5">
        <v>0.8</v>
      </c>
      <c r="J5" s="109">
        <v>0.25</v>
      </c>
      <c r="K5" s="109">
        <v>0.05</v>
      </c>
    </row>
    <row r="6" spans="1:42" x14ac:dyDescent="0.15">
      <c r="A6" s="118" t="s">
        <v>78</v>
      </c>
      <c r="B6" s="120">
        <v>1</v>
      </c>
      <c r="D6">
        <v>5</v>
      </c>
      <c r="E6" s="182" t="s">
        <v>196</v>
      </c>
      <c r="F6">
        <v>0.98</v>
      </c>
      <c r="G6">
        <v>0.8</v>
      </c>
      <c r="H6">
        <v>0.8</v>
      </c>
      <c r="I6">
        <v>0.8</v>
      </c>
      <c r="J6" s="109">
        <v>0.25</v>
      </c>
      <c r="K6" s="109">
        <v>0.05</v>
      </c>
    </row>
    <row r="7" spans="1:42" x14ac:dyDescent="0.15">
      <c r="A7" s="118" t="s">
        <v>79</v>
      </c>
      <c r="B7" s="120">
        <v>1</v>
      </c>
      <c r="D7">
        <v>6</v>
      </c>
      <c r="E7" s="182" t="s">
        <v>197</v>
      </c>
      <c r="F7">
        <v>0.98</v>
      </c>
      <c r="G7">
        <v>0.8</v>
      </c>
      <c r="H7">
        <v>0.8</v>
      </c>
      <c r="I7">
        <v>0.8</v>
      </c>
      <c r="J7" s="109">
        <v>0.25</v>
      </c>
      <c r="K7" s="109">
        <v>0.05</v>
      </c>
    </row>
    <row r="8" spans="1:42" x14ac:dyDescent="0.15">
      <c r="A8" s="118" t="s">
        <v>80</v>
      </c>
      <c r="B8" s="120">
        <v>1</v>
      </c>
      <c r="D8">
        <v>7</v>
      </c>
      <c r="E8" s="182" t="s">
        <v>198</v>
      </c>
      <c r="F8">
        <v>0.98</v>
      </c>
      <c r="G8">
        <v>0.8</v>
      </c>
      <c r="H8">
        <v>0.8</v>
      </c>
      <c r="I8">
        <v>0.8</v>
      </c>
      <c r="J8" s="109">
        <v>0.25</v>
      </c>
      <c r="K8" s="109">
        <v>0.05</v>
      </c>
    </row>
    <row r="9" spans="1:42" x14ac:dyDescent="0.15">
      <c r="A9" s="118" t="s">
        <v>81</v>
      </c>
      <c r="B9" s="120">
        <v>0.1</v>
      </c>
      <c r="C9" s="60" t="s">
        <v>150</v>
      </c>
      <c r="D9">
        <v>8</v>
      </c>
      <c r="E9" s="182" t="s">
        <v>199</v>
      </c>
      <c r="F9">
        <v>0.98</v>
      </c>
      <c r="G9">
        <v>0.8</v>
      </c>
      <c r="H9">
        <v>0.8</v>
      </c>
      <c r="I9">
        <v>0.8</v>
      </c>
      <c r="J9" s="109">
        <v>0.25</v>
      </c>
      <c r="K9" s="109">
        <v>0.05</v>
      </c>
    </row>
    <row r="10" spans="1:42" ht="14" thickBot="1" x14ac:dyDescent="0.2">
      <c r="A10" s="118" t="s">
        <v>149</v>
      </c>
      <c r="B10" s="121">
        <f>1/3</f>
        <v>0.33333333333333331</v>
      </c>
      <c r="C10" s="60" t="s">
        <v>150</v>
      </c>
      <c r="D10">
        <v>9</v>
      </c>
      <c r="E10" s="182" t="s">
        <v>200</v>
      </c>
      <c r="F10">
        <v>0.98</v>
      </c>
      <c r="G10">
        <v>0.8</v>
      </c>
      <c r="H10">
        <v>0.8</v>
      </c>
      <c r="I10">
        <v>0.8</v>
      </c>
      <c r="J10" s="109">
        <v>0.25</v>
      </c>
      <c r="K10" s="109">
        <v>0.05</v>
      </c>
    </row>
    <row r="11" spans="1:42" x14ac:dyDescent="0.15">
      <c r="D11">
        <v>10</v>
      </c>
      <c r="E11" s="182" t="s">
        <v>201</v>
      </c>
      <c r="F11">
        <v>0.98</v>
      </c>
      <c r="G11">
        <v>0.8</v>
      </c>
      <c r="H11">
        <v>0.8</v>
      </c>
      <c r="I11">
        <v>0.8</v>
      </c>
      <c r="J11" s="109">
        <v>0.25</v>
      </c>
      <c r="K11" s="109">
        <v>0.05</v>
      </c>
    </row>
    <row r="12" spans="1:42" x14ac:dyDescent="0.15">
      <c r="D12">
        <v>11</v>
      </c>
      <c r="E12" s="182" t="s">
        <v>202</v>
      </c>
      <c r="F12">
        <v>0.98</v>
      </c>
      <c r="G12">
        <v>0.8</v>
      </c>
      <c r="H12">
        <v>0.8</v>
      </c>
      <c r="I12">
        <v>0.8</v>
      </c>
      <c r="J12" s="109">
        <v>0.25</v>
      </c>
      <c r="K12" s="109">
        <v>0.05</v>
      </c>
    </row>
    <row r="13" spans="1:42" x14ac:dyDescent="0.15">
      <c r="D13">
        <v>12</v>
      </c>
      <c r="E13" s="182" t="s">
        <v>203</v>
      </c>
      <c r="F13">
        <v>0.98</v>
      </c>
      <c r="G13">
        <v>0.8</v>
      </c>
      <c r="H13">
        <v>0.8</v>
      </c>
      <c r="I13">
        <v>0.8</v>
      </c>
      <c r="J13" s="109">
        <v>0.25</v>
      </c>
      <c r="K13" s="109">
        <v>0.05</v>
      </c>
    </row>
    <row r="14" spans="1:42" x14ac:dyDescent="0.15">
      <c r="D14">
        <v>13</v>
      </c>
      <c r="E14" s="182" t="s">
        <v>204</v>
      </c>
      <c r="F14">
        <v>0.98</v>
      </c>
      <c r="G14">
        <v>0.8</v>
      </c>
      <c r="H14">
        <v>0.8</v>
      </c>
      <c r="I14">
        <v>0.8</v>
      </c>
      <c r="J14" s="109">
        <v>0.25</v>
      </c>
      <c r="K14" s="109">
        <v>0.05</v>
      </c>
    </row>
    <row r="15" spans="1:42" x14ac:dyDescent="0.15">
      <c r="D15">
        <v>14</v>
      </c>
      <c r="E15" s="182" t="s">
        <v>205</v>
      </c>
      <c r="F15">
        <v>0.98</v>
      </c>
      <c r="G15">
        <v>0.8</v>
      </c>
      <c r="H15">
        <v>0.8</v>
      </c>
      <c r="I15">
        <v>0.8</v>
      </c>
      <c r="J15" s="109">
        <v>0.25</v>
      </c>
      <c r="K15" s="109">
        <v>0.05</v>
      </c>
    </row>
    <row r="16" spans="1:42" x14ac:dyDescent="0.15">
      <c r="D16">
        <v>15</v>
      </c>
      <c r="E16" s="182" t="s">
        <v>206</v>
      </c>
      <c r="F16">
        <v>0.98</v>
      </c>
      <c r="G16">
        <v>0.8</v>
      </c>
      <c r="H16">
        <v>0.8</v>
      </c>
      <c r="I16">
        <v>0.8</v>
      </c>
      <c r="J16" s="109">
        <v>0.25</v>
      </c>
      <c r="K16" s="109">
        <v>0.05</v>
      </c>
    </row>
    <row r="17" spans="4:33" ht="15" customHeight="1" x14ac:dyDescent="0.15">
      <c r="D17">
        <v>16</v>
      </c>
      <c r="E17" s="182" t="s">
        <v>207</v>
      </c>
      <c r="F17">
        <v>0.98</v>
      </c>
      <c r="G17">
        <v>0.8</v>
      </c>
      <c r="H17">
        <v>0.8</v>
      </c>
      <c r="I17">
        <v>0.8</v>
      </c>
      <c r="J17" s="109">
        <v>0.25</v>
      </c>
      <c r="K17" s="109">
        <v>0.05</v>
      </c>
    </row>
    <row r="18" spans="4:33" ht="15" customHeight="1" x14ac:dyDescent="0.15">
      <c r="D18">
        <v>17</v>
      </c>
      <c r="E18" s="182" t="s">
        <v>208</v>
      </c>
      <c r="F18">
        <v>0.98</v>
      </c>
      <c r="G18">
        <v>0.8</v>
      </c>
      <c r="H18">
        <v>0.8</v>
      </c>
      <c r="I18">
        <v>0.8</v>
      </c>
      <c r="J18" s="109">
        <v>0.25</v>
      </c>
      <c r="K18" s="109">
        <v>0.05</v>
      </c>
    </row>
    <row r="19" spans="4:33" ht="15" customHeight="1" x14ac:dyDescent="0.15">
      <c r="D19">
        <v>18</v>
      </c>
      <c r="E19" s="182" t="s">
        <v>209</v>
      </c>
      <c r="F19">
        <v>0.98</v>
      </c>
      <c r="G19">
        <v>0.8</v>
      </c>
      <c r="H19">
        <v>0.8</v>
      </c>
      <c r="I19">
        <v>0.8</v>
      </c>
      <c r="J19" s="109">
        <v>0.25</v>
      </c>
      <c r="K19" s="109">
        <v>0.05</v>
      </c>
    </row>
    <row r="20" spans="4:33" ht="15" customHeight="1" x14ac:dyDescent="0.15">
      <c r="D20">
        <v>19</v>
      </c>
      <c r="E20" s="182" t="s">
        <v>210</v>
      </c>
      <c r="F20">
        <v>0.98</v>
      </c>
      <c r="G20">
        <v>0.8</v>
      </c>
      <c r="H20">
        <v>0.8</v>
      </c>
      <c r="I20">
        <v>0.8</v>
      </c>
      <c r="J20" s="109">
        <v>0.25</v>
      </c>
      <c r="K20" s="109">
        <v>0.05</v>
      </c>
    </row>
    <row r="21" spans="4:33" ht="15" customHeight="1" x14ac:dyDescent="0.15">
      <c r="D21">
        <v>20</v>
      </c>
      <c r="E21" s="182" t="s">
        <v>211</v>
      </c>
      <c r="F21">
        <v>0.98</v>
      </c>
      <c r="G21">
        <v>0.8</v>
      </c>
      <c r="H21">
        <v>0.8</v>
      </c>
      <c r="I21">
        <v>0.8</v>
      </c>
      <c r="J21" s="109">
        <v>0.25</v>
      </c>
      <c r="K21" s="109">
        <v>0.05</v>
      </c>
    </row>
    <row r="22" spans="4:33" ht="15" customHeight="1" x14ac:dyDescent="0.15">
      <c r="D22">
        <v>21</v>
      </c>
      <c r="E22" s="182" t="s">
        <v>212</v>
      </c>
      <c r="F22">
        <v>0.98</v>
      </c>
      <c r="G22">
        <v>0.8</v>
      </c>
      <c r="H22">
        <v>0.8</v>
      </c>
      <c r="I22">
        <v>0.8</v>
      </c>
      <c r="J22" s="109">
        <v>0.25</v>
      </c>
      <c r="K22" s="109">
        <v>0.05</v>
      </c>
    </row>
    <row r="23" spans="4:33" ht="15" customHeight="1" x14ac:dyDescent="0.15">
      <c r="D23">
        <v>22</v>
      </c>
      <c r="E23" s="182" t="s">
        <v>213</v>
      </c>
      <c r="F23">
        <v>0.98</v>
      </c>
      <c r="G23">
        <v>0.8</v>
      </c>
      <c r="H23">
        <v>0.8</v>
      </c>
      <c r="I23">
        <v>0.8</v>
      </c>
      <c r="J23" s="109">
        <v>0.25</v>
      </c>
      <c r="K23" s="109">
        <v>0.05</v>
      </c>
    </row>
    <row r="24" spans="4:33" ht="15" customHeight="1" x14ac:dyDescent="0.15">
      <c r="D24">
        <v>23</v>
      </c>
      <c r="E24" s="182" t="s">
        <v>214</v>
      </c>
      <c r="F24">
        <v>0.98</v>
      </c>
      <c r="G24">
        <v>0.8</v>
      </c>
      <c r="H24">
        <v>0.8</v>
      </c>
      <c r="I24">
        <v>0.8</v>
      </c>
      <c r="J24" s="109">
        <v>0.25</v>
      </c>
      <c r="K24" s="109">
        <v>0.05</v>
      </c>
    </row>
    <row r="25" spans="4:33" ht="15" customHeight="1" x14ac:dyDescent="0.15">
      <c r="D25">
        <v>24</v>
      </c>
      <c r="E25" s="182" t="s">
        <v>215</v>
      </c>
      <c r="F25">
        <v>0.98</v>
      </c>
      <c r="G25">
        <v>0.8</v>
      </c>
      <c r="H25">
        <v>0.8</v>
      </c>
      <c r="I25">
        <v>0.8</v>
      </c>
      <c r="J25" s="109">
        <v>0.25</v>
      </c>
      <c r="K25" s="109">
        <v>0.05</v>
      </c>
    </row>
    <row r="26" spans="4:33" ht="15" customHeight="1" x14ac:dyDescent="0.15">
      <c r="D26">
        <v>25</v>
      </c>
      <c r="E26" s="182" t="s">
        <v>216</v>
      </c>
      <c r="F26">
        <v>0.98</v>
      </c>
      <c r="G26">
        <v>0.8</v>
      </c>
      <c r="H26">
        <v>0.8</v>
      </c>
      <c r="I26">
        <v>0.8</v>
      </c>
      <c r="J26" s="109">
        <v>0.25</v>
      </c>
      <c r="K26" s="109">
        <v>0.05</v>
      </c>
    </row>
    <row r="27" spans="4:33" ht="15" customHeight="1" x14ac:dyDescent="0.15">
      <c r="D27">
        <v>26</v>
      </c>
      <c r="E27" s="182" t="s">
        <v>217</v>
      </c>
      <c r="F27">
        <v>0.98</v>
      </c>
      <c r="G27">
        <v>0.8</v>
      </c>
      <c r="H27">
        <v>0.8</v>
      </c>
      <c r="I27">
        <v>0.8</v>
      </c>
      <c r="J27" s="109">
        <v>0.25</v>
      </c>
      <c r="K27" s="109">
        <v>0.05</v>
      </c>
    </row>
    <row r="28" spans="4:33" ht="15" customHeight="1" x14ac:dyDescent="0.15">
      <c r="D28">
        <v>27</v>
      </c>
      <c r="E28" s="182" t="s">
        <v>218</v>
      </c>
      <c r="F28">
        <v>0.98</v>
      </c>
      <c r="G28">
        <v>0.8</v>
      </c>
      <c r="H28">
        <v>0.8</v>
      </c>
      <c r="I28">
        <v>0.8</v>
      </c>
      <c r="J28" s="109">
        <v>0.25</v>
      </c>
      <c r="K28" s="109">
        <v>0.05</v>
      </c>
    </row>
    <row r="29" spans="4:33" ht="15" customHeight="1" x14ac:dyDescent="0.15">
      <c r="D29">
        <v>28</v>
      </c>
      <c r="E29" s="182" t="s">
        <v>219</v>
      </c>
      <c r="F29">
        <v>0.98</v>
      </c>
      <c r="G29">
        <v>0.8</v>
      </c>
      <c r="H29">
        <v>0.8</v>
      </c>
      <c r="I29">
        <v>0.8</v>
      </c>
      <c r="J29" s="109">
        <v>0.25</v>
      </c>
      <c r="K29" s="109">
        <v>0.05</v>
      </c>
      <c r="Y29"/>
      <c r="AC29"/>
      <c r="AG29"/>
    </row>
    <row r="30" spans="4:33" ht="15" customHeight="1" x14ac:dyDescent="0.15">
      <c r="D30">
        <v>29</v>
      </c>
      <c r="E30" s="182" t="s">
        <v>220</v>
      </c>
      <c r="F30">
        <v>0.98</v>
      </c>
      <c r="G30">
        <v>0.8</v>
      </c>
      <c r="H30">
        <v>0.8</v>
      </c>
      <c r="I30">
        <v>0.8</v>
      </c>
      <c r="J30" s="109">
        <v>0.25</v>
      </c>
      <c r="K30" s="109">
        <v>0.05</v>
      </c>
      <c r="Y30"/>
      <c r="AC30"/>
      <c r="AG30"/>
    </row>
    <row r="31" spans="4:33" ht="15" customHeight="1" x14ac:dyDescent="0.15">
      <c r="D31">
        <v>30</v>
      </c>
      <c r="E31" s="182" t="s">
        <v>221</v>
      </c>
      <c r="F31">
        <v>0.98</v>
      </c>
      <c r="G31">
        <v>0.8</v>
      </c>
      <c r="H31">
        <v>0.8</v>
      </c>
      <c r="I31">
        <v>0.8</v>
      </c>
      <c r="J31" s="109">
        <v>0.25</v>
      </c>
      <c r="K31" s="109">
        <v>0.05</v>
      </c>
      <c r="Y31"/>
      <c r="AC31"/>
      <c r="AG31"/>
    </row>
    <row r="32" spans="4:33" ht="15" customHeight="1" x14ac:dyDescent="0.15">
      <c r="D32">
        <v>31</v>
      </c>
      <c r="E32" s="182" t="s">
        <v>222</v>
      </c>
      <c r="F32">
        <v>0.98</v>
      </c>
      <c r="G32">
        <v>0.8</v>
      </c>
      <c r="H32">
        <v>0.8</v>
      </c>
      <c r="I32">
        <v>0</v>
      </c>
      <c r="J32" s="109">
        <v>0</v>
      </c>
      <c r="K32" s="109">
        <v>0</v>
      </c>
      <c r="Y32"/>
      <c r="AC32"/>
      <c r="AG32"/>
    </row>
    <row r="33" spans="4:33" ht="15" customHeight="1" x14ac:dyDescent="0.15">
      <c r="D33">
        <v>32</v>
      </c>
      <c r="E33" s="182" t="s">
        <v>223</v>
      </c>
      <c r="F33">
        <v>0.98</v>
      </c>
      <c r="G33">
        <v>0.8</v>
      </c>
      <c r="H33">
        <v>0</v>
      </c>
      <c r="I33">
        <v>0</v>
      </c>
      <c r="J33" s="109">
        <v>0</v>
      </c>
      <c r="K33" s="109">
        <v>0</v>
      </c>
      <c r="Y33"/>
      <c r="AC33"/>
      <c r="AG33"/>
    </row>
    <row r="34" spans="4:33" ht="15" customHeight="1" x14ac:dyDescent="0.15">
      <c r="D34">
        <v>33</v>
      </c>
      <c r="E34" s="182" t="s">
        <v>224</v>
      </c>
      <c r="F34">
        <v>0.98</v>
      </c>
      <c r="G34">
        <v>0.8</v>
      </c>
      <c r="H34">
        <v>0</v>
      </c>
      <c r="I34">
        <v>0</v>
      </c>
      <c r="J34" s="109">
        <v>0</v>
      </c>
      <c r="K34" s="109">
        <v>0</v>
      </c>
      <c r="Y34"/>
      <c r="AC34"/>
      <c r="AG34"/>
    </row>
    <row r="35" spans="4:33" ht="15" customHeight="1" x14ac:dyDescent="0.15">
      <c r="J35"/>
      <c r="K35"/>
      <c r="Y35"/>
      <c r="AC35"/>
      <c r="AG35"/>
    </row>
    <row r="36" spans="4:33" ht="15" customHeight="1" x14ac:dyDescent="0.15">
      <c r="J36"/>
      <c r="K36"/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H35"/>
  <sheetViews>
    <sheetView workbookViewId="0">
      <selection activeCell="A3" sqref="A3"/>
    </sheetView>
  </sheetViews>
  <sheetFormatPr baseColWidth="10" defaultRowHeight="13" x14ac:dyDescent="0.15"/>
  <cols>
    <col min="1" max="1" width="24.6640625" style="107" bestFit="1" customWidth="1"/>
    <col min="2" max="31" width="3.83203125" style="107" customWidth="1"/>
    <col min="32" max="34" width="2.33203125" style="107" customWidth="1"/>
    <col min="35" max="16384" width="10.83203125" style="107"/>
  </cols>
  <sheetData>
    <row r="1" spans="1:34" x14ac:dyDescent="0.15">
      <c r="A1" s="62" t="s">
        <v>118</v>
      </c>
      <c r="B1" s="184" t="s">
        <v>192</v>
      </c>
      <c r="C1" s="184" t="s">
        <v>193</v>
      </c>
      <c r="D1" s="184" t="s">
        <v>194</v>
      </c>
      <c r="E1" s="184" t="s">
        <v>195</v>
      </c>
      <c r="F1" s="184" t="s">
        <v>196</v>
      </c>
      <c r="G1" s="184" t="s">
        <v>197</v>
      </c>
      <c r="H1" s="184" t="s">
        <v>198</v>
      </c>
      <c r="I1" s="184" t="s">
        <v>199</v>
      </c>
      <c r="J1" s="184" t="s">
        <v>200</v>
      </c>
      <c r="K1" s="184" t="s">
        <v>201</v>
      </c>
      <c r="L1" s="184" t="s">
        <v>202</v>
      </c>
      <c r="M1" s="184" t="s">
        <v>203</v>
      </c>
      <c r="N1" s="184" t="s">
        <v>204</v>
      </c>
      <c r="O1" s="184" t="s">
        <v>205</v>
      </c>
      <c r="P1" s="184" t="s">
        <v>206</v>
      </c>
      <c r="Q1" s="184" t="s">
        <v>207</v>
      </c>
      <c r="R1" s="184" t="s">
        <v>208</v>
      </c>
      <c r="S1" s="184" t="s">
        <v>209</v>
      </c>
      <c r="T1" s="184" t="s">
        <v>210</v>
      </c>
      <c r="U1" s="184" t="s">
        <v>211</v>
      </c>
      <c r="V1" s="184" t="s">
        <v>212</v>
      </c>
      <c r="W1" s="184" t="s">
        <v>213</v>
      </c>
      <c r="X1" s="184" t="s">
        <v>214</v>
      </c>
      <c r="Y1" s="184" t="s">
        <v>215</v>
      </c>
      <c r="Z1" s="184" t="s">
        <v>216</v>
      </c>
      <c r="AA1" s="184" t="s">
        <v>217</v>
      </c>
      <c r="AB1" s="184" t="s">
        <v>218</v>
      </c>
      <c r="AC1" s="184" t="s">
        <v>219</v>
      </c>
      <c r="AD1" s="184" t="s">
        <v>220</v>
      </c>
      <c r="AE1" s="184" t="s">
        <v>221</v>
      </c>
      <c r="AF1" s="184" t="s">
        <v>222</v>
      </c>
      <c r="AG1" s="184" t="s">
        <v>223</v>
      </c>
      <c r="AH1" s="184" t="s">
        <v>224</v>
      </c>
    </row>
    <row r="2" spans="1:34" customFormat="1" x14ac:dyDescent="0.15">
      <c r="A2" s="183" t="s">
        <v>192</v>
      </c>
      <c r="B2" s="107">
        <v>0</v>
      </c>
      <c r="C2" s="107">
        <v>0</v>
      </c>
      <c r="D2" s="107">
        <v>0</v>
      </c>
      <c r="E2" s="107">
        <v>0</v>
      </c>
      <c r="F2" s="107">
        <v>0</v>
      </c>
      <c r="G2" s="107">
        <v>0</v>
      </c>
      <c r="H2" s="107">
        <v>0</v>
      </c>
      <c r="I2" s="107">
        <v>0</v>
      </c>
      <c r="J2" s="107">
        <v>0</v>
      </c>
      <c r="K2" s="107">
        <v>0</v>
      </c>
      <c r="L2" s="107">
        <v>0</v>
      </c>
      <c r="M2" s="107">
        <v>0</v>
      </c>
      <c r="N2" s="107">
        <v>0</v>
      </c>
      <c r="O2" s="107">
        <v>0</v>
      </c>
      <c r="P2" s="107">
        <v>0</v>
      </c>
      <c r="Q2" s="107">
        <v>0</v>
      </c>
      <c r="R2" s="107">
        <v>0</v>
      </c>
      <c r="S2" s="107">
        <v>0</v>
      </c>
      <c r="T2" s="107">
        <v>0</v>
      </c>
      <c r="U2" s="107">
        <v>0</v>
      </c>
      <c r="V2" s="107">
        <v>0</v>
      </c>
      <c r="W2" s="107">
        <v>0</v>
      </c>
      <c r="X2" s="107">
        <v>0</v>
      </c>
      <c r="Y2" s="107">
        <v>0</v>
      </c>
      <c r="Z2" s="107">
        <v>0</v>
      </c>
      <c r="AA2" s="107">
        <v>0</v>
      </c>
      <c r="AB2" s="107">
        <v>0</v>
      </c>
      <c r="AC2" s="107">
        <v>0</v>
      </c>
      <c r="AD2" s="107">
        <v>0</v>
      </c>
      <c r="AE2" s="107">
        <v>0</v>
      </c>
      <c r="AF2" s="107">
        <v>0</v>
      </c>
      <c r="AG2" s="107">
        <v>0</v>
      </c>
      <c r="AH2" s="107">
        <v>0</v>
      </c>
    </row>
    <row r="3" spans="1:34" customFormat="1" x14ac:dyDescent="0.15">
      <c r="A3" s="183" t="s">
        <v>193</v>
      </c>
      <c r="B3" s="107">
        <v>0</v>
      </c>
      <c r="C3" s="107">
        <v>0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0</v>
      </c>
      <c r="AF3" s="107">
        <v>0</v>
      </c>
      <c r="AG3" s="107">
        <v>0</v>
      </c>
      <c r="AH3" s="107">
        <v>0</v>
      </c>
    </row>
    <row r="4" spans="1:34" customFormat="1" x14ac:dyDescent="0.15">
      <c r="A4" s="183" t="s">
        <v>194</v>
      </c>
      <c r="B4" s="107">
        <v>0</v>
      </c>
      <c r="C4" s="107">
        <v>0</v>
      </c>
      <c r="D4" s="107">
        <v>0</v>
      </c>
      <c r="E4" s="107">
        <v>0</v>
      </c>
      <c r="F4" s="107">
        <v>0</v>
      </c>
      <c r="G4" s="107">
        <v>0</v>
      </c>
      <c r="H4" s="107">
        <v>0</v>
      </c>
      <c r="I4" s="107">
        <v>0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  <c r="AH4" s="107">
        <v>0</v>
      </c>
    </row>
    <row r="5" spans="1:34" customFormat="1" x14ac:dyDescent="0.15">
      <c r="A5" s="183" t="s">
        <v>195</v>
      </c>
      <c r="B5" s="107">
        <v>0</v>
      </c>
      <c r="C5" s="107">
        <v>0</v>
      </c>
      <c r="D5" s="107">
        <v>0</v>
      </c>
      <c r="E5" s="107">
        <v>0</v>
      </c>
      <c r="F5" s="107">
        <v>0</v>
      </c>
      <c r="G5" s="107">
        <v>0</v>
      </c>
      <c r="H5" s="107">
        <v>0</v>
      </c>
      <c r="I5" s="107">
        <v>0</v>
      </c>
      <c r="J5" s="107">
        <v>0</v>
      </c>
      <c r="K5" s="107">
        <v>0</v>
      </c>
      <c r="L5" s="107">
        <v>0</v>
      </c>
      <c r="M5" s="107">
        <v>0</v>
      </c>
      <c r="N5" s="107">
        <v>0</v>
      </c>
      <c r="O5" s="107">
        <v>0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  <c r="W5" s="107">
        <v>0</v>
      </c>
      <c r="X5" s="107">
        <v>0</v>
      </c>
      <c r="Y5" s="107">
        <v>0</v>
      </c>
      <c r="Z5" s="107">
        <v>0</v>
      </c>
      <c r="AA5" s="107">
        <v>0</v>
      </c>
      <c r="AB5" s="107">
        <v>0</v>
      </c>
      <c r="AC5" s="107">
        <v>0</v>
      </c>
      <c r="AD5" s="107">
        <v>0</v>
      </c>
      <c r="AE5" s="107">
        <v>0</v>
      </c>
      <c r="AF5" s="107">
        <v>0</v>
      </c>
      <c r="AG5" s="107">
        <v>0</v>
      </c>
      <c r="AH5" s="107">
        <v>0</v>
      </c>
    </row>
    <row r="6" spans="1:34" customFormat="1" x14ac:dyDescent="0.15">
      <c r="A6" s="183" t="s">
        <v>196</v>
      </c>
      <c r="B6" s="107">
        <v>0</v>
      </c>
      <c r="C6" s="107">
        <v>0</v>
      </c>
      <c r="D6" s="107">
        <v>0</v>
      </c>
      <c r="E6" s="107">
        <v>0</v>
      </c>
      <c r="F6" s="107">
        <v>0</v>
      </c>
      <c r="G6" s="107">
        <v>0</v>
      </c>
      <c r="H6" s="107">
        <v>0</v>
      </c>
      <c r="I6" s="107">
        <v>0</v>
      </c>
      <c r="J6" s="107">
        <v>0</v>
      </c>
      <c r="K6" s="107">
        <v>0</v>
      </c>
      <c r="L6" s="107">
        <v>0</v>
      </c>
      <c r="M6" s="107">
        <v>0</v>
      </c>
      <c r="N6" s="107">
        <v>0</v>
      </c>
      <c r="O6" s="107">
        <v>0</v>
      </c>
      <c r="P6" s="107">
        <v>0</v>
      </c>
      <c r="Q6" s="107">
        <v>0</v>
      </c>
      <c r="R6" s="107">
        <v>0</v>
      </c>
      <c r="S6" s="107">
        <v>0</v>
      </c>
      <c r="T6" s="107">
        <v>0</v>
      </c>
      <c r="U6" s="107">
        <v>0</v>
      </c>
      <c r="V6" s="107">
        <v>0</v>
      </c>
      <c r="W6" s="107">
        <v>0</v>
      </c>
      <c r="X6" s="107">
        <v>0</v>
      </c>
      <c r="Y6" s="107">
        <v>0</v>
      </c>
      <c r="Z6" s="107">
        <v>0</v>
      </c>
      <c r="AA6" s="107">
        <v>0</v>
      </c>
      <c r="AB6" s="107">
        <v>0</v>
      </c>
      <c r="AC6" s="107">
        <v>0</v>
      </c>
      <c r="AD6" s="107">
        <v>0</v>
      </c>
      <c r="AE6" s="107">
        <v>0</v>
      </c>
      <c r="AF6" s="107">
        <v>0</v>
      </c>
      <c r="AG6" s="107">
        <v>0</v>
      </c>
      <c r="AH6" s="107">
        <v>0</v>
      </c>
    </row>
    <row r="7" spans="1:34" customFormat="1" x14ac:dyDescent="0.15">
      <c r="A7" s="183" t="s">
        <v>197</v>
      </c>
      <c r="B7" s="107">
        <v>0</v>
      </c>
      <c r="C7" s="107">
        <v>0</v>
      </c>
      <c r="D7" s="107">
        <v>0</v>
      </c>
      <c r="E7" s="107">
        <v>0</v>
      </c>
      <c r="F7" s="107">
        <v>0</v>
      </c>
      <c r="G7" s="107">
        <v>0</v>
      </c>
      <c r="H7" s="107">
        <v>0</v>
      </c>
      <c r="I7" s="107">
        <v>0</v>
      </c>
      <c r="J7" s="107">
        <v>0</v>
      </c>
      <c r="K7" s="107">
        <v>0</v>
      </c>
      <c r="L7" s="107">
        <v>0</v>
      </c>
      <c r="M7" s="107">
        <v>0</v>
      </c>
      <c r="N7" s="107">
        <v>0</v>
      </c>
      <c r="O7" s="107">
        <v>0</v>
      </c>
      <c r="P7" s="107">
        <v>0</v>
      </c>
      <c r="Q7" s="107">
        <v>0</v>
      </c>
      <c r="R7" s="107">
        <v>0</v>
      </c>
      <c r="S7" s="107">
        <v>0</v>
      </c>
      <c r="T7" s="107">
        <v>0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  <c r="AH7" s="107">
        <v>0</v>
      </c>
    </row>
    <row r="8" spans="1:34" customFormat="1" x14ac:dyDescent="0.15">
      <c r="A8" s="183" t="s">
        <v>198</v>
      </c>
      <c r="B8" s="107">
        <v>0.8</v>
      </c>
      <c r="C8" s="107">
        <v>0.8</v>
      </c>
      <c r="D8" s="107">
        <v>0.8</v>
      </c>
      <c r="E8" s="107">
        <v>0.8</v>
      </c>
      <c r="F8" s="107">
        <v>0.8</v>
      </c>
      <c r="G8" s="107">
        <v>0</v>
      </c>
      <c r="H8" s="107">
        <v>0</v>
      </c>
      <c r="I8" s="107">
        <v>0</v>
      </c>
      <c r="J8" s="107">
        <v>0</v>
      </c>
      <c r="K8" s="107">
        <v>0</v>
      </c>
      <c r="L8" s="107">
        <v>0</v>
      </c>
      <c r="M8" s="107">
        <v>0</v>
      </c>
      <c r="N8" s="107">
        <v>0</v>
      </c>
      <c r="O8" s="107">
        <v>0</v>
      </c>
      <c r="P8" s="107">
        <v>0</v>
      </c>
      <c r="Q8" s="107">
        <v>0</v>
      </c>
      <c r="R8" s="107">
        <v>0</v>
      </c>
      <c r="S8" s="107">
        <v>0</v>
      </c>
      <c r="T8" s="107">
        <v>0</v>
      </c>
      <c r="U8" s="107">
        <v>0</v>
      </c>
      <c r="V8" s="107">
        <v>0</v>
      </c>
      <c r="W8" s="107">
        <v>0</v>
      </c>
      <c r="X8" s="107">
        <v>0</v>
      </c>
      <c r="Y8" s="107">
        <v>0</v>
      </c>
      <c r="Z8" s="107">
        <v>0</v>
      </c>
      <c r="AA8" s="107">
        <v>0</v>
      </c>
      <c r="AB8" s="107">
        <v>0</v>
      </c>
      <c r="AC8" s="107">
        <v>0</v>
      </c>
      <c r="AD8" s="107">
        <v>0</v>
      </c>
      <c r="AE8" s="107">
        <v>0</v>
      </c>
      <c r="AF8" s="107">
        <v>0</v>
      </c>
      <c r="AG8" s="107">
        <v>0</v>
      </c>
      <c r="AH8" s="107">
        <v>0</v>
      </c>
    </row>
    <row r="9" spans="1:34" customFormat="1" x14ac:dyDescent="0.15">
      <c r="A9" s="183" t="s">
        <v>199</v>
      </c>
      <c r="B9" s="107">
        <v>0</v>
      </c>
      <c r="C9" s="107">
        <v>0.8</v>
      </c>
      <c r="D9" s="107">
        <v>0.8</v>
      </c>
      <c r="E9" s="107">
        <v>0.8</v>
      </c>
      <c r="F9" s="107">
        <v>0.8</v>
      </c>
      <c r="G9" s="107">
        <v>0.8</v>
      </c>
      <c r="H9" s="107">
        <v>0.8</v>
      </c>
      <c r="I9" s="107">
        <v>0.8</v>
      </c>
      <c r="J9" s="107">
        <v>0.8</v>
      </c>
      <c r="K9" s="107">
        <v>0.8</v>
      </c>
      <c r="L9" s="107">
        <v>0.8</v>
      </c>
      <c r="M9" s="107">
        <v>0</v>
      </c>
      <c r="N9" s="107">
        <v>0.8</v>
      </c>
      <c r="O9" s="107">
        <v>0.8</v>
      </c>
      <c r="P9" s="107">
        <v>0.8</v>
      </c>
      <c r="Q9" s="107">
        <v>0.8</v>
      </c>
      <c r="R9" s="107">
        <v>0</v>
      </c>
      <c r="S9" s="107">
        <v>0</v>
      </c>
      <c r="T9" s="107">
        <v>0</v>
      </c>
      <c r="U9" s="107">
        <v>0.8</v>
      </c>
      <c r="V9" s="107">
        <v>0</v>
      </c>
      <c r="W9" s="107">
        <v>0</v>
      </c>
      <c r="X9" s="107">
        <v>0</v>
      </c>
      <c r="Y9" s="107">
        <v>0</v>
      </c>
      <c r="Z9" s="107">
        <v>0</v>
      </c>
      <c r="AA9" s="107">
        <v>0</v>
      </c>
      <c r="AB9" s="107">
        <v>0</v>
      </c>
      <c r="AC9" s="107">
        <v>0</v>
      </c>
      <c r="AD9" s="107">
        <v>0</v>
      </c>
      <c r="AE9" s="107">
        <v>0</v>
      </c>
      <c r="AF9" s="107">
        <v>0</v>
      </c>
      <c r="AG9" s="107">
        <v>0</v>
      </c>
      <c r="AH9" s="107">
        <v>0</v>
      </c>
    </row>
    <row r="10" spans="1:34" customFormat="1" x14ac:dyDescent="0.15">
      <c r="A10" s="183" t="s">
        <v>200</v>
      </c>
      <c r="B10" s="107">
        <v>0</v>
      </c>
      <c r="C10" s="107">
        <v>0.8</v>
      </c>
      <c r="D10" s="107">
        <v>0.8</v>
      </c>
      <c r="E10" s="107">
        <v>0</v>
      </c>
      <c r="F10" s="107">
        <v>0</v>
      </c>
      <c r="G10" s="107">
        <v>0</v>
      </c>
      <c r="H10" s="107">
        <v>0</v>
      </c>
      <c r="I10" s="107">
        <v>0</v>
      </c>
      <c r="J10" s="107">
        <v>0</v>
      </c>
      <c r="K10" s="107">
        <v>0</v>
      </c>
      <c r="L10" s="107">
        <v>0</v>
      </c>
      <c r="M10" s="107">
        <v>0</v>
      </c>
      <c r="N10" s="107">
        <v>0</v>
      </c>
      <c r="O10" s="107">
        <v>0</v>
      </c>
      <c r="P10" s="107">
        <v>0</v>
      </c>
      <c r="Q10" s="107">
        <v>0</v>
      </c>
      <c r="R10" s="107">
        <v>0</v>
      </c>
      <c r="S10" s="107">
        <v>0</v>
      </c>
      <c r="T10" s="107">
        <v>0</v>
      </c>
      <c r="U10" s="107">
        <v>0</v>
      </c>
      <c r="V10" s="107">
        <v>0</v>
      </c>
      <c r="W10" s="107">
        <v>0</v>
      </c>
      <c r="X10" s="107">
        <v>0</v>
      </c>
      <c r="Y10" s="107">
        <v>0</v>
      </c>
      <c r="Z10" s="107">
        <v>0</v>
      </c>
      <c r="AA10" s="107">
        <v>0</v>
      </c>
      <c r="AB10" s="107">
        <v>0</v>
      </c>
      <c r="AC10" s="107">
        <v>0</v>
      </c>
      <c r="AD10" s="107">
        <v>0</v>
      </c>
      <c r="AE10" s="107">
        <v>0</v>
      </c>
      <c r="AF10" s="107">
        <v>0</v>
      </c>
      <c r="AG10" s="107">
        <v>0</v>
      </c>
      <c r="AH10" s="107">
        <v>0</v>
      </c>
    </row>
    <row r="11" spans="1:34" customFormat="1" x14ac:dyDescent="0.15">
      <c r="A11" s="183" t="s">
        <v>201</v>
      </c>
      <c r="B11" s="107">
        <v>0</v>
      </c>
      <c r="C11" s="107">
        <v>0.8</v>
      </c>
      <c r="D11" s="107">
        <v>0.8</v>
      </c>
      <c r="E11" s="107">
        <v>0.8</v>
      </c>
      <c r="F11" s="107">
        <v>0</v>
      </c>
      <c r="G11" s="107">
        <v>0.8</v>
      </c>
      <c r="H11" s="107">
        <v>0.8</v>
      </c>
      <c r="I11" s="107">
        <v>0</v>
      </c>
      <c r="J11" s="107">
        <v>0.8</v>
      </c>
      <c r="K11" s="107">
        <v>0.8</v>
      </c>
      <c r="L11" s="107">
        <v>0.8</v>
      </c>
      <c r="M11" s="107">
        <v>0</v>
      </c>
      <c r="N11" s="107">
        <v>0.8</v>
      </c>
      <c r="O11" s="107">
        <v>0</v>
      </c>
      <c r="P11" s="107">
        <v>0.8</v>
      </c>
      <c r="Q11" s="107">
        <v>0</v>
      </c>
      <c r="R11" s="107">
        <v>0</v>
      </c>
      <c r="S11" s="107">
        <v>0</v>
      </c>
      <c r="T11" s="107">
        <v>0</v>
      </c>
      <c r="U11" s="107">
        <v>0</v>
      </c>
      <c r="V11" s="107">
        <v>0</v>
      </c>
      <c r="W11" s="107">
        <v>0</v>
      </c>
      <c r="X11" s="107">
        <v>0</v>
      </c>
      <c r="Y11" s="107">
        <v>0</v>
      </c>
      <c r="Z11" s="107">
        <v>0</v>
      </c>
      <c r="AA11" s="107">
        <v>0</v>
      </c>
      <c r="AB11" s="107">
        <v>0</v>
      </c>
      <c r="AC11" s="107">
        <v>0</v>
      </c>
      <c r="AD11" s="107">
        <v>0</v>
      </c>
      <c r="AE11" s="107">
        <v>0</v>
      </c>
      <c r="AF11" s="107">
        <v>0</v>
      </c>
      <c r="AG11" s="107">
        <v>0</v>
      </c>
      <c r="AH11" s="107">
        <v>0</v>
      </c>
    </row>
    <row r="12" spans="1:34" customFormat="1" x14ac:dyDescent="0.15">
      <c r="A12" s="183" t="s">
        <v>202</v>
      </c>
      <c r="B12" s="107">
        <v>0</v>
      </c>
      <c r="C12" s="107">
        <v>0.8</v>
      </c>
      <c r="D12" s="107">
        <v>0</v>
      </c>
      <c r="E12" s="107">
        <v>0.8</v>
      </c>
      <c r="F12" s="107">
        <v>0</v>
      </c>
      <c r="G12" s="107">
        <v>0.8</v>
      </c>
      <c r="H12" s="107">
        <v>0.8</v>
      </c>
      <c r="I12" s="107">
        <v>0</v>
      </c>
      <c r="J12" s="107">
        <v>0.8</v>
      </c>
      <c r="K12" s="107">
        <v>0</v>
      </c>
      <c r="L12" s="107">
        <v>0.8</v>
      </c>
      <c r="M12" s="107">
        <v>0</v>
      </c>
      <c r="N12" s="107">
        <v>0.8</v>
      </c>
      <c r="O12" s="107">
        <v>0</v>
      </c>
      <c r="P12" s="107">
        <v>0.8</v>
      </c>
      <c r="Q12" s="107">
        <v>0.8</v>
      </c>
      <c r="R12" s="107">
        <v>0</v>
      </c>
      <c r="S12" s="107">
        <v>0</v>
      </c>
      <c r="T12" s="107">
        <v>0</v>
      </c>
      <c r="U12" s="107">
        <v>0</v>
      </c>
      <c r="V12" s="107">
        <v>0</v>
      </c>
      <c r="W12" s="107">
        <v>0</v>
      </c>
      <c r="X12" s="107">
        <v>0</v>
      </c>
      <c r="Y12" s="107">
        <v>0</v>
      </c>
      <c r="Z12" s="107">
        <v>0</v>
      </c>
      <c r="AA12" s="107">
        <v>0</v>
      </c>
      <c r="AB12" s="107">
        <v>0</v>
      </c>
      <c r="AC12" s="107">
        <v>0</v>
      </c>
      <c r="AD12" s="107">
        <v>0</v>
      </c>
      <c r="AE12" s="107">
        <v>0</v>
      </c>
      <c r="AF12" s="107">
        <v>0</v>
      </c>
      <c r="AG12" s="107">
        <v>0</v>
      </c>
      <c r="AH12" s="107">
        <v>0</v>
      </c>
    </row>
    <row r="13" spans="1:34" customFormat="1" x14ac:dyDescent="0.15">
      <c r="A13" s="183" t="s">
        <v>203</v>
      </c>
      <c r="B13" s="107">
        <v>0</v>
      </c>
      <c r="C13" s="107">
        <v>0.8</v>
      </c>
      <c r="D13" s="107">
        <v>0.8</v>
      </c>
      <c r="E13" s="107">
        <v>0.8</v>
      </c>
      <c r="F13" s="107">
        <v>0.8</v>
      </c>
      <c r="G13" s="107">
        <v>0.8</v>
      </c>
      <c r="H13" s="107">
        <v>0.8</v>
      </c>
      <c r="I13" s="107">
        <v>0.8</v>
      </c>
      <c r="J13" s="107">
        <v>0.8</v>
      </c>
      <c r="K13" s="107">
        <v>0</v>
      </c>
      <c r="L13" s="107">
        <v>0.8</v>
      </c>
      <c r="M13" s="107">
        <v>0</v>
      </c>
      <c r="N13" s="107">
        <v>0.8</v>
      </c>
      <c r="O13" s="107">
        <v>0</v>
      </c>
      <c r="P13" s="107">
        <v>0</v>
      </c>
      <c r="Q13" s="107">
        <v>0.8</v>
      </c>
      <c r="R13" s="107">
        <v>0</v>
      </c>
      <c r="S13" s="107">
        <v>0</v>
      </c>
      <c r="T13" s="107">
        <v>0</v>
      </c>
      <c r="U13" s="107">
        <v>0.8</v>
      </c>
      <c r="V13" s="107">
        <v>0</v>
      </c>
      <c r="W13" s="107">
        <v>0</v>
      </c>
      <c r="X13" s="107">
        <v>0</v>
      </c>
      <c r="Y13" s="107">
        <v>0</v>
      </c>
      <c r="Z13" s="107">
        <v>0</v>
      </c>
      <c r="AA13" s="107">
        <v>0</v>
      </c>
      <c r="AB13" s="107">
        <v>0</v>
      </c>
      <c r="AC13" s="107">
        <v>0</v>
      </c>
      <c r="AD13" s="107">
        <v>0</v>
      </c>
      <c r="AE13" s="107">
        <v>0</v>
      </c>
      <c r="AF13" s="107">
        <v>0</v>
      </c>
      <c r="AG13" s="107">
        <v>0</v>
      </c>
      <c r="AH13" s="107">
        <v>0</v>
      </c>
    </row>
    <row r="14" spans="1:34" customFormat="1" x14ac:dyDescent="0.15">
      <c r="A14" s="183" t="s">
        <v>204</v>
      </c>
      <c r="B14" s="107">
        <v>0</v>
      </c>
      <c r="C14" s="107">
        <v>0</v>
      </c>
      <c r="D14" s="107">
        <v>0</v>
      </c>
      <c r="E14" s="107">
        <v>0.8</v>
      </c>
      <c r="F14" s="107">
        <v>0.8</v>
      </c>
      <c r="G14" s="107">
        <v>0.8</v>
      </c>
      <c r="H14" s="107">
        <v>0.8</v>
      </c>
      <c r="I14" s="107">
        <v>0</v>
      </c>
      <c r="J14" s="107">
        <v>0.8</v>
      </c>
      <c r="K14" s="107">
        <v>0</v>
      </c>
      <c r="L14" s="107">
        <v>0</v>
      </c>
      <c r="M14" s="107">
        <v>0</v>
      </c>
      <c r="N14" s="107">
        <v>0.8</v>
      </c>
      <c r="O14" s="107">
        <v>0</v>
      </c>
      <c r="P14" s="107">
        <v>0.8</v>
      </c>
      <c r="Q14" s="107">
        <v>0</v>
      </c>
      <c r="R14" s="107">
        <v>0</v>
      </c>
      <c r="S14" s="107">
        <v>0</v>
      </c>
      <c r="T14" s="107">
        <v>0</v>
      </c>
      <c r="U14" s="107">
        <v>0.8</v>
      </c>
      <c r="V14" s="107">
        <v>0</v>
      </c>
      <c r="W14" s="107">
        <v>0</v>
      </c>
      <c r="X14" s="107">
        <v>0</v>
      </c>
      <c r="Y14" s="107">
        <v>0</v>
      </c>
      <c r="Z14" s="107">
        <v>0</v>
      </c>
      <c r="AA14" s="107">
        <v>0</v>
      </c>
      <c r="AB14" s="107">
        <v>0</v>
      </c>
      <c r="AC14" s="107">
        <v>0</v>
      </c>
      <c r="AD14" s="107">
        <v>0</v>
      </c>
      <c r="AE14" s="107">
        <v>0</v>
      </c>
      <c r="AF14" s="107">
        <v>0</v>
      </c>
      <c r="AG14" s="107">
        <v>0</v>
      </c>
      <c r="AH14" s="107">
        <v>0</v>
      </c>
    </row>
    <row r="15" spans="1:34" customFormat="1" x14ac:dyDescent="0.15">
      <c r="A15" s="183" t="s">
        <v>205</v>
      </c>
      <c r="B15" s="107">
        <v>0.8</v>
      </c>
      <c r="C15" s="107">
        <v>0.8</v>
      </c>
      <c r="D15" s="107">
        <v>0.8</v>
      </c>
      <c r="E15" s="107">
        <v>0.8</v>
      </c>
      <c r="F15" s="107">
        <v>0.8</v>
      </c>
      <c r="G15" s="107">
        <v>0</v>
      </c>
      <c r="H15" s="107">
        <v>0.8</v>
      </c>
      <c r="I15" s="107">
        <v>0.8</v>
      </c>
      <c r="J15" s="107">
        <v>0.8</v>
      </c>
      <c r="K15" s="107">
        <v>0.8</v>
      </c>
      <c r="L15" s="107">
        <v>0.8</v>
      </c>
      <c r="M15" s="107">
        <v>0</v>
      </c>
      <c r="N15" s="107">
        <v>0.8</v>
      </c>
      <c r="O15" s="107">
        <v>0.8</v>
      </c>
      <c r="P15" s="107">
        <v>0.8</v>
      </c>
      <c r="Q15" s="107">
        <v>0</v>
      </c>
      <c r="R15" s="107">
        <v>0</v>
      </c>
      <c r="S15" s="107">
        <v>0</v>
      </c>
      <c r="T15" s="107">
        <v>0</v>
      </c>
      <c r="U15" s="107">
        <v>0.8</v>
      </c>
      <c r="V15" s="107">
        <v>0</v>
      </c>
      <c r="W15" s="107">
        <v>0</v>
      </c>
      <c r="X15" s="107">
        <v>0</v>
      </c>
      <c r="Y15" s="107">
        <v>0</v>
      </c>
      <c r="Z15" s="107">
        <v>0</v>
      </c>
      <c r="AA15" s="107">
        <v>0</v>
      </c>
      <c r="AB15" s="107">
        <v>0</v>
      </c>
      <c r="AC15" s="107">
        <v>0</v>
      </c>
      <c r="AD15" s="107">
        <v>0</v>
      </c>
      <c r="AE15" s="107">
        <v>0</v>
      </c>
      <c r="AF15" s="107">
        <v>0</v>
      </c>
      <c r="AG15" s="107">
        <v>0</v>
      </c>
      <c r="AH15" s="107">
        <v>0</v>
      </c>
    </row>
    <row r="16" spans="1:34" customFormat="1" x14ac:dyDescent="0.15">
      <c r="A16" s="183" t="s">
        <v>206</v>
      </c>
      <c r="B16" s="107">
        <v>0.8</v>
      </c>
      <c r="C16" s="107">
        <v>0</v>
      </c>
      <c r="D16" s="107">
        <v>0.8</v>
      </c>
      <c r="E16" s="107">
        <v>0.8</v>
      </c>
      <c r="F16" s="107">
        <v>0.8</v>
      </c>
      <c r="G16" s="107">
        <v>0</v>
      </c>
      <c r="H16" s="107">
        <v>0</v>
      </c>
      <c r="I16" s="107">
        <v>0</v>
      </c>
      <c r="J16" s="107">
        <v>0</v>
      </c>
      <c r="K16" s="107">
        <v>0</v>
      </c>
      <c r="L16" s="107">
        <v>0</v>
      </c>
      <c r="M16" s="107">
        <v>0</v>
      </c>
      <c r="N16" s="107">
        <v>0</v>
      </c>
      <c r="O16" s="107">
        <v>0</v>
      </c>
      <c r="P16" s="107">
        <v>0</v>
      </c>
      <c r="Q16" s="107">
        <v>0</v>
      </c>
      <c r="R16" s="107">
        <v>0</v>
      </c>
      <c r="S16" s="107">
        <v>0</v>
      </c>
      <c r="T16" s="107">
        <v>0</v>
      </c>
      <c r="U16" s="107">
        <v>0</v>
      </c>
      <c r="V16" s="107">
        <v>0</v>
      </c>
      <c r="W16" s="107">
        <v>0</v>
      </c>
      <c r="X16" s="107">
        <v>0</v>
      </c>
      <c r="Y16" s="107">
        <v>0</v>
      </c>
      <c r="Z16" s="107">
        <v>0</v>
      </c>
      <c r="AA16" s="107">
        <v>0</v>
      </c>
      <c r="AB16" s="107">
        <v>0</v>
      </c>
      <c r="AC16" s="107">
        <v>0</v>
      </c>
      <c r="AD16" s="107">
        <v>0</v>
      </c>
      <c r="AE16" s="107">
        <v>0</v>
      </c>
      <c r="AF16" s="107">
        <v>0</v>
      </c>
      <c r="AG16" s="107">
        <v>0</v>
      </c>
      <c r="AH16" s="107">
        <v>0</v>
      </c>
    </row>
    <row r="17" spans="1:34" customFormat="1" x14ac:dyDescent="0.15">
      <c r="A17" s="183" t="s">
        <v>207</v>
      </c>
      <c r="B17" s="107">
        <v>0.8</v>
      </c>
      <c r="C17" s="107">
        <v>0.8</v>
      </c>
      <c r="D17" s="107">
        <v>0.8</v>
      </c>
      <c r="E17" s="107">
        <v>0.8</v>
      </c>
      <c r="F17" s="107">
        <v>0.8</v>
      </c>
      <c r="G17" s="107">
        <v>0.8</v>
      </c>
      <c r="H17" s="107">
        <v>0.8</v>
      </c>
      <c r="I17" s="107">
        <v>0.8</v>
      </c>
      <c r="J17" s="107">
        <v>0.8</v>
      </c>
      <c r="K17" s="107">
        <v>0.8</v>
      </c>
      <c r="L17" s="107">
        <v>0</v>
      </c>
      <c r="M17" s="107">
        <v>0.8</v>
      </c>
      <c r="N17" s="107">
        <v>0.8</v>
      </c>
      <c r="O17" s="107">
        <v>0.8</v>
      </c>
      <c r="P17" s="107">
        <v>0.8</v>
      </c>
      <c r="Q17" s="107">
        <v>0.8</v>
      </c>
      <c r="R17" s="107">
        <v>0</v>
      </c>
      <c r="S17" s="107">
        <v>0</v>
      </c>
      <c r="T17" s="107">
        <v>0</v>
      </c>
      <c r="U17" s="107">
        <v>0.8</v>
      </c>
      <c r="V17" s="107">
        <v>0</v>
      </c>
      <c r="W17" s="107">
        <v>0</v>
      </c>
      <c r="X17" s="107">
        <v>0</v>
      </c>
      <c r="Y17" s="107">
        <v>0</v>
      </c>
      <c r="Z17" s="107">
        <v>0</v>
      </c>
      <c r="AA17" s="107">
        <v>0</v>
      </c>
      <c r="AB17" s="107">
        <v>0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</row>
    <row r="18" spans="1:34" customFormat="1" x14ac:dyDescent="0.15">
      <c r="A18" s="183" t="s">
        <v>208</v>
      </c>
      <c r="B18" s="107">
        <v>0.8</v>
      </c>
      <c r="C18" s="107">
        <v>0.8</v>
      </c>
      <c r="D18" s="107">
        <v>0.8</v>
      </c>
      <c r="E18" s="107">
        <v>0.8</v>
      </c>
      <c r="F18" s="107">
        <v>0.8</v>
      </c>
      <c r="G18" s="107">
        <v>0.8</v>
      </c>
      <c r="H18" s="107">
        <v>0.8</v>
      </c>
      <c r="I18" s="107">
        <v>0.8</v>
      </c>
      <c r="J18" s="107">
        <v>0.8</v>
      </c>
      <c r="K18" s="107">
        <v>0.8</v>
      </c>
      <c r="L18" s="107">
        <v>0.8</v>
      </c>
      <c r="M18" s="107">
        <v>0.8</v>
      </c>
      <c r="N18" s="107">
        <v>0.8</v>
      </c>
      <c r="O18" s="107">
        <v>0.8</v>
      </c>
      <c r="P18" s="107">
        <v>0.8</v>
      </c>
      <c r="Q18" s="107">
        <v>0.8</v>
      </c>
      <c r="R18" s="107">
        <v>0.8</v>
      </c>
      <c r="S18" s="107">
        <v>0</v>
      </c>
      <c r="T18" s="107">
        <v>0.8</v>
      </c>
      <c r="U18" s="107">
        <v>0.8</v>
      </c>
      <c r="V18" s="107">
        <v>0.8</v>
      </c>
      <c r="W18" s="107">
        <v>0.8</v>
      </c>
      <c r="X18" s="107">
        <v>0</v>
      </c>
      <c r="Y18" s="107">
        <v>0</v>
      </c>
      <c r="Z18" s="107">
        <v>0</v>
      </c>
      <c r="AA18" s="107">
        <v>0</v>
      </c>
      <c r="AB18" s="107">
        <v>0</v>
      </c>
      <c r="AC18" s="107">
        <v>0</v>
      </c>
      <c r="AD18" s="107">
        <v>0</v>
      </c>
      <c r="AE18" s="107">
        <v>0</v>
      </c>
      <c r="AF18" s="107">
        <v>0</v>
      </c>
      <c r="AG18" s="107">
        <v>0</v>
      </c>
      <c r="AH18" s="107">
        <v>0</v>
      </c>
    </row>
    <row r="19" spans="1:34" customFormat="1" x14ac:dyDescent="0.15">
      <c r="A19" s="183" t="s">
        <v>209</v>
      </c>
      <c r="B19" s="107">
        <v>0.8</v>
      </c>
      <c r="C19" s="107">
        <v>0</v>
      </c>
      <c r="D19" s="107">
        <v>0</v>
      </c>
      <c r="E19" s="107">
        <v>0.8</v>
      </c>
      <c r="F19" s="107">
        <v>0</v>
      </c>
      <c r="G19" s="107">
        <v>0.8</v>
      </c>
      <c r="H19" s="107">
        <v>0.8</v>
      </c>
      <c r="I19" s="107">
        <v>0.8</v>
      </c>
      <c r="J19" s="107">
        <v>0.8</v>
      </c>
      <c r="K19" s="107">
        <v>0.8</v>
      </c>
      <c r="L19" s="107">
        <v>0.8</v>
      </c>
      <c r="M19" s="107">
        <v>0.8</v>
      </c>
      <c r="N19" s="107">
        <v>0.8</v>
      </c>
      <c r="O19" s="107">
        <v>0.8</v>
      </c>
      <c r="P19" s="107">
        <v>0</v>
      </c>
      <c r="Q19" s="107">
        <v>0</v>
      </c>
      <c r="R19" s="107">
        <v>0</v>
      </c>
      <c r="S19" s="107">
        <v>0</v>
      </c>
      <c r="T19" s="107">
        <v>0</v>
      </c>
      <c r="U19" s="107">
        <v>0.8</v>
      </c>
      <c r="V19" s="107">
        <v>0.8</v>
      </c>
      <c r="W19" s="107">
        <v>0.8</v>
      </c>
      <c r="X19" s="107">
        <v>0</v>
      </c>
      <c r="Y19" s="107">
        <v>0</v>
      </c>
      <c r="Z19" s="107">
        <v>0</v>
      </c>
      <c r="AA19" s="107">
        <v>0</v>
      </c>
      <c r="AB19" s="107">
        <v>0</v>
      </c>
      <c r="AC19" s="107">
        <v>0</v>
      </c>
      <c r="AD19" s="107">
        <v>0</v>
      </c>
      <c r="AE19" s="107">
        <v>0</v>
      </c>
      <c r="AF19" s="107">
        <v>0</v>
      </c>
      <c r="AG19" s="107">
        <v>0</v>
      </c>
      <c r="AH19" s="107">
        <v>0</v>
      </c>
    </row>
    <row r="20" spans="1:34" customFormat="1" x14ac:dyDescent="0.15">
      <c r="A20" s="183" t="s">
        <v>210</v>
      </c>
      <c r="B20" s="107">
        <v>0</v>
      </c>
      <c r="C20" s="107">
        <v>0.8</v>
      </c>
      <c r="D20" s="107">
        <v>0.8</v>
      </c>
      <c r="E20" s="107">
        <v>0</v>
      </c>
      <c r="F20" s="107">
        <v>0</v>
      </c>
      <c r="G20" s="107">
        <v>0.8</v>
      </c>
      <c r="H20" s="107">
        <v>0.8</v>
      </c>
      <c r="I20" s="107">
        <v>0</v>
      </c>
      <c r="J20" s="107">
        <v>0</v>
      </c>
      <c r="K20" s="107">
        <v>0</v>
      </c>
      <c r="L20" s="107">
        <v>0.8</v>
      </c>
      <c r="M20" s="107">
        <v>0</v>
      </c>
      <c r="N20" s="107">
        <v>0.8</v>
      </c>
      <c r="O20" s="107">
        <v>0</v>
      </c>
      <c r="P20" s="107">
        <v>0.8</v>
      </c>
      <c r="Q20" s="107">
        <v>0.8</v>
      </c>
      <c r="R20" s="107">
        <v>0</v>
      </c>
      <c r="S20" s="107">
        <v>0</v>
      </c>
      <c r="T20" s="107">
        <v>0.8</v>
      </c>
      <c r="U20" s="107">
        <v>0.8</v>
      </c>
      <c r="V20" s="107">
        <v>0</v>
      </c>
      <c r="W20" s="107">
        <v>0</v>
      </c>
      <c r="X20" s="107">
        <v>0</v>
      </c>
      <c r="Y20" s="107">
        <v>0</v>
      </c>
      <c r="Z20" s="107">
        <v>0</v>
      </c>
      <c r="AA20" s="107">
        <v>0</v>
      </c>
      <c r="AB20" s="107">
        <v>0</v>
      </c>
      <c r="AC20" s="107">
        <v>0</v>
      </c>
      <c r="AD20" s="107">
        <v>0</v>
      </c>
      <c r="AE20" s="107">
        <v>0</v>
      </c>
      <c r="AF20" s="107">
        <v>0</v>
      </c>
      <c r="AG20" s="107">
        <v>0</v>
      </c>
      <c r="AH20" s="107">
        <v>0</v>
      </c>
    </row>
    <row r="21" spans="1:34" customFormat="1" x14ac:dyDescent="0.15">
      <c r="A21" s="183" t="s">
        <v>211</v>
      </c>
      <c r="B21" s="107">
        <v>0.8</v>
      </c>
      <c r="C21" s="107">
        <v>0.8</v>
      </c>
      <c r="D21" s="107">
        <v>0</v>
      </c>
      <c r="E21" s="107">
        <v>0.8</v>
      </c>
      <c r="F21" s="107">
        <v>0.8</v>
      </c>
      <c r="G21" s="107">
        <v>0.8</v>
      </c>
      <c r="H21" s="107">
        <v>0</v>
      </c>
      <c r="I21" s="107">
        <v>0</v>
      </c>
      <c r="J21" s="107">
        <v>0</v>
      </c>
      <c r="K21" s="107">
        <v>0</v>
      </c>
      <c r="L21" s="107">
        <v>0</v>
      </c>
      <c r="M21" s="107">
        <v>0</v>
      </c>
      <c r="N21" s="107">
        <v>0</v>
      </c>
      <c r="O21" s="107">
        <v>0</v>
      </c>
      <c r="P21" s="107">
        <v>0</v>
      </c>
      <c r="Q21" s="107">
        <v>0</v>
      </c>
      <c r="R21" s="107">
        <v>0</v>
      </c>
      <c r="S21" s="107">
        <v>0</v>
      </c>
      <c r="T21" s="107">
        <v>0</v>
      </c>
      <c r="U21" s="107">
        <v>0</v>
      </c>
      <c r="V21" s="107">
        <v>0</v>
      </c>
      <c r="W21" s="107">
        <v>0</v>
      </c>
      <c r="X21" s="107">
        <v>0</v>
      </c>
      <c r="Y21" s="107">
        <v>0</v>
      </c>
      <c r="Z21" s="107">
        <v>0</v>
      </c>
      <c r="AA21" s="107">
        <v>0</v>
      </c>
      <c r="AB21" s="107">
        <v>0</v>
      </c>
      <c r="AC21" s="107">
        <v>0</v>
      </c>
      <c r="AD21" s="107">
        <v>0</v>
      </c>
      <c r="AE21" s="107">
        <v>0</v>
      </c>
      <c r="AF21" s="107">
        <v>0</v>
      </c>
      <c r="AG21" s="107">
        <v>0</v>
      </c>
      <c r="AH21" s="107">
        <v>0</v>
      </c>
    </row>
    <row r="22" spans="1:34" customFormat="1" x14ac:dyDescent="0.15">
      <c r="A22" s="183" t="s">
        <v>212</v>
      </c>
      <c r="B22" s="107">
        <v>0.8</v>
      </c>
      <c r="C22" s="107">
        <v>0.8</v>
      </c>
      <c r="D22" s="107">
        <v>0.8</v>
      </c>
      <c r="E22" s="107">
        <v>0.8</v>
      </c>
      <c r="F22" s="107">
        <v>0.8</v>
      </c>
      <c r="G22" s="107">
        <v>0.8</v>
      </c>
      <c r="H22" s="107">
        <v>0.8</v>
      </c>
      <c r="I22" s="107">
        <v>0.8</v>
      </c>
      <c r="J22" s="107">
        <v>0.8</v>
      </c>
      <c r="K22" s="107">
        <v>0.8</v>
      </c>
      <c r="L22" s="107">
        <v>0</v>
      </c>
      <c r="M22" s="107">
        <v>0</v>
      </c>
      <c r="N22" s="107">
        <v>0</v>
      </c>
      <c r="O22" s="107">
        <v>0.8</v>
      </c>
      <c r="P22" s="107">
        <v>0</v>
      </c>
      <c r="Q22" s="107">
        <v>0.8</v>
      </c>
      <c r="R22" s="107">
        <v>0</v>
      </c>
      <c r="S22" s="107">
        <v>0</v>
      </c>
      <c r="T22" s="107">
        <v>0</v>
      </c>
      <c r="U22" s="107">
        <v>0.8</v>
      </c>
      <c r="V22" s="107">
        <v>0</v>
      </c>
      <c r="W22" s="107">
        <v>0</v>
      </c>
      <c r="X22" s="107">
        <v>0</v>
      </c>
      <c r="Y22" s="107">
        <v>0</v>
      </c>
      <c r="Z22" s="107">
        <v>0</v>
      </c>
      <c r="AA22" s="107">
        <v>0</v>
      </c>
      <c r="AB22" s="107">
        <v>0</v>
      </c>
      <c r="AC22" s="107">
        <v>0</v>
      </c>
      <c r="AD22" s="107">
        <v>0</v>
      </c>
      <c r="AE22" s="107">
        <v>0</v>
      </c>
      <c r="AF22" s="107">
        <v>0</v>
      </c>
      <c r="AG22" s="107">
        <v>0</v>
      </c>
      <c r="AH22" s="107">
        <v>0</v>
      </c>
    </row>
    <row r="23" spans="1:34" customFormat="1" x14ac:dyDescent="0.15">
      <c r="A23" s="183" t="s">
        <v>213</v>
      </c>
      <c r="B23" s="107">
        <v>0.8</v>
      </c>
      <c r="C23" s="107">
        <v>0.8</v>
      </c>
      <c r="D23" s="107">
        <v>0.8</v>
      </c>
      <c r="E23" s="107">
        <v>0.8</v>
      </c>
      <c r="F23" s="107">
        <v>0.8</v>
      </c>
      <c r="G23" s="107">
        <v>0.8</v>
      </c>
      <c r="H23" s="107">
        <v>0.8</v>
      </c>
      <c r="I23" s="107">
        <v>0.8</v>
      </c>
      <c r="J23" s="107">
        <v>0.8</v>
      </c>
      <c r="K23" s="107">
        <v>0</v>
      </c>
      <c r="L23" s="107">
        <v>0.8</v>
      </c>
      <c r="M23" s="107">
        <v>0.8</v>
      </c>
      <c r="N23" s="107">
        <v>0.8</v>
      </c>
      <c r="O23" s="107">
        <v>0.8</v>
      </c>
      <c r="P23" s="107">
        <v>0</v>
      </c>
      <c r="Q23" s="107">
        <v>0</v>
      </c>
      <c r="R23" s="107">
        <v>0</v>
      </c>
      <c r="S23" s="107">
        <v>0</v>
      </c>
      <c r="T23" s="107">
        <v>0</v>
      </c>
      <c r="U23" s="107">
        <v>0.8</v>
      </c>
      <c r="V23" s="107">
        <v>0</v>
      </c>
      <c r="W23" s="107">
        <v>0</v>
      </c>
      <c r="X23" s="107">
        <v>0</v>
      </c>
      <c r="Y23" s="107">
        <v>0</v>
      </c>
      <c r="Z23" s="107">
        <v>0</v>
      </c>
      <c r="AA23" s="107">
        <v>0</v>
      </c>
      <c r="AB23" s="107">
        <v>0</v>
      </c>
      <c r="AC23" s="107">
        <v>0</v>
      </c>
      <c r="AD23" s="107">
        <v>0</v>
      </c>
      <c r="AE23" s="107">
        <v>0</v>
      </c>
      <c r="AF23" s="107">
        <v>0</v>
      </c>
      <c r="AG23" s="107">
        <v>0</v>
      </c>
      <c r="AH23" s="107">
        <v>0</v>
      </c>
    </row>
    <row r="24" spans="1:34" customFormat="1" x14ac:dyDescent="0.15">
      <c r="A24" s="183" t="s">
        <v>214</v>
      </c>
      <c r="B24" s="107">
        <v>0.8</v>
      </c>
      <c r="C24" s="107">
        <v>0.8</v>
      </c>
      <c r="D24" s="107">
        <v>0</v>
      </c>
      <c r="E24" s="107">
        <v>0.8</v>
      </c>
      <c r="F24" s="107">
        <v>0.8</v>
      </c>
      <c r="G24" s="107">
        <v>0.8</v>
      </c>
      <c r="H24" s="107">
        <v>0.8</v>
      </c>
      <c r="I24" s="107">
        <v>0.8</v>
      </c>
      <c r="J24" s="107">
        <v>0.8</v>
      </c>
      <c r="K24" s="107">
        <v>0.8</v>
      </c>
      <c r="L24" s="107">
        <v>0.8</v>
      </c>
      <c r="M24" s="107">
        <v>0.8</v>
      </c>
      <c r="N24" s="107">
        <v>0.8</v>
      </c>
      <c r="O24" s="107">
        <v>0.8</v>
      </c>
      <c r="P24" s="107">
        <v>0.8</v>
      </c>
      <c r="Q24" s="107">
        <v>0.8</v>
      </c>
      <c r="R24" s="107">
        <v>0</v>
      </c>
      <c r="S24" s="107">
        <v>0</v>
      </c>
      <c r="T24" s="107">
        <v>0</v>
      </c>
      <c r="U24" s="107">
        <v>0.8</v>
      </c>
      <c r="V24" s="107">
        <v>0.8</v>
      </c>
      <c r="W24" s="107">
        <v>0</v>
      </c>
      <c r="X24" s="107">
        <v>0</v>
      </c>
      <c r="Y24" s="107">
        <v>0.8</v>
      </c>
      <c r="Z24" s="107">
        <v>0</v>
      </c>
      <c r="AA24" s="107">
        <v>0</v>
      </c>
      <c r="AB24" s="107">
        <v>0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  <c r="AH24" s="107">
        <v>0</v>
      </c>
    </row>
    <row r="25" spans="1:34" customFormat="1" x14ac:dyDescent="0.15">
      <c r="A25" s="183" t="s">
        <v>215</v>
      </c>
      <c r="B25" s="107">
        <v>0</v>
      </c>
      <c r="C25" s="107">
        <v>0.8</v>
      </c>
      <c r="D25" s="107">
        <v>0</v>
      </c>
      <c r="E25" s="107">
        <v>0.8</v>
      </c>
      <c r="F25" s="107">
        <v>0.8</v>
      </c>
      <c r="G25" s="107">
        <v>0</v>
      </c>
      <c r="H25" s="107">
        <v>0.8</v>
      </c>
      <c r="I25" s="107">
        <v>0.8</v>
      </c>
      <c r="J25" s="107">
        <v>0</v>
      </c>
      <c r="K25" s="107">
        <v>0</v>
      </c>
      <c r="L25" s="107">
        <v>0.8</v>
      </c>
      <c r="M25" s="107">
        <v>0.8</v>
      </c>
      <c r="N25" s="107">
        <v>0.8</v>
      </c>
      <c r="O25" s="107">
        <v>0</v>
      </c>
      <c r="P25" s="107">
        <v>0.8</v>
      </c>
      <c r="Q25" s="107">
        <v>0.8</v>
      </c>
      <c r="R25" s="107">
        <v>0</v>
      </c>
      <c r="S25" s="107">
        <v>0</v>
      </c>
      <c r="T25" s="107">
        <v>0</v>
      </c>
      <c r="U25" s="107">
        <v>0.8</v>
      </c>
      <c r="V25" s="107">
        <v>0</v>
      </c>
      <c r="W25" s="107">
        <v>0</v>
      </c>
      <c r="X25" s="107">
        <v>0</v>
      </c>
      <c r="Y25" s="107">
        <v>0.8</v>
      </c>
      <c r="Z25" s="107">
        <v>0</v>
      </c>
      <c r="AA25" s="107">
        <v>0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  <c r="AH25" s="107">
        <v>0</v>
      </c>
    </row>
    <row r="26" spans="1:34" customFormat="1" x14ac:dyDescent="0.15">
      <c r="A26" s="183" t="s">
        <v>216</v>
      </c>
      <c r="B26" s="107">
        <v>0</v>
      </c>
      <c r="C26" s="107">
        <v>0</v>
      </c>
      <c r="D26" s="107">
        <v>0</v>
      </c>
      <c r="E26" s="107">
        <v>0</v>
      </c>
      <c r="F26" s="107">
        <v>0</v>
      </c>
      <c r="G26" s="107">
        <v>0</v>
      </c>
      <c r="H26" s="107">
        <v>0.8</v>
      </c>
      <c r="I26" s="107">
        <v>0.8</v>
      </c>
      <c r="J26" s="107">
        <v>0.8</v>
      </c>
      <c r="K26" s="107">
        <v>0</v>
      </c>
      <c r="L26" s="107">
        <v>0.8</v>
      </c>
      <c r="M26" s="107">
        <v>0.8</v>
      </c>
      <c r="N26" s="107">
        <v>0.8</v>
      </c>
      <c r="O26" s="107">
        <v>0</v>
      </c>
      <c r="P26" s="107">
        <v>0.8</v>
      </c>
      <c r="Q26" s="107">
        <v>0.8</v>
      </c>
      <c r="R26" s="107">
        <v>0</v>
      </c>
      <c r="S26" s="107">
        <v>0</v>
      </c>
      <c r="T26" s="107">
        <v>0</v>
      </c>
      <c r="U26" s="107">
        <v>0.8</v>
      </c>
      <c r="V26" s="107">
        <v>0</v>
      </c>
      <c r="W26" s="107">
        <v>0</v>
      </c>
      <c r="X26" s="107">
        <v>0</v>
      </c>
      <c r="Y26" s="107">
        <v>0.8</v>
      </c>
      <c r="Z26" s="107">
        <v>0</v>
      </c>
      <c r="AA26" s="107">
        <v>0</v>
      </c>
      <c r="AB26" s="107">
        <v>0</v>
      </c>
      <c r="AC26" s="107">
        <v>0</v>
      </c>
      <c r="AD26" s="107">
        <v>0</v>
      </c>
      <c r="AE26" s="107">
        <v>0</v>
      </c>
      <c r="AF26" s="107">
        <v>0</v>
      </c>
      <c r="AG26" s="107">
        <v>0</v>
      </c>
      <c r="AH26" s="107">
        <v>0</v>
      </c>
    </row>
    <row r="27" spans="1:34" customFormat="1" x14ac:dyDescent="0.15">
      <c r="A27" s="183" t="s">
        <v>217</v>
      </c>
      <c r="B27" s="107">
        <v>0</v>
      </c>
      <c r="C27" s="107">
        <v>0</v>
      </c>
      <c r="D27" s="107">
        <v>0</v>
      </c>
      <c r="E27" s="107">
        <v>0</v>
      </c>
      <c r="F27" s="107">
        <v>0.8</v>
      </c>
      <c r="G27" s="107">
        <v>0.8</v>
      </c>
      <c r="H27" s="107">
        <v>0.8</v>
      </c>
      <c r="I27" s="107">
        <v>0.8</v>
      </c>
      <c r="J27" s="107">
        <v>0</v>
      </c>
      <c r="K27" s="107">
        <v>0.8</v>
      </c>
      <c r="L27" s="107">
        <v>0.8</v>
      </c>
      <c r="M27" s="107">
        <v>0.8</v>
      </c>
      <c r="N27" s="107">
        <v>0.8</v>
      </c>
      <c r="O27" s="107">
        <v>0.8</v>
      </c>
      <c r="P27" s="107">
        <v>0.8</v>
      </c>
      <c r="Q27" s="107">
        <v>0.8</v>
      </c>
      <c r="R27" s="107">
        <v>0</v>
      </c>
      <c r="S27" s="107">
        <v>0</v>
      </c>
      <c r="T27" s="107">
        <v>0</v>
      </c>
      <c r="U27" s="107">
        <v>0</v>
      </c>
      <c r="V27" s="107">
        <v>0.8</v>
      </c>
      <c r="W27" s="107">
        <v>0</v>
      </c>
      <c r="X27" s="107">
        <v>0</v>
      </c>
      <c r="Y27" s="107">
        <v>0.8</v>
      </c>
      <c r="Z27" s="107">
        <v>0</v>
      </c>
      <c r="AA27" s="107">
        <v>0</v>
      </c>
      <c r="AB27" s="107">
        <v>0</v>
      </c>
      <c r="AC27" s="107">
        <v>0</v>
      </c>
      <c r="AD27" s="107">
        <v>0</v>
      </c>
      <c r="AE27" s="107">
        <v>0</v>
      </c>
      <c r="AF27" s="107">
        <v>0</v>
      </c>
      <c r="AG27" s="107">
        <v>0</v>
      </c>
      <c r="AH27" s="107">
        <v>0</v>
      </c>
    </row>
    <row r="28" spans="1:34" customFormat="1" x14ac:dyDescent="0.15">
      <c r="A28" s="183" t="s">
        <v>218</v>
      </c>
      <c r="B28" s="107">
        <v>0</v>
      </c>
      <c r="C28" s="107">
        <v>0</v>
      </c>
      <c r="D28" s="107">
        <v>0</v>
      </c>
      <c r="E28" s="107">
        <v>0</v>
      </c>
      <c r="F28" s="107">
        <v>0</v>
      </c>
      <c r="G28" s="107">
        <v>0</v>
      </c>
      <c r="H28" s="107">
        <v>0.8</v>
      </c>
      <c r="I28" s="107">
        <v>0.8</v>
      </c>
      <c r="J28" s="107">
        <v>0.8</v>
      </c>
      <c r="K28" s="107">
        <v>0</v>
      </c>
      <c r="L28" s="107">
        <v>0.8</v>
      </c>
      <c r="M28" s="107">
        <v>0.8</v>
      </c>
      <c r="N28" s="107">
        <v>0.8</v>
      </c>
      <c r="O28" s="107">
        <v>0</v>
      </c>
      <c r="P28" s="107">
        <v>0.8</v>
      </c>
      <c r="Q28" s="107">
        <v>0.8</v>
      </c>
      <c r="R28" s="107">
        <v>0</v>
      </c>
      <c r="S28" s="107">
        <v>0</v>
      </c>
      <c r="T28" s="107">
        <v>0</v>
      </c>
      <c r="U28" s="107">
        <v>0.8</v>
      </c>
      <c r="V28" s="107">
        <v>0</v>
      </c>
      <c r="W28" s="107">
        <v>0</v>
      </c>
      <c r="X28" s="107">
        <v>0.8</v>
      </c>
      <c r="Y28" s="107">
        <v>0.8</v>
      </c>
      <c r="Z28" s="107">
        <v>0</v>
      </c>
      <c r="AA28" s="107">
        <v>0</v>
      </c>
      <c r="AB28" s="107">
        <v>0.8</v>
      </c>
      <c r="AC28" s="107">
        <v>0</v>
      </c>
      <c r="AD28" s="107">
        <v>0</v>
      </c>
      <c r="AE28" s="107">
        <v>0</v>
      </c>
      <c r="AF28" s="107">
        <v>0</v>
      </c>
      <c r="AG28" s="107">
        <v>0</v>
      </c>
      <c r="AH28" s="107">
        <v>0</v>
      </c>
    </row>
    <row r="29" spans="1:34" customFormat="1" x14ac:dyDescent="0.15">
      <c r="A29" s="183" t="s">
        <v>219</v>
      </c>
      <c r="B29" s="107">
        <v>0</v>
      </c>
      <c r="C29" s="107">
        <v>0.8</v>
      </c>
      <c r="D29" s="107">
        <v>0</v>
      </c>
      <c r="E29" s="107">
        <v>0</v>
      </c>
      <c r="F29" s="107">
        <v>0.8</v>
      </c>
      <c r="G29" s="107">
        <v>0.8</v>
      </c>
      <c r="H29" s="107">
        <v>0.8</v>
      </c>
      <c r="I29" s="107">
        <v>0.8</v>
      </c>
      <c r="J29" s="107">
        <v>0.8</v>
      </c>
      <c r="K29" s="107">
        <v>0</v>
      </c>
      <c r="L29" s="107">
        <v>0.8</v>
      </c>
      <c r="M29" s="107">
        <v>0.8</v>
      </c>
      <c r="N29" s="107">
        <v>0.8</v>
      </c>
      <c r="O29" s="107">
        <v>0</v>
      </c>
      <c r="P29" s="107">
        <v>0.8</v>
      </c>
      <c r="Q29" s="107">
        <v>0.8</v>
      </c>
      <c r="R29" s="107">
        <v>0</v>
      </c>
      <c r="S29" s="107">
        <v>0.8</v>
      </c>
      <c r="T29" s="107">
        <v>0</v>
      </c>
      <c r="U29" s="107">
        <v>0.8</v>
      </c>
      <c r="V29" s="107">
        <v>0</v>
      </c>
      <c r="W29" s="107">
        <v>0.8</v>
      </c>
      <c r="X29" s="107">
        <v>0.8</v>
      </c>
      <c r="Y29" s="107">
        <v>0.8</v>
      </c>
      <c r="Z29" s="107">
        <v>0</v>
      </c>
      <c r="AA29" s="107">
        <v>0</v>
      </c>
      <c r="AB29" s="107">
        <v>0</v>
      </c>
      <c r="AC29" s="107">
        <v>0</v>
      </c>
      <c r="AD29" s="107">
        <v>0</v>
      </c>
      <c r="AE29" s="107">
        <v>0</v>
      </c>
      <c r="AF29" s="107">
        <v>0</v>
      </c>
      <c r="AG29" s="107">
        <v>0</v>
      </c>
      <c r="AH29" s="107">
        <v>0</v>
      </c>
    </row>
    <row r="30" spans="1:34" customFormat="1" x14ac:dyDescent="0.15">
      <c r="A30" s="183" t="s">
        <v>220</v>
      </c>
      <c r="B30" s="107">
        <v>0.8</v>
      </c>
      <c r="C30" s="107">
        <v>0.8</v>
      </c>
      <c r="D30" s="107">
        <v>0</v>
      </c>
      <c r="E30" s="107">
        <v>0</v>
      </c>
      <c r="F30" s="107">
        <v>0</v>
      </c>
      <c r="G30" s="107">
        <v>0.8</v>
      </c>
      <c r="H30" s="107">
        <v>0.8</v>
      </c>
      <c r="I30" s="107">
        <v>0.8</v>
      </c>
      <c r="J30" s="107">
        <v>0.8</v>
      </c>
      <c r="K30" s="107">
        <v>0.8</v>
      </c>
      <c r="L30" s="107">
        <v>0.8</v>
      </c>
      <c r="M30" s="107">
        <v>0.8</v>
      </c>
      <c r="N30" s="107">
        <v>0.8</v>
      </c>
      <c r="O30" s="107">
        <v>0.8</v>
      </c>
      <c r="P30" s="107">
        <v>0.8</v>
      </c>
      <c r="Q30" s="107">
        <v>0.8</v>
      </c>
      <c r="R30" s="107">
        <v>0.8</v>
      </c>
      <c r="S30" s="107">
        <v>0.8</v>
      </c>
      <c r="T30" s="107">
        <v>0.8</v>
      </c>
      <c r="U30" s="107">
        <v>0.8</v>
      </c>
      <c r="V30" s="107">
        <v>0.8</v>
      </c>
      <c r="W30" s="107">
        <v>0.8</v>
      </c>
      <c r="X30" s="107">
        <v>0.8</v>
      </c>
      <c r="Y30" s="107">
        <v>0.8</v>
      </c>
      <c r="Z30" s="107">
        <v>0</v>
      </c>
      <c r="AA30" s="107">
        <v>0</v>
      </c>
      <c r="AB30" s="107">
        <v>0</v>
      </c>
      <c r="AC30" s="107">
        <v>0</v>
      </c>
      <c r="AD30" s="107">
        <v>0.8</v>
      </c>
      <c r="AE30" s="107">
        <v>0</v>
      </c>
      <c r="AF30" s="107">
        <v>0</v>
      </c>
      <c r="AG30" s="107">
        <v>0</v>
      </c>
      <c r="AH30" s="107">
        <v>0</v>
      </c>
    </row>
    <row r="31" spans="1:34" customFormat="1" x14ac:dyDescent="0.15">
      <c r="A31" s="183" t="s">
        <v>221</v>
      </c>
      <c r="B31" s="107">
        <v>0.8</v>
      </c>
      <c r="C31" s="107">
        <v>0</v>
      </c>
      <c r="D31" s="107">
        <v>0</v>
      </c>
      <c r="E31" s="107">
        <v>0</v>
      </c>
      <c r="F31" s="107">
        <v>0</v>
      </c>
      <c r="G31" s="107">
        <v>0.8</v>
      </c>
      <c r="H31" s="107">
        <v>0.8</v>
      </c>
      <c r="I31" s="107">
        <v>0.8</v>
      </c>
      <c r="J31" s="107">
        <v>0.8</v>
      </c>
      <c r="K31" s="107">
        <v>0.8</v>
      </c>
      <c r="L31" s="107">
        <v>0.8</v>
      </c>
      <c r="M31" s="107">
        <v>0.8</v>
      </c>
      <c r="N31" s="107">
        <v>0.8</v>
      </c>
      <c r="O31" s="107">
        <v>0.8</v>
      </c>
      <c r="P31" s="107">
        <v>0.8</v>
      </c>
      <c r="Q31" s="107">
        <v>0.8</v>
      </c>
      <c r="R31" s="107">
        <v>0.8</v>
      </c>
      <c r="S31" s="107">
        <v>0.8</v>
      </c>
      <c r="T31" s="107">
        <v>0.8</v>
      </c>
      <c r="U31" s="107">
        <v>0.8</v>
      </c>
      <c r="V31" s="107">
        <v>0.8</v>
      </c>
      <c r="W31" s="107">
        <v>0.8</v>
      </c>
      <c r="X31" s="107">
        <v>0.8</v>
      </c>
      <c r="Y31" s="107">
        <v>0.8</v>
      </c>
      <c r="Z31" s="107">
        <v>0</v>
      </c>
      <c r="AA31" s="107">
        <v>0</v>
      </c>
      <c r="AB31" s="107">
        <v>0</v>
      </c>
      <c r="AC31" s="107">
        <v>0</v>
      </c>
      <c r="AD31" s="107">
        <v>0.8</v>
      </c>
      <c r="AE31" s="107">
        <v>0.8</v>
      </c>
      <c r="AF31" s="107">
        <v>0</v>
      </c>
      <c r="AG31" s="107">
        <v>0</v>
      </c>
      <c r="AH31" s="107">
        <v>0</v>
      </c>
    </row>
    <row r="32" spans="1:34" customFormat="1" x14ac:dyDescent="0.15">
      <c r="A32" s="183" t="s">
        <v>222</v>
      </c>
      <c r="B32" s="107">
        <v>0</v>
      </c>
      <c r="C32" s="107">
        <v>0</v>
      </c>
      <c r="D32" s="107">
        <v>0</v>
      </c>
      <c r="E32" s="107">
        <v>0</v>
      </c>
      <c r="F32" s="107">
        <v>0</v>
      </c>
      <c r="G32" s="107">
        <v>0</v>
      </c>
      <c r="H32" s="107">
        <v>0</v>
      </c>
      <c r="I32" s="107">
        <v>0</v>
      </c>
      <c r="J32" s="107">
        <v>0</v>
      </c>
      <c r="K32" s="107">
        <v>0</v>
      </c>
      <c r="L32" s="107">
        <v>0</v>
      </c>
      <c r="M32" s="107">
        <v>0</v>
      </c>
      <c r="N32" s="107">
        <v>0</v>
      </c>
      <c r="O32" s="107">
        <v>0</v>
      </c>
      <c r="P32" s="107">
        <v>0</v>
      </c>
      <c r="Q32" s="107">
        <v>0</v>
      </c>
      <c r="R32" s="107">
        <v>0</v>
      </c>
      <c r="S32" s="107">
        <v>0.8</v>
      </c>
      <c r="T32" s="107">
        <v>0</v>
      </c>
      <c r="U32" s="107">
        <v>0</v>
      </c>
      <c r="V32" s="107">
        <v>0</v>
      </c>
      <c r="W32" s="107">
        <v>0</v>
      </c>
      <c r="X32" s="107">
        <v>0.8</v>
      </c>
      <c r="Y32" s="107">
        <v>0</v>
      </c>
      <c r="Z32" s="107">
        <v>0</v>
      </c>
      <c r="AA32" s="107">
        <v>0.8</v>
      </c>
      <c r="AB32" s="107">
        <v>0.8</v>
      </c>
      <c r="AC32" s="107">
        <v>0</v>
      </c>
      <c r="AD32" s="107">
        <v>0.8</v>
      </c>
      <c r="AE32" s="107">
        <v>0.8</v>
      </c>
      <c r="AF32" s="107">
        <v>0</v>
      </c>
      <c r="AG32" s="107">
        <v>0</v>
      </c>
      <c r="AH32" s="107">
        <v>0</v>
      </c>
    </row>
    <row r="33" spans="1:34" x14ac:dyDescent="0.15">
      <c r="A33" s="183" t="s">
        <v>223</v>
      </c>
      <c r="B33" s="107">
        <v>0</v>
      </c>
      <c r="C33" s="107">
        <v>0</v>
      </c>
      <c r="D33" s="107">
        <v>0</v>
      </c>
      <c r="E33" s="107">
        <v>0</v>
      </c>
      <c r="F33" s="107">
        <v>0</v>
      </c>
      <c r="G33" s="107">
        <v>0</v>
      </c>
      <c r="H33" s="107">
        <v>0</v>
      </c>
      <c r="I33" s="107">
        <v>0</v>
      </c>
      <c r="J33" s="107">
        <v>0</v>
      </c>
      <c r="K33" s="107">
        <v>0</v>
      </c>
      <c r="L33" s="107">
        <v>0</v>
      </c>
      <c r="M33" s="107">
        <v>0.8</v>
      </c>
      <c r="N33" s="107">
        <v>0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</v>
      </c>
      <c r="U33" s="107">
        <v>0</v>
      </c>
      <c r="V33" s="107">
        <v>0</v>
      </c>
      <c r="W33" s="107">
        <v>0</v>
      </c>
      <c r="X33" s="107">
        <v>0.8</v>
      </c>
      <c r="Y33" s="107">
        <v>0.8</v>
      </c>
      <c r="Z33" s="107">
        <v>0.8</v>
      </c>
      <c r="AA33" s="107">
        <v>0.8</v>
      </c>
      <c r="AB33" s="107">
        <v>0.8</v>
      </c>
      <c r="AC33" s="107">
        <v>0.8</v>
      </c>
      <c r="AD33" s="107">
        <v>0.8</v>
      </c>
      <c r="AE33" s="107">
        <v>0.8</v>
      </c>
      <c r="AF33" s="107">
        <v>0</v>
      </c>
      <c r="AG33" s="107">
        <v>0</v>
      </c>
      <c r="AH33" s="107">
        <v>0</v>
      </c>
    </row>
    <row r="34" spans="1:34" x14ac:dyDescent="0.15">
      <c r="A34" s="183" t="s">
        <v>224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  <c r="U34" s="107">
        <v>0</v>
      </c>
      <c r="V34" s="107">
        <v>0</v>
      </c>
      <c r="W34" s="107">
        <v>0</v>
      </c>
      <c r="X34" s="107">
        <v>0</v>
      </c>
      <c r="Y34" s="107">
        <v>0</v>
      </c>
      <c r="Z34" s="107">
        <v>0</v>
      </c>
      <c r="AA34" s="107">
        <v>0</v>
      </c>
      <c r="AB34" s="107">
        <v>0</v>
      </c>
      <c r="AC34" s="107">
        <v>0</v>
      </c>
      <c r="AD34" s="107">
        <v>0</v>
      </c>
      <c r="AE34" s="107">
        <v>0</v>
      </c>
      <c r="AF34" s="107">
        <v>0</v>
      </c>
      <c r="AG34" s="107">
        <v>0</v>
      </c>
      <c r="AH34" s="107">
        <v>0</v>
      </c>
    </row>
    <row r="35" spans="1:34" x14ac:dyDescent="0.15">
      <c r="A35" s="183" t="s">
        <v>226</v>
      </c>
      <c r="B35" s="107">
        <v>0</v>
      </c>
      <c r="C35" s="107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H35"/>
  <sheetViews>
    <sheetView workbookViewId="0">
      <selection activeCell="A3" sqref="A3"/>
    </sheetView>
  </sheetViews>
  <sheetFormatPr baseColWidth="10" defaultRowHeight="13" x14ac:dyDescent="0.15"/>
  <cols>
    <col min="1" max="1" width="24.6640625" style="107" bestFit="1" customWidth="1"/>
    <col min="2" max="34" width="2.33203125" style="107" customWidth="1"/>
    <col min="35" max="16384" width="10.83203125" style="107"/>
  </cols>
  <sheetData>
    <row r="1" spans="1:34" x14ac:dyDescent="0.15">
      <c r="A1" s="62" t="s">
        <v>139</v>
      </c>
      <c r="B1" s="186" t="s">
        <v>192</v>
      </c>
      <c r="C1" s="186" t="s">
        <v>193</v>
      </c>
      <c r="D1" s="186" t="s">
        <v>194</v>
      </c>
      <c r="E1" s="186" t="s">
        <v>195</v>
      </c>
      <c r="F1" s="186" t="s">
        <v>196</v>
      </c>
      <c r="G1" s="186" t="s">
        <v>197</v>
      </c>
      <c r="H1" s="186" t="s">
        <v>198</v>
      </c>
      <c r="I1" s="186" t="s">
        <v>199</v>
      </c>
      <c r="J1" s="186" t="s">
        <v>200</v>
      </c>
      <c r="K1" s="186" t="s">
        <v>201</v>
      </c>
      <c r="L1" s="186" t="s">
        <v>202</v>
      </c>
      <c r="M1" s="186" t="s">
        <v>203</v>
      </c>
      <c r="N1" s="186" t="s">
        <v>204</v>
      </c>
      <c r="O1" s="186" t="s">
        <v>205</v>
      </c>
      <c r="P1" s="186" t="s">
        <v>206</v>
      </c>
      <c r="Q1" s="186" t="s">
        <v>207</v>
      </c>
      <c r="R1" s="186" t="s">
        <v>208</v>
      </c>
      <c r="S1" s="186" t="s">
        <v>209</v>
      </c>
      <c r="T1" s="186" t="s">
        <v>210</v>
      </c>
      <c r="U1" s="186" t="s">
        <v>211</v>
      </c>
      <c r="V1" s="186" t="s">
        <v>212</v>
      </c>
      <c r="W1" s="186" t="s">
        <v>213</v>
      </c>
      <c r="X1" s="186" t="s">
        <v>214</v>
      </c>
      <c r="Y1" s="186" t="s">
        <v>215</v>
      </c>
      <c r="Z1" s="186" t="s">
        <v>216</v>
      </c>
      <c r="AA1" s="186" t="s">
        <v>217</v>
      </c>
      <c r="AB1" s="186" t="s">
        <v>218</v>
      </c>
      <c r="AC1" s="186" t="s">
        <v>219</v>
      </c>
      <c r="AD1" s="186" t="s">
        <v>220</v>
      </c>
      <c r="AE1" s="186" t="s">
        <v>221</v>
      </c>
      <c r="AF1" s="186" t="s">
        <v>222</v>
      </c>
      <c r="AG1" s="186" t="s">
        <v>223</v>
      </c>
      <c r="AH1" s="186" t="s">
        <v>224</v>
      </c>
    </row>
    <row r="2" spans="1:34" customFormat="1" x14ac:dyDescent="0.15">
      <c r="A2" s="185" t="s">
        <v>192</v>
      </c>
      <c r="B2" s="107">
        <v>0</v>
      </c>
      <c r="C2" s="107">
        <v>0</v>
      </c>
      <c r="D2" s="107">
        <v>0</v>
      </c>
      <c r="E2" s="107">
        <v>0</v>
      </c>
      <c r="F2" s="107">
        <v>0</v>
      </c>
      <c r="G2" s="107">
        <v>0</v>
      </c>
      <c r="H2" s="107">
        <v>0</v>
      </c>
      <c r="I2" s="107">
        <v>0</v>
      </c>
      <c r="J2" s="107">
        <v>0</v>
      </c>
      <c r="K2" s="107">
        <v>0</v>
      </c>
      <c r="L2" s="107">
        <v>0</v>
      </c>
      <c r="M2" s="107">
        <v>0</v>
      </c>
      <c r="N2" s="107">
        <v>0</v>
      </c>
      <c r="O2" s="107">
        <v>0</v>
      </c>
      <c r="P2" s="107">
        <v>0</v>
      </c>
      <c r="Q2" s="107">
        <v>0</v>
      </c>
      <c r="R2" s="107">
        <v>0</v>
      </c>
      <c r="S2" s="107">
        <v>0</v>
      </c>
      <c r="T2" s="107">
        <v>0</v>
      </c>
      <c r="U2" s="107">
        <v>0</v>
      </c>
      <c r="V2" s="107">
        <v>0</v>
      </c>
      <c r="W2" s="107">
        <v>0</v>
      </c>
      <c r="X2" s="107">
        <v>0</v>
      </c>
      <c r="Y2" s="107">
        <v>0</v>
      </c>
      <c r="Z2" s="107">
        <v>0</v>
      </c>
      <c r="AA2" s="107">
        <v>0</v>
      </c>
      <c r="AB2" s="107">
        <v>0</v>
      </c>
      <c r="AC2" s="107">
        <v>0</v>
      </c>
      <c r="AD2" s="107">
        <v>0</v>
      </c>
      <c r="AE2" s="107">
        <v>0</v>
      </c>
      <c r="AF2" s="107">
        <v>0</v>
      </c>
      <c r="AG2" s="107">
        <v>0</v>
      </c>
      <c r="AH2" s="107">
        <v>0</v>
      </c>
    </row>
    <row r="3" spans="1:34" customFormat="1" x14ac:dyDescent="0.15">
      <c r="A3" s="185" t="s">
        <v>193</v>
      </c>
      <c r="B3" s="107">
        <v>0</v>
      </c>
      <c r="C3" s="107">
        <v>0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0</v>
      </c>
      <c r="AF3" s="107">
        <v>0</v>
      </c>
      <c r="AG3" s="107">
        <v>0</v>
      </c>
      <c r="AH3" s="107">
        <v>0</v>
      </c>
    </row>
    <row r="4" spans="1:34" customFormat="1" x14ac:dyDescent="0.15">
      <c r="A4" s="185" t="s">
        <v>194</v>
      </c>
      <c r="B4" s="107">
        <v>0</v>
      </c>
      <c r="C4" s="107">
        <v>0</v>
      </c>
      <c r="D4" s="107">
        <v>0</v>
      </c>
      <c r="E4" s="107">
        <v>0</v>
      </c>
      <c r="F4" s="107">
        <v>0</v>
      </c>
      <c r="G4" s="107">
        <v>0</v>
      </c>
      <c r="H4" s="107">
        <v>0</v>
      </c>
      <c r="I4" s="107">
        <v>0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  <c r="AH4" s="107">
        <v>0</v>
      </c>
    </row>
    <row r="5" spans="1:34" customFormat="1" x14ac:dyDescent="0.15">
      <c r="A5" s="185" t="s">
        <v>195</v>
      </c>
      <c r="B5" s="107">
        <v>0</v>
      </c>
      <c r="C5" s="107">
        <v>0</v>
      </c>
      <c r="D5" s="107">
        <v>0</v>
      </c>
      <c r="E5" s="107">
        <v>0</v>
      </c>
      <c r="F5" s="107">
        <v>0</v>
      </c>
      <c r="G5" s="107">
        <v>0</v>
      </c>
      <c r="H5" s="107">
        <v>0</v>
      </c>
      <c r="I5" s="107">
        <v>0</v>
      </c>
      <c r="J5" s="107">
        <v>0</v>
      </c>
      <c r="K5" s="107">
        <v>0</v>
      </c>
      <c r="L5" s="107">
        <v>0</v>
      </c>
      <c r="M5" s="107">
        <v>0</v>
      </c>
      <c r="N5" s="107">
        <v>0</v>
      </c>
      <c r="O5" s="107">
        <v>0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  <c r="W5" s="107">
        <v>0</v>
      </c>
      <c r="X5" s="107">
        <v>0</v>
      </c>
      <c r="Y5" s="107">
        <v>0</v>
      </c>
      <c r="Z5" s="107">
        <v>0</v>
      </c>
      <c r="AA5" s="107">
        <v>0</v>
      </c>
      <c r="AB5" s="107">
        <v>0</v>
      </c>
      <c r="AC5" s="107">
        <v>0</v>
      </c>
      <c r="AD5" s="107">
        <v>0</v>
      </c>
      <c r="AE5" s="107">
        <v>0</v>
      </c>
      <c r="AF5" s="107">
        <v>0</v>
      </c>
      <c r="AG5" s="107">
        <v>0</v>
      </c>
      <c r="AH5" s="107">
        <v>0</v>
      </c>
    </row>
    <row r="6" spans="1:34" customFormat="1" x14ac:dyDescent="0.15">
      <c r="A6" s="185" t="s">
        <v>196</v>
      </c>
      <c r="B6" s="107">
        <v>0</v>
      </c>
      <c r="C6" s="107">
        <v>0</v>
      </c>
      <c r="D6" s="107">
        <v>0</v>
      </c>
      <c r="E6" s="107">
        <v>0</v>
      </c>
      <c r="F6" s="107">
        <v>0</v>
      </c>
      <c r="G6" s="107">
        <v>0</v>
      </c>
      <c r="H6" s="107">
        <v>0</v>
      </c>
      <c r="I6" s="107">
        <v>0</v>
      </c>
      <c r="J6" s="107">
        <v>0</v>
      </c>
      <c r="K6" s="107">
        <v>0</v>
      </c>
      <c r="L6" s="107">
        <v>0</v>
      </c>
      <c r="M6" s="107">
        <v>0</v>
      </c>
      <c r="N6" s="107">
        <v>0</v>
      </c>
      <c r="O6" s="107">
        <v>0</v>
      </c>
      <c r="P6" s="107">
        <v>0</v>
      </c>
      <c r="Q6" s="107">
        <v>0</v>
      </c>
      <c r="R6" s="107">
        <v>0</v>
      </c>
      <c r="S6" s="107">
        <v>0</v>
      </c>
      <c r="T6" s="107">
        <v>0</v>
      </c>
      <c r="U6" s="107">
        <v>0</v>
      </c>
      <c r="V6" s="107">
        <v>0</v>
      </c>
      <c r="W6" s="107">
        <v>0</v>
      </c>
      <c r="X6" s="107">
        <v>0</v>
      </c>
      <c r="Y6" s="107">
        <v>0</v>
      </c>
      <c r="Z6" s="107">
        <v>0</v>
      </c>
      <c r="AA6" s="107">
        <v>0</v>
      </c>
      <c r="AB6" s="107">
        <v>0</v>
      </c>
      <c r="AC6" s="107">
        <v>0</v>
      </c>
      <c r="AD6" s="107">
        <v>0</v>
      </c>
      <c r="AE6" s="107">
        <v>0</v>
      </c>
      <c r="AF6" s="107">
        <v>0</v>
      </c>
      <c r="AG6" s="107">
        <v>0</v>
      </c>
      <c r="AH6" s="107">
        <v>0</v>
      </c>
    </row>
    <row r="7" spans="1:34" customFormat="1" x14ac:dyDescent="0.15">
      <c r="A7" s="185" t="s">
        <v>197</v>
      </c>
      <c r="B7" s="107">
        <v>0</v>
      </c>
      <c r="C7" s="107">
        <v>0</v>
      </c>
      <c r="D7" s="107">
        <v>0</v>
      </c>
      <c r="E7" s="107">
        <v>0</v>
      </c>
      <c r="F7" s="107">
        <v>0</v>
      </c>
      <c r="G7" s="107">
        <v>0</v>
      </c>
      <c r="H7" s="107">
        <v>0</v>
      </c>
      <c r="I7" s="107">
        <v>0</v>
      </c>
      <c r="J7" s="107">
        <v>0</v>
      </c>
      <c r="K7" s="107">
        <v>0</v>
      </c>
      <c r="L7" s="107">
        <v>0</v>
      </c>
      <c r="M7" s="107">
        <v>0</v>
      </c>
      <c r="N7" s="107">
        <v>0</v>
      </c>
      <c r="O7" s="107">
        <v>0</v>
      </c>
      <c r="P7" s="107">
        <v>0</v>
      </c>
      <c r="Q7" s="107">
        <v>0</v>
      </c>
      <c r="R7" s="107">
        <v>0</v>
      </c>
      <c r="S7" s="107">
        <v>0</v>
      </c>
      <c r="T7" s="107">
        <v>0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  <c r="AH7" s="107">
        <v>0</v>
      </c>
    </row>
    <row r="8" spans="1:34" customFormat="1" x14ac:dyDescent="0.15">
      <c r="A8" s="185" t="s">
        <v>198</v>
      </c>
      <c r="B8" s="107">
        <v>1</v>
      </c>
      <c r="C8" s="107">
        <v>1</v>
      </c>
      <c r="D8" s="107">
        <v>1</v>
      </c>
      <c r="E8" s="107">
        <v>1</v>
      </c>
      <c r="F8" s="107">
        <v>1</v>
      </c>
      <c r="G8" s="107">
        <v>0</v>
      </c>
      <c r="H8" s="107">
        <v>0</v>
      </c>
      <c r="I8" s="107">
        <v>0</v>
      </c>
      <c r="J8" s="107">
        <v>0</v>
      </c>
      <c r="K8" s="107">
        <v>0</v>
      </c>
      <c r="L8" s="107">
        <v>0</v>
      </c>
      <c r="M8" s="107">
        <v>0</v>
      </c>
      <c r="N8" s="107">
        <v>0</v>
      </c>
      <c r="O8" s="107">
        <v>0</v>
      </c>
      <c r="P8" s="107">
        <v>0</v>
      </c>
      <c r="Q8" s="107">
        <v>0</v>
      </c>
      <c r="R8" s="107">
        <v>0</v>
      </c>
      <c r="S8" s="107">
        <v>0</v>
      </c>
      <c r="T8" s="107">
        <v>0</v>
      </c>
      <c r="U8" s="107">
        <v>0</v>
      </c>
      <c r="V8" s="107">
        <v>0</v>
      </c>
      <c r="W8" s="107">
        <v>0</v>
      </c>
      <c r="X8" s="107">
        <v>0</v>
      </c>
      <c r="Y8" s="107">
        <v>0</v>
      </c>
      <c r="Z8" s="107">
        <v>0</v>
      </c>
      <c r="AA8" s="107">
        <v>0</v>
      </c>
      <c r="AB8" s="107">
        <v>0</v>
      </c>
      <c r="AC8" s="107">
        <v>0</v>
      </c>
      <c r="AD8" s="107">
        <v>0</v>
      </c>
      <c r="AE8" s="107">
        <v>0</v>
      </c>
      <c r="AF8" s="107">
        <v>0</v>
      </c>
      <c r="AG8" s="107">
        <v>0</v>
      </c>
      <c r="AH8" s="107">
        <v>0</v>
      </c>
    </row>
    <row r="9" spans="1:34" customFormat="1" x14ac:dyDescent="0.15">
      <c r="A9" s="185" t="s">
        <v>199</v>
      </c>
      <c r="B9" s="107">
        <v>0</v>
      </c>
      <c r="C9" s="107">
        <v>1</v>
      </c>
      <c r="D9" s="107">
        <v>1</v>
      </c>
      <c r="E9" s="107">
        <v>1</v>
      </c>
      <c r="F9" s="107">
        <v>1</v>
      </c>
      <c r="G9" s="107">
        <v>1</v>
      </c>
      <c r="H9" s="107">
        <v>1</v>
      </c>
      <c r="I9" s="107">
        <v>1</v>
      </c>
      <c r="J9" s="107">
        <v>1</v>
      </c>
      <c r="K9" s="107">
        <v>1</v>
      </c>
      <c r="L9" s="107">
        <v>1</v>
      </c>
      <c r="M9" s="107">
        <v>0</v>
      </c>
      <c r="N9" s="107">
        <v>1</v>
      </c>
      <c r="O9" s="107">
        <v>1</v>
      </c>
      <c r="P9" s="107">
        <v>1</v>
      </c>
      <c r="Q9" s="107">
        <v>1</v>
      </c>
      <c r="R9" s="107">
        <v>0</v>
      </c>
      <c r="S9" s="107">
        <v>0</v>
      </c>
      <c r="T9" s="107">
        <v>0</v>
      </c>
      <c r="U9" s="107">
        <v>1</v>
      </c>
      <c r="V9" s="107">
        <v>0</v>
      </c>
      <c r="W9" s="107">
        <v>0</v>
      </c>
      <c r="X9" s="107">
        <v>0</v>
      </c>
      <c r="Y9" s="107">
        <v>0</v>
      </c>
      <c r="Z9" s="107">
        <v>0</v>
      </c>
      <c r="AA9" s="107">
        <v>0</v>
      </c>
      <c r="AB9" s="107">
        <v>0</v>
      </c>
      <c r="AC9" s="107">
        <v>0</v>
      </c>
      <c r="AD9" s="107">
        <v>0</v>
      </c>
      <c r="AE9" s="107">
        <v>0</v>
      </c>
      <c r="AF9" s="107">
        <v>0</v>
      </c>
      <c r="AG9" s="107">
        <v>0</v>
      </c>
      <c r="AH9" s="107">
        <v>0</v>
      </c>
    </row>
    <row r="10" spans="1:34" customFormat="1" x14ac:dyDescent="0.15">
      <c r="A10" s="185" t="s">
        <v>200</v>
      </c>
      <c r="B10" s="107">
        <v>0</v>
      </c>
      <c r="C10" s="107">
        <v>1</v>
      </c>
      <c r="D10" s="107">
        <v>1</v>
      </c>
      <c r="E10" s="107">
        <v>0</v>
      </c>
      <c r="F10" s="107">
        <v>0</v>
      </c>
      <c r="G10" s="107">
        <v>0</v>
      </c>
      <c r="H10" s="107">
        <v>0</v>
      </c>
      <c r="I10" s="107">
        <v>0</v>
      </c>
      <c r="J10" s="107">
        <v>0</v>
      </c>
      <c r="K10" s="107">
        <v>0</v>
      </c>
      <c r="L10" s="107">
        <v>0</v>
      </c>
      <c r="M10" s="107">
        <v>0</v>
      </c>
      <c r="N10" s="107">
        <v>0</v>
      </c>
      <c r="O10" s="107">
        <v>0</v>
      </c>
      <c r="P10" s="107">
        <v>0</v>
      </c>
      <c r="Q10" s="107">
        <v>0</v>
      </c>
      <c r="R10" s="107">
        <v>0</v>
      </c>
      <c r="S10" s="107">
        <v>0</v>
      </c>
      <c r="T10" s="107">
        <v>0</v>
      </c>
      <c r="U10" s="107">
        <v>0</v>
      </c>
      <c r="V10" s="107">
        <v>0</v>
      </c>
      <c r="W10" s="107">
        <v>0</v>
      </c>
      <c r="X10" s="107">
        <v>0</v>
      </c>
      <c r="Y10" s="107">
        <v>0</v>
      </c>
      <c r="Z10" s="107">
        <v>0</v>
      </c>
      <c r="AA10" s="107">
        <v>0</v>
      </c>
      <c r="AB10" s="107">
        <v>0</v>
      </c>
      <c r="AC10" s="107">
        <v>0</v>
      </c>
      <c r="AD10" s="107">
        <v>0</v>
      </c>
      <c r="AE10" s="107">
        <v>0</v>
      </c>
      <c r="AF10" s="107">
        <v>0</v>
      </c>
      <c r="AG10" s="107">
        <v>0</v>
      </c>
      <c r="AH10" s="107">
        <v>0</v>
      </c>
    </row>
    <row r="11" spans="1:34" customFormat="1" x14ac:dyDescent="0.15">
      <c r="A11" s="185" t="s">
        <v>201</v>
      </c>
      <c r="B11" s="107">
        <v>0</v>
      </c>
      <c r="C11" s="107">
        <v>1</v>
      </c>
      <c r="D11" s="107">
        <v>1</v>
      </c>
      <c r="E11" s="107">
        <v>1</v>
      </c>
      <c r="F11" s="107">
        <v>0</v>
      </c>
      <c r="G11" s="107">
        <v>1</v>
      </c>
      <c r="H11" s="107">
        <v>1</v>
      </c>
      <c r="I11" s="107">
        <v>0</v>
      </c>
      <c r="J11" s="107">
        <v>1</v>
      </c>
      <c r="K11" s="107">
        <v>1</v>
      </c>
      <c r="L11" s="107">
        <v>1</v>
      </c>
      <c r="M11" s="107">
        <v>0</v>
      </c>
      <c r="N11" s="107">
        <v>1</v>
      </c>
      <c r="O11" s="107">
        <v>0</v>
      </c>
      <c r="P11" s="107">
        <v>1</v>
      </c>
      <c r="Q11" s="107">
        <v>0</v>
      </c>
      <c r="R11" s="107">
        <v>0</v>
      </c>
      <c r="S11" s="107">
        <v>0</v>
      </c>
      <c r="T11" s="107">
        <v>0</v>
      </c>
      <c r="U11" s="107">
        <v>0</v>
      </c>
      <c r="V11" s="107">
        <v>0</v>
      </c>
      <c r="W11" s="107">
        <v>0</v>
      </c>
      <c r="X11" s="107">
        <v>0</v>
      </c>
      <c r="Y11" s="107">
        <v>0</v>
      </c>
      <c r="Z11" s="107">
        <v>0</v>
      </c>
      <c r="AA11" s="107">
        <v>0</v>
      </c>
      <c r="AB11" s="107">
        <v>0</v>
      </c>
      <c r="AC11" s="107">
        <v>0</v>
      </c>
      <c r="AD11" s="107">
        <v>0</v>
      </c>
      <c r="AE11" s="107">
        <v>0</v>
      </c>
      <c r="AF11" s="107">
        <v>0</v>
      </c>
      <c r="AG11" s="107">
        <v>0</v>
      </c>
      <c r="AH11" s="107">
        <v>0</v>
      </c>
    </row>
    <row r="12" spans="1:34" customFormat="1" x14ac:dyDescent="0.15">
      <c r="A12" s="185" t="s">
        <v>202</v>
      </c>
      <c r="B12" s="107">
        <v>0</v>
      </c>
      <c r="C12" s="107">
        <v>1</v>
      </c>
      <c r="D12" s="107">
        <v>0</v>
      </c>
      <c r="E12" s="107">
        <v>1</v>
      </c>
      <c r="F12" s="107">
        <v>0</v>
      </c>
      <c r="G12" s="107">
        <v>1</v>
      </c>
      <c r="H12" s="107">
        <v>1</v>
      </c>
      <c r="I12" s="107">
        <v>0</v>
      </c>
      <c r="J12" s="107">
        <v>1</v>
      </c>
      <c r="K12" s="107">
        <v>0</v>
      </c>
      <c r="L12" s="107">
        <v>1</v>
      </c>
      <c r="M12" s="107">
        <v>0</v>
      </c>
      <c r="N12" s="107">
        <v>1</v>
      </c>
      <c r="O12" s="107">
        <v>0</v>
      </c>
      <c r="P12" s="107">
        <v>1</v>
      </c>
      <c r="Q12" s="107">
        <v>1</v>
      </c>
      <c r="R12" s="107">
        <v>0</v>
      </c>
      <c r="S12" s="107">
        <v>0</v>
      </c>
      <c r="T12" s="107">
        <v>0</v>
      </c>
      <c r="U12" s="107">
        <v>0</v>
      </c>
      <c r="V12" s="107">
        <v>0</v>
      </c>
      <c r="W12" s="107">
        <v>0</v>
      </c>
      <c r="X12" s="107">
        <v>0</v>
      </c>
      <c r="Y12" s="107">
        <v>0</v>
      </c>
      <c r="Z12" s="107">
        <v>0</v>
      </c>
      <c r="AA12" s="107">
        <v>0</v>
      </c>
      <c r="AB12" s="107">
        <v>0</v>
      </c>
      <c r="AC12" s="107">
        <v>0</v>
      </c>
      <c r="AD12" s="107">
        <v>0</v>
      </c>
      <c r="AE12" s="107">
        <v>0</v>
      </c>
      <c r="AF12" s="107">
        <v>0</v>
      </c>
      <c r="AG12" s="107">
        <v>0</v>
      </c>
      <c r="AH12" s="107">
        <v>0</v>
      </c>
    </row>
    <row r="13" spans="1:34" customFormat="1" x14ac:dyDescent="0.15">
      <c r="A13" s="185" t="s">
        <v>203</v>
      </c>
      <c r="B13" s="107">
        <v>0</v>
      </c>
      <c r="C13" s="107">
        <v>1</v>
      </c>
      <c r="D13" s="107">
        <v>1</v>
      </c>
      <c r="E13" s="107">
        <v>1</v>
      </c>
      <c r="F13" s="107">
        <v>1</v>
      </c>
      <c r="G13" s="107">
        <v>1</v>
      </c>
      <c r="H13" s="107">
        <v>1</v>
      </c>
      <c r="I13" s="107">
        <v>1</v>
      </c>
      <c r="J13" s="107">
        <v>1</v>
      </c>
      <c r="K13" s="107">
        <v>0</v>
      </c>
      <c r="L13" s="107">
        <v>1</v>
      </c>
      <c r="M13" s="107">
        <v>0</v>
      </c>
      <c r="N13" s="107">
        <v>1</v>
      </c>
      <c r="O13" s="107">
        <v>0</v>
      </c>
      <c r="P13" s="107">
        <v>0</v>
      </c>
      <c r="Q13" s="107">
        <v>1</v>
      </c>
      <c r="R13" s="107">
        <v>0</v>
      </c>
      <c r="S13" s="107">
        <v>0</v>
      </c>
      <c r="T13" s="107">
        <v>0</v>
      </c>
      <c r="U13" s="107">
        <v>1</v>
      </c>
      <c r="V13" s="107">
        <v>0</v>
      </c>
      <c r="W13" s="107">
        <v>0</v>
      </c>
      <c r="X13" s="107">
        <v>0</v>
      </c>
      <c r="Y13" s="107">
        <v>0</v>
      </c>
      <c r="Z13" s="107">
        <v>0</v>
      </c>
      <c r="AA13" s="107">
        <v>0</v>
      </c>
      <c r="AB13" s="107">
        <v>0</v>
      </c>
      <c r="AC13" s="107">
        <v>0</v>
      </c>
      <c r="AD13" s="107">
        <v>0</v>
      </c>
      <c r="AE13" s="107">
        <v>0</v>
      </c>
      <c r="AF13" s="107">
        <v>0</v>
      </c>
      <c r="AG13" s="107">
        <v>0</v>
      </c>
      <c r="AH13" s="107">
        <v>0</v>
      </c>
    </row>
    <row r="14" spans="1:34" customFormat="1" x14ac:dyDescent="0.15">
      <c r="A14" s="185" t="s">
        <v>204</v>
      </c>
      <c r="B14" s="107">
        <v>0</v>
      </c>
      <c r="C14" s="107">
        <v>0</v>
      </c>
      <c r="D14" s="107">
        <v>0</v>
      </c>
      <c r="E14" s="107">
        <v>1</v>
      </c>
      <c r="F14" s="107">
        <v>1</v>
      </c>
      <c r="G14" s="107">
        <v>1</v>
      </c>
      <c r="H14" s="107">
        <v>1</v>
      </c>
      <c r="I14" s="107">
        <v>0</v>
      </c>
      <c r="J14" s="107">
        <v>1</v>
      </c>
      <c r="K14" s="107">
        <v>0</v>
      </c>
      <c r="L14" s="107">
        <v>0</v>
      </c>
      <c r="M14" s="107">
        <v>0</v>
      </c>
      <c r="N14" s="107">
        <v>1</v>
      </c>
      <c r="O14" s="107">
        <v>0</v>
      </c>
      <c r="P14" s="107">
        <v>1</v>
      </c>
      <c r="Q14" s="107">
        <v>0</v>
      </c>
      <c r="R14" s="107">
        <v>0</v>
      </c>
      <c r="S14" s="107">
        <v>0</v>
      </c>
      <c r="T14" s="107">
        <v>0</v>
      </c>
      <c r="U14" s="107">
        <v>1</v>
      </c>
      <c r="V14" s="107">
        <v>0</v>
      </c>
      <c r="W14" s="107">
        <v>0</v>
      </c>
      <c r="X14" s="107">
        <v>0</v>
      </c>
      <c r="Y14" s="107">
        <v>0</v>
      </c>
      <c r="Z14" s="107">
        <v>0</v>
      </c>
      <c r="AA14" s="107">
        <v>0</v>
      </c>
      <c r="AB14" s="107">
        <v>0</v>
      </c>
      <c r="AC14" s="107">
        <v>0</v>
      </c>
      <c r="AD14" s="107">
        <v>0</v>
      </c>
      <c r="AE14" s="107">
        <v>0</v>
      </c>
      <c r="AF14" s="107">
        <v>0</v>
      </c>
      <c r="AG14" s="107">
        <v>0</v>
      </c>
      <c r="AH14" s="107">
        <v>0</v>
      </c>
    </row>
    <row r="15" spans="1:34" customFormat="1" x14ac:dyDescent="0.15">
      <c r="A15" s="185" t="s">
        <v>205</v>
      </c>
      <c r="B15" s="107">
        <v>1</v>
      </c>
      <c r="C15" s="107">
        <v>1</v>
      </c>
      <c r="D15" s="107">
        <v>1</v>
      </c>
      <c r="E15" s="107">
        <v>1</v>
      </c>
      <c r="F15" s="107">
        <v>1</v>
      </c>
      <c r="G15" s="107">
        <v>0</v>
      </c>
      <c r="H15" s="107">
        <v>1</v>
      </c>
      <c r="I15" s="107">
        <v>1</v>
      </c>
      <c r="J15" s="107">
        <v>1</v>
      </c>
      <c r="K15" s="107">
        <v>1</v>
      </c>
      <c r="L15" s="107">
        <v>1</v>
      </c>
      <c r="M15" s="107">
        <v>0</v>
      </c>
      <c r="N15" s="107">
        <v>1</v>
      </c>
      <c r="O15" s="107">
        <v>1</v>
      </c>
      <c r="P15" s="107">
        <v>1</v>
      </c>
      <c r="Q15" s="107">
        <v>0</v>
      </c>
      <c r="R15" s="107">
        <v>0</v>
      </c>
      <c r="S15" s="107">
        <v>0</v>
      </c>
      <c r="T15" s="107">
        <v>0</v>
      </c>
      <c r="U15" s="107">
        <v>1</v>
      </c>
      <c r="V15" s="107">
        <v>0</v>
      </c>
      <c r="W15" s="107">
        <v>0</v>
      </c>
      <c r="X15" s="107">
        <v>0</v>
      </c>
      <c r="Y15" s="107">
        <v>0</v>
      </c>
      <c r="Z15" s="107">
        <v>0</v>
      </c>
      <c r="AA15" s="107">
        <v>0</v>
      </c>
      <c r="AB15" s="107">
        <v>0</v>
      </c>
      <c r="AC15" s="107">
        <v>0</v>
      </c>
      <c r="AD15" s="107">
        <v>0</v>
      </c>
      <c r="AE15" s="107">
        <v>0</v>
      </c>
      <c r="AF15" s="107">
        <v>0</v>
      </c>
      <c r="AG15" s="107">
        <v>0</v>
      </c>
      <c r="AH15" s="107">
        <v>0</v>
      </c>
    </row>
    <row r="16" spans="1:34" customFormat="1" x14ac:dyDescent="0.15">
      <c r="A16" s="185" t="s">
        <v>206</v>
      </c>
      <c r="B16" s="107">
        <v>1</v>
      </c>
      <c r="C16" s="107">
        <v>0</v>
      </c>
      <c r="D16" s="107">
        <v>1</v>
      </c>
      <c r="E16" s="107">
        <v>1</v>
      </c>
      <c r="F16" s="107">
        <v>1</v>
      </c>
      <c r="G16" s="107">
        <v>0</v>
      </c>
      <c r="H16" s="107">
        <v>0</v>
      </c>
      <c r="I16" s="107">
        <v>0</v>
      </c>
      <c r="J16" s="107">
        <v>0</v>
      </c>
      <c r="K16" s="107">
        <v>0</v>
      </c>
      <c r="L16" s="107">
        <v>0</v>
      </c>
      <c r="M16" s="107">
        <v>0</v>
      </c>
      <c r="N16" s="107">
        <v>0</v>
      </c>
      <c r="O16" s="107">
        <v>0</v>
      </c>
      <c r="P16" s="107">
        <v>0</v>
      </c>
      <c r="Q16" s="107">
        <v>0</v>
      </c>
      <c r="R16" s="107">
        <v>0</v>
      </c>
      <c r="S16" s="107">
        <v>0</v>
      </c>
      <c r="T16" s="107">
        <v>0</v>
      </c>
      <c r="U16" s="107">
        <v>0</v>
      </c>
      <c r="V16" s="107">
        <v>0</v>
      </c>
      <c r="W16" s="107">
        <v>0</v>
      </c>
      <c r="X16" s="107">
        <v>0</v>
      </c>
      <c r="Y16" s="107">
        <v>0</v>
      </c>
      <c r="Z16" s="107">
        <v>0</v>
      </c>
      <c r="AA16" s="107">
        <v>0</v>
      </c>
      <c r="AB16" s="107">
        <v>0</v>
      </c>
      <c r="AC16" s="107">
        <v>0</v>
      </c>
      <c r="AD16" s="107">
        <v>0</v>
      </c>
      <c r="AE16" s="107">
        <v>0</v>
      </c>
      <c r="AF16" s="107">
        <v>0</v>
      </c>
      <c r="AG16" s="107">
        <v>0</v>
      </c>
      <c r="AH16" s="107">
        <v>0</v>
      </c>
    </row>
    <row r="17" spans="1:34" customFormat="1" x14ac:dyDescent="0.15">
      <c r="A17" s="185" t="s">
        <v>207</v>
      </c>
      <c r="B17" s="107">
        <v>1</v>
      </c>
      <c r="C17" s="107">
        <v>1</v>
      </c>
      <c r="D17" s="107">
        <v>1</v>
      </c>
      <c r="E17" s="107">
        <v>1</v>
      </c>
      <c r="F17" s="107">
        <v>1</v>
      </c>
      <c r="G17" s="107">
        <v>1</v>
      </c>
      <c r="H17" s="107">
        <v>1</v>
      </c>
      <c r="I17" s="107">
        <v>1</v>
      </c>
      <c r="J17" s="107">
        <v>1</v>
      </c>
      <c r="K17" s="107">
        <v>1</v>
      </c>
      <c r="L17" s="107">
        <v>0</v>
      </c>
      <c r="M17" s="107">
        <v>1</v>
      </c>
      <c r="N17" s="107">
        <v>1</v>
      </c>
      <c r="O17" s="107">
        <v>1</v>
      </c>
      <c r="P17" s="107">
        <v>1</v>
      </c>
      <c r="Q17" s="107">
        <v>1</v>
      </c>
      <c r="R17" s="107">
        <v>0</v>
      </c>
      <c r="S17" s="107">
        <v>0</v>
      </c>
      <c r="T17" s="107">
        <v>0</v>
      </c>
      <c r="U17" s="107">
        <v>1</v>
      </c>
      <c r="V17" s="107">
        <v>0</v>
      </c>
      <c r="W17" s="107">
        <v>0</v>
      </c>
      <c r="X17" s="107">
        <v>0</v>
      </c>
      <c r="Y17" s="107">
        <v>0</v>
      </c>
      <c r="Z17" s="107">
        <v>0</v>
      </c>
      <c r="AA17" s="107">
        <v>0</v>
      </c>
      <c r="AB17" s="107">
        <v>0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</row>
    <row r="18" spans="1:34" customFormat="1" x14ac:dyDescent="0.15">
      <c r="A18" s="185" t="s">
        <v>208</v>
      </c>
      <c r="B18" s="107">
        <v>1</v>
      </c>
      <c r="C18" s="107">
        <v>1</v>
      </c>
      <c r="D18" s="107">
        <v>1</v>
      </c>
      <c r="E18" s="107">
        <v>1</v>
      </c>
      <c r="F18" s="107">
        <v>1</v>
      </c>
      <c r="G18" s="107">
        <v>1</v>
      </c>
      <c r="H18" s="107">
        <v>1</v>
      </c>
      <c r="I18" s="107">
        <v>1</v>
      </c>
      <c r="J18" s="107">
        <v>1</v>
      </c>
      <c r="K18" s="107">
        <v>1</v>
      </c>
      <c r="L18" s="107">
        <v>1</v>
      </c>
      <c r="M18" s="107">
        <v>1</v>
      </c>
      <c r="N18" s="107">
        <v>1</v>
      </c>
      <c r="O18" s="107">
        <v>1</v>
      </c>
      <c r="P18" s="107">
        <v>1</v>
      </c>
      <c r="Q18" s="107">
        <v>1</v>
      </c>
      <c r="R18" s="107">
        <v>1</v>
      </c>
      <c r="S18" s="107">
        <v>0</v>
      </c>
      <c r="T18" s="107">
        <v>1</v>
      </c>
      <c r="U18" s="107">
        <v>1</v>
      </c>
      <c r="V18" s="107">
        <v>1</v>
      </c>
      <c r="W18" s="107">
        <v>1</v>
      </c>
      <c r="X18" s="107">
        <v>0</v>
      </c>
      <c r="Y18" s="107">
        <v>0</v>
      </c>
      <c r="Z18" s="107">
        <v>0</v>
      </c>
      <c r="AA18" s="107">
        <v>0</v>
      </c>
      <c r="AB18" s="107">
        <v>0</v>
      </c>
      <c r="AC18" s="107">
        <v>0</v>
      </c>
      <c r="AD18" s="107">
        <v>0</v>
      </c>
      <c r="AE18" s="107">
        <v>0</v>
      </c>
      <c r="AF18" s="107">
        <v>0</v>
      </c>
      <c r="AG18" s="107">
        <v>0</v>
      </c>
      <c r="AH18" s="107">
        <v>0</v>
      </c>
    </row>
    <row r="19" spans="1:34" customFormat="1" x14ac:dyDescent="0.15">
      <c r="A19" s="185" t="s">
        <v>209</v>
      </c>
      <c r="B19" s="107">
        <v>1</v>
      </c>
      <c r="C19" s="107">
        <v>0</v>
      </c>
      <c r="D19" s="107">
        <v>0</v>
      </c>
      <c r="E19" s="107">
        <v>1</v>
      </c>
      <c r="F19" s="107">
        <v>0</v>
      </c>
      <c r="G19" s="107">
        <v>1</v>
      </c>
      <c r="H19" s="107">
        <v>1</v>
      </c>
      <c r="I19" s="107">
        <v>1</v>
      </c>
      <c r="J19" s="107">
        <v>1</v>
      </c>
      <c r="K19" s="107">
        <v>1</v>
      </c>
      <c r="L19" s="107">
        <v>1</v>
      </c>
      <c r="M19" s="107">
        <v>1</v>
      </c>
      <c r="N19" s="107">
        <v>1</v>
      </c>
      <c r="O19" s="107">
        <v>1</v>
      </c>
      <c r="P19" s="107">
        <v>0</v>
      </c>
      <c r="Q19" s="107">
        <v>0</v>
      </c>
      <c r="R19" s="107">
        <v>0</v>
      </c>
      <c r="S19" s="107">
        <v>0</v>
      </c>
      <c r="T19" s="107">
        <v>0</v>
      </c>
      <c r="U19" s="107">
        <v>1</v>
      </c>
      <c r="V19" s="107">
        <v>1</v>
      </c>
      <c r="W19" s="107">
        <v>1</v>
      </c>
      <c r="X19" s="107">
        <v>0</v>
      </c>
      <c r="Y19" s="107">
        <v>0</v>
      </c>
      <c r="Z19" s="107">
        <v>0</v>
      </c>
      <c r="AA19" s="107">
        <v>0</v>
      </c>
      <c r="AB19" s="107">
        <v>0</v>
      </c>
      <c r="AC19" s="107">
        <v>0</v>
      </c>
      <c r="AD19" s="107">
        <v>0</v>
      </c>
      <c r="AE19" s="107">
        <v>0</v>
      </c>
      <c r="AF19" s="107">
        <v>0</v>
      </c>
      <c r="AG19" s="107">
        <v>0</v>
      </c>
      <c r="AH19" s="107">
        <v>0</v>
      </c>
    </row>
    <row r="20" spans="1:34" customFormat="1" x14ac:dyDescent="0.15">
      <c r="A20" s="185" t="s">
        <v>210</v>
      </c>
      <c r="B20" s="107">
        <v>0</v>
      </c>
      <c r="C20" s="107">
        <v>1</v>
      </c>
      <c r="D20" s="107">
        <v>1</v>
      </c>
      <c r="E20" s="107">
        <v>0</v>
      </c>
      <c r="F20" s="107">
        <v>0</v>
      </c>
      <c r="G20" s="107">
        <v>1</v>
      </c>
      <c r="H20" s="107">
        <v>1</v>
      </c>
      <c r="I20" s="107">
        <v>0</v>
      </c>
      <c r="J20" s="107">
        <v>0</v>
      </c>
      <c r="K20" s="107">
        <v>0</v>
      </c>
      <c r="L20" s="107">
        <v>1</v>
      </c>
      <c r="M20" s="107">
        <v>0</v>
      </c>
      <c r="N20" s="107">
        <v>1</v>
      </c>
      <c r="O20" s="107">
        <v>0</v>
      </c>
      <c r="P20" s="107">
        <v>1</v>
      </c>
      <c r="Q20" s="107">
        <v>1</v>
      </c>
      <c r="R20" s="107">
        <v>0</v>
      </c>
      <c r="S20" s="107">
        <v>0</v>
      </c>
      <c r="T20" s="107">
        <v>1</v>
      </c>
      <c r="U20" s="107">
        <v>1</v>
      </c>
      <c r="V20" s="107">
        <v>0</v>
      </c>
      <c r="W20" s="107">
        <v>0</v>
      </c>
      <c r="X20" s="107">
        <v>0</v>
      </c>
      <c r="Y20" s="107">
        <v>0</v>
      </c>
      <c r="Z20" s="107">
        <v>0</v>
      </c>
      <c r="AA20" s="107">
        <v>0</v>
      </c>
      <c r="AB20" s="107">
        <v>0</v>
      </c>
      <c r="AC20" s="107">
        <v>0</v>
      </c>
      <c r="AD20" s="107">
        <v>0</v>
      </c>
      <c r="AE20" s="107">
        <v>0</v>
      </c>
      <c r="AF20" s="107">
        <v>0</v>
      </c>
      <c r="AG20" s="107">
        <v>0</v>
      </c>
      <c r="AH20" s="107">
        <v>0</v>
      </c>
    </row>
    <row r="21" spans="1:34" customFormat="1" x14ac:dyDescent="0.15">
      <c r="A21" s="185" t="s">
        <v>211</v>
      </c>
      <c r="B21" s="107">
        <v>1</v>
      </c>
      <c r="C21" s="107">
        <v>1</v>
      </c>
      <c r="D21" s="107">
        <v>0</v>
      </c>
      <c r="E21" s="107">
        <v>1</v>
      </c>
      <c r="F21" s="107">
        <v>1</v>
      </c>
      <c r="G21" s="107">
        <v>1</v>
      </c>
      <c r="H21" s="107">
        <v>0</v>
      </c>
      <c r="I21" s="107">
        <v>0</v>
      </c>
      <c r="J21" s="107">
        <v>0</v>
      </c>
      <c r="K21" s="107">
        <v>0</v>
      </c>
      <c r="L21" s="107">
        <v>0</v>
      </c>
      <c r="M21" s="107">
        <v>0</v>
      </c>
      <c r="N21" s="107">
        <v>0</v>
      </c>
      <c r="O21" s="107">
        <v>0</v>
      </c>
      <c r="P21" s="107">
        <v>0</v>
      </c>
      <c r="Q21" s="107">
        <v>0</v>
      </c>
      <c r="R21" s="107">
        <v>0</v>
      </c>
      <c r="S21" s="107">
        <v>0</v>
      </c>
      <c r="T21" s="107">
        <v>0</v>
      </c>
      <c r="U21" s="107">
        <v>0</v>
      </c>
      <c r="V21" s="107">
        <v>0</v>
      </c>
      <c r="W21" s="107">
        <v>0</v>
      </c>
      <c r="X21" s="107">
        <v>0</v>
      </c>
      <c r="Y21" s="107">
        <v>0</v>
      </c>
      <c r="Z21" s="107">
        <v>0</v>
      </c>
      <c r="AA21" s="107">
        <v>0</v>
      </c>
      <c r="AB21" s="107">
        <v>0</v>
      </c>
      <c r="AC21" s="107">
        <v>0</v>
      </c>
      <c r="AD21" s="107">
        <v>0</v>
      </c>
      <c r="AE21" s="107">
        <v>0</v>
      </c>
      <c r="AF21" s="107">
        <v>0</v>
      </c>
      <c r="AG21" s="107">
        <v>0</v>
      </c>
      <c r="AH21" s="107">
        <v>0</v>
      </c>
    </row>
    <row r="22" spans="1:34" customFormat="1" x14ac:dyDescent="0.15">
      <c r="A22" s="185" t="s">
        <v>212</v>
      </c>
      <c r="B22" s="107">
        <v>1</v>
      </c>
      <c r="C22" s="107">
        <v>1</v>
      </c>
      <c r="D22" s="107">
        <v>1</v>
      </c>
      <c r="E22" s="107">
        <v>1</v>
      </c>
      <c r="F22" s="107">
        <v>1</v>
      </c>
      <c r="G22" s="107">
        <v>1</v>
      </c>
      <c r="H22" s="107">
        <v>1</v>
      </c>
      <c r="I22" s="107">
        <v>1</v>
      </c>
      <c r="J22" s="107">
        <v>1</v>
      </c>
      <c r="K22" s="107">
        <v>1</v>
      </c>
      <c r="L22" s="107">
        <v>0</v>
      </c>
      <c r="M22" s="107">
        <v>0</v>
      </c>
      <c r="N22" s="107">
        <v>0</v>
      </c>
      <c r="O22" s="107">
        <v>1</v>
      </c>
      <c r="P22" s="107">
        <v>0</v>
      </c>
      <c r="Q22" s="107">
        <v>1</v>
      </c>
      <c r="R22" s="107">
        <v>0</v>
      </c>
      <c r="S22" s="107">
        <v>0</v>
      </c>
      <c r="T22" s="107">
        <v>0</v>
      </c>
      <c r="U22" s="107">
        <v>1</v>
      </c>
      <c r="V22" s="107">
        <v>0</v>
      </c>
      <c r="W22" s="107">
        <v>0</v>
      </c>
      <c r="X22" s="107">
        <v>0</v>
      </c>
      <c r="Y22" s="107">
        <v>0</v>
      </c>
      <c r="Z22" s="107">
        <v>0</v>
      </c>
      <c r="AA22" s="107">
        <v>0</v>
      </c>
      <c r="AB22" s="107">
        <v>0</v>
      </c>
      <c r="AC22" s="107">
        <v>0</v>
      </c>
      <c r="AD22" s="107">
        <v>0</v>
      </c>
      <c r="AE22" s="107">
        <v>0</v>
      </c>
      <c r="AF22" s="107">
        <v>0</v>
      </c>
      <c r="AG22" s="107">
        <v>0</v>
      </c>
      <c r="AH22" s="107">
        <v>0</v>
      </c>
    </row>
    <row r="23" spans="1:34" customFormat="1" x14ac:dyDescent="0.15">
      <c r="A23" s="185" t="s">
        <v>213</v>
      </c>
      <c r="B23" s="107">
        <v>1</v>
      </c>
      <c r="C23" s="107">
        <v>1</v>
      </c>
      <c r="D23" s="107">
        <v>1</v>
      </c>
      <c r="E23" s="107">
        <v>1</v>
      </c>
      <c r="F23" s="107">
        <v>1</v>
      </c>
      <c r="G23" s="107">
        <v>1</v>
      </c>
      <c r="H23" s="107">
        <v>1</v>
      </c>
      <c r="I23" s="107">
        <v>1</v>
      </c>
      <c r="J23" s="107">
        <v>1</v>
      </c>
      <c r="K23" s="107">
        <v>0</v>
      </c>
      <c r="L23" s="107">
        <v>1</v>
      </c>
      <c r="M23" s="107">
        <v>1</v>
      </c>
      <c r="N23" s="107">
        <v>1</v>
      </c>
      <c r="O23" s="107">
        <v>1</v>
      </c>
      <c r="P23" s="107">
        <v>0</v>
      </c>
      <c r="Q23" s="107">
        <v>0</v>
      </c>
      <c r="R23" s="107">
        <v>0</v>
      </c>
      <c r="S23" s="107">
        <v>0</v>
      </c>
      <c r="T23" s="107">
        <v>0</v>
      </c>
      <c r="U23" s="107">
        <v>1</v>
      </c>
      <c r="V23" s="107">
        <v>0</v>
      </c>
      <c r="W23" s="107">
        <v>0</v>
      </c>
      <c r="X23" s="107">
        <v>0</v>
      </c>
      <c r="Y23" s="107">
        <v>0</v>
      </c>
      <c r="Z23" s="107">
        <v>0</v>
      </c>
      <c r="AA23" s="107">
        <v>0</v>
      </c>
      <c r="AB23" s="107">
        <v>0</v>
      </c>
      <c r="AC23" s="107">
        <v>0</v>
      </c>
      <c r="AD23" s="107">
        <v>0</v>
      </c>
      <c r="AE23" s="107">
        <v>0</v>
      </c>
      <c r="AF23" s="107">
        <v>0</v>
      </c>
      <c r="AG23" s="107">
        <v>0</v>
      </c>
      <c r="AH23" s="107">
        <v>0</v>
      </c>
    </row>
    <row r="24" spans="1:34" customFormat="1" x14ac:dyDescent="0.15">
      <c r="A24" s="185" t="s">
        <v>214</v>
      </c>
      <c r="B24" s="107">
        <v>1</v>
      </c>
      <c r="C24" s="107">
        <v>1</v>
      </c>
      <c r="D24" s="107">
        <v>0</v>
      </c>
      <c r="E24" s="107">
        <v>1</v>
      </c>
      <c r="F24" s="107">
        <v>1</v>
      </c>
      <c r="G24" s="107">
        <v>1</v>
      </c>
      <c r="H24" s="107">
        <v>1</v>
      </c>
      <c r="I24" s="107">
        <v>1</v>
      </c>
      <c r="J24" s="107">
        <v>1</v>
      </c>
      <c r="K24" s="107">
        <v>1</v>
      </c>
      <c r="L24" s="107">
        <v>1</v>
      </c>
      <c r="M24" s="107">
        <v>1</v>
      </c>
      <c r="N24" s="107">
        <v>1</v>
      </c>
      <c r="O24" s="107">
        <v>1</v>
      </c>
      <c r="P24" s="107">
        <v>1</v>
      </c>
      <c r="Q24" s="107">
        <v>1</v>
      </c>
      <c r="R24" s="107">
        <v>0</v>
      </c>
      <c r="S24" s="107">
        <v>0</v>
      </c>
      <c r="T24" s="107">
        <v>0</v>
      </c>
      <c r="U24" s="107">
        <v>1</v>
      </c>
      <c r="V24" s="107">
        <v>1</v>
      </c>
      <c r="W24" s="107">
        <v>0</v>
      </c>
      <c r="X24" s="107">
        <v>0</v>
      </c>
      <c r="Y24" s="107">
        <v>1</v>
      </c>
      <c r="Z24" s="107">
        <v>0</v>
      </c>
      <c r="AA24" s="107">
        <v>0</v>
      </c>
      <c r="AB24" s="107">
        <v>0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  <c r="AH24" s="107">
        <v>0</v>
      </c>
    </row>
    <row r="25" spans="1:34" customFormat="1" x14ac:dyDescent="0.15">
      <c r="A25" s="185" t="s">
        <v>215</v>
      </c>
      <c r="B25" s="107">
        <v>0</v>
      </c>
      <c r="C25" s="107">
        <v>1</v>
      </c>
      <c r="D25" s="107">
        <v>0</v>
      </c>
      <c r="E25" s="107">
        <v>1</v>
      </c>
      <c r="F25" s="107">
        <v>1</v>
      </c>
      <c r="G25" s="107">
        <v>0</v>
      </c>
      <c r="H25" s="107">
        <v>1</v>
      </c>
      <c r="I25" s="107">
        <v>1</v>
      </c>
      <c r="J25" s="107">
        <v>0</v>
      </c>
      <c r="K25" s="107">
        <v>0</v>
      </c>
      <c r="L25" s="107">
        <v>1</v>
      </c>
      <c r="M25" s="107">
        <v>1</v>
      </c>
      <c r="N25" s="107">
        <v>1</v>
      </c>
      <c r="O25" s="107">
        <v>0</v>
      </c>
      <c r="P25" s="107">
        <v>1</v>
      </c>
      <c r="Q25" s="107">
        <v>1</v>
      </c>
      <c r="R25" s="107">
        <v>0</v>
      </c>
      <c r="S25" s="107">
        <v>0</v>
      </c>
      <c r="T25" s="107">
        <v>0</v>
      </c>
      <c r="U25" s="107">
        <v>1</v>
      </c>
      <c r="V25" s="107">
        <v>0</v>
      </c>
      <c r="W25" s="107">
        <v>0</v>
      </c>
      <c r="X25" s="107">
        <v>0</v>
      </c>
      <c r="Y25" s="107">
        <v>1</v>
      </c>
      <c r="Z25" s="107">
        <v>0</v>
      </c>
      <c r="AA25" s="107">
        <v>0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  <c r="AH25" s="107">
        <v>0</v>
      </c>
    </row>
    <row r="26" spans="1:34" customFormat="1" x14ac:dyDescent="0.15">
      <c r="A26" s="185" t="s">
        <v>216</v>
      </c>
      <c r="B26" s="107">
        <v>0</v>
      </c>
      <c r="C26" s="107">
        <v>0</v>
      </c>
      <c r="D26" s="107">
        <v>0</v>
      </c>
      <c r="E26" s="107">
        <v>0</v>
      </c>
      <c r="F26" s="107">
        <v>0</v>
      </c>
      <c r="G26" s="107">
        <v>0</v>
      </c>
      <c r="H26" s="107">
        <v>1</v>
      </c>
      <c r="I26" s="107">
        <v>1</v>
      </c>
      <c r="J26" s="107">
        <v>1</v>
      </c>
      <c r="K26" s="107">
        <v>0</v>
      </c>
      <c r="L26" s="107">
        <v>1</v>
      </c>
      <c r="M26" s="107">
        <v>1</v>
      </c>
      <c r="N26" s="107">
        <v>1</v>
      </c>
      <c r="O26" s="107">
        <v>0</v>
      </c>
      <c r="P26" s="107">
        <v>1</v>
      </c>
      <c r="Q26" s="107">
        <v>1</v>
      </c>
      <c r="R26" s="107">
        <v>0</v>
      </c>
      <c r="S26" s="107">
        <v>0</v>
      </c>
      <c r="T26" s="107">
        <v>0</v>
      </c>
      <c r="U26" s="107">
        <v>1</v>
      </c>
      <c r="V26" s="107">
        <v>0</v>
      </c>
      <c r="W26" s="107">
        <v>0</v>
      </c>
      <c r="X26" s="107">
        <v>0</v>
      </c>
      <c r="Y26" s="107">
        <v>1</v>
      </c>
      <c r="Z26" s="107">
        <v>0</v>
      </c>
      <c r="AA26" s="107">
        <v>0</v>
      </c>
      <c r="AB26" s="107">
        <v>0</v>
      </c>
      <c r="AC26" s="107">
        <v>0</v>
      </c>
      <c r="AD26" s="107">
        <v>0</v>
      </c>
      <c r="AE26" s="107">
        <v>0</v>
      </c>
      <c r="AF26" s="107">
        <v>0</v>
      </c>
      <c r="AG26" s="107">
        <v>0</v>
      </c>
      <c r="AH26" s="107">
        <v>0</v>
      </c>
    </row>
    <row r="27" spans="1:34" customFormat="1" x14ac:dyDescent="0.15">
      <c r="A27" s="185" t="s">
        <v>217</v>
      </c>
      <c r="B27" s="107">
        <v>0</v>
      </c>
      <c r="C27" s="107">
        <v>0</v>
      </c>
      <c r="D27" s="107">
        <v>0</v>
      </c>
      <c r="E27" s="107">
        <v>0</v>
      </c>
      <c r="F27" s="107">
        <v>1</v>
      </c>
      <c r="G27" s="107">
        <v>1</v>
      </c>
      <c r="H27" s="107">
        <v>1</v>
      </c>
      <c r="I27" s="107">
        <v>1</v>
      </c>
      <c r="J27" s="107">
        <v>0</v>
      </c>
      <c r="K27" s="107">
        <v>1</v>
      </c>
      <c r="L27" s="107">
        <v>1</v>
      </c>
      <c r="M27" s="107">
        <v>1</v>
      </c>
      <c r="N27" s="107">
        <v>1</v>
      </c>
      <c r="O27" s="107">
        <v>1</v>
      </c>
      <c r="P27" s="107">
        <v>1</v>
      </c>
      <c r="Q27" s="107">
        <v>1</v>
      </c>
      <c r="R27" s="107">
        <v>0</v>
      </c>
      <c r="S27" s="107">
        <v>0</v>
      </c>
      <c r="T27" s="107">
        <v>0</v>
      </c>
      <c r="U27" s="107">
        <v>0</v>
      </c>
      <c r="V27" s="107">
        <v>1</v>
      </c>
      <c r="W27" s="107">
        <v>0</v>
      </c>
      <c r="X27" s="107">
        <v>0</v>
      </c>
      <c r="Y27" s="107">
        <v>1</v>
      </c>
      <c r="Z27" s="107">
        <v>0</v>
      </c>
      <c r="AA27" s="107">
        <v>0</v>
      </c>
      <c r="AB27" s="107">
        <v>0</v>
      </c>
      <c r="AC27" s="107">
        <v>0</v>
      </c>
      <c r="AD27" s="107">
        <v>0</v>
      </c>
      <c r="AE27" s="107">
        <v>0</v>
      </c>
      <c r="AF27" s="107">
        <v>0</v>
      </c>
      <c r="AG27" s="107">
        <v>0</v>
      </c>
      <c r="AH27" s="107">
        <v>0</v>
      </c>
    </row>
    <row r="28" spans="1:34" customFormat="1" x14ac:dyDescent="0.15">
      <c r="A28" s="185" t="s">
        <v>218</v>
      </c>
      <c r="B28" s="107">
        <v>0</v>
      </c>
      <c r="C28" s="107">
        <v>0</v>
      </c>
      <c r="D28" s="107">
        <v>0</v>
      </c>
      <c r="E28" s="107">
        <v>0</v>
      </c>
      <c r="F28" s="107">
        <v>0</v>
      </c>
      <c r="G28" s="107">
        <v>0</v>
      </c>
      <c r="H28" s="107">
        <v>1</v>
      </c>
      <c r="I28" s="107">
        <v>1</v>
      </c>
      <c r="J28" s="107">
        <v>1</v>
      </c>
      <c r="K28" s="107">
        <v>0</v>
      </c>
      <c r="L28" s="107">
        <v>1</v>
      </c>
      <c r="M28" s="107">
        <v>1</v>
      </c>
      <c r="N28" s="107">
        <v>1</v>
      </c>
      <c r="O28" s="107">
        <v>0</v>
      </c>
      <c r="P28" s="107">
        <v>1</v>
      </c>
      <c r="Q28" s="107">
        <v>1</v>
      </c>
      <c r="R28" s="107">
        <v>0</v>
      </c>
      <c r="S28" s="107">
        <v>0</v>
      </c>
      <c r="T28" s="107">
        <v>0</v>
      </c>
      <c r="U28" s="107">
        <v>1</v>
      </c>
      <c r="V28" s="107">
        <v>0</v>
      </c>
      <c r="W28" s="107">
        <v>0</v>
      </c>
      <c r="X28" s="107">
        <v>1</v>
      </c>
      <c r="Y28" s="107">
        <v>1</v>
      </c>
      <c r="Z28" s="107">
        <v>0</v>
      </c>
      <c r="AA28" s="107">
        <v>0</v>
      </c>
      <c r="AB28" s="107">
        <v>1</v>
      </c>
      <c r="AC28" s="107">
        <v>0</v>
      </c>
      <c r="AD28" s="107">
        <v>0</v>
      </c>
      <c r="AE28" s="107">
        <v>0</v>
      </c>
      <c r="AF28" s="107">
        <v>0</v>
      </c>
      <c r="AG28" s="107">
        <v>0</v>
      </c>
      <c r="AH28" s="107">
        <v>0</v>
      </c>
    </row>
    <row r="29" spans="1:34" customFormat="1" x14ac:dyDescent="0.15">
      <c r="A29" s="185" t="s">
        <v>219</v>
      </c>
      <c r="B29" s="107">
        <v>0</v>
      </c>
      <c r="C29" s="107">
        <v>1</v>
      </c>
      <c r="D29" s="107">
        <v>0</v>
      </c>
      <c r="E29" s="107">
        <v>0</v>
      </c>
      <c r="F29" s="107">
        <v>1</v>
      </c>
      <c r="G29" s="107">
        <v>1</v>
      </c>
      <c r="H29" s="107">
        <v>1</v>
      </c>
      <c r="I29" s="107">
        <v>1</v>
      </c>
      <c r="J29" s="107">
        <v>1</v>
      </c>
      <c r="K29" s="107">
        <v>0</v>
      </c>
      <c r="L29" s="107">
        <v>1</v>
      </c>
      <c r="M29" s="107">
        <v>1</v>
      </c>
      <c r="N29" s="107">
        <v>1</v>
      </c>
      <c r="O29" s="107">
        <v>0</v>
      </c>
      <c r="P29" s="107">
        <v>1</v>
      </c>
      <c r="Q29" s="107">
        <v>1</v>
      </c>
      <c r="R29" s="107">
        <v>0</v>
      </c>
      <c r="S29" s="107">
        <v>1</v>
      </c>
      <c r="T29" s="107">
        <v>0</v>
      </c>
      <c r="U29" s="107">
        <v>1</v>
      </c>
      <c r="V29" s="107">
        <v>0</v>
      </c>
      <c r="W29" s="107">
        <v>1</v>
      </c>
      <c r="X29" s="107">
        <v>1</v>
      </c>
      <c r="Y29" s="107">
        <v>1</v>
      </c>
      <c r="Z29" s="107">
        <v>0</v>
      </c>
      <c r="AA29" s="107">
        <v>0</v>
      </c>
      <c r="AB29" s="107">
        <v>0</v>
      </c>
      <c r="AC29" s="107">
        <v>0</v>
      </c>
      <c r="AD29" s="107">
        <v>0</v>
      </c>
      <c r="AE29" s="107">
        <v>0</v>
      </c>
      <c r="AF29" s="107">
        <v>0</v>
      </c>
      <c r="AG29" s="107">
        <v>0</v>
      </c>
      <c r="AH29" s="107">
        <v>0</v>
      </c>
    </row>
    <row r="30" spans="1:34" customFormat="1" x14ac:dyDescent="0.15">
      <c r="A30" s="185" t="s">
        <v>220</v>
      </c>
      <c r="B30" s="107">
        <v>1</v>
      </c>
      <c r="C30" s="107">
        <v>1</v>
      </c>
      <c r="D30" s="107">
        <v>0</v>
      </c>
      <c r="E30" s="107">
        <v>0</v>
      </c>
      <c r="F30" s="107">
        <v>0</v>
      </c>
      <c r="G30" s="107">
        <v>1</v>
      </c>
      <c r="H30" s="107">
        <v>1</v>
      </c>
      <c r="I30" s="107">
        <v>1</v>
      </c>
      <c r="J30" s="107">
        <v>1</v>
      </c>
      <c r="K30" s="107">
        <v>1</v>
      </c>
      <c r="L30" s="107">
        <v>1</v>
      </c>
      <c r="M30" s="107">
        <v>1</v>
      </c>
      <c r="N30" s="107">
        <v>1</v>
      </c>
      <c r="O30" s="107">
        <v>1</v>
      </c>
      <c r="P30" s="107">
        <v>1</v>
      </c>
      <c r="Q30" s="107">
        <v>1</v>
      </c>
      <c r="R30" s="107">
        <v>1</v>
      </c>
      <c r="S30" s="107">
        <v>1</v>
      </c>
      <c r="T30" s="107">
        <v>1</v>
      </c>
      <c r="U30" s="107">
        <v>1</v>
      </c>
      <c r="V30" s="107">
        <v>1</v>
      </c>
      <c r="W30" s="107">
        <v>1</v>
      </c>
      <c r="X30" s="107">
        <v>1</v>
      </c>
      <c r="Y30" s="107">
        <v>1</v>
      </c>
      <c r="Z30" s="107">
        <v>0</v>
      </c>
      <c r="AA30" s="107">
        <v>0</v>
      </c>
      <c r="AB30" s="107">
        <v>0</v>
      </c>
      <c r="AC30" s="107">
        <v>0</v>
      </c>
      <c r="AD30" s="107">
        <v>1</v>
      </c>
      <c r="AE30" s="107">
        <v>0</v>
      </c>
      <c r="AF30" s="107">
        <v>0</v>
      </c>
      <c r="AG30" s="107">
        <v>0</v>
      </c>
      <c r="AH30" s="107">
        <v>0</v>
      </c>
    </row>
    <row r="31" spans="1:34" customFormat="1" x14ac:dyDescent="0.15">
      <c r="A31" s="185" t="s">
        <v>221</v>
      </c>
      <c r="B31" s="107">
        <v>1</v>
      </c>
      <c r="C31" s="107">
        <v>0</v>
      </c>
      <c r="D31" s="107">
        <v>0</v>
      </c>
      <c r="E31" s="107">
        <v>0</v>
      </c>
      <c r="F31" s="107">
        <v>0</v>
      </c>
      <c r="G31" s="107">
        <v>1</v>
      </c>
      <c r="H31" s="107">
        <v>1</v>
      </c>
      <c r="I31" s="107">
        <v>1</v>
      </c>
      <c r="J31" s="107">
        <v>1</v>
      </c>
      <c r="K31" s="107">
        <v>1</v>
      </c>
      <c r="L31" s="107">
        <v>1</v>
      </c>
      <c r="M31" s="107">
        <v>1</v>
      </c>
      <c r="N31" s="107">
        <v>1</v>
      </c>
      <c r="O31" s="107">
        <v>1</v>
      </c>
      <c r="P31" s="107">
        <v>1</v>
      </c>
      <c r="Q31" s="107">
        <v>1</v>
      </c>
      <c r="R31" s="107">
        <v>1</v>
      </c>
      <c r="S31" s="107">
        <v>1</v>
      </c>
      <c r="T31" s="107">
        <v>1</v>
      </c>
      <c r="U31" s="107">
        <v>1</v>
      </c>
      <c r="V31" s="107">
        <v>1</v>
      </c>
      <c r="W31" s="107">
        <v>1</v>
      </c>
      <c r="X31" s="107">
        <v>1</v>
      </c>
      <c r="Y31" s="107">
        <v>1</v>
      </c>
      <c r="Z31" s="107">
        <v>0</v>
      </c>
      <c r="AA31" s="107">
        <v>0</v>
      </c>
      <c r="AB31" s="107">
        <v>0</v>
      </c>
      <c r="AC31" s="107">
        <v>0</v>
      </c>
      <c r="AD31" s="107">
        <v>1</v>
      </c>
      <c r="AE31" s="107">
        <v>1</v>
      </c>
      <c r="AF31" s="107">
        <v>0</v>
      </c>
      <c r="AG31" s="107">
        <v>0</v>
      </c>
      <c r="AH31" s="107">
        <v>0</v>
      </c>
    </row>
    <row r="32" spans="1:34" x14ac:dyDescent="0.15">
      <c r="A32" s="185" t="s">
        <v>222</v>
      </c>
      <c r="B32" s="107">
        <v>0</v>
      </c>
      <c r="C32" s="107">
        <v>0</v>
      </c>
      <c r="D32" s="107">
        <v>0</v>
      </c>
      <c r="E32" s="107">
        <v>0</v>
      </c>
      <c r="F32" s="107">
        <v>0</v>
      </c>
      <c r="G32" s="107">
        <v>0</v>
      </c>
      <c r="H32" s="107">
        <v>0</v>
      </c>
      <c r="I32" s="107">
        <v>0</v>
      </c>
      <c r="J32" s="107">
        <v>0</v>
      </c>
      <c r="K32" s="107">
        <v>0</v>
      </c>
      <c r="L32" s="107">
        <v>0</v>
      </c>
      <c r="M32" s="107">
        <v>0</v>
      </c>
      <c r="N32" s="107">
        <v>0</v>
      </c>
      <c r="O32" s="107">
        <v>0</v>
      </c>
      <c r="P32" s="107">
        <v>0</v>
      </c>
      <c r="Q32" s="107">
        <v>0</v>
      </c>
      <c r="R32" s="107">
        <v>0</v>
      </c>
      <c r="S32" s="107">
        <v>1</v>
      </c>
      <c r="T32" s="107">
        <v>0</v>
      </c>
      <c r="U32" s="107">
        <v>0</v>
      </c>
      <c r="V32" s="107">
        <v>0</v>
      </c>
      <c r="W32" s="107">
        <v>0</v>
      </c>
      <c r="X32" s="107">
        <v>1</v>
      </c>
      <c r="Y32" s="107">
        <v>0</v>
      </c>
      <c r="Z32" s="107">
        <v>0</v>
      </c>
      <c r="AA32" s="107">
        <v>1</v>
      </c>
      <c r="AB32" s="107">
        <v>1</v>
      </c>
      <c r="AC32" s="107">
        <v>0</v>
      </c>
      <c r="AD32" s="107">
        <v>1</v>
      </c>
      <c r="AE32" s="107">
        <v>1</v>
      </c>
      <c r="AF32" s="107">
        <v>0</v>
      </c>
      <c r="AG32" s="107">
        <v>0</v>
      </c>
      <c r="AH32" s="107">
        <v>0</v>
      </c>
    </row>
    <row r="33" spans="1:34" x14ac:dyDescent="0.15">
      <c r="A33" s="185" t="s">
        <v>223</v>
      </c>
      <c r="B33" s="107">
        <v>0</v>
      </c>
      <c r="C33" s="107">
        <v>0</v>
      </c>
      <c r="D33" s="107">
        <v>0</v>
      </c>
      <c r="E33" s="107">
        <v>0</v>
      </c>
      <c r="F33" s="107">
        <v>0</v>
      </c>
      <c r="G33" s="107">
        <v>0</v>
      </c>
      <c r="H33" s="107">
        <v>0</v>
      </c>
      <c r="I33" s="107">
        <v>0</v>
      </c>
      <c r="J33" s="107">
        <v>0</v>
      </c>
      <c r="K33" s="107">
        <v>0</v>
      </c>
      <c r="L33" s="107">
        <v>0</v>
      </c>
      <c r="M33" s="107">
        <v>1</v>
      </c>
      <c r="N33" s="107">
        <v>0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</v>
      </c>
      <c r="U33" s="107">
        <v>0</v>
      </c>
      <c r="V33" s="107">
        <v>0</v>
      </c>
      <c r="W33" s="107">
        <v>0</v>
      </c>
      <c r="X33" s="107">
        <v>1</v>
      </c>
      <c r="Y33" s="107">
        <v>1</v>
      </c>
      <c r="Z33" s="107">
        <v>1</v>
      </c>
      <c r="AA33" s="107">
        <v>1</v>
      </c>
      <c r="AB33" s="107">
        <v>1</v>
      </c>
      <c r="AC33" s="107">
        <v>1</v>
      </c>
      <c r="AD33" s="107">
        <v>1</v>
      </c>
      <c r="AE33" s="107">
        <v>1</v>
      </c>
      <c r="AF33" s="107">
        <v>0</v>
      </c>
      <c r="AG33" s="107">
        <v>0</v>
      </c>
      <c r="AH33" s="107">
        <v>0</v>
      </c>
    </row>
    <row r="34" spans="1:34" x14ac:dyDescent="0.15">
      <c r="A34" s="185" t="s">
        <v>224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  <c r="U34" s="107">
        <v>0</v>
      </c>
      <c r="V34" s="107">
        <v>0</v>
      </c>
      <c r="W34" s="107">
        <v>0</v>
      </c>
      <c r="X34" s="107">
        <v>0</v>
      </c>
      <c r="Y34" s="107">
        <v>0</v>
      </c>
      <c r="Z34" s="107">
        <v>0</v>
      </c>
      <c r="AA34" s="107">
        <v>0</v>
      </c>
      <c r="AB34" s="107">
        <v>0</v>
      </c>
      <c r="AC34" s="107">
        <v>0</v>
      </c>
      <c r="AD34" s="107">
        <v>0</v>
      </c>
      <c r="AE34" s="107">
        <v>0</v>
      </c>
      <c r="AF34" s="107">
        <v>0</v>
      </c>
      <c r="AG34" s="107">
        <v>0</v>
      </c>
      <c r="AH34" s="107">
        <v>0</v>
      </c>
    </row>
    <row r="35" spans="1:34" x14ac:dyDescent="0.15">
      <c r="A35" s="185" t="s">
        <v>226</v>
      </c>
      <c r="B35" s="107">
        <v>0</v>
      </c>
      <c r="C35" s="107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4.66406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88" t="s">
        <v>225</v>
      </c>
    </row>
    <row r="2" spans="1:3" x14ac:dyDescent="0.15">
      <c r="A2">
        <v>1</v>
      </c>
      <c r="B2" s="187" t="s">
        <v>192</v>
      </c>
      <c r="C2">
        <v>0.8</v>
      </c>
    </row>
    <row r="3" spans="1:3" x14ac:dyDescent="0.15">
      <c r="A3">
        <v>2</v>
      </c>
      <c r="B3" s="187" t="s">
        <v>193</v>
      </c>
      <c r="C3">
        <v>0.8</v>
      </c>
    </row>
    <row r="4" spans="1:3" x14ac:dyDescent="0.15">
      <c r="A4">
        <v>3</v>
      </c>
      <c r="B4" s="187" t="s">
        <v>194</v>
      </c>
      <c r="C4">
        <v>0.8</v>
      </c>
    </row>
    <row r="5" spans="1:3" x14ac:dyDescent="0.15">
      <c r="A5">
        <v>4</v>
      </c>
      <c r="B5" s="187" t="s">
        <v>195</v>
      </c>
      <c r="C5">
        <v>0.8</v>
      </c>
    </row>
    <row r="6" spans="1:3" x14ac:dyDescent="0.15">
      <c r="A6">
        <v>5</v>
      </c>
      <c r="B6" s="187" t="s">
        <v>196</v>
      </c>
      <c r="C6">
        <v>0</v>
      </c>
    </row>
    <row r="7" spans="1:3" x14ac:dyDescent="0.15">
      <c r="A7">
        <v>6</v>
      </c>
      <c r="B7" s="187" t="s">
        <v>197</v>
      </c>
      <c r="C7">
        <v>0.8</v>
      </c>
    </row>
    <row r="8" spans="1:3" x14ac:dyDescent="0.15">
      <c r="A8">
        <v>7</v>
      </c>
      <c r="B8" s="187" t="s">
        <v>198</v>
      </c>
      <c r="C8">
        <v>0.8</v>
      </c>
    </row>
    <row r="9" spans="1:3" x14ac:dyDescent="0.15">
      <c r="A9">
        <v>8</v>
      </c>
      <c r="B9" s="187" t="s">
        <v>199</v>
      </c>
      <c r="C9">
        <v>0</v>
      </c>
    </row>
    <row r="10" spans="1:3" x14ac:dyDescent="0.15">
      <c r="A10">
        <v>9</v>
      </c>
      <c r="B10" s="187" t="s">
        <v>200</v>
      </c>
      <c r="C10">
        <v>0.8</v>
      </c>
    </row>
    <row r="11" spans="1:3" x14ac:dyDescent="0.15">
      <c r="A11">
        <v>10</v>
      </c>
      <c r="B11" s="187" t="s">
        <v>201</v>
      </c>
      <c r="C11">
        <v>0</v>
      </c>
    </row>
    <row r="12" spans="1:3" x14ac:dyDescent="0.15">
      <c r="A12">
        <v>11</v>
      </c>
      <c r="B12" s="187" t="s">
        <v>202</v>
      </c>
      <c r="C12">
        <v>0.8</v>
      </c>
    </row>
    <row r="13" spans="1:3" x14ac:dyDescent="0.15">
      <c r="A13">
        <v>12</v>
      </c>
      <c r="B13" s="187" t="s">
        <v>203</v>
      </c>
      <c r="C13">
        <v>0.8</v>
      </c>
    </row>
    <row r="14" spans="1:3" x14ac:dyDescent="0.15">
      <c r="A14">
        <v>13</v>
      </c>
      <c r="B14" s="187" t="s">
        <v>204</v>
      </c>
      <c r="C14">
        <v>0.8</v>
      </c>
    </row>
    <row r="15" spans="1:3" x14ac:dyDescent="0.15">
      <c r="A15">
        <v>14</v>
      </c>
      <c r="B15" s="187" t="s">
        <v>205</v>
      </c>
      <c r="C15">
        <v>0.8</v>
      </c>
    </row>
    <row r="16" spans="1:3" x14ac:dyDescent="0.15">
      <c r="A16">
        <v>15</v>
      </c>
      <c r="B16" s="187" t="s">
        <v>206</v>
      </c>
      <c r="C16">
        <v>0.8</v>
      </c>
    </row>
    <row r="17" spans="1:3" x14ac:dyDescent="0.15">
      <c r="A17">
        <v>16</v>
      </c>
      <c r="B17" s="187" t="s">
        <v>207</v>
      </c>
      <c r="C17">
        <v>0</v>
      </c>
    </row>
    <row r="18" spans="1:3" x14ac:dyDescent="0.15">
      <c r="A18">
        <v>17</v>
      </c>
      <c r="B18" s="187" t="s">
        <v>208</v>
      </c>
      <c r="C18">
        <v>0.8</v>
      </c>
    </row>
    <row r="19" spans="1:3" x14ac:dyDescent="0.15">
      <c r="A19">
        <v>18</v>
      </c>
      <c r="B19" s="187" t="s">
        <v>209</v>
      </c>
      <c r="C19">
        <v>0.8</v>
      </c>
    </row>
    <row r="20" spans="1:3" x14ac:dyDescent="0.15">
      <c r="A20">
        <v>19</v>
      </c>
      <c r="B20" s="187" t="s">
        <v>210</v>
      </c>
      <c r="C20">
        <v>0</v>
      </c>
    </row>
    <row r="21" spans="1:3" x14ac:dyDescent="0.15">
      <c r="A21">
        <v>20</v>
      </c>
      <c r="B21" s="187" t="s">
        <v>211</v>
      </c>
      <c r="C21">
        <v>0.8</v>
      </c>
    </row>
    <row r="22" spans="1:3" x14ac:dyDescent="0.15">
      <c r="A22">
        <v>21</v>
      </c>
      <c r="B22" s="187" t="s">
        <v>212</v>
      </c>
      <c r="C22">
        <v>0.8</v>
      </c>
    </row>
    <row r="23" spans="1:3" x14ac:dyDescent="0.15">
      <c r="A23">
        <v>22</v>
      </c>
      <c r="B23" s="187" t="s">
        <v>213</v>
      </c>
      <c r="C23">
        <v>0.8</v>
      </c>
    </row>
    <row r="24" spans="1:3" x14ac:dyDescent="0.15">
      <c r="A24">
        <v>23</v>
      </c>
      <c r="B24" s="187" t="s">
        <v>214</v>
      </c>
      <c r="C24">
        <v>0.8</v>
      </c>
    </row>
    <row r="25" spans="1:3" x14ac:dyDescent="0.15">
      <c r="A25">
        <v>24</v>
      </c>
      <c r="B25" s="187" t="s">
        <v>215</v>
      </c>
      <c r="C25">
        <v>0.8</v>
      </c>
    </row>
    <row r="26" spans="1:3" x14ac:dyDescent="0.15">
      <c r="A26">
        <v>25</v>
      </c>
      <c r="B26" s="187" t="s">
        <v>216</v>
      </c>
      <c r="C26">
        <v>0</v>
      </c>
    </row>
    <row r="27" spans="1:3" x14ac:dyDescent="0.15">
      <c r="A27">
        <v>26</v>
      </c>
      <c r="B27" s="187" t="s">
        <v>217</v>
      </c>
      <c r="C27">
        <v>0.8</v>
      </c>
    </row>
    <row r="28" spans="1:3" x14ac:dyDescent="0.15">
      <c r="A28">
        <v>27</v>
      </c>
      <c r="B28" s="187" t="s">
        <v>218</v>
      </c>
      <c r="C28">
        <v>0</v>
      </c>
    </row>
    <row r="29" spans="1:3" x14ac:dyDescent="0.15">
      <c r="A29">
        <v>28</v>
      </c>
      <c r="B29" s="187" t="s">
        <v>219</v>
      </c>
      <c r="C29">
        <v>0</v>
      </c>
    </row>
    <row r="30" spans="1:3" x14ac:dyDescent="0.15">
      <c r="A30">
        <v>29</v>
      </c>
      <c r="B30" s="187" t="s">
        <v>220</v>
      </c>
      <c r="C30">
        <v>0</v>
      </c>
    </row>
    <row r="31" spans="1:3" x14ac:dyDescent="0.15">
      <c r="A31">
        <v>30</v>
      </c>
      <c r="B31" s="187" t="s">
        <v>221</v>
      </c>
      <c r="C31">
        <v>0</v>
      </c>
    </row>
    <row r="32" spans="1:3" x14ac:dyDescent="0.15">
      <c r="A32">
        <v>31</v>
      </c>
      <c r="B32" s="187" t="s">
        <v>222</v>
      </c>
      <c r="C32">
        <v>0</v>
      </c>
    </row>
    <row r="33" spans="1:3" x14ac:dyDescent="0.15">
      <c r="A33">
        <v>32</v>
      </c>
      <c r="B33" s="187" t="s">
        <v>223</v>
      </c>
      <c r="C33">
        <v>0.8</v>
      </c>
    </row>
    <row r="34" spans="1:3" x14ac:dyDescent="0.15">
      <c r="A34">
        <v>33</v>
      </c>
      <c r="B34" s="187" t="s">
        <v>224</v>
      </c>
      <c r="C34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34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4.66406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90" t="s">
        <v>225</v>
      </c>
    </row>
    <row r="2" spans="1:3" x14ac:dyDescent="0.15">
      <c r="A2">
        <v>1</v>
      </c>
      <c r="B2" s="189" t="s">
        <v>192</v>
      </c>
      <c r="C2">
        <v>0.8</v>
      </c>
    </row>
    <row r="3" spans="1:3" x14ac:dyDescent="0.15">
      <c r="A3">
        <v>2</v>
      </c>
      <c r="B3" s="189" t="s">
        <v>193</v>
      </c>
      <c r="C3">
        <v>0.8</v>
      </c>
    </row>
    <row r="4" spans="1:3" x14ac:dyDescent="0.15">
      <c r="A4">
        <v>3</v>
      </c>
      <c r="B4" s="189" t="s">
        <v>194</v>
      </c>
      <c r="C4">
        <v>0.8</v>
      </c>
    </row>
    <row r="5" spans="1:3" x14ac:dyDescent="0.15">
      <c r="A5">
        <v>4</v>
      </c>
      <c r="B5" s="189" t="s">
        <v>195</v>
      </c>
      <c r="C5">
        <v>0.8</v>
      </c>
    </row>
    <row r="6" spans="1:3" x14ac:dyDescent="0.15">
      <c r="A6">
        <v>5</v>
      </c>
      <c r="B6" s="189" t="s">
        <v>196</v>
      </c>
      <c r="C6">
        <v>0</v>
      </c>
    </row>
    <row r="7" spans="1:3" x14ac:dyDescent="0.15">
      <c r="A7">
        <v>6</v>
      </c>
      <c r="B7" s="189" t="s">
        <v>197</v>
      </c>
      <c r="C7">
        <v>0.8</v>
      </c>
    </row>
    <row r="8" spans="1:3" x14ac:dyDescent="0.15">
      <c r="A8">
        <v>7</v>
      </c>
      <c r="B8" s="189" t="s">
        <v>198</v>
      </c>
      <c r="C8">
        <v>0.8</v>
      </c>
    </row>
    <row r="9" spans="1:3" x14ac:dyDescent="0.15">
      <c r="A9">
        <v>8</v>
      </c>
      <c r="B9" s="189" t="s">
        <v>199</v>
      </c>
      <c r="C9">
        <v>0</v>
      </c>
    </row>
    <row r="10" spans="1:3" x14ac:dyDescent="0.15">
      <c r="A10">
        <v>9</v>
      </c>
      <c r="B10" s="189" t="s">
        <v>200</v>
      </c>
      <c r="C10">
        <v>0.8</v>
      </c>
    </row>
    <row r="11" spans="1:3" x14ac:dyDescent="0.15">
      <c r="A11">
        <v>10</v>
      </c>
      <c r="B11" s="189" t="s">
        <v>201</v>
      </c>
      <c r="C11">
        <v>0</v>
      </c>
    </row>
    <row r="12" spans="1:3" x14ac:dyDescent="0.15">
      <c r="A12">
        <v>11</v>
      </c>
      <c r="B12" s="189" t="s">
        <v>202</v>
      </c>
      <c r="C12">
        <v>0.8</v>
      </c>
    </row>
    <row r="13" spans="1:3" x14ac:dyDescent="0.15">
      <c r="A13">
        <v>12</v>
      </c>
      <c r="B13" s="189" t="s">
        <v>203</v>
      </c>
      <c r="C13">
        <v>0.8</v>
      </c>
    </row>
    <row r="14" spans="1:3" x14ac:dyDescent="0.15">
      <c r="A14">
        <v>13</v>
      </c>
      <c r="B14" s="189" t="s">
        <v>204</v>
      </c>
      <c r="C14">
        <v>0.8</v>
      </c>
    </row>
    <row r="15" spans="1:3" x14ac:dyDescent="0.15">
      <c r="A15">
        <v>14</v>
      </c>
      <c r="B15" s="189" t="s">
        <v>205</v>
      </c>
      <c r="C15">
        <v>0.8</v>
      </c>
    </row>
    <row r="16" spans="1:3" x14ac:dyDescent="0.15">
      <c r="A16">
        <v>15</v>
      </c>
      <c r="B16" s="189" t="s">
        <v>206</v>
      </c>
      <c r="C16">
        <v>0.8</v>
      </c>
    </row>
    <row r="17" spans="1:3" x14ac:dyDescent="0.15">
      <c r="A17">
        <v>16</v>
      </c>
      <c r="B17" s="189" t="s">
        <v>207</v>
      </c>
      <c r="C17">
        <v>0</v>
      </c>
    </row>
    <row r="18" spans="1:3" x14ac:dyDescent="0.15">
      <c r="A18">
        <v>17</v>
      </c>
      <c r="B18" s="189" t="s">
        <v>208</v>
      </c>
      <c r="C18">
        <v>0.8</v>
      </c>
    </row>
    <row r="19" spans="1:3" x14ac:dyDescent="0.15">
      <c r="A19">
        <v>18</v>
      </c>
      <c r="B19" s="189" t="s">
        <v>209</v>
      </c>
      <c r="C19">
        <v>0.8</v>
      </c>
    </row>
    <row r="20" spans="1:3" x14ac:dyDescent="0.15">
      <c r="A20">
        <v>19</v>
      </c>
      <c r="B20" s="189" t="s">
        <v>210</v>
      </c>
      <c r="C20">
        <v>0</v>
      </c>
    </row>
    <row r="21" spans="1:3" x14ac:dyDescent="0.15">
      <c r="A21">
        <v>20</v>
      </c>
      <c r="B21" s="189" t="s">
        <v>211</v>
      </c>
      <c r="C21">
        <v>0.8</v>
      </c>
    </row>
    <row r="22" spans="1:3" x14ac:dyDescent="0.15">
      <c r="A22">
        <v>21</v>
      </c>
      <c r="B22" s="189" t="s">
        <v>212</v>
      </c>
      <c r="C22">
        <v>0.8</v>
      </c>
    </row>
    <row r="23" spans="1:3" x14ac:dyDescent="0.15">
      <c r="A23">
        <v>22</v>
      </c>
      <c r="B23" s="189" t="s">
        <v>213</v>
      </c>
      <c r="C23">
        <v>0.8</v>
      </c>
    </row>
    <row r="24" spans="1:3" x14ac:dyDescent="0.15">
      <c r="A24">
        <v>23</v>
      </c>
      <c r="B24" s="189" t="s">
        <v>214</v>
      </c>
      <c r="C24">
        <v>0.8</v>
      </c>
    </row>
    <row r="25" spans="1:3" x14ac:dyDescent="0.15">
      <c r="A25">
        <v>24</v>
      </c>
      <c r="B25" s="189" t="s">
        <v>215</v>
      </c>
      <c r="C25">
        <v>0.8</v>
      </c>
    </row>
    <row r="26" spans="1:3" x14ac:dyDescent="0.15">
      <c r="A26">
        <v>25</v>
      </c>
      <c r="B26" s="189" t="s">
        <v>216</v>
      </c>
      <c r="C26">
        <v>0</v>
      </c>
    </row>
    <row r="27" spans="1:3" x14ac:dyDescent="0.15">
      <c r="A27">
        <v>26</v>
      </c>
      <c r="B27" s="189" t="s">
        <v>217</v>
      </c>
      <c r="C27">
        <v>0.8</v>
      </c>
    </row>
    <row r="28" spans="1:3" x14ac:dyDescent="0.15">
      <c r="A28">
        <v>27</v>
      </c>
      <c r="B28" s="189" t="s">
        <v>218</v>
      </c>
      <c r="C28">
        <v>0</v>
      </c>
    </row>
    <row r="29" spans="1:3" x14ac:dyDescent="0.15">
      <c r="A29">
        <v>28</v>
      </c>
      <c r="B29" s="189" t="s">
        <v>219</v>
      </c>
      <c r="C29">
        <v>0</v>
      </c>
    </row>
    <row r="30" spans="1:3" x14ac:dyDescent="0.15">
      <c r="A30">
        <v>29</v>
      </c>
      <c r="B30" s="189" t="s">
        <v>220</v>
      </c>
      <c r="C30">
        <v>0</v>
      </c>
    </row>
    <row r="31" spans="1:3" x14ac:dyDescent="0.15">
      <c r="A31">
        <v>30</v>
      </c>
      <c r="B31" s="189" t="s">
        <v>221</v>
      </c>
      <c r="C31">
        <v>0</v>
      </c>
    </row>
    <row r="32" spans="1:3" x14ac:dyDescent="0.15">
      <c r="A32">
        <v>31</v>
      </c>
      <c r="B32" s="189" t="s">
        <v>222</v>
      </c>
      <c r="C32">
        <v>0</v>
      </c>
    </row>
    <row r="33" spans="1:3" x14ac:dyDescent="0.15">
      <c r="A33">
        <v>32</v>
      </c>
      <c r="B33" s="189" t="s">
        <v>223</v>
      </c>
      <c r="C33">
        <v>0.8</v>
      </c>
    </row>
    <row r="34" spans="1:3" x14ac:dyDescent="0.15">
      <c r="A34">
        <v>33</v>
      </c>
      <c r="B34" s="189" t="s">
        <v>224</v>
      </c>
      <c r="C3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3" sqref="K3"/>
    </sheetView>
  </sheetViews>
  <sheetFormatPr baseColWidth="10" defaultColWidth="8.83203125" defaultRowHeight="15" customHeight="1" x14ac:dyDescent="0.15"/>
  <cols>
    <col min="1" max="1" width="8.83203125" style="79"/>
    <col min="2" max="2" width="41.83203125" style="79" bestFit="1" customWidth="1"/>
    <col min="3" max="3" width="9.33203125" style="79" bestFit="1" customWidth="1"/>
    <col min="4" max="4" width="13" style="79" bestFit="1" customWidth="1"/>
    <col min="5" max="6" width="9.33203125" style="79" bestFit="1" customWidth="1"/>
    <col min="7" max="7" width="9.33203125" style="95" bestFit="1" customWidth="1"/>
    <col min="8" max="8" width="9.33203125" style="79" bestFit="1" customWidth="1"/>
    <col min="9" max="9" width="11" style="79" customWidth="1"/>
    <col min="10" max="10" width="8.83203125" style="79"/>
    <col min="15" max="16384" width="8.83203125" style="79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42">
        <v>1</v>
      </c>
      <c r="B2" s="142" t="s">
        <v>192</v>
      </c>
      <c r="C2" s="8">
        <v>4.1642422676086426</v>
      </c>
      <c r="D2" s="9">
        <v>0.23310999572277069</v>
      </c>
      <c r="E2" s="9">
        <v>5.828770250082016E-2</v>
      </c>
      <c r="F2" s="9">
        <v>5.9558563232421875</v>
      </c>
      <c r="G2" s="9">
        <v>2.7231018990278244E-2</v>
      </c>
      <c r="H2" s="9">
        <v>9.7866198047995567E-3</v>
      </c>
      <c r="I2">
        <v>3.6999999429099262E-4</v>
      </c>
      <c r="J2"/>
    </row>
    <row r="3" spans="1:10" ht="15" customHeight="1" x14ac:dyDescent="0.15">
      <c r="A3" s="143">
        <v>2</v>
      </c>
      <c r="B3" s="143" t="s">
        <v>193</v>
      </c>
      <c r="C3" s="8">
        <v>4.2921419143676758</v>
      </c>
      <c r="D3" s="9">
        <v>0.12740999460220337</v>
      </c>
      <c r="E3" s="9">
        <v>6.4316153526306152E-2</v>
      </c>
      <c r="F3" s="9">
        <v>6.9375419616699219</v>
      </c>
      <c r="G3" s="9">
        <v>0.78100967407226562</v>
      </c>
      <c r="H3" s="9">
        <v>9.2707406729459763E-3</v>
      </c>
      <c r="I3">
        <v>6.399999838322401E-3</v>
      </c>
      <c r="J3"/>
    </row>
    <row r="4" spans="1:10" ht="15" customHeight="1" x14ac:dyDescent="0.15">
      <c r="A4" s="144">
        <v>3</v>
      </c>
      <c r="B4" s="144" t="s">
        <v>194</v>
      </c>
      <c r="C4" s="8">
        <v>4.7124652862548828</v>
      </c>
      <c r="D4" s="9">
        <v>5.2399998530745506E-3</v>
      </c>
      <c r="E4" s="9">
        <v>9.3314789235591888E-2</v>
      </c>
      <c r="F4" s="9">
        <v>10.024330139160156</v>
      </c>
      <c r="G4" s="9">
        <v>4.6015143394470215E-2</v>
      </c>
      <c r="H4" s="9">
        <v>9.3088308349251747E-3</v>
      </c>
      <c r="I4">
        <v>2.2500000341096893E-5</v>
      </c>
      <c r="J4"/>
    </row>
    <row r="5" spans="1:10" ht="15" customHeight="1" x14ac:dyDescent="0.15">
      <c r="A5" s="145">
        <v>4</v>
      </c>
      <c r="B5" s="145" t="s">
        <v>195</v>
      </c>
      <c r="C5" s="8">
        <v>4.5858893394470215</v>
      </c>
      <c r="D5" s="9">
        <v>3.4529998898506165E-2</v>
      </c>
      <c r="E5" s="9">
        <v>4.3245717883110046E-2</v>
      </c>
      <c r="F5" s="9">
        <v>4.983522891998291</v>
      </c>
      <c r="G5" s="9">
        <v>9.7771706059575081E-3</v>
      </c>
      <c r="H5" s="9">
        <v>8.6777405813336372E-3</v>
      </c>
      <c r="I5">
        <v>1.4600000213249587E-5</v>
      </c>
      <c r="J5"/>
    </row>
    <row r="6" spans="1:10" ht="15" customHeight="1" x14ac:dyDescent="0.15">
      <c r="A6" s="146">
        <v>5</v>
      </c>
      <c r="B6" s="146" t="s">
        <v>196</v>
      </c>
      <c r="C6" s="8">
        <v>4.4332537651062012</v>
      </c>
      <c r="D6" s="9">
        <v>4.1700000874698162E-3</v>
      </c>
      <c r="E6" s="9">
        <v>4.6904496848583221E-2</v>
      </c>
      <c r="F6" s="9">
        <v>5.2795119285583496</v>
      </c>
      <c r="G6" s="7">
        <v>0</v>
      </c>
      <c r="H6" s="9">
        <v>8.884248323738575E-3</v>
      </c>
      <c r="I6">
        <v>0</v>
      </c>
      <c r="J6"/>
    </row>
    <row r="7" spans="1:10" ht="15" customHeight="1" x14ac:dyDescent="0.15">
      <c r="A7" s="147">
        <v>6</v>
      </c>
      <c r="B7" s="147" t="s">
        <v>197</v>
      </c>
      <c r="C7" s="8">
        <v>4.2215175628662109</v>
      </c>
      <c r="D7" s="9">
        <v>4.0199998766183853E-3</v>
      </c>
      <c r="E7" s="9">
        <v>0.30719667673110962</v>
      </c>
      <c r="F7" s="9">
        <v>69.378593444824219</v>
      </c>
      <c r="G7" s="9">
        <v>8.0976210534572601E-2</v>
      </c>
      <c r="H7" s="9">
        <v>4.4278306886553764E-3</v>
      </c>
      <c r="I7">
        <v>9.9999997473787516E-5</v>
      </c>
      <c r="J7"/>
    </row>
    <row r="8" spans="1:10" ht="15" customHeight="1" x14ac:dyDescent="0.15">
      <c r="A8" s="148">
        <v>7</v>
      </c>
      <c r="B8" s="148" t="s">
        <v>198</v>
      </c>
      <c r="C8" s="8">
        <v>4.097989559173584</v>
      </c>
      <c r="D8" s="9">
        <v>0.26782000064849854</v>
      </c>
      <c r="E8" s="9">
        <v>0.28042364120483398</v>
      </c>
      <c r="F8" s="9">
        <v>1.3786274194717407</v>
      </c>
      <c r="G8" s="9">
        <v>0.70121955871582031</v>
      </c>
      <c r="H8" s="9">
        <v>0.20340785384178162</v>
      </c>
      <c r="I8">
        <v>3.0000000260770321E-3</v>
      </c>
      <c r="J8"/>
    </row>
    <row r="9" spans="1:10" ht="15" customHeight="1" x14ac:dyDescent="0.15">
      <c r="A9" s="149">
        <v>8</v>
      </c>
      <c r="B9" s="149" t="s">
        <v>199</v>
      </c>
      <c r="C9" s="8">
        <v>3.8661713600158691</v>
      </c>
      <c r="D9" s="9">
        <v>6.038999930024147E-2</v>
      </c>
      <c r="E9" s="9">
        <v>0.93630367517471313</v>
      </c>
      <c r="F9" s="9">
        <v>4.3679752349853516</v>
      </c>
      <c r="G9" s="9">
        <v>0.94724494218826294</v>
      </c>
      <c r="H9" s="9">
        <v>0.21435645222663879</v>
      </c>
      <c r="I9">
        <v>0</v>
      </c>
      <c r="J9"/>
    </row>
    <row r="10" spans="1:10" ht="15" customHeight="1" x14ac:dyDescent="0.15">
      <c r="A10" s="150">
        <v>9</v>
      </c>
      <c r="B10" s="150" t="s">
        <v>200</v>
      </c>
      <c r="C10" s="8">
        <v>4.205620288848877</v>
      </c>
      <c r="D10" s="9">
        <v>0.23118999600410461</v>
      </c>
      <c r="E10" s="9">
        <v>0.14699770510196686</v>
      </c>
      <c r="F10" s="9">
        <v>1.0225023031234741</v>
      </c>
      <c r="G10" s="9">
        <v>0.84850084781646729</v>
      </c>
      <c r="H10" s="9">
        <v>0.14376270771026611</v>
      </c>
      <c r="I10">
        <v>9.7000002861022949E-3</v>
      </c>
      <c r="J10"/>
    </row>
    <row r="11" spans="1:10" ht="15" customHeight="1" x14ac:dyDescent="0.15">
      <c r="A11" s="151">
        <v>10</v>
      </c>
      <c r="B11" s="151" t="s">
        <v>201</v>
      </c>
      <c r="C11" s="8">
        <v>4.1260623931884766</v>
      </c>
      <c r="D11" s="9">
        <v>0.20426000654697418</v>
      </c>
      <c r="E11" s="9">
        <v>0.39123845100402832</v>
      </c>
      <c r="F11" s="9">
        <v>2.0415537357330322</v>
      </c>
      <c r="G11" s="9">
        <v>0.80481964349746704</v>
      </c>
      <c r="H11" s="9">
        <v>0.19163759052753448</v>
      </c>
      <c r="I11">
        <v>0</v>
      </c>
      <c r="J11"/>
    </row>
    <row r="12" spans="1:10" ht="15" customHeight="1" x14ac:dyDescent="0.15">
      <c r="A12" s="152">
        <v>11</v>
      </c>
      <c r="B12" s="152" t="s">
        <v>202</v>
      </c>
      <c r="C12" s="8">
        <v>3.251070499420166</v>
      </c>
      <c r="D12" s="9">
        <v>0.96362000703811646</v>
      </c>
      <c r="E12" s="9">
        <v>0.21163846552371979</v>
      </c>
      <c r="F12" s="9">
        <v>1.0156631469726562</v>
      </c>
      <c r="G12" s="9">
        <v>0.89032691717147827</v>
      </c>
      <c r="H12" s="9">
        <v>0.20837466418743134</v>
      </c>
      <c r="I12">
        <v>1.7999999690800905E-3</v>
      </c>
      <c r="J12"/>
    </row>
    <row r="13" spans="1:10" ht="15" customHeight="1" x14ac:dyDescent="0.15">
      <c r="A13" s="153">
        <v>12</v>
      </c>
      <c r="B13" s="153" t="s">
        <v>203</v>
      </c>
      <c r="C13" s="8">
        <v>3.1219911575317383</v>
      </c>
      <c r="D13" s="9">
        <v>6.3620001077651978E-2</v>
      </c>
      <c r="E13" s="9">
        <v>0.31023406982421875</v>
      </c>
      <c r="F13" s="9">
        <v>1.3058754205703735</v>
      </c>
      <c r="G13" s="9">
        <v>0.88139212131500244</v>
      </c>
      <c r="H13" s="9">
        <v>0.23756788671016693</v>
      </c>
      <c r="I13">
        <v>1.7000000225380063E-3</v>
      </c>
      <c r="J13"/>
    </row>
    <row r="14" spans="1:10" ht="15" customHeight="1" x14ac:dyDescent="0.15">
      <c r="A14" s="154">
        <v>13</v>
      </c>
      <c r="B14" s="154" t="s">
        <v>204</v>
      </c>
      <c r="C14" s="8">
        <v>4.068397045135498</v>
      </c>
      <c r="D14" s="9">
        <v>0.16060000658035278</v>
      </c>
      <c r="E14" s="9">
        <v>0.23301944136619568</v>
      </c>
      <c r="F14" s="9">
        <v>1.1906639337539673</v>
      </c>
      <c r="G14" s="9">
        <v>0.90685570240020752</v>
      </c>
      <c r="H14" s="9">
        <v>0.19570547342300415</v>
      </c>
      <c r="I14">
        <v>1.1200000299140811E-3</v>
      </c>
      <c r="J14"/>
    </row>
    <row r="15" spans="1:10" ht="15" customHeight="1" x14ac:dyDescent="0.15">
      <c r="A15" s="155">
        <v>14</v>
      </c>
      <c r="B15" s="155" t="s">
        <v>205</v>
      </c>
      <c r="C15" s="8">
        <v>3.665238618850708</v>
      </c>
      <c r="D15" s="9">
        <v>1.4322199821472168</v>
      </c>
      <c r="E15" s="9">
        <v>0.16244137287139893</v>
      </c>
      <c r="F15" s="9">
        <v>1.0175224542617798</v>
      </c>
      <c r="G15" s="9">
        <v>0.89085978269577026</v>
      </c>
      <c r="H15" s="9">
        <v>0.15964402258396149</v>
      </c>
      <c r="I15">
        <v>1.940000057220459E-2</v>
      </c>
      <c r="J15"/>
    </row>
    <row r="16" spans="1:10" ht="15" customHeight="1" x14ac:dyDescent="0.15">
      <c r="A16" s="156">
        <v>15</v>
      </c>
      <c r="B16" s="156" t="s">
        <v>206</v>
      </c>
      <c r="C16" s="8">
        <v>3.4391486644744873</v>
      </c>
      <c r="D16" s="9">
        <v>0.22156000137329102</v>
      </c>
      <c r="E16" s="9">
        <v>0.18005295097827911</v>
      </c>
      <c r="F16" s="9">
        <v>1.0775468349456787</v>
      </c>
      <c r="G16" s="9">
        <v>0.93504446744918823</v>
      </c>
      <c r="H16" s="9">
        <v>0.16709524393081665</v>
      </c>
      <c r="I16">
        <v>1.9000000320374966E-3</v>
      </c>
      <c r="J16"/>
    </row>
    <row r="17" spans="1:10" ht="15" customHeight="1" x14ac:dyDescent="0.15">
      <c r="A17" s="157">
        <v>16</v>
      </c>
      <c r="B17" s="157" t="s">
        <v>207</v>
      </c>
      <c r="C17" s="8">
        <v>3.435537576675415</v>
      </c>
      <c r="D17" s="9">
        <v>0.24092000722885132</v>
      </c>
      <c r="E17" s="9">
        <v>0.41787871718406677</v>
      </c>
      <c r="F17" s="9">
        <v>1.4036659002304077</v>
      </c>
      <c r="G17" s="9">
        <v>0.94959497451782227</v>
      </c>
      <c r="H17" s="9">
        <v>0.2977052628993988</v>
      </c>
      <c r="I17">
        <v>0</v>
      </c>
      <c r="J17"/>
    </row>
    <row r="18" spans="1:10" ht="15" customHeight="1" x14ac:dyDescent="0.15">
      <c r="A18" s="158">
        <v>17</v>
      </c>
      <c r="B18" s="158" t="s">
        <v>208</v>
      </c>
      <c r="C18" s="8">
        <v>3.3456072807312012</v>
      </c>
      <c r="D18" s="9">
        <v>16.673690795898438</v>
      </c>
      <c r="E18" s="9">
        <v>0.23443450033664703</v>
      </c>
      <c r="F18" s="9">
        <v>0.85360592603683472</v>
      </c>
      <c r="G18" s="9">
        <v>0.77889323234558105</v>
      </c>
      <c r="H18" s="9">
        <v>0.27464020252227783</v>
      </c>
      <c r="I18">
        <v>3.0899999663233757E-2</v>
      </c>
      <c r="J18"/>
    </row>
    <row r="19" spans="1:10" ht="15" customHeight="1" x14ac:dyDescent="0.15">
      <c r="A19" s="159">
        <v>18</v>
      </c>
      <c r="B19" s="159" t="s">
        <v>209</v>
      </c>
      <c r="C19" s="8">
        <v>3.2127747535705566</v>
      </c>
      <c r="D19" s="9">
        <v>0.12178000062704086</v>
      </c>
      <c r="E19" s="9">
        <v>1.1630116701126099</v>
      </c>
      <c r="F19" s="9">
        <v>4.1834292411804199</v>
      </c>
      <c r="G19" s="9">
        <v>0.93194454908370972</v>
      </c>
      <c r="H19" s="9">
        <v>0.27800437808036804</v>
      </c>
      <c r="I19">
        <v>6.010000106471125E-6</v>
      </c>
      <c r="J19"/>
    </row>
    <row r="20" spans="1:10" ht="15" customHeight="1" x14ac:dyDescent="0.15">
      <c r="A20" s="160">
        <v>19</v>
      </c>
      <c r="B20" s="160" t="s">
        <v>210</v>
      </c>
      <c r="C20" s="8">
        <v>3.2836580276489258</v>
      </c>
      <c r="D20" s="9">
        <v>2.0570000633597374E-2</v>
      </c>
      <c r="E20" s="9">
        <v>1.0442652702331543</v>
      </c>
      <c r="F20" s="9">
        <v>4.6990036964416504</v>
      </c>
      <c r="G20" s="9">
        <v>0.91717034578323364</v>
      </c>
      <c r="H20" s="9">
        <v>0.22223120927810669</v>
      </c>
      <c r="I20">
        <v>0</v>
      </c>
      <c r="J20"/>
    </row>
    <row r="21" spans="1:10" ht="15" customHeight="1" x14ac:dyDescent="0.15">
      <c r="A21" s="161">
        <v>20</v>
      </c>
      <c r="B21" s="161" t="s">
        <v>211</v>
      </c>
      <c r="C21" s="8">
        <v>3.6488230228424072</v>
      </c>
      <c r="D21" s="9">
        <v>3.9209999144077301E-2</v>
      </c>
      <c r="E21" s="9">
        <v>0.21007104218006134</v>
      </c>
      <c r="F21" s="9">
        <v>1.0368343591690063</v>
      </c>
      <c r="G21" s="9">
        <v>0.90297091007232666</v>
      </c>
      <c r="H21" s="9">
        <v>0.20260810852050781</v>
      </c>
      <c r="I21">
        <v>4.7099998482735828E-5</v>
      </c>
      <c r="J21"/>
    </row>
    <row r="22" spans="1:10" ht="15" customHeight="1" x14ac:dyDescent="0.15">
      <c r="A22" s="162">
        <v>21</v>
      </c>
      <c r="B22" s="162" t="s">
        <v>212</v>
      </c>
      <c r="C22" s="8">
        <v>3.4702005386352539</v>
      </c>
      <c r="D22" s="9">
        <v>0.55848997831344604</v>
      </c>
      <c r="E22" s="9">
        <v>0.35795632004737854</v>
      </c>
      <c r="F22" s="9">
        <v>1.6706843376159668</v>
      </c>
      <c r="G22" s="9">
        <v>0.94924777746200562</v>
      </c>
      <c r="H22" s="9">
        <v>0.21425729990005493</v>
      </c>
      <c r="I22">
        <v>2.8100000694394112E-2</v>
      </c>
      <c r="J22"/>
    </row>
    <row r="23" spans="1:10" ht="15" customHeight="1" x14ac:dyDescent="0.15">
      <c r="A23" s="163">
        <v>22</v>
      </c>
      <c r="B23" s="163" t="s">
        <v>213</v>
      </c>
      <c r="C23" s="8">
        <v>3.3517117500305176</v>
      </c>
      <c r="D23" s="9">
        <v>1.1486300230026245</v>
      </c>
      <c r="E23" s="9">
        <v>0.33283364772796631</v>
      </c>
      <c r="F23" s="9">
        <v>1.9794358015060425</v>
      </c>
      <c r="G23" s="9">
        <v>0.94982284307479858</v>
      </c>
      <c r="H23" s="9">
        <v>0.16814571619033813</v>
      </c>
      <c r="I23">
        <v>0.14579999446868896</v>
      </c>
      <c r="J23"/>
    </row>
    <row r="24" spans="1:10" ht="15" customHeight="1" x14ac:dyDescent="0.15">
      <c r="A24" s="164">
        <v>23</v>
      </c>
      <c r="B24" s="164" t="s">
        <v>214</v>
      </c>
      <c r="C24" s="8">
        <v>2.6365187168121338</v>
      </c>
      <c r="D24" s="9">
        <v>0.61526000499725342</v>
      </c>
      <c r="E24" s="9">
        <v>0.95193088054656982</v>
      </c>
      <c r="F24" s="9">
        <v>4.2816925048828125</v>
      </c>
      <c r="G24" s="9">
        <v>0.95028227567672729</v>
      </c>
      <c r="H24" s="9">
        <v>0.22232584655284882</v>
      </c>
      <c r="I24">
        <v>0.15700000524520874</v>
      </c>
      <c r="J24"/>
    </row>
    <row r="25" spans="1:10" ht="15" customHeight="1" x14ac:dyDescent="0.15">
      <c r="A25" s="165">
        <v>24</v>
      </c>
      <c r="B25" s="165" t="s">
        <v>215</v>
      </c>
      <c r="C25" s="8">
        <v>2.9532387256622314</v>
      </c>
      <c r="D25" s="9">
        <v>0.8621399998664856</v>
      </c>
      <c r="E25" s="9">
        <v>0.27073618769645691</v>
      </c>
      <c r="F25" s="9">
        <v>1.6972888708114624</v>
      </c>
      <c r="G25" s="9">
        <v>0.95018434524536133</v>
      </c>
      <c r="H25" s="9">
        <v>0.15951097011566162</v>
      </c>
      <c r="I25">
        <v>6.5800003707408905E-2</v>
      </c>
      <c r="J25"/>
    </row>
    <row r="26" spans="1:10" ht="15" customHeight="1" x14ac:dyDescent="0.15">
      <c r="A26" s="166">
        <v>25</v>
      </c>
      <c r="B26" s="166" t="s">
        <v>216</v>
      </c>
      <c r="C26" s="8">
        <v>2</v>
      </c>
      <c r="D26" s="9">
        <v>112.30000305175781</v>
      </c>
      <c r="E26" s="9">
        <v>0.29244247078895569</v>
      </c>
      <c r="F26" s="9">
        <v>0.99732857942581177</v>
      </c>
      <c r="G26" s="9">
        <v>6.6796690225601196E-3</v>
      </c>
      <c r="H26" s="9">
        <v>0.29322579503059387</v>
      </c>
      <c r="I26">
        <v>0</v>
      </c>
      <c r="J26"/>
    </row>
    <row r="27" spans="1:10" ht="15" customHeight="1" x14ac:dyDescent="0.15">
      <c r="A27" s="167">
        <v>26</v>
      </c>
      <c r="B27" s="167" t="s">
        <v>217</v>
      </c>
      <c r="C27" s="8">
        <v>2</v>
      </c>
      <c r="D27" s="9">
        <v>42.099998474121094</v>
      </c>
      <c r="E27" s="9">
        <v>1.6940081119537354</v>
      </c>
      <c r="F27" s="9">
        <v>5.7834649085998535</v>
      </c>
      <c r="G27" s="9">
        <v>8.8483924046158791E-3</v>
      </c>
      <c r="H27" s="9">
        <v>0.29290539026260376</v>
      </c>
      <c r="I27">
        <v>4.4999998062849045E-3</v>
      </c>
      <c r="J27"/>
    </row>
    <row r="28" spans="1:10" ht="15" customHeight="1" x14ac:dyDescent="0.15">
      <c r="A28" s="168">
        <v>27</v>
      </c>
      <c r="B28" s="168" t="s">
        <v>218</v>
      </c>
      <c r="C28" s="8">
        <v>2.1554014682769775</v>
      </c>
      <c r="D28" s="9">
        <v>10.5</v>
      </c>
      <c r="E28" s="9">
        <v>1.2124857902526855</v>
      </c>
      <c r="F28" s="9">
        <v>6.0903544425964355</v>
      </c>
      <c r="G28" s="9">
        <v>0.72707372903823853</v>
      </c>
      <c r="H28" s="9">
        <v>0.19908295571804047</v>
      </c>
      <c r="I28">
        <v>0</v>
      </c>
      <c r="J28"/>
    </row>
    <row r="29" spans="1:10" ht="15" customHeight="1" x14ac:dyDescent="0.15">
      <c r="A29" s="169">
        <v>28</v>
      </c>
      <c r="B29" s="169" t="s">
        <v>219</v>
      </c>
      <c r="C29" s="8">
        <v>2</v>
      </c>
      <c r="D29" s="9">
        <v>7.8000001907348633</v>
      </c>
      <c r="E29" s="9">
        <v>1.1809239387512207</v>
      </c>
      <c r="F29" s="9">
        <v>4.0250039100646973</v>
      </c>
      <c r="G29" s="9">
        <v>0.11994992196559906</v>
      </c>
      <c r="H29" s="9">
        <v>0.29339697957038879</v>
      </c>
      <c r="I29">
        <v>0</v>
      </c>
      <c r="J29"/>
    </row>
    <row r="30" spans="1:10" ht="15" customHeight="1" x14ac:dyDescent="0.15">
      <c r="A30" s="170">
        <v>29</v>
      </c>
      <c r="B30" s="170" t="s">
        <v>220</v>
      </c>
      <c r="C30" s="8">
        <v>2.5144531726837158</v>
      </c>
      <c r="D30" s="9">
        <v>9.6424999237060547</v>
      </c>
      <c r="E30" s="9">
        <v>2.5167741775512695</v>
      </c>
      <c r="F30" s="9">
        <v>14.545787811279297</v>
      </c>
      <c r="G30" s="9">
        <v>0.80120176076889038</v>
      </c>
      <c r="H30" s="9">
        <v>0.17302426695823669</v>
      </c>
      <c r="I30">
        <v>0</v>
      </c>
      <c r="J30"/>
    </row>
    <row r="31" spans="1:10" ht="15" customHeight="1" x14ac:dyDescent="0.15">
      <c r="A31" s="171">
        <v>30</v>
      </c>
      <c r="B31" s="171" t="s">
        <v>221</v>
      </c>
      <c r="C31" s="8">
        <v>2.1155734062194824</v>
      </c>
      <c r="D31" s="9">
        <v>50</v>
      </c>
      <c r="E31" s="9">
        <v>6.4293169975280762</v>
      </c>
      <c r="F31" s="9">
        <v>24.479925155639648</v>
      </c>
      <c r="G31" s="9">
        <v>0.59018927812576294</v>
      </c>
      <c r="H31" s="9">
        <v>0.26263630390167236</v>
      </c>
      <c r="I31">
        <v>0</v>
      </c>
      <c r="J31"/>
    </row>
    <row r="32" spans="1:10" ht="15" customHeight="1" x14ac:dyDescent="0.15">
      <c r="A32" s="199">
        <v>31</v>
      </c>
      <c r="B32" s="199" t="s">
        <v>222</v>
      </c>
      <c r="C32" s="8">
        <v>1</v>
      </c>
      <c r="D32" s="9">
        <v>23.411239624023438</v>
      </c>
      <c r="E32" s="9">
        <v>55.974605560302734</v>
      </c>
      <c r="F32" s="10"/>
      <c r="G32" s="9">
        <v>0.66666370630264282</v>
      </c>
      <c r="H32" s="10"/>
      <c r="I32">
        <v>0</v>
      </c>
      <c r="J32"/>
    </row>
    <row r="33" spans="1:10" ht="15" customHeight="1" x14ac:dyDescent="0.15">
      <c r="A33" s="200">
        <v>32</v>
      </c>
      <c r="B33" s="200" t="s">
        <v>223</v>
      </c>
      <c r="C33" s="8">
        <v>1</v>
      </c>
      <c r="D33" s="9">
        <v>132.60801696777344</v>
      </c>
      <c r="E33" s="10"/>
      <c r="F33" s="10"/>
      <c r="G33" s="9">
        <v>0.52755844593048096</v>
      </c>
      <c r="H33" s="10"/>
      <c r="I33">
        <v>55.783901214599609</v>
      </c>
      <c r="J33"/>
    </row>
    <row r="34" spans="1:10" ht="15" customHeight="1" x14ac:dyDescent="0.15">
      <c r="A34" s="201">
        <v>33</v>
      </c>
      <c r="B34" s="201" t="s">
        <v>224</v>
      </c>
      <c r="C34" s="8">
        <v>1</v>
      </c>
      <c r="D34" s="9">
        <v>5</v>
      </c>
      <c r="E34" s="10"/>
      <c r="F34" s="10"/>
      <c r="G34" s="7">
        <v>0</v>
      </c>
      <c r="H34" s="10"/>
      <c r="I34">
        <v>0</v>
      </c>
      <c r="J34"/>
    </row>
    <row r="35" spans="1:10" ht="15" customHeight="1" x14ac:dyDescent="0.15">
      <c r="A35" s="202">
        <v>34</v>
      </c>
      <c r="B35" s="202" t="s">
        <v>225</v>
      </c>
      <c r="C35" s="8">
        <v>2.0178697109222412</v>
      </c>
      <c r="D35" s="10"/>
      <c r="E35" s="10"/>
      <c r="F35" s="10"/>
      <c r="G35" s="10"/>
      <c r="H35" s="10"/>
      <c r="I35">
        <v>56.261581420898438</v>
      </c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9" bestFit="1" customWidth="1"/>
    <col min="2" max="4" width="9.5" style="79" bestFit="1" customWidth="1"/>
    <col min="5" max="7" width="9" style="79" bestFit="1" customWidth="1"/>
    <col min="8" max="16" width="12.6640625" style="79" bestFit="1" customWidth="1"/>
    <col min="17" max="17" width="12.33203125" style="79" bestFit="1" customWidth="1"/>
    <col min="18" max="18" width="8.83203125" style="79"/>
    <col min="19" max="21" width="9.33203125" style="79" bestFit="1" customWidth="1"/>
    <col min="22" max="23" width="8.83203125" style="79"/>
    <col min="24" max="24" width="9.33203125" style="79" bestFit="1" customWidth="1"/>
    <col min="25" max="27" width="8.83203125" style="79"/>
    <col min="28" max="58" width="9" style="79" bestFit="1" customWidth="1"/>
    <col min="59" max="59" width="12.33203125" style="79" bestFit="1" customWidth="1"/>
    <col min="60" max="60" width="9" style="79" bestFit="1" customWidth="1"/>
    <col min="61" max="61" width="11.33203125" style="79" bestFit="1" customWidth="1"/>
    <col min="62" max="77" width="9" style="79" bestFit="1" customWidth="1"/>
    <col min="78" max="78" width="12.33203125" style="79" bestFit="1" customWidth="1"/>
    <col min="79" max="79" width="9" style="79" bestFit="1" customWidth="1"/>
    <col min="80" max="80" width="12.33203125" style="79" bestFit="1" customWidth="1"/>
    <col min="81" max="107" width="9" style="79" bestFit="1" customWidth="1"/>
    <col min="108" max="108" width="11.33203125" style="79" bestFit="1" customWidth="1"/>
    <col min="109" max="124" width="9" style="79" bestFit="1" customWidth="1"/>
    <col min="125" max="125" width="10.33203125" style="79" bestFit="1" customWidth="1"/>
    <col min="126" max="129" width="9.33203125" style="79" bestFit="1" customWidth="1"/>
    <col min="130" max="130" width="9" style="79" bestFit="1" customWidth="1"/>
    <col min="131" max="134" width="9.33203125" style="79" bestFit="1" customWidth="1"/>
    <col min="135" max="165" width="9" style="79" bestFit="1" customWidth="1"/>
    <col min="166" max="166" width="12.33203125" style="79" bestFit="1" customWidth="1"/>
    <col min="167" max="170" width="9" style="79" bestFit="1" customWidth="1"/>
    <col min="171" max="176" width="8.83203125" style="79"/>
    <col min="177" max="177" width="13.83203125" style="79" bestFit="1" customWidth="1"/>
    <col min="178" max="16384" width="8.83203125" style="79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230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 t="s">
        <v>221</v>
      </c>
      <c r="AI1" t="s">
        <v>222</v>
      </c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5.828770250082016E-2</v>
      </c>
      <c r="C2">
        <v>5.6700468063354492E-2</v>
      </c>
      <c r="D2" s="23">
        <v>1.5872335061430931E-3</v>
      </c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6.4316153526306152E-2</v>
      </c>
      <c r="C3">
        <v>1.4084615744650364E-2</v>
      </c>
      <c r="D3" s="203">
        <v>5.0231534987688065E-2</v>
      </c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9.3314789235591888E-2</v>
      </c>
      <c r="C4">
        <v>8.9020892977714539E-2</v>
      </c>
      <c r="D4" s="204">
        <v>4.293893463909626E-3</v>
      </c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4.3245717883110046E-2</v>
      </c>
      <c r="C5">
        <v>4.2822897434234619E-2</v>
      </c>
      <c r="D5" s="15">
        <v>4.2282076901756227E-4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4.6904496848583221E-2</v>
      </c>
      <c r="C6">
        <v>4.6904496848583221E-2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0.30719667673110962</v>
      </c>
      <c r="C7">
        <v>0.28232106566429138</v>
      </c>
      <c r="D7" s="205">
        <v>2.4875622242689133E-2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0.28042364120483398</v>
      </c>
      <c r="C8">
        <v>8.3785101771354675E-2</v>
      </c>
      <c r="D8" s="206">
        <v>1.1201553046703339E-2</v>
      </c>
      <c r="E8" s="220">
        <v>9.3311378732323647E-3</v>
      </c>
      <c r="F8" s="105">
        <v>4.8185788094997406E-2</v>
      </c>
      <c r="G8" s="226">
        <v>2.9772507026791573E-2</v>
      </c>
      <c r="H8" s="238">
        <v>9.4505980610847473E-2</v>
      </c>
      <c r="I8" s="17">
        <v>3.6415865179151297E-3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0.93630367517471313</v>
      </c>
      <c r="C9">
        <v>4.9394752830266953E-2</v>
      </c>
      <c r="D9"/>
      <c r="E9"/>
      <c r="F9" s="104">
        <v>0.14636731147766113</v>
      </c>
      <c r="G9" s="66">
        <v>8.6719498038291931E-2</v>
      </c>
      <c r="H9" s="233">
        <v>0.27380913496017456</v>
      </c>
      <c r="I9" s="16">
        <v>1.465517096221447E-2</v>
      </c>
      <c r="J9" s="18">
        <v>1.0160361416637897E-2</v>
      </c>
      <c r="K9" s="231">
        <v>0.23047447204589844</v>
      </c>
      <c r="L9" s="12">
        <v>4.3684123083949089E-3</v>
      </c>
      <c r="M9" s="12">
        <v>3.9148195646703243E-3</v>
      </c>
      <c r="N9" s="15">
        <v>8.2995742559432983E-3</v>
      </c>
      <c r="O9" s="63">
        <v>1.9449802115559578E-2</v>
      </c>
      <c r="P9"/>
      <c r="Q9" s="19">
        <v>1.5832142904400826E-2</v>
      </c>
      <c r="R9" s="213">
        <v>2.172074094414711E-2</v>
      </c>
      <c r="S9" s="63">
        <v>1.976662315428257E-2</v>
      </c>
      <c r="T9" s="141">
        <v>2.8004541993141174E-2</v>
      </c>
      <c r="U9"/>
      <c r="V9"/>
      <c r="W9"/>
      <c r="X9" s="12">
        <v>3.3663138747215271E-3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0.14699770510196686</v>
      </c>
      <c r="C10">
        <v>2.2270027548074722E-2</v>
      </c>
      <c r="D10" s="207">
        <v>4.1956834495067596E-2</v>
      </c>
      <c r="E10"/>
      <c r="F10" s="236">
        <v>7.7613294124603271E-2</v>
      </c>
      <c r="G10" s="27">
        <v>5.1575503312051296E-3</v>
      </c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0.39123845100402832</v>
      </c>
      <c r="C11">
        <v>7.6362058520317078E-2</v>
      </c>
      <c r="D11"/>
      <c r="E11"/>
      <c r="F11" s="241">
        <v>0.22372592985630035</v>
      </c>
      <c r="G11" s="137">
        <v>5.096910148859024E-2</v>
      </c>
      <c r="H11" s="22">
        <v>2.4428919423371553E-3</v>
      </c>
      <c r="I11"/>
      <c r="J11" s="17">
        <v>5.0520766526460648E-3</v>
      </c>
      <c r="K11" s="16">
        <v>6.3260290771722794E-3</v>
      </c>
      <c r="L11"/>
      <c r="M11" s="141">
        <v>1.1458521708846092E-2</v>
      </c>
      <c r="N11" s="21">
        <v>2.8627552092075348E-3</v>
      </c>
      <c r="O11" s="213">
        <v>9.5839723944664001E-3</v>
      </c>
      <c r="P11"/>
      <c r="Q11" s="14">
        <v>4.6808147453702986E-4</v>
      </c>
      <c r="R11"/>
      <c r="S11" s="22">
        <v>1.9869781099259853E-3</v>
      </c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0.21163846552371979</v>
      </c>
      <c r="C12">
        <v>2.3211043328046799E-2</v>
      </c>
      <c r="D12" s="15">
        <v>1.8679562490433455E-3</v>
      </c>
      <c r="E12"/>
      <c r="F12" s="242">
        <v>5.760536715388298E-2</v>
      </c>
      <c r="G12"/>
      <c r="H12" s="66">
        <v>1.9552301615476608E-2</v>
      </c>
      <c r="I12"/>
      <c r="J12" s="22">
        <v>1.0708963964134455E-3</v>
      </c>
      <c r="K12" s="67">
        <v>1.0727505199611187E-2</v>
      </c>
      <c r="L12"/>
      <c r="M12" s="11">
        <v>7.360244489973411E-5</v>
      </c>
      <c r="N12"/>
      <c r="O12" s="28">
        <v>1.0157646611332893E-2</v>
      </c>
      <c r="P12"/>
      <c r="Q12" s="11">
        <v>9.9219949333928525E-5</v>
      </c>
      <c r="R12"/>
      <c r="S12" s="17">
        <v>2.75007588788867E-3</v>
      </c>
      <c r="T12" s="248">
        <v>8.4522850811481476E-2</v>
      </c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0.31023406982421875</v>
      </c>
      <c r="C13">
        <v>3.6796204745769501E-2</v>
      </c>
      <c r="D13" s="208">
        <v>2.6721157133579254E-2</v>
      </c>
      <c r="E13"/>
      <c r="F13" s="221">
        <v>4.7238312661647797E-2</v>
      </c>
      <c r="G13" s="223">
        <v>8.3885453641414642E-2</v>
      </c>
      <c r="H13" s="205">
        <v>2.4881912395358086E-2</v>
      </c>
      <c r="I13" s="20">
        <v>6.0904431156814098E-3</v>
      </c>
      <c r="J13" s="215">
        <v>1.6220327466726303E-2</v>
      </c>
      <c r="K13" s="219">
        <v>3.1336218118667603E-2</v>
      </c>
      <c r="L13" s="14">
        <v>4.1466267430223525E-4</v>
      </c>
      <c r="M13" s="27">
        <v>1.1148189194500446E-2</v>
      </c>
      <c r="N13"/>
      <c r="O13" s="20">
        <v>6.1541097238659859E-3</v>
      </c>
      <c r="P13"/>
      <c r="Q13" s="24">
        <v>9.6181388944387436E-3</v>
      </c>
      <c r="R13"/>
      <c r="S13"/>
      <c r="T13" s="18">
        <v>3.7215841002762318E-3</v>
      </c>
      <c r="U13"/>
      <c r="V13"/>
      <c r="W13"/>
      <c r="X13" s="20">
        <v>6.0073626227676868E-3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0.23301944136619568</v>
      </c>
      <c r="C14">
        <v>2.1704431623220444E-2</v>
      </c>
      <c r="D14" s="141">
        <v>6.9738477468490601E-3</v>
      </c>
      <c r="E14"/>
      <c r="F14"/>
      <c r="G14"/>
      <c r="H14" s="234">
        <v>0.10531678050756454</v>
      </c>
      <c r="I14" s="11">
        <v>1.7820819630287588E-4</v>
      </c>
      <c r="J14" s="23">
        <v>6.4255115576088428E-3</v>
      </c>
      <c r="K14" s="12">
        <v>6.8963959347456694E-4</v>
      </c>
      <c r="L14"/>
      <c r="M14" s="21">
        <v>1.7664952902123332E-3</v>
      </c>
      <c r="N14"/>
      <c r="O14"/>
      <c r="P14"/>
      <c r="Q14" s="228">
        <v>5.6318402290344238E-2</v>
      </c>
      <c r="R14"/>
      <c r="S14" s="103">
        <v>2.8987890109419823E-2</v>
      </c>
      <c r="T14"/>
      <c r="U14"/>
      <c r="V14"/>
      <c r="W14"/>
      <c r="X14" s="20">
        <v>4.6582408249378204E-3</v>
      </c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0.16244137287139893</v>
      </c>
      <c r="C15">
        <v>1.7728887498378754E-2</v>
      </c>
      <c r="D15" s="209">
        <v>1.3545406050980091E-2</v>
      </c>
      <c r="E15" s="15">
        <v>1.4540744014084339E-3</v>
      </c>
      <c r="F15" s="244">
        <v>4.3077927082777023E-2</v>
      </c>
      <c r="G15" s="220">
        <v>5.2886176854372025E-3</v>
      </c>
      <c r="H15" s="11">
        <v>4.8055138904601336E-5</v>
      </c>
      <c r="I15" s="11">
        <v>6.6098051320295781E-5</v>
      </c>
      <c r="J15"/>
      <c r="K15" s="23">
        <v>4.3821344152092934E-3</v>
      </c>
      <c r="L15" s="14">
        <v>2.5787364575080574E-4</v>
      </c>
      <c r="M15" s="138">
        <v>1.629236713051796E-2</v>
      </c>
      <c r="N15" s="21">
        <v>1.2248392449691892E-3</v>
      </c>
      <c r="O15" s="11">
        <v>6.8342233134899288E-5</v>
      </c>
      <c r="P15"/>
      <c r="Q15" s="106">
        <v>3.141571581363678E-2</v>
      </c>
      <c r="R15" s="74">
        <v>2.2998308762907982E-2</v>
      </c>
      <c r="S15" s="23">
        <v>4.3173525482416153E-3</v>
      </c>
      <c r="T15"/>
      <c r="U15"/>
      <c r="V15"/>
      <c r="W15"/>
      <c r="X15" s="14">
        <v>2.7536685229279101E-4</v>
      </c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0.18005295097827911</v>
      </c>
      <c r="C16">
        <v>1.1695435270667076E-2</v>
      </c>
      <c r="D16" s="28">
        <v>8.5755549371242523E-3</v>
      </c>
      <c r="E16" s="232">
        <v>7.1436241269111633E-2</v>
      </c>
      <c r="F16"/>
      <c r="G16" s="15">
        <v>1.7781014321371913E-3</v>
      </c>
      <c r="H16" s="237">
        <v>8.3795309066772461E-2</v>
      </c>
      <c r="I16" s="16">
        <v>2.7723158709704876E-3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0.41787871718406677</v>
      </c>
      <c r="C17">
        <v>2.1063188090920448E-2</v>
      </c>
      <c r="D17"/>
      <c r="E17" s="225">
        <v>3.0542746186256409E-2</v>
      </c>
      <c r="F17" s="224">
        <v>2.8617443516850471E-2</v>
      </c>
      <c r="G17" s="25">
        <v>1.0421774350106716E-2</v>
      </c>
      <c r="H17" s="230">
        <v>3.9923492819070816E-2</v>
      </c>
      <c r="I17" s="22">
        <v>2.1840115077793598E-3</v>
      </c>
      <c r="J17" s="28">
        <v>2.0027408376336098E-2</v>
      </c>
      <c r="K17" s="229">
        <v>3.7543926388025284E-2</v>
      </c>
      <c r="L17" s="141">
        <v>1.204504631459713E-2</v>
      </c>
      <c r="M17" s="239">
        <v>0.12668642401695251</v>
      </c>
      <c r="N17" s="230">
        <v>4.0047798305749893E-2</v>
      </c>
      <c r="O17"/>
      <c r="P17" s="15">
        <v>3.9316141046583652E-3</v>
      </c>
      <c r="Q17" s="216">
        <v>2.0477721467614174E-2</v>
      </c>
      <c r="R17" s="16">
        <v>6.654523778706789E-3</v>
      </c>
      <c r="S17" s="14">
        <v>1.0900523047894239E-3</v>
      </c>
      <c r="T17" s="220">
        <v>1.4039467088878155E-2</v>
      </c>
      <c r="U17"/>
      <c r="V17"/>
      <c r="W17"/>
      <c r="X17" s="22">
        <v>2.582071116194129E-3</v>
      </c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0.23443450033664703</v>
      </c>
      <c r="C18">
        <v>5.1835056394338608E-2</v>
      </c>
      <c r="D18" s="21">
        <v>1.8532190006226301E-3</v>
      </c>
      <c r="E18" s="254">
        <v>4.7179132699966431E-2</v>
      </c>
      <c r="F18" s="253">
        <v>3.061995655298233E-2</v>
      </c>
      <c r="G18" s="11">
        <v>1.6696703823981807E-5</v>
      </c>
      <c r="H18" s="22">
        <v>1.4467912260442972E-3</v>
      </c>
      <c r="I18" s="11">
        <v>9.0974011982325464E-5</v>
      </c>
      <c r="J18" s="216">
        <v>1.1688875034451485E-2</v>
      </c>
      <c r="K18" s="13">
        <v>8.6707649752497673E-3</v>
      </c>
      <c r="L18" s="63">
        <v>5.0693158991634846E-3</v>
      </c>
      <c r="M18" s="20">
        <v>4.7698095440864563E-3</v>
      </c>
      <c r="N18" s="69">
        <v>1.6558052971959114E-2</v>
      </c>
      <c r="O18" s="141">
        <v>6.6805067472159863E-3</v>
      </c>
      <c r="P18" s="11">
        <v>1.1560993152670562E-4</v>
      </c>
      <c r="Q18" s="12">
        <v>1.1388126295059919E-3</v>
      </c>
      <c r="R18" s="72">
        <v>1.8321318551898003E-2</v>
      </c>
      <c r="S18" s="12">
        <v>1.0252003557980061E-3</v>
      </c>
      <c r="T18" s="14">
        <v>2.3125791631173342E-4</v>
      </c>
      <c r="U18" s="252">
        <v>1.7328202724456787E-2</v>
      </c>
      <c r="V18"/>
      <c r="W18" s="11">
        <v>8.7535714555997401E-5</v>
      </c>
      <c r="X18" s="11">
        <v>1.8069084035232663E-4</v>
      </c>
      <c r="Y18" s="206">
        <v>9.0767191722989082E-3</v>
      </c>
      <c r="Z18" s="14">
        <v>4.4999094097875059E-4</v>
      </c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1.1630116701126099</v>
      </c>
      <c r="C19">
        <v>7.9149283468723297E-2</v>
      </c>
      <c r="D19" s="11">
        <v>4.9351288907928392E-5</v>
      </c>
      <c r="E19" s="247">
        <v>0.60537385940551758</v>
      </c>
      <c r="F19"/>
      <c r="G19"/>
      <c r="H19" s="26">
        <v>8.7882816791534424E-2</v>
      </c>
      <c r="I19"/>
      <c r="J19" s="235">
        <v>0.14061896502971649</v>
      </c>
      <c r="K19" s="209">
        <v>9.8526686429977417E-2</v>
      </c>
      <c r="L19" s="69">
        <v>8.2751527428627014E-2</v>
      </c>
      <c r="M19" s="11">
        <v>3.8826724630780518E-4</v>
      </c>
      <c r="N19" s="18">
        <v>1.4062009751796722E-2</v>
      </c>
      <c r="O19" s="14">
        <v>3.2150144688785076E-3</v>
      </c>
      <c r="P19" s="14">
        <v>3.0702617950737476E-3</v>
      </c>
      <c r="Q19" s="14">
        <v>3.2974488567560911E-3</v>
      </c>
      <c r="R19" s="16">
        <v>1.7951983958482742E-2</v>
      </c>
      <c r="S19"/>
      <c r="T19"/>
      <c r="U19"/>
      <c r="V19"/>
      <c r="W19"/>
      <c r="X19" s="14">
        <v>2.7377104852348566E-3</v>
      </c>
      <c r="Y19" s="14">
        <v>1.5323705738410354E-3</v>
      </c>
      <c r="Z19" s="20">
        <v>2.240406908094883E-2</v>
      </c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1.0442652702331543</v>
      </c>
      <c r="C20">
        <v>8.6496129631996155E-2</v>
      </c>
      <c r="D20"/>
      <c r="E20"/>
      <c r="F20" s="216">
        <v>5.1565125584602356E-2</v>
      </c>
      <c r="G20" s="211">
        <v>0.2808956503868103</v>
      </c>
      <c r="H20"/>
      <c r="I20"/>
      <c r="J20" s="227">
        <v>0.437945157289505</v>
      </c>
      <c r="K20" s="65">
        <v>6.6407009959220886E-2</v>
      </c>
      <c r="L20"/>
      <c r="M20"/>
      <c r="N20"/>
      <c r="O20" s="213">
        <v>2.3792201653122902E-2</v>
      </c>
      <c r="P20"/>
      <c r="Q20" s="12">
        <v>4.6480465680360794E-3</v>
      </c>
      <c r="R20"/>
      <c r="S20" s="213">
        <v>2.5533827021718025E-2</v>
      </c>
      <c r="T20" s="25">
        <v>2.6309287175536156E-2</v>
      </c>
      <c r="U20"/>
      <c r="V20"/>
      <c r="W20" s="12">
        <v>4.6990038827061653E-3</v>
      </c>
      <c r="X20" s="27">
        <v>3.5973835736513138E-2</v>
      </c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0.21007104218006134</v>
      </c>
      <c r="C21">
        <v>2.0383002236485481E-2</v>
      </c>
      <c r="D21" s="22">
        <v>1.2012241641059518E-3</v>
      </c>
      <c r="E21" s="222">
        <v>7.7898837625980377E-2</v>
      </c>
      <c r="F21" s="217">
        <v>3.3814545720815659E-2</v>
      </c>
      <c r="G21"/>
      <c r="H21" s="214">
        <v>2.4574277922511101E-2</v>
      </c>
      <c r="I21" s="218">
        <v>4.9353949725627899E-2</v>
      </c>
      <c r="J21" s="17">
        <v>2.8452123515307903E-3</v>
      </c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0.35795632004737854</v>
      </c>
      <c r="C22">
        <v>1.8167078495025635E-2</v>
      </c>
      <c r="D22" s="74">
        <v>5.0314243882894516E-2</v>
      </c>
      <c r="E22" s="250">
        <v>0.20210649073123932</v>
      </c>
      <c r="F22" s="141">
        <v>1.0287435725331306E-2</v>
      </c>
      <c r="G22" s="15">
        <v>3.4141128417104483E-3</v>
      </c>
      <c r="H22" s="224">
        <v>2.4338921532034874E-2</v>
      </c>
      <c r="I22" s="64">
        <v>1.4679934829473495E-2</v>
      </c>
      <c r="J22" s="63">
        <v>8.0401115119457245E-3</v>
      </c>
      <c r="K22" s="16">
        <v>5.9494064189493656E-3</v>
      </c>
      <c r="L22" s="14">
        <v>4.7236014506779611E-4</v>
      </c>
      <c r="M22" s="18">
        <v>4.4447840191423893E-3</v>
      </c>
      <c r="N22" s="63">
        <v>8.002174086868763E-3</v>
      </c>
      <c r="O22"/>
      <c r="P22"/>
      <c r="Q22"/>
      <c r="R22" s="19">
        <v>6.5241176635026932E-3</v>
      </c>
      <c r="S22"/>
      <c r="T22" s="14">
        <v>3.6337864003144205E-4</v>
      </c>
      <c r="U22"/>
      <c r="V22"/>
      <c r="W22"/>
      <c r="X22" s="14">
        <v>8.5176556603983045E-4</v>
      </c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0.33283364772796631</v>
      </c>
      <c r="C23">
        <v>1.6700645908713341E-2</v>
      </c>
      <c r="D23" s="210">
        <v>0.12693381309509277</v>
      </c>
      <c r="E23" s="251">
        <v>0.1076967641711235</v>
      </c>
      <c r="F23" s="141">
        <v>1.0080922394990921E-2</v>
      </c>
      <c r="G23" s="15">
        <v>3.4252186305820942E-3</v>
      </c>
      <c r="H23" s="206">
        <v>1.2732929550111294E-2</v>
      </c>
      <c r="I23" s="17">
        <v>4.7859512269496918E-3</v>
      </c>
      <c r="J23" s="18">
        <v>3.9821281097829342E-3</v>
      </c>
      <c r="K23" s="27">
        <v>1.1956642381846905E-2</v>
      </c>
      <c r="L23" s="11">
        <v>1.6077054897323251E-4</v>
      </c>
      <c r="M23" s="208">
        <v>2.871248684823513E-2</v>
      </c>
      <c r="N23"/>
      <c r="O23" s="11">
        <v>8.5215528088156134E-5</v>
      </c>
      <c r="P23" s="11">
        <v>2.3147744650486857E-4</v>
      </c>
      <c r="Q23" s="12">
        <v>1.1153967352584004E-3</v>
      </c>
      <c r="R23" s="21">
        <v>2.5377389974892139E-3</v>
      </c>
      <c r="S23"/>
      <c r="T23"/>
      <c r="U23"/>
      <c r="V23"/>
      <c r="W23"/>
      <c r="X23" s="22">
        <v>1.6955281607806683E-3</v>
      </c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0.95193088054656982</v>
      </c>
      <c r="C24">
        <v>4.7327838838100433E-2</v>
      </c>
      <c r="D24" s="211">
        <v>0.25517669320106506</v>
      </c>
      <c r="E24" s="14">
        <v>1.5795902581885457E-3</v>
      </c>
      <c r="F24" s="19">
        <v>1.738344319164753E-2</v>
      </c>
      <c r="G24"/>
      <c r="H24" s="11">
        <v>2.7966034394921735E-5</v>
      </c>
      <c r="I24" s="14">
        <v>1.9537266343832016E-3</v>
      </c>
      <c r="J24" s="22">
        <v>5.9383274056017399E-3</v>
      </c>
      <c r="K24" s="240">
        <v>5.3824529051780701E-2</v>
      </c>
      <c r="L24" s="249">
        <v>0.13575030863285065</v>
      </c>
      <c r="M24" s="219">
        <v>9.7792565822601318E-2</v>
      </c>
      <c r="N24" s="246">
        <v>0.10468036681413651</v>
      </c>
      <c r="O24" s="18">
        <v>1.0818053968250751E-2</v>
      </c>
      <c r="P24" s="14">
        <v>1.5530235832557082E-3</v>
      </c>
      <c r="Q24" s="213">
        <v>2.1755753085017204E-2</v>
      </c>
      <c r="R24" s="221">
        <v>0.14521080255508423</v>
      </c>
      <c r="S24" s="63">
        <v>1.9712083041667938E-2</v>
      </c>
      <c r="T24" s="15">
        <v>9.5656402409076691E-3</v>
      </c>
      <c r="U24"/>
      <c r="V24"/>
      <c r="W24"/>
      <c r="X24" s="16">
        <v>1.4307009056210518E-2</v>
      </c>
      <c r="Y24" s="14">
        <v>2.5781015865504742E-3</v>
      </c>
      <c r="Z24"/>
      <c r="AA24"/>
      <c r="AB24" s="22">
        <v>4.9950242973864079E-3</v>
      </c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0.27073618769645691</v>
      </c>
      <c r="C25">
        <v>1.3486900366842747E-2</v>
      </c>
      <c r="D25" s="212">
        <v>7.6321713626384735E-2</v>
      </c>
      <c r="E25"/>
      <c r="F25" s="19">
        <v>4.9212179146707058E-3</v>
      </c>
      <c r="G25"/>
      <c r="H25" s="11">
        <v>1.3970430882181972E-4</v>
      </c>
      <c r="I25" s="11">
        <v>1.0214382200501859E-4</v>
      </c>
      <c r="J25"/>
      <c r="K25" s="243">
        <v>6.6417187452316284E-2</v>
      </c>
      <c r="L25" s="63">
        <v>5.9668547473847866E-3</v>
      </c>
      <c r="M25"/>
      <c r="N25"/>
      <c r="O25" s="20">
        <v>5.2225063554942608E-3</v>
      </c>
      <c r="P25" s="14">
        <v>5.686081713065505E-4</v>
      </c>
      <c r="Q25" s="245">
        <v>7.2128593921661377E-2</v>
      </c>
      <c r="R25"/>
      <c r="S25" s="72">
        <v>2.1322613582015038E-2</v>
      </c>
      <c r="T25" s="18">
        <v>3.2562953419983387E-3</v>
      </c>
      <c r="U25"/>
      <c r="V25"/>
      <c r="W25"/>
      <c r="X25" s="14">
        <v>5.4233754053711891E-4</v>
      </c>
      <c r="Y25"/>
      <c r="Z25"/>
      <c r="AA25"/>
      <c r="AB25" s="14">
        <v>3.3949172939173877E-4</v>
      </c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0.29244247078895569</v>
      </c>
      <c r="C26">
        <v>0.29048904776573181</v>
      </c>
      <c r="D26"/>
      <c r="E26"/>
      <c r="F26"/>
      <c r="G26"/>
      <c r="H26"/>
      <c r="I26"/>
      <c r="J26"/>
      <c r="K26" s="11">
        <v>3.4847576898755506E-5</v>
      </c>
      <c r="L26" s="11">
        <v>1.1745698884624289E-6</v>
      </c>
      <c r="M26" s="11">
        <v>2.1052174759006448E-7</v>
      </c>
      <c r="N26"/>
      <c r="O26" s="11">
        <v>2.274886064697057E-4</v>
      </c>
      <c r="P26" s="11">
        <v>1.7357496835757047E-4</v>
      </c>
      <c r="Q26" s="11">
        <v>3.320393807371147E-5</v>
      </c>
      <c r="R26"/>
      <c r="S26" s="11">
        <v>2.5681161787360907E-4</v>
      </c>
      <c r="T26" s="11">
        <v>2.0149757619947195E-4</v>
      </c>
      <c r="U26"/>
      <c r="V26"/>
      <c r="W26"/>
      <c r="X26" s="11">
        <v>6.8427657424763311E-6</v>
      </c>
      <c r="Y26"/>
      <c r="Z26"/>
      <c r="AA26"/>
      <c r="AB26" s="12">
        <v>1.017766771838069E-3</v>
      </c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1.6940081119537354</v>
      </c>
      <c r="C27">
        <v>1.6790188550949097</v>
      </c>
      <c r="D27" s="11">
        <v>1.0688835754990578E-4</v>
      </c>
      <c r="E27"/>
      <c r="F27"/>
      <c r="G27"/>
      <c r="H27"/>
      <c r="I27" s="11">
        <v>1.0458702490723226E-6</v>
      </c>
      <c r="J27" s="11">
        <v>2.6498996703594457E-6</v>
      </c>
      <c r="K27" s="11">
        <v>3.3323300158372149E-5</v>
      </c>
      <c r="L27" s="11">
        <v>2.5064932742679957E-6</v>
      </c>
      <c r="M27"/>
      <c r="N27" s="11">
        <v>8.9289405877934769E-6</v>
      </c>
      <c r="O27" s="14">
        <v>4.9591553397476673E-3</v>
      </c>
      <c r="P27" s="11">
        <v>3.7261369288899004E-4</v>
      </c>
      <c r="Q27" s="11">
        <v>8.8570137450005859E-5</v>
      </c>
      <c r="R27" s="11">
        <v>3.4619042708072811E-6</v>
      </c>
      <c r="S27" s="11">
        <v>2.0868597493972629E-4</v>
      </c>
      <c r="T27" s="11">
        <v>6.1943504260852933E-4</v>
      </c>
      <c r="U27"/>
      <c r="V27"/>
      <c r="W27"/>
      <c r="X27"/>
      <c r="Y27" s="11">
        <v>3.7677025829907507E-5</v>
      </c>
      <c r="Z27"/>
      <c r="AA27"/>
      <c r="AB27" s="22">
        <v>8.5443062707781792E-3</v>
      </c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1.2124857902526855</v>
      </c>
      <c r="C28">
        <v>0.33091923594474792</v>
      </c>
      <c r="D28"/>
      <c r="E28"/>
      <c r="F28"/>
      <c r="G28"/>
      <c r="H28"/>
      <c r="I28"/>
      <c r="J28"/>
      <c r="K28" s="11">
        <v>5.274100840324536E-5</v>
      </c>
      <c r="L28" s="11">
        <v>9.296106145484373E-5</v>
      </c>
      <c r="M28" s="11">
        <v>6.7547421167546418E-6</v>
      </c>
      <c r="N28"/>
      <c r="O28" s="17">
        <v>1.6360130161046982E-2</v>
      </c>
      <c r="P28" s="14">
        <v>2.5076784659177065E-3</v>
      </c>
      <c r="Q28" s="14">
        <v>1.9431659020483494E-3</v>
      </c>
      <c r="R28"/>
      <c r="S28" s="22">
        <v>7.9080201685428619E-3</v>
      </c>
      <c r="T28" s="22">
        <v>6.2686926685273647E-3</v>
      </c>
      <c r="U28"/>
      <c r="V28"/>
      <c r="W28"/>
      <c r="X28" s="11">
        <v>1.3746391050517559E-4</v>
      </c>
      <c r="Y28"/>
      <c r="Z28"/>
      <c r="AA28" s="12">
        <v>5.6444802321493626E-3</v>
      </c>
      <c r="AB28" s="19">
        <v>2.1491764113306999E-2</v>
      </c>
      <c r="AC28"/>
      <c r="AD28"/>
      <c r="AE28" s="256">
        <v>0.81915265321731567</v>
      </c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1.1809239387512207</v>
      </c>
      <c r="C29">
        <v>1.0392721891403198</v>
      </c>
      <c r="D29"/>
      <c r="E29"/>
      <c r="F29" s="12">
        <v>3.5016520414501429E-3</v>
      </c>
      <c r="G29"/>
      <c r="H29"/>
      <c r="I29" s="11">
        <v>2.8225088044564473E-6</v>
      </c>
      <c r="J29" s="11">
        <v>4.970175214111805E-4</v>
      </c>
      <c r="K29" s="11">
        <v>5.6798013247316703E-5</v>
      </c>
      <c r="L29" s="11">
        <v>1.3528635463444516E-5</v>
      </c>
      <c r="M29" s="11">
        <v>3.0309734029287938E-6</v>
      </c>
      <c r="N29"/>
      <c r="O29" s="206">
        <v>4.5238647609949112E-2</v>
      </c>
      <c r="P29" s="14">
        <v>1.7310023540630937E-3</v>
      </c>
      <c r="Q29" s="11">
        <v>3.1624952680431306E-4</v>
      </c>
      <c r="R29"/>
      <c r="S29" s="14">
        <v>2.6812483556568623E-3</v>
      </c>
      <c r="T29" s="15">
        <v>1.097541768103838E-2</v>
      </c>
      <c r="U29"/>
      <c r="V29" s="11">
        <v>2.6126050215680152E-5</v>
      </c>
      <c r="W29"/>
      <c r="X29" s="11">
        <v>6.8597920471802354E-4</v>
      </c>
      <c r="Y29"/>
      <c r="Z29" s="213">
        <v>2.8041550889611244E-2</v>
      </c>
      <c r="AA29" s="22">
        <v>7.5983386486768723E-3</v>
      </c>
      <c r="AB29" s="220">
        <v>4.0282316505908966E-2</v>
      </c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2.5167741775512695</v>
      </c>
      <c r="C30">
        <v>0.50033026933670044</v>
      </c>
      <c r="D30"/>
      <c r="E30" s="22">
        <v>1.4974378980696201E-2</v>
      </c>
      <c r="F30" s="12">
        <v>1.0257690213620663E-2</v>
      </c>
      <c r="G30"/>
      <c r="H30"/>
      <c r="I30"/>
      <c r="J30" s="14">
        <v>3.2019128557294607E-3</v>
      </c>
      <c r="K30" s="14">
        <v>5.5899727158248425E-3</v>
      </c>
      <c r="L30" s="12">
        <v>7.715215440839529E-3</v>
      </c>
      <c r="M30" s="11">
        <v>3.6777174682356417E-4</v>
      </c>
      <c r="N30" s="14">
        <v>5.9386445209383965E-3</v>
      </c>
      <c r="O30" s="12">
        <v>7.9583926126360893E-3</v>
      </c>
      <c r="P30" s="11">
        <v>2.2403847833629698E-4</v>
      </c>
      <c r="Q30" s="11">
        <v>3.8670495268888772E-4</v>
      </c>
      <c r="R30" s="24">
        <v>8.1212781369686127E-2</v>
      </c>
      <c r="S30" s="14">
        <v>3.2286092173308134E-3</v>
      </c>
      <c r="T30" s="14">
        <v>2.5712114293128252E-3</v>
      </c>
      <c r="U30" s="255">
        <v>0.7588346004486084</v>
      </c>
      <c r="V30" s="22">
        <v>1.2955053709447384E-2</v>
      </c>
      <c r="W30" s="14">
        <v>3.7280062679201365E-3</v>
      </c>
      <c r="X30" s="11">
        <v>1.4897164655849338E-3</v>
      </c>
      <c r="Y30" s="16">
        <v>3.7409506738185883E-2</v>
      </c>
      <c r="Z30" s="240">
        <v>0.14298520982265472</v>
      </c>
      <c r="AA30" s="20">
        <v>4.9171518534421921E-2</v>
      </c>
      <c r="AB30" s="21">
        <v>1.959356851875782E-2</v>
      </c>
      <c r="AC30"/>
      <c r="AD30"/>
      <c r="AE30"/>
      <c r="AF30"/>
      <c r="AG30" s="238">
        <v>0.84664946794509888</v>
      </c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6.4293169975280762</v>
      </c>
      <c r="C31">
        <v>2.6348030567169189</v>
      </c>
      <c r="D31"/>
      <c r="E31" s="11">
        <v>2.3046934511512518E-3</v>
      </c>
      <c r="F31"/>
      <c r="G31"/>
      <c r="H31"/>
      <c r="I31"/>
      <c r="J31" s="11">
        <v>1.2271684681763873E-5</v>
      </c>
      <c r="K31" s="11">
        <v>1.3290734386828262E-5</v>
      </c>
      <c r="L31" s="11">
        <v>1.5828503819648176E-5</v>
      </c>
      <c r="M31" s="11">
        <v>4.7283185722335475E-7</v>
      </c>
      <c r="N31" s="11">
        <v>4.1767602851905394E-6</v>
      </c>
      <c r="O31" s="11">
        <v>1.2137258454458788E-4</v>
      </c>
      <c r="P31" s="11">
        <v>6.6470488491177093E-7</v>
      </c>
      <c r="Q31" s="11">
        <v>1.9122064713883447E-6</v>
      </c>
      <c r="R31" s="11">
        <v>4.6930266544222832E-3</v>
      </c>
      <c r="S31" s="11">
        <v>5.109063204145059E-5</v>
      </c>
      <c r="T31" s="11">
        <v>2.6382631040178239E-4</v>
      </c>
      <c r="U31" s="63">
        <v>0.13253547251224518</v>
      </c>
      <c r="V31" s="14">
        <v>7.6816077344119549E-3</v>
      </c>
      <c r="W31" s="11">
        <v>1.1831001611426473E-3</v>
      </c>
      <c r="X31" s="11">
        <v>1.1953551620536018E-5</v>
      </c>
      <c r="Y31" s="14">
        <v>8.3527574315667152E-3</v>
      </c>
      <c r="Z31" s="14">
        <v>1.3318980112671852E-2</v>
      </c>
      <c r="AA31" s="14">
        <v>1.489841565489769E-2</v>
      </c>
      <c r="AB31" s="11">
        <v>9.7172870300710201E-4</v>
      </c>
      <c r="AC31"/>
      <c r="AD31"/>
      <c r="AE31"/>
      <c r="AF31"/>
      <c r="AG31" s="257">
        <v>1.0719568729400635</v>
      </c>
      <c r="AH31" s="258">
        <v>2.5361204147338867</v>
      </c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55.974605560302734</v>
      </c>
      <c r="C32">
        <v>18.658367156982422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1">
        <v>1.0880628906306811E-5</v>
      </c>
      <c r="W32"/>
      <c r="X32"/>
      <c r="Y32"/>
      <c r="Z32"/>
      <c r="AA32" s="11">
        <v>1.4390533789992332E-2</v>
      </c>
      <c r="AB32"/>
      <c r="AC32"/>
      <c r="AD32" s="19">
        <v>0.96930772066116333</v>
      </c>
      <c r="AE32" s="213">
        <v>1.2808188199996948</v>
      </c>
      <c r="AF32"/>
      <c r="AG32" s="216">
        <v>2.7411763668060303</v>
      </c>
      <c r="AH32" s="259">
        <v>32.310531616210938</v>
      </c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/>
      <c r="C33">
        <v>0.52755844593048096</v>
      </c>
      <c r="D33"/>
      <c r="E33"/>
      <c r="F33"/>
      <c r="G33"/>
      <c r="H33"/>
      <c r="I33"/>
      <c r="J33"/>
      <c r="K33"/>
      <c r="L33"/>
      <c r="M33"/>
      <c r="N33"/>
      <c r="O33"/>
      <c r="P33" s="9">
        <v>9.1396918287500739E-4</v>
      </c>
      <c r="Q33"/>
      <c r="R33"/>
      <c r="S33"/>
      <c r="T33"/>
      <c r="U33"/>
      <c r="V33"/>
      <c r="W33"/>
      <c r="X33"/>
      <c r="Y33"/>
      <c r="Z33"/>
      <c r="AA33" s="9">
        <v>0.95986264944076538</v>
      </c>
      <c r="AB33" s="9">
        <v>0.20854118466377258</v>
      </c>
      <c r="AC33" s="9">
        <v>112</v>
      </c>
      <c r="AD33" s="9">
        <v>220.79116821289062</v>
      </c>
      <c r="AE33" s="9">
        <v>25.362064361572266</v>
      </c>
      <c r="AF33" s="9">
        <v>31.395030975341797</v>
      </c>
      <c r="AG33" s="9">
        <v>14.321748733520508</v>
      </c>
      <c r="AH33" s="9">
        <v>340.76055908203125</v>
      </c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/>
      <c r="C34">
        <v>0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2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4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4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166</v>
      </c>
    </row>
    <row r="2" spans="1:12" x14ac:dyDescent="0.15">
      <c r="A2" s="1" t="s">
        <v>37</v>
      </c>
      <c r="B2" s="38">
        <v>3</v>
      </c>
      <c r="C2" s="36"/>
      <c r="D2" t="s">
        <v>38</v>
      </c>
      <c r="E2">
        <v>1</v>
      </c>
      <c r="F2">
        <v>1</v>
      </c>
      <c r="G2">
        <v>1</v>
      </c>
      <c r="H2" t="s">
        <v>38</v>
      </c>
      <c r="J2" s="54"/>
      <c r="K2" s="55"/>
      <c r="L2" s="61" t="s">
        <v>167</v>
      </c>
    </row>
    <row r="3" spans="1:12" ht="14" thickBot="1" x14ac:dyDescent="0.2">
      <c r="A3" s="1" t="s">
        <v>39</v>
      </c>
      <c r="B3" s="39">
        <v>0</v>
      </c>
      <c r="C3" s="3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6"/>
      <c r="K3" s="5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6"/>
      <c r="K4" s="57"/>
    </row>
    <row r="5" spans="1:12" x14ac:dyDescent="0.15">
      <c r="D5" s="191" t="s">
        <v>192</v>
      </c>
      <c r="E5">
        <v>4</v>
      </c>
      <c r="F5">
        <v>3.13</v>
      </c>
      <c r="G5">
        <v>4</v>
      </c>
      <c r="H5" s="192" t="s">
        <v>192</v>
      </c>
      <c r="J5" s="56"/>
      <c r="K5" s="57"/>
    </row>
    <row r="6" spans="1:12" ht="14" thickBot="1" x14ac:dyDescent="0.2">
      <c r="A6" s="40" t="s">
        <v>121</v>
      </c>
      <c r="D6" s="191" t="s">
        <v>193</v>
      </c>
      <c r="E6">
        <v>5</v>
      </c>
      <c r="F6">
        <v>3.13</v>
      </c>
      <c r="G6">
        <v>5</v>
      </c>
      <c r="H6" s="192" t="s">
        <v>193</v>
      </c>
      <c r="J6" s="56"/>
      <c r="K6" s="57"/>
    </row>
    <row r="7" spans="1:12" x14ac:dyDescent="0.15">
      <c r="A7" s="35" t="s">
        <v>126</v>
      </c>
      <c r="B7" s="42">
        <v>1</v>
      </c>
      <c r="C7" s="37"/>
      <c r="D7" s="191" t="s">
        <v>194</v>
      </c>
      <c r="E7">
        <v>6</v>
      </c>
      <c r="F7">
        <v>3.13</v>
      </c>
      <c r="G7">
        <v>6</v>
      </c>
      <c r="H7" s="192" t="s">
        <v>194</v>
      </c>
      <c r="J7" s="56"/>
      <c r="K7" s="57"/>
    </row>
    <row r="8" spans="1:12" x14ac:dyDescent="0.15">
      <c r="A8" s="35" t="s">
        <v>38</v>
      </c>
      <c r="B8" s="43">
        <v>1</v>
      </c>
      <c r="C8" s="37"/>
      <c r="D8" s="191" t="s">
        <v>195</v>
      </c>
      <c r="E8">
        <v>7</v>
      </c>
      <c r="F8">
        <v>3.13</v>
      </c>
      <c r="G8">
        <v>7</v>
      </c>
      <c r="H8" s="192" t="s">
        <v>195</v>
      </c>
      <c r="J8" s="56"/>
      <c r="K8" s="57"/>
    </row>
    <row r="9" spans="1:12" x14ac:dyDescent="0.15">
      <c r="A9" s="35" t="s">
        <v>40</v>
      </c>
      <c r="B9" s="43">
        <v>1.1000000000000001</v>
      </c>
      <c r="C9" s="37"/>
      <c r="D9" s="191" t="s">
        <v>196</v>
      </c>
      <c r="E9">
        <v>8</v>
      </c>
      <c r="F9">
        <v>3.13</v>
      </c>
      <c r="G9">
        <v>8</v>
      </c>
      <c r="H9" s="192" t="s">
        <v>196</v>
      </c>
      <c r="J9" s="56"/>
      <c r="K9" s="57"/>
    </row>
    <row r="10" spans="1:12" x14ac:dyDescent="0.15">
      <c r="A10" s="35" t="s">
        <v>41</v>
      </c>
      <c r="B10" s="43">
        <v>1.2</v>
      </c>
      <c r="C10" s="37"/>
      <c r="D10" s="191" t="s">
        <v>197</v>
      </c>
      <c r="E10">
        <v>9</v>
      </c>
      <c r="F10">
        <v>3.13</v>
      </c>
      <c r="G10">
        <v>9</v>
      </c>
      <c r="H10" s="192" t="s">
        <v>197</v>
      </c>
      <c r="J10" s="56"/>
      <c r="K10" s="57"/>
    </row>
    <row r="11" spans="1:12" ht="12" customHeight="1" x14ac:dyDescent="0.15">
      <c r="A11" s="41" t="s">
        <v>127</v>
      </c>
      <c r="B11" s="43">
        <v>2</v>
      </c>
      <c r="C11" s="37"/>
      <c r="D11" s="191" t="s">
        <v>198</v>
      </c>
      <c r="E11">
        <v>10</v>
      </c>
      <c r="F11">
        <v>3.22</v>
      </c>
      <c r="G11">
        <v>10</v>
      </c>
      <c r="H11" s="192" t="s">
        <v>198</v>
      </c>
      <c r="J11" s="56"/>
      <c r="K11" s="57"/>
    </row>
    <row r="12" spans="1:12" x14ac:dyDescent="0.15">
      <c r="A12" s="35" t="s">
        <v>42</v>
      </c>
      <c r="B12" s="43">
        <v>2.1</v>
      </c>
      <c r="C12" s="37"/>
      <c r="D12" s="191" t="s">
        <v>199</v>
      </c>
      <c r="E12">
        <v>11</v>
      </c>
      <c r="F12">
        <v>3.22</v>
      </c>
      <c r="G12">
        <v>11</v>
      </c>
      <c r="H12" s="192" t="s">
        <v>199</v>
      </c>
      <c r="J12" s="56"/>
      <c r="K12" s="57"/>
    </row>
    <row r="13" spans="1:12" x14ac:dyDescent="0.15">
      <c r="A13" s="35" t="s">
        <v>43</v>
      </c>
      <c r="B13" s="43">
        <v>2.2000000000000002</v>
      </c>
      <c r="C13" s="37"/>
      <c r="D13" s="191" t="s">
        <v>200</v>
      </c>
      <c r="E13">
        <v>12</v>
      </c>
      <c r="F13">
        <v>3.22</v>
      </c>
      <c r="G13">
        <v>12</v>
      </c>
      <c r="H13" s="192" t="s">
        <v>200</v>
      </c>
      <c r="J13" s="56"/>
      <c r="K13" s="57"/>
    </row>
    <row r="14" spans="1:12" x14ac:dyDescent="0.15">
      <c r="A14" s="35" t="s">
        <v>67</v>
      </c>
      <c r="B14" s="43">
        <v>2.2999999999999998</v>
      </c>
      <c r="C14" s="37"/>
      <c r="D14" s="191" t="s">
        <v>201</v>
      </c>
      <c r="E14">
        <v>13</v>
      </c>
      <c r="F14">
        <v>3.22</v>
      </c>
      <c r="G14">
        <v>13</v>
      </c>
      <c r="H14" s="192" t="s">
        <v>201</v>
      </c>
      <c r="J14" s="56"/>
      <c r="K14" s="57"/>
    </row>
    <row r="15" spans="1:12" x14ac:dyDescent="0.15">
      <c r="A15" s="41" t="s">
        <v>128</v>
      </c>
      <c r="B15" s="43">
        <v>3</v>
      </c>
      <c r="C15" s="37"/>
      <c r="D15" s="191" t="s">
        <v>202</v>
      </c>
      <c r="E15">
        <v>14</v>
      </c>
      <c r="F15">
        <v>3.22</v>
      </c>
      <c r="G15">
        <v>14</v>
      </c>
      <c r="H15" s="192" t="s">
        <v>202</v>
      </c>
      <c r="J15" s="56"/>
      <c r="K15" s="57"/>
    </row>
    <row r="16" spans="1:12" x14ac:dyDescent="0.15">
      <c r="A16" s="35" t="s">
        <v>62</v>
      </c>
      <c r="B16" s="43">
        <v>3.11</v>
      </c>
      <c r="C16" s="37"/>
      <c r="D16" s="191" t="s">
        <v>203</v>
      </c>
      <c r="E16">
        <v>15</v>
      </c>
      <c r="F16">
        <v>3.22</v>
      </c>
      <c r="G16">
        <v>15</v>
      </c>
      <c r="H16" s="192" t="s">
        <v>203</v>
      </c>
      <c r="J16" s="56"/>
      <c r="K16" s="57"/>
    </row>
    <row r="17" spans="1:12" x14ac:dyDescent="0.15">
      <c r="A17" s="35" t="s">
        <v>61</v>
      </c>
      <c r="B17" s="43">
        <v>3.12</v>
      </c>
      <c r="C17" s="37"/>
      <c r="D17" s="191" t="s">
        <v>204</v>
      </c>
      <c r="E17">
        <v>16</v>
      </c>
      <c r="F17">
        <v>3.22</v>
      </c>
      <c r="G17">
        <v>16</v>
      </c>
      <c r="H17" s="192" t="s">
        <v>204</v>
      </c>
      <c r="J17" s="56"/>
      <c r="K17" s="57"/>
    </row>
    <row r="18" spans="1:12" x14ac:dyDescent="0.15">
      <c r="A18" s="35" t="s">
        <v>68</v>
      </c>
      <c r="B18" s="43">
        <v>3.13</v>
      </c>
      <c r="C18" s="37"/>
      <c r="D18" s="191" t="s">
        <v>205</v>
      </c>
      <c r="E18">
        <v>17</v>
      </c>
      <c r="F18">
        <v>3</v>
      </c>
      <c r="G18">
        <v>17</v>
      </c>
      <c r="H18" s="192" t="s">
        <v>205</v>
      </c>
      <c r="J18" s="56"/>
      <c r="K18" s="57"/>
    </row>
    <row r="19" spans="1:12" x14ac:dyDescent="0.15">
      <c r="A19" s="35" t="s">
        <v>66</v>
      </c>
      <c r="B19" s="43">
        <v>3.21</v>
      </c>
      <c r="C19" s="37"/>
      <c r="D19" s="191" t="s">
        <v>206</v>
      </c>
      <c r="E19">
        <v>18</v>
      </c>
      <c r="F19">
        <v>3.2</v>
      </c>
      <c r="G19">
        <v>18</v>
      </c>
      <c r="H19" s="192" t="s">
        <v>206</v>
      </c>
      <c r="J19" s="56"/>
      <c r="K19" s="57"/>
    </row>
    <row r="20" spans="1:12" x14ac:dyDescent="0.15">
      <c r="A20" s="35" t="s">
        <v>63</v>
      </c>
      <c r="B20" s="43">
        <v>3.22</v>
      </c>
      <c r="C20" s="37"/>
      <c r="D20" s="191" t="s">
        <v>207</v>
      </c>
      <c r="E20">
        <v>19</v>
      </c>
      <c r="F20">
        <v>3.2</v>
      </c>
      <c r="G20">
        <v>19</v>
      </c>
      <c r="H20" s="192" t="s">
        <v>207</v>
      </c>
      <c r="J20" s="56"/>
      <c r="K20" s="57"/>
    </row>
    <row r="21" spans="1:12" ht="14" thickBot="1" x14ac:dyDescent="0.2">
      <c r="A21" s="35" t="s">
        <v>69</v>
      </c>
      <c r="B21" s="43">
        <v>3.23</v>
      </c>
      <c r="C21" s="37"/>
      <c r="D21" s="191" t="s">
        <v>208</v>
      </c>
      <c r="E21">
        <v>20</v>
      </c>
      <c r="F21">
        <v>3.12</v>
      </c>
      <c r="G21">
        <v>20</v>
      </c>
      <c r="H21" s="192" t="s">
        <v>208</v>
      </c>
      <c r="J21" s="58"/>
      <c r="K21" s="59"/>
      <c r="L21" s="61" t="s">
        <v>152</v>
      </c>
    </row>
    <row r="22" spans="1:12" x14ac:dyDescent="0.15">
      <c r="A22" s="35" t="s">
        <v>64</v>
      </c>
      <c r="B22" s="43">
        <v>8</v>
      </c>
      <c r="C22" s="37"/>
      <c r="D22" s="191" t="s">
        <v>209</v>
      </c>
      <c r="E22">
        <v>21</v>
      </c>
      <c r="F22">
        <v>3.12</v>
      </c>
      <c r="G22">
        <v>21</v>
      </c>
      <c r="H22" s="192" t="s">
        <v>209</v>
      </c>
    </row>
    <row r="23" spans="1:12" x14ac:dyDescent="0.15">
      <c r="A23" s="35" t="s">
        <v>129</v>
      </c>
      <c r="B23" s="43">
        <v>4</v>
      </c>
      <c r="C23" s="37"/>
      <c r="D23" s="191" t="s">
        <v>210</v>
      </c>
      <c r="E23">
        <v>22</v>
      </c>
      <c r="F23">
        <v>3.22</v>
      </c>
      <c r="G23">
        <v>22</v>
      </c>
      <c r="H23" s="192" t="s">
        <v>210</v>
      </c>
    </row>
    <row r="24" spans="1:12" x14ac:dyDescent="0.15">
      <c r="A24" s="35" t="s">
        <v>122</v>
      </c>
      <c r="B24" s="43">
        <v>4.0999999999999996</v>
      </c>
      <c r="C24" s="37"/>
      <c r="D24" s="191" t="s">
        <v>211</v>
      </c>
      <c r="E24">
        <v>23</v>
      </c>
      <c r="F24">
        <v>3.1</v>
      </c>
      <c r="G24">
        <v>23</v>
      </c>
      <c r="H24" s="192" t="s">
        <v>211</v>
      </c>
    </row>
    <row r="25" spans="1:12" x14ac:dyDescent="0.15">
      <c r="A25" s="35" t="s">
        <v>70</v>
      </c>
      <c r="B25" s="43">
        <v>4.2</v>
      </c>
      <c r="C25" s="37"/>
      <c r="D25" s="191" t="s">
        <v>212</v>
      </c>
      <c r="E25">
        <v>24</v>
      </c>
      <c r="F25">
        <v>3.1</v>
      </c>
      <c r="G25">
        <v>24</v>
      </c>
      <c r="H25" s="192" t="s">
        <v>212</v>
      </c>
    </row>
    <row r="26" spans="1:12" x14ac:dyDescent="0.15">
      <c r="A26" s="35" t="s">
        <v>123</v>
      </c>
      <c r="B26" s="43">
        <v>4.3</v>
      </c>
      <c r="C26" s="37"/>
      <c r="D26" s="191" t="s">
        <v>213</v>
      </c>
      <c r="E26">
        <v>25</v>
      </c>
      <c r="F26">
        <v>3.1</v>
      </c>
      <c r="G26">
        <v>25</v>
      </c>
      <c r="H26" s="192" t="s">
        <v>213</v>
      </c>
    </row>
    <row r="27" spans="1:12" x14ac:dyDescent="0.15">
      <c r="A27" s="35" t="s">
        <v>125</v>
      </c>
      <c r="B27" s="43">
        <v>6.1</v>
      </c>
      <c r="D27" s="191" t="s">
        <v>214</v>
      </c>
      <c r="E27">
        <v>26</v>
      </c>
      <c r="F27">
        <v>3</v>
      </c>
      <c r="G27">
        <v>26</v>
      </c>
      <c r="H27" s="192" t="s">
        <v>214</v>
      </c>
    </row>
    <row r="28" spans="1:12" x14ac:dyDescent="0.15">
      <c r="A28" s="35" t="s">
        <v>124</v>
      </c>
      <c r="B28" s="43">
        <v>6.2</v>
      </c>
      <c r="D28" s="191" t="s">
        <v>215</v>
      </c>
      <c r="E28">
        <v>27</v>
      </c>
      <c r="F28">
        <v>3</v>
      </c>
      <c r="G28">
        <v>27</v>
      </c>
      <c r="H28" s="192" t="s">
        <v>215</v>
      </c>
    </row>
    <row r="29" spans="1:12" x14ac:dyDescent="0.15">
      <c r="A29" s="35" t="s">
        <v>44</v>
      </c>
      <c r="B29" s="43">
        <v>5</v>
      </c>
      <c r="D29" s="191" t="s">
        <v>216</v>
      </c>
      <c r="E29">
        <v>28</v>
      </c>
      <c r="F29">
        <v>3.21</v>
      </c>
      <c r="G29">
        <v>28</v>
      </c>
      <c r="H29" s="192" t="s">
        <v>216</v>
      </c>
    </row>
    <row r="30" spans="1:12" x14ac:dyDescent="0.15">
      <c r="A30" s="35" t="s">
        <v>73</v>
      </c>
      <c r="B30" s="43">
        <v>7</v>
      </c>
      <c r="D30" s="191" t="s">
        <v>217</v>
      </c>
      <c r="E30">
        <v>29</v>
      </c>
      <c r="F30">
        <v>3</v>
      </c>
      <c r="G30">
        <v>29</v>
      </c>
      <c r="H30" s="192" t="s">
        <v>217</v>
      </c>
    </row>
    <row r="31" spans="1:12" x14ac:dyDescent="0.15">
      <c r="A31" s="35" t="s">
        <v>169</v>
      </c>
      <c r="B31" s="43">
        <v>3.14</v>
      </c>
      <c r="D31" s="191" t="s">
        <v>218</v>
      </c>
      <c r="E31">
        <v>30</v>
      </c>
      <c r="F31">
        <v>3.21</v>
      </c>
      <c r="G31">
        <v>30</v>
      </c>
      <c r="H31" s="192" t="s">
        <v>218</v>
      </c>
    </row>
    <row r="32" spans="1:12" ht="12" customHeight="1" thickBot="1" x14ac:dyDescent="0.2">
      <c r="A32" s="41" t="s">
        <v>170</v>
      </c>
      <c r="B32" s="44">
        <v>9</v>
      </c>
      <c r="D32" s="191" t="s">
        <v>219</v>
      </c>
      <c r="E32">
        <v>31</v>
      </c>
      <c r="F32">
        <v>3.21</v>
      </c>
      <c r="G32">
        <v>31</v>
      </c>
      <c r="H32" s="192" t="s">
        <v>219</v>
      </c>
    </row>
    <row r="33" spans="4:8" customFormat="1" ht="12" customHeight="1" x14ac:dyDescent="0.15">
      <c r="D33" s="191" t="s">
        <v>220</v>
      </c>
      <c r="E33">
        <v>32</v>
      </c>
      <c r="F33">
        <v>3.11</v>
      </c>
      <c r="G33">
        <v>32</v>
      </c>
      <c r="H33" s="192" t="s">
        <v>220</v>
      </c>
    </row>
    <row r="34" spans="4:8" customFormat="1" ht="12" customHeight="1" x14ac:dyDescent="0.15">
      <c r="D34" s="191" t="s">
        <v>221</v>
      </c>
      <c r="E34">
        <v>33</v>
      </c>
      <c r="F34">
        <v>3.11</v>
      </c>
      <c r="G34">
        <v>33</v>
      </c>
      <c r="H34" s="192" t="s">
        <v>221</v>
      </c>
    </row>
    <row r="35" spans="4:8" customFormat="1" x14ac:dyDescent="0.15">
      <c r="D35" s="191" t="s">
        <v>222</v>
      </c>
      <c r="E35">
        <v>34</v>
      </c>
      <c r="F35">
        <v>2</v>
      </c>
      <c r="G35">
        <v>34</v>
      </c>
      <c r="H35" s="192" t="s">
        <v>222</v>
      </c>
    </row>
    <row r="36" spans="4:8" customFormat="1" x14ac:dyDescent="0.15">
      <c r="D36" s="191" t="s">
        <v>223</v>
      </c>
      <c r="E36">
        <v>35</v>
      </c>
      <c r="F36">
        <v>4.0999999999999996</v>
      </c>
      <c r="G36">
        <v>35</v>
      </c>
      <c r="H36" s="192" t="s">
        <v>223</v>
      </c>
    </row>
    <row r="37" spans="4:8" customFormat="1" ht="12" customHeight="1" x14ac:dyDescent="0.15">
      <c r="D37" s="191" t="s">
        <v>224</v>
      </c>
      <c r="E37">
        <v>36</v>
      </c>
      <c r="F37">
        <v>4.3</v>
      </c>
      <c r="G37">
        <v>36</v>
      </c>
      <c r="H37" s="192" t="s">
        <v>224</v>
      </c>
    </row>
    <row r="38" spans="4:8" customFormat="1" x14ac:dyDescent="0.15">
      <c r="D38" s="191" t="s">
        <v>225</v>
      </c>
      <c r="E38">
        <v>37</v>
      </c>
      <c r="F38">
        <v>5</v>
      </c>
      <c r="G38">
        <v>37</v>
      </c>
      <c r="H38" s="192" t="s">
        <v>225</v>
      </c>
    </row>
    <row r="39" spans="4:8" customFormat="1" x14ac:dyDescent="0.15">
      <c r="D39" s="191" t="s">
        <v>138</v>
      </c>
      <c r="E39">
        <v>38</v>
      </c>
      <c r="F39">
        <v>6.1</v>
      </c>
      <c r="G39">
        <v>38</v>
      </c>
      <c r="H39" s="192" t="s">
        <v>138</v>
      </c>
    </row>
    <row r="40" spans="4:8" customFormat="1" x14ac:dyDescent="0.15">
      <c r="D40" s="191" t="s">
        <v>45</v>
      </c>
      <c r="E40">
        <v>39</v>
      </c>
      <c r="F40">
        <v>6.2</v>
      </c>
      <c r="G40">
        <v>39</v>
      </c>
      <c r="H40" s="192" t="s">
        <v>45</v>
      </c>
    </row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0" bestFit="1" customWidth="1"/>
    <col min="2" max="2" width="8.83203125" style="79" customWidth="1"/>
    <col min="3" max="3" width="13.1640625" style="79" customWidth="1"/>
    <col min="4" max="4" width="39.6640625" style="79" customWidth="1"/>
    <col min="5" max="5" width="8.1640625" style="79" customWidth="1"/>
    <col min="6" max="6" width="24.6640625" style="79" bestFit="1" customWidth="1"/>
    <col min="7" max="9" width="2.33203125" style="79" customWidth="1"/>
    <col min="10" max="10" width="2.33203125" style="79" bestFit="1" customWidth="1"/>
    <col min="11" max="15" width="2.33203125" style="79" customWidth="1"/>
    <col min="16" max="16" width="2.33203125" style="70" customWidth="1"/>
    <col min="17" max="17" width="2.33203125" style="79" customWidth="1"/>
    <col min="18" max="18" width="2.33203125" style="71" customWidth="1"/>
    <col min="19" max="16384" width="11.5" style="79"/>
  </cols>
  <sheetData>
    <row r="1" spans="1:23" ht="15" customHeight="1" thickBot="1" x14ac:dyDescent="0.2">
      <c r="F1" s="1"/>
      <c r="G1" s="68" t="s">
        <v>46</v>
      </c>
      <c r="H1" s="68" t="s">
        <v>47</v>
      </c>
      <c r="I1" s="68" t="s">
        <v>120</v>
      </c>
      <c r="J1" s="68" t="s">
        <v>132</v>
      </c>
      <c r="K1" s="81" t="s">
        <v>48</v>
      </c>
      <c r="L1" s="71"/>
      <c r="M1" s="81" t="s">
        <v>119</v>
      </c>
      <c r="N1" s="71"/>
      <c r="O1" s="81" t="s">
        <v>49</v>
      </c>
      <c r="P1" s="73"/>
      <c r="Q1" s="81" t="s">
        <v>50</v>
      </c>
      <c r="R1" s="68" t="s">
        <v>154</v>
      </c>
    </row>
    <row r="2" spans="1:23" ht="15" customHeight="1" x14ac:dyDescent="0.15">
      <c r="A2" s="81" t="s">
        <v>51</v>
      </c>
      <c r="B2" s="82">
        <v>0.5</v>
      </c>
      <c r="C2" s="80" t="s">
        <v>52</v>
      </c>
      <c r="D2" s="83"/>
      <c r="F2" s="1"/>
      <c r="G2" s="84"/>
      <c r="H2" s="84"/>
      <c r="I2" s="84" t="s">
        <v>133</v>
      </c>
      <c r="J2" s="84" t="s">
        <v>133</v>
      </c>
      <c r="K2" s="84" t="s">
        <v>52</v>
      </c>
      <c r="L2" s="84" t="s">
        <v>53</v>
      </c>
      <c r="M2" s="84" t="s">
        <v>52</v>
      </c>
      <c r="N2" s="84" t="s">
        <v>53</v>
      </c>
      <c r="O2" s="84" t="s">
        <v>52</v>
      </c>
      <c r="P2" s="85" t="s">
        <v>53</v>
      </c>
      <c r="Q2" s="84"/>
      <c r="R2" s="86" t="s">
        <v>155</v>
      </c>
    </row>
    <row r="3" spans="1:23" ht="15" customHeight="1" thickBot="1" x14ac:dyDescent="0.2">
      <c r="A3" s="81" t="s">
        <v>54</v>
      </c>
      <c r="B3" s="87">
        <v>0.5</v>
      </c>
      <c r="C3" s="80" t="s">
        <v>53</v>
      </c>
      <c r="D3" s="83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6">
        <v>0</v>
      </c>
      <c r="R3" s="3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6">
        <v>0</v>
      </c>
      <c r="R4" s="108">
        <v>0</v>
      </c>
    </row>
    <row r="5" spans="1:23" ht="15" customHeight="1" x14ac:dyDescent="0.15">
      <c r="A5" s="81" t="s">
        <v>55</v>
      </c>
      <c r="B5" s="88">
        <v>0.5</v>
      </c>
      <c r="C5" s="80" t="s">
        <v>52</v>
      </c>
      <c r="D5" s="83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6">
        <v>0</v>
      </c>
      <c r="R5" s="108">
        <v>0</v>
      </c>
    </row>
    <row r="6" spans="1:23" ht="15" customHeight="1" thickBot="1" x14ac:dyDescent="0.2">
      <c r="A6" s="81"/>
      <c r="B6" s="89">
        <v>0.5</v>
      </c>
      <c r="C6" s="80" t="s">
        <v>53</v>
      </c>
      <c r="D6" s="83"/>
      <c r="F6" s="193" t="s">
        <v>192</v>
      </c>
      <c r="G6" s="79">
        <v>0</v>
      </c>
      <c r="H6" s="79">
        <v>0</v>
      </c>
      <c r="I6" s="79">
        <v>0</v>
      </c>
      <c r="J6" s="79">
        <v>0</v>
      </c>
      <c r="K6" s="79">
        <v>1</v>
      </c>
      <c r="L6" s="79">
        <v>0</v>
      </c>
      <c r="M6" s="79">
        <v>1</v>
      </c>
      <c r="N6" s="79">
        <v>0</v>
      </c>
      <c r="O6" s="79">
        <v>1</v>
      </c>
      <c r="P6" s="70">
        <v>0</v>
      </c>
      <c r="Q6" s="79">
        <v>0</v>
      </c>
      <c r="R6" s="71">
        <v>1</v>
      </c>
      <c r="S6"/>
      <c r="T6"/>
    </row>
    <row r="7" spans="1:23" ht="15" customHeight="1" thickBot="1" x14ac:dyDescent="0.2">
      <c r="F7" s="193" t="s">
        <v>193</v>
      </c>
      <c r="G7" s="79">
        <v>0</v>
      </c>
      <c r="H7" s="79">
        <v>0</v>
      </c>
      <c r="I7" s="79">
        <v>0</v>
      </c>
      <c r="J7" s="79">
        <v>0</v>
      </c>
      <c r="K7" s="79">
        <v>1</v>
      </c>
      <c r="L7" s="79">
        <v>0</v>
      </c>
      <c r="M7" s="79">
        <v>1</v>
      </c>
      <c r="N7" s="79">
        <v>0</v>
      </c>
      <c r="O7" s="79">
        <v>1</v>
      </c>
      <c r="P7" s="70">
        <v>0</v>
      </c>
      <c r="Q7" s="79">
        <v>0</v>
      </c>
      <c r="R7" s="71">
        <v>1</v>
      </c>
      <c r="S7"/>
      <c r="T7"/>
    </row>
    <row r="8" spans="1:23" ht="15" customHeight="1" x14ac:dyDescent="0.15">
      <c r="A8" s="81" t="s">
        <v>56</v>
      </c>
      <c r="B8" s="88">
        <v>1</v>
      </c>
      <c r="C8" s="194" t="s">
        <v>222</v>
      </c>
      <c r="D8" s="83" t="s">
        <v>160</v>
      </c>
      <c r="F8" s="193" t="s">
        <v>194</v>
      </c>
      <c r="G8" s="79">
        <v>0</v>
      </c>
      <c r="H8" s="79">
        <v>0</v>
      </c>
      <c r="I8" s="79">
        <v>0</v>
      </c>
      <c r="J8" s="79">
        <v>0</v>
      </c>
      <c r="K8" s="79">
        <v>1</v>
      </c>
      <c r="L8" s="79">
        <v>0</v>
      </c>
      <c r="M8" s="79">
        <v>1</v>
      </c>
      <c r="N8" s="79">
        <v>0</v>
      </c>
      <c r="O8" s="79">
        <v>1</v>
      </c>
      <c r="P8" s="70">
        <v>0</v>
      </c>
      <c r="Q8" s="79">
        <v>0</v>
      </c>
      <c r="R8" s="71">
        <v>1</v>
      </c>
      <c r="S8"/>
      <c r="T8"/>
      <c r="W8"/>
    </row>
    <row r="9" spans="1:23" ht="15" customHeight="1" x14ac:dyDescent="0.15">
      <c r="A9" s="122" t="s">
        <v>168</v>
      </c>
      <c r="B9" s="90"/>
      <c r="C9" s="78"/>
      <c r="D9" s="83" t="s">
        <v>160</v>
      </c>
      <c r="F9" s="193" t="s">
        <v>195</v>
      </c>
      <c r="G9" s="79">
        <v>0</v>
      </c>
      <c r="H9" s="79">
        <v>0</v>
      </c>
      <c r="I9" s="79">
        <v>0</v>
      </c>
      <c r="J9" s="79">
        <v>0</v>
      </c>
      <c r="K9" s="79">
        <v>1</v>
      </c>
      <c r="L9" s="79">
        <v>0</v>
      </c>
      <c r="M9" s="79">
        <v>1</v>
      </c>
      <c r="N9" s="79">
        <v>0</v>
      </c>
      <c r="O9" s="79">
        <v>1</v>
      </c>
      <c r="P9" s="70">
        <v>0</v>
      </c>
      <c r="Q9" s="79">
        <v>0</v>
      </c>
      <c r="R9" s="71">
        <v>1</v>
      </c>
      <c r="S9"/>
      <c r="T9"/>
      <c r="W9"/>
    </row>
    <row r="10" spans="1:23" ht="15" customHeight="1" x14ac:dyDescent="0.15">
      <c r="B10" s="90"/>
      <c r="C10" s="78"/>
      <c r="D10" s="83" t="s">
        <v>160</v>
      </c>
      <c r="F10" s="193" t="s">
        <v>196</v>
      </c>
      <c r="G10" s="79">
        <v>0</v>
      </c>
      <c r="H10" s="79">
        <v>0</v>
      </c>
      <c r="I10" s="79">
        <v>0</v>
      </c>
      <c r="J10" s="79">
        <v>0</v>
      </c>
      <c r="K10" s="79">
        <v>1</v>
      </c>
      <c r="L10" s="79">
        <v>0</v>
      </c>
      <c r="M10" s="79">
        <v>1</v>
      </c>
      <c r="N10" s="79">
        <v>0</v>
      </c>
      <c r="O10" s="79">
        <v>1</v>
      </c>
      <c r="P10" s="70">
        <v>0</v>
      </c>
      <c r="Q10" s="79">
        <v>0</v>
      </c>
      <c r="R10" s="71">
        <v>1</v>
      </c>
      <c r="S10"/>
      <c r="T10"/>
      <c r="W10"/>
    </row>
    <row r="11" spans="1:23" ht="15" customHeight="1" x14ac:dyDescent="0.15">
      <c r="A11" s="81"/>
      <c r="B11" s="90"/>
      <c r="C11" s="93"/>
      <c r="D11" s="83" t="s">
        <v>160</v>
      </c>
      <c r="F11" s="193" t="s">
        <v>197</v>
      </c>
      <c r="G11" s="79">
        <v>0</v>
      </c>
      <c r="H11" s="79">
        <v>0</v>
      </c>
      <c r="I11" s="79">
        <v>0</v>
      </c>
      <c r="J11" s="79">
        <v>0</v>
      </c>
      <c r="K11" s="79">
        <v>1</v>
      </c>
      <c r="L11" s="79">
        <v>0</v>
      </c>
      <c r="M11" s="79">
        <v>1</v>
      </c>
      <c r="N11" s="79">
        <v>0</v>
      </c>
      <c r="O11" s="79">
        <v>1</v>
      </c>
      <c r="P11" s="70">
        <v>0</v>
      </c>
      <c r="Q11" s="79">
        <v>0</v>
      </c>
      <c r="R11" s="71">
        <v>1</v>
      </c>
      <c r="S11"/>
      <c r="T11"/>
      <c r="W11"/>
    </row>
    <row r="12" spans="1:23" ht="15" customHeight="1" x14ac:dyDescent="0.15">
      <c r="B12" s="90"/>
      <c r="C12" s="94"/>
      <c r="D12" s="83" t="s">
        <v>160</v>
      </c>
      <c r="F12" s="193" t="s">
        <v>198</v>
      </c>
      <c r="G12" s="79">
        <v>0</v>
      </c>
      <c r="H12" s="79">
        <v>0</v>
      </c>
      <c r="I12" s="79">
        <v>0</v>
      </c>
      <c r="J12" s="79">
        <v>0</v>
      </c>
      <c r="K12" s="79">
        <v>1</v>
      </c>
      <c r="L12" s="79">
        <v>0</v>
      </c>
      <c r="M12" s="79">
        <v>1</v>
      </c>
      <c r="N12" s="79">
        <v>0</v>
      </c>
      <c r="O12" s="79">
        <v>1</v>
      </c>
      <c r="P12" s="70">
        <v>0</v>
      </c>
      <c r="Q12" s="79">
        <v>0</v>
      </c>
      <c r="R12" s="71">
        <v>1</v>
      </c>
      <c r="S12"/>
      <c r="T12"/>
      <c r="W12"/>
    </row>
    <row r="13" spans="1:23" ht="15" customHeight="1" x14ac:dyDescent="0.15">
      <c r="B13" s="90"/>
      <c r="C13" s="94"/>
      <c r="D13" s="83" t="s">
        <v>160</v>
      </c>
      <c r="F13" s="193" t="s">
        <v>199</v>
      </c>
      <c r="G13" s="79">
        <v>0</v>
      </c>
      <c r="H13" s="79">
        <v>0</v>
      </c>
      <c r="I13" s="79">
        <v>0</v>
      </c>
      <c r="J13" s="79">
        <v>0</v>
      </c>
      <c r="K13" s="79">
        <v>1</v>
      </c>
      <c r="L13" s="79">
        <v>0</v>
      </c>
      <c r="M13" s="79">
        <v>1</v>
      </c>
      <c r="N13" s="79">
        <v>0</v>
      </c>
      <c r="O13" s="79">
        <v>1</v>
      </c>
      <c r="P13" s="70">
        <v>0</v>
      </c>
      <c r="Q13" s="79">
        <v>0</v>
      </c>
      <c r="R13" s="71">
        <v>1</v>
      </c>
      <c r="S13"/>
      <c r="T13"/>
      <c r="W13"/>
    </row>
    <row r="14" spans="1:23" ht="15" customHeight="1" x14ac:dyDescent="0.15">
      <c r="B14" s="90"/>
      <c r="C14" s="78"/>
      <c r="D14" s="83" t="s">
        <v>160</v>
      </c>
      <c r="F14" s="193" t="s">
        <v>200</v>
      </c>
      <c r="G14" s="79">
        <v>0</v>
      </c>
      <c r="H14" s="79">
        <v>0</v>
      </c>
      <c r="I14" s="79">
        <v>0</v>
      </c>
      <c r="J14" s="79">
        <v>0</v>
      </c>
      <c r="K14" s="79">
        <v>1</v>
      </c>
      <c r="L14" s="79">
        <v>0</v>
      </c>
      <c r="M14" s="79">
        <v>1</v>
      </c>
      <c r="N14" s="79">
        <v>0</v>
      </c>
      <c r="O14" s="79">
        <v>1</v>
      </c>
      <c r="P14" s="70">
        <v>0</v>
      </c>
      <c r="Q14" s="79">
        <v>0</v>
      </c>
      <c r="R14" s="71">
        <v>1</v>
      </c>
      <c r="S14"/>
      <c r="T14"/>
      <c r="W14"/>
    </row>
    <row r="15" spans="1:23" ht="15" customHeight="1" x14ac:dyDescent="0.15">
      <c r="B15" s="90"/>
      <c r="C15" s="78"/>
      <c r="D15" s="83" t="s">
        <v>160</v>
      </c>
      <c r="F15" s="193" t="s">
        <v>201</v>
      </c>
      <c r="G15" s="79">
        <v>0</v>
      </c>
      <c r="H15" s="79">
        <v>0</v>
      </c>
      <c r="I15" s="79">
        <v>0</v>
      </c>
      <c r="J15" s="79">
        <v>0</v>
      </c>
      <c r="K15" s="79">
        <v>1</v>
      </c>
      <c r="L15" s="79">
        <v>0</v>
      </c>
      <c r="M15" s="79">
        <v>1</v>
      </c>
      <c r="N15" s="79">
        <v>0</v>
      </c>
      <c r="O15" s="79">
        <v>1</v>
      </c>
      <c r="P15" s="70">
        <v>0</v>
      </c>
      <c r="Q15" s="79">
        <v>0</v>
      </c>
      <c r="R15" s="71">
        <v>1</v>
      </c>
      <c r="S15"/>
      <c r="T15"/>
      <c r="W15"/>
    </row>
    <row r="16" spans="1:23" ht="15" customHeight="1" x14ac:dyDescent="0.15">
      <c r="B16" s="90"/>
      <c r="C16" s="78"/>
      <c r="D16" s="83" t="s">
        <v>160</v>
      </c>
      <c r="F16" s="193" t="s">
        <v>202</v>
      </c>
      <c r="G16" s="79">
        <v>0</v>
      </c>
      <c r="H16" s="79">
        <v>0</v>
      </c>
      <c r="I16" s="79">
        <v>0</v>
      </c>
      <c r="J16" s="79">
        <v>0</v>
      </c>
      <c r="K16" s="79">
        <v>1</v>
      </c>
      <c r="L16" s="79">
        <v>0</v>
      </c>
      <c r="M16" s="79">
        <v>1</v>
      </c>
      <c r="N16" s="79">
        <v>0</v>
      </c>
      <c r="O16" s="79">
        <v>1</v>
      </c>
      <c r="P16" s="70">
        <v>0</v>
      </c>
      <c r="Q16" s="79">
        <v>0</v>
      </c>
      <c r="R16" s="71">
        <v>1</v>
      </c>
      <c r="S16"/>
      <c r="T16"/>
    </row>
    <row r="17" spans="1:20" ht="15" customHeight="1" thickBot="1" x14ac:dyDescent="0.2">
      <c r="B17" s="89"/>
      <c r="C17" s="78"/>
      <c r="D17" s="83" t="s">
        <v>160</v>
      </c>
      <c r="F17" s="193" t="s">
        <v>203</v>
      </c>
      <c r="G17" s="79">
        <v>0</v>
      </c>
      <c r="H17" s="79">
        <v>0</v>
      </c>
      <c r="I17" s="79">
        <v>0</v>
      </c>
      <c r="J17" s="79">
        <v>0</v>
      </c>
      <c r="K17" s="79">
        <v>1</v>
      </c>
      <c r="L17" s="79">
        <v>0</v>
      </c>
      <c r="M17" s="79">
        <v>1</v>
      </c>
      <c r="N17" s="79">
        <v>0</v>
      </c>
      <c r="O17" s="79">
        <v>1</v>
      </c>
      <c r="P17" s="70">
        <v>0</v>
      </c>
      <c r="Q17" s="79">
        <v>0</v>
      </c>
      <c r="R17" s="71">
        <v>1</v>
      </c>
      <c r="S17"/>
      <c r="T17"/>
    </row>
    <row r="18" spans="1:20" ht="15" customHeight="1" thickBot="1" x14ac:dyDescent="0.2">
      <c r="B18" s="91"/>
      <c r="F18" s="193" t="s">
        <v>204</v>
      </c>
      <c r="G18" s="79">
        <v>0</v>
      </c>
      <c r="H18" s="79">
        <v>0</v>
      </c>
      <c r="I18" s="79">
        <v>0</v>
      </c>
      <c r="J18" s="79">
        <v>0</v>
      </c>
      <c r="K18" s="79">
        <v>1</v>
      </c>
      <c r="L18" s="79">
        <v>0</v>
      </c>
      <c r="M18" s="79">
        <v>1</v>
      </c>
      <c r="N18" s="79">
        <v>0</v>
      </c>
      <c r="O18" s="79">
        <v>1</v>
      </c>
      <c r="P18" s="70">
        <v>0</v>
      </c>
      <c r="Q18" s="79">
        <v>0</v>
      </c>
      <c r="R18" s="71">
        <v>1</v>
      </c>
      <c r="S18"/>
      <c r="T18"/>
    </row>
    <row r="19" spans="1:20" ht="15" customHeight="1" x14ac:dyDescent="0.15">
      <c r="A19" s="81" t="s">
        <v>57</v>
      </c>
      <c r="B19" s="88">
        <v>1</v>
      </c>
      <c r="C19" s="195" t="s">
        <v>222</v>
      </c>
      <c r="D19" s="83" t="s">
        <v>160</v>
      </c>
      <c r="F19" s="193" t="s">
        <v>205</v>
      </c>
      <c r="G19" s="79">
        <v>0</v>
      </c>
      <c r="H19" s="79">
        <v>0</v>
      </c>
      <c r="I19" s="79">
        <v>0</v>
      </c>
      <c r="J19" s="79">
        <v>0</v>
      </c>
      <c r="K19" s="79">
        <v>1</v>
      </c>
      <c r="L19" s="79">
        <v>0</v>
      </c>
      <c r="M19" s="79">
        <v>1</v>
      </c>
      <c r="N19" s="79">
        <v>0</v>
      </c>
      <c r="O19" s="79">
        <v>1</v>
      </c>
      <c r="P19" s="70">
        <v>0</v>
      </c>
      <c r="Q19" s="79">
        <v>0</v>
      </c>
      <c r="R19" s="71">
        <v>1</v>
      </c>
      <c r="S19"/>
      <c r="T19"/>
    </row>
    <row r="20" spans="1:20" ht="15" customHeight="1" x14ac:dyDescent="0.15">
      <c r="A20" s="122" t="s">
        <v>168</v>
      </c>
      <c r="B20" s="90"/>
      <c r="C20" s="78"/>
      <c r="D20" s="83" t="s">
        <v>160</v>
      </c>
      <c r="F20" s="193" t="s">
        <v>206</v>
      </c>
      <c r="G20" s="79">
        <v>0</v>
      </c>
      <c r="H20" s="79">
        <v>0</v>
      </c>
      <c r="I20" s="79">
        <v>0</v>
      </c>
      <c r="J20" s="79">
        <v>0</v>
      </c>
      <c r="K20" s="79">
        <v>1</v>
      </c>
      <c r="L20" s="79">
        <v>0</v>
      </c>
      <c r="M20" s="79">
        <v>1</v>
      </c>
      <c r="N20" s="79">
        <v>0</v>
      </c>
      <c r="O20" s="79">
        <v>1</v>
      </c>
      <c r="P20" s="70">
        <v>0</v>
      </c>
      <c r="Q20" s="79">
        <v>0</v>
      </c>
      <c r="R20" s="71">
        <v>1</v>
      </c>
      <c r="S20"/>
      <c r="T20"/>
    </row>
    <row r="21" spans="1:20" ht="15" customHeight="1" x14ac:dyDescent="0.15">
      <c r="B21" s="90"/>
      <c r="C21" s="78"/>
      <c r="D21" s="83" t="s">
        <v>160</v>
      </c>
      <c r="F21" s="193" t="s">
        <v>207</v>
      </c>
      <c r="G21" s="79">
        <v>0</v>
      </c>
      <c r="H21" s="79">
        <v>0</v>
      </c>
      <c r="I21" s="79">
        <v>0</v>
      </c>
      <c r="J21" s="79">
        <v>0</v>
      </c>
      <c r="K21" s="79">
        <v>1</v>
      </c>
      <c r="L21" s="79">
        <v>0</v>
      </c>
      <c r="M21" s="79">
        <v>1</v>
      </c>
      <c r="N21" s="79">
        <v>0</v>
      </c>
      <c r="O21" s="79">
        <v>1</v>
      </c>
      <c r="P21" s="70">
        <v>0</v>
      </c>
      <c r="Q21" s="79">
        <v>0</v>
      </c>
      <c r="R21" s="71">
        <v>1</v>
      </c>
      <c r="S21"/>
      <c r="T21"/>
    </row>
    <row r="22" spans="1:20" ht="15" customHeight="1" x14ac:dyDescent="0.15">
      <c r="A22" s="79"/>
      <c r="B22" s="90"/>
      <c r="C22" s="93"/>
      <c r="D22" s="83" t="s">
        <v>160</v>
      </c>
      <c r="F22" s="193" t="s">
        <v>208</v>
      </c>
      <c r="G22" s="79">
        <v>0</v>
      </c>
      <c r="H22" s="79">
        <v>0</v>
      </c>
      <c r="I22" s="79">
        <v>0</v>
      </c>
      <c r="J22" s="79">
        <v>0</v>
      </c>
      <c r="K22" s="79">
        <v>1</v>
      </c>
      <c r="L22" s="79">
        <v>0</v>
      </c>
      <c r="M22" s="79">
        <v>1</v>
      </c>
      <c r="N22" s="79">
        <v>0</v>
      </c>
      <c r="O22" s="79">
        <v>1</v>
      </c>
      <c r="P22" s="70">
        <v>0</v>
      </c>
      <c r="Q22" s="79">
        <v>0</v>
      </c>
      <c r="R22" s="71">
        <v>1</v>
      </c>
      <c r="S22"/>
      <c r="T22"/>
    </row>
    <row r="23" spans="1:20" ht="15" customHeight="1" x14ac:dyDescent="0.15">
      <c r="A23" s="79"/>
      <c r="B23" s="90"/>
      <c r="C23" s="94"/>
      <c r="D23" s="83" t="s">
        <v>160</v>
      </c>
      <c r="F23" s="193" t="s">
        <v>209</v>
      </c>
      <c r="G23" s="79">
        <v>0</v>
      </c>
      <c r="H23" s="79">
        <v>0</v>
      </c>
      <c r="I23" s="79">
        <v>0</v>
      </c>
      <c r="J23" s="79">
        <v>0</v>
      </c>
      <c r="K23" s="79">
        <v>1</v>
      </c>
      <c r="L23" s="79">
        <v>0</v>
      </c>
      <c r="M23" s="79">
        <v>1</v>
      </c>
      <c r="N23" s="79">
        <v>0</v>
      </c>
      <c r="O23" s="79">
        <v>1</v>
      </c>
      <c r="P23" s="70">
        <v>0</v>
      </c>
      <c r="Q23" s="79">
        <v>0</v>
      </c>
      <c r="R23" s="71">
        <v>1</v>
      </c>
      <c r="S23"/>
      <c r="T23"/>
    </row>
    <row r="24" spans="1:20" ht="15" customHeight="1" x14ac:dyDescent="0.15">
      <c r="A24" s="79"/>
      <c r="B24" s="90"/>
      <c r="C24" s="94"/>
      <c r="D24" s="83" t="s">
        <v>160</v>
      </c>
      <c r="F24" s="193" t="s">
        <v>210</v>
      </c>
      <c r="G24" s="79">
        <v>0</v>
      </c>
      <c r="H24" s="79">
        <v>0</v>
      </c>
      <c r="I24" s="79">
        <v>0</v>
      </c>
      <c r="J24" s="79">
        <v>0</v>
      </c>
      <c r="K24" s="79">
        <v>1</v>
      </c>
      <c r="L24" s="79">
        <v>0</v>
      </c>
      <c r="M24" s="79">
        <v>1</v>
      </c>
      <c r="N24" s="79">
        <v>0</v>
      </c>
      <c r="O24" s="79">
        <v>1</v>
      </c>
      <c r="P24" s="70">
        <v>0</v>
      </c>
      <c r="Q24" s="79">
        <v>0</v>
      </c>
      <c r="R24" s="71">
        <v>1</v>
      </c>
      <c r="S24"/>
      <c r="T24"/>
    </row>
    <row r="25" spans="1:20" ht="15" customHeight="1" x14ac:dyDescent="0.15">
      <c r="A25" s="79"/>
      <c r="B25" s="90"/>
      <c r="C25" s="78"/>
      <c r="D25" s="83" t="s">
        <v>160</v>
      </c>
      <c r="F25" s="193" t="s">
        <v>211</v>
      </c>
      <c r="G25" s="79">
        <v>0</v>
      </c>
      <c r="H25" s="79">
        <v>0</v>
      </c>
      <c r="I25" s="79">
        <v>0</v>
      </c>
      <c r="J25" s="79">
        <v>0</v>
      </c>
      <c r="K25" s="79">
        <v>1</v>
      </c>
      <c r="L25" s="79">
        <v>0</v>
      </c>
      <c r="M25" s="79">
        <v>1</v>
      </c>
      <c r="N25" s="79">
        <v>0</v>
      </c>
      <c r="O25" s="79">
        <v>1</v>
      </c>
      <c r="P25" s="70">
        <v>0</v>
      </c>
      <c r="Q25" s="79">
        <v>0</v>
      </c>
      <c r="R25" s="71">
        <v>1</v>
      </c>
      <c r="S25"/>
      <c r="T25"/>
    </row>
    <row r="26" spans="1:20" ht="15" customHeight="1" x14ac:dyDescent="0.15">
      <c r="B26" s="90"/>
      <c r="C26" s="78"/>
      <c r="D26" s="83" t="s">
        <v>160</v>
      </c>
      <c r="F26" s="193" t="s">
        <v>212</v>
      </c>
      <c r="G26" s="79">
        <v>0</v>
      </c>
      <c r="H26" s="79">
        <v>0</v>
      </c>
      <c r="I26" s="79">
        <v>0</v>
      </c>
      <c r="J26" s="79">
        <v>0</v>
      </c>
      <c r="K26" s="79">
        <v>1</v>
      </c>
      <c r="L26" s="79">
        <v>0</v>
      </c>
      <c r="M26" s="79">
        <v>1</v>
      </c>
      <c r="N26" s="79">
        <v>0</v>
      </c>
      <c r="O26" s="79">
        <v>1</v>
      </c>
      <c r="P26" s="70">
        <v>0</v>
      </c>
      <c r="Q26" s="79">
        <v>0</v>
      </c>
      <c r="R26" s="71">
        <v>1</v>
      </c>
      <c r="S26"/>
      <c r="T26"/>
    </row>
    <row r="27" spans="1:20" ht="15" customHeight="1" x14ac:dyDescent="0.15">
      <c r="B27" s="90"/>
      <c r="C27" s="78"/>
      <c r="D27" s="83" t="s">
        <v>160</v>
      </c>
      <c r="F27" s="193" t="s">
        <v>213</v>
      </c>
      <c r="G27" s="79">
        <v>0</v>
      </c>
      <c r="H27" s="79">
        <v>0</v>
      </c>
      <c r="I27" s="79">
        <v>0</v>
      </c>
      <c r="J27" s="79">
        <v>0</v>
      </c>
      <c r="K27" s="79">
        <v>1</v>
      </c>
      <c r="L27" s="79">
        <v>0</v>
      </c>
      <c r="M27" s="79">
        <v>1</v>
      </c>
      <c r="N27" s="79">
        <v>0</v>
      </c>
      <c r="O27" s="79">
        <v>1</v>
      </c>
      <c r="P27" s="70">
        <v>0</v>
      </c>
      <c r="Q27" s="79">
        <v>0</v>
      </c>
      <c r="R27" s="71">
        <v>1</v>
      </c>
      <c r="S27"/>
      <c r="T27"/>
    </row>
    <row r="28" spans="1:20" ht="15" customHeight="1" thickBot="1" x14ac:dyDescent="0.2">
      <c r="B28" s="89"/>
      <c r="C28" s="78"/>
      <c r="D28" s="83" t="s">
        <v>160</v>
      </c>
      <c r="F28" s="193" t="s">
        <v>214</v>
      </c>
      <c r="G28" s="79">
        <v>0</v>
      </c>
      <c r="H28" s="79">
        <v>0</v>
      </c>
      <c r="I28" s="79">
        <v>0</v>
      </c>
      <c r="J28" s="79">
        <v>0</v>
      </c>
      <c r="K28" s="79">
        <v>1</v>
      </c>
      <c r="L28" s="79">
        <v>0</v>
      </c>
      <c r="M28" s="79">
        <v>1</v>
      </c>
      <c r="N28" s="79">
        <v>0</v>
      </c>
      <c r="O28" s="79">
        <v>1</v>
      </c>
      <c r="P28" s="70">
        <v>0</v>
      </c>
      <c r="Q28" s="79">
        <v>0</v>
      </c>
      <c r="R28" s="71">
        <v>1</v>
      </c>
      <c r="S28"/>
      <c r="T28"/>
    </row>
    <row r="29" spans="1:20" ht="15" customHeight="1" x14ac:dyDescent="0.15">
      <c r="F29" s="193" t="s">
        <v>215</v>
      </c>
      <c r="G29" s="79">
        <v>0</v>
      </c>
      <c r="H29" s="79">
        <v>0</v>
      </c>
      <c r="I29" s="79">
        <v>0</v>
      </c>
      <c r="J29" s="79">
        <v>0</v>
      </c>
      <c r="K29" s="79">
        <v>1</v>
      </c>
      <c r="L29" s="79">
        <v>0</v>
      </c>
      <c r="M29" s="79">
        <v>1</v>
      </c>
      <c r="N29" s="79">
        <v>0</v>
      </c>
      <c r="O29" s="79">
        <v>1</v>
      </c>
      <c r="P29" s="70">
        <v>0</v>
      </c>
      <c r="Q29" s="79">
        <v>0</v>
      </c>
      <c r="R29" s="71">
        <v>1</v>
      </c>
      <c r="S29"/>
      <c r="T29"/>
    </row>
    <row r="30" spans="1:20" ht="15" customHeight="1" x14ac:dyDescent="0.15">
      <c r="F30" s="193" t="s">
        <v>216</v>
      </c>
      <c r="G30" s="79">
        <v>0</v>
      </c>
      <c r="H30" s="79">
        <v>0</v>
      </c>
      <c r="I30" s="79">
        <v>0</v>
      </c>
      <c r="J30" s="79">
        <v>0</v>
      </c>
      <c r="K30" s="79">
        <v>1</v>
      </c>
      <c r="L30" s="79">
        <v>0</v>
      </c>
      <c r="M30" s="79">
        <v>1</v>
      </c>
      <c r="N30" s="79">
        <v>0</v>
      </c>
      <c r="O30" s="79">
        <v>1</v>
      </c>
      <c r="P30" s="70">
        <v>0</v>
      </c>
      <c r="Q30" s="79">
        <v>0</v>
      </c>
      <c r="R30" s="71">
        <v>1</v>
      </c>
      <c r="S30"/>
      <c r="T30"/>
    </row>
    <row r="31" spans="1:20" ht="15" customHeight="1" x14ac:dyDescent="0.15">
      <c r="A31" s="123"/>
      <c r="B31" s="134" t="s">
        <v>17</v>
      </c>
      <c r="C31" s="134" t="s">
        <v>1</v>
      </c>
      <c r="D31" s="134" t="s">
        <v>161</v>
      </c>
      <c r="E31" s="135" t="s">
        <v>163</v>
      </c>
      <c r="F31" s="193" t="s">
        <v>217</v>
      </c>
      <c r="G31" s="79">
        <v>0</v>
      </c>
      <c r="H31" s="79">
        <v>0</v>
      </c>
      <c r="I31" s="79">
        <v>0</v>
      </c>
      <c r="J31" s="79">
        <v>0</v>
      </c>
      <c r="K31" s="79">
        <v>1</v>
      </c>
      <c r="L31" s="79">
        <v>0</v>
      </c>
      <c r="M31" s="79">
        <v>1</v>
      </c>
      <c r="N31" s="79">
        <v>0</v>
      </c>
      <c r="O31" s="79">
        <v>1</v>
      </c>
      <c r="P31" s="70">
        <v>0</v>
      </c>
      <c r="Q31" s="79">
        <v>0</v>
      </c>
      <c r="R31" s="71">
        <v>1</v>
      </c>
      <c r="S31"/>
      <c r="T31"/>
    </row>
    <row r="32" spans="1:20" ht="15" customHeight="1" x14ac:dyDescent="0.15">
      <c r="A32" s="196" t="s">
        <v>222</v>
      </c>
      <c r="B32" s="91">
        <v>23.411239999999999</v>
      </c>
      <c r="C32" s="91">
        <v>55.974605599999997</v>
      </c>
      <c r="D32" s="91">
        <v>1310.4349256069438</v>
      </c>
      <c r="E32" s="125">
        <v>1</v>
      </c>
      <c r="F32" s="193" t="s">
        <v>218</v>
      </c>
      <c r="G32" s="79">
        <v>0</v>
      </c>
      <c r="H32" s="79">
        <v>0</v>
      </c>
      <c r="I32" s="79">
        <v>0</v>
      </c>
      <c r="J32" s="79">
        <v>0</v>
      </c>
      <c r="K32" s="79">
        <v>1</v>
      </c>
      <c r="L32" s="79">
        <v>0</v>
      </c>
      <c r="M32" s="79">
        <v>1</v>
      </c>
      <c r="N32" s="79">
        <v>0</v>
      </c>
      <c r="O32" s="79">
        <v>1</v>
      </c>
      <c r="P32" s="70">
        <v>0</v>
      </c>
      <c r="Q32" s="79">
        <v>0</v>
      </c>
      <c r="R32" s="71">
        <v>1</v>
      </c>
      <c r="S32"/>
      <c r="T32"/>
    </row>
    <row r="33" spans="1:20" ht="15" customHeight="1" x14ac:dyDescent="0.15">
      <c r="A33" s="124"/>
      <c r="B33" s="91"/>
      <c r="C33" s="91"/>
      <c r="D33" s="91"/>
      <c r="E33" s="125"/>
      <c r="F33" s="193" t="s">
        <v>219</v>
      </c>
      <c r="G33" s="79">
        <v>0</v>
      </c>
      <c r="H33" s="79">
        <v>0</v>
      </c>
      <c r="I33" s="79">
        <v>0</v>
      </c>
      <c r="J33" s="79">
        <v>0</v>
      </c>
      <c r="K33" s="79">
        <v>1</v>
      </c>
      <c r="L33" s="79">
        <v>0</v>
      </c>
      <c r="M33" s="79">
        <v>1</v>
      </c>
      <c r="N33" s="79">
        <v>0</v>
      </c>
      <c r="O33" s="79">
        <v>1</v>
      </c>
      <c r="P33" s="70">
        <v>0</v>
      </c>
      <c r="Q33" s="79">
        <v>0</v>
      </c>
      <c r="R33" s="71">
        <v>1</v>
      </c>
      <c r="S33"/>
      <c r="T33"/>
    </row>
    <row r="34" spans="1:20" ht="15" customHeight="1" x14ac:dyDescent="0.15">
      <c r="A34" s="126"/>
      <c r="B34" s="91"/>
      <c r="C34" s="91"/>
      <c r="D34" s="91"/>
      <c r="E34" s="125"/>
      <c r="F34" s="193" t="s">
        <v>220</v>
      </c>
      <c r="G34" s="79">
        <v>0</v>
      </c>
      <c r="H34" s="79">
        <v>0</v>
      </c>
      <c r="I34" s="79">
        <v>0</v>
      </c>
      <c r="J34" s="79">
        <v>0</v>
      </c>
      <c r="K34" s="79">
        <v>1</v>
      </c>
      <c r="L34" s="79">
        <v>0</v>
      </c>
      <c r="M34" s="79">
        <v>1</v>
      </c>
      <c r="N34" s="79">
        <v>0</v>
      </c>
      <c r="O34" s="79">
        <v>1</v>
      </c>
      <c r="P34" s="70">
        <v>0</v>
      </c>
      <c r="Q34" s="79">
        <v>0</v>
      </c>
      <c r="R34" s="71">
        <v>1</v>
      </c>
      <c r="S34"/>
      <c r="T34"/>
    </row>
    <row r="35" spans="1:20" ht="15" customHeight="1" x14ac:dyDescent="0.15">
      <c r="A35" s="127"/>
      <c r="B35" s="91"/>
      <c r="C35" s="91"/>
      <c r="D35" s="91"/>
      <c r="E35" s="125"/>
      <c r="F35" s="193" t="s">
        <v>221</v>
      </c>
      <c r="G35" s="79">
        <v>0</v>
      </c>
      <c r="H35" s="79">
        <v>0</v>
      </c>
      <c r="I35" s="79">
        <v>0</v>
      </c>
      <c r="J35" s="79">
        <v>0</v>
      </c>
      <c r="K35" s="79">
        <v>1</v>
      </c>
      <c r="L35" s="79">
        <v>0</v>
      </c>
      <c r="M35" s="79">
        <v>1</v>
      </c>
      <c r="N35" s="79">
        <v>0</v>
      </c>
      <c r="O35" s="79">
        <v>1</v>
      </c>
      <c r="P35" s="70">
        <v>0</v>
      </c>
      <c r="Q35" s="79">
        <v>0</v>
      </c>
      <c r="R35" s="71">
        <v>1</v>
      </c>
      <c r="S35"/>
      <c r="T35"/>
    </row>
    <row r="36" spans="1:20" ht="15" customHeight="1" x14ac:dyDescent="0.15">
      <c r="A36" s="128"/>
      <c r="B36" s="91"/>
      <c r="C36" s="91"/>
      <c r="D36" s="91"/>
      <c r="E36" s="125"/>
      <c r="F36" s="193" t="s">
        <v>222</v>
      </c>
      <c r="G36" s="79">
        <v>0</v>
      </c>
      <c r="H36" s="79">
        <v>0</v>
      </c>
      <c r="I36" s="79">
        <v>0</v>
      </c>
      <c r="J36" s="79">
        <v>0</v>
      </c>
      <c r="K36" s="79">
        <v>0</v>
      </c>
      <c r="L36" s="79">
        <v>0</v>
      </c>
      <c r="M36" s="79">
        <v>1</v>
      </c>
      <c r="N36" s="79">
        <v>0</v>
      </c>
      <c r="O36" s="79">
        <v>0</v>
      </c>
      <c r="P36" s="70">
        <v>0</v>
      </c>
      <c r="Q36" s="79">
        <v>0</v>
      </c>
      <c r="R36" s="71">
        <v>1</v>
      </c>
      <c r="S36"/>
      <c r="T36"/>
    </row>
    <row r="37" spans="1:20" ht="15" customHeight="1" x14ac:dyDescent="0.15">
      <c r="A37" s="128"/>
      <c r="B37" s="91"/>
      <c r="C37" s="91"/>
      <c r="D37" s="91"/>
      <c r="E37" s="125"/>
      <c r="F37" s="193" t="s">
        <v>223</v>
      </c>
      <c r="G37" s="79">
        <v>0</v>
      </c>
      <c r="H37" s="79">
        <v>0</v>
      </c>
      <c r="I37" s="79">
        <v>0</v>
      </c>
      <c r="J37" s="79">
        <v>0</v>
      </c>
      <c r="K37" s="79">
        <v>0</v>
      </c>
      <c r="L37" s="79">
        <v>1</v>
      </c>
      <c r="M37" s="79">
        <v>0</v>
      </c>
      <c r="N37" s="79">
        <v>1</v>
      </c>
      <c r="O37" s="79">
        <v>0</v>
      </c>
      <c r="P37" s="70">
        <v>1</v>
      </c>
      <c r="Q37" s="79">
        <v>0</v>
      </c>
      <c r="R37" s="71">
        <v>1</v>
      </c>
      <c r="S37"/>
      <c r="T37"/>
    </row>
    <row r="38" spans="1:20" ht="15" customHeight="1" x14ac:dyDescent="0.15">
      <c r="A38" s="129"/>
      <c r="B38" s="91"/>
      <c r="C38" s="91"/>
      <c r="D38" s="91"/>
      <c r="E38" s="125"/>
      <c r="F38" s="193" t="s">
        <v>224</v>
      </c>
      <c r="G38" s="79">
        <v>0</v>
      </c>
      <c r="H38" s="79">
        <v>0</v>
      </c>
      <c r="I38" s="79">
        <v>0</v>
      </c>
      <c r="J38" s="79">
        <v>0</v>
      </c>
      <c r="K38" s="79">
        <v>0</v>
      </c>
      <c r="L38" s="79">
        <v>1</v>
      </c>
      <c r="M38" s="79">
        <v>0</v>
      </c>
      <c r="N38" s="79">
        <v>1</v>
      </c>
      <c r="O38" s="79">
        <v>0</v>
      </c>
      <c r="P38" s="70">
        <v>1</v>
      </c>
      <c r="Q38" s="79">
        <v>0</v>
      </c>
      <c r="R38" s="71">
        <v>1</v>
      </c>
      <c r="S38"/>
      <c r="T38"/>
    </row>
    <row r="39" spans="1:20" ht="15" customHeight="1" x14ac:dyDescent="0.15">
      <c r="A39" s="129"/>
      <c r="B39" s="91"/>
      <c r="C39" s="91"/>
      <c r="D39" s="91"/>
      <c r="E39" s="125"/>
      <c r="F39" s="193" t="s">
        <v>225</v>
      </c>
      <c r="G39" s="79">
        <v>0</v>
      </c>
      <c r="H39" s="79">
        <v>0</v>
      </c>
      <c r="I39" s="79">
        <v>0</v>
      </c>
      <c r="J39" s="79">
        <v>0</v>
      </c>
      <c r="K39" s="79">
        <v>0</v>
      </c>
      <c r="L39" s="79">
        <v>1</v>
      </c>
      <c r="M39" s="79">
        <v>0</v>
      </c>
      <c r="N39" s="79">
        <v>0</v>
      </c>
      <c r="O39" s="79">
        <v>0</v>
      </c>
      <c r="P39" s="70">
        <v>0</v>
      </c>
      <c r="Q39" s="79">
        <v>0</v>
      </c>
      <c r="R39" s="71">
        <v>1</v>
      </c>
      <c r="S39"/>
      <c r="T39"/>
    </row>
    <row r="40" spans="1:20" ht="15" customHeight="1" x14ac:dyDescent="0.15">
      <c r="A40" s="129"/>
      <c r="B40" s="91"/>
      <c r="C40" s="91"/>
      <c r="D40" s="91"/>
      <c r="E40" s="125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9"/>
      <c r="B41" s="91"/>
      <c r="C41" s="91"/>
      <c r="D41" s="92"/>
      <c r="E41" s="130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31"/>
      <c r="B42" s="132"/>
      <c r="C42" s="132" t="s">
        <v>162</v>
      </c>
      <c r="D42" s="132">
        <f>SUM(D32:D41)</f>
        <v>1310.4349256069438</v>
      </c>
      <c r="E42" s="133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9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9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9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9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9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9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9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9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9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9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9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9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9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9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9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9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9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9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9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9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9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9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9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9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9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9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9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9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9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9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9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9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9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9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9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9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9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9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9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9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9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9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9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9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9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9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9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9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9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9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9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9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9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9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9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9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9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9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9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9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9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9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9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9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9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9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9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9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9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9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9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9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9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9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9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9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9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9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9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9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9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9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9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9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9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9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9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9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9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9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9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9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9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9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9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9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9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9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9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9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9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9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9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9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9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9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9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9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9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9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9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9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9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9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9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9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9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9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9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9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9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9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9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9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9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9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9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P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4.6640625" bestFit="1" customWidth="1"/>
    <col min="2" max="2" width="2.33203125" style="108" customWidth="1"/>
    <col min="3" max="5" width="7.83203125" style="108" customWidth="1"/>
    <col min="6" max="8" width="8.83203125" style="6"/>
    <col min="9" max="9" width="8.1640625" style="6" customWidth="1"/>
    <col min="10" max="10" width="10.1640625" style="6" customWidth="1"/>
    <col min="11" max="11" width="12.5" style="6" customWidth="1"/>
    <col min="12" max="12" width="10.33203125" style="6" customWidth="1"/>
    <col min="13" max="13" width="12.6640625" style="6" customWidth="1"/>
    <col min="14" max="14" width="8.5" style="6" customWidth="1"/>
    <col min="15" max="16" width="9.5" style="6" customWidth="1"/>
    <col min="17" max="17" width="17.83203125" style="6" customWidth="1"/>
    <col min="18" max="18" width="18.1640625" style="6" customWidth="1"/>
    <col min="19" max="19" width="14.5" style="6" customWidth="1"/>
    <col min="20" max="20" width="9.5" style="6" customWidth="1"/>
    <col min="21" max="21" width="7.1640625" style="6" customWidth="1"/>
    <col min="22" max="22" width="7.5" style="6" customWidth="1"/>
    <col min="23" max="23" width="12" style="6" customWidth="1"/>
    <col min="24" max="24" width="12.33203125" style="6" customWidth="1"/>
    <col min="25" max="25" width="7.5" style="6" customWidth="1"/>
    <col min="26" max="26" width="10.5" style="6" customWidth="1"/>
    <col min="27" max="27" width="9.6640625" style="6" customWidth="1"/>
    <col min="28" max="28" width="13.33203125" style="6" customWidth="1"/>
    <col min="29" max="29" width="23.1640625" style="6" customWidth="1"/>
    <col min="30" max="30" width="24.6640625" style="6" customWidth="1"/>
    <col min="31" max="31" width="7.1640625" style="6" customWidth="1"/>
    <col min="32" max="32" width="14.5" style="6" customWidth="1"/>
    <col min="33" max="33" width="12.1640625" style="6" customWidth="1"/>
    <col min="34" max="34" width="8.6640625" style="6" customWidth="1"/>
    <col min="35" max="35" width="11.5" style="6" customWidth="1"/>
    <col min="36" max="36" width="16" style="6" customWidth="1"/>
    <col min="37" max="38" width="16.5" style="6" customWidth="1"/>
    <col min="39" max="39" width="13.1640625" customWidth="1"/>
    <col min="40" max="40" width="7.6640625" customWidth="1"/>
    <col min="41" max="41" width="21.6640625" customWidth="1"/>
    <col min="42" max="42" width="6.5" customWidth="1"/>
    <col min="81" max="81" width="22.1640625" bestFit="1" customWidth="1"/>
  </cols>
  <sheetData>
    <row r="1" spans="1:42" x14ac:dyDescent="0.15">
      <c r="A1" s="4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 t="s">
        <v>38</v>
      </c>
      <c r="G1" t="s">
        <v>40</v>
      </c>
      <c r="H1" t="s">
        <v>41</v>
      </c>
      <c r="I1" s="198" t="s">
        <v>192</v>
      </c>
      <c r="J1" s="198" t="s">
        <v>193</v>
      </c>
      <c r="K1" s="198" t="s">
        <v>194</v>
      </c>
      <c r="L1" s="198" t="s">
        <v>195</v>
      </c>
      <c r="M1" s="198" t="s">
        <v>196</v>
      </c>
      <c r="N1" s="198" t="s">
        <v>197</v>
      </c>
      <c r="O1" s="198" t="s">
        <v>198</v>
      </c>
      <c r="P1" s="198" t="s">
        <v>199</v>
      </c>
      <c r="Q1" s="198" t="s">
        <v>200</v>
      </c>
      <c r="R1" s="198" t="s">
        <v>201</v>
      </c>
      <c r="S1" s="198" t="s">
        <v>202</v>
      </c>
      <c r="T1" s="198" t="s">
        <v>203</v>
      </c>
      <c r="U1" s="198" t="s">
        <v>204</v>
      </c>
      <c r="V1" s="198" t="s">
        <v>205</v>
      </c>
      <c r="W1" s="198" t="s">
        <v>206</v>
      </c>
      <c r="X1" s="198" t="s">
        <v>207</v>
      </c>
      <c r="Y1" s="198" t="s">
        <v>208</v>
      </c>
      <c r="Z1" s="198" t="s">
        <v>209</v>
      </c>
      <c r="AA1" s="198" t="s">
        <v>210</v>
      </c>
      <c r="AB1" s="198" t="s">
        <v>211</v>
      </c>
      <c r="AC1" s="198" t="s">
        <v>212</v>
      </c>
      <c r="AD1" s="198" t="s">
        <v>213</v>
      </c>
      <c r="AE1" s="198" t="s">
        <v>214</v>
      </c>
      <c r="AF1" s="198" t="s">
        <v>215</v>
      </c>
      <c r="AG1" s="198" t="s">
        <v>216</v>
      </c>
      <c r="AH1" s="198" t="s">
        <v>217</v>
      </c>
      <c r="AI1" s="198" t="s">
        <v>218</v>
      </c>
      <c r="AJ1" s="198" t="s">
        <v>219</v>
      </c>
      <c r="AK1" s="198" t="s">
        <v>220</v>
      </c>
      <c r="AL1" s="198" t="s">
        <v>221</v>
      </c>
      <c r="AM1" s="198" t="s">
        <v>222</v>
      </c>
      <c r="AN1" s="198" t="s">
        <v>223</v>
      </c>
      <c r="AO1" s="198" t="s">
        <v>224</v>
      </c>
      <c r="AP1" s="198" t="s">
        <v>225</v>
      </c>
    </row>
    <row r="2" spans="1:42" x14ac:dyDescent="0.15">
      <c r="A2" t="s">
        <v>38</v>
      </c>
      <c r="B2" s="108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2" x14ac:dyDescent="0.15">
      <c r="A3" t="s">
        <v>40</v>
      </c>
      <c r="B3" s="108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2" x14ac:dyDescent="0.15">
      <c r="A4" t="s">
        <v>41</v>
      </c>
      <c r="B4" s="108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2" x14ac:dyDescent="0.15">
      <c r="A5" s="197" t="s">
        <v>192</v>
      </c>
      <c r="B5" s="108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2" x14ac:dyDescent="0.15">
      <c r="A6" s="197" t="s">
        <v>193</v>
      </c>
      <c r="B6" s="108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2" x14ac:dyDescent="0.15">
      <c r="A7" s="197" t="s">
        <v>194</v>
      </c>
      <c r="B7" s="108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2" x14ac:dyDescent="0.15">
      <c r="A8" s="197" t="s">
        <v>195</v>
      </c>
      <c r="B8" s="108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2" x14ac:dyDescent="0.15">
      <c r="A9" s="197" t="s">
        <v>196</v>
      </c>
      <c r="B9" s="108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2" x14ac:dyDescent="0.15">
      <c r="A10" s="197" t="s">
        <v>197</v>
      </c>
      <c r="B10" s="108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2" x14ac:dyDescent="0.15">
      <c r="A11" s="197" t="s">
        <v>198</v>
      </c>
      <c r="B11" s="108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2" x14ac:dyDescent="0.15">
      <c r="A12" s="197" t="s">
        <v>199</v>
      </c>
      <c r="B12" s="108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2" x14ac:dyDescent="0.15">
      <c r="A13" s="197" t="s">
        <v>200</v>
      </c>
      <c r="B13" s="108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2" x14ac:dyDescent="0.15">
      <c r="A14" s="197" t="s">
        <v>201</v>
      </c>
      <c r="B14" s="108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2" x14ac:dyDescent="0.15">
      <c r="A15" s="197" t="s">
        <v>202</v>
      </c>
      <c r="B15" s="108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2" x14ac:dyDescent="0.15">
      <c r="A16" s="197" t="s">
        <v>203</v>
      </c>
      <c r="B16" s="108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7" t="s">
        <v>204</v>
      </c>
      <c r="B17" s="108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7" t="s">
        <v>205</v>
      </c>
      <c r="B18" s="108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7" t="s">
        <v>206</v>
      </c>
      <c r="B19" s="108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7" t="s">
        <v>207</v>
      </c>
      <c r="B20" s="108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7" t="s">
        <v>208</v>
      </c>
      <c r="B21" s="108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7" t="s">
        <v>209</v>
      </c>
      <c r="B22" s="108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7" t="s">
        <v>210</v>
      </c>
      <c r="B23" s="108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7" t="s">
        <v>211</v>
      </c>
      <c r="B24" s="108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7" t="s">
        <v>212</v>
      </c>
      <c r="B25" s="108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7" t="s">
        <v>213</v>
      </c>
      <c r="B26" s="108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7" t="s">
        <v>214</v>
      </c>
      <c r="B27" s="108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7" t="s">
        <v>215</v>
      </c>
      <c r="B28" s="108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7" t="s">
        <v>216</v>
      </c>
      <c r="B29" s="108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7" t="s">
        <v>217</v>
      </c>
      <c r="B30" s="108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7" t="s">
        <v>218</v>
      </c>
      <c r="B31" s="108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7" t="s">
        <v>219</v>
      </c>
      <c r="B32" s="108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7" t="s">
        <v>220</v>
      </c>
      <c r="B33" s="108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7" t="s">
        <v>221</v>
      </c>
      <c r="B34" s="108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7" t="s">
        <v>222</v>
      </c>
      <c r="B35" s="108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7" t="s">
        <v>223</v>
      </c>
      <c r="B36" s="108">
        <v>0</v>
      </c>
      <c r="C36"/>
      <c r="D36"/>
    </row>
    <row r="37" spans="1:38" ht="15" customHeight="1" x14ac:dyDescent="0.15">
      <c r="A37" s="197" t="s">
        <v>224</v>
      </c>
      <c r="B37" s="108">
        <v>0</v>
      </c>
      <c r="C37"/>
      <c r="D37"/>
    </row>
    <row r="38" spans="1:38" ht="15" customHeight="1" x14ac:dyDescent="0.15">
      <c r="A38" s="197" t="s">
        <v>225</v>
      </c>
      <c r="B38" s="108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B39"/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2022-10-24T04:33:57Z</dcterms:modified>
</cp:coreProperties>
</file>