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90D70052-3C69-7345-B391-96544F4A0641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Main!$C$2:$N$29</definedName>
    <definedName name="matDetritus">Detritus!$C$2:$E$29</definedName>
    <definedName name="matDiet">Diets!$B$2:$Z$29</definedName>
    <definedName name="matDiscards">Discards!$C$2:$C$28</definedName>
    <definedName name="matFishery">Fishing!$C$2:$C$28</definedName>
    <definedName name="matFishing">Fishing!#REF!</definedName>
    <definedName name="matMort">Mortalities!$A$1:$AE$28</definedName>
    <definedName name="matOut">MainOutputs!$A$2:$I$29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<sst xmlns="http://schemas.openxmlformats.org/spreadsheetml/2006/main" count="867" uniqueCount="226">
  <si>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</si>
  <si>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</si>
  <si>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</si>
  <si>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</si>
  <si>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</si>
  <si>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</si>
  <si>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</si>
  <si>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</si>
  <si>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</si>
  <si>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</si>
  <si>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</si>
  <si>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</si>
  <si>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</si>
  <si>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</si>
  <si>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</si>
  <si>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</si>
  <si>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</si>
  <si>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</si>
  <si>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</si>
  <si>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</si>
  <si>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</si>
  <si>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</si>
  <si>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</si>
  <si>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</si>
  <si>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</si>
  <si>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</si>
  <si>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</si>
  <si>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</si>
  <si>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</si>
  <si>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</si>
  <si>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</si>
  <si>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</si>
  <si>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</si>
  <si>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</si>
  <si>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</si>
  <si>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</si>
  <si>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</si>
  <si>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</si>
  <si>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</si>
  <si>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</si>
  <si>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</si>
  <si>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</si>
  <si>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</si>
  <si>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</si>
  <si>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</si>
  <si>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</si>
  <si>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</si>
  <si>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</si>
  <si>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</si>
  <si>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</si>
  <si>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</si>
  <si>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</si>
  <si>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</si>
  <si>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</si>
  <si>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</si>
  <si>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</si>
  <si>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</si>
  <si>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</si>
  <si>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</si>
  <si>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</si>
  <si>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</si>
  <si>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</si>
  <si>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</si>
  <si>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</si>
  <si>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</si>
  <si>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</si>
  <si>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</si>
  <si>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</si>
  <si>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</si>
  <si>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</si>
  <si>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</si>
  <si>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</si>
  <si>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</si>
  <si>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</si>
  <si>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</si>
  <si>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</si>
  <si>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</si>
  <si>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</si>
  <si>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</si>
  <si>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</si>
  <si>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</si>
  <si>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</si>
  <si>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</si>
  <si>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</si>
  <si>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</si>
  <si>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</si>
  <si>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</si>
  <si>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</si>
  <si>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</si>
  <si>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</si>
  <si>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</si>
  <si>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</si>
  <si>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</si>
  <si>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</si>
  <si>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</si>
  <si>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</si>
  <si>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</si>
  <si>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</si>
  <si>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</si>
  <si>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</si>
  <si>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</si>
  <si>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</si>
  <si>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</si>
  <si>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</si>
  <si>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</si>
  <si>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</si>
  <si>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</si>
  <si>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</si>
  <si>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</si>
  <si>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</si>
  <si>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</si>
  <si>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</si>
  <si>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</si>
  <si>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</si>
  <si>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</si>
  <si>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</si>
  <si>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</si>
  <si>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</si>
  <si>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</si>
  <si>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</si>
  <si>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</si>
  <si>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</si>
  <si>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</si>
  <si>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</si>
  <si>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</si>
  <si>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</si>
  <si>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</si>
  <si>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</si>
  <si>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</si>
  <si>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</si>
  <si>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</si>
  <si>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</si>
  <si>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</si>
  <si>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</si>
  <si>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</si>
  <si>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</si>
  <si>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</si>
  <si>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</si>
  <si>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</si>
  <si>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</si>
  <si>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</si>
  <si>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</si>
  <si>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</si>
  <si>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</si>
  <si>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</si>
  <si>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</si>
  <si>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</si>
  <si>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</si>
  <si>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</si>
  <si>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</si>
  <si>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</si>
  <si>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</si>
  <si>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</si>
  <si>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</si>
  <si>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</si>
  <si>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</si>
  <si>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</si>
  <si>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</si>
  <si>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</si>
  <si>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</si>
  <si>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</si>
  <si>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</si>
  <si>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</si>
  <si>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</si>
  <si>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</si>
  <si>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</si>
  <si>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</si>
  <si>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</si>
  <si>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</si>
  <si>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</si>
  <si>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</si>
  <si>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</si>
  <si>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</si>
  <si>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</si>
  <si>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</si>
  <si>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</si>
  <si>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</si>
  <si>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</si>
  <si>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</si>
  <si>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</si>
  <si>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</si>
  <si>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</si>
  <si>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</si>
  <si>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</si>
  <si>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</si>
  <si>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</si>
  <si>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Benguela</t>
  </si>
  <si>
    <t>Namibia</t>
  </si>
  <si>
    <t>BOX(10.7685524326509 -26.1858850548363,16.0824484205916 -16.060758915652)</t>
  </si>
  <si>
    <t>upwelling</t>
  </si>
  <si>
    <t>WetWeight</t>
  </si>
  <si>
    <t>; 05/01/09 08:40:55 AM; 2006/12/31 11:42:05 AM; 2006/12/31 01:19:08 PM; 2007/01/05 12:05:18 AM; 09/01/2007 16:43:20; 12/02/2007 18:55:24; 07/01/2011 11:20:20 AM</t>
  </si>
  <si>
    <t>Watermeyer K.E.,Shannon L.J.,Roux J.P.,Griffiths C.L.(2008). Changes in the trophic structure of the northern Benguela before and after the onset of industrial fishing African Journal of Marine Science. pp 383-403</t>
  </si>
  <si>
    <t>Phytoplankton</t>
  </si>
  <si>
    <t>Microzooplankto</t>
  </si>
  <si>
    <t>Mesozooplankton</t>
  </si>
  <si>
    <t>Macrozooplankto</t>
  </si>
  <si>
    <t>Gelatinous zoop</t>
  </si>
  <si>
    <t>Meiobenthos</t>
  </si>
  <si>
    <t>Macrobenthos</t>
  </si>
  <si>
    <t>Sardine</t>
  </si>
  <si>
    <t>Anchovy</t>
  </si>
  <si>
    <t>Pelagic Goby</t>
  </si>
  <si>
    <t>Mesopelagics</t>
  </si>
  <si>
    <t>Other small pel</t>
  </si>
  <si>
    <t>Small Horse mac</t>
  </si>
  <si>
    <t>Large horse mac</t>
  </si>
  <si>
    <t>Large pelagics</t>
  </si>
  <si>
    <t>Small M. capens</t>
  </si>
  <si>
    <t>Large M. capens</t>
  </si>
  <si>
    <t>Large M. parado</t>
  </si>
  <si>
    <t>Benthic-feeding</t>
  </si>
  <si>
    <t>Pelagic-feeding</t>
  </si>
  <si>
    <t>Chondrichtians</t>
  </si>
  <si>
    <t>Seabirds</t>
  </si>
  <si>
    <t>Seals</t>
  </si>
  <si>
    <t>Cetaceans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</si>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</sst>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2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D0FF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4" borderId="0" xfId="0" applyFill="1"/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0" borderId="52" xfId="0" applyFont="1" applyFill="1" applyBorder="1"/>
    <xf numFmtId="49" fontId="0" fillId="0" borderId="52" xfId="0" applyNumberFormat="1" applyFont="1" applyFill="1" applyBorder="1"/>
    <xf numFmtId="49" fontId="0" fillId="0" borderId="52" xfId="0" applyNumberFormat="1" applyBorder="1"/>
    <xf numFmtId="49" fontId="13" fillId="0" borderId="52" xfId="0" applyNumberFormat="1" applyFont="1" applyBorder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76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3" x14ac:dyDescent="0.15">
      <c r="B49" s="45" t="s">
        <v>44</v>
      </c>
      <c r="C49" s="29">
        <v>5</v>
      </c>
    </row>
    <row r="50" spans="2:3" x14ac:dyDescent="0.15">
      <c r="B50" s="45"/>
      <c r="C50" s="29"/>
    </row>
    <row r="51" spans="2:3" ht="14" thickBot="1" x14ac:dyDescent="0.2">
      <c r="B51" s="46" t="s">
        <v>73</v>
      </c>
      <c r="C51" s="30">
        <v>7</v>
      </c>
    </row>
    <row r="53" spans="2:3" x14ac:dyDescent="0.15">
      <c r="B53" s="166" t="s">
        <v>172</v>
      </c>
      <c r="C53">
        <v>500</v>
      </c>
    </row>
    <row r="54" spans="2:3" x14ac:dyDescent="0.15">
      <c r="B54" s="166" t="s">
        <v>173</v>
      </c>
      <c r="C54" s="166" t="s">
        <v>186</v>
      </c>
    </row>
    <row r="55" spans="2:3" x14ac:dyDescent="0.15">
      <c r="B55" s="166" t="s">
        <v>174</v>
      </c>
      <c r="C55" s="166" t="s">
        <v>187</v>
      </c>
    </row>
    <row r="56" spans="2:3" x14ac:dyDescent="0.15">
      <c r="B56" s="166" t="s">
        <v>175</v>
      </c>
      <c r="C56">
        <v>179000</v>
      </c>
    </row>
    <row r="57" spans="2:3" x14ac:dyDescent="0.15">
      <c r="B57" s="166" t="s">
        <v>176</v>
      </c>
      <c r="C57" s="166" t="s">
        <v>188</v>
      </c>
    </row>
    <row r="58" spans="2:3" x14ac:dyDescent="0.15">
      <c r="B58" s="166" t="s">
        <v>177</v>
      </c>
      <c r="C58" s="166" t="s">
        <v>189</v>
      </c>
    </row>
    <row r="59" spans="2:3" x14ac:dyDescent="0.15">
      <c r="B59" s="166" t="s">
        <v>178</v>
      </c>
      <c r="C59" s="166" t="s">
        <v>190</v>
      </c>
    </row>
    <row r="60" spans="2:3" x14ac:dyDescent="0.15">
      <c r="B60" s="166" t="s">
        <v>179</v>
      </c>
      <c r="C60" s="166" t="s">
        <v>191</v>
      </c>
    </row>
    <row r="61" spans="2:3" x14ac:dyDescent="0.15">
      <c r="B61" s="166" t="s">
        <v>180</v>
      </c>
      <c r="C61">
        <v>26</v>
      </c>
    </row>
    <row r="62" spans="2:3" x14ac:dyDescent="0.15">
      <c r="B62" s="166" t="s">
        <v>181</v>
      </c>
      <c r="C62">
        <v>0</v>
      </c>
    </row>
    <row r="63" spans="2:3" x14ac:dyDescent="0.15">
      <c r="B63" s="166" t="s">
        <v>182</v>
      </c>
      <c r="C63">
        <v>1600</v>
      </c>
    </row>
    <row r="64" spans="2:3" x14ac:dyDescent="0.15">
      <c r="B64" s="166" t="s">
        <v>183</v>
      </c>
      <c r="C64">
        <v>1</v>
      </c>
    </row>
    <row r="65" spans="2:3" x14ac:dyDescent="0.15">
      <c r="B65" s="166" t="s">
        <v>184</v>
      </c>
      <c r="C65" s="166" t="s">
        <v>192</v>
      </c>
    </row>
    <row r="66" spans="2:3" x14ac:dyDescent="0.15">
      <c r="B66" s="166" t="s">
        <v>185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D31" sqref="D31"/>
    </sheetView>
  </sheetViews>
  <sheetFormatPr baseColWidth="10" defaultColWidth="8.83203125" defaultRowHeight="15" customHeight="1" x14ac:dyDescent="0.15"/>
  <cols>
    <col min="1" max="1" width="22.5" style="77" customWidth="1"/>
    <col min="2" max="3" width="8.33203125" style="77" customWidth="1"/>
    <col min="4" max="4" width="14.33203125" style="77" customWidth="1"/>
    <col min="5" max="5" width="15.83203125" style="77" bestFit="1" customWidth="1"/>
    <col min="6" max="6" width="2.33203125" style="77" bestFit="1" customWidth="1"/>
    <col min="7" max="7" width="12.83203125" style="77" bestFit="1" customWidth="1"/>
    <col min="8" max="8" width="8.83203125" style="77" customWidth="1"/>
    <col min="9" max="9" width="7.83203125" style="77" customWidth="1"/>
    <col min="10" max="10" width="11.83203125" style="77" customWidth="1"/>
    <col min="11" max="11" width="13.83203125" style="77" customWidth="1"/>
    <col min="12" max="12" width="2.33203125" style="77" customWidth="1"/>
    <col min="13" max="13" width="4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7" t="s">
        <v>193</v>
      </c>
      <c r="F2" s="77">
        <v>1</v>
      </c>
      <c r="G2" s="77">
        <v>207.2</v>
      </c>
      <c r="H2" s="77">
        <v>35.700000000000003</v>
      </c>
      <c r="I2" s="6">
        <v>0</v>
      </c>
      <c r="J2" s="6">
        <v>0.78640949999999998</v>
      </c>
      <c r="K2" s="6">
        <v>0</v>
      </c>
      <c r="L2" s="6">
        <v>0</v>
      </c>
      <c r="M2" s="77">
        <v>0</v>
      </c>
      <c r="N2" s="77">
        <v>0</v>
      </c>
    </row>
    <row r="3" spans="1:46" ht="15" customHeight="1" x14ac:dyDescent="0.15">
      <c r="A3" s="1" t="s">
        <v>9</v>
      </c>
      <c r="B3" s="4">
        <v>25</v>
      </c>
      <c r="C3" s="77">
        <v>2</v>
      </c>
      <c r="D3"/>
      <c r="E3" s="167" t="s">
        <v>194</v>
      </c>
      <c r="F3" s="77">
        <v>0</v>
      </c>
      <c r="G3" s="77">
        <v>3.2543182399999999</v>
      </c>
      <c r="H3" s="77">
        <v>482</v>
      </c>
      <c r="I3" s="77">
        <v>1928</v>
      </c>
      <c r="J3" s="77">
        <v>0.999</v>
      </c>
      <c r="K3" s="77">
        <v>0.25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7" t="s">
        <v>195</v>
      </c>
      <c r="F4" s="77">
        <v>0</v>
      </c>
      <c r="G4" s="77">
        <v>21.234977700000002</v>
      </c>
      <c r="H4" s="77">
        <v>40</v>
      </c>
      <c r="I4" s="77">
        <v>133.333</v>
      </c>
      <c r="J4" s="77">
        <v>0.999</v>
      </c>
      <c r="K4" s="77">
        <v>0.30000075700000001</v>
      </c>
      <c r="L4" s="77">
        <v>0</v>
      </c>
      <c r="M4" s="77">
        <v>0.35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7" t="s">
        <v>196</v>
      </c>
      <c r="F5" s="77">
        <v>0</v>
      </c>
      <c r="G5" s="77">
        <v>35.964336400000001</v>
      </c>
      <c r="H5" s="77">
        <v>13</v>
      </c>
      <c r="I5" s="77">
        <v>31.707000000000001</v>
      </c>
      <c r="J5" s="77">
        <v>0.999</v>
      </c>
      <c r="K5" s="77">
        <v>0.41000407900000002</v>
      </c>
      <c r="L5" s="77">
        <v>0</v>
      </c>
      <c r="M5" s="77">
        <v>0.2</v>
      </c>
      <c r="N5" s="77">
        <v>0</v>
      </c>
      <c r="P5" s="67"/>
      <c r="Q5" s="67"/>
      <c r="R5" s="67"/>
    </row>
    <row r="6" spans="1:46" ht="15" customHeight="1" thickBot="1" x14ac:dyDescent="0.2">
      <c r="B6" s="1"/>
      <c r="C6" s="77">
        <v>5</v>
      </c>
      <c r="D6"/>
      <c r="E6" s="167" t="s">
        <v>197</v>
      </c>
      <c r="F6" s="77">
        <v>0</v>
      </c>
      <c r="G6" s="77">
        <v>26.072956099999999</v>
      </c>
      <c r="H6" s="77">
        <v>0.44</v>
      </c>
      <c r="I6" s="77">
        <v>1.4670000000000001</v>
      </c>
      <c r="J6" s="77">
        <v>0.5</v>
      </c>
      <c r="K6" s="77">
        <v>0.29993182400000001</v>
      </c>
      <c r="L6" s="77">
        <v>0</v>
      </c>
      <c r="M6" s="77">
        <v>0.2</v>
      </c>
      <c r="N6" s="77">
        <v>0</v>
      </c>
      <c r="P6" s="67"/>
      <c r="Q6" s="67"/>
      <c r="R6" s="67"/>
      <c r="W6" s="32" t="s">
        <v>31</v>
      </c>
      <c r="X6" s="48">
        <f>MAX(MainOutputs!G:G)</f>
        <v>0.99908447265625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211</v>
      </c>
      <c r="C7" s="77">
        <v>6</v>
      </c>
      <c r="D7"/>
      <c r="E7" s="167" t="s">
        <v>198</v>
      </c>
      <c r="F7" s="77">
        <v>0</v>
      </c>
      <c r="G7" s="77">
        <v>57.137900000000002</v>
      </c>
      <c r="H7" s="77">
        <v>8</v>
      </c>
      <c r="I7" s="77">
        <v>33</v>
      </c>
      <c r="J7" s="77">
        <v>0.999</v>
      </c>
      <c r="K7" s="77">
        <v>0.24242425000000001</v>
      </c>
      <c r="L7" s="77">
        <v>0</v>
      </c>
      <c r="M7" s="77">
        <v>0.2</v>
      </c>
      <c r="N7" s="77">
        <v>0</v>
      </c>
      <c r="P7" s="67"/>
      <c r="Q7" s="67"/>
      <c r="R7" s="67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28</v>
      </c>
      <c r="C8" s="77">
        <v>7</v>
      </c>
      <c r="D8"/>
      <c r="E8" s="167" t="s">
        <v>199</v>
      </c>
      <c r="F8" s="77">
        <v>0</v>
      </c>
      <c r="G8" s="77">
        <v>28.3075066</v>
      </c>
      <c r="H8" s="77">
        <v>1.2</v>
      </c>
      <c r="I8" s="77">
        <v>10</v>
      </c>
      <c r="J8" s="77">
        <v>0.999</v>
      </c>
      <c r="K8" s="77">
        <v>0.12000000500000001</v>
      </c>
      <c r="L8" s="77">
        <v>0</v>
      </c>
      <c r="M8" s="77">
        <v>0.2</v>
      </c>
      <c r="N8" s="77">
        <v>0</v>
      </c>
      <c r="P8" s="67"/>
      <c r="Q8" s="67"/>
      <c r="R8" s="67"/>
    </row>
    <row r="9" spans="1:46" ht="15" customHeight="1" x14ac:dyDescent="0.15">
      <c r="B9" s="1"/>
      <c r="C9" s="77">
        <v>8</v>
      </c>
      <c r="D9"/>
      <c r="E9" s="167" t="s">
        <v>200</v>
      </c>
      <c r="F9" s="77">
        <v>0</v>
      </c>
      <c r="G9" s="77">
        <v>35.368713399999997</v>
      </c>
      <c r="H9" s="77">
        <v>1.35</v>
      </c>
      <c r="I9" s="77">
        <v>14</v>
      </c>
      <c r="J9" s="77">
        <v>0.9038872</v>
      </c>
      <c r="K9" s="77">
        <v>9.6428570000000005E-2</v>
      </c>
      <c r="L9" s="77">
        <v>0</v>
      </c>
      <c r="M9" s="77">
        <v>0.35</v>
      </c>
      <c r="N9" s="77">
        <v>0</v>
      </c>
      <c r="P9" s="67"/>
      <c r="Q9" s="67"/>
      <c r="R9" s="67"/>
    </row>
    <row r="10" spans="1:46" ht="15" customHeight="1" x14ac:dyDescent="0.15">
      <c r="B10" s="1"/>
      <c r="C10" s="77">
        <v>9</v>
      </c>
      <c r="D10"/>
      <c r="E10" s="167" t="s">
        <v>201</v>
      </c>
      <c r="F10" s="77">
        <v>0</v>
      </c>
      <c r="G10" s="77">
        <v>1.8697722000000001</v>
      </c>
      <c r="H10" s="77">
        <v>1.8</v>
      </c>
      <c r="I10" s="77">
        <v>18</v>
      </c>
      <c r="J10" s="77">
        <v>0.999</v>
      </c>
      <c r="K10" s="77">
        <v>9.9999993999999995E-2</v>
      </c>
      <c r="L10" s="77">
        <v>0</v>
      </c>
      <c r="M10" s="77">
        <v>0.35</v>
      </c>
      <c r="N10" s="77">
        <v>0</v>
      </c>
    </row>
    <row r="11" spans="1:46" ht="15" customHeight="1" x14ac:dyDescent="0.15">
      <c r="C11" s="77">
        <v>10</v>
      </c>
      <c r="D11"/>
      <c r="E11" s="167" t="s">
        <v>202</v>
      </c>
      <c r="F11" s="77">
        <v>0</v>
      </c>
      <c r="G11" s="77">
        <v>20.2027988</v>
      </c>
      <c r="H11" s="77">
        <v>1.8</v>
      </c>
      <c r="I11" s="77">
        <v>12</v>
      </c>
      <c r="J11" s="77">
        <v>0.999</v>
      </c>
      <c r="K11" s="77">
        <v>0.149999991</v>
      </c>
      <c r="L11" s="77">
        <v>0</v>
      </c>
      <c r="M11" s="77">
        <v>0.35</v>
      </c>
      <c r="N11" s="77">
        <v>0</v>
      </c>
    </row>
    <row r="12" spans="1:46" ht="15" customHeight="1" x14ac:dyDescent="0.15">
      <c r="C12" s="77">
        <v>11</v>
      </c>
      <c r="D12"/>
      <c r="E12" s="167" t="s">
        <v>203</v>
      </c>
      <c r="F12" s="77">
        <v>0</v>
      </c>
      <c r="G12" s="77">
        <v>19.650959</v>
      </c>
      <c r="H12" s="77">
        <v>1.23</v>
      </c>
      <c r="I12" s="77">
        <v>12.3</v>
      </c>
      <c r="J12" s="77">
        <v>0.999</v>
      </c>
      <c r="K12" s="77">
        <v>0.1</v>
      </c>
      <c r="L12" s="77">
        <v>0</v>
      </c>
      <c r="M12" s="77">
        <v>0.35</v>
      </c>
      <c r="N12" s="77">
        <v>0</v>
      </c>
    </row>
    <row r="13" spans="1:46" ht="15" customHeight="1" x14ac:dyDescent="0.15">
      <c r="C13" s="77">
        <v>12</v>
      </c>
      <c r="D13"/>
      <c r="E13" s="167" t="s">
        <v>166</v>
      </c>
      <c r="F13" s="77">
        <v>0</v>
      </c>
      <c r="G13" s="77">
        <v>4.1289524999999996</v>
      </c>
      <c r="H13" s="77">
        <v>5</v>
      </c>
      <c r="I13" s="77">
        <v>15</v>
      </c>
      <c r="J13" s="77">
        <v>0.999</v>
      </c>
      <c r="K13" s="77">
        <v>0.333333343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7" t="s">
        <v>204</v>
      </c>
      <c r="F14" s="77">
        <v>0</v>
      </c>
      <c r="G14" s="77">
        <v>17.62856</v>
      </c>
      <c r="H14" s="77">
        <v>0.95822399999999996</v>
      </c>
      <c r="I14" s="77">
        <v>9.3493399999999998</v>
      </c>
      <c r="J14" s="77">
        <v>0.999</v>
      </c>
      <c r="K14" s="77">
        <v>0.102491081</v>
      </c>
      <c r="L14" s="77">
        <v>0</v>
      </c>
      <c r="M14" s="77">
        <v>0.35</v>
      </c>
      <c r="N14" s="77">
        <v>0</v>
      </c>
    </row>
    <row r="15" spans="1:46" ht="15" customHeight="1" x14ac:dyDescent="0.15">
      <c r="C15" s="77">
        <v>14</v>
      </c>
      <c r="D15"/>
      <c r="E15" s="167" t="s">
        <v>205</v>
      </c>
      <c r="F15" s="77">
        <v>0</v>
      </c>
      <c r="G15" s="77">
        <v>11.5395784</v>
      </c>
      <c r="H15" s="77">
        <v>1.2</v>
      </c>
      <c r="I15" s="77">
        <v>10</v>
      </c>
      <c r="J15" s="77">
        <v>0.999</v>
      </c>
      <c r="K15" s="77">
        <v>0.12000000500000001</v>
      </c>
      <c r="L15" s="77">
        <v>0</v>
      </c>
      <c r="M15" s="77">
        <v>0.35</v>
      </c>
      <c r="N15" s="77">
        <v>0</v>
      </c>
    </row>
    <row r="16" spans="1:46" ht="15" customHeight="1" x14ac:dyDescent="0.15">
      <c r="C16" s="77">
        <v>15</v>
      </c>
      <c r="D16"/>
      <c r="E16" s="167" t="s">
        <v>206</v>
      </c>
      <c r="F16" s="77">
        <v>0</v>
      </c>
      <c r="G16" s="77">
        <v>4.4193344100000003</v>
      </c>
      <c r="H16" s="77">
        <v>0.8</v>
      </c>
      <c r="I16" s="77">
        <v>5.3330000000000002</v>
      </c>
      <c r="J16" s="77">
        <v>0.999</v>
      </c>
      <c r="K16" s="77">
        <v>0.150009379</v>
      </c>
      <c r="L16" s="77">
        <v>0</v>
      </c>
      <c r="M16" s="77">
        <v>0.3</v>
      </c>
      <c r="N16" s="77">
        <v>0</v>
      </c>
    </row>
    <row r="17" spans="1:22" ht="15" customHeight="1" x14ac:dyDescent="0.15">
      <c r="C17" s="77">
        <v>16</v>
      </c>
      <c r="D17"/>
      <c r="E17" s="167" t="s">
        <v>207</v>
      </c>
      <c r="F17" s="77">
        <v>0</v>
      </c>
      <c r="G17" s="77">
        <v>2.7707025400000002E-2</v>
      </c>
      <c r="H17" s="77">
        <v>0.5</v>
      </c>
      <c r="I17" s="77">
        <v>5</v>
      </c>
      <c r="J17" s="77">
        <v>0.999</v>
      </c>
      <c r="K17" s="77">
        <v>0.1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7" t="s">
        <v>208</v>
      </c>
      <c r="F18" s="77">
        <v>0</v>
      </c>
      <c r="G18" s="77">
        <v>6.5183086399999999</v>
      </c>
      <c r="H18" s="77">
        <v>2</v>
      </c>
      <c r="I18" s="77">
        <v>13.333299999999999</v>
      </c>
      <c r="J18" s="77">
        <v>0.999</v>
      </c>
      <c r="K18" s="77">
        <v>0.15000037799999999</v>
      </c>
      <c r="L18" s="77">
        <v>0</v>
      </c>
      <c r="M18" s="77">
        <v>0.35</v>
      </c>
      <c r="N18" s="77">
        <v>0</v>
      </c>
      <c r="V18" s="1"/>
    </row>
    <row r="19" spans="1:22" ht="15" customHeight="1" x14ac:dyDescent="0.15">
      <c r="C19" s="77">
        <v>18</v>
      </c>
      <c r="D19"/>
      <c r="E19" s="167" t="s">
        <v>209</v>
      </c>
      <c r="F19" s="77">
        <v>0</v>
      </c>
      <c r="G19" s="77">
        <v>13.107485799999999</v>
      </c>
      <c r="H19" s="77">
        <v>1.2282500000000001</v>
      </c>
      <c r="I19" s="77">
        <v>7.8243999999999998</v>
      </c>
      <c r="J19" s="77">
        <v>0.96797394800000003</v>
      </c>
      <c r="K19" s="77">
        <v>0.1569769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67" t="s">
        <v>210</v>
      </c>
      <c r="F20" s="77">
        <v>0</v>
      </c>
      <c r="G20" s="77">
        <v>7.3729610000000001</v>
      </c>
      <c r="H20" s="77">
        <v>1.140021</v>
      </c>
      <c r="I20" s="77">
        <v>7.2774999999999999</v>
      </c>
      <c r="J20" s="77">
        <v>0.96743446600000005</v>
      </c>
      <c r="K20" s="77">
        <v>0.156650081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3" t="s">
        <v>137</v>
      </c>
      <c r="B21" s="95"/>
      <c r="C21" s="77">
        <v>20</v>
      </c>
      <c r="D21"/>
      <c r="E21" s="167" t="s">
        <v>211</v>
      </c>
      <c r="F21" s="77">
        <v>0</v>
      </c>
      <c r="G21" s="77">
        <v>6.4651403399999996</v>
      </c>
      <c r="H21" s="77">
        <v>1</v>
      </c>
      <c r="I21" s="77">
        <v>5</v>
      </c>
      <c r="J21" s="77">
        <v>0.999</v>
      </c>
      <c r="K21" s="77">
        <v>0.2</v>
      </c>
      <c r="L21" s="77">
        <v>0</v>
      </c>
      <c r="M21" s="77">
        <v>0.2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7" t="s">
        <v>212</v>
      </c>
      <c r="F22" s="77">
        <v>0</v>
      </c>
      <c r="G22" s="77">
        <v>4.1341760000000001</v>
      </c>
      <c r="H22" s="77">
        <v>1</v>
      </c>
      <c r="I22" s="77">
        <v>5</v>
      </c>
      <c r="J22" s="77">
        <v>0.999</v>
      </c>
      <c r="K22" s="77">
        <v>0.2</v>
      </c>
      <c r="L22" s="77">
        <v>0</v>
      </c>
      <c r="M22" s="77">
        <v>0.2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67" t="s">
        <v>213</v>
      </c>
      <c r="F23" s="77">
        <v>0</v>
      </c>
      <c r="G23" s="77">
        <v>0.36</v>
      </c>
      <c r="H23" s="77">
        <v>0.5</v>
      </c>
      <c r="I23" s="77">
        <v>3.3332999999999999</v>
      </c>
      <c r="J23" s="77">
        <v>0.66666009999999998</v>
      </c>
      <c r="K23" s="77">
        <v>0.15000150000000001</v>
      </c>
      <c r="L23" s="77">
        <v>0</v>
      </c>
      <c r="M23" s="77">
        <v>0.2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67" t="s">
        <v>214</v>
      </c>
      <c r="F24" s="77">
        <v>0</v>
      </c>
      <c r="G24" s="77">
        <v>1.7682E-2</v>
      </c>
      <c r="H24" s="77">
        <v>0.156</v>
      </c>
      <c r="I24" s="77">
        <v>120.3</v>
      </c>
      <c r="J24" s="77">
        <v>0.13745302000000001</v>
      </c>
      <c r="K24" s="77">
        <v>1.29675807E-3</v>
      </c>
      <c r="L24" s="77">
        <v>0</v>
      </c>
      <c r="M24" s="77">
        <v>0.26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67" t="s">
        <v>215</v>
      </c>
      <c r="F25" s="77">
        <v>0</v>
      </c>
      <c r="G25" s="77">
        <v>0.253</v>
      </c>
      <c r="H25" s="77">
        <v>0.28999999999999998</v>
      </c>
      <c r="I25" s="77">
        <v>18.25</v>
      </c>
      <c r="J25" s="77">
        <v>0.124847651</v>
      </c>
      <c r="K25" s="77">
        <v>1.5890410000000001E-2</v>
      </c>
      <c r="L25" s="77">
        <v>0</v>
      </c>
      <c r="M25" s="77">
        <v>0.2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67" t="s">
        <v>216</v>
      </c>
      <c r="F26" s="77">
        <v>0</v>
      </c>
      <c r="G26" s="77">
        <v>1.9E-2</v>
      </c>
      <c r="H26" s="77">
        <v>0.15</v>
      </c>
      <c r="I26" s="77">
        <v>7.4183000000000003</v>
      </c>
      <c r="J26" s="77">
        <v>0</v>
      </c>
      <c r="K26" s="77">
        <v>2.02202667E-2</v>
      </c>
      <c r="L26" s="77">
        <v>0</v>
      </c>
      <c r="M26" s="77">
        <v>0.21</v>
      </c>
      <c r="N26" s="77">
        <v>0</v>
      </c>
    </row>
    <row r="27" spans="1:22" ht="15" customHeight="1" x14ac:dyDescent="0.15">
      <c r="C27" s="77">
        <v>26</v>
      </c>
      <c r="D27"/>
      <c r="E27" s="167" t="s">
        <v>217</v>
      </c>
      <c r="F27" s="77">
        <v>2</v>
      </c>
      <c r="G27" s="77">
        <v>0</v>
      </c>
      <c r="H27" s="77">
        <v>0</v>
      </c>
      <c r="I27" s="77">
        <v>0</v>
      </c>
      <c r="J27" s="77">
        <v>0.3401479</v>
      </c>
      <c r="K27" s="77">
        <v>0</v>
      </c>
      <c r="L27" s="77">
        <v>0</v>
      </c>
      <c r="M27" s="77">
        <v>0</v>
      </c>
      <c r="N27" s="77">
        <v>0</v>
      </c>
    </row>
    <row r="28" spans="1:22" ht="15" customHeight="1" x14ac:dyDescent="0.15">
      <c r="C28" s="77">
        <v>27</v>
      </c>
      <c r="D28"/>
      <c r="E28" s="167" t="s">
        <v>218</v>
      </c>
      <c r="F28" s="77">
        <v>2</v>
      </c>
      <c r="G28" s="77">
        <v>5</v>
      </c>
      <c r="H28" s="77">
        <v>0</v>
      </c>
      <c r="I28" s="77">
        <v>0</v>
      </c>
      <c r="J28" s="77">
        <v>0</v>
      </c>
      <c r="K28" s="77">
        <v>0</v>
      </c>
      <c r="L28" s="77">
        <v>0</v>
      </c>
      <c r="M28" s="77">
        <v>0</v>
      </c>
      <c r="N28" s="77">
        <v>0</v>
      </c>
    </row>
    <row r="29" spans="1:22" customFormat="1" ht="15" customHeight="1" x14ac:dyDescent="0.15">
      <c r="C29" s="191">
        <v>28</v>
      </c>
      <c r="E29" s="192" t="s">
        <v>223</v>
      </c>
      <c r="F29" s="77">
        <v>3</v>
      </c>
      <c r="P29" s="57" t="s">
        <v>224</v>
      </c>
    </row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5" bestFit="1" customWidth="1"/>
    <col min="2" max="2" width="2.33203125" style="135" bestFit="1" customWidth="1"/>
    <col min="3" max="5" width="4.83203125" style="135" bestFit="1" customWidth="1"/>
    <col min="6" max="6" width="11.83203125" style="135" bestFit="1" customWidth="1"/>
    <col min="7" max="7" width="2.33203125" style="135" bestFit="1" customWidth="1"/>
    <col min="8" max="10" width="4.83203125" style="135" bestFit="1" customWidth="1"/>
    <col min="11" max="11" width="5.83203125" style="135" bestFit="1" customWidth="1"/>
    <col min="12" max="12" width="3.83203125" style="135" bestFit="1" customWidth="1"/>
    <col min="13" max="13" width="5.83203125" style="135" bestFit="1" customWidth="1"/>
    <col min="14" max="14" width="14.83203125" style="135" bestFit="1" customWidth="1"/>
    <col min="15" max="15" width="3.83203125" style="135" bestFit="1" customWidth="1"/>
    <col min="16" max="16" width="4.83203125" style="135" bestFit="1" customWidth="1"/>
    <col min="17" max="18" width="5.83203125" style="135" bestFit="1" customWidth="1"/>
    <col min="19" max="19" width="13.83203125" style="135" bestFit="1" customWidth="1"/>
    <col min="20" max="23" width="5.83203125" style="135" bestFit="1" customWidth="1"/>
    <col min="24" max="25" width="13.83203125" style="135" bestFit="1" customWidth="1"/>
    <col min="26" max="26" width="7.83203125" style="135" bestFit="1" customWidth="1"/>
    <col min="27" max="28" width="2.33203125" style="135" bestFit="1" customWidth="1"/>
    <col min="29" max="29" width="9" style="135" bestFit="1" customWidth="1"/>
    <col min="30" max="16384" width="8.83203125" style="135"/>
  </cols>
  <sheetData>
    <row r="1" spans="1:34" x14ac:dyDescent="0.15">
      <c r="A1" s="134" t="s">
        <v>19</v>
      </c>
      <c r="B1" s="169" t="s">
        <v>193</v>
      </c>
      <c r="C1" s="169" t="s">
        <v>194</v>
      </c>
      <c r="D1" s="169" t="s">
        <v>195</v>
      </c>
      <c r="E1" s="169" t="s">
        <v>196</v>
      </c>
      <c r="F1" s="169" t="s">
        <v>197</v>
      </c>
      <c r="G1" s="169" t="s">
        <v>198</v>
      </c>
      <c r="H1" s="169" t="s">
        <v>199</v>
      </c>
      <c r="I1" s="169" t="s">
        <v>200</v>
      </c>
      <c r="J1" s="169" t="s">
        <v>201</v>
      </c>
      <c r="K1" s="169" t="s">
        <v>202</v>
      </c>
      <c r="L1" s="169" t="s">
        <v>203</v>
      </c>
      <c r="M1" s="169" t="s">
        <v>166</v>
      </c>
      <c r="N1" s="169" t="s">
        <v>204</v>
      </c>
      <c r="O1" s="169" t="s">
        <v>205</v>
      </c>
      <c r="P1" s="169" t="s">
        <v>206</v>
      </c>
      <c r="Q1" s="169" t="s">
        <v>207</v>
      </c>
      <c r="R1" s="169" t="s">
        <v>208</v>
      </c>
      <c r="S1" s="169" t="s">
        <v>209</v>
      </c>
      <c r="T1" s="169" t="s">
        <v>210</v>
      </c>
      <c r="U1" s="169" t="s">
        <v>211</v>
      </c>
      <c r="V1" s="169" t="s">
        <v>212</v>
      </c>
      <c r="W1" s="169" t="s">
        <v>213</v>
      </c>
      <c r="X1" s="169" t="s">
        <v>214</v>
      </c>
      <c r="Y1" s="169" t="s">
        <v>215</v>
      </c>
      <c r="Z1" s="169" t="s">
        <v>216</v>
      </c>
      <c r="AA1" s="169" t="s">
        <v>217</v>
      </c>
      <c r="AB1" s="169" t="s">
        <v>218</v>
      </c>
      <c r="AC1"/>
      <c r="AD1"/>
      <c r="AE1"/>
      <c r="AF1"/>
      <c r="AG1"/>
      <c r="AH1"/>
    </row>
    <row r="2" spans="1:34" customFormat="1" x14ac:dyDescent="0.15">
      <c r="A2" s="168" t="s">
        <v>193</v>
      </c>
      <c r="B2" s="135">
        <v>0</v>
      </c>
      <c r="C2" s="135">
        <v>0.48</v>
      </c>
      <c r="D2" s="135">
        <v>0.55000000000000004</v>
      </c>
      <c r="E2" s="135">
        <v>0.64</v>
      </c>
      <c r="F2" s="135">
        <v>1.9999998000000199E-2</v>
      </c>
      <c r="G2" s="135">
        <v>0</v>
      </c>
      <c r="H2" s="135">
        <v>0</v>
      </c>
      <c r="I2" s="135">
        <v>0.56000000000000005</v>
      </c>
      <c r="J2" s="135">
        <v>0.33</v>
      </c>
      <c r="K2" s="135">
        <v>0</v>
      </c>
      <c r="L2" s="135">
        <v>0</v>
      </c>
      <c r="M2" s="135">
        <v>0</v>
      </c>
      <c r="N2" s="135">
        <v>7.4700224100672308E-3</v>
      </c>
      <c r="O2" s="135">
        <v>0</v>
      </c>
      <c r="P2" s="135">
        <v>0</v>
      </c>
      <c r="Q2" s="135">
        <v>0</v>
      </c>
      <c r="R2" s="135">
        <v>0</v>
      </c>
      <c r="S2" s="135">
        <v>0</v>
      </c>
      <c r="T2" s="135">
        <v>0</v>
      </c>
      <c r="U2" s="135">
        <v>0</v>
      </c>
      <c r="V2" s="135">
        <v>0</v>
      </c>
      <c r="W2" s="135">
        <v>0</v>
      </c>
      <c r="X2" s="135">
        <v>0</v>
      </c>
      <c r="Y2" s="135">
        <v>0</v>
      </c>
      <c r="Z2" s="135">
        <v>0</v>
      </c>
      <c r="AA2" s="135">
        <v>0</v>
      </c>
      <c r="AB2" s="135">
        <v>0</v>
      </c>
    </row>
    <row r="3" spans="1:34" customFormat="1" x14ac:dyDescent="0.15">
      <c r="A3" s="168" t="s">
        <v>194</v>
      </c>
      <c r="B3" s="135">
        <v>0</v>
      </c>
      <c r="C3" s="135">
        <v>0.04</v>
      </c>
      <c r="D3" s="135">
        <v>0.45</v>
      </c>
      <c r="E3" s="135">
        <v>0</v>
      </c>
      <c r="F3" s="135">
        <v>0</v>
      </c>
      <c r="G3" s="135">
        <v>0</v>
      </c>
      <c r="H3" s="135">
        <v>0</v>
      </c>
      <c r="I3" s="135">
        <v>0.08</v>
      </c>
      <c r="J3" s="135">
        <v>0.04</v>
      </c>
      <c r="K3" s="135">
        <v>0</v>
      </c>
      <c r="L3" s="135">
        <v>0</v>
      </c>
      <c r="M3" s="135">
        <v>0</v>
      </c>
      <c r="N3" s="135">
        <v>5.9780179340538026E-3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  <c r="U3" s="135">
        <v>0</v>
      </c>
      <c r="V3" s="135">
        <v>0</v>
      </c>
      <c r="W3" s="135">
        <v>0</v>
      </c>
      <c r="X3" s="135">
        <v>0</v>
      </c>
      <c r="Y3" s="135">
        <v>0</v>
      </c>
      <c r="Z3" s="135">
        <v>0</v>
      </c>
      <c r="AA3" s="135">
        <v>0</v>
      </c>
      <c r="AB3" s="135">
        <v>0</v>
      </c>
    </row>
    <row r="4" spans="1:34" customFormat="1" x14ac:dyDescent="0.15">
      <c r="A4" s="168" t="s">
        <v>195</v>
      </c>
      <c r="B4" s="135">
        <v>0</v>
      </c>
      <c r="C4" s="135">
        <v>0</v>
      </c>
      <c r="D4" s="135">
        <v>0</v>
      </c>
      <c r="E4" s="135">
        <v>0.36</v>
      </c>
      <c r="F4" s="135">
        <v>0.62000003799999626</v>
      </c>
      <c r="G4" s="135">
        <v>0</v>
      </c>
      <c r="H4" s="135">
        <v>0</v>
      </c>
      <c r="I4" s="135">
        <v>0.18</v>
      </c>
      <c r="J4" s="135">
        <v>0.31</v>
      </c>
      <c r="K4" s="135">
        <v>0.06</v>
      </c>
      <c r="L4" s="135">
        <v>0.4</v>
      </c>
      <c r="M4" s="135">
        <v>0.02</v>
      </c>
      <c r="N4" s="135">
        <v>0.7741313223939672</v>
      </c>
      <c r="O4" s="135">
        <v>0.5</v>
      </c>
      <c r="P4" s="135">
        <v>0.15</v>
      </c>
      <c r="Q4" s="135">
        <v>0</v>
      </c>
      <c r="R4" s="135">
        <v>0.112</v>
      </c>
      <c r="S4" s="135">
        <v>0</v>
      </c>
      <c r="T4" s="135">
        <v>0</v>
      </c>
      <c r="U4" s="135">
        <v>0</v>
      </c>
      <c r="V4" s="135">
        <v>0.18</v>
      </c>
      <c r="W4" s="135">
        <v>0</v>
      </c>
      <c r="X4" s="135">
        <v>2.9999999400000012E-3</v>
      </c>
      <c r="Y4" s="135">
        <v>0</v>
      </c>
      <c r="Z4" s="135">
        <v>5.0170000000000013E-2</v>
      </c>
      <c r="AA4" s="135">
        <v>0</v>
      </c>
      <c r="AB4" s="135">
        <v>0</v>
      </c>
    </row>
    <row r="5" spans="1:34" customFormat="1" x14ac:dyDescent="0.15">
      <c r="A5" s="168" t="s">
        <v>196</v>
      </c>
      <c r="B5" s="135">
        <v>0</v>
      </c>
      <c r="C5" s="135">
        <v>0</v>
      </c>
      <c r="D5" s="135">
        <v>0</v>
      </c>
      <c r="E5" s="135">
        <v>0</v>
      </c>
      <c r="F5" s="135">
        <v>0.1199999880000012</v>
      </c>
      <c r="G5" s="135">
        <v>0</v>
      </c>
      <c r="H5" s="135">
        <v>0</v>
      </c>
      <c r="I5" s="135">
        <v>0.18</v>
      </c>
      <c r="J5" s="135">
        <v>0.32</v>
      </c>
      <c r="K5" s="135">
        <v>0.15</v>
      </c>
      <c r="L5" s="135">
        <v>0.6</v>
      </c>
      <c r="M5" s="135">
        <v>0.54</v>
      </c>
      <c r="N5" s="135">
        <v>0.16989050967152905</v>
      </c>
      <c r="O5" s="135">
        <v>0.2</v>
      </c>
      <c r="P5" s="135">
        <v>0.67</v>
      </c>
      <c r="Q5" s="135">
        <v>0.2</v>
      </c>
      <c r="R5" s="135">
        <v>0.49</v>
      </c>
      <c r="S5" s="135">
        <v>9.4914098297069371E-2</v>
      </c>
      <c r="T5" s="135">
        <v>0.27</v>
      </c>
      <c r="U5" s="135">
        <v>0.10999999999999997</v>
      </c>
      <c r="V5" s="135">
        <v>0.5</v>
      </c>
      <c r="W5" s="135">
        <v>0</v>
      </c>
      <c r="X5" s="135">
        <v>4.3000009139999809E-2</v>
      </c>
      <c r="Y5" s="135">
        <v>0</v>
      </c>
      <c r="Z5" s="135">
        <v>0.41597000000000012</v>
      </c>
      <c r="AA5" s="135">
        <v>0</v>
      </c>
      <c r="AB5" s="135">
        <v>0</v>
      </c>
    </row>
    <row r="6" spans="1:34" customFormat="1" x14ac:dyDescent="0.15">
      <c r="A6" s="168" t="s">
        <v>197</v>
      </c>
      <c r="B6" s="135">
        <v>0</v>
      </c>
      <c r="C6" s="135">
        <v>0</v>
      </c>
      <c r="D6" s="135">
        <v>0</v>
      </c>
      <c r="E6" s="135">
        <v>0</v>
      </c>
      <c r="F6" s="135">
        <v>3.9999996000000398E-2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2.5520076560229685E-2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</row>
    <row r="7" spans="1:34" customFormat="1" x14ac:dyDescent="0.15">
      <c r="A7" s="168" t="s">
        <v>198</v>
      </c>
      <c r="B7" s="135">
        <v>0</v>
      </c>
      <c r="C7" s="135">
        <v>0</v>
      </c>
      <c r="D7" s="135">
        <v>0</v>
      </c>
      <c r="E7" s="135">
        <v>0</v>
      </c>
      <c r="F7" s="135">
        <v>0</v>
      </c>
      <c r="G7" s="135">
        <v>0</v>
      </c>
      <c r="H7" s="135">
        <v>0.86</v>
      </c>
      <c r="I7" s="135">
        <v>0</v>
      </c>
      <c r="J7" s="135">
        <v>0</v>
      </c>
      <c r="K7" s="135">
        <v>0.65</v>
      </c>
      <c r="L7" s="135">
        <v>0</v>
      </c>
      <c r="M7" s="135">
        <v>0</v>
      </c>
      <c r="N7" s="135">
        <v>0</v>
      </c>
      <c r="O7" s="135">
        <v>0.3</v>
      </c>
      <c r="P7" s="135">
        <v>0.1</v>
      </c>
      <c r="Q7" s="135">
        <v>0</v>
      </c>
      <c r="R7" s="135">
        <v>0</v>
      </c>
      <c r="S7" s="135">
        <v>0</v>
      </c>
      <c r="T7" s="135">
        <v>0.18</v>
      </c>
      <c r="U7" s="135">
        <v>0.26999999999999996</v>
      </c>
      <c r="V7" s="135">
        <v>0</v>
      </c>
      <c r="W7" s="135">
        <v>0.215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</row>
    <row r="8" spans="1:34" customFormat="1" x14ac:dyDescent="0.15">
      <c r="A8" s="168" t="s">
        <v>199</v>
      </c>
      <c r="B8" s="135">
        <v>0</v>
      </c>
      <c r="C8" s="135">
        <v>0</v>
      </c>
      <c r="D8" s="135">
        <v>0</v>
      </c>
      <c r="E8" s="135">
        <v>0</v>
      </c>
      <c r="F8" s="135">
        <v>0</v>
      </c>
      <c r="G8" s="135">
        <v>0</v>
      </c>
      <c r="H8" s="135">
        <v>7.0000000000000007E-2</v>
      </c>
      <c r="I8" s="135">
        <v>0</v>
      </c>
      <c r="J8" s="135">
        <v>0</v>
      </c>
      <c r="K8" s="135">
        <v>2.5000000000000001E-2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0.05</v>
      </c>
      <c r="U8" s="135">
        <v>0.15999999999999998</v>
      </c>
      <c r="V8" s="135">
        <v>0</v>
      </c>
      <c r="W8" s="135">
        <v>0.17</v>
      </c>
      <c r="X8" s="135">
        <v>0</v>
      </c>
      <c r="Y8" s="135">
        <v>0</v>
      </c>
      <c r="Z8" s="135">
        <v>0</v>
      </c>
      <c r="AA8" s="135">
        <v>0</v>
      </c>
      <c r="AB8" s="135">
        <v>0</v>
      </c>
    </row>
    <row r="9" spans="1:34" customFormat="1" x14ac:dyDescent="0.15">
      <c r="A9" s="168" t="s">
        <v>200</v>
      </c>
      <c r="B9" s="135">
        <v>0</v>
      </c>
      <c r="C9" s="135">
        <v>0</v>
      </c>
      <c r="D9" s="135">
        <v>0</v>
      </c>
      <c r="E9" s="135">
        <v>0</v>
      </c>
      <c r="F9" s="135">
        <v>0</v>
      </c>
      <c r="G9" s="135">
        <v>0</v>
      </c>
      <c r="H9" s="135">
        <v>0</v>
      </c>
      <c r="I9" s="135">
        <v>0</v>
      </c>
      <c r="J9" s="135">
        <v>0</v>
      </c>
      <c r="K9" s="135">
        <v>0</v>
      </c>
      <c r="L9" s="135">
        <v>0</v>
      </c>
      <c r="M9" s="135">
        <v>0.14299999999999999</v>
      </c>
      <c r="N9" s="135">
        <v>0</v>
      </c>
      <c r="O9" s="135">
        <v>0</v>
      </c>
      <c r="P9" s="135">
        <v>0</v>
      </c>
      <c r="Q9" s="135">
        <v>1.7000000000000001E-2</v>
      </c>
      <c r="R9" s="135">
        <v>0</v>
      </c>
      <c r="S9" s="135">
        <v>0.30402885537866398</v>
      </c>
      <c r="T9" s="135">
        <v>0</v>
      </c>
      <c r="U9" s="135">
        <v>0</v>
      </c>
      <c r="V9" s="135">
        <v>7.5999999999999998E-2</v>
      </c>
      <c r="W9" s="135">
        <v>1.2E-2</v>
      </c>
      <c r="X9" s="135">
        <v>3.7999999240000013E-2</v>
      </c>
      <c r="Y9" s="135">
        <v>0.31500000630000008</v>
      </c>
      <c r="Z9" s="135">
        <v>9.1600000000000015E-3</v>
      </c>
      <c r="AA9" s="135">
        <v>0</v>
      </c>
      <c r="AB9" s="135">
        <v>0</v>
      </c>
    </row>
    <row r="10" spans="1:34" customFormat="1" x14ac:dyDescent="0.15">
      <c r="A10" s="168" t="s">
        <v>201</v>
      </c>
      <c r="B10" s="135">
        <v>0</v>
      </c>
      <c r="C10" s="135">
        <v>0</v>
      </c>
      <c r="D10" s="135">
        <v>0</v>
      </c>
      <c r="E10" s="135">
        <v>0</v>
      </c>
      <c r="F10" s="135">
        <v>0</v>
      </c>
      <c r="G10" s="135">
        <v>0</v>
      </c>
      <c r="H10" s="135">
        <v>0</v>
      </c>
      <c r="I10" s="135">
        <v>0</v>
      </c>
      <c r="J10" s="135">
        <v>0</v>
      </c>
      <c r="K10" s="135">
        <v>0</v>
      </c>
      <c r="L10" s="135">
        <v>0</v>
      </c>
      <c r="M10" s="135">
        <v>1.0999999999999999E-2</v>
      </c>
      <c r="N10" s="135">
        <v>0</v>
      </c>
      <c r="O10" s="135">
        <v>0</v>
      </c>
      <c r="P10" s="135">
        <v>0</v>
      </c>
      <c r="Q10" s="135">
        <v>3.0000000000000001E-3</v>
      </c>
      <c r="R10" s="135">
        <v>0</v>
      </c>
      <c r="S10" s="135">
        <v>2.2002088218192786E-2</v>
      </c>
      <c r="T10" s="135">
        <v>0</v>
      </c>
      <c r="U10" s="135">
        <v>0</v>
      </c>
      <c r="V10" s="135">
        <v>1E-3</v>
      </c>
      <c r="W10" s="135">
        <v>0.01</v>
      </c>
      <c r="X10" s="135">
        <v>0.14899999702000002</v>
      </c>
      <c r="Y10" s="135">
        <v>1.6000000320000006E-2</v>
      </c>
      <c r="Z10" s="135">
        <v>5.3900000000000007E-3</v>
      </c>
      <c r="AA10" s="135">
        <v>0</v>
      </c>
      <c r="AB10" s="135">
        <v>0</v>
      </c>
    </row>
    <row r="11" spans="1:34" customFormat="1" x14ac:dyDescent="0.15">
      <c r="A11" s="168" t="s">
        <v>202</v>
      </c>
      <c r="B11" s="135">
        <v>0</v>
      </c>
      <c r="C11" s="135">
        <v>0</v>
      </c>
      <c r="D11" s="135">
        <v>0</v>
      </c>
      <c r="E11" s="135">
        <v>0</v>
      </c>
      <c r="F11" s="135">
        <v>0</v>
      </c>
      <c r="G11" s="135">
        <v>0</v>
      </c>
      <c r="H11" s="135">
        <v>0</v>
      </c>
      <c r="I11" s="135">
        <v>0</v>
      </c>
      <c r="J11" s="135">
        <v>0</v>
      </c>
      <c r="K11" s="135">
        <v>5.0000000000000001E-3</v>
      </c>
      <c r="L11" s="135">
        <v>0</v>
      </c>
      <c r="M11" s="135">
        <v>5.0000000000000001E-3</v>
      </c>
      <c r="N11" s="135">
        <v>0</v>
      </c>
      <c r="O11" s="135">
        <v>0</v>
      </c>
      <c r="P11" s="135">
        <v>0.06</v>
      </c>
      <c r="Q11" s="135">
        <v>0.05</v>
      </c>
      <c r="R11" s="135">
        <v>0.28000000000000003</v>
      </c>
      <c r="S11" s="135">
        <v>5.0004745950438155E-2</v>
      </c>
      <c r="T11" s="135">
        <v>0.04</v>
      </c>
      <c r="U11" s="135">
        <v>0</v>
      </c>
      <c r="V11" s="135">
        <v>1.9E-2</v>
      </c>
      <c r="W11" s="135">
        <v>2.5000000000000001E-2</v>
      </c>
      <c r="X11" s="135">
        <v>0.46499999070000014</v>
      </c>
      <c r="Y11" s="135">
        <v>7.7000001540000015E-2</v>
      </c>
      <c r="Z11" s="135">
        <v>6.5790000000000015E-2</v>
      </c>
      <c r="AA11" s="135">
        <v>0</v>
      </c>
      <c r="AB11" s="135">
        <v>0</v>
      </c>
    </row>
    <row r="12" spans="1:34" customFormat="1" x14ac:dyDescent="0.15">
      <c r="A12" s="168" t="s">
        <v>203</v>
      </c>
      <c r="B12" s="135">
        <v>0</v>
      </c>
      <c r="C12" s="135">
        <v>0</v>
      </c>
      <c r="D12" s="135">
        <v>0</v>
      </c>
      <c r="E12" s="135">
        <v>0</v>
      </c>
      <c r="F12" s="135">
        <v>0</v>
      </c>
      <c r="G12" s="135">
        <v>0</v>
      </c>
      <c r="H12" s="135">
        <v>0</v>
      </c>
      <c r="I12" s="135">
        <v>0</v>
      </c>
      <c r="J12" s="135">
        <v>0</v>
      </c>
      <c r="K12" s="135">
        <v>5.0000000000000001E-3</v>
      </c>
      <c r="L12" s="135">
        <v>0</v>
      </c>
      <c r="M12" s="135">
        <v>9.2999999999999999E-2</v>
      </c>
      <c r="N12" s="135">
        <v>0</v>
      </c>
      <c r="O12" s="135">
        <v>0</v>
      </c>
      <c r="P12" s="135">
        <v>0.02</v>
      </c>
      <c r="Q12" s="135">
        <v>0.13300000000000001</v>
      </c>
      <c r="R12" s="135">
        <v>2.3E-2</v>
      </c>
      <c r="S12" s="135">
        <v>7.6007213844665994E-2</v>
      </c>
      <c r="T12" s="135">
        <v>8.5000000000000006E-2</v>
      </c>
      <c r="U12" s="135">
        <v>2.9999999999999992E-2</v>
      </c>
      <c r="V12" s="135">
        <v>3.5999999999999997E-2</v>
      </c>
      <c r="W12" s="135">
        <v>2.5000000000000001E-2</v>
      </c>
      <c r="X12" s="135">
        <v>4.9999999000000017E-2</v>
      </c>
      <c r="Y12" s="135">
        <v>0.10400000208000003</v>
      </c>
      <c r="Z12" s="135">
        <v>0</v>
      </c>
      <c r="AA12" s="135">
        <v>0</v>
      </c>
      <c r="AB12" s="135">
        <v>0</v>
      </c>
    </row>
    <row r="13" spans="1:34" customFormat="1" x14ac:dyDescent="0.15">
      <c r="A13" s="168" t="s">
        <v>166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0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0.01</v>
      </c>
      <c r="N13" s="135">
        <v>0</v>
      </c>
      <c r="O13" s="135">
        <v>0</v>
      </c>
      <c r="P13" s="135">
        <v>0</v>
      </c>
      <c r="Q13" s="135">
        <v>0.29499999999999998</v>
      </c>
      <c r="R13" s="135">
        <v>7.0000000000000007E-2</v>
      </c>
      <c r="S13" s="135">
        <v>2.900275265125413E-2</v>
      </c>
      <c r="T13" s="135">
        <v>3.5000000000000003E-2</v>
      </c>
      <c r="U13" s="135">
        <v>0.19999999999999996</v>
      </c>
      <c r="V13" s="135">
        <v>0.104</v>
      </c>
      <c r="W13" s="135">
        <v>0.1</v>
      </c>
      <c r="X13" s="135">
        <v>4.5000009099999815E-2</v>
      </c>
      <c r="Y13" s="135">
        <v>3.5000000700000013E-2</v>
      </c>
      <c r="Z13" s="135">
        <v>0.25370000000000004</v>
      </c>
      <c r="AA13" s="135">
        <v>0</v>
      </c>
      <c r="AB13" s="135">
        <v>0</v>
      </c>
    </row>
    <row r="14" spans="1:34" customFormat="1" x14ac:dyDescent="0.15">
      <c r="A14" s="168" t="s">
        <v>204</v>
      </c>
      <c r="B14" s="135">
        <v>0</v>
      </c>
      <c r="C14" s="135">
        <v>0</v>
      </c>
      <c r="D14" s="135">
        <v>0</v>
      </c>
      <c r="E14" s="135">
        <v>0</v>
      </c>
      <c r="F14" s="135">
        <v>0</v>
      </c>
      <c r="G14" s="135">
        <v>0</v>
      </c>
      <c r="H14" s="135">
        <v>0</v>
      </c>
      <c r="I14" s="135">
        <v>0</v>
      </c>
      <c r="J14" s="135">
        <v>0</v>
      </c>
      <c r="K14" s="135">
        <v>0.01</v>
      </c>
      <c r="L14" s="135">
        <v>0</v>
      </c>
      <c r="M14" s="135">
        <v>6.8000000000000005E-2</v>
      </c>
      <c r="N14" s="135">
        <v>0</v>
      </c>
      <c r="O14" s="135">
        <v>0</v>
      </c>
      <c r="P14" s="135">
        <v>0</v>
      </c>
      <c r="Q14" s="135">
        <v>0.08</v>
      </c>
      <c r="R14" s="135">
        <v>2.5000000000000001E-2</v>
      </c>
      <c r="S14" s="135">
        <v>5.5005220545481966E-2</v>
      </c>
      <c r="T14" s="135">
        <v>0.01</v>
      </c>
      <c r="U14" s="135">
        <v>2.4999999999999994E-2</v>
      </c>
      <c r="V14" s="135">
        <v>3.4000000000000002E-2</v>
      </c>
      <c r="W14" s="135">
        <v>7.0000000000000007E-2</v>
      </c>
      <c r="X14" s="135">
        <v>8.2999998340000034E-2</v>
      </c>
      <c r="Y14" s="135">
        <v>2.3000000460000006E-2</v>
      </c>
      <c r="Z14" s="135">
        <v>3.7700000000000008E-3</v>
      </c>
      <c r="AA14" s="135">
        <v>0</v>
      </c>
      <c r="AB14" s="135">
        <v>0</v>
      </c>
    </row>
    <row r="15" spans="1:34" customFormat="1" x14ac:dyDescent="0.15">
      <c r="A15" s="168" t="s">
        <v>205</v>
      </c>
      <c r="B15" s="135">
        <v>0</v>
      </c>
      <c r="C15" s="135">
        <v>0</v>
      </c>
      <c r="D15" s="135">
        <v>0</v>
      </c>
      <c r="E15" s="135">
        <v>0</v>
      </c>
      <c r="F15" s="135">
        <v>0</v>
      </c>
      <c r="G15" s="135">
        <v>0</v>
      </c>
      <c r="H15" s="135">
        <v>0</v>
      </c>
      <c r="I15" s="135">
        <v>0</v>
      </c>
      <c r="J15" s="135">
        <v>0</v>
      </c>
      <c r="K15" s="135">
        <v>0</v>
      </c>
      <c r="L15" s="135">
        <v>0</v>
      </c>
      <c r="M15" s="135">
        <v>0.1</v>
      </c>
      <c r="N15" s="135">
        <v>0</v>
      </c>
      <c r="O15" s="135">
        <v>0</v>
      </c>
      <c r="P15" s="135">
        <v>0</v>
      </c>
      <c r="Q15" s="135">
        <v>2.8000000000000001E-2</v>
      </c>
      <c r="R15" s="135">
        <v>0</v>
      </c>
      <c r="S15" s="135">
        <v>7.2006834168630934E-2</v>
      </c>
      <c r="T15" s="135">
        <v>0</v>
      </c>
      <c r="U15" s="135">
        <v>0</v>
      </c>
      <c r="V15" s="135">
        <v>0</v>
      </c>
      <c r="W15" s="135">
        <v>3.0000000000000001E-3</v>
      </c>
      <c r="X15" s="135">
        <v>4.9999999000000014E-3</v>
      </c>
      <c r="Y15" s="135">
        <v>4.9999990999999813E-2</v>
      </c>
      <c r="Z15" s="135">
        <v>5.0020000000000016E-2</v>
      </c>
      <c r="AA15" s="135">
        <v>0</v>
      </c>
      <c r="AB15" s="135">
        <v>0</v>
      </c>
    </row>
    <row r="16" spans="1:34" customFormat="1" x14ac:dyDescent="0.15">
      <c r="A16" s="168" t="s">
        <v>206</v>
      </c>
      <c r="B16" s="135">
        <v>0</v>
      </c>
      <c r="C16" s="135">
        <v>0</v>
      </c>
      <c r="D16" s="135">
        <v>0</v>
      </c>
      <c r="E16" s="135">
        <v>0</v>
      </c>
      <c r="F16" s="135">
        <v>0</v>
      </c>
      <c r="G16" s="135">
        <v>0</v>
      </c>
      <c r="H16" s="135">
        <v>0</v>
      </c>
      <c r="I16" s="135">
        <v>0</v>
      </c>
      <c r="J16" s="135">
        <v>0</v>
      </c>
      <c r="K16" s="135">
        <v>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2.3002183137201551E-2</v>
      </c>
      <c r="T16" s="135">
        <v>0</v>
      </c>
      <c r="U16" s="135">
        <v>1.4999999999999996E-2</v>
      </c>
      <c r="V16" s="135">
        <v>0.02</v>
      </c>
      <c r="W16" s="135">
        <v>0.02</v>
      </c>
      <c r="X16" s="135">
        <v>0</v>
      </c>
      <c r="Y16" s="135">
        <v>5.2999991059999814E-2</v>
      </c>
      <c r="Z16" s="135">
        <v>4.3110000000000009E-2</v>
      </c>
      <c r="AA16" s="135">
        <v>0</v>
      </c>
      <c r="AB16" s="135">
        <v>0</v>
      </c>
    </row>
    <row r="17" spans="1:28" customFormat="1" x14ac:dyDescent="0.15">
      <c r="A17" s="168" t="s">
        <v>207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v>0</v>
      </c>
      <c r="I17" s="135">
        <v>0</v>
      </c>
      <c r="J17" s="135">
        <v>0</v>
      </c>
      <c r="K17" s="135">
        <v>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4.0000000000000001E-3</v>
      </c>
      <c r="X17" s="135">
        <v>2.9999999400000012E-3</v>
      </c>
      <c r="Y17" s="135">
        <v>0</v>
      </c>
      <c r="Z17" s="135">
        <v>1.8860000000000002E-2</v>
      </c>
      <c r="AA17" s="135">
        <v>0</v>
      </c>
      <c r="AB17" s="135">
        <v>0</v>
      </c>
    </row>
    <row r="18" spans="1:28" customFormat="1" x14ac:dyDescent="0.15">
      <c r="A18" s="168" t="s">
        <v>208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5">
        <v>0</v>
      </c>
      <c r="H18" s="135">
        <v>0</v>
      </c>
      <c r="I18" s="135">
        <v>0</v>
      </c>
      <c r="J18" s="135">
        <v>0</v>
      </c>
      <c r="K18" s="135">
        <v>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2.3E-2</v>
      </c>
      <c r="R18" s="135">
        <v>0</v>
      </c>
      <c r="S18" s="135">
        <v>0.11301072584799023</v>
      </c>
      <c r="T18" s="135">
        <v>1.2999999999999999E-2</v>
      </c>
      <c r="U18" s="135">
        <v>0</v>
      </c>
      <c r="V18" s="135">
        <v>0</v>
      </c>
      <c r="W18" s="135">
        <v>0</v>
      </c>
      <c r="X18" s="135">
        <v>1.9999999600000006E-3</v>
      </c>
      <c r="Y18" s="135">
        <v>0.15800000316000004</v>
      </c>
      <c r="Z18" s="135">
        <v>0</v>
      </c>
      <c r="AA18" s="135">
        <v>0</v>
      </c>
      <c r="AB18" s="135">
        <v>0</v>
      </c>
    </row>
    <row r="19" spans="1:28" customFormat="1" x14ac:dyDescent="0.15">
      <c r="A19" s="168" t="s">
        <v>209</v>
      </c>
      <c r="B19" s="135">
        <v>0</v>
      </c>
      <c r="C19" s="135">
        <v>0</v>
      </c>
      <c r="D19" s="135">
        <v>0</v>
      </c>
      <c r="E19" s="135">
        <v>0</v>
      </c>
      <c r="F19" s="135">
        <v>0</v>
      </c>
      <c r="G19" s="135">
        <v>0</v>
      </c>
      <c r="H19" s="135">
        <v>0</v>
      </c>
      <c r="I19" s="135">
        <v>0</v>
      </c>
      <c r="J19" s="135">
        <v>0</v>
      </c>
      <c r="K19" s="135">
        <v>0</v>
      </c>
      <c r="L19" s="135">
        <v>0</v>
      </c>
      <c r="M19" s="135">
        <v>0.01</v>
      </c>
      <c r="N19" s="135">
        <v>0</v>
      </c>
      <c r="O19" s="135">
        <v>0</v>
      </c>
      <c r="P19" s="135">
        <v>0</v>
      </c>
      <c r="Q19" s="135">
        <v>2.5000000000000001E-2</v>
      </c>
      <c r="R19" s="135">
        <v>0</v>
      </c>
      <c r="S19" s="135">
        <v>6.8006454492595889E-2</v>
      </c>
      <c r="T19" s="135">
        <v>0.112</v>
      </c>
      <c r="U19" s="135">
        <v>3.4999999999999996E-2</v>
      </c>
      <c r="V19" s="135">
        <v>0</v>
      </c>
      <c r="W19" s="135">
        <v>2E-3</v>
      </c>
      <c r="X19" s="135">
        <v>5.1999998960000016E-2</v>
      </c>
      <c r="Y19" s="135">
        <v>0.15800000316000004</v>
      </c>
      <c r="Z19" s="135">
        <v>2.4250000000000008E-2</v>
      </c>
      <c r="AA19" s="135">
        <v>0</v>
      </c>
      <c r="AB19" s="135">
        <v>0</v>
      </c>
    </row>
    <row r="20" spans="1:28" customFormat="1" x14ac:dyDescent="0.15">
      <c r="A20" s="168" t="s">
        <v>210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4.5999999999999999E-2</v>
      </c>
      <c r="R20" s="135">
        <v>0</v>
      </c>
      <c r="S20" s="135">
        <v>6.0005695140525783E-2</v>
      </c>
      <c r="T20" s="135">
        <v>0</v>
      </c>
      <c r="U20" s="135">
        <v>4.4999999999999991E-2</v>
      </c>
      <c r="V20" s="135">
        <v>0.02</v>
      </c>
      <c r="W20" s="135">
        <v>2E-3</v>
      </c>
      <c r="X20" s="135">
        <v>4.5999999080000013E-2</v>
      </c>
      <c r="Y20" s="135">
        <v>0</v>
      </c>
      <c r="Z20" s="135">
        <v>2.4250000000000008E-2</v>
      </c>
      <c r="AA20" s="135">
        <v>0</v>
      </c>
      <c r="AB20" s="135">
        <v>0</v>
      </c>
    </row>
    <row r="21" spans="1:28" customFormat="1" x14ac:dyDescent="0.15">
      <c r="A21" s="168" t="s">
        <v>211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0</v>
      </c>
      <c r="I21" s="135">
        <v>0</v>
      </c>
      <c r="J21" s="135">
        <v>0</v>
      </c>
      <c r="K21" s="135">
        <v>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2.0001898380175263E-2</v>
      </c>
      <c r="T21" s="135">
        <v>7.4999999999999997E-2</v>
      </c>
      <c r="U21" s="135">
        <v>9.9999999999999985E-3</v>
      </c>
      <c r="V21" s="135">
        <v>0</v>
      </c>
      <c r="W21" s="135">
        <v>0.05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</row>
    <row r="22" spans="1:28" customFormat="1" x14ac:dyDescent="0.15">
      <c r="A22" s="168" t="s">
        <v>212</v>
      </c>
      <c r="B22" s="135">
        <v>0</v>
      </c>
      <c r="C22" s="135">
        <v>0</v>
      </c>
      <c r="D22" s="135">
        <v>0</v>
      </c>
      <c r="E22" s="135">
        <v>0</v>
      </c>
      <c r="F22" s="135">
        <v>0</v>
      </c>
      <c r="G22" s="135">
        <v>0</v>
      </c>
      <c r="H22" s="135">
        <v>0</v>
      </c>
      <c r="I22" s="135">
        <v>0</v>
      </c>
      <c r="J22" s="135">
        <v>0</v>
      </c>
      <c r="K22" s="135">
        <v>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0.1</v>
      </c>
      <c r="R22" s="135">
        <v>0</v>
      </c>
      <c r="S22" s="135">
        <v>1.3001233947113919E-2</v>
      </c>
      <c r="T22" s="135">
        <v>0.04</v>
      </c>
      <c r="U22" s="135">
        <v>9.9999999999999985E-3</v>
      </c>
      <c r="V22" s="135">
        <v>0.01</v>
      </c>
      <c r="W22" s="135">
        <v>0.02</v>
      </c>
      <c r="X22" s="135">
        <v>1.4999999700000004E-2</v>
      </c>
      <c r="Y22" s="135">
        <v>1.1000000220000002E-2</v>
      </c>
      <c r="Z22" s="135">
        <v>0</v>
      </c>
      <c r="AA22" s="135">
        <v>0</v>
      </c>
      <c r="AB22" s="135">
        <v>0</v>
      </c>
    </row>
    <row r="23" spans="1:28" customFormat="1" x14ac:dyDescent="0.15">
      <c r="A23" s="168" t="s">
        <v>213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0</v>
      </c>
      <c r="I23" s="135">
        <v>0</v>
      </c>
      <c r="J23" s="135">
        <v>0</v>
      </c>
      <c r="K23" s="135">
        <v>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0.1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</row>
    <row r="24" spans="1:28" customFormat="1" x14ac:dyDescent="0.15">
      <c r="A24" s="168" t="s">
        <v>214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5">
        <v>0</v>
      </c>
      <c r="Z24" s="135">
        <v>2.6900000000000006E-3</v>
      </c>
      <c r="AA24" s="135">
        <v>0</v>
      </c>
      <c r="AB24" s="135">
        <v>0</v>
      </c>
    </row>
    <row r="25" spans="1:28" customFormat="1" x14ac:dyDescent="0.15">
      <c r="A25" s="168" t="s">
        <v>215</v>
      </c>
      <c r="B25" s="135">
        <v>0</v>
      </c>
      <c r="C25" s="135">
        <v>0</v>
      </c>
      <c r="D25" s="135">
        <v>0</v>
      </c>
      <c r="E25" s="135">
        <v>0</v>
      </c>
      <c r="F25" s="135">
        <v>0</v>
      </c>
      <c r="G25" s="135">
        <v>0</v>
      </c>
      <c r="H25" s="135">
        <v>0</v>
      </c>
      <c r="I25" s="135">
        <v>0</v>
      </c>
      <c r="J25" s="135">
        <v>0</v>
      </c>
      <c r="K25" s="135">
        <v>0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5">
        <v>2E-3</v>
      </c>
      <c r="X25" s="135">
        <v>9.9999998000000032E-4</v>
      </c>
      <c r="Y25" s="135">
        <v>0</v>
      </c>
      <c r="Z25" s="135">
        <v>3.287000000000001E-2</v>
      </c>
      <c r="AA25" s="135">
        <v>0</v>
      </c>
      <c r="AB25" s="135">
        <v>0</v>
      </c>
    </row>
    <row r="26" spans="1:28" customFormat="1" x14ac:dyDescent="0.15">
      <c r="A26" s="168" t="s">
        <v>216</v>
      </c>
      <c r="B26" s="135">
        <v>0</v>
      </c>
      <c r="C26" s="135">
        <v>0</v>
      </c>
      <c r="D26" s="135">
        <v>0</v>
      </c>
      <c r="E26" s="135">
        <v>0</v>
      </c>
      <c r="F26" s="135">
        <v>0</v>
      </c>
      <c r="G26" s="135">
        <v>0</v>
      </c>
      <c r="H26" s="135">
        <v>0</v>
      </c>
      <c r="I26" s="135">
        <v>0</v>
      </c>
      <c r="J26" s="135">
        <v>0</v>
      </c>
      <c r="K26" s="135">
        <v>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</row>
    <row r="27" spans="1:28" customFormat="1" x14ac:dyDescent="0.15">
      <c r="A27" s="168" t="s">
        <v>217</v>
      </c>
      <c r="B27" s="135">
        <v>0</v>
      </c>
      <c r="C27" s="135">
        <v>0.48</v>
      </c>
      <c r="D27" s="135">
        <v>0</v>
      </c>
      <c r="E27" s="135">
        <v>0</v>
      </c>
      <c r="F27" s="135">
        <v>0.19999998000000199</v>
      </c>
      <c r="G27" s="135">
        <v>1</v>
      </c>
      <c r="H27" s="135">
        <v>7.0000000000000007E-2</v>
      </c>
      <c r="I27" s="135">
        <v>0</v>
      </c>
      <c r="J27" s="135">
        <v>0</v>
      </c>
      <c r="K27" s="135">
        <v>9.5000000000000001E-2</v>
      </c>
      <c r="L27" s="135">
        <v>0</v>
      </c>
      <c r="M27" s="135">
        <v>0</v>
      </c>
      <c r="N27" s="135">
        <v>1.7010051030153094E-2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0.09</v>
      </c>
      <c r="U27" s="135">
        <v>8.9999999999999983E-2</v>
      </c>
      <c r="V27" s="135">
        <v>0</v>
      </c>
      <c r="W27" s="135">
        <v>0.17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</row>
    <row r="28" spans="1:28" customFormat="1" x14ac:dyDescent="0.15">
      <c r="A28" s="168" t="s">
        <v>218</v>
      </c>
      <c r="B28" s="135">
        <v>0</v>
      </c>
      <c r="C28" s="135">
        <v>0</v>
      </c>
      <c r="D28" s="135">
        <v>0</v>
      </c>
      <c r="E28" s="135">
        <v>0</v>
      </c>
      <c r="F28" s="135">
        <v>0</v>
      </c>
      <c r="G28" s="135">
        <v>0</v>
      </c>
      <c r="H28" s="135">
        <v>0</v>
      </c>
      <c r="I28" s="135">
        <v>0</v>
      </c>
      <c r="J28" s="135">
        <v>0</v>
      </c>
      <c r="K28" s="135">
        <v>0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</row>
    <row r="29" spans="1:28" customFormat="1" x14ac:dyDescent="0.15">
      <c r="A29" s="168" t="s">
        <v>219</v>
      </c>
      <c r="B29" s="135">
        <v>0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5">
        <v>0</v>
      </c>
      <c r="Z29" s="135">
        <v>0</v>
      </c>
      <c r="AA29" s="135">
        <v>0</v>
      </c>
      <c r="AB29" s="135">
        <v>0</v>
      </c>
    </row>
    <row r="30" spans="1:28" customFormat="1" x14ac:dyDescent="0.15"/>
    <row r="31" spans="1:28" customFormat="1" x14ac:dyDescent="0.15"/>
    <row r="32" spans="1:2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F31" sqref="F31"/>
    </sheetView>
  </sheetViews>
  <sheetFormatPr baseColWidth="10" defaultColWidth="8.83203125" defaultRowHeight="13" x14ac:dyDescent="0.15"/>
  <cols>
    <col min="1" max="1" width="3.33203125" customWidth="1"/>
    <col min="2" max="2" width="15.83203125" customWidth="1"/>
    <col min="3" max="4" width="16.5" style="105" customWidth="1"/>
    <col min="5" max="6" width="16.5" style="104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71" t="s">
        <v>217</v>
      </c>
      <c r="D1" s="171" t="s">
        <v>218</v>
      </c>
      <c r="E1" s="171" t="s">
        <v>220</v>
      </c>
      <c r="F1" s="171" t="s">
        <v>221</v>
      </c>
      <c r="G1"/>
      <c r="H1"/>
    </row>
    <row r="2" spans="1:8" x14ac:dyDescent="0.15">
      <c r="A2">
        <v>1</v>
      </c>
      <c r="B2" s="170" t="s">
        <v>193</v>
      </c>
      <c r="C2" s="105">
        <v>1</v>
      </c>
      <c r="D2" s="105">
        <v>0</v>
      </c>
      <c r="E2" s="104">
        <v>0</v>
      </c>
      <c r="F2" s="104">
        <f>SUM(C2:E2)</f>
        <v>1</v>
      </c>
      <c r="G2"/>
      <c r="H2"/>
    </row>
    <row r="3" spans="1:8" x14ac:dyDescent="0.15">
      <c r="A3">
        <v>2</v>
      </c>
      <c r="B3" s="170" t="s">
        <v>194</v>
      </c>
      <c r="C3" s="105">
        <v>1</v>
      </c>
      <c r="D3" s="105">
        <v>0</v>
      </c>
      <c r="E3" s="104">
        <v>0</v>
      </c>
      <c r="F3" s="104">
        <f t="shared" ref="F3:F29" si="0">SUM(C3:E3)</f>
        <v>1</v>
      </c>
      <c r="G3"/>
      <c r="H3"/>
    </row>
    <row r="4" spans="1:8" x14ac:dyDescent="0.15">
      <c r="A4">
        <v>3</v>
      </c>
      <c r="B4" s="170" t="s">
        <v>195</v>
      </c>
      <c r="C4" s="105">
        <v>1</v>
      </c>
      <c r="D4" s="105">
        <v>0</v>
      </c>
      <c r="E4" s="104">
        <v>0</v>
      </c>
      <c r="F4" s="104">
        <f t="shared" si="0"/>
        <v>1</v>
      </c>
      <c r="G4"/>
      <c r="H4"/>
    </row>
    <row r="5" spans="1:8" x14ac:dyDescent="0.15">
      <c r="A5">
        <v>4</v>
      </c>
      <c r="B5" s="170" t="s">
        <v>196</v>
      </c>
      <c r="C5" s="105">
        <v>1</v>
      </c>
      <c r="D5" s="105">
        <v>0</v>
      </c>
      <c r="E5" s="104">
        <v>0</v>
      </c>
      <c r="F5" s="104">
        <f t="shared" si="0"/>
        <v>1</v>
      </c>
      <c r="G5"/>
      <c r="H5"/>
    </row>
    <row r="6" spans="1:8" x14ac:dyDescent="0.15">
      <c r="A6">
        <v>5</v>
      </c>
      <c r="B6" s="170" t="s">
        <v>197</v>
      </c>
      <c r="C6" s="105">
        <v>1</v>
      </c>
      <c r="D6" s="105">
        <v>0</v>
      </c>
      <c r="E6" s="104">
        <v>0</v>
      </c>
      <c r="F6" s="104">
        <f t="shared" si="0"/>
        <v>1</v>
      </c>
      <c r="G6"/>
      <c r="H6"/>
    </row>
    <row r="7" spans="1:8" x14ac:dyDescent="0.15">
      <c r="A7">
        <v>6</v>
      </c>
      <c r="B7" s="170" t="s">
        <v>198</v>
      </c>
      <c r="C7" s="105">
        <v>1</v>
      </c>
      <c r="D7" s="105">
        <v>0</v>
      </c>
      <c r="E7" s="104">
        <v>0</v>
      </c>
      <c r="F7" s="104">
        <f t="shared" si="0"/>
        <v>1</v>
      </c>
      <c r="G7"/>
      <c r="H7"/>
    </row>
    <row r="8" spans="1:8" x14ac:dyDescent="0.15">
      <c r="A8">
        <v>7</v>
      </c>
      <c r="B8" s="170" t="s">
        <v>199</v>
      </c>
      <c r="C8" s="105">
        <v>1</v>
      </c>
      <c r="D8" s="105">
        <v>0</v>
      </c>
      <c r="E8" s="104">
        <v>0</v>
      </c>
      <c r="F8" s="104">
        <f t="shared" si="0"/>
        <v>1</v>
      </c>
      <c r="G8"/>
      <c r="H8"/>
    </row>
    <row r="9" spans="1:8" x14ac:dyDescent="0.15">
      <c r="A9">
        <v>8</v>
      </c>
      <c r="B9" s="170" t="s">
        <v>200</v>
      </c>
      <c r="C9" s="105">
        <v>1</v>
      </c>
      <c r="D9" s="105">
        <v>0</v>
      </c>
      <c r="E9" s="104">
        <v>0</v>
      </c>
      <c r="F9" s="104">
        <f t="shared" si="0"/>
        <v>1</v>
      </c>
      <c r="G9"/>
      <c r="H9"/>
    </row>
    <row r="10" spans="1:8" x14ac:dyDescent="0.15">
      <c r="A10">
        <v>9</v>
      </c>
      <c r="B10" s="170" t="s">
        <v>201</v>
      </c>
      <c r="C10" s="105">
        <v>1</v>
      </c>
      <c r="D10" s="105">
        <v>0</v>
      </c>
      <c r="E10" s="104">
        <v>0</v>
      </c>
      <c r="F10" s="104">
        <f t="shared" si="0"/>
        <v>1</v>
      </c>
      <c r="G10"/>
      <c r="H10"/>
    </row>
    <row r="11" spans="1:8" x14ac:dyDescent="0.15">
      <c r="A11">
        <v>10</v>
      </c>
      <c r="B11" s="170" t="s">
        <v>202</v>
      </c>
      <c r="C11" s="105">
        <v>1</v>
      </c>
      <c r="D11" s="105">
        <v>0</v>
      </c>
      <c r="E11" s="104">
        <v>0</v>
      </c>
      <c r="F11" s="104">
        <f t="shared" si="0"/>
        <v>1</v>
      </c>
      <c r="G11"/>
      <c r="H11"/>
    </row>
    <row r="12" spans="1:8" x14ac:dyDescent="0.15">
      <c r="A12">
        <v>11</v>
      </c>
      <c r="B12" s="170" t="s">
        <v>203</v>
      </c>
      <c r="C12" s="105">
        <v>1</v>
      </c>
      <c r="D12" s="105">
        <v>0</v>
      </c>
      <c r="E12" s="104">
        <v>0</v>
      </c>
      <c r="F12" s="104">
        <f t="shared" si="0"/>
        <v>1</v>
      </c>
      <c r="G12"/>
      <c r="H12"/>
    </row>
    <row r="13" spans="1:8" x14ac:dyDescent="0.15">
      <c r="A13">
        <v>12</v>
      </c>
      <c r="B13" s="170" t="s">
        <v>166</v>
      </c>
      <c r="C13" s="105">
        <v>1</v>
      </c>
      <c r="D13" s="105">
        <v>0</v>
      </c>
      <c r="E13" s="104">
        <v>0</v>
      </c>
      <c r="F13" s="104">
        <f t="shared" si="0"/>
        <v>1</v>
      </c>
      <c r="G13"/>
      <c r="H13"/>
    </row>
    <row r="14" spans="1:8" x14ac:dyDescent="0.15">
      <c r="A14">
        <v>13</v>
      </c>
      <c r="B14" s="170" t="s">
        <v>204</v>
      </c>
      <c r="C14" s="105">
        <v>1</v>
      </c>
      <c r="D14" s="105">
        <v>0</v>
      </c>
      <c r="E14" s="104">
        <v>0</v>
      </c>
      <c r="F14" s="104">
        <f t="shared" si="0"/>
        <v>1</v>
      </c>
      <c r="G14"/>
      <c r="H14"/>
    </row>
    <row r="15" spans="1:8" x14ac:dyDescent="0.15">
      <c r="A15">
        <v>14</v>
      </c>
      <c r="B15" s="170" t="s">
        <v>205</v>
      </c>
      <c r="C15" s="105">
        <v>1</v>
      </c>
      <c r="D15" s="105">
        <v>0</v>
      </c>
      <c r="E15" s="104">
        <v>0</v>
      </c>
      <c r="F15" s="104">
        <f t="shared" si="0"/>
        <v>1</v>
      </c>
      <c r="G15"/>
      <c r="H15"/>
    </row>
    <row r="16" spans="1:8" x14ac:dyDescent="0.15">
      <c r="A16">
        <v>15</v>
      </c>
      <c r="B16" s="170" t="s">
        <v>206</v>
      </c>
      <c r="C16" s="105">
        <v>1</v>
      </c>
      <c r="D16" s="105">
        <v>0</v>
      </c>
      <c r="E16" s="104">
        <v>0</v>
      </c>
      <c r="F16" s="104">
        <f t="shared" si="0"/>
        <v>1</v>
      </c>
      <c r="G16"/>
      <c r="H16"/>
    </row>
    <row r="17" spans="1:8" ht="15" customHeight="1" x14ac:dyDescent="0.15">
      <c r="A17">
        <v>16</v>
      </c>
      <c r="B17" s="170" t="s">
        <v>207</v>
      </c>
      <c r="C17" s="105">
        <v>1</v>
      </c>
      <c r="D17" s="105">
        <v>0</v>
      </c>
      <c r="E17" s="104">
        <v>0</v>
      </c>
      <c r="F17" s="104">
        <f t="shared" si="0"/>
        <v>1</v>
      </c>
      <c r="G17"/>
      <c r="H17"/>
    </row>
    <row r="18" spans="1:8" ht="15" customHeight="1" x14ac:dyDescent="0.15">
      <c r="A18">
        <v>17</v>
      </c>
      <c r="B18" s="170" t="s">
        <v>208</v>
      </c>
      <c r="C18" s="105">
        <v>1</v>
      </c>
      <c r="D18" s="105">
        <v>0</v>
      </c>
      <c r="E18" s="104">
        <v>0</v>
      </c>
      <c r="F18" s="104">
        <f t="shared" si="0"/>
        <v>1</v>
      </c>
      <c r="G18"/>
      <c r="H18"/>
    </row>
    <row r="19" spans="1:8" ht="15" customHeight="1" x14ac:dyDescent="0.15">
      <c r="A19">
        <v>18</v>
      </c>
      <c r="B19" s="170" t="s">
        <v>209</v>
      </c>
      <c r="C19" s="105">
        <v>1</v>
      </c>
      <c r="D19" s="105">
        <v>0</v>
      </c>
      <c r="E19" s="104">
        <v>0</v>
      </c>
      <c r="F19" s="104">
        <f t="shared" si="0"/>
        <v>1</v>
      </c>
      <c r="G19"/>
      <c r="H19"/>
    </row>
    <row r="20" spans="1:8" ht="15" customHeight="1" x14ac:dyDescent="0.15">
      <c r="A20">
        <v>19</v>
      </c>
      <c r="B20" s="170" t="s">
        <v>210</v>
      </c>
      <c r="C20" s="105">
        <v>1</v>
      </c>
      <c r="D20" s="105">
        <v>0</v>
      </c>
      <c r="E20" s="104">
        <v>0</v>
      </c>
      <c r="F20" s="104">
        <f t="shared" si="0"/>
        <v>1</v>
      </c>
      <c r="G20"/>
      <c r="H20"/>
    </row>
    <row r="21" spans="1:8" ht="15" customHeight="1" x14ac:dyDescent="0.15">
      <c r="A21">
        <v>20</v>
      </c>
      <c r="B21" s="170" t="s">
        <v>211</v>
      </c>
      <c r="C21" s="105">
        <v>1</v>
      </c>
      <c r="D21" s="105">
        <v>0</v>
      </c>
      <c r="E21" s="104">
        <v>0</v>
      </c>
      <c r="F21" s="104">
        <f t="shared" si="0"/>
        <v>1</v>
      </c>
      <c r="G21"/>
      <c r="H21"/>
    </row>
    <row r="22" spans="1:8" ht="15" customHeight="1" x14ac:dyDescent="0.15">
      <c r="A22">
        <v>21</v>
      </c>
      <c r="B22" s="170" t="s">
        <v>212</v>
      </c>
      <c r="C22" s="105">
        <v>1</v>
      </c>
      <c r="D22" s="105">
        <v>0</v>
      </c>
      <c r="E22" s="104">
        <v>0</v>
      </c>
      <c r="F22" s="104">
        <f t="shared" si="0"/>
        <v>1</v>
      </c>
      <c r="G22"/>
      <c r="H22"/>
    </row>
    <row r="23" spans="1:8" ht="15" customHeight="1" x14ac:dyDescent="0.15">
      <c r="A23">
        <v>22</v>
      </c>
      <c r="B23" s="170" t="s">
        <v>213</v>
      </c>
      <c r="C23" s="105">
        <v>1</v>
      </c>
      <c r="D23" s="105">
        <v>0</v>
      </c>
      <c r="E23" s="104">
        <v>0</v>
      </c>
      <c r="F23" s="104">
        <f t="shared" si="0"/>
        <v>1</v>
      </c>
      <c r="G23"/>
      <c r="H23"/>
    </row>
    <row r="24" spans="1:8" ht="15" customHeight="1" x14ac:dyDescent="0.15">
      <c r="A24">
        <v>23</v>
      </c>
      <c r="B24" s="170" t="s">
        <v>214</v>
      </c>
      <c r="C24" s="105">
        <v>1</v>
      </c>
      <c r="D24" s="105">
        <v>0</v>
      </c>
      <c r="E24" s="104">
        <v>0</v>
      </c>
      <c r="F24" s="104">
        <f t="shared" si="0"/>
        <v>1</v>
      </c>
      <c r="G24"/>
      <c r="H24"/>
    </row>
    <row r="25" spans="1:8" ht="15" customHeight="1" x14ac:dyDescent="0.15">
      <c r="A25">
        <v>24</v>
      </c>
      <c r="B25" s="170" t="s">
        <v>215</v>
      </c>
      <c r="C25" s="105">
        <v>1</v>
      </c>
      <c r="D25" s="105">
        <v>0</v>
      </c>
      <c r="E25" s="104">
        <v>0</v>
      </c>
      <c r="F25" s="104">
        <f t="shared" si="0"/>
        <v>1</v>
      </c>
      <c r="G25"/>
      <c r="H25"/>
    </row>
    <row r="26" spans="1:8" ht="15" customHeight="1" x14ac:dyDescent="0.15">
      <c r="A26">
        <v>25</v>
      </c>
      <c r="B26" s="170" t="s">
        <v>216</v>
      </c>
      <c r="C26" s="105">
        <v>1</v>
      </c>
      <c r="D26" s="105">
        <v>0</v>
      </c>
      <c r="E26" s="104">
        <v>0</v>
      </c>
      <c r="F26" s="104">
        <f t="shared" si="0"/>
        <v>1</v>
      </c>
      <c r="G26"/>
      <c r="H26"/>
    </row>
    <row r="27" spans="1:8" ht="15" customHeight="1" x14ac:dyDescent="0.15">
      <c r="A27">
        <v>26</v>
      </c>
      <c r="B27" s="170" t="s">
        <v>217</v>
      </c>
      <c r="C27" s="105">
        <v>0</v>
      </c>
      <c r="D27" s="105">
        <v>1</v>
      </c>
      <c r="E27" s="104">
        <v>0</v>
      </c>
      <c r="F27" s="104">
        <f t="shared" si="0"/>
        <v>1</v>
      </c>
      <c r="G27"/>
      <c r="H27"/>
    </row>
    <row r="28" spans="1:8" ht="15" customHeight="1" x14ac:dyDescent="0.15">
      <c r="A28">
        <v>27</v>
      </c>
      <c r="B28" s="170" t="s">
        <v>218</v>
      </c>
      <c r="C28" s="105">
        <v>0</v>
      </c>
      <c r="D28" s="105">
        <v>0</v>
      </c>
      <c r="E28" s="104">
        <v>1</v>
      </c>
      <c r="F28" s="104">
        <f t="shared" si="0"/>
        <v>1</v>
      </c>
      <c r="G28"/>
      <c r="H28"/>
    </row>
    <row r="29" spans="1:8" ht="15" customHeight="1" x14ac:dyDescent="0.15">
      <c r="A29">
        <v>28</v>
      </c>
      <c r="B29" s="192" t="s">
        <v>223</v>
      </c>
      <c r="C29" s="105">
        <v>1</v>
      </c>
      <c r="D29" s="105">
        <v>0</v>
      </c>
      <c r="E29" s="104">
        <v>0</v>
      </c>
      <c r="F29" s="104">
        <f t="shared" si="0"/>
        <v>1</v>
      </c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5"/>
      <c r="F36" s="105"/>
      <c r="G36"/>
      <c r="H36"/>
    </row>
    <row r="37" spans="3:8" ht="15" customHeight="1" x14ac:dyDescent="0.15">
      <c r="C37"/>
      <c r="D37"/>
      <c r="E37" s="105"/>
      <c r="F37" s="105"/>
      <c r="G37"/>
      <c r="H37"/>
    </row>
    <row r="38" spans="3:8" ht="15" customHeight="1" x14ac:dyDescent="0.15">
      <c r="C38"/>
      <c r="D38"/>
      <c r="E38" s="105"/>
      <c r="F38" s="105"/>
      <c r="G38"/>
      <c r="H38"/>
    </row>
    <row r="39" spans="3:8" ht="15" customHeight="1" x14ac:dyDescent="0.15">
      <c r="C39"/>
      <c r="D39"/>
      <c r="E39" s="105"/>
      <c r="F39" s="105"/>
      <c r="G39"/>
      <c r="H39"/>
    </row>
    <row r="40" spans="3:8" ht="15" customHeight="1" x14ac:dyDescent="0.15">
      <c r="C40"/>
      <c r="D40"/>
      <c r="E40" s="105"/>
      <c r="F40" s="105"/>
      <c r="G40"/>
      <c r="H40"/>
    </row>
    <row r="41" spans="3:8" ht="15" customHeight="1" x14ac:dyDescent="0.15">
      <c r="C41"/>
      <c r="D41"/>
      <c r="E41" s="105"/>
      <c r="F41" s="105"/>
      <c r="G41"/>
      <c r="H41"/>
    </row>
    <row r="42" spans="3:8" ht="15" customHeight="1" x14ac:dyDescent="0.15">
      <c r="C42"/>
      <c r="D42"/>
      <c r="E42" s="105"/>
      <c r="F42" s="105"/>
      <c r="G42"/>
      <c r="H42"/>
    </row>
    <row r="43" spans="3:8" ht="15" customHeight="1" x14ac:dyDescent="0.15">
      <c r="C43"/>
      <c r="D43"/>
      <c r="E43" s="105"/>
      <c r="F43" s="10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5"/>
      <c r="F46" s="10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10" activePane="bottomRight" state="frozen"/>
      <selection pane="topRight" activeCell="D1" sqref="D1"/>
      <selection pane="bottomLeft" activeCell="A2" sqref="A2"/>
      <selection pane="bottomRight" activeCell="F27" sqref="F27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4" width="14.1640625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92" t="s">
        <v>223</v>
      </c>
      <c r="D1" s="173" t="s">
        <v>222</v>
      </c>
      <c r="E1"/>
    </row>
    <row r="2" spans="1:5" ht="15" customHeight="1" x14ac:dyDescent="0.15">
      <c r="A2">
        <v>1</v>
      </c>
      <c r="B2" s="172" t="s">
        <v>193</v>
      </c>
      <c r="C2">
        <v>0</v>
      </c>
      <c r="D2">
        <v>0</v>
      </c>
    </row>
    <row r="3" spans="1:5" ht="15" customHeight="1" x14ac:dyDescent="0.15">
      <c r="A3">
        <v>2</v>
      </c>
      <c r="B3" s="172" t="s">
        <v>194</v>
      </c>
      <c r="C3">
        <v>0</v>
      </c>
      <c r="D3">
        <v>0</v>
      </c>
    </row>
    <row r="4" spans="1:5" ht="15" customHeight="1" x14ac:dyDescent="0.15">
      <c r="A4">
        <v>3</v>
      </c>
      <c r="B4" s="172" t="s">
        <v>195</v>
      </c>
      <c r="C4">
        <v>0</v>
      </c>
      <c r="D4">
        <v>0</v>
      </c>
    </row>
    <row r="5" spans="1:5" ht="15" customHeight="1" x14ac:dyDescent="0.15">
      <c r="A5">
        <v>4</v>
      </c>
      <c r="B5" s="172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72" t="s">
        <v>197</v>
      </c>
      <c r="C6">
        <v>0</v>
      </c>
      <c r="D6">
        <v>0</v>
      </c>
    </row>
    <row r="7" spans="1:5" ht="15" customHeight="1" x14ac:dyDescent="0.15">
      <c r="A7">
        <v>6</v>
      </c>
      <c r="B7" s="172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72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72" t="s">
        <v>200</v>
      </c>
      <c r="C9">
        <v>0</v>
      </c>
      <c r="D9">
        <v>0</v>
      </c>
    </row>
    <row r="10" spans="1:5" ht="15" customHeight="1" x14ac:dyDescent="0.15">
      <c r="A10">
        <v>9</v>
      </c>
      <c r="B10" s="172" t="s">
        <v>201</v>
      </c>
      <c r="C10">
        <v>0</v>
      </c>
      <c r="D10">
        <v>0</v>
      </c>
    </row>
    <row r="11" spans="1:5" ht="15" customHeight="1" x14ac:dyDescent="0.15">
      <c r="A11">
        <v>10</v>
      </c>
      <c r="B11" s="172" t="s">
        <v>202</v>
      </c>
      <c r="C11">
        <v>0</v>
      </c>
      <c r="D11">
        <v>0</v>
      </c>
    </row>
    <row r="12" spans="1:5" ht="15" customHeight="1" x14ac:dyDescent="0.15">
      <c r="A12">
        <v>11</v>
      </c>
      <c r="B12" s="172" t="s">
        <v>203</v>
      </c>
      <c r="C12">
        <v>0</v>
      </c>
      <c r="D12">
        <v>0</v>
      </c>
    </row>
    <row r="13" spans="1:5" ht="15" customHeight="1" x14ac:dyDescent="0.15">
      <c r="A13">
        <v>12</v>
      </c>
      <c r="B13" s="172" t="s">
        <v>166</v>
      </c>
      <c r="C13">
        <v>0</v>
      </c>
      <c r="D13">
        <v>0</v>
      </c>
    </row>
    <row r="14" spans="1:5" ht="15" customHeight="1" x14ac:dyDescent="0.15">
      <c r="A14">
        <v>13</v>
      </c>
      <c r="B14" s="172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2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2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72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2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2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2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2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2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2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72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2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2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2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2" t="s">
        <v>218</v>
      </c>
      <c r="C28">
        <v>0</v>
      </c>
      <c r="D28">
        <v>0</v>
      </c>
    </row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9" sqref="F19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4" width="1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92" t="s">
        <v>223</v>
      </c>
      <c r="D1" s="175" t="s">
        <v>222</v>
      </c>
    </row>
    <row r="2" spans="1:4" x14ac:dyDescent="0.15">
      <c r="A2">
        <v>1</v>
      </c>
      <c r="B2" s="174" t="s">
        <v>193</v>
      </c>
      <c r="C2">
        <v>0</v>
      </c>
      <c r="D2">
        <v>0</v>
      </c>
    </row>
    <row r="3" spans="1:4" x14ac:dyDescent="0.15">
      <c r="A3">
        <v>2</v>
      </c>
      <c r="B3" s="174" t="s">
        <v>194</v>
      </c>
      <c r="C3">
        <v>0</v>
      </c>
      <c r="D3">
        <v>0</v>
      </c>
    </row>
    <row r="4" spans="1:4" x14ac:dyDescent="0.15">
      <c r="A4">
        <v>3</v>
      </c>
      <c r="B4" s="174" t="s">
        <v>195</v>
      </c>
      <c r="C4">
        <v>0</v>
      </c>
      <c r="D4">
        <v>0</v>
      </c>
    </row>
    <row r="5" spans="1:4" x14ac:dyDescent="0.15">
      <c r="A5">
        <v>4</v>
      </c>
      <c r="B5" s="174" t="s">
        <v>196</v>
      </c>
      <c r="C5">
        <v>0</v>
      </c>
      <c r="D5">
        <v>0</v>
      </c>
    </row>
    <row r="6" spans="1:4" x14ac:dyDescent="0.15">
      <c r="A6">
        <v>5</v>
      </c>
      <c r="B6" s="174" t="s">
        <v>197</v>
      </c>
      <c r="C6">
        <v>0</v>
      </c>
      <c r="D6">
        <v>0</v>
      </c>
    </row>
    <row r="7" spans="1:4" x14ac:dyDescent="0.15">
      <c r="A7">
        <v>6</v>
      </c>
      <c r="B7" s="174" t="s">
        <v>198</v>
      </c>
      <c r="C7">
        <v>0</v>
      </c>
      <c r="D7">
        <v>0</v>
      </c>
    </row>
    <row r="8" spans="1:4" x14ac:dyDescent="0.15">
      <c r="A8">
        <v>7</v>
      </c>
      <c r="B8" s="174" t="s">
        <v>199</v>
      </c>
      <c r="C8">
        <v>0</v>
      </c>
      <c r="D8">
        <v>0</v>
      </c>
    </row>
    <row r="9" spans="1:4" x14ac:dyDescent="0.15">
      <c r="A9">
        <v>8</v>
      </c>
      <c r="B9" s="174" t="s">
        <v>200</v>
      </c>
      <c r="C9">
        <v>0</v>
      </c>
      <c r="D9">
        <v>0</v>
      </c>
    </row>
    <row r="10" spans="1:4" x14ac:dyDescent="0.15">
      <c r="A10">
        <v>9</v>
      </c>
      <c r="B10" s="174" t="s">
        <v>201</v>
      </c>
      <c r="C10">
        <v>0</v>
      </c>
      <c r="D10">
        <v>0</v>
      </c>
    </row>
    <row r="11" spans="1:4" x14ac:dyDescent="0.15">
      <c r="A11">
        <v>10</v>
      </c>
      <c r="B11" s="174" t="s">
        <v>202</v>
      </c>
      <c r="C11">
        <v>0</v>
      </c>
      <c r="D11">
        <v>0</v>
      </c>
    </row>
    <row r="12" spans="1:4" x14ac:dyDescent="0.15">
      <c r="A12">
        <v>11</v>
      </c>
      <c r="B12" s="174" t="s">
        <v>203</v>
      </c>
      <c r="C12">
        <v>0</v>
      </c>
      <c r="D12">
        <v>0</v>
      </c>
    </row>
    <row r="13" spans="1:4" x14ac:dyDescent="0.15">
      <c r="A13">
        <v>12</v>
      </c>
      <c r="B13" s="174" t="s">
        <v>166</v>
      </c>
      <c r="C13">
        <v>0</v>
      </c>
      <c r="D13">
        <v>0</v>
      </c>
    </row>
    <row r="14" spans="1:4" x14ac:dyDescent="0.15">
      <c r="A14">
        <v>13</v>
      </c>
      <c r="B14" s="174" t="s">
        <v>204</v>
      </c>
      <c r="C14">
        <v>0</v>
      </c>
      <c r="D14">
        <v>0</v>
      </c>
    </row>
    <row r="15" spans="1:4" x14ac:dyDescent="0.15">
      <c r="A15">
        <v>14</v>
      </c>
      <c r="B15" s="174" t="s">
        <v>205</v>
      </c>
      <c r="C15">
        <v>0</v>
      </c>
      <c r="D15">
        <v>0</v>
      </c>
    </row>
    <row r="16" spans="1:4" x14ac:dyDescent="0.15">
      <c r="A16">
        <v>15</v>
      </c>
      <c r="B16" s="174" t="s">
        <v>206</v>
      </c>
      <c r="C16">
        <v>0</v>
      </c>
      <c r="D16">
        <v>0</v>
      </c>
    </row>
    <row r="17" spans="1:4" x14ac:dyDescent="0.15">
      <c r="A17">
        <v>16</v>
      </c>
      <c r="B17" s="174" t="s">
        <v>207</v>
      </c>
      <c r="C17">
        <v>0</v>
      </c>
      <c r="D17">
        <v>0</v>
      </c>
    </row>
    <row r="18" spans="1:4" x14ac:dyDescent="0.15">
      <c r="A18">
        <v>17</v>
      </c>
      <c r="B18" s="174" t="s">
        <v>208</v>
      </c>
      <c r="C18">
        <v>0</v>
      </c>
      <c r="D18">
        <v>0</v>
      </c>
    </row>
    <row r="19" spans="1:4" x14ac:dyDescent="0.15">
      <c r="A19">
        <v>18</v>
      </c>
      <c r="B19" s="174" t="s">
        <v>209</v>
      </c>
      <c r="C19">
        <v>0</v>
      </c>
      <c r="D19">
        <v>0</v>
      </c>
    </row>
    <row r="20" spans="1:4" x14ac:dyDescent="0.15">
      <c r="A20">
        <v>19</v>
      </c>
      <c r="B20" s="174" t="s">
        <v>210</v>
      </c>
      <c r="C20">
        <v>0</v>
      </c>
      <c r="D20">
        <v>0</v>
      </c>
    </row>
    <row r="21" spans="1:4" x14ac:dyDescent="0.15">
      <c r="A21">
        <v>20</v>
      </c>
      <c r="B21" s="174" t="s">
        <v>211</v>
      </c>
      <c r="C21">
        <v>0</v>
      </c>
      <c r="D21">
        <v>0</v>
      </c>
    </row>
    <row r="22" spans="1:4" x14ac:dyDescent="0.15">
      <c r="A22">
        <v>21</v>
      </c>
      <c r="B22" s="174" t="s">
        <v>212</v>
      </c>
      <c r="C22">
        <v>0</v>
      </c>
      <c r="D22">
        <v>0</v>
      </c>
    </row>
    <row r="23" spans="1:4" x14ac:dyDescent="0.15">
      <c r="A23">
        <v>22</v>
      </c>
      <c r="B23" s="174" t="s">
        <v>213</v>
      </c>
      <c r="C23">
        <v>0</v>
      </c>
      <c r="D23">
        <v>0</v>
      </c>
    </row>
    <row r="24" spans="1:4" x14ac:dyDescent="0.15">
      <c r="A24">
        <v>23</v>
      </c>
      <c r="B24" s="174" t="s">
        <v>214</v>
      </c>
      <c r="C24">
        <v>0</v>
      </c>
      <c r="D24">
        <v>0</v>
      </c>
    </row>
    <row r="25" spans="1:4" x14ac:dyDescent="0.15">
      <c r="A25">
        <v>24</v>
      </c>
      <c r="B25" s="174" t="s">
        <v>215</v>
      </c>
      <c r="C25">
        <v>0</v>
      </c>
      <c r="D25">
        <v>0</v>
      </c>
    </row>
    <row r="26" spans="1:4" x14ac:dyDescent="0.15">
      <c r="A26">
        <v>25</v>
      </c>
      <c r="B26" s="174" t="s">
        <v>216</v>
      </c>
      <c r="C26">
        <v>0</v>
      </c>
      <c r="D26">
        <v>0</v>
      </c>
    </row>
    <row r="27" spans="1:4" x14ac:dyDescent="0.15">
      <c r="A27">
        <v>26</v>
      </c>
      <c r="B27" s="174" t="s">
        <v>217</v>
      </c>
      <c r="C27">
        <v>0</v>
      </c>
      <c r="D27">
        <v>0</v>
      </c>
    </row>
    <row r="28" spans="1:4" x14ac:dyDescent="0.15">
      <c r="A28">
        <v>27</v>
      </c>
      <c r="B28" s="174" t="s">
        <v>218</v>
      </c>
      <c r="C28">
        <v>0</v>
      </c>
      <c r="D2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76" t="s">
        <v>193</v>
      </c>
      <c r="F2">
        <v>0.98</v>
      </c>
      <c r="G2">
        <v>0.8</v>
      </c>
      <c r="H2">
        <v>0.8</v>
      </c>
      <c r="I2">
        <v>0</v>
      </c>
      <c r="J2" s="105">
        <v>0</v>
      </c>
      <c r="K2" s="105">
        <v>0</v>
      </c>
    </row>
    <row r="3" spans="1:42" x14ac:dyDescent="0.15">
      <c r="A3" s="114" t="s">
        <v>75</v>
      </c>
      <c r="B3" s="116">
        <v>1</v>
      </c>
      <c r="D3">
        <v>2</v>
      </c>
      <c r="E3" s="176" t="s">
        <v>194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76" t="s">
        <v>195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76" t="s">
        <v>196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76" t="s">
        <v>197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76" t="s">
        <v>198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76" t="s">
        <v>199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7" t="s">
        <v>150</v>
      </c>
      <c r="D9">
        <v>8</v>
      </c>
      <c r="E9" s="176" t="s">
        <v>200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7" t="s">
        <v>150</v>
      </c>
      <c r="D10">
        <v>9</v>
      </c>
      <c r="E10" s="176" t="s">
        <v>201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76" t="s">
        <v>202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76" t="s">
        <v>203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76" t="s">
        <v>166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76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76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76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76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76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76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76" t="s">
        <v>210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76" t="s">
        <v>211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76" t="s">
        <v>212</v>
      </c>
      <c r="F22">
        <v>0.98</v>
      </c>
      <c r="G22">
        <v>0.8</v>
      </c>
      <c r="H22">
        <v>0.8</v>
      </c>
      <c r="I22">
        <v>0.8</v>
      </c>
      <c r="J22" s="105">
        <v>0.25</v>
      </c>
      <c r="K22" s="105">
        <v>0.05</v>
      </c>
    </row>
    <row r="23" spans="4:33" ht="15" customHeight="1" x14ac:dyDescent="0.15">
      <c r="D23">
        <v>22</v>
      </c>
      <c r="E23" s="176" t="s">
        <v>213</v>
      </c>
      <c r="F23">
        <v>0.98</v>
      </c>
      <c r="G23">
        <v>0.8</v>
      </c>
      <c r="H23">
        <v>0.8</v>
      </c>
      <c r="I23">
        <v>0.8</v>
      </c>
      <c r="J23" s="105">
        <v>0.25</v>
      </c>
      <c r="K23" s="105">
        <v>0.05</v>
      </c>
    </row>
    <row r="24" spans="4:33" ht="15" customHeight="1" x14ac:dyDescent="0.15">
      <c r="D24">
        <v>23</v>
      </c>
      <c r="E24" s="176" t="s">
        <v>214</v>
      </c>
      <c r="F24">
        <v>0.98</v>
      </c>
      <c r="G24">
        <v>0.8</v>
      </c>
      <c r="H24">
        <v>0.8</v>
      </c>
      <c r="I24">
        <v>0.8</v>
      </c>
      <c r="J24" s="105">
        <v>0.25</v>
      </c>
      <c r="K24" s="105">
        <v>0.05</v>
      </c>
    </row>
    <row r="25" spans="4:33" ht="15" customHeight="1" x14ac:dyDescent="0.15">
      <c r="D25">
        <v>24</v>
      </c>
      <c r="E25" s="176" t="s">
        <v>215</v>
      </c>
      <c r="F25">
        <v>0.98</v>
      </c>
      <c r="G25">
        <v>0.8</v>
      </c>
      <c r="H25">
        <v>0.8</v>
      </c>
      <c r="I25">
        <v>0.8</v>
      </c>
      <c r="J25" s="105">
        <v>0.25</v>
      </c>
      <c r="K25" s="105">
        <v>0.05</v>
      </c>
    </row>
    <row r="26" spans="4:33" ht="15" customHeight="1" x14ac:dyDescent="0.15">
      <c r="D26">
        <v>25</v>
      </c>
      <c r="E26" s="176" t="s">
        <v>216</v>
      </c>
      <c r="F26">
        <v>0.98</v>
      </c>
      <c r="G26">
        <v>0.8</v>
      </c>
      <c r="H26">
        <v>0.8</v>
      </c>
      <c r="I26">
        <v>0.8</v>
      </c>
      <c r="J26" s="105">
        <v>0.25</v>
      </c>
      <c r="K26" s="105">
        <v>0.05</v>
      </c>
    </row>
    <row r="27" spans="4:33" ht="15" customHeight="1" x14ac:dyDescent="0.15">
      <c r="D27">
        <v>26</v>
      </c>
      <c r="E27" s="176" t="s">
        <v>217</v>
      </c>
      <c r="F27">
        <v>0.98</v>
      </c>
      <c r="G27">
        <v>0.8</v>
      </c>
      <c r="H27">
        <v>0</v>
      </c>
      <c r="I27">
        <v>0</v>
      </c>
      <c r="J27" s="105">
        <v>0</v>
      </c>
      <c r="K27" s="105">
        <v>0</v>
      </c>
    </row>
    <row r="28" spans="4:33" ht="15" customHeight="1" x14ac:dyDescent="0.15">
      <c r="D28">
        <v>27</v>
      </c>
      <c r="E28" s="176" t="s">
        <v>218</v>
      </c>
      <c r="F28">
        <v>0.98</v>
      </c>
      <c r="G28">
        <v>0.8</v>
      </c>
      <c r="H28">
        <v>0</v>
      </c>
      <c r="I28">
        <v>0</v>
      </c>
      <c r="J28" s="105">
        <v>0</v>
      </c>
      <c r="K28" s="105">
        <v>0</v>
      </c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" width="2.33203125" style="103" customWidth="1"/>
    <col min="3" max="26" width="3.83203125" style="103" customWidth="1"/>
    <col min="27" max="28" width="2.33203125" style="103" customWidth="1"/>
    <col min="29" max="16384" width="10.83203125" style="103"/>
  </cols>
  <sheetData>
    <row r="1" spans="1:30" x14ac:dyDescent="0.15">
      <c r="A1" s="59" t="s">
        <v>118</v>
      </c>
      <c r="B1" s="178" t="s">
        <v>193</v>
      </c>
      <c r="C1" s="178" t="s">
        <v>194</v>
      </c>
      <c r="D1" s="178" t="s">
        <v>195</v>
      </c>
      <c r="E1" s="178" t="s">
        <v>196</v>
      </c>
      <c r="F1" s="178" t="s">
        <v>197</v>
      </c>
      <c r="G1" s="178" t="s">
        <v>198</v>
      </c>
      <c r="H1" s="178" t="s">
        <v>199</v>
      </c>
      <c r="I1" s="178" t="s">
        <v>200</v>
      </c>
      <c r="J1" s="178" t="s">
        <v>201</v>
      </c>
      <c r="K1" s="178" t="s">
        <v>202</v>
      </c>
      <c r="L1" s="178" t="s">
        <v>203</v>
      </c>
      <c r="M1" s="178" t="s">
        <v>166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/>
      <c r="AD1"/>
    </row>
    <row r="2" spans="1:30" customFormat="1" x14ac:dyDescent="0.15">
      <c r="A2" s="177" t="s">
        <v>193</v>
      </c>
      <c r="B2" s="103">
        <v>0</v>
      </c>
      <c r="C2" s="103">
        <v>0.8</v>
      </c>
      <c r="D2" s="103">
        <v>0.8</v>
      </c>
      <c r="E2" s="103">
        <v>0.8</v>
      </c>
      <c r="F2" s="103">
        <v>0.8</v>
      </c>
      <c r="G2" s="103">
        <v>0</v>
      </c>
      <c r="H2" s="103">
        <v>0</v>
      </c>
      <c r="I2" s="103">
        <v>0.8</v>
      </c>
      <c r="J2" s="103">
        <v>0.8</v>
      </c>
      <c r="K2" s="103">
        <v>0</v>
      </c>
      <c r="L2" s="103">
        <v>0</v>
      </c>
      <c r="M2" s="103">
        <v>0</v>
      </c>
      <c r="N2" s="103">
        <v>0.8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</row>
    <row r="3" spans="1:30" customFormat="1" x14ac:dyDescent="0.15">
      <c r="A3" s="177" t="s">
        <v>194</v>
      </c>
      <c r="B3" s="103">
        <v>0</v>
      </c>
      <c r="C3" s="103">
        <v>0.8</v>
      </c>
      <c r="D3" s="103">
        <v>0.8</v>
      </c>
      <c r="E3" s="103">
        <v>0</v>
      </c>
      <c r="F3" s="103">
        <v>0</v>
      </c>
      <c r="G3" s="103">
        <v>0</v>
      </c>
      <c r="H3" s="103">
        <v>0</v>
      </c>
      <c r="I3" s="103">
        <v>0.8</v>
      </c>
      <c r="J3" s="103">
        <v>0.8</v>
      </c>
      <c r="K3" s="103">
        <v>0</v>
      </c>
      <c r="L3" s="103">
        <v>0</v>
      </c>
      <c r="M3" s="103">
        <v>0</v>
      </c>
      <c r="N3" s="103">
        <v>0.8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</row>
    <row r="4" spans="1:30" customFormat="1" x14ac:dyDescent="0.15">
      <c r="A4" s="177" t="s">
        <v>195</v>
      </c>
      <c r="B4" s="103">
        <v>0</v>
      </c>
      <c r="C4" s="103">
        <v>0</v>
      </c>
      <c r="D4" s="103">
        <v>0</v>
      </c>
      <c r="E4" s="103">
        <v>0.8</v>
      </c>
      <c r="F4" s="103">
        <v>0.8</v>
      </c>
      <c r="G4" s="103">
        <v>0</v>
      </c>
      <c r="H4" s="103">
        <v>0</v>
      </c>
      <c r="I4" s="103">
        <v>0.8</v>
      </c>
      <c r="J4" s="103">
        <v>0.8</v>
      </c>
      <c r="K4" s="103">
        <v>0.8</v>
      </c>
      <c r="L4" s="103">
        <v>0.8</v>
      </c>
      <c r="M4" s="103">
        <v>0.8</v>
      </c>
      <c r="N4" s="103">
        <v>0.8</v>
      </c>
      <c r="O4" s="103">
        <v>0.8</v>
      </c>
      <c r="P4" s="103">
        <v>0.8</v>
      </c>
      <c r="Q4" s="103">
        <v>0</v>
      </c>
      <c r="R4" s="103">
        <v>0.8</v>
      </c>
      <c r="S4" s="103">
        <v>0</v>
      </c>
      <c r="T4" s="103">
        <v>0</v>
      </c>
      <c r="U4" s="103">
        <v>0</v>
      </c>
      <c r="V4" s="103">
        <v>0.8</v>
      </c>
      <c r="W4" s="103">
        <v>0</v>
      </c>
      <c r="X4" s="103">
        <v>0.8</v>
      </c>
      <c r="Y4" s="103">
        <v>0</v>
      </c>
      <c r="Z4" s="103">
        <v>0.8</v>
      </c>
      <c r="AA4" s="103">
        <v>0</v>
      </c>
      <c r="AB4" s="103">
        <v>0</v>
      </c>
    </row>
    <row r="5" spans="1:30" customFormat="1" x14ac:dyDescent="0.15">
      <c r="A5" s="177" t="s">
        <v>196</v>
      </c>
      <c r="B5" s="103">
        <v>0</v>
      </c>
      <c r="C5" s="103">
        <v>0</v>
      </c>
      <c r="D5" s="103">
        <v>0</v>
      </c>
      <c r="E5" s="103">
        <v>0</v>
      </c>
      <c r="F5" s="103">
        <v>0.8</v>
      </c>
      <c r="G5" s="103">
        <v>0</v>
      </c>
      <c r="H5" s="103">
        <v>0</v>
      </c>
      <c r="I5" s="103">
        <v>0.8</v>
      </c>
      <c r="J5" s="103">
        <v>0.8</v>
      </c>
      <c r="K5" s="103">
        <v>0.8</v>
      </c>
      <c r="L5" s="103">
        <v>0.8</v>
      </c>
      <c r="M5" s="103">
        <v>0.8</v>
      </c>
      <c r="N5" s="103">
        <v>0.8</v>
      </c>
      <c r="O5" s="103">
        <v>0.8</v>
      </c>
      <c r="P5" s="103">
        <v>0.8</v>
      </c>
      <c r="Q5" s="103">
        <v>0.8</v>
      </c>
      <c r="R5" s="103">
        <v>0.8</v>
      </c>
      <c r="S5" s="103">
        <v>0.8</v>
      </c>
      <c r="T5" s="103">
        <v>0.8</v>
      </c>
      <c r="U5" s="103">
        <v>0.8</v>
      </c>
      <c r="V5" s="103">
        <v>0.8</v>
      </c>
      <c r="W5" s="103">
        <v>0</v>
      </c>
      <c r="X5" s="103">
        <v>0.8</v>
      </c>
      <c r="Y5" s="103">
        <v>0</v>
      </c>
      <c r="Z5" s="103">
        <v>0.8</v>
      </c>
      <c r="AA5" s="103">
        <v>0</v>
      </c>
      <c r="AB5" s="103">
        <v>0</v>
      </c>
    </row>
    <row r="6" spans="1:30" customFormat="1" x14ac:dyDescent="0.15">
      <c r="A6" s="177" t="s">
        <v>197</v>
      </c>
      <c r="B6" s="103">
        <v>0</v>
      </c>
      <c r="C6" s="103">
        <v>0</v>
      </c>
      <c r="D6" s="103">
        <v>0</v>
      </c>
      <c r="E6" s="103">
        <v>0</v>
      </c>
      <c r="F6" s="103">
        <v>0.8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0.8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</row>
    <row r="7" spans="1:30" customFormat="1" x14ac:dyDescent="0.15">
      <c r="A7" s="177" t="s">
        <v>198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0.8</v>
      </c>
      <c r="I7" s="103">
        <v>0</v>
      </c>
      <c r="J7" s="103">
        <v>0</v>
      </c>
      <c r="K7" s="103">
        <v>0.8</v>
      </c>
      <c r="L7" s="103">
        <v>0</v>
      </c>
      <c r="M7" s="103">
        <v>0</v>
      </c>
      <c r="N7" s="103">
        <v>0</v>
      </c>
      <c r="O7" s="103">
        <v>0.8</v>
      </c>
      <c r="P7" s="103">
        <v>0.8</v>
      </c>
      <c r="Q7" s="103">
        <v>0</v>
      </c>
      <c r="R7" s="103">
        <v>0</v>
      </c>
      <c r="S7" s="103">
        <v>0</v>
      </c>
      <c r="T7" s="103">
        <v>0.8</v>
      </c>
      <c r="U7" s="103">
        <v>0.8</v>
      </c>
      <c r="V7" s="103">
        <v>0</v>
      </c>
      <c r="W7" s="103">
        <v>0.8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</row>
    <row r="8" spans="1:30" customFormat="1" x14ac:dyDescent="0.15">
      <c r="A8" s="177" t="s">
        <v>199</v>
      </c>
      <c r="B8" s="103">
        <v>0</v>
      </c>
      <c r="C8" s="103">
        <v>0</v>
      </c>
      <c r="D8" s="103">
        <v>0</v>
      </c>
      <c r="E8" s="103">
        <v>0</v>
      </c>
      <c r="F8" s="103">
        <v>0</v>
      </c>
      <c r="G8" s="103">
        <v>0</v>
      </c>
      <c r="H8" s="103">
        <v>0.8</v>
      </c>
      <c r="I8" s="103">
        <v>0</v>
      </c>
      <c r="J8" s="103">
        <v>0</v>
      </c>
      <c r="K8" s="103">
        <v>0.8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0.8</v>
      </c>
      <c r="U8" s="103">
        <v>0.8</v>
      </c>
      <c r="V8" s="103">
        <v>0</v>
      </c>
      <c r="W8" s="103">
        <v>0.8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</row>
    <row r="9" spans="1:30" customFormat="1" x14ac:dyDescent="0.15">
      <c r="A9" s="177" t="s">
        <v>200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0.8</v>
      </c>
      <c r="N9" s="103">
        <v>0</v>
      </c>
      <c r="O9" s="103">
        <v>0</v>
      </c>
      <c r="P9" s="103">
        <v>0</v>
      </c>
      <c r="Q9" s="103">
        <v>0.8</v>
      </c>
      <c r="R9" s="103">
        <v>0</v>
      </c>
      <c r="S9" s="103">
        <v>0.8</v>
      </c>
      <c r="T9" s="103">
        <v>0</v>
      </c>
      <c r="U9" s="103">
        <v>0</v>
      </c>
      <c r="V9" s="103">
        <v>0.8</v>
      </c>
      <c r="W9" s="103">
        <v>0.8</v>
      </c>
      <c r="X9" s="103">
        <v>0.8</v>
      </c>
      <c r="Y9" s="103">
        <v>0.8</v>
      </c>
      <c r="Z9" s="103">
        <v>0.8</v>
      </c>
      <c r="AA9" s="103">
        <v>0</v>
      </c>
      <c r="AB9" s="103">
        <v>0</v>
      </c>
    </row>
    <row r="10" spans="1:30" customFormat="1" x14ac:dyDescent="0.15">
      <c r="A10" s="177" t="s">
        <v>201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0.8</v>
      </c>
      <c r="N10" s="103">
        <v>0</v>
      </c>
      <c r="O10" s="103">
        <v>0</v>
      </c>
      <c r="P10" s="103">
        <v>0</v>
      </c>
      <c r="Q10" s="103">
        <v>0.8</v>
      </c>
      <c r="R10" s="103">
        <v>0</v>
      </c>
      <c r="S10" s="103">
        <v>0.8</v>
      </c>
      <c r="T10" s="103">
        <v>0</v>
      </c>
      <c r="U10" s="103">
        <v>0</v>
      </c>
      <c r="V10" s="103">
        <v>0.8</v>
      </c>
      <c r="W10" s="103">
        <v>0.8</v>
      </c>
      <c r="X10" s="103">
        <v>0.8</v>
      </c>
      <c r="Y10" s="103">
        <v>0.8</v>
      </c>
      <c r="Z10" s="103">
        <v>0.8</v>
      </c>
      <c r="AA10" s="103">
        <v>0</v>
      </c>
      <c r="AB10" s="103">
        <v>0</v>
      </c>
    </row>
    <row r="11" spans="1:30" customFormat="1" x14ac:dyDescent="0.15">
      <c r="A11" s="177" t="s">
        <v>202</v>
      </c>
      <c r="B11" s="103">
        <v>0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0.8</v>
      </c>
      <c r="L11" s="103">
        <v>0</v>
      </c>
      <c r="M11" s="103">
        <v>0.8</v>
      </c>
      <c r="N11" s="103">
        <v>0</v>
      </c>
      <c r="O11" s="103">
        <v>0</v>
      </c>
      <c r="P11" s="103">
        <v>0.8</v>
      </c>
      <c r="Q11" s="103">
        <v>0.8</v>
      </c>
      <c r="R11" s="103">
        <v>0.8</v>
      </c>
      <c r="S11" s="103">
        <v>0.8</v>
      </c>
      <c r="T11" s="103">
        <v>0.8</v>
      </c>
      <c r="U11" s="103">
        <v>0</v>
      </c>
      <c r="V11" s="103">
        <v>0.8</v>
      </c>
      <c r="W11" s="103">
        <v>0.8</v>
      </c>
      <c r="X11" s="103">
        <v>0.8</v>
      </c>
      <c r="Y11" s="103">
        <v>0.8</v>
      </c>
      <c r="Z11" s="103">
        <v>0.8</v>
      </c>
      <c r="AA11" s="103">
        <v>0</v>
      </c>
      <c r="AB11" s="103">
        <v>0</v>
      </c>
    </row>
    <row r="12" spans="1:30" customFormat="1" x14ac:dyDescent="0.15">
      <c r="A12" s="177" t="s">
        <v>203</v>
      </c>
      <c r="B12" s="103">
        <v>0</v>
      </c>
      <c r="C12" s="103">
        <v>0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0.8</v>
      </c>
      <c r="L12" s="103">
        <v>0</v>
      </c>
      <c r="M12" s="103">
        <v>0.8</v>
      </c>
      <c r="N12" s="103">
        <v>0</v>
      </c>
      <c r="O12" s="103">
        <v>0</v>
      </c>
      <c r="P12" s="103">
        <v>0.8</v>
      </c>
      <c r="Q12" s="103">
        <v>0.8</v>
      </c>
      <c r="R12" s="103">
        <v>0.8</v>
      </c>
      <c r="S12" s="103">
        <v>0.8</v>
      </c>
      <c r="T12" s="103">
        <v>0.8</v>
      </c>
      <c r="U12" s="103">
        <v>0.8</v>
      </c>
      <c r="V12" s="103">
        <v>0.8</v>
      </c>
      <c r="W12" s="103">
        <v>0.8</v>
      </c>
      <c r="X12" s="103">
        <v>0.8</v>
      </c>
      <c r="Y12" s="103">
        <v>0.8</v>
      </c>
      <c r="Z12" s="103">
        <v>0</v>
      </c>
      <c r="AA12" s="103">
        <v>0</v>
      </c>
      <c r="AB12" s="103">
        <v>0</v>
      </c>
    </row>
    <row r="13" spans="1:30" customFormat="1" x14ac:dyDescent="0.15">
      <c r="A13" s="177" t="s">
        <v>166</v>
      </c>
      <c r="B13" s="103">
        <v>0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0.8</v>
      </c>
      <c r="N13" s="103">
        <v>0</v>
      </c>
      <c r="O13" s="103">
        <v>0</v>
      </c>
      <c r="P13" s="103">
        <v>0</v>
      </c>
      <c r="Q13" s="103">
        <v>0.8</v>
      </c>
      <c r="R13" s="103">
        <v>0.8</v>
      </c>
      <c r="S13" s="103">
        <v>0.8</v>
      </c>
      <c r="T13" s="103">
        <v>0.8</v>
      </c>
      <c r="U13" s="103">
        <v>0.8</v>
      </c>
      <c r="V13" s="103">
        <v>0.8</v>
      </c>
      <c r="W13" s="103">
        <v>0.8</v>
      </c>
      <c r="X13" s="103">
        <v>0.8</v>
      </c>
      <c r="Y13" s="103">
        <v>0.8</v>
      </c>
      <c r="Z13" s="103">
        <v>0.8</v>
      </c>
      <c r="AA13" s="103">
        <v>0</v>
      </c>
      <c r="AB13" s="103">
        <v>0</v>
      </c>
    </row>
    <row r="14" spans="1:30" customFormat="1" x14ac:dyDescent="0.15">
      <c r="A14" s="177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0.8</v>
      </c>
      <c r="L14" s="103">
        <v>0</v>
      </c>
      <c r="M14" s="103">
        <v>0.8</v>
      </c>
      <c r="N14" s="103">
        <v>0</v>
      </c>
      <c r="O14" s="103">
        <v>0</v>
      </c>
      <c r="P14" s="103">
        <v>0</v>
      </c>
      <c r="Q14" s="103">
        <v>0.8</v>
      </c>
      <c r="R14" s="103">
        <v>0.8</v>
      </c>
      <c r="S14" s="103">
        <v>0.8</v>
      </c>
      <c r="T14" s="103">
        <v>0.8</v>
      </c>
      <c r="U14" s="103">
        <v>0.8</v>
      </c>
      <c r="V14" s="103">
        <v>0.8</v>
      </c>
      <c r="W14" s="103">
        <v>0.8</v>
      </c>
      <c r="X14" s="103">
        <v>0.8</v>
      </c>
      <c r="Y14" s="103">
        <v>0.8</v>
      </c>
      <c r="Z14" s="103">
        <v>0.8</v>
      </c>
      <c r="AA14" s="103">
        <v>0</v>
      </c>
      <c r="AB14" s="103">
        <v>0</v>
      </c>
    </row>
    <row r="15" spans="1:30" customFormat="1" x14ac:dyDescent="0.15">
      <c r="A15" s="177" t="s">
        <v>205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0.8</v>
      </c>
      <c r="N15" s="103">
        <v>0</v>
      </c>
      <c r="O15" s="103">
        <v>0</v>
      </c>
      <c r="P15" s="103">
        <v>0</v>
      </c>
      <c r="Q15" s="103">
        <v>0.8</v>
      </c>
      <c r="R15" s="103">
        <v>0</v>
      </c>
      <c r="S15" s="103">
        <v>0.8</v>
      </c>
      <c r="T15" s="103">
        <v>0</v>
      </c>
      <c r="U15" s="103">
        <v>0</v>
      </c>
      <c r="V15" s="103">
        <v>0</v>
      </c>
      <c r="W15" s="103">
        <v>0.8</v>
      </c>
      <c r="X15" s="103">
        <v>0.8</v>
      </c>
      <c r="Y15" s="103">
        <v>0.8</v>
      </c>
      <c r="Z15" s="103">
        <v>0.8</v>
      </c>
      <c r="AA15" s="103">
        <v>0</v>
      </c>
      <c r="AB15" s="103">
        <v>0</v>
      </c>
    </row>
    <row r="16" spans="1:30" customFormat="1" x14ac:dyDescent="0.15">
      <c r="A16" s="177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0.8</v>
      </c>
      <c r="T16" s="103">
        <v>0</v>
      </c>
      <c r="U16" s="103">
        <v>0.8</v>
      </c>
      <c r="V16" s="103">
        <v>0.8</v>
      </c>
      <c r="W16" s="103">
        <v>0.8</v>
      </c>
      <c r="X16" s="103">
        <v>0</v>
      </c>
      <c r="Y16" s="103">
        <v>0.8</v>
      </c>
      <c r="Z16" s="103">
        <v>0.8</v>
      </c>
      <c r="AA16" s="103">
        <v>0</v>
      </c>
      <c r="AB16" s="103">
        <v>0</v>
      </c>
    </row>
    <row r="17" spans="1:28" customFormat="1" x14ac:dyDescent="0.15">
      <c r="A17" s="177" t="s">
        <v>207</v>
      </c>
      <c r="B17" s="103"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0.8</v>
      </c>
      <c r="X17" s="103">
        <v>0.8</v>
      </c>
      <c r="Y17" s="103">
        <v>0</v>
      </c>
      <c r="Z17" s="103">
        <v>0.8</v>
      </c>
      <c r="AA17" s="103">
        <v>0</v>
      </c>
      <c r="AB17" s="103">
        <v>0</v>
      </c>
    </row>
    <row r="18" spans="1:28" customFormat="1" x14ac:dyDescent="0.15">
      <c r="A18" s="177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0.8</v>
      </c>
      <c r="R18" s="103">
        <v>0</v>
      </c>
      <c r="S18" s="103">
        <v>0.8</v>
      </c>
      <c r="T18" s="103">
        <v>0.8</v>
      </c>
      <c r="U18" s="103">
        <v>0</v>
      </c>
      <c r="V18" s="103">
        <v>0</v>
      </c>
      <c r="W18" s="103">
        <v>0</v>
      </c>
      <c r="X18" s="103">
        <v>0.8</v>
      </c>
      <c r="Y18" s="103">
        <v>0.8</v>
      </c>
      <c r="Z18" s="103">
        <v>0</v>
      </c>
      <c r="AA18" s="103">
        <v>0</v>
      </c>
      <c r="AB18" s="103">
        <v>0</v>
      </c>
    </row>
    <row r="19" spans="1:28" customFormat="1" x14ac:dyDescent="0.15">
      <c r="A19" s="177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0.8</v>
      </c>
      <c r="N19" s="103">
        <v>0</v>
      </c>
      <c r="O19" s="103">
        <v>0</v>
      </c>
      <c r="P19" s="103">
        <v>0</v>
      </c>
      <c r="Q19" s="103">
        <v>0.8</v>
      </c>
      <c r="R19" s="103">
        <v>0</v>
      </c>
      <c r="S19" s="103">
        <v>0.8</v>
      </c>
      <c r="T19" s="103">
        <v>0.8</v>
      </c>
      <c r="U19" s="103">
        <v>0.8</v>
      </c>
      <c r="V19" s="103">
        <v>0</v>
      </c>
      <c r="W19" s="103">
        <v>0.8</v>
      </c>
      <c r="X19" s="103">
        <v>0.8</v>
      </c>
      <c r="Y19" s="103">
        <v>0.8</v>
      </c>
      <c r="Z19" s="103">
        <v>0.8</v>
      </c>
      <c r="AA19" s="103">
        <v>0</v>
      </c>
      <c r="AB19" s="103">
        <v>0</v>
      </c>
    </row>
    <row r="20" spans="1:28" customFormat="1" x14ac:dyDescent="0.15">
      <c r="A20" s="177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0.8</v>
      </c>
      <c r="R20" s="103">
        <v>0</v>
      </c>
      <c r="S20" s="103">
        <v>0.8</v>
      </c>
      <c r="T20" s="103">
        <v>0</v>
      </c>
      <c r="U20" s="103">
        <v>0.8</v>
      </c>
      <c r="V20" s="103">
        <v>0.8</v>
      </c>
      <c r="W20" s="103">
        <v>0.8</v>
      </c>
      <c r="X20" s="103">
        <v>0.8</v>
      </c>
      <c r="Y20" s="103">
        <v>0</v>
      </c>
      <c r="Z20" s="103">
        <v>0.8</v>
      </c>
      <c r="AA20" s="103">
        <v>0</v>
      </c>
      <c r="AB20" s="103">
        <v>0</v>
      </c>
    </row>
    <row r="21" spans="1:28" customFormat="1" x14ac:dyDescent="0.15">
      <c r="A21" s="177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0.8</v>
      </c>
      <c r="T21" s="103">
        <v>0.8</v>
      </c>
      <c r="U21" s="103">
        <v>0.8</v>
      </c>
      <c r="V21" s="103">
        <v>0</v>
      </c>
      <c r="W21" s="103">
        <v>0.8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</row>
    <row r="22" spans="1:28" customFormat="1" x14ac:dyDescent="0.15">
      <c r="A22" s="177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0.8</v>
      </c>
      <c r="R22" s="103">
        <v>0</v>
      </c>
      <c r="S22" s="103">
        <v>0.8</v>
      </c>
      <c r="T22" s="103">
        <v>0.8</v>
      </c>
      <c r="U22" s="103">
        <v>0.8</v>
      </c>
      <c r="V22" s="103">
        <v>0.8</v>
      </c>
      <c r="W22" s="103">
        <v>0.8</v>
      </c>
      <c r="X22" s="103">
        <v>0.8</v>
      </c>
      <c r="Y22" s="103">
        <v>0.8</v>
      </c>
      <c r="Z22" s="103">
        <v>0</v>
      </c>
      <c r="AA22" s="103">
        <v>0</v>
      </c>
      <c r="AB22" s="103">
        <v>0</v>
      </c>
    </row>
    <row r="23" spans="1:28" customFormat="1" x14ac:dyDescent="0.15">
      <c r="A23" s="177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0.8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</row>
    <row r="24" spans="1:28" customFormat="1" x14ac:dyDescent="0.15">
      <c r="A24" s="177" t="s">
        <v>214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</v>
      </c>
      <c r="Y24" s="103">
        <v>0</v>
      </c>
      <c r="Z24" s="103">
        <v>0.8</v>
      </c>
      <c r="AA24" s="103">
        <v>0</v>
      </c>
      <c r="AB24" s="103">
        <v>0</v>
      </c>
    </row>
    <row r="25" spans="1:28" customFormat="1" x14ac:dyDescent="0.15">
      <c r="A25" s="177" t="s">
        <v>215</v>
      </c>
      <c r="B25" s="103">
        <v>0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0.8</v>
      </c>
      <c r="X25" s="103">
        <v>0.8</v>
      </c>
      <c r="Y25" s="103">
        <v>0</v>
      </c>
      <c r="Z25" s="103">
        <v>0.8</v>
      </c>
      <c r="AA25" s="103">
        <v>0</v>
      </c>
      <c r="AB25" s="103">
        <v>0</v>
      </c>
    </row>
    <row r="26" spans="1:28" customFormat="1" x14ac:dyDescent="0.15">
      <c r="A26" s="177" t="s">
        <v>216</v>
      </c>
      <c r="B26" s="103">
        <v>0</v>
      </c>
      <c r="C26" s="103">
        <v>0</v>
      </c>
      <c r="D26" s="103">
        <v>0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</row>
    <row r="27" spans="1:28" customFormat="1" x14ac:dyDescent="0.15">
      <c r="A27" s="177" t="s">
        <v>217</v>
      </c>
      <c r="B27" s="103">
        <v>0</v>
      </c>
      <c r="C27" s="103">
        <v>0.8</v>
      </c>
      <c r="D27" s="103">
        <v>0</v>
      </c>
      <c r="E27" s="103">
        <v>0</v>
      </c>
      <c r="F27" s="103">
        <v>0.8</v>
      </c>
      <c r="G27" s="103">
        <v>0.8</v>
      </c>
      <c r="H27" s="103">
        <v>0.8</v>
      </c>
      <c r="I27" s="103">
        <v>0</v>
      </c>
      <c r="J27" s="103">
        <v>0</v>
      </c>
      <c r="K27" s="103">
        <v>0.8</v>
      </c>
      <c r="L27" s="103">
        <v>0</v>
      </c>
      <c r="M27" s="103">
        <v>0</v>
      </c>
      <c r="N27" s="103">
        <v>0.8</v>
      </c>
      <c r="O27" s="103">
        <v>0</v>
      </c>
      <c r="P27" s="103">
        <v>0</v>
      </c>
      <c r="Q27" s="103">
        <v>0</v>
      </c>
      <c r="R27" s="103">
        <v>0</v>
      </c>
      <c r="S27" s="103">
        <v>0</v>
      </c>
      <c r="T27" s="103">
        <v>0.8</v>
      </c>
      <c r="U27" s="103">
        <v>0.8</v>
      </c>
      <c r="V27" s="103">
        <v>0</v>
      </c>
      <c r="W27" s="103">
        <v>0.8</v>
      </c>
      <c r="X27" s="103">
        <v>0</v>
      </c>
      <c r="Y27" s="103">
        <v>0</v>
      </c>
      <c r="Z27" s="103">
        <v>0</v>
      </c>
      <c r="AA27" s="103">
        <v>0</v>
      </c>
      <c r="AB27" s="103">
        <v>0</v>
      </c>
    </row>
    <row r="28" spans="1:28" customFormat="1" x14ac:dyDescent="0.15">
      <c r="A28" s="177" t="s">
        <v>218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</row>
    <row r="29" spans="1:28" customFormat="1" x14ac:dyDescent="0.15">
      <c r="A29" s="177" t="s">
        <v>219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</v>
      </c>
      <c r="X29" s="103">
        <v>0</v>
      </c>
      <c r="Y29" s="103">
        <v>0</v>
      </c>
      <c r="Z29" s="103">
        <v>0</v>
      </c>
      <c r="AA29" s="103">
        <v>0</v>
      </c>
      <c r="AB29" s="103">
        <v>0</v>
      </c>
    </row>
    <row r="30" spans="1:28" customFormat="1" x14ac:dyDescent="0.15"/>
    <row r="31" spans="1:28" customFormat="1" x14ac:dyDescent="0.15"/>
    <row r="32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8" width="2.33203125" style="103" customWidth="1"/>
    <col min="29" max="16384" width="10.83203125" style="103"/>
  </cols>
  <sheetData>
    <row r="1" spans="1:31" x14ac:dyDescent="0.15">
      <c r="A1" s="59" t="s">
        <v>139</v>
      </c>
      <c r="B1" s="180" t="s">
        <v>193</v>
      </c>
      <c r="C1" s="180" t="s">
        <v>194</v>
      </c>
      <c r="D1" s="180" t="s">
        <v>195</v>
      </c>
      <c r="E1" s="180" t="s">
        <v>196</v>
      </c>
      <c r="F1" s="180" t="s">
        <v>197</v>
      </c>
      <c r="G1" s="180" t="s">
        <v>198</v>
      </c>
      <c r="H1" s="180" t="s">
        <v>199</v>
      </c>
      <c r="I1" s="180" t="s">
        <v>200</v>
      </c>
      <c r="J1" s="180" t="s">
        <v>201</v>
      </c>
      <c r="K1" s="180" t="s">
        <v>202</v>
      </c>
      <c r="L1" s="180" t="s">
        <v>203</v>
      </c>
      <c r="M1" s="180" t="s">
        <v>166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/>
      <c r="AD1"/>
      <c r="AE1"/>
    </row>
    <row r="2" spans="1:31" customFormat="1" x14ac:dyDescent="0.15">
      <c r="A2" s="179" t="s">
        <v>193</v>
      </c>
      <c r="B2" s="103">
        <v>0</v>
      </c>
      <c r="C2" s="103">
        <v>1</v>
      </c>
      <c r="D2" s="103">
        <v>1</v>
      </c>
      <c r="E2" s="103">
        <v>1</v>
      </c>
      <c r="F2" s="103">
        <v>1</v>
      </c>
      <c r="G2" s="103">
        <v>0</v>
      </c>
      <c r="H2" s="103">
        <v>0</v>
      </c>
      <c r="I2" s="103">
        <v>1</v>
      </c>
      <c r="J2" s="103">
        <v>1</v>
      </c>
      <c r="K2" s="103">
        <v>0</v>
      </c>
      <c r="L2" s="103">
        <v>0</v>
      </c>
      <c r="M2" s="103">
        <v>0</v>
      </c>
      <c r="N2" s="103">
        <v>1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</row>
    <row r="3" spans="1:31" customFormat="1" x14ac:dyDescent="0.15">
      <c r="A3" s="179" t="s">
        <v>194</v>
      </c>
      <c r="B3" s="103">
        <v>0</v>
      </c>
      <c r="C3" s="103">
        <v>1</v>
      </c>
      <c r="D3" s="103">
        <v>1</v>
      </c>
      <c r="E3" s="103">
        <v>0</v>
      </c>
      <c r="F3" s="103">
        <v>0</v>
      </c>
      <c r="G3" s="103">
        <v>0</v>
      </c>
      <c r="H3" s="103">
        <v>0</v>
      </c>
      <c r="I3" s="103">
        <v>1</v>
      </c>
      <c r="J3" s="103">
        <v>1</v>
      </c>
      <c r="K3" s="103">
        <v>0</v>
      </c>
      <c r="L3" s="103">
        <v>0</v>
      </c>
      <c r="M3" s="103">
        <v>0</v>
      </c>
      <c r="N3" s="103">
        <v>1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</row>
    <row r="4" spans="1:31" customFormat="1" x14ac:dyDescent="0.15">
      <c r="A4" s="179" t="s">
        <v>195</v>
      </c>
      <c r="B4" s="103">
        <v>0</v>
      </c>
      <c r="C4" s="103">
        <v>0</v>
      </c>
      <c r="D4" s="103">
        <v>0</v>
      </c>
      <c r="E4" s="103">
        <v>1</v>
      </c>
      <c r="F4" s="103">
        <v>1</v>
      </c>
      <c r="G4" s="103">
        <v>0</v>
      </c>
      <c r="H4" s="103">
        <v>0</v>
      </c>
      <c r="I4" s="103">
        <v>1</v>
      </c>
      <c r="J4" s="103">
        <v>1</v>
      </c>
      <c r="K4" s="103">
        <v>1</v>
      </c>
      <c r="L4" s="103">
        <v>1</v>
      </c>
      <c r="M4" s="103">
        <v>1</v>
      </c>
      <c r="N4" s="103">
        <v>1</v>
      </c>
      <c r="O4" s="103">
        <v>1</v>
      </c>
      <c r="P4" s="103">
        <v>1</v>
      </c>
      <c r="Q4" s="103">
        <v>0</v>
      </c>
      <c r="R4" s="103">
        <v>1</v>
      </c>
      <c r="S4" s="103">
        <v>0</v>
      </c>
      <c r="T4" s="103">
        <v>0</v>
      </c>
      <c r="U4" s="103">
        <v>0</v>
      </c>
      <c r="V4" s="103">
        <v>1</v>
      </c>
      <c r="W4" s="103">
        <v>0</v>
      </c>
      <c r="X4" s="103">
        <v>1</v>
      </c>
      <c r="Y4" s="103">
        <v>0</v>
      </c>
      <c r="Z4" s="103">
        <v>1</v>
      </c>
      <c r="AA4" s="103">
        <v>0</v>
      </c>
      <c r="AB4" s="103">
        <v>0</v>
      </c>
    </row>
    <row r="5" spans="1:31" customFormat="1" x14ac:dyDescent="0.15">
      <c r="A5" s="179" t="s">
        <v>196</v>
      </c>
      <c r="B5" s="103">
        <v>0</v>
      </c>
      <c r="C5" s="103">
        <v>0</v>
      </c>
      <c r="D5" s="103">
        <v>0</v>
      </c>
      <c r="E5" s="103">
        <v>0</v>
      </c>
      <c r="F5" s="103">
        <v>1</v>
      </c>
      <c r="G5" s="103">
        <v>0</v>
      </c>
      <c r="H5" s="103">
        <v>0</v>
      </c>
      <c r="I5" s="103">
        <v>1</v>
      </c>
      <c r="J5" s="103">
        <v>1</v>
      </c>
      <c r="K5" s="103">
        <v>1</v>
      </c>
      <c r="L5" s="103">
        <v>1</v>
      </c>
      <c r="M5" s="103">
        <v>1</v>
      </c>
      <c r="N5" s="103">
        <v>1</v>
      </c>
      <c r="O5" s="103">
        <v>1</v>
      </c>
      <c r="P5" s="103">
        <v>1</v>
      </c>
      <c r="Q5" s="103">
        <v>1</v>
      </c>
      <c r="R5" s="103">
        <v>1</v>
      </c>
      <c r="S5" s="103">
        <v>1</v>
      </c>
      <c r="T5" s="103">
        <v>1</v>
      </c>
      <c r="U5" s="103">
        <v>1</v>
      </c>
      <c r="V5" s="103">
        <v>1</v>
      </c>
      <c r="W5" s="103">
        <v>0</v>
      </c>
      <c r="X5" s="103">
        <v>1</v>
      </c>
      <c r="Y5" s="103">
        <v>0</v>
      </c>
      <c r="Z5" s="103">
        <v>1</v>
      </c>
      <c r="AA5" s="103">
        <v>0</v>
      </c>
      <c r="AB5" s="103">
        <v>0</v>
      </c>
    </row>
    <row r="6" spans="1:31" customFormat="1" x14ac:dyDescent="0.15">
      <c r="A6" s="179" t="s">
        <v>197</v>
      </c>
      <c r="B6" s="103">
        <v>0</v>
      </c>
      <c r="C6" s="103">
        <v>0</v>
      </c>
      <c r="D6" s="103">
        <v>0</v>
      </c>
      <c r="E6" s="103">
        <v>0</v>
      </c>
      <c r="F6" s="103">
        <v>1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1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</row>
    <row r="7" spans="1:31" customFormat="1" x14ac:dyDescent="0.15">
      <c r="A7" s="179" t="s">
        <v>198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1</v>
      </c>
      <c r="I7" s="103">
        <v>0</v>
      </c>
      <c r="J7" s="103">
        <v>0</v>
      </c>
      <c r="K7" s="103">
        <v>1</v>
      </c>
      <c r="L7" s="103">
        <v>0</v>
      </c>
      <c r="M7" s="103">
        <v>0</v>
      </c>
      <c r="N7" s="103">
        <v>0</v>
      </c>
      <c r="O7" s="103">
        <v>1</v>
      </c>
      <c r="P7" s="103">
        <v>1</v>
      </c>
      <c r="Q7" s="103">
        <v>0</v>
      </c>
      <c r="R7" s="103">
        <v>0</v>
      </c>
      <c r="S7" s="103">
        <v>0</v>
      </c>
      <c r="T7" s="103">
        <v>1</v>
      </c>
      <c r="U7" s="103">
        <v>1</v>
      </c>
      <c r="V7" s="103">
        <v>0</v>
      </c>
      <c r="W7" s="103">
        <v>1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</row>
    <row r="8" spans="1:31" customFormat="1" x14ac:dyDescent="0.15">
      <c r="A8" s="179" t="s">
        <v>199</v>
      </c>
      <c r="B8" s="103">
        <v>0</v>
      </c>
      <c r="C8" s="103">
        <v>0</v>
      </c>
      <c r="D8" s="103">
        <v>0</v>
      </c>
      <c r="E8" s="103">
        <v>0</v>
      </c>
      <c r="F8" s="103">
        <v>0</v>
      </c>
      <c r="G8" s="103">
        <v>0</v>
      </c>
      <c r="H8" s="103">
        <v>1</v>
      </c>
      <c r="I8" s="103">
        <v>0</v>
      </c>
      <c r="J8" s="103">
        <v>0</v>
      </c>
      <c r="K8" s="103">
        <v>1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1</v>
      </c>
      <c r="U8" s="103">
        <v>1</v>
      </c>
      <c r="V8" s="103">
        <v>0</v>
      </c>
      <c r="W8" s="103">
        <v>1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</row>
    <row r="9" spans="1:31" customFormat="1" x14ac:dyDescent="0.15">
      <c r="A9" s="179" t="s">
        <v>200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1</v>
      </c>
      <c r="N9" s="103">
        <v>0</v>
      </c>
      <c r="O9" s="103">
        <v>0</v>
      </c>
      <c r="P9" s="103">
        <v>0</v>
      </c>
      <c r="Q9" s="103">
        <v>1</v>
      </c>
      <c r="R9" s="103">
        <v>0</v>
      </c>
      <c r="S9" s="103">
        <v>1</v>
      </c>
      <c r="T9" s="103">
        <v>0</v>
      </c>
      <c r="U9" s="103">
        <v>0</v>
      </c>
      <c r="V9" s="103">
        <v>1</v>
      </c>
      <c r="W9" s="103">
        <v>1</v>
      </c>
      <c r="X9" s="103">
        <v>1</v>
      </c>
      <c r="Y9" s="103">
        <v>1</v>
      </c>
      <c r="Z9" s="103">
        <v>1</v>
      </c>
      <c r="AA9" s="103">
        <v>0</v>
      </c>
      <c r="AB9" s="103">
        <v>0</v>
      </c>
    </row>
    <row r="10" spans="1:31" customFormat="1" x14ac:dyDescent="0.15">
      <c r="A10" s="179" t="s">
        <v>201</v>
      </c>
      <c r="B10" s="103">
        <v>0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1</v>
      </c>
      <c r="N10" s="103">
        <v>0</v>
      </c>
      <c r="O10" s="103">
        <v>0</v>
      </c>
      <c r="P10" s="103">
        <v>0</v>
      </c>
      <c r="Q10" s="103">
        <v>1</v>
      </c>
      <c r="R10" s="103">
        <v>0</v>
      </c>
      <c r="S10" s="103">
        <v>1</v>
      </c>
      <c r="T10" s="103">
        <v>0</v>
      </c>
      <c r="U10" s="103">
        <v>0</v>
      </c>
      <c r="V10" s="103">
        <v>1</v>
      </c>
      <c r="W10" s="103">
        <v>1</v>
      </c>
      <c r="X10" s="103">
        <v>1</v>
      </c>
      <c r="Y10" s="103">
        <v>1</v>
      </c>
      <c r="Z10" s="103">
        <v>1</v>
      </c>
      <c r="AA10" s="103">
        <v>0</v>
      </c>
      <c r="AB10" s="103">
        <v>0</v>
      </c>
    </row>
    <row r="11" spans="1:31" customFormat="1" x14ac:dyDescent="0.15">
      <c r="A11" s="179" t="s">
        <v>202</v>
      </c>
      <c r="B11" s="103">
        <v>0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1</v>
      </c>
      <c r="L11" s="103">
        <v>0</v>
      </c>
      <c r="M11" s="103">
        <v>1</v>
      </c>
      <c r="N11" s="103">
        <v>0</v>
      </c>
      <c r="O11" s="103">
        <v>0</v>
      </c>
      <c r="P11" s="103">
        <v>1</v>
      </c>
      <c r="Q11" s="103">
        <v>1</v>
      </c>
      <c r="R11" s="103">
        <v>1</v>
      </c>
      <c r="S11" s="103">
        <v>1</v>
      </c>
      <c r="T11" s="103">
        <v>1</v>
      </c>
      <c r="U11" s="103">
        <v>0</v>
      </c>
      <c r="V11" s="103">
        <v>1</v>
      </c>
      <c r="W11" s="103">
        <v>1</v>
      </c>
      <c r="X11" s="103">
        <v>1</v>
      </c>
      <c r="Y11" s="103">
        <v>1</v>
      </c>
      <c r="Z11" s="103">
        <v>1</v>
      </c>
      <c r="AA11" s="103">
        <v>0</v>
      </c>
      <c r="AB11" s="103">
        <v>0</v>
      </c>
    </row>
    <row r="12" spans="1:31" customFormat="1" x14ac:dyDescent="0.15">
      <c r="A12" s="179" t="s">
        <v>203</v>
      </c>
      <c r="B12" s="103">
        <v>0</v>
      </c>
      <c r="C12" s="103">
        <v>0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1</v>
      </c>
      <c r="L12" s="103">
        <v>0</v>
      </c>
      <c r="M12" s="103">
        <v>1</v>
      </c>
      <c r="N12" s="103">
        <v>0</v>
      </c>
      <c r="O12" s="103">
        <v>0</v>
      </c>
      <c r="P12" s="103">
        <v>1</v>
      </c>
      <c r="Q12" s="103">
        <v>1</v>
      </c>
      <c r="R12" s="103">
        <v>1</v>
      </c>
      <c r="S12" s="103">
        <v>1</v>
      </c>
      <c r="T12" s="103">
        <v>1</v>
      </c>
      <c r="U12" s="103">
        <v>1</v>
      </c>
      <c r="V12" s="103">
        <v>1</v>
      </c>
      <c r="W12" s="103">
        <v>1</v>
      </c>
      <c r="X12" s="103">
        <v>1</v>
      </c>
      <c r="Y12" s="103">
        <v>1</v>
      </c>
      <c r="Z12" s="103">
        <v>0</v>
      </c>
      <c r="AA12" s="103">
        <v>0</v>
      </c>
      <c r="AB12" s="103">
        <v>0</v>
      </c>
    </row>
    <row r="13" spans="1:31" customFormat="1" x14ac:dyDescent="0.15">
      <c r="A13" s="179" t="s">
        <v>166</v>
      </c>
      <c r="B13" s="103">
        <v>0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1</v>
      </c>
      <c r="N13" s="103">
        <v>0</v>
      </c>
      <c r="O13" s="103">
        <v>0</v>
      </c>
      <c r="P13" s="103">
        <v>0</v>
      </c>
      <c r="Q13" s="103">
        <v>1</v>
      </c>
      <c r="R13" s="103">
        <v>1</v>
      </c>
      <c r="S13" s="103">
        <v>1</v>
      </c>
      <c r="T13" s="103">
        <v>1</v>
      </c>
      <c r="U13" s="103">
        <v>1</v>
      </c>
      <c r="V13" s="103">
        <v>1</v>
      </c>
      <c r="W13" s="103">
        <v>1</v>
      </c>
      <c r="X13" s="103">
        <v>1</v>
      </c>
      <c r="Y13" s="103">
        <v>1</v>
      </c>
      <c r="Z13" s="103">
        <v>1</v>
      </c>
      <c r="AA13" s="103">
        <v>0</v>
      </c>
      <c r="AB13" s="103">
        <v>0</v>
      </c>
    </row>
    <row r="14" spans="1:31" customFormat="1" x14ac:dyDescent="0.15">
      <c r="A14" s="179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1</v>
      </c>
      <c r="L14" s="103">
        <v>0</v>
      </c>
      <c r="M14" s="103">
        <v>1</v>
      </c>
      <c r="N14" s="103">
        <v>0</v>
      </c>
      <c r="O14" s="103">
        <v>0</v>
      </c>
      <c r="P14" s="103">
        <v>0</v>
      </c>
      <c r="Q14" s="103">
        <v>1</v>
      </c>
      <c r="R14" s="103">
        <v>1</v>
      </c>
      <c r="S14" s="103">
        <v>1</v>
      </c>
      <c r="T14" s="103">
        <v>1</v>
      </c>
      <c r="U14" s="103">
        <v>1</v>
      </c>
      <c r="V14" s="103">
        <v>1</v>
      </c>
      <c r="W14" s="103">
        <v>1</v>
      </c>
      <c r="X14" s="103">
        <v>1</v>
      </c>
      <c r="Y14" s="103">
        <v>1</v>
      </c>
      <c r="Z14" s="103">
        <v>1</v>
      </c>
      <c r="AA14" s="103">
        <v>0</v>
      </c>
      <c r="AB14" s="103">
        <v>0</v>
      </c>
    </row>
    <row r="15" spans="1:31" customFormat="1" x14ac:dyDescent="0.15">
      <c r="A15" s="179" t="s">
        <v>205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1</v>
      </c>
      <c r="N15" s="103">
        <v>0</v>
      </c>
      <c r="O15" s="103">
        <v>0</v>
      </c>
      <c r="P15" s="103">
        <v>0</v>
      </c>
      <c r="Q15" s="103">
        <v>1</v>
      </c>
      <c r="R15" s="103">
        <v>0</v>
      </c>
      <c r="S15" s="103">
        <v>1</v>
      </c>
      <c r="T15" s="103">
        <v>0</v>
      </c>
      <c r="U15" s="103">
        <v>0</v>
      </c>
      <c r="V15" s="103">
        <v>0</v>
      </c>
      <c r="W15" s="103">
        <v>1</v>
      </c>
      <c r="X15" s="103">
        <v>1</v>
      </c>
      <c r="Y15" s="103">
        <v>1</v>
      </c>
      <c r="Z15" s="103">
        <v>1</v>
      </c>
      <c r="AA15" s="103">
        <v>0</v>
      </c>
      <c r="AB15" s="103">
        <v>0</v>
      </c>
    </row>
    <row r="16" spans="1:31" customFormat="1" x14ac:dyDescent="0.15">
      <c r="A16" s="179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1</v>
      </c>
      <c r="T16" s="103">
        <v>0</v>
      </c>
      <c r="U16" s="103">
        <v>1</v>
      </c>
      <c r="V16" s="103">
        <v>1</v>
      </c>
      <c r="W16" s="103">
        <v>1</v>
      </c>
      <c r="X16" s="103">
        <v>0</v>
      </c>
      <c r="Y16" s="103">
        <v>1</v>
      </c>
      <c r="Z16" s="103">
        <v>1</v>
      </c>
      <c r="AA16" s="103">
        <v>0</v>
      </c>
      <c r="AB16" s="103">
        <v>0</v>
      </c>
    </row>
    <row r="17" spans="1:28" customFormat="1" x14ac:dyDescent="0.15">
      <c r="A17" s="179" t="s">
        <v>207</v>
      </c>
      <c r="B17" s="103"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1</v>
      </c>
      <c r="X17" s="103">
        <v>1</v>
      </c>
      <c r="Y17" s="103">
        <v>0</v>
      </c>
      <c r="Z17" s="103">
        <v>1</v>
      </c>
      <c r="AA17" s="103">
        <v>0</v>
      </c>
      <c r="AB17" s="103">
        <v>0</v>
      </c>
    </row>
    <row r="18" spans="1:28" customFormat="1" x14ac:dyDescent="0.15">
      <c r="A18" s="179" t="s">
        <v>208</v>
      </c>
      <c r="B18" s="103">
        <v>0</v>
      </c>
      <c r="C18" s="103">
        <v>0</v>
      </c>
      <c r="D18" s="103">
        <v>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1</v>
      </c>
      <c r="R18" s="103">
        <v>0</v>
      </c>
      <c r="S18" s="103">
        <v>1</v>
      </c>
      <c r="T18" s="103">
        <v>1</v>
      </c>
      <c r="U18" s="103">
        <v>0</v>
      </c>
      <c r="V18" s="103">
        <v>0</v>
      </c>
      <c r="W18" s="103">
        <v>0</v>
      </c>
      <c r="X18" s="103">
        <v>1</v>
      </c>
      <c r="Y18" s="103">
        <v>1</v>
      </c>
      <c r="Z18" s="103">
        <v>0</v>
      </c>
      <c r="AA18" s="103">
        <v>0</v>
      </c>
      <c r="AB18" s="103">
        <v>0</v>
      </c>
    </row>
    <row r="19" spans="1:28" customFormat="1" x14ac:dyDescent="0.15">
      <c r="A19" s="179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1</v>
      </c>
      <c r="N19" s="103">
        <v>0</v>
      </c>
      <c r="O19" s="103">
        <v>0</v>
      </c>
      <c r="P19" s="103">
        <v>0</v>
      </c>
      <c r="Q19" s="103">
        <v>1</v>
      </c>
      <c r="R19" s="103">
        <v>0</v>
      </c>
      <c r="S19" s="103">
        <v>1</v>
      </c>
      <c r="T19" s="103">
        <v>1</v>
      </c>
      <c r="U19" s="103">
        <v>1</v>
      </c>
      <c r="V19" s="103">
        <v>0</v>
      </c>
      <c r="W19" s="103">
        <v>1</v>
      </c>
      <c r="X19" s="103">
        <v>1</v>
      </c>
      <c r="Y19" s="103">
        <v>1</v>
      </c>
      <c r="Z19" s="103">
        <v>1</v>
      </c>
      <c r="AA19" s="103">
        <v>0</v>
      </c>
      <c r="AB19" s="103">
        <v>0</v>
      </c>
    </row>
    <row r="20" spans="1:28" customFormat="1" x14ac:dyDescent="0.15">
      <c r="A20" s="179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1</v>
      </c>
      <c r="R20" s="103">
        <v>0</v>
      </c>
      <c r="S20" s="103">
        <v>1</v>
      </c>
      <c r="T20" s="103">
        <v>0</v>
      </c>
      <c r="U20" s="103">
        <v>1</v>
      </c>
      <c r="V20" s="103">
        <v>1</v>
      </c>
      <c r="W20" s="103">
        <v>1</v>
      </c>
      <c r="X20" s="103">
        <v>1</v>
      </c>
      <c r="Y20" s="103">
        <v>0</v>
      </c>
      <c r="Z20" s="103">
        <v>1</v>
      </c>
      <c r="AA20" s="103">
        <v>0</v>
      </c>
      <c r="AB20" s="103">
        <v>0</v>
      </c>
    </row>
    <row r="21" spans="1:28" customFormat="1" x14ac:dyDescent="0.15">
      <c r="A21" s="179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1</v>
      </c>
      <c r="T21" s="103">
        <v>1</v>
      </c>
      <c r="U21" s="103">
        <v>1</v>
      </c>
      <c r="V21" s="103">
        <v>0</v>
      </c>
      <c r="W21" s="103">
        <v>1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</row>
    <row r="22" spans="1:28" customFormat="1" x14ac:dyDescent="0.15">
      <c r="A22" s="179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1</v>
      </c>
      <c r="R22" s="103">
        <v>0</v>
      </c>
      <c r="S22" s="103">
        <v>1</v>
      </c>
      <c r="T22" s="103">
        <v>1</v>
      </c>
      <c r="U22" s="103">
        <v>1</v>
      </c>
      <c r="V22" s="103">
        <v>1</v>
      </c>
      <c r="W22" s="103">
        <v>1</v>
      </c>
      <c r="X22" s="103">
        <v>1</v>
      </c>
      <c r="Y22" s="103">
        <v>1</v>
      </c>
      <c r="Z22" s="103">
        <v>0</v>
      </c>
      <c r="AA22" s="103">
        <v>0</v>
      </c>
      <c r="AB22" s="103">
        <v>0</v>
      </c>
    </row>
    <row r="23" spans="1:28" customFormat="1" x14ac:dyDescent="0.15">
      <c r="A23" s="179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1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</row>
    <row r="24" spans="1:28" customFormat="1" x14ac:dyDescent="0.15">
      <c r="A24" s="179" t="s">
        <v>214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</v>
      </c>
      <c r="Y24" s="103">
        <v>0</v>
      </c>
      <c r="Z24" s="103">
        <v>1</v>
      </c>
      <c r="AA24" s="103">
        <v>0</v>
      </c>
      <c r="AB24" s="103">
        <v>0</v>
      </c>
    </row>
    <row r="25" spans="1:28" customFormat="1" x14ac:dyDescent="0.15">
      <c r="A25" s="179" t="s">
        <v>215</v>
      </c>
      <c r="B25" s="103">
        <v>0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1</v>
      </c>
      <c r="X25" s="103">
        <v>1</v>
      </c>
      <c r="Y25" s="103">
        <v>0</v>
      </c>
      <c r="Z25" s="103">
        <v>1</v>
      </c>
      <c r="AA25" s="103">
        <v>0</v>
      </c>
      <c r="AB25" s="103">
        <v>0</v>
      </c>
    </row>
    <row r="26" spans="1:28" customFormat="1" x14ac:dyDescent="0.15">
      <c r="A26" s="179" t="s">
        <v>216</v>
      </c>
      <c r="B26" s="103">
        <v>0</v>
      </c>
      <c r="C26" s="103">
        <v>0</v>
      </c>
      <c r="D26" s="103">
        <v>0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</row>
    <row r="27" spans="1:28" customFormat="1" x14ac:dyDescent="0.15">
      <c r="A27" s="179" t="s">
        <v>217</v>
      </c>
      <c r="B27" s="103">
        <v>0</v>
      </c>
      <c r="C27" s="103">
        <v>1</v>
      </c>
      <c r="D27" s="103">
        <v>0</v>
      </c>
      <c r="E27" s="103">
        <v>0</v>
      </c>
      <c r="F27" s="103">
        <v>1</v>
      </c>
      <c r="G27" s="103">
        <v>1</v>
      </c>
      <c r="H27" s="103">
        <v>1</v>
      </c>
      <c r="I27" s="103">
        <v>0</v>
      </c>
      <c r="J27" s="103">
        <v>0</v>
      </c>
      <c r="K27" s="103">
        <v>1</v>
      </c>
      <c r="L27" s="103">
        <v>0</v>
      </c>
      <c r="M27" s="103">
        <v>0</v>
      </c>
      <c r="N27" s="103">
        <v>1</v>
      </c>
      <c r="O27" s="103">
        <v>0</v>
      </c>
      <c r="P27" s="103">
        <v>0</v>
      </c>
      <c r="Q27" s="103">
        <v>0</v>
      </c>
      <c r="R27" s="103">
        <v>0</v>
      </c>
      <c r="S27" s="103">
        <v>0</v>
      </c>
      <c r="T27" s="103">
        <v>1</v>
      </c>
      <c r="U27" s="103">
        <v>1</v>
      </c>
      <c r="V27" s="103">
        <v>0</v>
      </c>
      <c r="W27" s="103">
        <v>1</v>
      </c>
      <c r="X27" s="103">
        <v>0</v>
      </c>
      <c r="Y27" s="103">
        <v>0</v>
      </c>
      <c r="Z27" s="103">
        <v>0</v>
      </c>
      <c r="AA27" s="103">
        <v>0</v>
      </c>
      <c r="AB27" s="103">
        <v>0</v>
      </c>
    </row>
    <row r="28" spans="1:28" customFormat="1" x14ac:dyDescent="0.15">
      <c r="A28" s="179" t="s">
        <v>218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</row>
    <row r="29" spans="1:28" customFormat="1" x14ac:dyDescent="0.15">
      <c r="A29" s="179" t="s">
        <v>219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</v>
      </c>
      <c r="X29" s="103">
        <v>0</v>
      </c>
      <c r="Y29" s="103">
        <v>0</v>
      </c>
      <c r="Z29" s="103">
        <v>0</v>
      </c>
      <c r="AA29" s="103">
        <v>0</v>
      </c>
      <c r="AB29" s="103">
        <v>0</v>
      </c>
    </row>
    <row r="30" spans="1:28" customFormat="1" x14ac:dyDescent="0.15"/>
    <row r="31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C1" sqref="C1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2" t="s">
        <v>223</v>
      </c>
    </row>
    <row r="2" spans="1:3" x14ac:dyDescent="0.15">
      <c r="A2">
        <v>1</v>
      </c>
      <c r="B2" s="181" t="s">
        <v>193</v>
      </c>
      <c r="C2">
        <v>0</v>
      </c>
    </row>
    <row r="3" spans="1:3" x14ac:dyDescent="0.15">
      <c r="A3">
        <v>2</v>
      </c>
      <c r="B3" s="181" t="s">
        <v>194</v>
      </c>
      <c r="C3">
        <v>0</v>
      </c>
    </row>
    <row r="4" spans="1:3" x14ac:dyDescent="0.15">
      <c r="A4">
        <v>3</v>
      </c>
      <c r="B4" s="181" t="s">
        <v>195</v>
      </c>
      <c r="C4">
        <v>0</v>
      </c>
    </row>
    <row r="5" spans="1:3" x14ac:dyDescent="0.15">
      <c r="A5">
        <v>4</v>
      </c>
      <c r="B5" s="181" t="s">
        <v>196</v>
      </c>
      <c r="C5">
        <v>0</v>
      </c>
    </row>
    <row r="6" spans="1:3" x14ac:dyDescent="0.15">
      <c r="A6">
        <v>5</v>
      </c>
      <c r="B6" s="181" t="s">
        <v>197</v>
      </c>
      <c r="C6">
        <v>0</v>
      </c>
    </row>
    <row r="7" spans="1:3" x14ac:dyDescent="0.15">
      <c r="A7">
        <v>6</v>
      </c>
      <c r="B7" s="181" t="s">
        <v>198</v>
      </c>
      <c r="C7">
        <v>0</v>
      </c>
    </row>
    <row r="8" spans="1:3" x14ac:dyDescent="0.15">
      <c r="A8">
        <v>7</v>
      </c>
      <c r="B8" s="181" t="s">
        <v>199</v>
      </c>
      <c r="C8">
        <v>0</v>
      </c>
    </row>
    <row r="9" spans="1:3" x14ac:dyDescent="0.15">
      <c r="A9">
        <v>8</v>
      </c>
      <c r="B9" s="181" t="s">
        <v>200</v>
      </c>
      <c r="C9">
        <v>0</v>
      </c>
    </row>
    <row r="10" spans="1:3" x14ac:dyDescent="0.15">
      <c r="A10">
        <v>9</v>
      </c>
      <c r="B10" s="181" t="s">
        <v>201</v>
      </c>
      <c r="C10">
        <v>0</v>
      </c>
    </row>
    <row r="11" spans="1:3" x14ac:dyDescent="0.15">
      <c r="A11">
        <v>10</v>
      </c>
      <c r="B11" s="181" t="s">
        <v>202</v>
      </c>
      <c r="C11">
        <v>0</v>
      </c>
    </row>
    <row r="12" spans="1:3" x14ac:dyDescent="0.15">
      <c r="A12">
        <v>11</v>
      </c>
      <c r="B12" s="181" t="s">
        <v>203</v>
      </c>
      <c r="C12">
        <v>0</v>
      </c>
    </row>
    <row r="13" spans="1:3" x14ac:dyDescent="0.15">
      <c r="A13">
        <v>12</v>
      </c>
      <c r="B13" s="181" t="s">
        <v>166</v>
      </c>
      <c r="C13">
        <v>0</v>
      </c>
    </row>
    <row r="14" spans="1:3" x14ac:dyDescent="0.15">
      <c r="A14">
        <v>13</v>
      </c>
      <c r="B14" s="181" t="s">
        <v>204</v>
      </c>
      <c r="C14">
        <v>0</v>
      </c>
    </row>
    <row r="15" spans="1:3" x14ac:dyDescent="0.15">
      <c r="A15">
        <v>14</v>
      </c>
      <c r="B15" s="181" t="s">
        <v>205</v>
      </c>
      <c r="C15">
        <v>0</v>
      </c>
    </row>
    <row r="16" spans="1:3" x14ac:dyDescent="0.15">
      <c r="A16">
        <v>15</v>
      </c>
      <c r="B16" s="181" t="s">
        <v>206</v>
      </c>
      <c r="C16">
        <v>0</v>
      </c>
    </row>
    <row r="17" spans="1:3" x14ac:dyDescent="0.15">
      <c r="A17">
        <v>16</v>
      </c>
      <c r="B17" s="181" t="s">
        <v>207</v>
      </c>
      <c r="C17">
        <v>0</v>
      </c>
    </row>
    <row r="18" spans="1:3" x14ac:dyDescent="0.15">
      <c r="A18">
        <v>17</v>
      </c>
      <c r="B18" s="181" t="s">
        <v>208</v>
      </c>
      <c r="C18">
        <v>0</v>
      </c>
    </row>
    <row r="19" spans="1:3" x14ac:dyDescent="0.15">
      <c r="A19">
        <v>18</v>
      </c>
      <c r="B19" s="181" t="s">
        <v>209</v>
      </c>
      <c r="C19">
        <v>0</v>
      </c>
    </row>
    <row r="20" spans="1:3" x14ac:dyDescent="0.15">
      <c r="A20">
        <v>19</v>
      </c>
      <c r="B20" s="181" t="s">
        <v>210</v>
      </c>
      <c r="C20">
        <v>0</v>
      </c>
    </row>
    <row r="21" spans="1:3" x14ac:dyDescent="0.15">
      <c r="A21">
        <v>20</v>
      </c>
      <c r="B21" s="181" t="s">
        <v>211</v>
      </c>
      <c r="C21">
        <v>0</v>
      </c>
    </row>
    <row r="22" spans="1:3" x14ac:dyDescent="0.15">
      <c r="A22">
        <v>21</v>
      </c>
      <c r="B22" s="181" t="s">
        <v>212</v>
      </c>
      <c r="C22">
        <v>0</v>
      </c>
    </row>
    <row r="23" spans="1:3" x14ac:dyDescent="0.15">
      <c r="A23">
        <v>22</v>
      </c>
      <c r="B23" s="181" t="s">
        <v>213</v>
      </c>
      <c r="C23">
        <v>0</v>
      </c>
    </row>
    <row r="24" spans="1:3" x14ac:dyDescent="0.15">
      <c r="A24">
        <v>23</v>
      </c>
      <c r="B24" s="181" t="s">
        <v>214</v>
      </c>
      <c r="C24">
        <v>0</v>
      </c>
    </row>
    <row r="25" spans="1:3" x14ac:dyDescent="0.15">
      <c r="A25">
        <v>24</v>
      </c>
      <c r="B25" s="181" t="s">
        <v>215</v>
      </c>
      <c r="C25">
        <v>0</v>
      </c>
    </row>
    <row r="26" spans="1:3" x14ac:dyDescent="0.15">
      <c r="A26">
        <v>25</v>
      </c>
      <c r="B26" s="181" t="s">
        <v>216</v>
      </c>
      <c r="C26">
        <v>0</v>
      </c>
    </row>
    <row r="27" spans="1:3" x14ac:dyDescent="0.15">
      <c r="A27">
        <v>26</v>
      </c>
      <c r="B27" s="181" t="s">
        <v>217</v>
      </c>
      <c r="C27">
        <v>0</v>
      </c>
    </row>
    <row r="28" spans="1:3" x14ac:dyDescent="0.15">
      <c r="A28">
        <v>27</v>
      </c>
      <c r="B28" s="181" t="s">
        <v>218</v>
      </c>
      <c r="C2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8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2" t="s">
        <v>223</v>
      </c>
    </row>
    <row r="2" spans="1:3" x14ac:dyDescent="0.15">
      <c r="A2">
        <v>1</v>
      </c>
      <c r="B2" s="182" t="s">
        <v>193</v>
      </c>
      <c r="C2">
        <v>0</v>
      </c>
    </row>
    <row r="3" spans="1:3" x14ac:dyDescent="0.15">
      <c r="A3">
        <v>2</v>
      </c>
      <c r="B3" s="182" t="s">
        <v>194</v>
      </c>
      <c r="C3">
        <v>0</v>
      </c>
    </row>
    <row r="4" spans="1:3" x14ac:dyDescent="0.15">
      <c r="A4">
        <v>3</v>
      </c>
      <c r="B4" s="182" t="s">
        <v>195</v>
      </c>
      <c r="C4">
        <v>0</v>
      </c>
    </row>
    <row r="5" spans="1:3" x14ac:dyDescent="0.15">
      <c r="A5">
        <v>4</v>
      </c>
      <c r="B5" s="182" t="s">
        <v>196</v>
      </c>
      <c r="C5">
        <v>0</v>
      </c>
    </row>
    <row r="6" spans="1:3" x14ac:dyDescent="0.15">
      <c r="A6">
        <v>5</v>
      </c>
      <c r="B6" s="182" t="s">
        <v>197</v>
      </c>
      <c r="C6">
        <v>0</v>
      </c>
    </row>
    <row r="7" spans="1:3" x14ac:dyDescent="0.15">
      <c r="A7">
        <v>6</v>
      </c>
      <c r="B7" s="182" t="s">
        <v>198</v>
      </c>
      <c r="C7">
        <v>0</v>
      </c>
    </row>
    <row r="8" spans="1:3" x14ac:dyDescent="0.15">
      <c r="A8">
        <v>7</v>
      </c>
      <c r="B8" s="182" t="s">
        <v>199</v>
      </c>
      <c r="C8">
        <v>0</v>
      </c>
    </row>
    <row r="9" spans="1:3" x14ac:dyDescent="0.15">
      <c r="A9">
        <v>8</v>
      </c>
      <c r="B9" s="182" t="s">
        <v>200</v>
      </c>
      <c r="C9">
        <v>0</v>
      </c>
    </row>
    <row r="10" spans="1:3" x14ac:dyDescent="0.15">
      <c r="A10">
        <v>9</v>
      </c>
      <c r="B10" s="182" t="s">
        <v>201</v>
      </c>
      <c r="C10">
        <v>0</v>
      </c>
    </row>
    <row r="11" spans="1:3" x14ac:dyDescent="0.15">
      <c r="A11">
        <v>10</v>
      </c>
      <c r="B11" s="182" t="s">
        <v>202</v>
      </c>
      <c r="C11">
        <v>0</v>
      </c>
    </row>
    <row r="12" spans="1:3" x14ac:dyDescent="0.15">
      <c r="A12">
        <v>11</v>
      </c>
      <c r="B12" s="182" t="s">
        <v>203</v>
      </c>
      <c r="C12">
        <v>0</v>
      </c>
    </row>
    <row r="13" spans="1:3" x14ac:dyDescent="0.15">
      <c r="A13">
        <v>12</v>
      </c>
      <c r="B13" s="182" t="s">
        <v>166</v>
      </c>
      <c r="C13">
        <v>0</v>
      </c>
    </row>
    <row r="14" spans="1:3" x14ac:dyDescent="0.15">
      <c r="A14">
        <v>13</v>
      </c>
      <c r="B14" s="182" t="s">
        <v>204</v>
      </c>
      <c r="C14">
        <v>0</v>
      </c>
    </row>
    <row r="15" spans="1:3" x14ac:dyDescent="0.15">
      <c r="A15">
        <v>14</v>
      </c>
      <c r="B15" s="182" t="s">
        <v>205</v>
      </c>
      <c r="C15">
        <v>0</v>
      </c>
    </row>
    <row r="16" spans="1:3" x14ac:dyDescent="0.15">
      <c r="A16">
        <v>15</v>
      </c>
      <c r="B16" s="182" t="s">
        <v>206</v>
      </c>
      <c r="C16">
        <v>0</v>
      </c>
    </row>
    <row r="17" spans="1:3" x14ac:dyDescent="0.15">
      <c r="A17">
        <v>16</v>
      </c>
      <c r="B17" s="182" t="s">
        <v>207</v>
      </c>
      <c r="C17">
        <v>0</v>
      </c>
    </row>
    <row r="18" spans="1:3" x14ac:dyDescent="0.15">
      <c r="A18">
        <v>17</v>
      </c>
      <c r="B18" s="182" t="s">
        <v>208</v>
      </c>
      <c r="C18">
        <v>0</v>
      </c>
    </row>
    <row r="19" spans="1:3" x14ac:dyDescent="0.15">
      <c r="A19">
        <v>18</v>
      </c>
      <c r="B19" s="182" t="s">
        <v>209</v>
      </c>
      <c r="C19">
        <v>0</v>
      </c>
    </row>
    <row r="20" spans="1:3" x14ac:dyDescent="0.15">
      <c r="A20">
        <v>19</v>
      </c>
      <c r="B20" s="182" t="s">
        <v>210</v>
      </c>
      <c r="C20">
        <v>0</v>
      </c>
    </row>
    <row r="21" spans="1:3" x14ac:dyDescent="0.15">
      <c r="A21">
        <v>20</v>
      </c>
      <c r="B21" s="182" t="s">
        <v>211</v>
      </c>
      <c r="C21">
        <v>0</v>
      </c>
    </row>
    <row r="22" spans="1:3" x14ac:dyDescent="0.15">
      <c r="A22">
        <v>21</v>
      </c>
      <c r="B22" s="182" t="s">
        <v>212</v>
      </c>
      <c r="C22">
        <v>0</v>
      </c>
    </row>
    <row r="23" spans="1:3" x14ac:dyDescent="0.15">
      <c r="A23">
        <v>22</v>
      </c>
      <c r="B23" s="182" t="s">
        <v>213</v>
      </c>
      <c r="C23">
        <v>0</v>
      </c>
    </row>
    <row r="24" spans="1:3" x14ac:dyDescent="0.15">
      <c r="A24">
        <v>23</v>
      </c>
      <c r="B24" s="182" t="s">
        <v>214</v>
      </c>
      <c r="C24">
        <v>0</v>
      </c>
    </row>
    <row r="25" spans="1:3" x14ac:dyDescent="0.15">
      <c r="A25">
        <v>24</v>
      </c>
      <c r="B25" s="182" t="s">
        <v>215</v>
      </c>
      <c r="C25">
        <v>0</v>
      </c>
    </row>
    <row r="26" spans="1:3" x14ac:dyDescent="0.15">
      <c r="A26">
        <v>25</v>
      </c>
      <c r="B26" s="182" t="s">
        <v>216</v>
      </c>
      <c r="C26">
        <v>0</v>
      </c>
    </row>
    <row r="27" spans="1:3" x14ac:dyDescent="0.15">
      <c r="A27">
        <v>26</v>
      </c>
      <c r="B27" s="182" t="s">
        <v>217</v>
      </c>
      <c r="C27">
        <v>0</v>
      </c>
    </row>
    <row r="28" spans="1:3" x14ac:dyDescent="0.15">
      <c r="A28">
        <v>27</v>
      </c>
      <c r="B28" s="182" t="s">
        <v>218</v>
      </c>
      <c r="C2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8">
        <v>1</v>
      </c>
      <c r="B2" s="138" t="s">
        <v>193</v>
      </c>
      <c r="C2" s="8">
        <v>1</v>
      </c>
      <c r="D2" s="9">
        <v>207.19999694824219</v>
      </c>
      <c r="E2" s="9">
        <v>35.700000762939453</v>
      </c>
      <c r="F2" s="10"/>
      <c r="G2" s="9">
        <v>0.75558638572692871</v>
      </c>
      <c r="H2" s="10"/>
      <c r="I2">
        <v>0</v>
      </c>
      <c r="J2"/>
    </row>
    <row r="3" spans="1:10" ht="15" customHeight="1" x14ac:dyDescent="0.15">
      <c r="A3" s="139">
        <v>2</v>
      </c>
      <c r="B3" s="139" t="s">
        <v>194</v>
      </c>
      <c r="C3" s="8">
        <v>2.0416667461395264</v>
      </c>
      <c r="D3" s="9">
        <v>3.2543182373046875</v>
      </c>
      <c r="E3" s="9">
        <v>482</v>
      </c>
      <c r="F3" s="9">
        <v>1928</v>
      </c>
      <c r="G3" s="9">
        <v>0.9989999532699585</v>
      </c>
      <c r="H3" s="9">
        <v>0.25</v>
      </c>
      <c r="I3">
        <v>0</v>
      </c>
      <c r="J3"/>
    </row>
    <row r="4" spans="1:10" ht="15" customHeight="1" x14ac:dyDescent="0.15">
      <c r="A4" s="140">
        <v>3</v>
      </c>
      <c r="B4" s="140" t="s">
        <v>195</v>
      </c>
      <c r="C4" s="8">
        <v>2.46875</v>
      </c>
      <c r="D4" s="9">
        <v>21.234977722167969</v>
      </c>
      <c r="E4" s="9">
        <v>40</v>
      </c>
      <c r="F4" s="9">
        <v>133.33299255371094</v>
      </c>
      <c r="G4" s="9">
        <v>0.99900048971176147</v>
      </c>
      <c r="H4" s="9">
        <v>0.30000075697898865</v>
      </c>
      <c r="I4">
        <v>0</v>
      </c>
      <c r="J4"/>
    </row>
    <row r="5" spans="1:10" ht="15" customHeight="1" x14ac:dyDescent="0.15">
      <c r="A5" s="141">
        <v>4</v>
      </c>
      <c r="B5" s="141" t="s">
        <v>196</v>
      </c>
      <c r="C5" s="8">
        <v>2.528749942779541</v>
      </c>
      <c r="D5" s="9">
        <v>35.964336395263672</v>
      </c>
      <c r="E5" s="9">
        <v>13</v>
      </c>
      <c r="F5" s="9">
        <v>31.707000732421875</v>
      </c>
      <c r="G5" s="9">
        <v>0.99900215864181519</v>
      </c>
      <c r="H5" s="9">
        <v>0.41000407934188843</v>
      </c>
      <c r="I5">
        <v>0</v>
      </c>
      <c r="J5"/>
    </row>
    <row r="6" spans="1:10" ht="15" customHeight="1" x14ac:dyDescent="0.15">
      <c r="A6" s="142">
        <v>5</v>
      </c>
      <c r="B6" s="142" t="s">
        <v>197</v>
      </c>
      <c r="C6" s="8">
        <v>3.181328296661377</v>
      </c>
      <c r="D6" s="9">
        <v>26.072956085205078</v>
      </c>
      <c r="E6" s="9">
        <v>0.43999999761581421</v>
      </c>
      <c r="F6" s="9">
        <v>1.4670000076293945</v>
      </c>
      <c r="G6" s="9">
        <v>0.50000107288360596</v>
      </c>
      <c r="H6" s="9">
        <v>0.29993182420730591</v>
      </c>
      <c r="I6">
        <v>0</v>
      </c>
      <c r="J6"/>
    </row>
    <row r="7" spans="1:10" ht="15" customHeight="1" x14ac:dyDescent="0.15">
      <c r="A7" s="143">
        <v>6</v>
      </c>
      <c r="B7" s="143" t="s">
        <v>198</v>
      </c>
      <c r="C7" s="8">
        <v>2</v>
      </c>
      <c r="D7" s="9">
        <v>57.137901306152344</v>
      </c>
      <c r="E7" s="9">
        <v>8</v>
      </c>
      <c r="F7" s="9">
        <v>33</v>
      </c>
      <c r="G7" s="9">
        <v>0.99900001287460327</v>
      </c>
      <c r="H7" s="9">
        <v>0.24242424964904785</v>
      </c>
      <c r="I7">
        <v>0</v>
      </c>
      <c r="J7"/>
    </row>
    <row r="8" spans="1:10" ht="15" customHeight="1" x14ac:dyDescent="0.15">
      <c r="A8" s="144">
        <v>7</v>
      </c>
      <c r="B8" s="144" t="s">
        <v>199</v>
      </c>
      <c r="C8" s="8">
        <v>3</v>
      </c>
      <c r="D8" s="9">
        <v>28.307506561279297</v>
      </c>
      <c r="E8" s="9">
        <v>1.2000000476837158</v>
      </c>
      <c r="F8" s="9">
        <v>10</v>
      </c>
      <c r="G8" s="9">
        <v>0.99900007247924805</v>
      </c>
      <c r="H8" s="9">
        <v>0.12000000476837158</v>
      </c>
      <c r="I8">
        <v>0</v>
      </c>
      <c r="J8"/>
    </row>
    <row r="9" spans="1:10" ht="15" customHeight="1" x14ac:dyDescent="0.15">
      <c r="A9" s="145">
        <v>8</v>
      </c>
      <c r="B9" s="145" t="s">
        <v>200</v>
      </c>
      <c r="C9" s="8">
        <v>2.6228830814361572</v>
      </c>
      <c r="D9" s="9">
        <v>35.36871337890625</v>
      </c>
      <c r="E9" s="9">
        <v>1.3500000238418579</v>
      </c>
      <c r="F9" s="9">
        <v>14</v>
      </c>
      <c r="G9" s="9">
        <v>0.9039493203163147</v>
      </c>
      <c r="H9" s="9">
        <v>9.6428573131561279E-2</v>
      </c>
      <c r="I9">
        <v>0</v>
      </c>
      <c r="J9"/>
    </row>
    <row r="10" spans="1:10" ht="15" customHeight="1" x14ac:dyDescent="0.15">
      <c r="A10" s="146">
        <v>9</v>
      </c>
      <c r="B10" s="146" t="s">
        <v>201</v>
      </c>
      <c r="C10" s="8">
        <v>2.9861793518066406</v>
      </c>
      <c r="D10" s="9">
        <v>1.86977219581604</v>
      </c>
      <c r="E10" s="9">
        <v>1.7999999523162842</v>
      </c>
      <c r="F10" s="9">
        <v>18</v>
      </c>
      <c r="G10" s="9">
        <v>0.99906373023986816</v>
      </c>
      <c r="H10" s="9">
        <v>9.9999994039535522E-2</v>
      </c>
      <c r="I10">
        <v>0</v>
      </c>
      <c r="J10"/>
    </row>
    <row r="11" spans="1:10" ht="15" customHeight="1" x14ac:dyDescent="0.15">
      <c r="A11" s="147">
        <v>10</v>
      </c>
      <c r="B11" s="147" t="s">
        <v>202</v>
      </c>
      <c r="C11" s="8">
        <v>3.0648717880249023</v>
      </c>
      <c r="D11" s="9">
        <v>20.202798843383789</v>
      </c>
      <c r="E11" s="9">
        <v>1.7999999523162842</v>
      </c>
      <c r="F11" s="9">
        <v>12</v>
      </c>
      <c r="G11" s="9">
        <v>0.99901336431503296</v>
      </c>
      <c r="H11" s="9">
        <v>0.14999999105930328</v>
      </c>
      <c r="I11">
        <v>0</v>
      </c>
      <c r="J11"/>
    </row>
    <row r="12" spans="1:10" ht="15" customHeight="1" x14ac:dyDescent="0.15">
      <c r="A12" s="148">
        <v>11</v>
      </c>
      <c r="B12" s="148" t="s">
        <v>203</v>
      </c>
      <c r="C12" s="8">
        <v>3.5047500133514404</v>
      </c>
      <c r="D12" s="9">
        <v>19.650959014892578</v>
      </c>
      <c r="E12" s="9">
        <v>1.2300000190734863</v>
      </c>
      <c r="F12" s="9">
        <v>12.300000190734863</v>
      </c>
      <c r="G12" s="9">
        <v>0.9990307092666626</v>
      </c>
      <c r="H12" s="9">
        <v>0.10000000149011612</v>
      </c>
      <c r="I12">
        <v>0</v>
      </c>
      <c r="J12"/>
    </row>
    <row r="13" spans="1:10" ht="15" customHeight="1" x14ac:dyDescent="0.15">
      <c r="A13" s="149">
        <v>12</v>
      </c>
      <c r="B13" s="149" t="s">
        <v>166</v>
      </c>
      <c r="C13" s="8">
        <v>3.8135924339294434</v>
      </c>
      <c r="D13" s="9">
        <v>4.1289525032043457</v>
      </c>
      <c r="E13" s="9">
        <v>5</v>
      </c>
      <c r="F13" s="9">
        <v>15</v>
      </c>
      <c r="G13" s="9">
        <v>0.99901372194290161</v>
      </c>
      <c r="H13" s="9">
        <v>0.3333333432674408</v>
      </c>
      <c r="I13">
        <v>0</v>
      </c>
      <c r="J13"/>
    </row>
    <row r="14" spans="1:10" ht="15" customHeight="1" x14ac:dyDescent="0.15">
      <c r="A14" s="150">
        <v>13</v>
      </c>
      <c r="B14" s="150" t="s">
        <v>204</v>
      </c>
      <c r="C14" s="8">
        <v>3.4586203098297119</v>
      </c>
      <c r="D14" s="9">
        <v>17.628559112548828</v>
      </c>
      <c r="E14" s="9">
        <v>0.95822399854660034</v>
      </c>
      <c r="F14" s="9">
        <v>9.3493404388427734</v>
      </c>
      <c r="G14" s="9">
        <v>0.99903190135955811</v>
      </c>
      <c r="H14" s="9">
        <v>0.10249108076095581</v>
      </c>
      <c r="I14">
        <v>0</v>
      </c>
      <c r="J14"/>
    </row>
    <row r="15" spans="1:10" ht="15" customHeight="1" x14ac:dyDescent="0.15">
      <c r="A15" s="151">
        <v>14</v>
      </c>
      <c r="B15" s="151" t="s">
        <v>205</v>
      </c>
      <c r="C15" s="8">
        <v>3.3401248455047607</v>
      </c>
      <c r="D15" s="9">
        <v>11.539578437805176</v>
      </c>
      <c r="E15" s="9">
        <v>1.2000000476837158</v>
      </c>
      <c r="F15" s="9">
        <v>10</v>
      </c>
      <c r="G15" s="9">
        <v>0.99905073642730713</v>
      </c>
      <c r="H15" s="9">
        <v>0.12000000476837158</v>
      </c>
      <c r="I15">
        <v>0</v>
      </c>
      <c r="J15"/>
    </row>
    <row r="16" spans="1:10" ht="15" customHeight="1" x14ac:dyDescent="0.15">
      <c r="A16" s="152">
        <v>15</v>
      </c>
      <c r="B16" s="152" t="s">
        <v>206</v>
      </c>
      <c r="C16" s="8">
        <v>3.518561840057373</v>
      </c>
      <c r="D16" s="9">
        <v>4.4193344116210938</v>
      </c>
      <c r="E16" s="9">
        <v>0.80000001192092896</v>
      </c>
      <c r="F16" s="9">
        <v>5.3330001831054688</v>
      </c>
      <c r="G16" s="9">
        <v>0.99906337261199951</v>
      </c>
      <c r="H16" s="9">
        <v>0.15000937879085541</v>
      </c>
      <c r="I16">
        <v>0</v>
      </c>
      <c r="J16"/>
    </row>
    <row r="17" spans="1:10" ht="15" customHeight="1" x14ac:dyDescent="0.15">
      <c r="A17" s="153">
        <v>16</v>
      </c>
      <c r="B17" s="153" t="s">
        <v>207</v>
      </c>
      <c r="C17" s="8">
        <v>4.4225082397460938</v>
      </c>
      <c r="D17" s="9">
        <v>2.7707025408744812E-2</v>
      </c>
      <c r="E17" s="9">
        <v>0.5</v>
      </c>
      <c r="F17" s="9">
        <v>5</v>
      </c>
      <c r="G17" s="9">
        <v>0.99900007247924805</v>
      </c>
      <c r="H17" s="9">
        <v>0.10000000149011612</v>
      </c>
      <c r="I17">
        <v>0</v>
      </c>
      <c r="J17"/>
    </row>
    <row r="18" spans="1:10" ht="15" customHeight="1" x14ac:dyDescent="0.15">
      <c r="A18" s="154">
        <v>17</v>
      </c>
      <c r="B18" s="154" t="s">
        <v>208</v>
      </c>
      <c r="C18" s="8">
        <v>3.8077778816223145</v>
      </c>
      <c r="D18" s="9">
        <v>6.5183086395263672</v>
      </c>
      <c r="E18" s="9">
        <v>2</v>
      </c>
      <c r="F18" s="9">
        <v>13.33329963684082</v>
      </c>
      <c r="G18" s="9">
        <v>0.99908447265625</v>
      </c>
      <c r="H18" s="9">
        <v>0.15000037848949432</v>
      </c>
      <c r="I18">
        <v>0</v>
      </c>
      <c r="J18"/>
    </row>
    <row r="19" spans="1:10" ht="15" customHeight="1" x14ac:dyDescent="0.15">
      <c r="A19" s="155">
        <v>18</v>
      </c>
      <c r="B19" s="155" t="s">
        <v>209</v>
      </c>
      <c r="C19" s="8">
        <v>4.2171382904052734</v>
      </c>
      <c r="D19" s="9">
        <v>13.107485771179199</v>
      </c>
      <c r="E19" s="9">
        <v>1.2282500267028809</v>
      </c>
      <c r="F19" s="9">
        <v>7.8243999481201172</v>
      </c>
      <c r="G19" s="9">
        <v>0.96801501512527466</v>
      </c>
      <c r="H19" s="9">
        <v>0.15697689354419708</v>
      </c>
      <c r="I19">
        <v>0</v>
      </c>
      <c r="J19"/>
    </row>
    <row r="20" spans="1:10" ht="15" customHeight="1" x14ac:dyDescent="0.15">
      <c r="A20" s="156">
        <v>19</v>
      </c>
      <c r="B20" s="156" t="s">
        <v>210</v>
      </c>
      <c r="C20" s="8">
        <v>3.8292553424835205</v>
      </c>
      <c r="D20" s="9">
        <v>7.3729610443115234</v>
      </c>
      <c r="E20" s="9">
        <v>1.1400209665298462</v>
      </c>
      <c r="F20" s="9">
        <v>7.2775001525878906</v>
      </c>
      <c r="G20" s="9">
        <v>0.96750402450561523</v>
      </c>
      <c r="H20" s="9">
        <v>0.15665008127689362</v>
      </c>
      <c r="I20">
        <v>0</v>
      </c>
      <c r="J20"/>
    </row>
    <row r="21" spans="1:10" ht="15" customHeight="1" x14ac:dyDescent="0.15">
      <c r="A21" s="157">
        <v>20</v>
      </c>
      <c r="B21" s="157" t="s">
        <v>211</v>
      </c>
      <c r="C21" s="8">
        <v>3.7910401821136475</v>
      </c>
      <c r="D21" s="9">
        <v>6.4651403427124023</v>
      </c>
      <c r="E21" s="9">
        <v>1</v>
      </c>
      <c r="F21" s="9">
        <v>5</v>
      </c>
      <c r="G21" s="9">
        <v>0.99903011322021484</v>
      </c>
      <c r="H21" s="9">
        <v>0.20000000298023224</v>
      </c>
      <c r="I21">
        <v>0</v>
      </c>
      <c r="J21"/>
    </row>
    <row r="22" spans="1:10" ht="15" customHeight="1" x14ac:dyDescent="0.15">
      <c r="A22" s="158">
        <v>21</v>
      </c>
      <c r="B22" s="158" t="s">
        <v>212</v>
      </c>
      <c r="C22" s="8">
        <v>3.7945878505706787</v>
      </c>
      <c r="D22" s="9">
        <v>4.1341757774353027</v>
      </c>
      <c r="E22" s="9">
        <v>1</v>
      </c>
      <c r="F22" s="9">
        <v>5</v>
      </c>
      <c r="G22" s="9">
        <v>0.9990307092666626</v>
      </c>
      <c r="H22" s="9">
        <v>0.20000000298023224</v>
      </c>
      <c r="I22">
        <v>0</v>
      </c>
      <c r="J22"/>
    </row>
    <row r="23" spans="1:10" ht="15" customHeight="1" x14ac:dyDescent="0.15">
      <c r="A23" s="159">
        <v>22</v>
      </c>
      <c r="B23" s="159" t="s">
        <v>213</v>
      </c>
      <c r="C23" s="8">
        <v>3.7192883491516113</v>
      </c>
      <c r="D23" s="9">
        <v>0.36000001430511475</v>
      </c>
      <c r="E23" s="9">
        <v>0.5</v>
      </c>
      <c r="F23" s="9">
        <v>3.3333001136779785</v>
      </c>
      <c r="G23" s="9">
        <v>0.66666007041931152</v>
      </c>
      <c r="H23" s="9">
        <v>0.15000149607658386</v>
      </c>
      <c r="I23">
        <v>0</v>
      </c>
      <c r="J23"/>
    </row>
    <row r="24" spans="1:10" ht="15" customHeight="1" x14ac:dyDescent="0.15">
      <c r="A24" s="160">
        <v>23</v>
      </c>
      <c r="B24" s="160" t="s">
        <v>214</v>
      </c>
      <c r="C24" s="8">
        <v>4.2141218185424805</v>
      </c>
      <c r="D24" s="9">
        <v>1.7681999132037163E-2</v>
      </c>
      <c r="E24" s="9">
        <v>0.15600000321865082</v>
      </c>
      <c r="F24" s="9">
        <v>120.30000305175781</v>
      </c>
      <c r="G24" s="9">
        <v>0.13745301961898804</v>
      </c>
      <c r="H24" s="9">
        <v>1.2967580696567893E-3</v>
      </c>
      <c r="I24">
        <v>0</v>
      </c>
      <c r="J24"/>
    </row>
    <row r="25" spans="1:10" ht="15" customHeight="1" x14ac:dyDescent="0.15">
      <c r="A25" s="161">
        <v>24</v>
      </c>
      <c r="B25" s="161" t="s">
        <v>215</v>
      </c>
      <c r="C25" s="8">
        <v>4.3506674766540527</v>
      </c>
      <c r="D25" s="9">
        <v>0.25299999117851257</v>
      </c>
      <c r="E25" s="9">
        <v>0.28999999165534973</v>
      </c>
      <c r="F25" s="9">
        <v>18.25</v>
      </c>
      <c r="G25" s="9">
        <v>0.1248476505279541</v>
      </c>
      <c r="H25" s="9">
        <v>1.5890410169959068E-2</v>
      </c>
      <c r="I25">
        <v>0</v>
      </c>
      <c r="J25"/>
    </row>
    <row r="26" spans="1:10" ht="15" customHeight="1" x14ac:dyDescent="0.15">
      <c r="A26" s="162">
        <v>25</v>
      </c>
      <c r="B26" s="162" t="s">
        <v>216</v>
      </c>
      <c r="C26" s="8">
        <v>4.1496820449829102</v>
      </c>
      <c r="D26" s="9">
        <v>1.8999999389052391E-2</v>
      </c>
      <c r="E26" s="9">
        <v>0.15000000596046448</v>
      </c>
      <c r="F26" s="9">
        <v>7.4183001518249512</v>
      </c>
      <c r="G26" s="7">
        <v>0</v>
      </c>
      <c r="H26" s="9">
        <v>2.0220266655087471E-2</v>
      </c>
      <c r="I26">
        <v>0</v>
      </c>
      <c r="J26"/>
    </row>
    <row r="27" spans="1:10" ht="15" customHeight="1" x14ac:dyDescent="0.15">
      <c r="A27" s="163">
        <v>26</v>
      </c>
      <c r="B27" s="163" t="s">
        <v>217</v>
      </c>
      <c r="C27" s="8">
        <v>1</v>
      </c>
      <c r="D27" s="10"/>
      <c r="E27" s="10"/>
      <c r="F27" s="10"/>
      <c r="G27" s="9">
        <v>0.93838280439376831</v>
      </c>
      <c r="H27" s="10"/>
      <c r="I27">
        <v>0</v>
      </c>
      <c r="J27"/>
    </row>
    <row r="28" spans="1:10" ht="15" customHeight="1" x14ac:dyDescent="0.15">
      <c r="A28" s="164">
        <v>27</v>
      </c>
      <c r="B28" s="164" t="s">
        <v>218</v>
      </c>
      <c r="C28" s="8">
        <v>1</v>
      </c>
      <c r="D28" s="9">
        <v>5</v>
      </c>
      <c r="E28" s="10"/>
      <c r="F28" s="10"/>
      <c r="G28" s="7">
        <v>0</v>
      </c>
      <c r="H28" s="10"/>
      <c r="I28">
        <v>0</v>
      </c>
      <c r="J28"/>
    </row>
    <row r="29" spans="1:10" ht="15" customHeight="1" x14ac:dyDescent="0.15">
      <c r="A29" s="165">
        <v>28</v>
      </c>
      <c r="B29" s="165" t="s">
        <v>223</v>
      </c>
      <c r="C29" s="8">
        <v>1</v>
      </c>
      <c r="D29" s="10"/>
      <c r="E29" s="10"/>
      <c r="F29" s="10"/>
      <c r="G29" s="10"/>
      <c r="H29" s="10"/>
      <c r="I29">
        <v>0</v>
      </c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225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166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35.700000762939453</v>
      </c>
      <c r="C2">
        <v>8.7255659103393555</v>
      </c>
      <c r="D2"/>
      <c r="E2"/>
      <c r="F2" s="249">
        <v>14.535117149353027</v>
      </c>
      <c r="G2" s="248">
        <v>7.5155782699584961</v>
      </c>
      <c r="H2" s="246">
        <v>3.5222277641296387</v>
      </c>
      <c r="I2" s="11">
        <v>3.691990626975894E-3</v>
      </c>
      <c r="J2"/>
      <c r="K2"/>
      <c r="L2" s="13">
        <v>1.338275671005249</v>
      </c>
      <c r="M2" s="14">
        <v>5.3602546453475952E-2</v>
      </c>
      <c r="N2"/>
      <c r="O2"/>
      <c r="P2"/>
      <c r="Q2" s="11">
        <v>5.9419628232717514E-3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482</v>
      </c>
      <c r="C3">
        <v>0.48202252388000488</v>
      </c>
      <c r="D3"/>
      <c r="E3"/>
      <c r="F3" s="244">
        <v>77.120002746582031</v>
      </c>
      <c r="G3" s="247">
        <v>391.5091552734375</v>
      </c>
      <c r="H3"/>
      <c r="I3"/>
      <c r="J3"/>
      <c r="K3"/>
      <c r="L3" s="23">
        <v>12.172429084777832</v>
      </c>
      <c r="M3" s="11">
        <v>0.41367679834365845</v>
      </c>
      <c r="N3"/>
      <c r="O3"/>
      <c r="P3"/>
      <c r="Q3" s="11">
        <v>0.30275756120681763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40</v>
      </c>
      <c r="C4">
        <v>3.9980411529541016E-2</v>
      </c>
      <c r="D4"/>
      <c r="E4"/>
      <c r="F4"/>
      <c r="G4"/>
      <c r="H4" s="245">
        <v>19.332050323486328</v>
      </c>
      <c r="I4" s="21">
        <v>1.1167612075805664</v>
      </c>
      <c r="J4"/>
      <c r="K4"/>
      <c r="L4" s="238">
        <v>4.1972804069519043</v>
      </c>
      <c r="M4" s="16">
        <v>0.49132749438285828</v>
      </c>
      <c r="N4" s="17">
        <v>0.68500256538391113</v>
      </c>
      <c r="O4" s="240">
        <v>4.5529937744140625</v>
      </c>
      <c r="P4" s="14">
        <v>5.8332331478595734E-2</v>
      </c>
      <c r="Q4" s="241">
        <v>6.0084242820739746</v>
      </c>
      <c r="R4" s="200">
        <v>2.7171156406402588</v>
      </c>
      <c r="S4" s="12">
        <v>0.16648225486278534</v>
      </c>
      <c r="T4"/>
      <c r="U4" s="16">
        <v>0.45839384198188782</v>
      </c>
      <c r="V4"/>
      <c r="W4"/>
      <c r="X4"/>
      <c r="Y4" s="12">
        <v>0.17521838843822479</v>
      </c>
      <c r="Z4"/>
      <c r="AA4" s="11">
        <v>3.0051521025598049E-4</v>
      </c>
      <c r="AB4"/>
      <c r="AC4" s="11">
        <v>3.3300463110208511E-4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13</v>
      </c>
      <c r="C5">
        <v>1.2971937656402588E-2</v>
      </c>
      <c r="D5"/>
      <c r="E5"/>
      <c r="F5"/>
      <c r="G5"/>
      <c r="H5"/>
      <c r="I5" s="15">
        <v>0.12762317061424255</v>
      </c>
      <c r="J5"/>
      <c r="K5"/>
      <c r="L5" s="239">
        <v>2.4782650470733643</v>
      </c>
      <c r="M5" s="233">
        <v>0.29946020245552063</v>
      </c>
      <c r="N5" s="70">
        <v>1.0111416578292847</v>
      </c>
      <c r="O5" s="242">
        <v>4.0324416160583496</v>
      </c>
      <c r="P5" s="66">
        <v>0.92993557453155518</v>
      </c>
      <c r="Q5" s="137">
        <v>0.77856498956680298</v>
      </c>
      <c r="R5" s="201">
        <v>0.6417233943939209</v>
      </c>
      <c r="S5" s="196">
        <v>0.43906742334365845</v>
      </c>
      <c r="T5" s="11">
        <v>7.7040283940732479E-4</v>
      </c>
      <c r="U5" s="210">
        <v>1.1841223239898682</v>
      </c>
      <c r="V5" s="60">
        <v>0.27066317200660706</v>
      </c>
      <c r="W5" s="22">
        <v>0.4028245210647583</v>
      </c>
      <c r="X5" s="19">
        <v>9.8870925605297089E-2</v>
      </c>
      <c r="Y5" s="60">
        <v>0.28738027811050415</v>
      </c>
      <c r="Z5"/>
      <c r="AA5" s="11">
        <v>2.5432759430259466E-3</v>
      </c>
      <c r="AB5"/>
      <c r="AC5" s="11">
        <v>1.6302263829857111E-3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0.43999999761581421</v>
      </c>
      <c r="C6">
        <v>0.2199995219707489</v>
      </c>
      <c r="D6"/>
      <c r="E6"/>
      <c r="F6"/>
      <c r="G6"/>
      <c r="H6"/>
      <c r="I6" s="209">
        <v>5.8679994195699692E-2</v>
      </c>
      <c r="J6"/>
      <c r="K6"/>
      <c r="L6"/>
      <c r="M6"/>
      <c r="N6"/>
      <c r="O6"/>
      <c r="P6"/>
      <c r="Q6" s="218">
        <v>0.16132047772407532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8</v>
      </c>
      <c r="C7">
        <v>7.9998970031738281E-3</v>
      </c>
      <c r="D7"/>
      <c r="E7"/>
      <c r="F7"/>
      <c r="G7"/>
      <c r="H7"/>
      <c r="I7"/>
      <c r="J7"/>
      <c r="K7" s="231">
        <v>4.2606492042541504</v>
      </c>
      <c r="L7"/>
      <c r="M7"/>
      <c r="N7" s="243">
        <v>2.7579209804534912</v>
      </c>
      <c r="O7"/>
      <c r="P7"/>
      <c r="Q7"/>
      <c r="R7" s="24">
        <v>0.60588043928146362</v>
      </c>
      <c r="S7" s="20">
        <v>4.1248120367527008E-2</v>
      </c>
      <c r="T7"/>
      <c r="U7"/>
      <c r="V7"/>
      <c r="W7" s="60">
        <v>0.16903334856033325</v>
      </c>
      <c r="X7" s="18">
        <v>0.15275219082832336</v>
      </c>
      <c r="Y7"/>
      <c r="Z7" s="11">
        <v>4.515347070991993E-3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1.2000000476837158</v>
      </c>
      <c r="C8">
        <v>1.1999130947515368E-3</v>
      </c>
      <c r="D8"/>
      <c r="E8"/>
      <c r="F8"/>
      <c r="G8"/>
      <c r="H8"/>
      <c r="I8"/>
      <c r="J8"/>
      <c r="K8" s="235">
        <v>0.69999998807907104</v>
      </c>
      <c r="L8"/>
      <c r="M8"/>
      <c r="N8" s="225">
        <v>0.21410715579986572</v>
      </c>
      <c r="O8"/>
      <c r="P8"/>
      <c r="Q8"/>
      <c r="R8"/>
      <c r="S8"/>
      <c r="T8"/>
      <c r="U8"/>
      <c r="V8"/>
      <c r="W8" s="70">
        <v>9.4774730503559113E-2</v>
      </c>
      <c r="X8" s="221">
        <v>0.18271167576313019</v>
      </c>
      <c r="Y8"/>
      <c r="Z8" s="20">
        <v>7.2064981795847416E-3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1.3500000238418579</v>
      </c>
      <c r="C9">
        <v>0.12966841459274292</v>
      </c>
      <c r="D9"/>
      <c r="E9"/>
      <c r="F9"/>
      <c r="G9"/>
      <c r="H9"/>
      <c r="I9"/>
      <c r="J9"/>
      <c r="K9"/>
      <c r="L9"/>
      <c r="M9"/>
      <c r="N9"/>
      <c r="O9"/>
      <c r="P9" s="232">
        <v>0.25040784478187561</v>
      </c>
      <c r="Q9"/>
      <c r="R9"/>
      <c r="S9"/>
      <c r="T9" s="11">
        <v>6.6587032051756978E-5</v>
      </c>
      <c r="U9"/>
      <c r="V9" s="237">
        <v>0.88158875703811646</v>
      </c>
      <c r="W9"/>
      <c r="X9"/>
      <c r="Y9" s="196">
        <v>4.441741481423378E-2</v>
      </c>
      <c r="Z9" s="11">
        <v>4.0713549242354929E-4</v>
      </c>
      <c r="AA9" s="14">
        <v>2.2853952832520008E-3</v>
      </c>
      <c r="AB9" s="22">
        <v>4.1122041642665863E-2</v>
      </c>
      <c r="AC9" s="11">
        <v>3.6503475712379441E-5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1.7999999523162842</v>
      </c>
      <c r="C10">
        <v>1.6852854751050472E-3</v>
      </c>
      <c r="D10"/>
      <c r="E10"/>
      <c r="F10"/>
      <c r="G10"/>
      <c r="H10"/>
      <c r="I10"/>
      <c r="J10"/>
      <c r="K10"/>
      <c r="L10"/>
      <c r="M10"/>
      <c r="N10"/>
      <c r="O10"/>
      <c r="P10" s="204">
        <v>0.36436372995376587</v>
      </c>
      <c r="Q10"/>
      <c r="R10"/>
      <c r="S10"/>
      <c r="T10" s="11">
        <v>2.2227596491575241E-4</v>
      </c>
      <c r="U10"/>
      <c r="V10" s="215">
        <v>1.2068288326263428</v>
      </c>
      <c r="W10"/>
      <c r="X10"/>
      <c r="Y10" s="20">
        <v>1.1055294424295425E-2</v>
      </c>
      <c r="Z10" s="12">
        <v>6.417830940335989E-3</v>
      </c>
      <c r="AA10" s="69">
        <v>0.16950970888137817</v>
      </c>
      <c r="AB10" s="60">
        <v>3.951069712638855E-2</v>
      </c>
      <c r="AC10" s="11">
        <v>4.0631051524542272E-4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1.7999999523162842</v>
      </c>
      <c r="C11">
        <v>1.7759441398084164E-3</v>
      </c>
      <c r="D11"/>
      <c r="E11"/>
      <c r="F11"/>
      <c r="G11"/>
      <c r="H11"/>
      <c r="I11"/>
      <c r="J11"/>
      <c r="K11"/>
      <c r="L11"/>
      <c r="M11"/>
      <c r="N11" s="196">
        <v>5.9999994933605194E-2</v>
      </c>
      <c r="O11"/>
      <c r="P11" s="19">
        <v>1.5328144654631615E-2</v>
      </c>
      <c r="Q11"/>
      <c r="R11"/>
      <c r="S11" s="203">
        <v>6.9995187222957611E-2</v>
      </c>
      <c r="T11" s="11">
        <v>3.4286125446669757E-4</v>
      </c>
      <c r="U11" s="236">
        <v>1.2045339345932007</v>
      </c>
      <c r="V11" s="72">
        <v>0.25384590029716492</v>
      </c>
      <c r="W11" s="62">
        <v>0.10623621195554733</v>
      </c>
      <c r="X11"/>
      <c r="Y11" s="16">
        <v>1.9440213218331337E-2</v>
      </c>
      <c r="Z11" s="11">
        <v>1.4849281869828701E-3</v>
      </c>
      <c r="AA11" s="21">
        <v>4.8959661275148392E-2</v>
      </c>
      <c r="AB11" s="15">
        <v>1.7597969621419907E-2</v>
      </c>
      <c r="AC11" s="11">
        <v>4.5899327960796654E-4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1.2300000190734863</v>
      </c>
      <c r="C12">
        <v>1.1922275880351663E-3</v>
      </c>
      <c r="D12"/>
      <c r="E12"/>
      <c r="F12"/>
      <c r="G12"/>
      <c r="H12"/>
      <c r="I12"/>
      <c r="J12"/>
      <c r="K12"/>
      <c r="L12"/>
      <c r="M12"/>
      <c r="N12" s="64">
        <v>6.1684921383857727E-2</v>
      </c>
      <c r="O12"/>
      <c r="P12" s="223">
        <v>0.29310980439186096</v>
      </c>
      <c r="Q12"/>
      <c r="R12"/>
      <c r="S12" s="18">
        <v>2.3986931890249252E-2</v>
      </c>
      <c r="T12" s="11">
        <v>9.3762215692549944E-4</v>
      </c>
      <c r="U12" s="211">
        <v>0.10172241181135178</v>
      </c>
      <c r="V12" s="208">
        <v>0.39668115973472595</v>
      </c>
      <c r="W12" s="220">
        <v>0.23209154605865479</v>
      </c>
      <c r="X12" s="203">
        <v>4.934980720281601E-2</v>
      </c>
      <c r="Y12" s="22">
        <v>3.7868466228246689E-2</v>
      </c>
      <c r="Z12" s="14">
        <v>1.5266280388459563E-3</v>
      </c>
      <c r="AA12" s="12">
        <v>5.4123178124427795E-3</v>
      </c>
      <c r="AB12" s="18">
        <v>2.4436159059405327E-2</v>
      </c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166</v>
      </c>
      <c r="B13">
        <v>5</v>
      </c>
      <c r="C13">
        <v>4.9313902854919434E-3</v>
      </c>
      <c r="D13"/>
      <c r="E13"/>
      <c r="F13"/>
      <c r="G13"/>
      <c r="H13"/>
      <c r="I13"/>
      <c r="J13"/>
      <c r="K13"/>
      <c r="L13"/>
      <c r="M13"/>
      <c r="N13"/>
      <c r="O13"/>
      <c r="P13" s="136">
        <v>0.14999999105930328</v>
      </c>
      <c r="Q13"/>
      <c r="R13"/>
      <c r="S13"/>
      <c r="T13" s="14">
        <v>9.897877462208271E-3</v>
      </c>
      <c r="U13" s="226">
        <v>1.4734340906143188</v>
      </c>
      <c r="V13" s="216">
        <v>0.72039353847503662</v>
      </c>
      <c r="W13" s="210">
        <v>0.45483335852622986</v>
      </c>
      <c r="X13" s="229">
        <v>1.5658063888549805</v>
      </c>
      <c r="Y13" s="214">
        <v>0.52065789699554443</v>
      </c>
      <c r="Z13" s="20">
        <v>2.9062775894999504E-2</v>
      </c>
      <c r="AA13" s="12">
        <v>2.3183004930615425E-2</v>
      </c>
      <c r="AB13" s="19">
        <v>3.9139162749052048E-2</v>
      </c>
      <c r="AC13" s="14">
        <v>8.660411462187767E-3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0.95822399854660034</v>
      </c>
      <c r="C14">
        <v>9.2765537556260824E-4</v>
      </c>
      <c r="D14"/>
      <c r="E14"/>
      <c r="F14"/>
      <c r="G14"/>
      <c r="H14"/>
      <c r="I14"/>
      <c r="J14"/>
      <c r="K14"/>
      <c r="L14"/>
      <c r="M14"/>
      <c r="N14" s="216">
        <v>0.13752318918704987</v>
      </c>
      <c r="O14"/>
      <c r="P14" s="219">
        <v>0.23890390992164612</v>
      </c>
      <c r="Q14"/>
      <c r="R14"/>
      <c r="S14"/>
      <c r="T14" s="11">
        <v>6.2868505483493209E-4</v>
      </c>
      <c r="U14" s="133">
        <v>0.12325248867273331</v>
      </c>
      <c r="V14" s="222">
        <v>0.32000556588172913</v>
      </c>
      <c r="W14" s="22">
        <v>3.043738380074501E-2</v>
      </c>
      <c r="X14" s="25">
        <v>4.5842800289392471E-2</v>
      </c>
      <c r="Y14" s="61">
        <v>3.9867691695690155E-2</v>
      </c>
      <c r="Z14" s="20">
        <v>4.7649480402469635E-3</v>
      </c>
      <c r="AA14" s="15">
        <v>1.0015169158577919E-2</v>
      </c>
      <c r="AB14" s="20">
        <v>6.0241306200623512E-3</v>
      </c>
      <c r="AC14" s="11">
        <v>3.0142726245685481E-5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1.1391163570806384E-3</v>
      </c>
      <c r="D15"/>
      <c r="E15"/>
      <c r="F15"/>
      <c r="G15"/>
      <c r="H15"/>
      <c r="I15"/>
      <c r="J15"/>
      <c r="K15"/>
      <c r="L15"/>
      <c r="M15"/>
      <c r="N15"/>
      <c r="O15"/>
      <c r="P15" s="228">
        <v>0.53671187162399292</v>
      </c>
      <c r="Q15"/>
      <c r="R15"/>
      <c r="S15"/>
      <c r="T15" s="11">
        <v>3.3614606945775449E-4</v>
      </c>
      <c r="U15"/>
      <c r="V15" s="231">
        <v>0.63996213674545288</v>
      </c>
      <c r="W15"/>
      <c r="X15"/>
      <c r="Y15"/>
      <c r="Z15" s="11">
        <v>3.1196672352962196E-4</v>
      </c>
      <c r="AA15" s="11">
        <v>9.216733742505312E-4</v>
      </c>
      <c r="AB15" s="17">
        <v>2.0006140694022179E-2</v>
      </c>
      <c r="AC15" s="11">
        <v>6.1095855198800564E-4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0.80000001192092896</v>
      </c>
      <c r="C16">
        <v>7.4930192204192281E-4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99">
        <v>0.53380501270294189</v>
      </c>
      <c r="W16"/>
      <c r="X16" s="195">
        <v>0.10971912741661072</v>
      </c>
      <c r="Y16" s="202">
        <v>9.3547485768795013E-2</v>
      </c>
      <c r="Z16" s="20">
        <v>5.4306285455822945E-3</v>
      </c>
      <c r="AA16"/>
      <c r="AB16" s="200">
        <v>5.5373538285493851E-2</v>
      </c>
      <c r="AC16" s="14">
        <v>1.3749254867434502E-3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</v>
      </c>
      <c r="C17">
        <v>4.9996376037597656E-4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8">
        <v>0.1732395738363266</v>
      </c>
      <c r="AA17" s="102">
        <v>0.23031826317310333</v>
      </c>
      <c r="AB17"/>
      <c r="AC17" s="197">
        <v>9.5942221581935883E-2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</v>
      </c>
      <c r="C18">
        <v>1.8310546875E-3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1">
        <v>4.8882438568398356E-4</v>
      </c>
      <c r="U18"/>
      <c r="V18" s="234">
        <v>1.7780959606170654</v>
      </c>
      <c r="W18" s="205">
        <v>0.10701202601194382</v>
      </c>
      <c r="X18"/>
      <c r="Y18"/>
      <c r="Z18"/>
      <c r="AA18" s="11">
        <v>6.5266760066151619E-4</v>
      </c>
      <c r="AB18" s="206">
        <v>0.11191944777965546</v>
      </c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1.2282500267028809</v>
      </c>
      <c r="C19">
        <v>3.9285559207201004E-2</v>
      </c>
      <c r="D19"/>
      <c r="E19"/>
      <c r="F19"/>
      <c r="G19"/>
      <c r="H19"/>
      <c r="I19"/>
      <c r="J19"/>
      <c r="K19"/>
      <c r="L19"/>
      <c r="M19"/>
      <c r="N19"/>
      <c r="O19"/>
      <c r="P19" s="203">
        <v>4.7251079231500626E-2</v>
      </c>
      <c r="Q19"/>
      <c r="R19"/>
      <c r="S19"/>
      <c r="T19" s="11">
        <v>2.6422904920764267E-4</v>
      </c>
      <c r="U19"/>
      <c r="V19" s="230">
        <v>0.53210979700088501</v>
      </c>
      <c r="W19" s="224">
        <v>0.4584825336933136</v>
      </c>
      <c r="X19" s="66">
        <v>8.6317047476768494E-2</v>
      </c>
      <c r="Y19"/>
      <c r="Z19" s="11">
        <v>1.8309969163965434E-4</v>
      </c>
      <c r="AA19" s="19">
        <v>8.4388051182031631E-3</v>
      </c>
      <c r="AB19" s="207">
        <v>5.5657166987657547E-2</v>
      </c>
      <c r="AC19" s="11">
        <v>2.6076563517563045E-4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1.1400209665298462</v>
      </c>
      <c r="C20">
        <v>3.7046093493700027E-2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1">
        <v>8.6432253010571003E-4</v>
      </c>
      <c r="U20"/>
      <c r="V20" s="227">
        <v>0.83468186855316162</v>
      </c>
      <c r="W20"/>
      <c r="X20" s="101">
        <v>0.19729611277580261</v>
      </c>
      <c r="Y20" s="201">
        <v>5.607212707400322E-2</v>
      </c>
      <c r="Z20" s="11">
        <v>3.2551054027862847E-4</v>
      </c>
      <c r="AA20" s="16">
        <v>1.327128242701292E-2</v>
      </c>
      <c r="AB20"/>
      <c r="AC20" s="11">
        <v>4.6358333202078938E-4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</v>
      </c>
      <c r="C21">
        <v>9.6988677978515625E-4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212">
        <v>0.31729534268379211</v>
      </c>
      <c r="W21" s="217">
        <v>0.62245428562164307</v>
      </c>
      <c r="X21" s="201">
        <v>4.9999997019767761E-2</v>
      </c>
      <c r="Y21"/>
      <c r="Z21" s="15">
        <v>9.2804497107863426E-3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</v>
      </c>
      <c r="C22">
        <v>9.6929073333740234E-4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2">
        <v>3.3509735949337482E-3</v>
      </c>
      <c r="U22"/>
      <c r="V22" s="208">
        <v>0.32252702116966248</v>
      </c>
      <c r="W22" s="213">
        <v>0.51915276050567627</v>
      </c>
      <c r="X22" s="70">
        <v>7.8191399574279785E-2</v>
      </c>
      <c r="Y22" s="64">
        <v>5.0000004470348358E-2</v>
      </c>
      <c r="Z22" s="20">
        <v>5.805211141705513E-3</v>
      </c>
      <c r="AA22" s="19">
        <v>7.717902772128582E-3</v>
      </c>
      <c r="AB22" s="16">
        <v>1.2285337783396244E-2</v>
      </c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</v>
      </c>
      <c r="C23">
        <v>0.16666996479034424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99">
        <v>0.33333003520965576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0.15600000321865082</v>
      </c>
      <c r="C24">
        <v>0.1345573365688324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195">
        <v>2.1442672237753868E-2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0.28999999165534973</v>
      </c>
      <c r="C25">
        <v>0.25379416346549988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96">
        <v>9.4860736280679703E-3</v>
      </c>
      <c r="AA25" s="136">
        <v>8.4076859056949615E-3</v>
      </c>
      <c r="AB25"/>
      <c r="AC25" s="63">
        <v>1.8312059342861176E-2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0.15000000596046448</v>
      </c>
      <c r="C26">
        <v>0.15000000596046448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0.93838280439376831</v>
      </c>
      <c r="D27"/>
      <c r="E27"/>
      <c r="F27" s="9">
        <v>3011.67626953125</v>
      </c>
      <c r="G27"/>
      <c r="H27"/>
      <c r="I27" s="9">
        <v>7.6498041152954102</v>
      </c>
      <c r="J27" s="9">
        <v>1885.55078125</v>
      </c>
      <c r="K27" s="9">
        <v>19.815254211425781</v>
      </c>
      <c r="L27"/>
      <c r="M27"/>
      <c r="N27" s="9">
        <v>23.031190872192383</v>
      </c>
      <c r="O27"/>
      <c r="P27"/>
      <c r="Q27" s="9">
        <v>2.803518533706665</v>
      </c>
      <c r="R27"/>
      <c r="S27"/>
      <c r="T27"/>
      <c r="U27"/>
      <c r="V27"/>
      <c r="W27" s="9">
        <v>4.8291053771972656</v>
      </c>
      <c r="X27" s="9">
        <v>2.9093132019042969</v>
      </c>
      <c r="Y27"/>
      <c r="Z27" s="9">
        <v>0.20399799942970276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J31" sqref="J3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167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168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83" t="s">
        <v>193</v>
      </c>
      <c r="E5">
        <v>4</v>
      </c>
      <c r="F5">
        <v>2.1</v>
      </c>
      <c r="G5">
        <v>4</v>
      </c>
      <c r="H5" s="184" t="s">
        <v>193</v>
      </c>
      <c r="J5" s="53"/>
      <c r="K5" s="54"/>
    </row>
    <row r="6" spans="1:12" ht="14" thickBot="1" x14ac:dyDescent="0.2">
      <c r="A6" s="37" t="s">
        <v>121</v>
      </c>
      <c r="D6" s="183" t="s">
        <v>194</v>
      </c>
      <c r="E6">
        <v>5</v>
      </c>
      <c r="F6">
        <v>3.1110000000000002</v>
      </c>
      <c r="G6">
        <v>5</v>
      </c>
      <c r="H6" s="184" t="s">
        <v>194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83" t="s">
        <v>195</v>
      </c>
      <c r="E7">
        <v>6</v>
      </c>
      <c r="F7">
        <v>3.11</v>
      </c>
      <c r="G7">
        <v>6</v>
      </c>
      <c r="H7" s="184" t="s">
        <v>195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83" t="s">
        <v>196</v>
      </c>
      <c r="E8">
        <v>7</v>
      </c>
      <c r="F8">
        <v>3.11</v>
      </c>
      <c r="G8">
        <v>7</v>
      </c>
      <c r="H8" s="184" t="s">
        <v>196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83" t="s">
        <v>197</v>
      </c>
      <c r="E9">
        <v>8</v>
      </c>
      <c r="F9">
        <v>3.11</v>
      </c>
      <c r="G9">
        <v>8</v>
      </c>
      <c r="H9" s="184" t="s">
        <v>197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83" t="s">
        <v>198</v>
      </c>
      <c r="E10">
        <v>9</v>
      </c>
      <c r="F10">
        <v>3.21</v>
      </c>
      <c r="G10">
        <v>9</v>
      </c>
      <c r="H10" s="184" t="s">
        <v>198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83" t="s">
        <v>199</v>
      </c>
      <c r="E11">
        <v>10</v>
      </c>
      <c r="F11">
        <v>3.21</v>
      </c>
      <c r="G11">
        <v>10</v>
      </c>
      <c r="H11" s="184" t="s">
        <v>199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83" t="s">
        <v>200</v>
      </c>
      <c r="E12">
        <v>11</v>
      </c>
      <c r="F12">
        <v>3.14</v>
      </c>
      <c r="G12">
        <v>11</v>
      </c>
      <c r="H12" s="184" t="s">
        <v>200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83" t="s">
        <v>201</v>
      </c>
      <c r="E13">
        <v>12</v>
      </c>
      <c r="F13">
        <v>3.14</v>
      </c>
      <c r="G13">
        <v>12</v>
      </c>
      <c r="H13" s="184" t="s">
        <v>201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83" t="s">
        <v>202</v>
      </c>
      <c r="E14">
        <v>13</v>
      </c>
      <c r="F14">
        <v>3.14</v>
      </c>
      <c r="G14">
        <v>13</v>
      </c>
      <c r="H14" s="184" t="s">
        <v>202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83" t="s">
        <v>203</v>
      </c>
      <c r="E15">
        <v>14</v>
      </c>
      <c r="F15">
        <v>3.14</v>
      </c>
      <c r="G15">
        <v>14</v>
      </c>
      <c r="H15" s="184" t="s">
        <v>203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83" t="s">
        <v>166</v>
      </c>
      <c r="E16">
        <v>15</v>
      </c>
      <c r="F16">
        <v>3.13</v>
      </c>
      <c r="G16">
        <v>15</v>
      </c>
      <c r="H16" s="184" t="s">
        <v>166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83" t="s">
        <v>204</v>
      </c>
      <c r="E17">
        <v>16</v>
      </c>
      <c r="F17">
        <v>3.14</v>
      </c>
      <c r="G17">
        <v>16</v>
      </c>
      <c r="H17" s="184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83" t="s">
        <v>205</v>
      </c>
      <c r="E18">
        <v>17</v>
      </c>
      <c r="F18">
        <v>0</v>
      </c>
      <c r="G18">
        <v>17</v>
      </c>
      <c r="H18" s="184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83" t="s">
        <v>206</v>
      </c>
      <c r="E19">
        <v>18</v>
      </c>
      <c r="F19">
        <v>0</v>
      </c>
      <c r="G19">
        <v>18</v>
      </c>
      <c r="H19" s="184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83" t="s">
        <v>207</v>
      </c>
      <c r="E20">
        <v>19</v>
      </c>
      <c r="F20">
        <v>3.14</v>
      </c>
      <c r="G20">
        <v>19</v>
      </c>
      <c r="H20" s="184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83" t="s">
        <v>208</v>
      </c>
      <c r="E21">
        <v>20</v>
      </c>
      <c r="F21">
        <v>3.14</v>
      </c>
      <c r="G21">
        <v>20</v>
      </c>
      <c r="H21" s="184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83" t="s">
        <v>209</v>
      </c>
      <c r="E22">
        <v>21</v>
      </c>
      <c r="F22">
        <v>3.14</v>
      </c>
      <c r="G22">
        <v>21</v>
      </c>
      <c r="H22" s="184" t="s">
        <v>209</v>
      </c>
    </row>
    <row r="23" spans="1:12" x14ac:dyDescent="0.15">
      <c r="A23" s="32" t="s">
        <v>129</v>
      </c>
      <c r="B23" s="40">
        <v>4</v>
      </c>
      <c r="C23" s="34"/>
      <c r="D23" s="183" t="s">
        <v>210</v>
      </c>
      <c r="E23">
        <v>22</v>
      </c>
      <c r="F23">
        <v>3.14</v>
      </c>
      <c r="G23">
        <v>22</v>
      </c>
      <c r="H23" s="184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83" t="s">
        <v>211</v>
      </c>
      <c r="E24">
        <v>23</v>
      </c>
      <c r="F24">
        <v>3.2</v>
      </c>
      <c r="G24">
        <v>23</v>
      </c>
      <c r="H24" s="184" t="s">
        <v>211</v>
      </c>
    </row>
    <row r="25" spans="1:12" x14ac:dyDescent="0.15">
      <c r="A25" s="32" t="s">
        <v>70</v>
      </c>
      <c r="B25" s="40">
        <v>4.2</v>
      </c>
      <c r="C25" s="34"/>
      <c r="D25" s="183" t="s">
        <v>212</v>
      </c>
      <c r="E25">
        <v>24</v>
      </c>
      <c r="F25">
        <v>3.1</v>
      </c>
      <c r="G25">
        <v>24</v>
      </c>
      <c r="H25" s="184" t="s">
        <v>212</v>
      </c>
    </row>
    <row r="26" spans="1:12" x14ac:dyDescent="0.15">
      <c r="A26" s="32" t="s">
        <v>123</v>
      </c>
      <c r="B26" s="40">
        <v>4.3</v>
      </c>
      <c r="C26" s="34"/>
      <c r="D26" s="183" t="s">
        <v>213</v>
      </c>
      <c r="E26">
        <v>25</v>
      </c>
      <c r="F26">
        <v>0</v>
      </c>
      <c r="G26">
        <v>25</v>
      </c>
      <c r="H26" s="184" t="s">
        <v>213</v>
      </c>
    </row>
    <row r="27" spans="1:12" x14ac:dyDescent="0.15">
      <c r="A27" s="32" t="s">
        <v>125</v>
      </c>
      <c r="B27" s="40">
        <v>6.1</v>
      </c>
      <c r="D27" s="183" t="s">
        <v>214</v>
      </c>
      <c r="E27">
        <v>26</v>
      </c>
      <c r="F27">
        <v>3.16</v>
      </c>
      <c r="G27">
        <v>26</v>
      </c>
      <c r="H27" s="184" t="s">
        <v>214</v>
      </c>
    </row>
    <row r="28" spans="1:12" x14ac:dyDescent="0.15">
      <c r="A28" s="32" t="s">
        <v>124</v>
      </c>
      <c r="B28" s="40">
        <v>6.2</v>
      </c>
      <c r="D28" s="183" t="s">
        <v>215</v>
      </c>
      <c r="E28">
        <v>27</v>
      </c>
      <c r="F28">
        <v>3.16</v>
      </c>
      <c r="G28">
        <v>27</v>
      </c>
      <c r="H28" s="184" t="s">
        <v>215</v>
      </c>
    </row>
    <row r="29" spans="1:12" x14ac:dyDescent="0.15">
      <c r="A29" s="32" t="s">
        <v>44</v>
      </c>
      <c r="B29" s="40">
        <v>5</v>
      </c>
      <c r="D29" s="183" t="s">
        <v>216</v>
      </c>
      <c r="E29">
        <v>28</v>
      </c>
      <c r="F29">
        <v>3.16</v>
      </c>
      <c r="G29">
        <v>28</v>
      </c>
      <c r="H29" s="184" t="s">
        <v>216</v>
      </c>
    </row>
    <row r="30" spans="1:12" x14ac:dyDescent="0.15">
      <c r="A30" s="32" t="s">
        <v>73</v>
      </c>
      <c r="B30" s="40">
        <v>7</v>
      </c>
      <c r="D30" s="183" t="s">
        <v>217</v>
      </c>
      <c r="E30">
        <v>29</v>
      </c>
      <c r="F30">
        <v>4.0999999999999996</v>
      </c>
      <c r="G30">
        <v>29</v>
      </c>
      <c r="H30" s="184" t="s">
        <v>217</v>
      </c>
    </row>
    <row r="31" spans="1:12" x14ac:dyDescent="0.15">
      <c r="A31" s="32" t="s">
        <v>170</v>
      </c>
      <c r="B31" s="40">
        <v>3.14</v>
      </c>
      <c r="D31" s="183" t="s">
        <v>218</v>
      </c>
      <c r="E31">
        <v>30</v>
      </c>
      <c r="F31">
        <v>4.3</v>
      </c>
      <c r="G31">
        <v>30</v>
      </c>
      <c r="H31" s="184" t="s">
        <v>218</v>
      </c>
    </row>
    <row r="32" spans="1:12" ht="12" customHeight="1" thickBot="1" x14ac:dyDescent="0.2">
      <c r="A32" s="38" t="s">
        <v>171</v>
      </c>
      <c r="B32" s="41">
        <v>9</v>
      </c>
      <c r="D32" s="192" t="s">
        <v>223</v>
      </c>
      <c r="E32">
        <v>31</v>
      </c>
      <c r="F32">
        <v>5</v>
      </c>
      <c r="G32">
        <v>31</v>
      </c>
      <c r="H32" s="192" t="s">
        <v>223</v>
      </c>
    </row>
    <row r="33" spans="4:8" customFormat="1" ht="12" customHeight="1" x14ac:dyDescent="0.15">
      <c r="D33" s="183" t="s">
        <v>138</v>
      </c>
      <c r="E33">
        <v>32</v>
      </c>
      <c r="F33">
        <v>6.1</v>
      </c>
      <c r="G33">
        <v>32</v>
      </c>
      <c r="H33" s="184" t="s">
        <v>138</v>
      </c>
    </row>
    <row r="34" spans="4:8" customFormat="1" ht="12" customHeight="1" x14ac:dyDescent="0.15">
      <c r="D34" s="183" t="s">
        <v>45</v>
      </c>
      <c r="E34">
        <v>33</v>
      </c>
      <c r="F34">
        <v>6.2</v>
      </c>
      <c r="G34">
        <v>33</v>
      </c>
      <c r="H34" s="184" t="s">
        <v>45</v>
      </c>
    </row>
    <row r="35" spans="4:8" customFormat="1" x14ac:dyDescent="0.15"/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5.83203125" style="77" customWidth="1"/>
    <col min="3" max="3" width="13.1640625" style="77" customWidth="1"/>
    <col min="4" max="4" width="39.6640625" style="77" customWidth="1"/>
    <col min="5" max="5" width="8.1640625" style="77" customWidth="1"/>
    <col min="6" max="6" width="15.832031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7" customWidth="1"/>
    <col min="17" max="17" width="2.33203125" style="77" customWidth="1"/>
    <col min="18" max="18" width="2.33203125" style="68" customWidth="1"/>
    <col min="19" max="16384" width="11.5" style="77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9" t="s">
        <v>48</v>
      </c>
      <c r="L1" s="68"/>
      <c r="M1" s="79" t="s">
        <v>119</v>
      </c>
      <c r="N1" s="68"/>
      <c r="O1" s="79" t="s">
        <v>49</v>
      </c>
      <c r="P1" s="71"/>
      <c r="Q1" s="79" t="s">
        <v>50</v>
      </c>
      <c r="R1" s="65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4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4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85" t="s">
        <v>193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1</v>
      </c>
      <c r="N6" s="77">
        <v>0</v>
      </c>
      <c r="O6" s="77">
        <v>0</v>
      </c>
      <c r="P6" s="67">
        <v>0</v>
      </c>
      <c r="Q6" s="77">
        <v>0</v>
      </c>
      <c r="R6" s="68">
        <v>1</v>
      </c>
      <c r="S6"/>
      <c r="T6"/>
    </row>
    <row r="7" spans="1:23" ht="15" customHeight="1" thickBot="1" x14ac:dyDescent="0.2">
      <c r="F7" s="185" t="s">
        <v>194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7">
        <v>0</v>
      </c>
      <c r="Q7" s="77">
        <v>0</v>
      </c>
      <c r="R7" s="68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86" t="s">
        <v>193</v>
      </c>
      <c r="D8" s="81" t="s">
        <v>160</v>
      </c>
      <c r="F8" s="185" t="s">
        <v>195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7">
        <v>0</v>
      </c>
      <c r="Q8" s="77">
        <v>0</v>
      </c>
      <c r="R8" s="68">
        <v>1</v>
      </c>
      <c r="S8"/>
      <c r="T8"/>
      <c r="W8"/>
    </row>
    <row r="9" spans="1:23" ht="15" customHeight="1" x14ac:dyDescent="0.15">
      <c r="A9" s="118" t="s">
        <v>169</v>
      </c>
      <c r="B9" s="88"/>
      <c r="C9" s="76"/>
      <c r="D9" s="81" t="s">
        <v>160</v>
      </c>
      <c r="F9" s="185" t="s">
        <v>196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7">
        <v>0</v>
      </c>
      <c r="Q9" s="77">
        <v>0</v>
      </c>
      <c r="R9" s="68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85" t="s">
        <v>197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7">
        <v>0</v>
      </c>
      <c r="Q10" s="77">
        <v>0</v>
      </c>
      <c r="R10" s="68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85" t="s">
        <v>198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7">
        <v>0</v>
      </c>
      <c r="Q11" s="77">
        <v>0</v>
      </c>
      <c r="R11" s="68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85" t="s">
        <v>199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7">
        <v>0</v>
      </c>
      <c r="Q12" s="77">
        <v>0</v>
      </c>
      <c r="R12" s="68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85" t="s">
        <v>200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7">
        <v>0</v>
      </c>
      <c r="Q13" s="77">
        <v>0</v>
      </c>
      <c r="R13" s="68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85" t="s">
        <v>201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7">
        <v>0</v>
      </c>
      <c r="Q14" s="77">
        <v>0</v>
      </c>
      <c r="R14" s="68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85" t="s">
        <v>202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7">
        <v>0</v>
      </c>
      <c r="Q15" s="77">
        <v>0</v>
      </c>
      <c r="R15" s="68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85" t="s">
        <v>203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7">
        <v>0</v>
      </c>
      <c r="Q16" s="77">
        <v>0</v>
      </c>
      <c r="R16" s="68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85" t="s">
        <v>166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7">
        <v>0</v>
      </c>
      <c r="Q17" s="77">
        <v>0</v>
      </c>
      <c r="R17" s="68">
        <v>1</v>
      </c>
      <c r="S17"/>
      <c r="T17"/>
    </row>
    <row r="18" spans="1:20" ht="15" customHeight="1" thickBot="1" x14ac:dyDescent="0.2">
      <c r="B18" s="89"/>
      <c r="F18" s="185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7">
        <v>0</v>
      </c>
      <c r="Q18" s="77">
        <v>0</v>
      </c>
      <c r="R18" s="68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87" t="s">
        <v>193</v>
      </c>
      <c r="D19" s="81" t="s">
        <v>160</v>
      </c>
      <c r="F19" s="185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7">
        <v>0</v>
      </c>
      <c r="Q19" s="77">
        <v>0</v>
      </c>
      <c r="R19" s="68">
        <v>1</v>
      </c>
      <c r="S19"/>
      <c r="T19"/>
    </row>
    <row r="20" spans="1:20" ht="15" customHeight="1" x14ac:dyDescent="0.15">
      <c r="A20" s="118" t="s">
        <v>169</v>
      </c>
      <c r="B20" s="88"/>
      <c r="C20" s="76"/>
      <c r="D20" s="81" t="s">
        <v>160</v>
      </c>
      <c r="F20" s="185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7">
        <v>0</v>
      </c>
      <c r="Q20" s="77">
        <v>0</v>
      </c>
      <c r="R20" s="68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85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7">
        <v>0</v>
      </c>
      <c r="Q21" s="77">
        <v>0</v>
      </c>
      <c r="R21" s="68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85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7">
        <v>0</v>
      </c>
      <c r="Q22" s="77">
        <v>0</v>
      </c>
      <c r="R22" s="68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85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7">
        <v>0</v>
      </c>
      <c r="Q23" s="77">
        <v>0</v>
      </c>
      <c r="R23" s="68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85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7">
        <v>0</v>
      </c>
      <c r="Q24" s="77">
        <v>0</v>
      </c>
      <c r="R24" s="68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85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7">
        <v>0</v>
      </c>
      <c r="Q25" s="77">
        <v>0</v>
      </c>
      <c r="R25" s="68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85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1</v>
      </c>
      <c r="L26" s="77">
        <v>0</v>
      </c>
      <c r="M26" s="77">
        <v>1</v>
      </c>
      <c r="N26" s="77">
        <v>0</v>
      </c>
      <c r="O26" s="77">
        <v>1</v>
      </c>
      <c r="P26" s="67">
        <v>0</v>
      </c>
      <c r="Q26" s="77">
        <v>0</v>
      </c>
      <c r="R26" s="68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85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1</v>
      </c>
      <c r="L27" s="77">
        <v>0</v>
      </c>
      <c r="M27" s="77">
        <v>1</v>
      </c>
      <c r="N27" s="77">
        <v>0</v>
      </c>
      <c r="O27" s="77">
        <v>1</v>
      </c>
      <c r="P27" s="67">
        <v>0</v>
      </c>
      <c r="Q27" s="77">
        <v>0</v>
      </c>
      <c r="R27" s="68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85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1</v>
      </c>
      <c r="L28" s="77">
        <v>0</v>
      </c>
      <c r="M28" s="77">
        <v>1</v>
      </c>
      <c r="N28" s="77">
        <v>0</v>
      </c>
      <c r="O28" s="77">
        <v>1</v>
      </c>
      <c r="P28" s="67">
        <v>0</v>
      </c>
      <c r="Q28" s="77">
        <v>0</v>
      </c>
      <c r="R28" s="68">
        <v>1</v>
      </c>
      <c r="S28"/>
      <c r="T28"/>
    </row>
    <row r="29" spans="1:20" ht="15" customHeight="1" x14ac:dyDescent="0.15">
      <c r="F29" s="185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1</v>
      </c>
      <c r="L29" s="77">
        <v>0</v>
      </c>
      <c r="M29" s="77">
        <v>1</v>
      </c>
      <c r="N29" s="77">
        <v>0</v>
      </c>
      <c r="O29" s="77">
        <v>1</v>
      </c>
      <c r="P29" s="67">
        <v>0</v>
      </c>
      <c r="Q29" s="77">
        <v>0</v>
      </c>
      <c r="R29" s="68">
        <v>1</v>
      </c>
      <c r="S29"/>
      <c r="T29"/>
    </row>
    <row r="30" spans="1:20" ht="15" customHeight="1" x14ac:dyDescent="0.15">
      <c r="F30" s="185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1</v>
      </c>
      <c r="L30" s="77">
        <v>0</v>
      </c>
      <c r="M30" s="77">
        <v>1</v>
      </c>
      <c r="N30" s="77">
        <v>0</v>
      </c>
      <c r="O30" s="77">
        <v>1</v>
      </c>
      <c r="P30" s="67">
        <v>0</v>
      </c>
      <c r="Q30" s="77">
        <v>0</v>
      </c>
      <c r="R30" s="68">
        <v>1</v>
      </c>
      <c r="S30"/>
      <c r="T30"/>
    </row>
    <row r="31" spans="1:20" ht="15" customHeight="1" x14ac:dyDescent="0.15">
      <c r="A31" s="119"/>
      <c r="B31" s="130" t="s">
        <v>17</v>
      </c>
      <c r="C31" s="130" t="s">
        <v>1</v>
      </c>
      <c r="D31" s="130" t="s">
        <v>161</v>
      </c>
      <c r="E31" s="131" t="s">
        <v>163</v>
      </c>
      <c r="F31" s="185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0</v>
      </c>
      <c r="L31" s="77">
        <v>1</v>
      </c>
      <c r="M31" s="77">
        <v>0</v>
      </c>
      <c r="N31" s="77">
        <v>1</v>
      </c>
      <c r="O31" s="77">
        <v>0</v>
      </c>
      <c r="P31" s="67">
        <v>1</v>
      </c>
      <c r="Q31" s="77">
        <v>0</v>
      </c>
      <c r="R31" s="68">
        <v>1</v>
      </c>
      <c r="S31"/>
      <c r="T31"/>
    </row>
    <row r="32" spans="1:20" ht="15" customHeight="1" x14ac:dyDescent="0.15">
      <c r="A32" s="188" t="s">
        <v>193</v>
      </c>
      <c r="B32" s="89">
        <v>207.2</v>
      </c>
      <c r="C32" s="89">
        <v>35.700000000000003</v>
      </c>
      <c r="D32" s="89">
        <v>7397.04</v>
      </c>
      <c r="E32" s="121">
        <v>1</v>
      </c>
      <c r="F32" s="185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0</v>
      </c>
      <c r="L32" s="77">
        <v>1</v>
      </c>
      <c r="M32" s="77">
        <v>0</v>
      </c>
      <c r="N32" s="77">
        <v>1</v>
      </c>
      <c r="O32" s="77">
        <v>0</v>
      </c>
      <c r="P32" s="67">
        <v>1</v>
      </c>
      <c r="Q32" s="77">
        <v>0</v>
      </c>
      <c r="R32" s="68">
        <v>1</v>
      </c>
      <c r="S32"/>
      <c r="T32"/>
    </row>
    <row r="33" spans="1:20" ht="15" customHeight="1" x14ac:dyDescent="0.15">
      <c r="A33" s="120"/>
      <c r="B33" s="89"/>
      <c r="C33" s="89"/>
      <c r="D33" s="89"/>
      <c r="E33" s="121"/>
      <c r="F33" s="193" t="s">
        <v>223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 s="105">
        <v>1</v>
      </c>
      <c r="S33"/>
      <c r="T33"/>
    </row>
    <row r="34" spans="1:20" ht="15" customHeight="1" x14ac:dyDescent="0.15">
      <c r="A34" s="122"/>
      <c r="B34" s="89"/>
      <c r="C34" s="89"/>
      <c r="D34" s="89"/>
      <c r="E34" s="121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3"/>
      <c r="B35" s="89"/>
      <c r="C35" s="89"/>
      <c r="D35" s="89"/>
      <c r="E35" s="121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4"/>
      <c r="B36" s="89"/>
      <c r="C36" s="89"/>
      <c r="D36" s="89"/>
      <c r="E36" s="121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4"/>
      <c r="B37" s="89"/>
      <c r="C37" s="89"/>
      <c r="D37" s="89"/>
      <c r="E37" s="12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5"/>
      <c r="B38" s="89"/>
      <c r="C38" s="89"/>
      <c r="D38" s="89"/>
      <c r="E38" s="1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5"/>
      <c r="B39" s="89"/>
      <c r="C39" s="89"/>
      <c r="D39" s="89"/>
      <c r="E39" s="1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5"/>
      <c r="B40" s="89"/>
      <c r="C40" s="89"/>
      <c r="D40" s="89"/>
      <c r="E40" s="1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5"/>
      <c r="B41" s="89"/>
      <c r="C41" s="89"/>
      <c r="D41" s="90"/>
      <c r="E41" s="12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7397.04</v>
      </c>
      <c r="E42" s="12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K12" sqref="AK12"/>
    </sheetView>
  </sheetViews>
  <sheetFormatPr baseColWidth="10" defaultColWidth="8.83203125" defaultRowHeight="13" x14ac:dyDescent="0.15"/>
  <cols>
    <col min="1" max="1" width="15.83203125" bestFit="1" customWidth="1"/>
    <col min="2" max="2" width="2.33203125" style="104" customWidth="1"/>
    <col min="3" max="5" width="7.83203125" style="104" customWidth="1"/>
    <col min="6" max="8" width="8.83203125" style="6"/>
    <col min="9" max="9" width="13.1640625" style="6" customWidth="1"/>
    <col min="10" max="10" width="14.83203125" style="6" customWidth="1"/>
    <col min="11" max="11" width="15.83203125" style="6" customWidth="1"/>
    <col min="12" max="12" width="15.5" style="6" customWidth="1"/>
    <col min="13" max="13" width="14.6640625" style="6" customWidth="1"/>
    <col min="14" max="14" width="11.83203125" style="6" customWidth="1"/>
    <col min="15" max="15" width="13" style="6" customWidth="1"/>
    <col min="16" max="16" width="7.5" style="6" customWidth="1"/>
    <col min="17" max="17" width="8.33203125" style="6" customWidth="1"/>
    <col min="18" max="18" width="12.5" style="6" customWidth="1"/>
    <col min="19" max="19" width="12.6640625" style="6" customWidth="1"/>
    <col min="20" max="20" width="11.6640625" style="6" customWidth="1"/>
    <col min="21" max="21" width="13.83203125" style="6" customWidth="1"/>
    <col min="22" max="22" width="15.5" style="6" customWidth="1"/>
    <col min="23" max="23" width="15.1640625" style="6" customWidth="1"/>
    <col min="24" max="24" width="13.33203125" style="6" customWidth="1"/>
    <col min="25" max="25" width="15.33203125" style="6" customWidth="1"/>
    <col min="26" max="26" width="15.1640625" style="6" customWidth="1"/>
    <col min="27" max="27" width="14.6640625" style="6" customWidth="1"/>
    <col min="28" max="28" width="14" style="6" customWidth="1"/>
    <col min="29" max="29" width="13.83203125" style="6" customWidth="1"/>
    <col min="30" max="30" width="13.5" style="6" customWidth="1"/>
    <col min="31" max="31" width="8.5" style="6" customWidth="1"/>
    <col min="32" max="32" width="6" style="6" customWidth="1"/>
    <col min="33" max="33" width="10.1640625" style="6" customWidth="1"/>
    <col min="34" max="34" width="7.6640625" style="6" customWidth="1"/>
    <col min="35" max="35" width="21.6640625" style="6" customWidth="1"/>
    <col min="36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/>
      <c r="G1"/>
      <c r="H1"/>
      <c r="I1" s="190" t="s">
        <v>193</v>
      </c>
      <c r="J1" s="190" t="s">
        <v>194</v>
      </c>
      <c r="K1" s="190" t="s">
        <v>195</v>
      </c>
      <c r="L1" s="190" t="s">
        <v>196</v>
      </c>
      <c r="M1" s="190" t="s">
        <v>197</v>
      </c>
      <c r="N1" s="190" t="s">
        <v>198</v>
      </c>
      <c r="O1" s="190" t="s">
        <v>199</v>
      </c>
      <c r="P1" s="190" t="s">
        <v>200</v>
      </c>
      <c r="Q1" s="190" t="s">
        <v>201</v>
      </c>
      <c r="R1" s="190" t="s">
        <v>202</v>
      </c>
      <c r="S1" s="190" t="s">
        <v>203</v>
      </c>
      <c r="T1" s="190" t="s">
        <v>166</v>
      </c>
      <c r="U1" s="190" t="s">
        <v>204</v>
      </c>
      <c r="V1" s="190" t="s">
        <v>205</v>
      </c>
      <c r="W1" s="190" t="s">
        <v>206</v>
      </c>
      <c r="X1" s="190" t="s">
        <v>207</v>
      </c>
      <c r="Y1" s="190" t="s">
        <v>208</v>
      </c>
      <c r="Z1" s="190" t="s">
        <v>209</v>
      </c>
      <c r="AA1" s="190" t="s">
        <v>210</v>
      </c>
      <c r="AB1" s="190" t="s">
        <v>211</v>
      </c>
      <c r="AC1" s="190" t="s">
        <v>212</v>
      </c>
      <c r="AD1" s="190" t="s">
        <v>213</v>
      </c>
      <c r="AE1" s="190" t="s">
        <v>214</v>
      </c>
      <c r="AF1" s="190" t="s">
        <v>215</v>
      </c>
      <c r="AG1" s="190" t="s">
        <v>216</v>
      </c>
      <c r="AH1" s="190" t="s">
        <v>217</v>
      </c>
      <c r="AI1" s="190" t="s">
        <v>218</v>
      </c>
      <c r="AJ1" s="194" t="s">
        <v>223</v>
      </c>
      <c r="AK1"/>
      <c r="AL1"/>
    </row>
    <row r="2" spans="1:38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9" t="s">
        <v>193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9" t="s">
        <v>194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9" t="s">
        <v>195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9" t="s">
        <v>196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9" t="s">
        <v>197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9" t="s">
        <v>198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9" t="s">
        <v>199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9" t="s">
        <v>200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9" t="s">
        <v>201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9" t="s">
        <v>202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9" t="s">
        <v>203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9" t="s">
        <v>166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9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9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9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9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9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9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9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9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9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9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9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9" t="s">
        <v>215</v>
      </c>
      <c r="B28" s="10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9" t="s">
        <v>216</v>
      </c>
      <c r="B29" s="10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9" t="s">
        <v>217</v>
      </c>
      <c r="B30" s="10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9" t="s">
        <v>218</v>
      </c>
      <c r="B31" s="10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3" t="s">
        <v>223</v>
      </c>
      <c r="B32" s="10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2023-08-14T21:58:04Z</dcterms:modified>
</cp:coreProperties>
</file>