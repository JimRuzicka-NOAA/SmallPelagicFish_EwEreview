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F233694-EA70-1E4B-94ED-8243B8DAEB0A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Main!$C$2:$N$47</definedName>
    <definedName name="matDetritus">Detritus!$C$2:$E$47</definedName>
    <definedName name="matDiet">Diets!$B$2:$AF$35</definedName>
    <definedName name="matDiscards">Discards!$C$2:$O$34</definedName>
    <definedName name="matFishery">Fishing!$C$2:$O$34</definedName>
    <definedName name="matFishing">Fishing!#REF!</definedName>
    <definedName name="matMort">Mortalities!$A$1:$AW$34</definedName>
    <definedName name="matOut">MainOutputs!$A$2:$I$47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<sst xmlns="http://schemas.openxmlformats.org/spreadsheetml/2006/main" count="1154" uniqueCount="255">
  <si>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</si>
  <si>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</si>
  <si>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</si>
  <si>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</si>
  <si>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</si>
  <si>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</si>
  <si>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</si>
  <si>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</si>
  <si>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</si>
  <si>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</si>
  <si>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</si>
  <si>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</si>
  <si>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</si>
  <si>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</si>
  <si>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</si>
  <si>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</si>
  <si>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</si>
  <si>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</si>
  <si>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</si>
  <si>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</si>
  <si>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</si>
  <si>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</si>
  <si>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</si>
  <si>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</si>
  <si>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</si>
  <si>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</si>
  <si>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</si>
  <si>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</si>
  <si>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</si>
  <si>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</si>
  <si>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</si>
  <si>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</si>
  <si>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</si>
  <si>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</si>
  <si>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</si>
  <si>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</si>
  <si>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</si>
  <si>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</si>
  <si>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</si>
  <si>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</si>
  <si>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</si>
  <si>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</si>
  <si>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</si>
  <si>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</si>
  <si>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</si>
  <si>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</si>
  <si>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</si>
  <si>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</si>
  <si>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</si>
  <si>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</si>
  <si>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</si>
  <si>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</si>
  <si>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</si>
  <si>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</si>
  <si>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</si>
  <si>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</si>
  <si>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</si>
  <si>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</si>
  <si>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</si>
  <si>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</si>
  <si>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</si>
  <si>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</si>
  <si>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</si>
  <si>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</si>
  <si>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</si>
  <si>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</si>
  <si>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</si>
  <si>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</si>
  <si>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</si>
  <si>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</si>
  <si>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</si>
  <si>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</si>
  <si>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</si>
  <si>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</si>
  <si>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</si>
  <si>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</si>
  <si>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</si>
  <si>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</si>
  <si>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</si>
  <si>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</si>
  <si>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</si>
  <si>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</si>
  <si>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</si>
  <si>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</si>
  <si>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</si>
  <si>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</si>
  <si>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</si>
  <si>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</si>
  <si>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</si>
  <si>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</si>
  <si>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</si>
  <si>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</si>
  <si>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</si>
  <si>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</si>
  <si>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</si>
  <si>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</si>
  <si>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</si>
  <si>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</si>
  <si>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</si>
  <si>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</si>
  <si>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</si>
  <si>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</si>
  <si>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</si>
  <si>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</si>
  <si>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</si>
  <si>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</si>
  <si>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</si>
  <si>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</si>
  <si>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</si>
  <si>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</si>
  <si>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</si>
  <si>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</si>
  <si>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</si>
  <si>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</si>
  <si>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</si>
  <si>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</si>
  <si>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</si>
  <si>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</si>
  <si>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</si>
  <si>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</si>
  <si>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</si>
  <si>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</si>
  <si>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</si>
  <si>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</si>
  <si>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</si>
  <si>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</si>
  <si>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</si>
  <si>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</si>
  <si>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</si>
  <si>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</si>
  <si>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</si>
  <si>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</si>
  <si>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</si>
  <si>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</si>
  <si>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</si>
  <si>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</si>
  <si>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</si>
  <si>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</si>
  <si>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</si>
  <si>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</si>
  <si>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</si>
  <si>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</si>
  <si>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</si>
  <si>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</si>
  <si>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</si>
  <si>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</si>
  <si>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</si>
  <si>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</si>
  <si>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</si>
  <si>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</si>
  <si>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</si>
  <si>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</si>
  <si>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</si>
  <si>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</si>
  <si>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</si>
  <si>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</si>
  <si>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</si>
  <si>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</si>
  <si>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</si>
  <si>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</si>
  <si>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</si>
  <si>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</si>
  <si>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</si>
  <si>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</si>
  <si>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</si>
  <si>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</si>
  <si>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</si>
  <si>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</si>
  <si>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</si>
  <si>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</si>
  <si>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</si>
  <si>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</si>
  <si>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</si>
  <si>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</si>
  <si>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</si>
  <si>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</si>
  <si>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</si>
  <si>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</si>
  <si>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</si>
  <si>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</si>
  <si>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</si>
  <si>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</si>
  <si>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</si>
  <si>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</si>
  <si>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</si>
  <si>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Benguela</t>
  </si>
  <si>
    <t>South Africa</t>
  </si>
  <si>
    <t>BOX(15.1848308550611 -35.3774889258689,23.5147218631843 -27.0835026203668)</t>
  </si>
  <si>
    <t>upwelling</t>
  </si>
  <si>
    <t>WetWeight</t>
  </si>
  <si>
    <t>; 12/08/2006 21:08:30; 11/09/2006 14:54:38</t>
  </si>
  <si>
    <t>Shannon L.J.,Moloney C.L.,Jarre A.,Field J.G.(2003). Trophic flows in the southern Benguela during the 1980s and 1990s Journal of Marine Systems. pp 83-116</t>
  </si>
  <si>
    <t>Phytoplankton</t>
  </si>
  <si>
    <t>Benth.producers</t>
  </si>
  <si>
    <t>Microzooplank.</t>
  </si>
  <si>
    <t>Mesozooplank.</t>
  </si>
  <si>
    <t>Macrozooplank.</t>
  </si>
  <si>
    <t>Gelatinous zoo.</t>
  </si>
  <si>
    <t>Anchovy</t>
  </si>
  <si>
    <t>Sardine</t>
  </si>
  <si>
    <t>Redeye</t>
  </si>
  <si>
    <t>Othersmallpel</t>
  </si>
  <si>
    <t>Chubmackerel</t>
  </si>
  <si>
    <t>Juv.hmack.</t>
  </si>
  <si>
    <t>Ad.hmack.</t>
  </si>
  <si>
    <t>Mesopelagics</t>
  </si>
  <si>
    <t>Snoek</t>
  </si>
  <si>
    <t>Otherlargepel</t>
  </si>
  <si>
    <t>Cephalopods</t>
  </si>
  <si>
    <t>SmallM.capens</t>
  </si>
  <si>
    <t>LargeM.capens</t>
  </si>
  <si>
    <t>SmallM.parad</t>
  </si>
  <si>
    <t>LargeM.parad</t>
  </si>
  <si>
    <t>Pelagicdemers</t>
  </si>
  <si>
    <t>Benthicdemers</t>
  </si>
  <si>
    <t>Pelagicchond</t>
  </si>
  <si>
    <t>Benthicchond</t>
  </si>
  <si>
    <t>Apexchond</t>
  </si>
  <si>
    <t>Seals</t>
  </si>
  <si>
    <t>Cetaceans</t>
  </si>
  <si>
    <t>Seabirds</t>
  </si>
  <si>
    <t>Meiobenthos</t>
  </si>
  <si>
    <t>Macrobenthos</t>
  </si>
  <si>
    <t>Detritus</t>
  </si>
  <si>
    <t>detritus_TerminalBenthic</t>
  </si>
  <si>
    <t>Purse seine</t>
  </si>
  <si>
    <t>Midwater</t>
  </si>
  <si>
    <t>Line Fishery</t>
  </si>
  <si>
    <t>LonglineHake</t>
  </si>
  <si>
    <t>Other</t>
  </si>
  <si>
    <t>Squid trawl</t>
  </si>
  <si>
    <t>Squid Jig</t>
  </si>
  <si>
    <t>Snoek trawl</t>
  </si>
  <si>
    <t>MCapOffshoreTrawl</t>
  </si>
  <si>
    <t>SA inoff trawl hmack</t>
  </si>
  <si>
    <t>HakeInshoreTrawl</t>
  </si>
  <si>
    <t>demersal trawl</t>
  </si>
  <si>
    <t>MParOffshoreTrawl</t>
  </si>
  <si>
    <t>Import</t>
  </si>
  <si>
    <t>export</t>
  </si>
  <si>
    <t>sum</t>
  </si>
  <si>
    <t>TOTAL</t>
  </si>
  <si>
    <t>F Purse seine</t>
  </si>
  <si>
    <t>F Midwater</t>
  </si>
  <si>
    <t>F Line Fishery</t>
  </si>
  <si>
    <t>F LonglineHake</t>
  </si>
  <si>
    <t>F Other</t>
  </si>
  <si>
    <t>F Squid trawl</t>
  </si>
  <si>
    <t>F Squid Jig</t>
  </si>
  <si>
    <t>F Snoek trawl</t>
  </si>
  <si>
    <t>F MCapOffshoreTrawl</t>
  </si>
  <si>
    <t>F SA inoff trawl hmack</t>
  </si>
  <si>
    <t>F HakeInshoreTrawl</t>
  </si>
  <si>
    <t>F demersal trawl</t>
  </si>
  <si>
    <t>F MParOffshoreTrawl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</si>
</sst>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D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32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0" t="s">
        <v>171</v>
      </c>
      <c r="C53" s="107">
        <v>485</v>
      </c>
      <c r="D53" s="107"/>
    </row>
    <row r="54" spans="2:4" x14ac:dyDescent="0.15">
      <c r="B54" s="170" t="s">
        <v>172</v>
      </c>
      <c r="C54" s="170" t="s">
        <v>185</v>
      </c>
      <c r="D54" s="107"/>
    </row>
    <row r="55" spans="2:4" x14ac:dyDescent="0.15">
      <c r="B55" s="170" t="s">
        <v>173</v>
      </c>
      <c r="C55" s="170" t="s">
        <v>186</v>
      </c>
      <c r="D55" s="107"/>
    </row>
    <row r="56" spans="2:4" x14ac:dyDescent="0.15">
      <c r="B56" s="170" t="s">
        <v>174</v>
      </c>
      <c r="C56" s="107">
        <v>220000</v>
      </c>
      <c r="D56" s="107"/>
    </row>
    <row r="57" spans="2:4" x14ac:dyDescent="0.15">
      <c r="B57" s="170" t="s">
        <v>175</v>
      </c>
      <c r="C57" s="170" t="s">
        <v>187</v>
      </c>
      <c r="D57" s="107"/>
    </row>
    <row r="58" spans="2:4" x14ac:dyDescent="0.15">
      <c r="B58" s="170" t="s">
        <v>176</v>
      </c>
      <c r="C58" s="170" t="s">
        <v>188</v>
      </c>
      <c r="D58" s="107"/>
    </row>
    <row r="59" spans="2:4" x14ac:dyDescent="0.15">
      <c r="B59" s="170" t="s">
        <v>177</v>
      </c>
      <c r="C59" s="170" t="s">
        <v>189</v>
      </c>
      <c r="D59" s="107"/>
    </row>
    <row r="60" spans="2:4" x14ac:dyDescent="0.15">
      <c r="B60" s="170" t="s">
        <v>178</v>
      </c>
      <c r="C60" s="170" t="s">
        <v>190</v>
      </c>
      <c r="D60" s="107"/>
    </row>
    <row r="61" spans="2:4" x14ac:dyDescent="0.15">
      <c r="B61" s="170" t="s">
        <v>179</v>
      </c>
      <c r="C61" s="107">
        <v>32</v>
      </c>
      <c r="D61" s="107"/>
    </row>
    <row r="62" spans="2:4" x14ac:dyDescent="0.15">
      <c r="B62" s="170" t="s">
        <v>180</v>
      </c>
      <c r="C62" s="107">
        <v>13</v>
      </c>
      <c r="D62" s="107"/>
    </row>
    <row r="63" spans="2:4" x14ac:dyDescent="0.15">
      <c r="B63" s="170" t="s">
        <v>181</v>
      </c>
      <c r="C63" s="107">
        <v>1978</v>
      </c>
      <c r="D63" s="107"/>
    </row>
    <row r="64" spans="2:4" x14ac:dyDescent="0.15">
      <c r="B64" s="170" t="s">
        <v>182</v>
      </c>
      <c r="C64" s="107">
        <v>1</v>
      </c>
      <c r="D64" s="107"/>
    </row>
    <row r="65" spans="2:4" x14ac:dyDescent="0.15">
      <c r="B65" s="170" t="s">
        <v>183</v>
      </c>
      <c r="C65" s="170" t="s">
        <v>191</v>
      </c>
      <c r="D65" s="107"/>
    </row>
    <row r="66" spans="2:4" x14ac:dyDescent="0.15">
      <c r="B66" s="170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1.6640625" style="82" bestFit="1" customWidth="1"/>
    <col min="6" max="6" width="2.33203125" style="82" bestFit="1" customWidth="1"/>
    <col min="7" max="7" width="11.83203125" style="82" bestFit="1" customWidth="1"/>
    <col min="8" max="8" width="5.83203125" style="82" customWidth="1"/>
    <col min="9" max="9" width="10.83203125" style="82" customWidth="1"/>
    <col min="10" max="10" width="11.83203125" style="82" customWidth="1"/>
    <col min="11" max="11" width="12.83203125" style="82" customWidth="1"/>
    <col min="12" max="12" width="2.33203125" style="82" customWidth="1"/>
    <col min="13" max="13" width="4.83203125" style="82" customWidth="1"/>
    <col min="14" max="14" width="3.8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1" t="s">
        <v>192</v>
      </c>
      <c r="F2" s="82">
        <v>1</v>
      </c>
      <c r="G2" s="82">
        <v>76.938000000000002</v>
      </c>
      <c r="H2" s="82">
        <v>154.4</v>
      </c>
      <c r="I2" s="6">
        <v>0</v>
      </c>
      <c r="J2" s="6">
        <v>0.20278732499999999</v>
      </c>
      <c r="K2" s="6">
        <v>0</v>
      </c>
      <c r="L2" s="6">
        <v>0</v>
      </c>
      <c r="M2" s="82">
        <v>0</v>
      </c>
      <c r="N2" s="82">
        <v>-99</v>
      </c>
    </row>
    <row r="3" spans="1:46" ht="15" customHeight="1" x14ac:dyDescent="0.15">
      <c r="A3" s="1" t="s">
        <v>9</v>
      </c>
      <c r="B3" s="4">
        <v>31</v>
      </c>
      <c r="C3" s="82">
        <v>2</v>
      </c>
      <c r="D3"/>
      <c r="E3" s="171" t="s">
        <v>193</v>
      </c>
      <c r="F3" s="82">
        <v>1</v>
      </c>
      <c r="G3" s="82">
        <v>5.5837116199999999</v>
      </c>
      <c r="H3" s="82">
        <v>15</v>
      </c>
      <c r="I3" s="82">
        <v>0</v>
      </c>
      <c r="J3" s="82">
        <v>0.5</v>
      </c>
      <c r="K3" s="82">
        <v>0</v>
      </c>
      <c r="L3" s="82">
        <v>0</v>
      </c>
      <c r="M3" s="82">
        <v>0</v>
      </c>
      <c r="N3" s="82">
        <v>-99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71" t="s">
        <v>194</v>
      </c>
      <c r="F4" s="82">
        <v>0</v>
      </c>
      <c r="G4" s="82">
        <v>1.8006915999999999</v>
      </c>
      <c r="H4" s="82">
        <v>482</v>
      </c>
      <c r="I4" s="82">
        <v>1928</v>
      </c>
      <c r="J4" s="82">
        <v>0.95</v>
      </c>
      <c r="K4" s="82">
        <v>0.25</v>
      </c>
      <c r="L4" s="82">
        <v>0</v>
      </c>
      <c r="M4" s="82">
        <v>0.2</v>
      </c>
      <c r="N4" s="82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13</v>
      </c>
      <c r="C5" s="82">
        <v>4</v>
      </c>
      <c r="D5"/>
      <c r="E5" s="171" t="s">
        <v>195</v>
      </c>
      <c r="F5" s="82">
        <v>0</v>
      </c>
      <c r="G5" s="82">
        <v>7.6304006600000003</v>
      </c>
      <c r="H5" s="82">
        <v>40</v>
      </c>
      <c r="I5" s="82">
        <v>133.333</v>
      </c>
      <c r="J5" s="82">
        <v>0.95</v>
      </c>
      <c r="K5" s="82">
        <v>0.30000075700000001</v>
      </c>
      <c r="L5" s="82">
        <v>0</v>
      </c>
      <c r="M5" s="82">
        <v>0.35</v>
      </c>
      <c r="N5" s="82">
        <v>-99</v>
      </c>
      <c r="P5" s="70"/>
      <c r="Q5" s="70"/>
      <c r="R5" s="70"/>
    </row>
    <row r="6" spans="1:46" ht="15" customHeight="1" thickBot="1" x14ac:dyDescent="0.2">
      <c r="B6" s="1"/>
      <c r="C6" s="82">
        <v>5</v>
      </c>
      <c r="D6"/>
      <c r="E6" s="171" t="s">
        <v>196</v>
      </c>
      <c r="F6" s="82">
        <v>0</v>
      </c>
      <c r="G6" s="82">
        <v>12.7469158</v>
      </c>
      <c r="H6" s="82">
        <v>13</v>
      </c>
      <c r="I6" s="82">
        <v>31.707000000000001</v>
      </c>
      <c r="J6" s="82">
        <v>0.95</v>
      </c>
      <c r="K6" s="82">
        <v>0.41000407900000002</v>
      </c>
      <c r="L6" s="82">
        <v>0</v>
      </c>
      <c r="M6" s="82">
        <v>0.2</v>
      </c>
      <c r="N6" s="82">
        <v>-99</v>
      </c>
      <c r="P6" s="70"/>
      <c r="Q6" s="70"/>
      <c r="R6" s="70"/>
      <c r="W6" s="35" t="s">
        <v>31</v>
      </c>
      <c r="X6" s="51">
        <f>MAX(MainOutputs!G:G)</f>
        <v>0.999561607837677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267</v>
      </c>
      <c r="C7" s="82">
        <v>6</v>
      </c>
      <c r="D7"/>
      <c r="E7" s="171" t="s">
        <v>197</v>
      </c>
      <c r="F7" s="82">
        <v>0</v>
      </c>
      <c r="G7" s="82">
        <v>4.5449999999999999</v>
      </c>
      <c r="H7" s="82">
        <v>0.58399999999999996</v>
      </c>
      <c r="I7" s="82">
        <v>1.669</v>
      </c>
      <c r="J7" s="82">
        <v>0.15545617</v>
      </c>
      <c r="K7" s="82">
        <v>0.3499101</v>
      </c>
      <c r="L7" s="82">
        <v>0</v>
      </c>
      <c r="M7" s="82">
        <v>0.2</v>
      </c>
      <c r="N7" s="82">
        <v>-99</v>
      </c>
      <c r="P7" s="70"/>
      <c r="Q7" s="70"/>
      <c r="R7" s="70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75</v>
      </c>
      <c r="C8" s="82">
        <v>7</v>
      </c>
      <c r="D8"/>
      <c r="E8" s="171" t="s">
        <v>198</v>
      </c>
      <c r="F8" s="82">
        <v>0</v>
      </c>
      <c r="G8" s="82">
        <v>6.3427920000000002</v>
      </c>
      <c r="H8" s="82">
        <v>1.4</v>
      </c>
      <c r="I8" s="82">
        <v>14.4</v>
      </c>
      <c r="J8" s="82">
        <v>0.99</v>
      </c>
      <c r="K8" s="82">
        <v>9.7222223900000002E-2</v>
      </c>
      <c r="L8" s="82">
        <v>0</v>
      </c>
      <c r="M8" s="82">
        <v>0.35</v>
      </c>
      <c r="N8" s="82">
        <v>-99</v>
      </c>
      <c r="P8" s="70"/>
      <c r="Q8" s="70"/>
      <c r="R8" s="70"/>
    </row>
    <row r="9" spans="1:46" ht="15" customHeight="1" x14ac:dyDescent="0.15">
      <c r="B9" s="1"/>
      <c r="C9" s="82">
        <v>8</v>
      </c>
      <c r="D9"/>
      <c r="E9" s="171" t="s">
        <v>199</v>
      </c>
      <c r="F9" s="82">
        <v>0</v>
      </c>
      <c r="G9" s="82">
        <v>1.01473832</v>
      </c>
      <c r="H9" s="82">
        <v>1.2</v>
      </c>
      <c r="I9" s="82">
        <v>12.371</v>
      </c>
      <c r="J9" s="82">
        <v>0.99</v>
      </c>
      <c r="K9" s="82">
        <v>9.7001050000000005E-2</v>
      </c>
      <c r="L9" s="82">
        <v>0</v>
      </c>
      <c r="M9" s="82">
        <v>0.35</v>
      </c>
      <c r="N9" s="82">
        <v>-99</v>
      </c>
      <c r="P9" s="70"/>
      <c r="Q9" s="70"/>
      <c r="R9" s="70"/>
    </row>
    <row r="10" spans="1:46" ht="15" customHeight="1" x14ac:dyDescent="0.15">
      <c r="B10" s="1"/>
      <c r="C10" s="82">
        <v>9</v>
      </c>
      <c r="D10"/>
      <c r="E10" s="171" t="s">
        <v>200</v>
      </c>
      <c r="F10" s="82">
        <v>0</v>
      </c>
      <c r="G10" s="82">
        <v>5.5549999999999997</v>
      </c>
      <c r="H10" s="82">
        <v>1.3</v>
      </c>
      <c r="I10" s="82">
        <v>13</v>
      </c>
      <c r="J10" s="82">
        <v>0.67787653199999998</v>
      </c>
      <c r="K10" s="82">
        <v>9.9999993999999995E-2</v>
      </c>
      <c r="L10" s="82">
        <v>0</v>
      </c>
      <c r="M10" s="82">
        <v>0.35</v>
      </c>
      <c r="N10" s="82">
        <v>-99</v>
      </c>
    </row>
    <row r="11" spans="1:46" ht="15" customHeight="1" x14ac:dyDescent="0.15">
      <c r="C11" s="82">
        <v>10</v>
      </c>
      <c r="D11"/>
      <c r="E11" s="171" t="s">
        <v>201</v>
      </c>
      <c r="F11" s="82">
        <v>0</v>
      </c>
      <c r="G11" s="82">
        <v>0.36399999999999999</v>
      </c>
      <c r="H11" s="82">
        <v>1</v>
      </c>
      <c r="I11" s="82">
        <v>10</v>
      </c>
      <c r="J11" s="82">
        <v>0.75930580000000003</v>
      </c>
      <c r="K11" s="82">
        <v>0.1</v>
      </c>
      <c r="L11" s="82">
        <v>0</v>
      </c>
      <c r="M11" s="82">
        <v>0.35</v>
      </c>
      <c r="N11" s="82">
        <v>-99</v>
      </c>
    </row>
    <row r="12" spans="1:46" ht="15" customHeight="1" x14ac:dyDescent="0.15">
      <c r="C12" s="82">
        <v>11</v>
      </c>
      <c r="D12"/>
      <c r="E12" s="171" t="s">
        <v>202</v>
      </c>
      <c r="F12" s="82">
        <v>0</v>
      </c>
      <c r="G12" s="82">
        <v>0.28399999999999997</v>
      </c>
      <c r="H12" s="82">
        <v>0.8</v>
      </c>
      <c r="I12" s="82">
        <v>8</v>
      </c>
      <c r="J12" s="82">
        <v>0.86938434799999997</v>
      </c>
      <c r="K12" s="82">
        <v>0.1</v>
      </c>
      <c r="L12" s="82">
        <v>0</v>
      </c>
      <c r="M12" s="82">
        <v>0.2</v>
      </c>
      <c r="N12" s="82">
        <v>-99</v>
      </c>
    </row>
    <row r="13" spans="1:46" ht="15" customHeight="1" x14ac:dyDescent="0.15">
      <c r="C13" s="82">
        <v>12</v>
      </c>
      <c r="D13"/>
      <c r="E13" s="171" t="s">
        <v>203</v>
      </c>
      <c r="F13" s="82">
        <v>0</v>
      </c>
      <c r="G13" s="82">
        <v>0.48619595199999999</v>
      </c>
      <c r="H13" s="82">
        <v>1.2</v>
      </c>
      <c r="I13" s="82">
        <v>22.206340000000001</v>
      </c>
      <c r="J13" s="82">
        <v>0.35792225599999999</v>
      </c>
      <c r="K13" s="82">
        <v>5.4038620000000002E-2</v>
      </c>
      <c r="L13" s="82">
        <v>0</v>
      </c>
      <c r="M13" s="82">
        <v>0.35</v>
      </c>
      <c r="N13" s="82">
        <v>-99</v>
      </c>
    </row>
    <row r="14" spans="1:46" ht="15" customHeight="1" x14ac:dyDescent="0.15">
      <c r="C14" s="82">
        <v>13</v>
      </c>
      <c r="D14"/>
      <c r="E14" s="171" t="s">
        <v>204</v>
      </c>
      <c r="F14" s="82">
        <v>0</v>
      </c>
      <c r="G14" s="82">
        <v>1.6179996699999999</v>
      </c>
      <c r="H14" s="82">
        <v>1.5</v>
      </c>
      <c r="I14" s="82">
        <v>10.000001900000001</v>
      </c>
      <c r="J14" s="82">
        <v>0.54163366599999996</v>
      </c>
      <c r="K14" s="82">
        <v>0.14999997600000001</v>
      </c>
      <c r="L14" s="82">
        <v>0</v>
      </c>
      <c r="M14" s="82">
        <v>0.3</v>
      </c>
      <c r="N14" s="82">
        <v>-99</v>
      </c>
    </row>
    <row r="15" spans="1:46" ht="15" customHeight="1" x14ac:dyDescent="0.15">
      <c r="C15" s="82">
        <v>14</v>
      </c>
      <c r="D15"/>
      <c r="E15" s="171" t="s">
        <v>205</v>
      </c>
      <c r="F15" s="82">
        <v>0</v>
      </c>
      <c r="G15" s="82">
        <v>6.97517633</v>
      </c>
      <c r="H15" s="82">
        <v>1.2</v>
      </c>
      <c r="I15" s="82">
        <v>12</v>
      </c>
      <c r="J15" s="82">
        <v>0.99</v>
      </c>
      <c r="K15" s="82">
        <v>0.1</v>
      </c>
      <c r="L15" s="82">
        <v>0</v>
      </c>
      <c r="M15" s="82">
        <v>0.35</v>
      </c>
      <c r="N15" s="82">
        <v>-99</v>
      </c>
    </row>
    <row r="16" spans="1:46" ht="15" customHeight="1" x14ac:dyDescent="0.15">
      <c r="C16" s="82">
        <v>15</v>
      </c>
      <c r="D16"/>
      <c r="E16" s="171" t="s">
        <v>206</v>
      </c>
      <c r="F16" s="82">
        <v>0</v>
      </c>
      <c r="G16" s="82">
        <v>0.14248265299999999</v>
      </c>
      <c r="H16" s="82">
        <v>0.5</v>
      </c>
      <c r="I16" s="82">
        <v>5</v>
      </c>
      <c r="J16" s="82">
        <v>0.99</v>
      </c>
      <c r="K16" s="82">
        <v>0.1</v>
      </c>
      <c r="L16" s="82">
        <v>0</v>
      </c>
      <c r="M16" s="82">
        <v>0.2</v>
      </c>
      <c r="N16" s="82">
        <v>-99</v>
      </c>
    </row>
    <row r="17" spans="1:22" ht="15" customHeight="1" x14ac:dyDescent="0.15">
      <c r="C17" s="82">
        <v>16</v>
      </c>
      <c r="D17"/>
      <c r="E17" s="171" t="s">
        <v>207</v>
      </c>
      <c r="F17" s="82">
        <v>0</v>
      </c>
      <c r="G17" s="82">
        <v>0.13100000000000001</v>
      </c>
      <c r="H17" s="82">
        <v>0.49299999999999999</v>
      </c>
      <c r="I17" s="82">
        <v>4.93</v>
      </c>
      <c r="J17" s="82">
        <v>0.89482414700000001</v>
      </c>
      <c r="K17" s="82">
        <v>0.1</v>
      </c>
      <c r="L17" s="82">
        <v>0</v>
      </c>
      <c r="M17" s="82">
        <v>0.2</v>
      </c>
      <c r="N17" s="82">
        <v>-99</v>
      </c>
      <c r="V17" s="1" t="s">
        <v>30</v>
      </c>
    </row>
    <row r="18" spans="1:22" ht="15" customHeight="1" x14ac:dyDescent="0.15">
      <c r="C18" s="82">
        <v>17</v>
      </c>
      <c r="D18"/>
      <c r="E18" s="171" t="s">
        <v>208</v>
      </c>
      <c r="F18" s="82">
        <v>0</v>
      </c>
      <c r="G18" s="82">
        <v>1.3640000000000001</v>
      </c>
      <c r="H18" s="82">
        <v>3.5</v>
      </c>
      <c r="I18" s="82">
        <v>10</v>
      </c>
      <c r="J18" s="82">
        <v>0.82280489999999995</v>
      </c>
      <c r="K18" s="82">
        <v>0.35</v>
      </c>
      <c r="L18" s="82">
        <v>0</v>
      </c>
      <c r="M18" s="82">
        <v>0.2</v>
      </c>
      <c r="N18" s="82">
        <v>-99</v>
      </c>
      <c r="V18" s="1"/>
    </row>
    <row r="19" spans="1:22" ht="15" customHeight="1" x14ac:dyDescent="0.15">
      <c r="C19" s="82">
        <v>18</v>
      </c>
      <c r="D19"/>
      <c r="E19" s="171" t="s">
        <v>209</v>
      </c>
      <c r="F19" s="82">
        <v>0</v>
      </c>
      <c r="G19" s="82">
        <v>0.502446532</v>
      </c>
      <c r="H19" s="82">
        <v>2.125</v>
      </c>
      <c r="I19" s="82">
        <v>15.68333</v>
      </c>
      <c r="J19" s="82">
        <v>0.98321425900000003</v>
      </c>
      <c r="K19" s="82">
        <v>0.13549418699999999</v>
      </c>
      <c r="L19" s="82">
        <v>0</v>
      </c>
      <c r="M19" s="82">
        <v>0.35</v>
      </c>
      <c r="N19" s="82">
        <v>-99</v>
      </c>
    </row>
    <row r="20" spans="1:22" ht="15" customHeight="1" thickBot="1" x14ac:dyDescent="0.2">
      <c r="C20" s="82">
        <v>19</v>
      </c>
      <c r="D20"/>
      <c r="E20" s="171" t="s">
        <v>210</v>
      </c>
      <c r="F20" s="82">
        <v>0</v>
      </c>
      <c r="G20" s="82">
        <v>0.82300019999999996</v>
      </c>
      <c r="H20" s="82">
        <v>0.8</v>
      </c>
      <c r="I20" s="82">
        <v>4.3999990000000002</v>
      </c>
      <c r="J20" s="82">
        <v>0.75809300000000002</v>
      </c>
      <c r="K20" s="82">
        <v>0.181818217</v>
      </c>
      <c r="L20" s="82">
        <v>0</v>
      </c>
      <c r="M20" s="82">
        <v>0.2</v>
      </c>
      <c r="N20" s="82">
        <v>-99</v>
      </c>
    </row>
    <row r="21" spans="1:22" ht="15" customHeight="1" thickBot="1" x14ac:dyDescent="0.2">
      <c r="A21" s="46" t="s">
        <v>137</v>
      </c>
      <c r="B21" s="100"/>
      <c r="C21" s="82">
        <v>20</v>
      </c>
      <c r="D21"/>
      <c r="E21" s="171" t="s">
        <v>211</v>
      </c>
      <c r="F21" s="82">
        <v>0</v>
      </c>
      <c r="G21" s="82">
        <v>1.29322922</v>
      </c>
      <c r="H21" s="82">
        <v>2.5</v>
      </c>
      <c r="I21" s="82">
        <v>18.291563</v>
      </c>
      <c r="J21" s="82">
        <v>0.9947414</v>
      </c>
      <c r="K21" s="82">
        <v>0.13667503</v>
      </c>
      <c r="L21" s="82">
        <v>0</v>
      </c>
      <c r="M21" s="82">
        <v>0.35</v>
      </c>
      <c r="N21" s="82">
        <v>-99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1" t="s">
        <v>212</v>
      </c>
      <c r="F22" s="82">
        <v>0</v>
      </c>
      <c r="G22" s="82">
        <v>0.78600043100000005</v>
      </c>
      <c r="H22" s="82">
        <v>0.8</v>
      </c>
      <c r="I22" s="82">
        <v>4.6999974299999998</v>
      </c>
      <c r="J22" s="82">
        <v>0.99956160000000005</v>
      </c>
      <c r="K22" s="82">
        <v>0.17021286499999999</v>
      </c>
      <c r="L22" s="82">
        <v>0</v>
      </c>
      <c r="M22" s="82">
        <v>0.2</v>
      </c>
      <c r="N22" s="82">
        <v>-99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1" t="s">
        <v>213</v>
      </c>
      <c r="F23" s="82">
        <v>0</v>
      </c>
      <c r="G23" s="82">
        <v>1.4361176499999999</v>
      </c>
      <c r="H23" s="82">
        <v>0.7</v>
      </c>
      <c r="I23" s="82">
        <v>3.5</v>
      </c>
      <c r="J23" s="82">
        <v>0.99</v>
      </c>
      <c r="K23" s="82">
        <v>0.2</v>
      </c>
      <c r="L23" s="82">
        <v>0</v>
      </c>
      <c r="M23" s="82">
        <v>0.2</v>
      </c>
      <c r="N23" s="82">
        <v>-99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1" t="s">
        <v>214</v>
      </c>
      <c r="F24" s="82">
        <v>0</v>
      </c>
      <c r="G24" s="82">
        <v>3.68594146</v>
      </c>
      <c r="H24" s="82">
        <v>0.7</v>
      </c>
      <c r="I24" s="82">
        <v>3.5</v>
      </c>
      <c r="J24" s="82">
        <v>0.99</v>
      </c>
      <c r="K24" s="82">
        <v>0.2</v>
      </c>
      <c r="L24" s="82">
        <v>0</v>
      </c>
      <c r="M24" s="82">
        <v>0.2</v>
      </c>
      <c r="N24" s="82">
        <v>-99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1" t="s">
        <v>215</v>
      </c>
      <c r="F25" s="82">
        <v>0</v>
      </c>
      <c r="G25" s="82">
        <v>0.58199999999999996</v>
      </c>
      <c r="H25" s="82">
        <v>0.5</v>
      </c>
      <c r="I25" s="82">
        <v>4.5449999999999999</v>
      </c>
      <c r="J25" s="82">
        <v>0.99319243400000001</v>
      </c>
      <c r="K25" s="82">
        <v>0.110011</v>
      </c>
      <c r="L25" s="82">
        <v>0</v>
      </c>
      <c r="M25" s="82">
        <v>0.2</v>
      </c>
      <c r="N25" s="82">
        <v>-99</v>
      </c>
    </row>
    <row r="26" spans="1:22" ht="15" customHeight="1" x14ac:dyDescent="0.15">
      <c r="A26" s="105" t="s">
        <v>140</v>
      </c>
      <c r="C26" s="82">
        <v>25</v>
      </c>
      <c r="D26"/>
      <c r="E26" s="171" t="s">
        <v>216</v>
      </c>
      <c r="F26" s="82">
        <v>0</v>
      </c>
      <c r="G26" s="82">
        <v>0.873</v>
      </c>
      <c r="H26" s="82">
        <v>1</v>
      </c>
      <c r="I26" s="82">
        <v>10</v>
      </c>
      <c r="J26" s="82">
        <v>0.88494159999999999</v>
      </c>
      <c r="K26" s="82">
        <v>0.1</v>
      </c>
      <c r="L26" s="82">
        <v>0</v>
      </c>
      <c r="M26" s="82">
        <v>0.2</v>
      </c>
      <c r="N26" s="82">
        <v>-99</v>
      </c>
    </row>
    <row r="27" spans="1:22" ht="15" customHeight="1" x14ac:dyDescent="0.15">
      <c r="C27" s="82">
        <v>26</v>
      </c>
      <c r="D27"/>
      <c r="E27" s="171" t="s">
        <v>217</v>
      </c>
      <c r="F27" s="82">
        <v>0</v>
      </c>
      <c r="G27" s="82">
        <v>4.4999999999999998E-2</v>
      </c>
      <c r="H27" s="82">
        <v>0.5</v>
      </c>
      <c r="I27" s="82">
        <v>5</v>
      </c>
      <c r="J27" s="82">
        <v>0</v>
      </c>
      <c r="K27" s="82">
        <v>0.1</v>
      </c>
      <c r="L27" s="82">
        <v>0</v>
      </c>
      <c r="M27" s="82">
        <v>0.2</v>
      </c>
      <c r="N27" s="82">
        <v>-99</v>
      </c>
    </row>
    <row r="28" spans="1:22" ht="15" customHeight="1" x14ac:dyDescent="0.15">
      <c r="C28" s="82">
        <v>27</v>
      </c>
      <c r="D28"/>
      <c r="E28" s="171" t="s">
        <v>218</v>
      </c>
      <c r="F28" s="82">
        <v>0</v>
      </c>
      <c r="G28" s="82">
        <v>0.13300000000000001</v>
      </c>
      <c r="H28" s="82">
        <v>0.25</v>
      </c>
      <c r="I28" s="82">
        <v>19.306000000000001</v>
      </c>
      <c r="J28" s="82">
        <v>0.46436090000000002</v>
      </c>
      <c r="K28" s="82">
        <v>1.29493419E-2</v>
      </c>
      <c r="L28" s="82">
        <v>0</v>
      </c>
      <c r="M28" s="82">
        <v>0.2</v>
      </c>
      <c r="N28" s="82">
        <v>-99</v>
      </c>
    </row>
    <row r="29" spans="1:22" customFormat="1" ht="15" customHeight="1" x14ac:dyDescent="0.15">
      <c r="C29" s="82">
        <v>28</v>
      </c>
      <c r="E29" s="171" t="s">
        <v>219</v>
      </c>
      <c r="F29" s="82">
        <v>0</v>
      </c>
      <c r="G29" s="82">
        <v>7.3999999999999996E-2</v>
      </c>
      <c r="H29" s="82">
        <v>0.15</v>
      </c>
      <c r="I29" s="82">
        <v>10</v>
      </c>
      <c r="J29" s="82">
        <v>0.81081080000000005</v>
      </c>
      <c r="K29" s="82">
        <v>1.5000000600000001E-2</v>
      </c>
      <c r="L29" s="82">
        <v>0</v>
      </c>
      <c r="M29" s="82">
        <v>0.21</v>
      </c>
      <c r="N29" s="82">
        <v>-99</v>
      </c>
    </row>
    <row r="30" spans="1:22" customFormat="1" ht="15" customHeight="1" x14ac:dyDescent="0.15">
      <c r="C30" s="82">
        <v>29</v>
      </c>
      <c r="E30" s="171" t="s">
        <v>220</v>
      </c>
      <c r="F30" s="82">
        <v>0</v>
      </c>
      <c r="G30" s="82">
        <v>1.4999999999999999E-2</v>
      </c>
      <c r="H30" s="82">
        <v>0.123</v>
      </c>
      <c r="I30" s="82">
        <v>123</v>
      </c>
      <c r="J30" s="82">
        <v>9.9999993999999995E-2</v>
      </c>
      <c r="K30" s="82">
        <v>1E-3</v>
      </c>
      <c r="L30" s="82">
        <v>0</v>
      </c>
      <c r="M30" s="82">
        <v>0.26</v>
      </c>
      <c r="N30" s="82">
        <v>-99</v>
      </c>
    </row>
    <row r="31" spans="1:22" customFormat="1" ht="15" customHeight="1" x14ac:dyDescent="0.15">
      <c r="C31" s="82">
        <v>30</v>
      </c>
      <c r="E31" s="171" t="s">
        <v>221</v>
      </c>
      <c r="F31" s="82">
        <v>0</v>
      </c>
      <c r="G31" s="82">
        <v>10.404431300000001</v>
      </c>
      <c r="H31" s="82">
        <v>4</v>
      </c>
      <c r="I31" s="82">
        <v>33</v>
      </c>
      <c r="J31" s="82">
        <v>0.95</v>
      </c>
      <c r="K31" s="82">
        <v>0.121212125</v>
      </c>
      <c r="L31" s="82">
        <v>0</v>
      </c>
      <c r="M31" s="82">
        <v>0.1</v>
      </c>
      <c r="N31" s="82">
        <v>-99</v>
      </c>
    </row>
    <row r="32" spans="1:22" customFormat="1" ht="15" customHeight="1" x14ac:dyDescent="0.15">
      <c r="C32" s="82">
        <v>31</v>
      </c>
      <c r="E32" s="171" t="s">
        <v>222</v>
      </c>
      <c r="F32" s="82">
        <v>0</v>
      </c>
      <c r="G32" s="82">
        <v>49.421050000000001</v>
      </c>
      <c r="H32" s="82">
        <v>1.2</v>
      </c>
      <c r="I32" s="82">
        <v>10</v>
      </c>
      <c r="J32" s="82">
        <v>0.95</v>
      </c>
      <c r="K32" s="82">
        <v>0.12000000500000001</v>
      </c>
      <c r="L32" s="82">
        <v>0</v>
      </c>
      <c r="M32" s="82">
        <v>0.1</v>
      </c>
      <c r="N32" s="82">
        <v>-99</v>
      </c>
    </row>
    <row r="33" spans="3:14" customFormat="1" ht="15" customHeight="1" x14ac:dyDescent="0.15">
      <c r="C33" s="82">
        <v>32</v>
      </c>
      <c r="E33" s="171" t="s">
        <v>223</v>
      </c>
      <c r="F33" s="82">
        <v>2</v>
      </c>
      <c r="G33" s="82">
        <v>50</v>
      </c>
      <c r="H33" s="82">
        <v>0</v>
      </c>
      <c r="I33" s="82">
        <v>0</v>
      </c>
      <c r="J33" s="82">
        <v>0.24080558099999999</v>
      </c>
      <c r="K33" s="82">
        <v>0</v>
      </c>
      <c r="L33" s="82">
        <v>0</v>
      </c>
      <c r="M33" s="82">
        <v>0</v>
      </c>
      <c r="N33" s="82">
        <v>0</v>
      </c>
    </row>
    <row r="34" spans="3:14" customFormat="1" ht="15" customHeight="1" x14ac:dyDescent="0.15">
      <c r="C34" s="82">
        <v>33</v>
      </c>
      <c r="E34" s="171" t="s">
        <v>224</v>
      </c>
      <c r="F34" s="82">
        <v>2</v>
      </c>
      <c r="G34" s="82">
        <v>5</v>
      </c>
      <c r="H34" s="82">
        <v>0</v>
      </c>
      <c r="I34" s="82">
        <v>0</v>
      </c>
      <c r="J34" s="82">
        <v>0</v>
      </c>
      <c r="K34" s="82">
        <v>0</v>
      </c>
      <c r="L34" s="82">
        <v>0</v>
      </c>
      <c r="M34" s="82">
        <v>0</v>
      </c>
      <c r="N34" s="82">
        <v>0</v>
      </c>
    </row>
    <row r="35" spans="3:14" customFormat="1" ht="15" customHeight="1" x14ac:dyDescent="0.15">
      <c r="C35" s="82">
        <v>34</v>
      </c>
      <c r="E35" s="171" t="s">
        <v>225</v>
      </c>
      <c r="F35" s="82">
        <v>3</v>
      </c>
      <c r="G35" s="82">
        <v>0</v>
      </c>
      <c r="H35" s="82">
        <v>0</v>
      </c>
      <c r="I35" s="82">
        <v>0</v>
      </c>
      <c r="J35" s="82">
        <v>0</v>
      </c>
      <c r="K35" s="82">
        <v>0</v>
      </c>
      <c r="L35" s="82">
        <v>0</v>
      </c>
      <c r="M35" s="82">
        <v>0</v>
      </c>
      <c r="N35" s="82">
        <v>0</v>
      </c>
    </row>
    <row r="36" spans="3:14" customFormat="1" ht="15" customHeight="1" x14ac:dyDescent="0.15">
      <c r="C36" s="82">
        <v>35</v>
      </c>
      <c r="E36" s="171" t="s">
        <v>226</v>
      </c>
      <c r="F36" s="82">
        <v>3</v>
      </c>
      <c r="G36" s="82">
        <v>0</v>
      </c>
      <c r="H36" s="82">
        <v>0</v>
      </c>
      <c r="I36" s="82">
        <v>0</v>
      </c>
      <c r="J36" s="82">
        <v>0</v>
      </c>
      <c r="K36" s="82">
        <v>0</v>
      </c>
      <c r="L36" s="82">
        <v>0</v>
      </c>
      <c r="M36" s="82">
        <v>0</v>
      </c>
      <c r="N36" s="82">
        <v>0</v>
      </c>
    </row>
    <row r="37" spans="3:14" customFormat="1" ht="15" customHeight="1" x14ac:dyDescent="0.15">
      <c r="C37" s="82">
        <v>36</v>
      </c>
      <c r="E37" s="171" t="s">
        <v>227</v>
      </c>
      <c r="F37" s="82">
        <v>3</v>
      </c>
      <c r="G37" s="82">
        <v>0</v>
      </c>
      <c r="H37" s="82">
        <v>0</v>
      </c>
      <c r="I37" s="82">
        <v>0</v>
      </c>
      <c r="J37" s="82">
        <v>0</v>
      </c>
      <c r="K37" s="82">
        <v>0</v>
      </c>
      <c r="L37" s="82">
        <v>0</v>
      </c>
      <c r="M37" s="82">
        <v>0</v>
      </c>
      <c r="N37" s="82">
        <v>0</v>
      </c>
    </row>
    <row r="38" spans="3:14" customFormat="1" ht="15" customHeight="1" x14ac:dyDescent="0.15">
      <c r="C38" s="82">
        <v>37</v>
      </c>
      <c r="E38" s="171" t="s">
        <v>228</v>
      </c>
      <c r="F38" s="82">
        <v>3</v>
      </c>
      <c r="G38" s="82">
        <v>0</v>
      </c>
      <c r="H38" s="82">
        <v>0</v>
      </c>
      <c r="I38" s="82">
        <v>0</v>
      </c>
      <c r="J38" s="82">
        <v>0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71" t="s">
        <v>229</v>
      </c>
      <c r="F39" s="82">
        <v>3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>
      <c r="C40" s="82">
        <v>39</v>
      </c>
      <c r="E40" s="171" t="s">
        <v>230</v>
      </c>
      <c r="F40" s="82">
        <v>3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0</v>
      </c>
      <c r="M40" s="82">
        <v>0</v>
      </c>
      <c r="N40" s="82">
        <v>0</v>
      </c>
    </row>
    <row r="41" spans="3:14" customFormat="1" ht="15" customHeight="1" x14ac:dyDescent="0.15">
      <c r="C41" s="82">
        <v>40</v>
      </c>
      <c r="E41" s="171" t="s">
        <v>231</v>
      </c>
      <c r="F41" s="82">
        <v>3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0</v>
      </c>
      <c r="N41" s="82">
        <v>0</v>
      </c>
    </row>
    <row r="42" spans="3:14" customFormat="1" ht="15" customHeight="1" x14ac:dyDescent="0.15">
      <c r="C42" s="82">
        <v>41</v>
      </c>
      <c r="E42" s="171" t="s">
        <v>232</v>
      </c>
      <c r="F42" s="82">
        <v>3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0</v>
      </c>
      <c r="N42" s="82">
        <v>0</v>
      </c>
    </row>
    <row r="43" spans="3:14" customFormat="1" ht="15" customHeight="1" x14ac:dyDescent="0.15">
      <c r="C43" s="82">
        <v>42</v>
      </c>
      <c r="E43" s="171" t="s">
        <v>233</v>
      </c>
      <c r="F43" s="82">
        <v>3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</row>
    <row r="44" spans="3:14" customFormat="1" ht="15" customHeight="1" x14ac:dyDescent="0.15">
      <c r="C44" s="82">
        <v>43</v>
      </c>
      <c r="E44" s="171" t="s">
        <v>234</v>
      </c>
      <c r="F44" s="82">
        <v>3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0</v>
      </c>
      <c r="M44" s="82">
        <v>0</v>
      </c>
      <c r="N44" s="82">
        <v>0</v>
      </c>
    </row>
    <row r="45" spans="3:14" customFormat="1" ht="15" customHeight="1" x14ac:dyDescent="0.15">
      <c r="C45" s="82">
        <v>44</v>
      </c>
      <c r="E45" s="171" t="s">
        <v>235</v>
      </c>
      <c r="F45" s="82">
        <v>3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0</v>
      </c>
      <c r="M45" s="82">
        <v>0</v>
      </c>
      <c r="N45" s="82">
        <v>0</v>
      </c>
    </row>
    <row r="46" spans="3:14" customFormat="1" ht="15" customHeight="1" x14ac:dyDescent="0.15">
      <c r="C46" s="82">
        <v>45</v>
      </c>
      <c r="E46" s="171" t="s">
        <v>236</v>
      </c>
      <c r="F46" s="82">
        <v>3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0</v>
      </c>
      <c r="M46" s="82">
        <v>0</v>
      </c>
      <c r="N46" s="82">
        <v>0</v>
      </c>
    </row>
    <row r="47" spans="3:14" customFormat="1" ht="15" customHeight="1" x14ac:dyDescent="0.15">
      <c r="C47" s="82">
        <v>46</v>
      </c>
      <c r="E47" s="171" t="s">
        <v>237</v>
      </c>
      <c r="F47" s="82">
        <v>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0</v>
      </c>
      <c r="M47" s="82">
        <v>0</v>
      </c>
      <c r="N47" s="82">
        <v>0</v>
      </c>
    </row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8" bestFit="1" customWidth="1"/>
    <col min="2" max="3" width="2.33203125" style="138" bestFit="1" customWidth="1"/>
    <col min="4" max="4" width="4.83203125" style="138" bestFit="1" customWidth="1"/>
    <col min="5" max="5" width="3.83203125" style="138" bestFit="1" customWidth="1"/>
    <col min="6" max="6" width="5.83203125" style="138" bestFit="1" customWidth="1"/>
    <col min="7" max="9" width="4.83203125" style="138" bestFit="1" customWidth="1"/>
    <col min="10" max="10" width="3.83203125" style="138" bestFit="1" customWidth="1"/>
    <col min="11" max="13" width="4.83203125" style="138" bestFit="1" customWidth="1"/>
    <col min="14" max="14" width="5.83203125" style="138" bestFit="1" customWidth="1"/>
    <col min="15" max="15" width="3.83203125" style="138" bestFit="1" customWidth="1"/>
    <col min="16" max="17" width="15.83203125" style="138" bestFit="1" customWidth="1"/>
    <col min="18" max="20" width="5.83203125" style="138" bestFit="1" customWidth="1"/>
    <col min="21" max="21" width="13.83203125" style="138" bestFit="1" customWidth="1"/>
    <col min="22" max="22" width="6.83203125" style="138" bestFit="1" customWidth="1"/>
    <col min="23" max="23" width="14.83203125" style="138" bestFit="1" customWidth="1"/>
    <col min="24" max="29" width="5.83203125" style="138" bestFit="1" customWidth="1"/>
    <col min="30" max="30" width="13.83203125" style="138" customWidth="1"/>
    <col min="31" max="32" width="4.83203125" style="138" customWidth="1"/>
    <col min="33" max="34" width="2.33203125" style="138" customWidth="1"/>
    <col min="35" max="16384" width="8.83203125" style="138"/>
  </cols>
  <sheetData>
    <row r="1" spans="1:34" x14ac:dyDescent="0.15">
      <c r="A1" s="137" t="s">
        <v>19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 s="173" t="s">
        <v>211</v>
      </c>
      <c r="V1" s="173" t="s">
        <v>212</v>
      </c>
      <c r="W1" s="173" t="s">
        <v>213</v>
      </c>
      <c r="X1" s="173" t="s">
        <v>214</v>
      </c>
      <c r="Y1" s="173" t="s">
        <v>215</v>
      </c>
      <c r="Z1" s="173" t="s">
        <v>216</v>
      </c>
      <c r="AA1" s="173" t="s">
        <v>217</v>
      </c>
      <c r="AB1" s="173" t="s">
        <v>218</v>
      </c>
      <c r="AC1" s="173" t="s">
        <v>219</v>
      </c>
      <c r="AD1" s="173" t="s">
        <v>220</v>
      </c>
      <c r="AE1" s="173" t="s">
        <v>221</v>
      </c>
      <c r="AF1" s="173" t="s">
        <v>222</v>
      </c>
      <c r="AG1" s="173" t="s">
        <v>223</v>
      </c>
      <c r="AH1" s="173" t="s">
        <v>224</v>
      </c>
    </row>
    <row r="2" spans="1:34" customFormat="1" x14ac:dyDescent="0.15">
      <c r="A2" s="172" t="s">
        <v>192</v>
      </c>
      <c r="B2" s="138">
        <v>0</v>
      </c>
      <c r="C2" s="138">
        <v>0</v>
      </c>
      <c r="D2" s="138">
        <v>0.4</v>
      </c>
      <c r="E2" s="138">
        <v>0.5</v>
      </c>
      <c r="F2" s="138">
        <v>0.33300000000000002</v>
      </c>
      <c r="G2" s="138">
        <v>0</v>
      </c>
      <c r="H2" s="138">
        <v>0.05</v>
      </c>
      <c r="I2" s="138">
        <v>0.32</v>
      </c>
      <c r="J2" s="138">
        <v>0</v>
      </c>
      <c r="K2" s="138">
        <v>0</v>
      </c>
      <c r="L2" s="138">
        <v>0</v>
      </c>
      <c r="M2" s="138">
        <v>0</v>
      </c>
      <c r="N2" s="138">
        <v>0</v>
      </c>
      <c r="O2" s="138">
        <v>0</v>
      </c>
      <c r="P2" s="138">
        <v>0</v>
      </c>
      <c r="Q2" s="138">
        <v>0</v>
      </c>
      <c r="R2" s="138">
        <v>0</v>
      </c>
      <c r="S2" s="138">
        <v>0</v>
      </c>
      <c r="T2" s="138">
        <v>0</v>
      </c>
      <c r="U2" s="138">
        <v>0</v>
      </c>
      <c r="V2" s="138">
        <v>0</v>
      </c>
      <c r="W2" s="138">
        <v>0</v>
      </c>
      <c r="X2" s="138">
        <v>0</v>
      </c>
      <c r="Y2" s="138">
        <v>0</v>
      </c>
      <c r="Z2" s="138">
        <v>0</v>
      </c>
      <c r="AA2" s="138">
        <v>0</v>
      </c>
      <c r="AB2" s="138">
        <v>0</v>
      </c>
      <c r="AC2" s="138">
        <v>0</v>
      </c>
      <c r="AD2" s="138">
        <v>0</v>
      </c>
      <c r="AE2" s="138">
        <v>0</v>
      </c>
      <c r="AF2" s="138">
        <v>0</v>
      </c>
      <c r="AG2" s="138">
        <v>0</v>
      </c>
      <c r="AH2" s="138">
        <v>0</v>
      </c>
    </row>
    <row r="3" spans="1:34" customFormat="1" x14ac:dyDescent="0.15">
      <c r="A3" s="172" t="s">
        <v>193</v>
      </c>
      <c r="B3" s="138">
        <v>0</v>
      </c>
      <c r="C3" s="138">
        <v>0</v>
      </c>
      <c r="D3" s="138">
        <v>0</v>
      </c>
      <c r="E3" s="138">
        <v>0</v>
      </c>
      <c r="F3" s="138">
        <v>0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L3" s="138">
        <v>0</v>
      </c>
      <c r="M3" s="138">
        <v>0</v>
      </c>
      <c r="N3" s="138">
        <v>0</v>
      </c>
      <c r="O3" s="138">
        <v>0</v>
      </c>
      <c r="P3" s="138">
        <v>0</v>
      </c>
      <c r="Q3" s="138">
        <v>0</v>
      </c>
      <c r="R3" s="138">
        <v>0</v>
      </c>
      <c r="S3" s="138">
        <v>0</v>
      </c>
      <c r="T3" s="138">
        <v>0</v>
      </c>
      <c r="U3" s="138">
        <v>0</v>
      </c>
      <c r="V3" s="138">
        <v>0</v>
      </c>
      <c r="W3" s="138">
        <v>0</v>
      </c>
      <c r="X3" s="138">
        <v>0</v>
      </c>
      <c r="Y3" s="138">
        <v>0</v>
      </c>
      <c r="Z3" s="138">
        <v>0</v>
      </c>
      <c r="AA3" s="138">
        <v>0</v>
      </c>
      <c r="AB3" s="138">
        <v>0</v>
      </c>
      <c r="AC3" s="138">
        <v>0</v>
      </c>
      <c r="AD3" s="138">
        <v>0</v>
      </c>
      <c r="AE3" s="138">
        <v>0.05</v>
      </c>
      <c r="AF3" s="138">
        <v>0.05</v>
      </c>
      <c r="AG3" s="138">
        <v>0</v>
      </c>
      <c r="AH3" s="138">
        <v>0</v>
      </c>
    </row>
    <row r="4" spans="1:34" customFormat="1" x14ac:dyDescent="0.15">
      <c r="A4" s="172" t="s">
        <v>194</v>
      </c>
      <c r="B4" s="138">
        <v>0</v>
      </c>
      <c r="C4" s="138">
        <v>0</v>
      </c>
      <c r="D4" s="138">
        <v>0.05</v>
      </c>
      <c r="E4" s="138">
        <v>0.5</v>
      </c>
      <c r="F4" s="138">
        <v>0.33300000000000002</v>
      </c>
      <c r="G4" s="138">
        <v>0</v>
      </c>
      <c r="H4" s="138">
        <v>0.04</v>
      </c>
      <c r="I4" s="138">
        <v>0.32</v>
      </c>
      <c r="J4" s="138">
        <v>0</v>
      </c>
      <c r="K4" s="138">
        <v>0</v>
      </c>
      <c r="L4" s="138">
        <v>0</v>
      </c>
      <c r="M4" s="138">
        <v>0</v>
      </c>
      <c r="N4" s="138">
        <v>0</v>
      </c>
      <c r="O4" s="138">
        <v>0</v>
      </c>
      <c r="P4" s="138">
        <v>0</v>
      </c>
      <c r="Q4" s="138">
        <v>0</v>
      </c>
      <c r="R4" s="138">
        <v>0</v>
      </c>
      <c r="S4" s="138">
        <v>0</v>
      </c>
      <c r="T4" s="138">
        <v>0</v>
      </c>
      <c r="U4" s="138">
        <v>0</v>
      </c>
      <c r="V4" s="138">
        <v>0</v>
      </c>
      <c r="W4" s="138">
        <v>0</v>
      </c>
      <c r="X4" s="138">
        <v>0</v>
      </c>
      <c r="Y4" s="138">
        <v>0</v>
      </c>
      <c r="Z4" s="138">
        <v>0</v>
      </c>
      <c r="AA4" s="138">
        <v>0</v>
      </c>
      <c r="AB4" s="138">
        <v>0</v>
      </c>
      <c r="AC4" s="138">
        <v>0</v>
      </c>
      <c r="AD4" s="138">
        <v>0</v>
      </c>
      <c r="AE4" s="138">
        <v>0</v>
      </c>
      <c r="AF4" s="138">
        <v>0</v>
      </c>
      <c r="AG4" s="138">
        <v>0</v>
      </c>
      <c r="AH4" s="138">
        <v>0</v>
      </c>
    </row>
    <row r="5" spans="1:34" customFormat="1" x14ac:dyDescent="0.15">
      <c r="A5" s="172" t="s">
        <v>195</v>
      </c>
      <c r="B5" s="138">
        <v>0</v>
      </c>
      <c r="C5" s="138">
        <v>0</v>
      </c>
      <c r="D5" s="138">
        <v>0</v>
      </c>
      <c r="E5" s="138">
        <v>0</v>
      </c>
      <c r="F5" s="138">
        <v>0.33400000000000002</v>
      </c>
      <c r="G5" s="138">
        <v>0.64</v>
      </c>
      <c r="H5" s="138">
        <v>0.56999999999999995</v>
      </c>
      <c r="I5" s="138">
        <v>0.28999999999999998</v>
      </c>
      <c r="J5" s="138">
        <v>0.6</v>
      </c>
      <c r="K5" s="138">
        <v>0.81</v>
      </c>
      <c r="L5" s="138">
        <v>0.01</v>
      </c>
      <c r="M5" s="138">
        <v>0.75</v>
      </c>
      <c r="N5" s="138">
        <v>0.39</v>
      </c>
      <c r="O5" s="138">
        <v>0.4</v>
      </c>
      <c r="P5" s="138">
        <v>0</v>
      </c>
      <c r="Q5" s="138">
        <v>0</v>
      </c>
      <c r="R5" s="138">
        <v>0</v>
      </c>
      <c r="S5" s="138">
        <v>0</v>
      </c>
      <c r="T5" s="138">
        <v>0</v>
      </c>
      <c r="U5" s="138">
        <v>0</v>
      </c>
      <c r="V5" s="138">
        <v>0</v>
      </c>
      <c r="W5" s="138">
        <v>1.0004001600640256E-2</v>
      </c>
      <c r="X5" s="138">
        <v>0.01</v>
      </c>
      <c r="Y5" s="138">
        <v>0</v>
      </c>
      <c r="Z5" s="138">
        <v>0</v>
      </c>
      <c r="AA5" s="138">
        <v>0</v>
      </c>
      <c r="AB5" s="138">
        <v>0</v>
      </c>
      <c r="AC5" s="138">
        <v>0.03</v>
      </c>
      <c r="AD5" s="138">
        <v>8.9991000899910002E-3</v>
      </c>
      <c r="AE5" s="138">
        <v>0</v>
      </c>
      <c r="AF5" s="138">
        <v>0</v>
      </c>
      <c r="AG5" s="138">
        <v>0</v>
      </c>
      <c r="AH5" s="138">
        <v>0</v>
      </c>
    </row>
    <row r="6" spans="1:34" customFormat="1" x14ac:dyDescent="0.15">
      <c r="A6" s="172" t="s">
        <v>196</v>
      </c>
      <c r="B6" s="138">
        <v>0</v>
      </c>
      <c r="C6" s="138">
        <v>0</v>
      </c>
      <c r="D6" s="138">
        <v>0</v>
      </c>
      <c r="E6" s="138">
        <v>0</v>
      </c>
      <c r="F6" s="138">
        <v>0</v>
      </c>
      <c r="G6" s="138">
        <v>0.12</v>
      </c>
      <c r="H6" s="138">
        <v>0.34</v>
      </c>
      <c r="I6" s="138">
        <v>7.0000000000000007E-2</v>
      </c>
      <c r="J6" s="138">
        <v>0.4</v>
      </c>
      <c r="K6" s="138">
        <v>0.16</v>
      </c>
      <c r="L6" s="138">
        <v>0.8</v>
      </c>
      <c r="M6" s="138">
        <v>0.25</v>
      </c>
      <c r="N6" s="138">
        <v>0.52</v>
      </c>
      <c r="O6" s="138">
        <v>0.6</v>
      </c>
      <c r="P6" s="138">
        <v>0.16999830001699978</v>
      </c>
      <c r="Q6" s="138">
        <v>8.2999999626499996E-2</v>
      </c>
      <c r="R6" s="138">
        <v>0.27</v>
      </c>
      <c r="S6" s="138">
        <v>0.61599999999999999</v>
      </c>
      <c r="T6" s="138">
        <v>4.5999999999999999E-2</v>
      </c>
      <c r="U6" s="138">
        <v>0.76884623075384928</v>
      </c>
      <c r="V6" s="138">
        <v>0.21</v>
      </c>
      <c r="W6" s="138">
        <v>0.64825930372148854</v>
      </c>
      <c r="X6" s="138">
        <v>0.05</v>
      </c>
      <c r="Y6" s="138">
        <v>0</v>
      </c>
      <c r="Z6" s="138">
        <v>0</v>
      </c>
      <c r="AA6" s="138">
        <v>0</v>
      </c>
      <c r="AB6" s="138">
        <v>0</v>
      </c>
      <c r="AC6" s="138">
        <v>0.04</v>
      </c>
      <c r="AD6" s="138">
        <v>9.9990000999900019E-2</v>
      </c>
      <c r="AE6" s="138">
        <v>0</v>
      </c>
      <c r="AF6" s="138">
        <v>0</v>
      </c>
      <c r="AG6" s="138">
        <v>0</v>
      </c>
      <c r="AH6" s="138">
        <v>0</v>
      </c>
    </row>
    <row r="7" spans="1:34" customFormat="1" x14ac:dyDescent="0.15">
      <c r="A7" s="172" t="s">
        <v>197</v>
      </c>
      <c r="B7" s="138">
        <v>0</v>
      </c>
      <c r="C7" s="138">
        <v>0</v>
      </c>
      <c r="D7" s="138">
        <v>0</v>
      </c>
      <c r="E7" s="138">
        <v>0</v>
      </c>
      <c r="F7" s="138">
        <v>0</v>
      </c>
      <c r="G7" s="138">
        <v>0.04</v>
      </c>
      <c r="H7" s="138">
        <v>0</v>
      </c>
      <c r="I7" s="138">
        <v>0</v>
      </c>
      <c r="J7" s="138">
        <v>0</v>
      </c>
      <c r="K7" s="138">
        <v>0.03</v>
      </c>
      <c r="L7" s="138">
        <v>0</v>
      </c>
      <c r="M7" s="138">
        <v>0</v>
      </c>
      <c r="N7" s="138">
        <v>0</v>
      </c>
      <c r="O7" s="138">
        <v>0</v>
      </c>
      <c r="P7" s="138">
        <v>0</v>
      </c>
      <c r="Q7" s="138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  <c r="W7" s="138">
        <v>0</v>
      </c>
      <c r="X7" s="138">
        <v>0</v>
      </c>
      <c r="Y7" s="138">
        <v>0</v>
      </c>
      <c r="Z7" s="138">
        <v>0</v>
      </c>
      <c r="AA7" s="138">
        <v>0</v>
      </c>
      <c r="AB7" s="138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8">
        <v>0</v>
      </c>
    </row>
    <row r="8" spans="1:34" customFormat="1" x14ac:dyDescent="0.15">
      <c r="A8" s="172" t="s">
        <v>198</v>
      </c>
      <c r="B8" s="138">
        <v>0</v>
      </c>
      <c r="C8" s="138">
        <v>0</v>
      </c>
      <c r="D8" s="138">
        <v>0</v>
      </c>
      <c r="E8" s="138">
        <v>0</v>
      </c>
      <c r="F8" s="138">
        <v>0</v>
      </c>
      <c r="G8" s="138">
        <v>0</v>
      </c>
      <c r="H8" s="138">
        <v>0</v>
      </c>
      <c r="I8" s="138">
        <v>0</v>
      </c>
      <c r="J8" s="138">
        <v>0</v>
      </c>
      <c r="K8" s="138">
        <v>0</v>
      </c>
      <c r="L8" s="138">
        <v>0.02</v>
      </c>
      <c r="M8" s="138">
        <v>0</v>
      </c>
      <c r="N8" s="138">
        <v>2.4E-2</v>
      </c>
      <c r="O8" s="138">
        <v>0</v>
      </c>
      <c r="P8" s="138">
        <v>0.47699523004769939</v>
      </c>
      <c r="Q8" s="138">
        <v>0.24999999887499996</v>
      </c>
      <c r="R8" s="138">
        <v>0.05</v>
      </c>
      <c r="S8" s="138">
        <v>0.18</v>
      </c>
      <c r="T8" s="138">
        <v>0.29899999999999999</v>
      </c>
      <c r="U8" s="138">
        <v>8.3983203359328143E-2</v>
      </c>
      <c r="V8" s="138">
        <v>1.9E-3</v>
      </c>
      <c r="W8" s="138">
        <v>1.5006002400960385E-3</v>
      </c>
      <c r="X8" s="138">
        <v>5.0000000000000001E-3</v>
      </c>
      <c r="Y8" s="138">
        <v>1.9999999999999997E-2</v>
      </c>
      <c r="Z8" s="138">
        <v>0</v>
      </c>
      <c r="AA8" s="138">
        <v>0</v>
      </c>
      <c r="AB8" s="138">
        <v>0.25</v>
      </c>
      <c r="AC8" s="138">
        <v>0.3</v>
      </c>
      <c r="AD8" s="138">
        <v>0.39996000399960008</v>
      </c>
      <c r="AE8" s="138">
        <v>0</v>
      </c>
      <c r="AF8" s="138">
        <v>0</v>
      </c>
      <c r="AG8" s="138">
        <v>0</v>
      </c>
      <c r="AH8" s="138">
        <v>0</v>
      </c>
    </row>
    <row r="9" spans="1:34" customFormat="1" x14ac:dyDescent="0.15">
      <c r="A9" s="172" t="s">
        <v>199</v>
      </c>
      <c r="B9" s="138">
        <v>0</v>
      </c>
      <c r="C9" s="138">
        <v>0</v>
      </c>
      <c r="D9" s="138">
        <v>0</v>
      </c>
      <c r="E9" s="138">
        <v>0</v>
      </c>
      <c r="F9" s="138">
        <v>0</v>
      </c>
      <c r="G9" s="138">
        <v>0</v>
      </c>
      <c r="H9" s="138">
        <v>0</v>
      </c>
      <c r="I9" s="138">
        <v>0</v>
      </c>
      <c r="J9" s="138">
        <v>0</v>
      </c>
      <c r="K9" s="138">
        <v>0</v>
      </c>
      <c r="L9" s="138">
        <v>0.01</v>
      </c>
      <c r="M9" s="138">
        <v>0</v>
      </c>
      <c r="N9" s="138">
        <v>0.01</v>
      </c>
      <c r="O9" s="138">
        <v>0</v>
      </c>
      <c r="P9" s="138">
        <v>2.9999700002999959E-2</v>
      </c>
      <c r="Q9" s="138">
        <v>0.14999999932499997</v>
      </c>
      <c r="R9" s="138">
        <v>1E-3</v>
      </c>
      <c r="S9" s="138">
        <v>0.01</v>
      </c>
      <c r="T9" s="138">
        <v>1E-3</v>
      </c>
      <c r="U9" s="138">
        <v>4.9990001999600086E-3</v>
      </c>
      <c r="V9" s="138">
        <v>1E-4</v>
      </c>
      <c r="W9" s="138">
        <v>1.0004001600640257E-4</v>
      </c>
      <c r="X9" s="138">
        <v>0</v>
      </c>
      <c r="Y9" s="138">
        <v>9.9999999999999985E-3</v>
      </c>
      <c r="Z9" s="138">
        <v>0</v>
      </c>
      <c r="AA9" s="138">
        <v>0</v>
      </c>
      <c r="AB9" s="138">
        <v>0.03</v>
      </c>
      <c r="AC9" s="138">
        <v>7.0000000000000007E-2</v>
      </c>
      <c r="AD9" s="138">
        <v>4.999500049995001E-2</v>
      </c>
      <c r="AE9" s="138">
        <v>0</v>
      </c>
      <c r="AF9" s="138">
        <v>0</v>
      </c>
      <c r="AG9" s="138">
        <v>0</v>
      </c>
      <c r="AH9" s="138">
        <v>0</v>
      </c>
    </row>
    <row r="10" spans="1:34" customFormat="1" x14ac:dyDescent="0.15">
      <c r="A10" s="172" t="s">
        <v>200</v>
      </c>
      <c r="B10" s="138">
        <v>0</v>
      </c>
      <c r="C10" s="138">
        <v>0</v>
      </c>
      <c r="D10" s="138">
        <v>0</v>
      </c>
      <c r="E10" s="138">
        <v>0</v>
      </c>
      <c r="F10" s="138">
        <v>0</v>
      </c>
      <c r="G10" s="138">
        <v>0</v>
      </c>
      <c r="H10" s="138">
        <v>0</v>
      </c>
      <c r="I10" s="138">
        <v>0</v>
      </c>
      <c r="J10" s="138">
        <v>0</v>
      </c>
      <c r="K10" s="138">
        <v>0</v>
      </c>
      <c r="L10" s="138">
        <v>0.01</v>
      </c>
      <c r="M10" s="138">
        <v>0</v>
      </c>
      <c r="N10" s="138">
        <v>5.6000000000000001E-2</v>
      </c>
      <c r="O10" s="138">
        <v>0</v>
      </c>
      <c r="P10" s="138">
        <v>5.9999400005999917E-2</v>
      </c>
      <c r="Q10" s="138">
        <v>2.9999999864999995E-2</v>
      </c>
      <c r="R10" s="138">
        <v>0.05</v>
      </c>
      <c r="S10" s="138">
        <v>3.1E-2</v>
      </c>
      <c r="T10" s="138">
        <v>8.6999999999999994E-2</v>
      </c>
      <c r="U10" s="138">
        <v>4.9990001999600082E-2</v>
      </c>
      <c r="V10" s="138">
        <v>2.8000000000000001E-2</v>
      </c>
      <c r="W10" s="138">
        <v>0.11004401760704281</v>
      </c>
      <c r="X10" s="138">
        <v>2.5000000000000001E-2</v>
      </c>
      <c r="Y10" s="138">
        <v>4.8999999999999988E-2</v>
      </c>
      <c r="Z10" s="138">
        <v>0</v>
      </c>
      <c r="AA10" s="138">
        <v>0</v>
      </c>
      <c r="AB10" s="138">
        <v>3.0000000000000001E-3</v>
      </c>
      <c r="AC10" s="138">
        <v>0.03</v>
      </c>
      <c r="AD10" s="138">
        <v>1.9998000199980003E-2</v>
      </c>
      <c r="AE10" s="138">
        <v>0</v>
      </c>
      <c r="AF10" s="138">
        <v>0</v>
      </c>
      <c r="AG10" s="138">
        <v>0</v>
      </c>
      <c r="AH10" s="138">
        <v>0</v>
      </c>
    </row>
    <row r="11" spans="1:34" customFormat="1" x14ac:dyDescent="0.15">
      <c r="A11" s="172" t="s">
        <v>201</v>
      </c>
      <c r="B11" s="138">
        <v>0</v>
      </c>
      <c r="C11" s="138">
        <v>0</v>
      </c>
      <c r="D11" s="138">
        <v>0</v>
      </c>
      <c r="E11" s="138">
        <v>0</v>
      </c>
      <c r="F11" s="138">
        <v>0</v>
      </c>
      <c r="G11" s="138">
        <v>0</v>
      </c>
      <c r="H11" s="138">
        <v>0</v>
      </c>
      <c r="I11" s="138">
        <v>0</v>
      </c>
      <c r="J11" s="138">
        <v>0</v>
      </c>
      <c r="K11" s="138">
        <v>0</v>
      </c>
      <c r="L11" s="138">
        <v>0</v>
      </c>
      <c r="M11" s="138">
        <v>0</v>
      </c>
      <c r="N11" s="138">
        <v>0</v>
      </c>
      <c r="O11" s="138">
        <v>0</v>
      </c>
      <c r="P11" s="138">
        <v>9.9999000009999865E-4</v>
      </c>
      <c r="Q11" s="138">
        <v>3.2999999851499998E-2</v>
      </c>
      <c r="R11" s="138">
        <v>0</v>
      </c>
      <c r="S11" s="138">
        <v>0</v>
      </c>
      <c r="T11" s="138">
        <v>0.01</v>
      </c>
      <c r="U11" s="138">
        <v>9.9980003999200159E-4</v>
      </c>
      <c r="V11" s="138">
        <v>2E-3</v>
      </c>
      <c r="W11" s="138">
        <v>0</v>
      </c>
      <c r="X11" s="138">
        <v>0</v>
      </c>
      <c r="Y11" s="138">
        <v>1.9999999999999997E-2</v>
      </c>
      <c r="Z11" s="138">
        <v>0</v>
      </c>
      <c r="AA11" s="138">
        <v>0</v>
      </c>
      <c r="AB11" s="138">
        <v>3.0000000000000001E-3</v>
      </c>
      <c r="AC11" s="138">
        <v>0.02</v>
      </c>
      <c r="AD11" s="138">
        <v>5.9994000599940006E-2</v>
      </c>
      <c r="AE11" s="138">
        <v>0</v>
      </c>
      <c r="AF11" s="138">
        <v>0</v>
      </c>
      <c r="AG11" s="138">
        <v>0</v>
      </c>
      <c r="AH11" s="138">
        <v>0</v>
      </c>
    </row>
    <row r="12" spans="1:34" customFormat="1" x14ac:dyDescent="0.15">
      <c r="A12" s="172" t="s">
        <v>202</v>
      </c>
      <c r="B12" s="138">
        <v>0</v>
      </c>
      <c r="C12" s="138">
        <v>0</v>
      </c>
      <c r="D12" s="138">
        <v>0</v>
      </c>
      <c r="E12" s="138">
        <v>0</v>
      </c>
      <c r="F12" s="138">
        <v>0</v>
      </c>
      <c r="G12" s="138">
        <v>0</v>
      </c>
      <c r="H12" s="138">
        <v>0</v>
      </c>
      <c r="I12" s="138">
        <v>0</v>
      </c>
      <c r="J12" s="138">
        <v>0</v>
      </c>
      <c r="K12" s="138">
        <v>0</v>
      </c>
      <c r="L12" s="138">
        <v>0</v>
      </c>
      <c r="M12" s="138">
        <v>0</v>
      </c>
      <c r="N12" s="138">
        <v>0</v>
      </c>
      <c r="O12" s="138">
        <v>0</v>
      </c>
      <c r="P12" s="138">
        <v>9.9999000009999865E-4</v>
      </c>
      <c r="Q12" s="138">
        <v>3.0999999860499994E-2</v>
      </c>
      <c r="R12" s="138">
        <v>0</v>
      </c>
      <c r="S12" s="138">
        <v>0</v>
      </c>
      <c r="T12" s="138">
        <v>0.02</v>
      </c>
      <c r="U12" s="138">
        <v>0</v>
      </c>
      <c r="V12" s="138">
        <v>0</v>
      </c>
      <c r="W12" s="138">
        <v>0</v>
      </c>
      <c r="X12" s="138">
        <v>0</v>
      </c>
      <c r="Y12" s="138">
        <v>9.9999999999999985E-3</v>
      </c>
      <c r="Z12" s="138">
        <v>0</v>
      </c>
      <c r="AA12" s="138">
        <v>0</v>
      </c>
      <c r="AB12" s="138">
        <v>1.2999999999999999E-2</v>
      </c>
      <c r="AC12" s="138">
        <v>0</v>
      </c>
      <c r="AD12" s="138">
        <v>2.9997000299970002E-3</v>
      </c>
      <c r="AE12" s="138">
        <v>0</v>
      </c>
      <c r="AF12" s="138">
        <v>0</v>
      </c>
      <c r="AG12" s="138">
        <v>0</v>
      </c>
      <c r="AH12" s="138">
        <v>0</v>
      </c>
    </row>
    <row r="13" spans="1:34" customFormat="1" x14ac:dyDescent="0.15">
      <c r="A13" s="172" t="s">
        <v>203</v>
      </c>
      <c r="B13" s="138">
        <v>0</v>
      </c>
      <c r="C13" s="138">
        <v>0</v>
      </c>
      <c r="D13" s="138">
        <v>0</v>
      </c>
      <c r="E13" s="138">
        <v>0</v>
      </c>
      <c r="F13" s="138">
        <v>0</v>
      </c>
      <c r="G13" s="138">
        <v>0</v>
      </c>
      <c r="H13" s="138">
        <v>0</v>
      </c>
      <c r="I13" s="138">
        <v>0</v>
      </c>
      <c r="J13" s="138">
        <v>0</v>
      </c>
      <c r="K13" s="138">
        <v>0</v>
      </c>
      <c r="L13" s="138">
        <v>0</v>
      </c>
      <c r="M13" s="138">
        <v>0</v>
      </c>
      <c r="N13" s="138">
        <v>0</v>
      </c>
      <c r="O13" s="138">
        <v>0</v>
      </c>
      <c r="P13" s="138">
        <v>9.9999000009999874E-3</v>
      </c>
      <c r="Q13" s="138">
        <v>5.0999999770499987E-2</v>
      </c>
      <c r="R13" s="138">
        <v>0</v>
      </c>
      <c r="S13" s="138">
        <v>0</v>
      </c>
      <c r="T13" s="138">
        <v>0.03</v>
      </c>
      <c r="U13" s="138">
        <v>0</v>
      </c>
      <c r="V13" s="138">
        <v>0</v>
      </c>
      <c r="W13" s="138">
        <v>0</v>
      </c>
      <c r="X13" s="138">
        <v>0</v>
      </c>
      <c r="Y13" s="138">
        <v>0</v>
      </c>
      <c r="Z13" s="138">
        <v>0</v>
      </c>
      <c r="AA13" s="138">
        <v>0</v>
      </c>
      <c r="AB13" s="138">
        <v>0.01</v>
      </c>
      <c r="AC13" s="138">
        <v>0</v>
      </c>
      <c r="AD13" s="138">
        <v>9.9990000999900016E-3</v>
      </c>
      <c r="AE13" s="138">
        <v>0</v>
      </c>
      <c r="AF13" s="138">
        <v>0</v>
      </c>
      <c r="AG13" s="138">
        <v>0</v>
      </c>
      <c r="AH13" s="138">
        <v>0</v>
      </c>
    </row>
    <row r="14" spans="1:34" customFormat="1" x14ac:dyDescent="0.15">
      <c r="A14" s="172" t="s">
        <v>204</v>
      </c>
      <c r="B14" s="138">
        <v>0</v>
      </c>
      <c r="C14" s="138">
        <v>0</v>
      </c>
      <c r="D14" s="138">
        <v>0</v>
      </c>
      <c r="E14" s="138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  <c r="M14" s="138">
        <v>0</v>
      </c>
      <c r="N14" s="138">
        <v>0</v>
      </c>
      <c r="O14" s="138">
        <v>0</v>
      </c>
      <c r="P14" s="138">
        <v>9.9999000009999865E-4</v>
      </c>
      <c r="Q14" s="138">
        <v>0</v>
      </c>
      <c r="R14" s="138">
        <v>0</v>
      </c>
      <c r="S14" s="138">
        <v>0</v>
      </c>
      <c r="T14" s="138">
        <v>0.158</v>
      </c>
      <c r="U14" s="138">
        <v>0</v>
      </c>
      <c r="V14" s="138">
        <v>0</v>
      </c>
      <c r="W14" s="138">
        <v>0</v>
      </c>
      <c r="X14" s="138">
        <v>0</v>
      </c>
      <c r="Y14" s="138">
        <v>8.9999999999999983E-2</v>
      </c>
      <c r="Z14" s="138">
        <v>0.01</v>
      </c>
      <c r="AA14" s="138">
        <v>2.5000000000000001E-2</v>
      </c>
      <c r="AB14" s="138">
        <v>2.1999999999999999E-2</v>
      </c>
      <c r="AC14" s="138">
        <v>0.27</v>
      </c>
      <c r="AD14" s="138">
        <v>0</v>
      </c>
      <c r="AE14" s="138">
        <v>0</v>
      </c>
      <c r="AF14" s="138">
        <v>0</v>
      </c>
      <c r="AG14" s="138">
        <v>0</v>
      </c>
      <c r="AH14" s="138">
        <v>0</v>
      </c>
    </row>
    <row r="15" spans="1:34" customFormat="1" x14ac:dyDescent="0.15">
      <c r="A15" s="172" t="s">
        <v>205</v>
      </c>
      <c r="B15" s="138">
        <v>0</v>
      </c>
      <c r="C15" s="138">
        <v>0</v>
      </c>
      <c r="D15" s="138">
        <v>0</v>
      </c>
      <c r="E15" s="138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0.15</v>
      </c>
      <c r="M15" s="138">
        <v>0</v>
      </c>
      <c r="N15" s="138">
        <v>0</v>
      </c>
      <c r="O15" s="138">
        <v>0</v>
      </c>
      <c r="P15" s="138">
        <v>4.999950000499994E-2</v>
      </c>
      <c r="Q15" s="138">
        <v>1.9999999909999996E-2</v>
      </c>
      <c r="R15" s="138">
        <v>0.1</v>
      </c>
      <c r="S15" s="138">
        <v>8.7999999999999995E-2</v>
      </c>
      <c r="T15" s="138">
        <v>0.05</v>
      </c>
      <c r="U15" s="138">
        <v>8.0983803239352128E-2</v>
      </c>
      <c r="V15" s="138">
        <v>0.36399999999999999</v>
      </c>
      <c r="W15" s="138">
        <v>0.15006002400960383</v>
      </c>
      <c r="X15" s="138">
        <v>0.05</v>
      </c>
      <c r="Y15" s="138">
        <v>0.24999999999999994</v>
      </c>
      <c r="Z15" s="138">
        <v>0.01</v>
      </c>
      <c r="AA15" s="138">
        <v>0</v>
      </c>
      <c r="AB15" s="138">
        <v>0.01</v>
      </c>
      <c r="AC15" s="138">
        <v>0.04</v>
      </c>
      <c r="AD15" s="138">
        <v>0.102989701029897</v>
      </c>
      <c r="AE15" s="138">
        <v>0</v>
      </c>
      <c r="AF15" s="138">
        <v>0</v>
      </c>
      <c r="AG15" s="138">
        <v>0</v>
      </c>
      <c r="AH15" s="138">
        <v>0</v>
      </c>
    </row>
    <row r="16" spans="1:34" customFormat="1" x14ac:dyDescent="0.15">
      <c r="A16" s="172" t="s">
        <v>206</v>
      </c>
      <c r="B16" s="138">
        <v>0</v>
      </c>
      <c r="C16" s="138">
        <v>0</v>
      </c>
      <c r="D16" s="138">
        <v>0</v>
      </c>
      <c r="E16" s="138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  <c r="M16" s="138">
        <v>0</v>
      </c>
      <c r="N16" s="138">
        <v>0</v>
      </c>
      <c r="O16" s="138">
        <v>0</v>
      </c>
      <c r="P16" s="138">
        <v>9.9999000009999874E-6</v>
      </c>
      <c r="Q16" s="138">
        <v>0</v>
      </c>
      <c r="R16" s="138">
        <v>0</v>
      </c>
      <c r="S16" s="138">
        <v>0</v>
      </c>
      <c r="T16" s="138">
        <v>2E-3</v>
      </c>
      <c r="U16" s="138">
        <v>0</v>
      </c>
      <c r="V16" s="138">
        <v>1E-3</v>
      </c>
      <c r="W16" s="138">
        <v>0</v>
      </c>
      <c r="X16" s="138">
        <v>0</v>
      </c>
      <c r="Y16" s="138">
        <v>9.999999999999998E-4</v>
      </c>
      <c r="Z16" s="138">
        <v>0</v>
      </c>
      <c r="AA16" s="138">
        <v>0.01</v>
      </c>
      <c r="AB16" s="138">
        <v>0</v>
      </c>
      <c r="AC16" s="138">
        <v>0</v>
      </c>
      <c r="AD16" s="138">
        <v>1.9998000199980001E-3</v>
      </c>
      <c r="AE16" s="138">
        <v>0</v>
      </c>
      <c r="AF16" s="138">
        <v>0</v>
      </c>
      <c r="AG16" s="138">
        <v>0</v>
      </c>
      <c r="AH16" s="138">
        <v>0</v>
      </c>
    </row>
    <row r="17" spans="1:34" customFormat="1" x14ac:dyDescent="0.15">
      <c r="A17" s="172" t="s">
        <v>207</v>
      </c>
      <c r="B17" s="138">
        <v>0</v>
      </c>
      <c r="C17" s="138">
        <v>0</v>
      </c>
      <c r="D17" s="138">
        <v>0</v>
      </c>
      <c r="E17" s="138">
        <v>0</v>
      </c>
      <c r="F17" s="138">
        <v>0</v>
      </c>
      <c r="G17" s="138">
        <v>0</v>
      </c>
      <c r="H17" s="138">
        <v>0</v>
      </c>
      <c r="I17" s="138">
        <v>0</v>
      </c>
      <c r="J17" s="138">
        <v>0</v>
      </c>
      <c r="K17" s="138">
        <v>0</v>
      </c>
      <c r="L17" s="138">
        <v>0</v>
      </c>
      <c r="M17" s="138">
        <v>0</v>
      </c>
      <c r="N17" s="138">
        <v>0</v>
      </c>
      <c r="O17" s="138">
        <v>0</v>
      </c>
      <c r="P17" s="138">
        <v>0</v>
      </c>
      <c r="Q17" s="138">
        <v>9.9999999549999982E-4</v>
      </c>
      <c r="R17" s="138">
        <v>0</v>
      </c>
      <c r="S17" s="138">
        <v>0</v>
      </c>
      <c r="T17" s="138">
        <v>0</v>
      </c>
      <c r="U17" s="138">
        <v>0</v>
      </c>
      <c r="V17" s="138">
        <v>0</v>
      </c>
      <c r="W17" s="138">
        <v>0</v>
      </c>
      <c r="X17" s="138">
        <v>0</v>
      </c>
      <c r="Y17" s="138">
        <v>9.9999999999999985E-3</v>
      </c>
      <c r="Z17" s="138">
        <v>0</v>
      </c>
      <c r="AA17" s="138">
        <v>5.0000000000000001E-3</v>
      </c>
      <c r="AB17" s="138">
        <v>1E-3</v>
      </c>
      <c r="AC17" s="138">
        <v>0</v>
      </c>
      <c r="AD17" s="138">
        <v>0</v>
      </c>
      <c r="AE17" s="138">
        <v>0</v>
      </c>
      <c r="AF17" s="138">
        <v>0</v>
      </c>
      <c r="AG17" s="138">
        <v>0</v>
      </c>
      <c r="AH17" s="138">
        <v>0</v>
      </c>
    </row>
    <row r="18" spans="1:34" customFormat="1" x14ac:dyDescent="0.15">
      <c r="A18" s="172" t="s">
        <v>208</v>
      </c>
      <c r="B18" s="138">
        <v>0</v>
      </c>
      <c r="C18" s="138">
        <v>0</v>
      </c>
      <c r="D18" s="138">
        <v>0</v>
      </c>
      <c r="E18" s="138">
        <v>0</v>
      </c>
      <c r="F18" s="138">
        <v>0</v>
      </c>
      <c r="G18" s="138">
        <v>0</v>
      </c>
      <c r="H18" s="138">
        <v>0</v>
      </c>
      <c r="I18" s="138">
        <v>0</v>
      </c>
      <c r="J18" s="138">
        <v>0</v>
      </c>
      <c r="K18" s="138">
        <v>0</v>
      </c>
      <c r="L18" s="138">
        <v>0</v>
      </c>
      <c r="M18" s="138">
        <v>0</v>
      </c>
      <c r="N18" s="138">
        <v>0</v>
      </c>
      <c r="O18" s="138">
        <v>0</v>
      </c>
      <c r="P18" s="138">
        <v>9.9999000009999874E-3</v>
      </c>
      <c r="Q18" s="138">
        <v>0.14099999936549998</v>
      </c>
      <c r="R18" s="138">
        <v>0.05</v>
      </c>
      <c r="S18" s="138">
        <v>5.1999999999999998E-2</v>
      </c>
      <c r="T18" s="138">
        <v>0.03</v>
      </c>
      <c r="U18" s="138">
        <v>9.9980003999200172E-3</v>
      </c>
      <c r="V18" s="138">
        <v>0.104</v>
      </c>
      <c r="W18" s="138">
        <v>2.0008003201280513E-2</v>
      </c>
      <c r="X18" s="138">
        <v>0.02</v>
      </c>
      <c r="Y18" s="138">
        <v>0.19999999999999996</v>
      </c>
      <c r="Z18" s="138">
        <v>0.03</v>
      </c>
      <c r="AA18" s="138">
        <v>0</v>
      </c>
      <c r="AB18" s="138">
        <v>0.23100000000000001</v>
      </c>
      <c r="AC18" s="138">
        <v>0.154</v>
      </c>
      <c r="AD18" s="138">
        <v>6.9993000699930016E-2</v>
      </c>
      <c r="AE18" s="138">
        <v>0</v>
      </c>
      <c r="AF18" s="138">
        <v>0</v>
      </c>
      <c r="AG18" s="138">
        <v>0</v>
      </c>
      <c r="AH18" s="138">
        <v>0</v>
      </c>
    </row>
    <row r="19" spans="1:34" customFormat="1" x14ac:dyDescent="0.15">
      <c r="A19" s="172" t="s">
        <v>209</v>
      </c>
      <c r="B19" s="138">
        <v>0</v>
      </c>
      <c r="C19" s="138">
        <v>0</v>
      </c>
      <c r="D19" s="138">
        <v>0</v>
      </c>
      <c r="E19" s="138">
        <v>0</v>
      </c>
      <c r="F19" s="138">
        <v>0</v>
      </c>
      <c r="G19" s="138">
        <v>0</v>
      </c>
      <c r="H19" s="138">
        <v>0</v>
      </c>
      <c r="I19" s="138">
        <v>0</v>
      </c>
      <c r="J19" s="138">
        <v>0</v>
      </c>
      <c r="K19" s="138">
        <v>0</v>
      </c>
      <c r="L19" s="138">
        <v>0</v>
      </c>
      <c r="M19" s="138">
        <v>0</v>
      </c>
      <c r="N19" s="138">
        <v>0</v>
      </c>
      <c r="O19" s="138">
        <v>0</v>
      </c>
      <c r="P19" s="138">
        <v>1.9999800001999975E-2</v>
      </c>
      <c r="Q19" s="138">
        <v>9.9999999549999982E-3</v>
      </c>
      <c r="R19" s="138">
        <v>2.1999999999999999E-2</v>
      </c>
      <c r="S19" s="138">
        <v>0</v>
      </c>
      <c r="T19" s="138">
        <v>9.5000000000000001E-2</v>
      </c>
      <c r="U19" s="138">
        <v>0</v>
      </c>
      <c r="V19" s="138">
        <v>0</v>
      </c>
      <c r="W19" s="138">
        <v>4.0016006402561026E-3</v>
      </c>
      <c r="X19" s="138">
        <v>1E-3</v>
      </c>
      <c r="Y19" s="138">
        <v>0</v>
      </c>
      <c r="Z19" s="138">
        <v>0</v>
      </c>
      <c r="AA19" s="138">
        <v>0</v>
      </c>
      <c r="AB19" s="138">
        <v>0.1</v>
      </c>
      <c r="AC19" s="138">
        <v>0.01</v>
      </c>
      <c r="AD19" s="138">
        <v>3.9996000399960006E-2</v>
      </c>
      <c r="AE19" s="138">
        <v>0</v>
      </c>
      <c r="AF19" s="138">
        <v>0</v>
      </c>
      <c r="AG19" s="138">
        <v>0</v>
      </c>
      <c r="AH19" s="138">
        <v>0</v>
      </c>
    </row>
    <row r="20" spans="1:34" customFormat="1" x14ac:dyDescent="0.15">
      <c r="A20" s="172" t="s">
        <v>210</v>
      </c>
      <c r="B20" s="138">
        <v>0</v>
      </c>
      <c r="C20" s="138">
        <v>0</v>
      </c>
      <c r="D20" s="138">
        <v>0</v>
      </c>
      <c r="E20" s="138">
        <v>0</v>
      </c>
      <c r="F20" s="138">
        <v>0</v>
      </c>
      <c r="G20" s="138">
        <v>0</v>
      </c>
      <c r="H20" s="138">
        <v>0</v>
      </c>
      <c r="I20" s="138">
        <v>0</v>
      </c>
      <c r="J20" s="138">
        <v>0</v>
      </c>
      <c r="K20" s="138">
        <v>0</v>
      </c>
      <c r="L20" s="138">
        <v>0</v>
      </c>
      <c r="M20" s="138">
        <v>0</v>
      </c>
      <c r="N20" s="138">
        <v>0</v>
      </c>
      <c r="O20" s="138">
        <v>0</v>
      </c>
      <c r="P20" s="138">
        <v>0</v>
      </c>
      <c r="Q20" s="138">
        <v>0</v>
      </c>
      <c r="R20" s="138">
        <v>0</v>
      </c>
      <c r="S20" s="138">
        <v>0</v>
      </c>
      <c r="T20" s="138">
        <v>0.02</v>
      </c>
      <c r="U20" s="138">
        <v>0</v>
      </c>
      <c r="V20" s="138">
        <v>0</v>
      </c>
      <c r="W20" s="138">
        <v>0</v>
      </c>
      <c r="X20" s="138">
        <v>2E-3</v>
      </c>
      <c r="Y20" s="138">
        <v>3.9999999999999994E-2</v>
      </c>
      <c r="Z20" s="138">
        <v>0.01</v>
      </c>
      <c r="AA20" s="138">
        <v>0</v>
      </c>
      <c r="AB20" s="138">
        <v>2.1999999999999999E-2</v>
      </c>
      <c r="AC20" s="138">
        <v>0.01</v>
      </c>
      <c r="AD20" s="138">
        <v>0</v>
      </c>
      <c r="AE20" s="138">
        <v>0</v>
      </c>
      <c r="AF20" s="138">
        <v>0</v>
      </c>
      <c r="AG20" s="138">
        <v>0</v>
      </c>
      <c r="AH20" s="138">
        <v>0</v>
      </c>
    </row>
    <row r="21" spans="1:34" customFormat="1" x14ac:dyDescent="0.15">
      <c r="A21" s="172" t="s">
        <v>211</v>
      </c>
      <c r="B21" s="138">
        <v>0</v>
      </c>
      <c r="C21" s="138">
        <v>0</v>
      </c>
      <c r="D21" s="138">
        <v>0</v>
      </c>
      <c r="E21" s="138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  <c r="M21" s="138">
        <v>0</v>
      </c>
      <c r="N21" s="138">
        <v>0</v>
      </c>
      <c r="O21" s="138">
        <v>0</v>
      </c>
      <c r="P21" s="138">
        <v>5.9999400005999917E-2</v>
      </c>
      <c r="Q21" s="138">
        <v>3.3999999847000001E-2</v>
      </c>
      <c r="R21" s="138">
        <v>7.8E-2</v>
      </c>
      <c r="S21" s="138">
        <v>2.1000000000000001E-2</v>
      </c>
      <c r="T21" s="138">
        <v>0.15</v>
      </c>
      <c r="U21" s="138">
        <v>0</v>
      </c>
      <c r="V21" s="138">
        <v>0.14499999999999999</v>
      </c>
      <c r="W21" s="138">
        <v>1.600640256102441E-2</v>
      </c>
      <c r="X21" s="138">
        <v>8.0000000000000002E-3</v>
      </c>
      <c r="Y21" s="138">
        <v>0</v>
      </c>
      <c r="Z21" s="138">
        <v>0</v>
      </c>
      <c r="AA21" s="138">
        <v>0</v>
      </c>
      <c r="AB21" s="138">
        <v>0.1</v>
      </c>
      <c r="AC21" s="138">
        <v>1.7000000000000001E-2</v>
      </c>
      <c r="AD21" s="138">
        <v>0.12998700129987001</v>
      </c>
      <c r="AE21" s="138">
        <v>0</v>
      </c>
      <c r="AF21" s="138">
        <v>0</v>
      </c>
      <c r="AG21" s="138">
        <v>0</v>
      </c>
      <c r="AH21" s="138">
        <v>0</v>
      </c>
    </row>
    <row r="22" spans="1:34" customFormat="1" x14ac:dyDescent="0.15">
      <c r="A22" s="172" t="s">
        <v>212</v>
      </c>
      <c r="B22" s="138">
        <v>0</v>
      </c>
      <c r="C22" s="138">
        <v>0</v>
      </c>
      <c r="D22" s="138">
        <v>0</v>
      </c>
      <c r="E22" s="138">
        <v>0</v>
      </c>
      <c r="F22" s="138">
        <v>0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  <c r="M22" s="138">
        <v>0</v>
      </c>
      <c r="N22" s="138">
        <v>0</v>
      </c>
      <c r="O22" s="138">
        <v>0</v>
      </c>
      <c r="P22" s="138">
        <v>0</v>
      </c>
      <c r="Q22" s="138">
        <v>0</v>
      </c>
      <c r="R22" s="138">
        <v>0</v>
      </c>
      <c r="S22" s="138">
        <v>0</v>
      </c>
      <c r="T22" s="138">
        <v>0</v>
      </c>
      <c r="U22" s="138">
        <v>0</v>
      </c>
      <c r="V22" s="138">
        <v>0.02</v>
      </c>
      <c r="W22" s="138">
        <v>0</v>
      </c>
      <c r="X22" s="138">
        <v>2E-3</v>
      </c>
      <c r="Y22" s="138">
        <v>4.9999999999999989E-2</v>
      </c>
      <c r="Z22" s="138">
        <v>0</v>
      </c>
      <c r="AA22" s="138">
        <v>0</v>
      </c>
      <c r="AB22" s="138">
        <v>1.7999999999999999E-2</v>
      </c>
      <c r="AC22" s="138">
        <v>8.9999999999999993E-3</v>
      </c>
      <c r="AD22" s="138">
        <v>0</v>
      </c>
      <c r="AE22" s="138">
        <v>0</v>
      </c>
      <c r="AF22" s="138">
        <v>0</v>
      </c>
      <c r="AG22" s="138">
        <v>0</v>
      </c>
      <c r="AH22" s="138">
        <v>0</v>
      </c>
    </row>
    <row r="23" spans="1:34" customFormat="1" x14ac:dyDescent="0.15">
      <c r="A23" s="172" t="s">
        <v>213</v>
      </c>
      <c r="B23" s="138">
        <v>0</v>
      </c>
      <c r="C23" s="138">
        <v>0</v>
      </c>
      <c r="D23" s="138">
        <v>0</v>
      </c>
      <c r="E23" s="138">
        <v>0</v>
      </c>
      <c r="F23" s="138">
        <v>0</v>
      </c>
      <c r="G23" s="138">
        <v>0</v>
      </c>
      <c r="H23" s="138">
        <v>0</v>
      </c>
      <c r="I23" s="138">
        <v>0</v>
      </c>
      <c r="J23" s="138">
        <v>0</v>
      </c>
      <c r="K23" s="138">
        <v>0</v>
      </c>
      <c r="L23" s="138">
        <v>0</v>
      </c>
      <c r="M23" s="138">
        <v>0</v>
      </c>
      <c r="N23" s="138">
        <v>0</v>
      </c>
      <c r="O23" s="138">
        <v>0</v>
      </c>
      <c r="P23" s="138">
        <v>0.10999890001099986</v>
      </c>
      <c r="Q23" s="138">
        <v>8.5999999612999978E-2</v>
      </c>
      <c r="R23" s="138">
        <v>0</v>
      </c>
      <c r="S23" s="138">
        <v>1E-3</v>
      </c>
      <c r="T23" s="138">
        <v>1E-3</v>
      </c>
      <c r="U23" s="138">
        <v>9.998000399920017E-5</v>
      </c>
      <c r="V23" s="138">
        <v>0.03</v>
      </c>
      <c r="W23" s="138">
        <v>3.0012004801920764E-2</v>
      </c>
      <c r="X23" s="138">
        <v>0.02</v>
      </c>
      <c r="Y23" s="138">
        <v>4.9999999999999989E-2</v>
      </c>
      <c r="Z23" s="138">
        <v>5.0000000000000001E-3</v>
      </c>
      <c r="AA23" s="138">
        <v>0.01</v>
      </c>
      <c r="AB23" s="138">
        <v>4.9000000000000002E-2</v>
      </c>
      <c r="AC23" s="138">
        <v>0</v>
      </c>
      <c r="AD23" s="138">
        <v>9.9990000999900007E-4</v>
      </c>
      <c r="AE23" s="138">
        <v>0</v>
      </c>
      <c r="AF23" s="138">
        <v>0</v>
      </c>
      <c r="AG23" s="138">
        <v>0</v>
      </c>
      <c r="AH23" s="138">
        <v>0</v>
      </c>
    </row>
    <row r="24" spans="1:34" customFormat="1" x14ac:dyDescent="0.15">
      <c r="A24" s="172" t="s">
        <v>214</v>
      </c>
      <c r="B24" s="138">
        <v>0</v>
      </c>
      <c r="C24" s="138">
        <v>0</v>
      </c>
      <c r="D24" s="138">
        <v>0</v>
      </c>
      <c r="E24" s="138">
        <v>0</v>
      </c>
      <c r="F24" s="138">
        <v>0</v>
      </c>
      <c r="G24" s="138">
        <v>0</v>
      </c>
      <c r="H24" s="138">
        <v>0</v>
      </c>
      <c r="I24" s="138">
        <v>0</v>
      </c>
      <c r="J24" s="138">
        <v>0</v>
      </c>
      <c r="K24" s="138">
        <v>0</v>
      </c>
      <c r="L24" s="138">
        <v>0</v>
      </c>
      <c r="M24" s="138">
        <v>0</v>
      </c>
      <c r="N24" s="138">
        <v>0</v>
      </c>
      <c r="O24" s="138">
        <v>0</v>
      </c>
      <c r="P24" s="138">
        <v>0</v>
      </c>
      <c r="Q24" s="138">
        <v>0</v>
      </c>
      <c r="R24" s="138">
        <v>0</v>
      </c>
      <c r="S24" s="138">
        <v>1E-3</v>
      </c>
      <c r="T24" s="138">
        <v>1E-3</v>
      </c>
      <c r="U24" s="138">
        <v>9.998000399920017E-5</v>
      </c>
      <c r="V24" s="138">
        <v>9.4E-2</v>
      </c>
      <c r="W24" s="138">
        <v>1.0004001600640256E-2</v>
      </c>
      <c r="X24" s="138">
        <v>0.02</v>
      </c>
      <c r="Y24" s="138">
        <v>9.9999999999999978E-2</v>
      </c>
      <c r="Z24" s="138">
        <v>0.15</v>
      </c>
      <c r="AA24" s="138">
        <v>0.01</v>
      </c>
      <c r="AB24" s="138">
        <v>8.4000000000000005E-2</v>
      </c>
      <c r="AC24" s="138">
        <v>0</v>
      </c>
      <c r="AD24" s="138">
        <v>0</v>
      </c>
      <c r="AE24" s="138">
        <v>0</v>
      </c>
      <c r="AF24" s="138">
        <v>0</v>
      </c>
      <c r="AG24" s="138">
        <v>0</v>
      </c>
      <c r="AH24" s="138">
        <v>0</v>
      </c>
    </row>
    <row r="25" spans="1:34" customFormat="1" x14ac:dyDescent="0.15">
      <c r="A25" s="172" t="s">
        <v>215</v>
      </c>
      <c r="B25" s="138">
        <v>0</v>
      </c>
      <c r="C25" s="138">
        <v>0</v>
      </c>
      <c r="D25" s="138">
        <v>0</v>
      </c>
      <c r="E25" s="138">
        <v>0</v>
      </c>
      <c r="F25" s="138">
        <v>0</v>
      </c>
      <c r="G25" s="138">
        <v>0</v>
      </c>
      <c r="H25" s="138">
        <v>0</v>
      </c>
      <c r="I25" s="138">
        <v>0</v>
      </c>
      <c r="J25" s="138">
        <v>0</v>
      </c>
      <c r="K25" s="138">
        <v>0</v>
      </c>
      <c r="L25" s="138">
        <v>0</v>
      </c>
      <c r="M25" s="138">
        <v>0</v>
      </c>
      <c r="N25" s="138">
        <v>0</v>
      </c>
      <c r="O25" s="138">
        <v>0</v>
      </c>
      <c r="P25" s="138">
        <v>0</v>
      </c>
      <c r="Q25" s="138">
        <v>0</v>
      </c>
      <c r="R25" s="138">
        <v>0</v>
      </c>
      <c r="S25" s="138">
        <v>0</v>
      </c>
      <c r="T25" s="138">
        <v>0</v>
      </c>
      <c r="U25" s="138">
        <v>0</v>
      </c>
      <c r="V25" s="138">
        <v>0</v>
      </c>
      <c r="W25" s="138">
        <v>0</v>
      </c>
      <c r="X25" s="138">
        <v>0</v>
      </c>
      <c r="Y25" s="138">
        <v>9.9999999999999978E-2</v>
      </c>
      <c r="Z25" s="138">
        <v>0</v>
      </c>
      <c r="AA25" s="138">
        <v>0.1</v>
      </c>
      <c r="AB25" s="138">
        <v>0</v>
      </c>
      <c r="AC25" s="138">
        <v>0</v>
      </c>
      <c r="AD25" s="138">
        <v>0</v>
      </c>
      <c r="AE25" s="138">
        <v>0</v>
      </c>
      <c r="AF25" s="138">
        <v>0</v>
      </c>
      <c r="AG25" s="138">
        <v>0</v>
      </c>
      <c r="AH25" s="138">
        <v>0</v>
      </c>
    </row>
    <row r="26" spans="1:34" customFormat="1" x14ac:dyDescent="0.15">
      <c r="A26" s="172" t="s">
        <v>216</v>
      </c>
      <c r="B26" s="138">
        <v>0</v>
      </c>
      <c r="C26" s="138">
        <v>0</v>
      </c>
      <c r="D26" s="138">
        <v>0</v>
      </c>
      <c r="E26" s="138">
        <v>0</v>
      </c>
      <c r="F26" s="138">
        <v>0</v>
      </c>
      <c r="G26" s="138">
        <v>0</v>
      </c>
      <c r="H26" s="138">
        <v>0</v>
      </c>
      <c r="I26" s="138">
        <v>0</v>
      </c>
      <c r="J26" s="138">
        <v>0</v>
      </c>
      <c r="K26" s="138">
        <v>0</v>
      </c>
      <c r="L26" s="138">
        <v>0</v>
      </c>
      <c r="M26" s="138">
        <v>0</v>
      </c>
      <c r="N26" s="138">
        <v>0</v>
      </c>
      <c r="O26" s="138">
        <v>0</v>
      </c>
      <c r="P26" s="138">
        <v>0</v>
      </c>
      <c r="Q26" s="138">
        <v>0</v>
      </c>
      <c r="R26" s="138">
        <v>0</v>
      </c>
      <c r="S26" s="138">
        <v>0</v>
      </c>
      <c r="T26" s="138">
        <v>0</v>
      </c>
      <c r="U26" s="138">
        <v>0</v>
      </c>
      <c r="V26" s="138">
        <v>0</v>
      </c>
      <c r="W26" s="138">
        <v>0</v>
      </c>
      <c r="X26" s="138">
        <v>5.0000000000000001E-3</v>
      </c>
      <c r="Y26" s="138">
        <v>0</v>
      </c>
      <c r="Z26" s="138">
        <v>0.06</v>
      </c>
      <c r="AA26" s="138">
        <v>0.77</v>
      </c>
      <c r="AB26" s="138">
        <v>0</v>
      </c>
      <c r="AC26" s="138">
        <v>0</v>
      </c>
      <c r="AD26" s="138">
        <v>0</v>
      </c>
      <c r="AE26" s="138">
        <v>0</v>
      </c>
      <c r="AF26" s="138">
        <v>0</v>
      </c>
      <c r="AG26" s="138">
        <v>0</v>
      </c>
      <c r="AH26" s="138">
        <v>0</v>
      </c>
    </row>
    <row r="27" spans="1:34" customFormat="1" x14ac:dyDescent="0.15">
      <c r="A27" s="172" t="s">
        <v>217</v>
      </c>
      <c r="B27" s="138">
        <v>0</v>
      </c>
      <c r="C27" s="138">
        <v>0</v>
      </c>
      <c r="D27" s="138">
        <v>0</v>
      </c>
      <c r="E27" s="138">
        <v>0</v>
      </c>
      <c r="F27" s="138">
        <v>0</v>
      </c>
      <c r="G27" s="138">
        <v>0</v>
      </c>
      <c r="H27" s="138">
        <v>0</v>
      </c>
      <c r="I27" s="138">
        <v>0</v>
      </c>
      <c r="J27" s="138">
        <v>0</v>
      </c>
      <c r="K27" s="138">
        <v>0</v>
      </c>
      <c r="L27" s="138">
        <v>0</v>
      </c>
      <c r="M27" s="138">
        <v>0</v>
      </c>
      <c r="N27" s="138">
        <v>0</v>
      </c>
      <c r="O27" s="138">
        <v>0</v>
      </c>
      <c r="P27" s="138">
        <v>0</v>
      </c>
      <c r="Q27" s="138">
        <v>0</v>
      </c>
      <c r="R27" s="138">
        <v>0</v>
      </c>
      <c r="S27" s="138">
        <v>0</v>
      </c>
      <c r="T27" s="138">
        <v>0</v>
      </c>
      <c r="U27" s="138">
        <v>0</v>
      </c>
      <c r="V27" s="138">
        <v>0</v>
      </c>
      <c r="W27" s="138">
        <v>0</v>
      </c>
      <c r="X27" s="138">
        <v>0</v>
      </c>
      <c r="Y27" s="138">
        <v>0</v>
      </c>
      <c r="Z27" s="138">
        <v>0</v>
      </c>
      <c r="AA27" s="138">
        <v>0</v>
      </c>
      <c r="AB27" s="138">
        <v>0</v>
      </c>
      <c r="AC27" s="138">
        <v>0</v>
      </c>
      <c r="AD27" s="138">
        <v>0</v>
      </c>
      <c r="AE27" s="138">
        <v>0</v>
      </c>
      <c r="AF27" s="138">
        <v>0</v>
      </c>
      <c r="AG27" s="138">
        <v>0</v>
      </c>
      <c r="AH27" s="138">
        <v>0</v>
      </c>
    </row>
    <row r="28" spans="1:34" customFormat="1" x14ac:dyDescent="0.15">
      <c r="A28" s="172" t="s">
        <v>218</v>
      </c>
      <c r="B28" s="138">
        <v>0</v>
      </c>
      <c r="C28" s="138">
        <v>0</v>
      </c>
      <c r="D28" s="138">
        <v>0</v>
      </c>
      <c r="E28" s="138">
        <v>0</v>
      </c>
      <c r="F28" s="138">
        <v>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  <c r="L28" s="138">
        <v>0</v>
      </c>
      <c r="M28" s="138">
        <v>0</v>
      </c>
      <c r="N28" s="138">
        <v>0</v>
      </c>
      <c r="O28" s="138">
        <v>0</v>
      </c>
      <c r="P28" s="138">
        <v>0</v>
      </c>
      <c r="Q28" s="138">
        <v>0</v>
      </c>
      <c r="R28" s="138">
        <v>0</v>
      </c>
      <c r="S28" s="138">
        <v>0</v>
      </c>
      <c r="T28" s="138">
        <v>0</v>
      </c>
      <c r="U28" s="138">
        <v>0</v>
      </c>
      <c r="V28" s="138">
        <v>0</v>
      </c>
      <c r="W28" s="138">
        <v>0</v>
      </c>
      <c r="X28" s="138">
        <v>0</v>
      </c>
      <c r="Y28" s="138">
        <v>0</v>
      </c>
      <c r="Z28" s="138">
        <v>0</v>
      </c>
      <c r="AA28" s="138">
        <v>0.03</v>
      </c>
      <c r="AB28" s="138">
        <v>0</v>
      </c>
      <c r="AC28" s="138">
        <v>0</v>
      </c>
      <c r="AD28" s="138">
        <v>1.9998000199980001E-3</v>
      </c>
      <c r="AE28" s="138">
        <v>0</v>
      </c>
      <c r="AF28" s="138">
        <v>0</v>
      </c>
      <c r="AG28" s="138">
        <v>0</v>
      </c>
      <c r="AH28" s="138">
        <v>0</v>
      </c>
    </row>
    <row r="29" spans="1:34" customFormat="1" x14ac:dyDescent="0.15">
      <c r="A29" s="172" t="s">
        <v>219</v>
      </c>
      <c r="B29" s="138">
        <v>0</v>
      </c>
      <c r="C29" s="138">
        <v>0</v>
      </c>
      <c r="D29" s="138">
        <v>0</v>
      </c>
      <c r="E29" s="138">
        <v>0</v>
      </c>
      <c r="F29" s="138">
        <v>0</v>
      </c>
      <c r="G29" s="138">
        <v>0</v>
      </c>
      <c r="H29" s="138">
        <v>0</v>
      </c>
      <c r="I29" s="138">
        <v>0</v>
      </c>
      <c r="J29" s="138">
        <v>0</v>
      </c>
      <c r="K29" s="138">
        <v>0</v>
      </c>
      <c r="L29" s="138">
        <v>0</v>
      </c>
      <c r="M29" s="138">
        <v>0</v>
      </c>
      <c r="N29" s="138">
        <v>0</v>
      </c>
      <c r="O29" s="138">
        <v>0</v>
      </c>
      <c r="P29" s="138">
        <v>0</v>
      </c>
      <c r="Q29" s="138">
        <v>0</v>
      </c>
      <c r="R29" s="138">
        <v>0</v>
      </c>
      <c r="S29" s="138">
        <v>0</v>
      </c>
      <c r="T29" s="138">
        <v>0</v>
      </c>
      <c r="U29" s="138">
        <v>0</v>
      </c>
      <c r="V29" s="138">
        <v>0</v>
      </c>
      <c r="W29" s="138">
        <v>0</v>
      </c>
      <c r="X29" s="138">
        <v>0</v>
      </c>
      <c r="Y29" s="138">
        <v>0</v>
      </c>
      <c r="Z29" s="138">
        <v>0</v>
      </c>
      <c r="AA29" s="138">
        <v>0.04</v>
      </c>
      <c r="AB29" s="138">
        <v>0</v>
      </c>
      <c r="AC29" s="138">
        <v>0</v>
      </c>
      <c r="AD29" s="138">
        <v>0</v>
      </c>
      <c r="AE29" s="138">
        <v>0</v>
      </c>
      <c r="AF29" s="138">
        <v>0</v>
      </c>
      <c r="AG29" s="138">
        <v>0</v>
      </c>
      <c r="AH29" s="138">
        <v>0</v>
      </c>
    </row>
    <row r="30" spans="1:34" customFormat="1" x14ac:dyDescent="0.15">
      <c r="A30" s="172" t="s">
        <v>220</v>
      </c>
      <c r="B30" s="138">
        <v>0</v>
      </c>
      <c r="C30" s="138">
        <v>0</v>
      </c>
      <c r="D30" s="138">
        <v>0</v>
      </c>
      <c r="E30" s="138">
        <v>0</v>
      </c>
      <c r="F30" s="138">
        <v>0</v>
      </c>
      <c r="G30" s="138">
        <v>0</v>
      </c>
      <c r="H30" s="138">
        <v>0</v>
      </c>
      <c r="I30" s="138">
        <v>0</v>
      </c>
      <c r="J30" s="138">
        <v>0</v>
      </c>
      <c r="K30" s="138">
        <v>0</v>
      </c>
      <c r="L30" s="138">
        <v>0</v>
      </c>
      <c r="M30" s="138">
        <v>0</v>
      </c>
      <c r="N30" s="138">
        <v>0</v>
      </c>
      <c r="O30" s="138">
        <v>0</v>
      </c>
      <c r="P30" s="138">
        <v>0</v>
      </c>
      <c r="Q30" s="138">
        <v>0</v>
      </c>
      <c r="R30" s="138">
        <v>0</v>
      </c>
      <c r="S30" s="138">
        <v>0</v>
      </c>
      <c r="T30" s="138">
        <v>0</v>
      </c>
      <c r="U30" s="138">
        <v>0</v>
      </c>
      <c r="V30" s="138">
        <v>0</v>
      </c>
      <c r="W30" s="138">
        <v>0</v>
      </c>
      <c r="X30" s="138">
        <v>0</v>
      </c>
      <c r="Y30" s="138">
        <v>0</v>
      </c>
      <c r="Z30" s="138">
        <v>0</v>
      </c>
      <c r="AA30" s="138">
        <v>0</v>
      </c>
      <c r="AB30" s="138">
        <v>0</v>
      </c>
      <c r="AC30" s="138">
        <v>0</v>
      </c>
      <c r="AD30" s="138">
        <v>9.9990000999900015E-5</v>
      </c>
      <c r="AE30" s="138">
        <v>0</v>
      </c>
      <c r="AF30" s="138">
        <v>0</v>
      </c>
      <c r="AG30" s="138">
        <v>0</v>
      </c>
      <c r="AH30" s="138">
        <v>0</v>
      </c>
    </row>
    <row r="31" spans="1:34" customFormat="1" x14ac:dyDescent="0.15">
      <c r="A31" s="172" t="s">
        <v>221</v>
      </c>
      <c r="B31" s="138">
        <v>0</v>
      </c>
      <c r="C31" s="138">
        <v>0</v>
      </c>
      <c r="D31" s="138">
        <v>0</v>
      </c>
      <c r="E31" s="138">
        <v>0</v>
      </c>
      <c r="F31" s="138">
        <v>0</v>
      </c>
      <c r="G31" s="138">
        <v>0</v>
      </c>
      <c r="H31" s="138">
        <v>0</v>
      </c>
      <c r="I31" s="138">
        <v>0</v>
      </c>
      <c r="J31" s="138">
        <v>0</v>
      </c>
      <c r="K31" s="138">
        <v>0</v>
      </c>
      <c r="L31" s="138">
        <v>0</v>
      </c>
      <c r="M31" s="138">
        <v>0</v>
      </c>
      <c r="N31" s="138">
        <v>0</v>
      </c>
      <c r="O31" s="138">
        <v>0</v>
      </c>
      <c r="P31" s="138">
        <v>0</v>
      </c>
      <c r="Q31" s="138">
        <v>0</v>
      </c>
      <c r="R31" s="138">
        <v>0</v>
      </c>
      <c r="S31" s="138">
        <v>0</v>
      </c>
      <c r="T31" s="138">
        <v>0</v>
      </c>
      <c r="U31" s="138">
        <v>0</v>
      </c>
      <c r="V31" s="138">
        <v>0</v>
      </c>
      <c r="W31" s="138">
        <v>0</v>
      </c>
      <c r="X31" s="138">
        <v>0</v>
      </c>
      <c r="Y31" s="138">
        <v>0</v>
      </c>
      <c r="Z31" s="138">
        <v>0</v>
      </c>
      <c r="AA31" s="138">
        <v>0</v>
      </c>
      <c r="AB31" s="138">
        <v>0</v>
      </c>
      <c r="AC31" s="138">
        <v>0</v>
      </c>
      <c r="AD31" s="138">
        <v>0</v>
      </c>
      <c r="AE31" s="138">
        <v>0</v>
      </c>
      <c r="AF31" s="138">
        <v>0.08</v>
      </c>
      <c r="AG31" s="138">
        <v>0</v>
      </c>
      <c r="AH31" s="138">
        <v>0</v>
      </c>
    </row>
    <row r="32" spans="1:34" customFormat="1" x14ac:dyDescent="0.15">
      <c r="A32" s="172" t="s">
        <v>222</v>
      </c>
      <c r="B32" s="138">
        <v>0</v>
      </c>
      <c r="C32" s="138">
        <v>0</v>
      </c>
      <c r="D32" s="138">
        <v>0</v>
      </c>
      <c r="E32" s="138">
        <v>0</v>
      </c>
      <c r="F32" s="138">
        <v>0</v>
      </c>
      <c r="G32" s="138">
        <v>0</v>
      </c>
      <c r="H32" s="138">
        <v>0</v>
      </c>
      <c r="I32" s="138">
        <v>0</v>
      </c>
      <c r="J32" s="138">
        <v>0</v>
      </c>
      <c r="K32" s="138">
        <v>0</v>
      </c>
      <c r="L32" s="138">
        <v>0</v>
      </c>
      <c r="M32" s="138">
        <v>0</v>
      </c>
      <c r="N32" s="138">
        <v>0</v>
      </c>
      <c r="O32" s="138">
        <v>0</v>
      </c>
      <c r="P32" s="138">
        <v>0</v>
      </c>
      <c r="Q32" s="138">
        <v>2.9999999864999995E-2</v>
      </c>
      <c r="R32" s="138">
        <v>0.379</v>
      </c>
      <c r="S32" s="138">
        <v>0</v>
      </c>
      <c r="T32" s="138">
        <v>0</v>
      </c>
      <c r="U32" s="138">
        <v>0</v>
      </c>
      <c r="V32" s="138">
        <v>0</v>
      </c>
      <c r="W32" s="138">
        <v>0</v>
      </c>
      <c r="X32" s="138">
        <v>0.78200000000000003</v>
      </c>
      <c r="Y32" s="138">
        <v>0</v>
      </c>
      <c r="Z32" s="138">
        <v>0.72499999999999998</v>
      </c>
      <c r="AA32" s="138">
        <v>0</v>
      </c>
      <c r="AB32" s="138">
        <v>5.3999999999999999E-2</v>
      </c>
      <c r="AC32" s="138">
        <v>0</v>
      </c>
      <c r="AD32" s="138">
        <v>0</v>
      </c>
      <c r="AE32" s="138">
        <v>0</v>
      </c>
      <c r="AF32" s="138">
        <v>7.0000000000000007E-2</v>
      </c>
      <c r="AG32" s="138">
        <v>0</v>
      </c>
      <c r="AH32" s="138">
        <v>0</v>
      </c>
    </row>
    <row r="33" spans="1:34" customFormat="1" x14ac:dyDescent="0.15">
      <c r="A33" s="172" t="s">
        <v>223</v>
      </c>
      <c r="B33" s="138">
        <v>0</v>
      </c>
      <c r="C33" s="138">
        <v>0</v>
      </c>
      <c r="D33" s="138">
        <v>0.55000000000000004</v>
      </c>
      <c r="E33" s="138">
        <v>0</v>
      </c>
      <c r="F33" s="138">
        <v>0</v>
      </c>
      <c r="G33" s="138">
        <v>0.2</v>
      </c>
      <c r="H33" s="138">
        <v>0</v>
      </c>
      <c r="I33" s="138">
        <v>0</v>
      </c>
      <c r="J33" s="138">
        <v>0</v>
      </c>
      <c r="K33" s="138">
        <v>0</v>
      </c>
      <c r="L33" s="138">
        <v>0</v>
      </c>
      <c r="M33" s="138">
        <v>0</v>
      </c>
      <c r="N33" s="138">
        <v>0</v>
      </c>
      <c r="O33" s="138">
        <v>0</v>
      </c>
      <c r="P33" s="138">
        <v>0</v>
      </c>
      <c r="Q33" s="138">
        <v>0</v>
      </c>
      <c r="R33" s="138">
        <v>0</v>
      </c>
      <c r="S33" s="138">
        <v>0</v>
      </c>
      <c r="T33" s="138">
        <v>0</v>
      </c>
      <c r="U33" s="138">
        <v>0</v>
      </c>
      <c r="V33" s="138">
        <v>0</v>
      </c>
      <c r="W33" s="138">
        <v>0</v>
      </c>
      <c r="X33" s="138">
        <v>0</v>
      </c>
      <c r="Y33" s="138">
        <v>0</v>
      </c>
      <c r="Z33" s="138">
        <v>0</v>
      </c>
      <c r="AA33" s="138">
        <v>0</v>
      </c>
      <c r="AB33" s="138">
        <v>0</v>
      </c>
      <c r="AC33" s="138">
        <v>0</v>
      </c>
      <c r="AD33" s="138">
        <v>0</v>
      </c>
      <c r="AE33" s="138">
        <v>0.95</v>
      </c>
      <c r="AF33" s="138">
        <v>0.8</v>
      </c>
      <c r="AG33" s="138">
        <v>0</v>
      </c>
      <c r="AH33" s="138">
        <v>0</v>
      </c>
    </row>
    <row r="34" spans="1:34" customFormat="1" x14ac:dyDescent="0.15">
      <c r="A34" s="172" t="s">
        <v>224</v>
      </c>
      <c r="B34" s="138">
        <v>0</v>
      </c>
      <c r="C34" s="138">
        <v>0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  <c r="P34" s="138">
        <v>0</v>
      </c>
      <c r="Q34" s="138">
        <v>0</v>
      </c>
      <c r="R34" s="138">
        <v>0</v>
      </c>
      <c r="S34" s="138">
        <v>0</v>
      </c>
      <c r="T34" s="138">
        <v>0</v>
      </c>
      <c r="U34" s="138">
        <v>0</v>
      </c>
      <c r="V34" s="138">
        <v>0</v>
      </c>
      <c r="W34" s="138">
        <v>0</v>
      </c>
      <c r="X34" s="138">
        <v>0</v>
      </c>
      <c r="Y34" s="138">
        <v>0</v>
      </c>
      <c r="Z34" s="138">
        <v>0</v>
      </c>
      <c r="AA34" s="138">
        <v>0</v>
      </c>
      <c r="AB34" s="138">
        <v>0</v>
      </c>
      <c r="AC34" s="138">
        <v>0</v>
      </c>
      <c r="AD34" s="138">
        <v>0</v>
      </c>
      <c r="AE34" s="138">
        <v>0</v>
      </c>
      <c r="AF34" s="138">
        <v>0</v>
      </c>
      <c r="AG34" s="138">
        <v>0</v>
      </c>
      <c r="AH34" s="138">
        <v>0</v>
      </c>
    </row>
    <row r="35" spans="1:34" customFormat="1" x14ac:dyDescent="0.15">
      <c r="A35" s="172" t="s">
        <v>238</v>
      </c>
      <c r="B35" s="138">
        <v>0</v>
      </c>
      <c r="C35" s="138">
        <v>0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  <c r="P35" s="138">
        <v>0</v>
      </c>
      <c r="Q35" s="138">
        <v>5.0000004274999975E-2</v>
      </c>
      <c r="R35" s="138">
        <v>0</v>
      </c>
      <c r="S35" s="138">
        <v>0</v>
      </c>
      <c r="T35" s="138">
        <v>0</v>
      </c>
      <c r="U35" s="138">
        <v>0</v>
      </c>
      <c r="V35" s="138">
        <v>0</v>
      </c>
      <c r="W35" s="138">
        <v>0</v>
      </c>
      <c r="X35" s="138">
        <v>0</v>
      </c>
      <c r="Y35" s="138">
        <v>0</v>
      </c>
      <c r="Z35" s="138">
        <v>0</v>
      </c>
      <c r="AA35" s="138">
        <v>0</v>
      </c>
      <c r="AB35" s="138">
        <v>0</v>
      </c>
      <c r="AC35" s="138">
        <v>0</v>
      </c>
      <c r="AD35" s="138">
        <v>0</v>
      </c>
      <c r="AE35" s="138">
        <v>0</v>
      </c>
      <c r="AF35" s="138">
        <v>0</v>
      </c>
      <c r="AG35" s="138">
        <v>0</v>
      </c>
      <c r="AH35" s="138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H49" sqref="H49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0" style="109" customWidth="1"/>
    <col min="5" max="6" width="10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5" t="s">
        <v>223</v>
      </c>
      <c r="D1" s="175" t="s">
        <v>224</v>
      </c>
      <c r="E1" s="175" t="s">
        <v>239</v>
      </c>
      <c r="F1" s="175" t="s">
        <v>240</v>
      </c>
      <c r="G1"/>
      <c r="H1"/>
    </row>
    <row r="2" spans="1:8" x14ac:dyDescent="0.15">
      <c r="A2">
        <v>1</v>
      </c>
      <c r="B2" s="174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4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4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4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4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4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4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4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4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4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4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4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4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4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4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4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4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4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4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4" t="s">
        <v>211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4" t="s">
        <v>212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4" t="s">
        <v>213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4" t="s">
        <v>214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4" t="s">
        <v>215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4" t="s">
        <v>216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4" t="s">
        <v>217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4" t="s">
        <v>218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4" t="s">
        <v>219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4" t="s">
        <v>220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4" t="s">
        <v>221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4" t="s">
        <v>222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4" t="s">
        <v>223</v>
      </c>
      <c r="C33" s="109">
        <v>0</v>
      </c>
      <c r="D33" s="109">
        <v>1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4" t="s">
        <v>224</v>
      </c>
      <c r="C34" s="109">
        <v>0</v>
      </c>
      <c r="D34" s="109">
        <v>0</v>
      </c>
      <c r="E34" s="108">
        <v>1</v>
      </c>
      <c r="F34" s="108">
        <v>1</v>
      </c>
    </row>
    <row r="35" spans="1:8" ht="15" customHeight="1" x14ac:dyDescent="0.15">
      <c r="A35">
        <v>34</v>
      </c>
      <c r="B35" s="174" t="s">
        <v>225</v>
      </c>
      <c r="C35" s="109">
        <v>0</v>
      </c>
      <c r="D35" s="109">
        <v>1</v>
      </c>
      <c r="E35" s="108">
        <v>0</v>
      </c>
      <c r="F35" s="108">
        <v>1</v>
      </c>
    </row>
    <row r="36" spans="1:8" ht="15" customHeight="1" x14ac:dyDescent="0.15">
      <c r="A36">
        <v>35</v>
      </c>
      <c r="B36" s="174" t="s">
        <v>226</v>
      </c>
      <c r="C36" s="109">
        <v>0</v>
      </c>
      <c r="D36" s="109">
        <v>1</v>
      </c>
      <c r="E36" s="109">
        <v>0</v>
      </c>
      <c r="F36" s="109">
        <v>1</v>
      </c>
      <c r="G36"/>
      <c r="H36"/>
    </row>
    <row r="37" spans="1:8" ht="15" customHeight="1" x14ac:dyDescent="0.15">
      <c r="A37">
        <v>36</v>
      </c>
      <c r="B37" s="174" t="s">
        <v>227</v>
      </c>
      <c r="C37" s="109">
        <v>0</v>
      </c>
      <c r="D37" s="109">
        <v>1</v>
      </c>
      <c r="E37" s="109">
        <v>0</v>
      </c>
      <c r="F37" s="109">
        <v>1</v>
      </c>
      <c r="G37"/>
      <c r="H37"/>
    </row>
    <row r="38" spans="1:8" ht="15" customHeight="1" x14ac:dyDescent="0.15">
      <c r="A38">
        <v>37</v>
      </c>
      <c r="B38" s="174" t="s">
        <v>228</v>
      </c>
      <c r="C38" s="109">
        <v>0</v>
      </c>
      <c r="D38" s="109">
        <v>1</v>
      </c>
      <c r="E38" s="109">
        <v>0</v>
      </c>
      <c r="F38" s="109">
        <v>1</v>
      </c>
      <c r="G38"/>
      <c r="H38"/>
    </row>
    <row r="39" spans="1:8" ht="15" customHeight="1" x14ac:dyDescent="0.15">
      <c r="A39">
        <v>38</v>
      </c>
      <c r="B39" s="174" t="s">
        <v>229</v>
      </c>
      <c r="C39" s="109">
        <v>0</v>
      </c>
      <c r="D39" s="109">
        <v>1</v>
      </c>
      <c r="E39" s="109">
        <v>0</v>
      </c>
      <c r="F39" s="109">
        <v>1</v>
      </c>
      <c r="G39"/>
      <c r="H39"/>
    </row>
    <row r="40" spans="1:8" ht="15" customHeight="1" x14ac:dyDescent="0.15">
      <c r="A40">
        <v>39</v>
      </c>
      <c r="B40" s="174" t="s">
        <v>230</v>
      </c>
      <c r="C40" s="109">
        <v>0</v>
      </c>
      <c r="D40" s="109">
        <v>1</v>
      </c>
      <c r="E40" s="109">
        <v>0</v>
      </c>
      <c r="F40" s="109">
        <v>1</v>
      </c>
      <c r="G40"/>
      <c r="H40"/>
    </row>
    <row r="41" spans="1:8" ht="15" customHeight="1" x14ac:dyDescent="0.15">
      <c r="A41">
        <v>40</v>
      </c>
      <c r="B41" s="174" t="s">
        <v>231</v>
      </c>
      <c r="C41" s="109">
        <v>0</v>
      </c>
      <c r="D41" s="109">
        <v>1</v>
      </c>
      <c r="E41" s="109">
        <v>0</v>
      </c>
      <c r="F41" s="109">
        <v>1</v>
      </c>
      <c r="G41"/>
      <c r="H41"/>
    </row>
    <row r="42" spans="1:8" ht="15" customHeight="1" x14ac:dyDescent="0.15">
      <c r="A42">
        <v>41</v>
      </c>
      <c r="B42" s="174" t="s">
        <v>232</v>
      </c>
      <c r="C42" s="109">
        <v>0</v>
      </c>
      <c r="D42" s="109">
        <v>1</v>
      </c>
      <c r="E42" s="109">
        <v>0</v>
      </c>
      <c r="F42" s="109">
        <v>1</v>
      </c>
      <c r="G42"/>
      <c r="H42"/>
    </row>
    <row r="43" spans="1:8" ht="15" customHeight="1" x14ac:dyDescent="0.15">
      <c r="A43">
        <v>42</v>
      </c>
      <c r="B43" s="174" t="s">
        <v>233</v>
      </c>
      <c r="C43" s="109">
        <v>0</v>
      </c>
      <c r="D43" s="109">
        <v>1</v>
      </c>
      <c r="E43" s="109">
        <v>0</v>
      </c>
      <c r="F43" s="109">
        <v>1</v>
      </c>
      <c r="G43"/>
      <c r="H43"/>
    </row>
    <row r="44" spans="1:8" ht="15" customHeight="1" x14ac:dyDescent="0.15">
      <c r="A44">
        <v>43</v>
      </c>
      <c r="B44" s="174" t="s">
        <v>234</v>
      </c>
      <c r="C44" s="109">
        <v>0</v>
      </c>
      <c r="D44" s="109">
        <v>1</v>
      </c>
      <c r="E44" s="108">
        <v>0</v>
      </c>
      <c r="F44" s="108">
        <v>1</v>
      </c>
      <c r="G44"/>
      <c r="H44"/>
    </row>
    <row r="45" spans="1:8" ht="15" customHeight="1" x14ac:dyDescent="0.15">
      <c r="A45">
        <v>44</v>
      </c>
      <c r="B45" s="174" t="s">
        <v>235</v>
      </c>
      <c r="C45" s="109">
        <v>0</v>
      </c>
      <c r="D45" s="109">
        <v>1</v>
      </c>
      <c r="E45" s="108">
        <v>0</v>
      </c>
      <c r="F45" s="108">
        <v>1</v>
      </c>
      <c r="G45"/>
      <c r="H45"/>
    </row>
    <row r="46" spans="1:8" ht="15" customHeight="1" x14ac:dyDescent="0.15">
      <c r="A46">
        <v>45</v>
      </c>
      <c r="B46" s="174" t="s">
        <v>236</v>
      </c>
      <c r="C46" s="109">
        <v>0</v>
      </c>
      <c r="D46" s="109">
        <v>1</v>
      </c>
      <c r="E46" s="109">
        <v>0</v>
      </c>
      <c r="F46" s="109">
        <v>1</v>
      </c>
      <c r="G46"/>
      <c r="H46"/>
    </row>
    <row r="47" spans="1:8" ht="15" customHeight="1" x14ac:dyDescent="0.15">
      <c r="A47">
        <v>46</v>
      </c>
      <c r="B47" s="174" t="s">
        <v>237</v>
      </c>
      <c r="C47" s="109">
        <v>0</v>
      </c>
      <c r="D47" s="109">
        <v>1</v>
      </c>
      <c r="E47" s="108">
        <v>0</v>
      </c>
      <c r="F47" s="108">
        <v>1</v>
      </c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P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5" width="5.83203125" bestFit="1" customWidth="1"/>
    <col min="6" max="6" width="5.83203125" customWidth="1"/>
    <col min="7" max="7" width="6.83203125" customWidth="1"/>
    <col min="8" max="10" width="5.83203125" customWidth="1"/>
    <col min="11" max="11" width="8.83203125" customWidth="1"/>
    <col min="12" max="12" width="5.83203125" customWidth="1"/>
    <col min="13" max="13" width="7.83203125" customWidth="1"/>
    <col min="14" max="14" width="5.83203125" customWidth="1"/>
    <col min="15" max="15" width="6.83203125" customWidth="1"/>
    <col min="16" max="16" width="8.83203125" customWidth="1"/>
  </cols>
  <sheetData>
    <row r="1" spans="1:16" s="110" customFormat="1" ht="112" x14ac:dyDescent="0.15">
      <c r="A1" s="5" t="s">
        <v>21</v>
      </c>
      <c r="B1" s="3" t="s">
        <v>0</v>
      </c>
      <c r="C1" s="177" t="s">
        <v>225</v>
      </c>
      <c r="D1" s="177" t="s">
        <v>226</v>
      </c>
      <c r="E1" s="177" t="s">
        <v>227</v>
      </c>
      <c r="F1" s="177" t="s">
        <v>228</v>
      </c>
      <c r="G1" s="177" t="s">
        <v>229</v>
      </c>
      <c r="H1" s="177" t="s">
        <v>230</v>
      </c>
      <c r="I1" s="177" t="s">
        <v>231</v>
      </c>
      <c r="J1" s="177" t="s">
        <v>232</v>
      </c>
      <c r="K1" s="177" t="s">
        <v>233</v>
      </c>
      <c r="L1" s="177" t="s">
        <v>234</v>
      </c>
      <c r="M1" s="177" t="s">
        <v>235</v>
      </c>
      <c r="N1" s="177" t="s">
        <v>236</v>
      </c>
      <c r="O1" s="177" t="s">
        <v>237</v>
      </c>
      <c r="P1" s="177" t="s">
        <v>241</v>
      </c>
    </row>
    <row r="2" spans="1:16" ht="15" customHeight="1" x14ac:dyDescent="0.15">
      <c r="A2">
        <v>1</v>
      </c>
      <c r="B2" s="17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15">
      <c r="A3">
        <v>2</v>
      </c>
      <c r="B3" s="17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15">
      <c r="A4">
        <v>3</v>
      </c>
      <c r="B4" s="17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15">
      <c r="A5">
        <v>4</v>
      </c>
      <c r="B5" s="17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15">
      <c r="A6">
        <v>5</v>
      </c>
      <c r="B6" s="17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15">
      <c r="A7">
        <v>6</v>
      </c>
      <c r="B7" s="17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ht="15" customHeight="1" x14ac:dyDescent="0.15">
      <c r="A8">
        <v>7</v>
      </c>
      <c r="B8" s="176" t="s">
        <v>198</v>
      </c>
      <c r="C8">
        <v>0.95199999999999996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0.95199999999999996</v>
      </c>
    </row>
    <row r="9" spans="1:16" ht="15" customHeight="1" x14ac:dyDescent="0.15">
      <c r="A9">
        <v>8</v>
      </c>
      <c r="B9" s="176" t="s">
        <v>199</v>
      </c>
      <c r="C9">
        <v>0.44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0.44</v>
      </c>
    </row>
    <row r="10" spans="1:16" ht="15" customHeight="1" x14ac:dyDescent="0.15">
      <c r="A10">
        <v>9</v>
      </c>
      <c r="B10" s="176" t="s">
        <v>200</v>
      </c>
      <c r="C10">
        <v>0.30499999999999999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0.30499999999999999</v>
      </c>
    </row>
    <row r="11" spans="1:16" ht="15" customHeight="1" x14ac:dyDescent="0.15">
      <c r="A11">
        <v>10</v>
      </c>
      <c r="B11" s="176" t="s">
        <v>201</v>
      </c>
      <c r="C11">
        <v>1E-3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1E-3</v>
      </c>
    </row>
    <row r="12" spans="1:16" ht="15" customHeight="1" x14ac:dyDescent="0.15">
      <c r="A12">
        <v>11</v>
      </c>
      <c r="B12" s="176" t="s">
        <v>202</v>
      </c>
      <c r="C12">
        <v>1.0999999999999999E-2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2.8000000000000001E-2</v>
      </c>
      <c r="O12">
        <v>0</v>
      </c>
      <c r="P12">
        <v>3.9E-2</v>
      </c>
    </row>
    <row r="13" spans="1:16" ht="15" customHeight="1" x14ac:dyDescent="0.15">
      <c r="A13">
        <v>12</v>
      </c>
      <c r="B13" s="176" t="s">
        <v>203</v>
      </c>
      <c r="C13">
        <v>1.6E-2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1.6E-2</v>
      </c>
    </row>
    <row r="14" spans="1:16" ht="15" customHeight="1" x14ac:dyDescent="0.15">
      <c r="A14">
        <v>13</v>
      </c>
      <c r="B14" s="176" t="s">
        <v>204</v>
      </c>
      <c r="C14">
        <v>0</v>
      </c>
      <c r="D14">
        <v>9.9999999999999995E-7</v>
      </c>
      <c r="E14">
        <v>0</v>
      </c>
      <c r="F14">
        <v>0</v>
      </c>
      <c r="G14">
        <v>9.9400000000000002E-2</v>
      </c>
      <c r="H14">
        <v>0</v>
      </c>
      <c r="I14">
        <v>0</v>
      </c>
      <c r="J14">
        <v>0</v>
      </c>
      <c r="K14">
        <v>0</v>
      </c>
      <c r="L14">
        <v>5.5E-2</v>
      </c>
      <c r="M14">
        <v>0</v>
      </c>
      <c r="N14">
        <v>0</v>
      </c>
      <c r="O14">
        <v>0</v>
      </c>
      <c r="P14">
        <v>0.15440100000000001</v>
      </c>
    </row>
    <row r="15" spans="1:16" ht="15" customHeight="1" x14ac:dyDescent="0.15">
      <c r="A15">
        <v>14</v>
      </c>
      <c r="B15" s="176" t="s">
        <v>205</v>
      </c>
      <c r="C15">
        <v>5.0000000000000001E-3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5.0000000000000001E-3</v>
      </c>
    </row>
    <row r="16" spans="1:16" ht="15" customHeight="1" x14ac:dyDescent="0.15">
      <c r="A16">
        <v>15</v>
      </c>
      <c r="B16" s="176" t="s">
        <v>206</v>
      </c>
      <c r="C16">
        <v>0</v>
      </c>
      <c r="D16">
        <v>1E-3</v>
      </c>
      <c r="E16">
        <v>1.4999999999999999E-2</v>
      </c>
      <c r="F16">
        <v>0</v>
      </c>
      <c r="G16">
        <v>1E-3</v>
      </c>
      <c r="H16">
        <v>0</v>
      </c>
      <c r="I16">
        <v>0</v>
      </c>
      <c r="J16">
        <v>3.4000000000000002E-2</v>
      </c>
      <c r="K16">
        <v>0</v>
      </c>
      <c r="L16">
        <v>0</v>
      </c>
      <c r="M16">
        <v>0</v>
      </c>
      <c r="N16">
        <v>0</v>
      </c>
      <c r="O16">
        <v>0</v>
      </c>
      <c r="P16">
        <v>5.1000000000000004E-2</v>
      </c>
    </row>
    <row r="17" spans="1:16" ht="15" customHeight="1" x14ac:dyDescent="0.15">
      <c r="A17">
        <v>16</v>
      </c>
      <c r="B17" s="176" t="s">
        <v>207</v>
      </c>
      <c r="C17">
        <v>0</v>
      </c>
      <c r="D17">
        <v>0</v>
      </c>
      <c r="E17">
        <v>2.4E-2</v>
      </c>
      <c r="F17">
        <v>0</v>
      </c>
      <c r="G17">
        <v>2E-3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1E-3</v>
      </c>
      <c r="O17">
        <v>0</v>
      </c>
      <c r="P17">
        <v>2.7000000000000003E-2</v>
      </c>
    </row>
    <row r="18" spans="1:16" ht="15" customHeight="1" x14ac:dyDescent="0.15">
      <c r="A18">
        <v>17</v>
      </c>
      <c r="B18" s="17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2.3E-2</v>
      </c>
      <c r="I18">
        <v>7.9999999999999996E-6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2.3008000000000001E-2</v>
      </c>
    </row>
    <row r="19" spans="1:16" ht="15" customHeight="1" x14ac:dyDescent="0.15">
      <c r="A19">
        <v>18</v>
      </c>
      <c r="B19" s="17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ht="15" customHeight="1" x14ac:dyDescent="0.15">
      <c r="A20">
        <v>19</v>
      </c>
      <c r="B20" s="176" t="s">
        <v>210</v>
      </c>
      <c r="C20">
        <v>0</v>
      </c>
      <c r="D20">
        <v>0</v>
      </c>
      <c r="E20">
        <v>9.9999999999999995E-7</v>
      </c>
      <c r="F20">
        <v>1.9999999999999999E-6</v>
      </c>
      <c r="G20">
        <v>0</v>
      </c>
      <c r="H20">
        <v>0</v>
      </c>
      <c r="I20">
        <v>0</v>
      </c>
      <c r="J20">
        <v>0</v>
      </c>
      <c r="K20">
        <v>0.122673</v>
      </c>
      <c r="L20">
        <v>0</v>
      </c>
      <c r="M20">
        <v>2.1229999999999999E-2</v>
      </c>
      <c r="N20">
        <v>0</v>
      </c>
      <c r="O20">
        <v>0</v>
      </c>
      <c r="P20">
        <v>0.14390600000000001</v>
      </c>
    </row>
    <row r="21" spans="1:16" ht="15" customHeight="1" x14ac:dyDescent="0.15">
      <c r="A21">
        <v>20</v>
      </c>
      <c r="B21" s="17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0.14729999999999999</v>
      </c>
      <c r="P21">
        <v>0.14729999999999999</v>
      </c>
    </row>
    <row r="22" spans="1:16" ht="15" customHeight="1" x14ac:dyDescent="0.15">
      <c r="A22">
        <v>21</v>
      </c>
      <c r="B22" s="176" t="s">
        <v>212</v>
      </c>
      <c r="C22">
        <v>0</v>
      </c>
      <c r="D22">
        <v>0</v>
      </c>
      <c r="E22">
        <v>0</v>
      </c>
      <c r="F22">
        <v>9.9999999999999995E-7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0.34370000000000001</v>
      </c>
      <c r="P22">
        <v>0.34370099999999998</v>
      </c>
    </row>
    <row r="23" spans="1:16" ht="15" customHeight="1" x14ac:dyDescent="0.15">
      <c r="A23">
        <v>22</v>
      </c>
      <c r="B23" s="17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2.1999999999999999E-2</v>
      </c>
      <c r="O23">
        <v>0</v>
      </c>
      <c r="P23">
        <v>2.1999999999999999E-2</v>
      </c>
    </row>
    <row r="24" spans="1:16" ht="15" customHeight="1" x14ac:dyDescent="0.15">
      <c r="A24">
        <v>23</v>
      </c>
      <c r="B24" s="176" t="s">
        <v>214</v>
      </c>
      <c r="C24">
        <v>0</v>
      </c>
      <c r="D24">
        <v>0</v>
      </c>
      <c r="E24">
        <v>0</v>
      </c>
      <c r="F24">
        <v>1.2999999999999999E-2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0.08</v>
      </c>
      <c r="O24">
        <v>0</v>
      </c>
      <c r="P24">
        <v>9.2999999999999999E-2</v>
      </c>
    </row>
    <row r="25" spans="1:16" ht="15" customHeight="1" x14ac:dyDescent="0.15">
      <c r="A25">
        <v>24</v>
      </c>
      <c r="B25" s="176" t="s">
        <v>215</v>
      </c>
      <c r="C25">
        <v>0</v>
      </c>
      <c r="D25">
        <v>0</v>
      </c>
      <c r="E25">
        <v>2E-3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2E-3</v>
      </c>
    </row>
    <row r="26" spans="1:16" ht="15" customHeight="1" x14ac:dyDescent="0.15">
      <c r="A26">
        <v>25</v>
      </c>
      <c r="B26" s="176" t="s">
        <v>216</v>
      </c>
      <c r="C26">
        <v>0</v>
      </c>
      <c r="D26">
        <v>0</v>
      </c>
      <c r="E26">
        <v>0</v>
      </c>
      <c r="F26">
        <v>1E-3</v>
      </c>
      <c r="G26">
        <v>1E-3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8.9999999999999993E-3</v>
      </c>
      <c r="O26">
        <v>0</v>
      </c>
      <c r="P26">
        <v>1.0999999999999999E-2</v>
      </c>
    </row>
    <row r="27" spans="1:16" ht="15" customHeight="1" x14ac:dyDescent="0.15">
      <c r="A27">
        <v>26</v>
      </c>
      <c r="B27" s="17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ht="15" customHeight="1" x14ac:dyDescent="0.15">
      <c r="A28">
        <v>27</v>
      </c>
      <c r="B28" s="176" t="s">
        <v>218</v>
      </c>
      <c r="C28">
        <v>0</v>
      </c>
      <c r="D28">
        <v>0</v>
      </c>
      <c r="E28">
        <v>0</v>
      </c>
      <c r="F28">
        <v>0</v>
      </c>
      <c r="G28">
        <v>5.0000000000000001E-3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5.0000000000000001E-3</v>
      </c>
    </row>
    <row r="29" spans="1:16" ht="15" customHeight="1" x14ac:dyDescent="0.15">
      <c r="A29">
        <v>28</v>
      </c>
      <c r="B29" s="17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ht="15" customHeight="1" x14ac:dyDescent="0.15">
      <c r="A30">
        <v>29</v>
      </c>
      <c r="B30" s="17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ht="15" customHeight="1" x14ac:dyDescent="0.15">
      <c r="A31">
        <v>30</v>
      </c>
      <c r="B31" s="17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ht="15" customHeight="1" x14ac:dyDescent="0.15">
      <c r="A32">
        <v>31</v>
      </c>
      <c r="B32" s="17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ht="15" customHeight="1" x14ac:dyDescent="0.15">
      <c r="A33">
        <v>32</v>
      </c>
      <c r="B33" s="17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ht="15" customHeight="1" x14ac:dyDescent="0.15">
      <c r="A34">
        <v>33</v>
      </c>
      <c r="B34" s="17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ht="15" customHeight="1" x14ac:dyDescent="0.15"/>
    <row r="36" spans="1:16" ht="15" customHeight="1" x14ac:dyDescent="0.15"/>
    <row r="37" spans="1:16" ht="15" customHeight="1" x14ac:dyDescent="0.15"/>
    <row r="38" spans="1:16" ht="15" customHeight="1" x14ac:dyDescent="0.15"/>
    <row r="39" spans="1:16" ht="15" customHeight="1" x14ac:dyDescent="0.15"/>
    <row r="40" spans="1:16" ht="15" customHeight="1" x14ac:dyDescent="0.15"/>
    <row r="41" spans="1:16" ht="15" customHeight="1" x14ac:dyDescent="0.15"/>
    <row r="42" spans="1:16" ht="15" customHeight="1" x14ac:dyDescent="0.15"/>
    <row r="43" spans="1:16" ht="15" customHeight="1" x14ac:dyDescent="0.15"/>
    <row r="44" spans="1:16" ht="15" customHeight="1" x14ac:dyDescent="0.15"/>
    <row r="45" spans="1:16" ht="15" customHeight="1" x14ac:dyDescent="0.15"/>
    <row r="46" spans="1:16" ht="15" customHeight="1" x14ac:dyDescent="0.15"/>
    <row r="47" spans="1:16" ht="15" customHeight="1" x14ac:dyDescent="0.15"/>
    <row r="48" spans="1:1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P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83203125" bestFit="1" customWidth="1"/>
    <col min="3" max="5" width="2.33203125" bestFit="1" customWidth="1"/>
    <col min="6" max="12" width="2.33203125" customWidth="1"/>
    <col min="13" max="14" width="5.83203125" customWidth="1"/>
    <col min="15" max="15" width="2.33203125" customWidth="1"/>
    <col min="16" max="16" width="5.83203125" customWidth="1"/>
  </cols>
  <sheetData>
    <row r="1" spans="1:16" s="110" customFormat="1" ht="112" x14ac:dyDescent="0.15">
      <c r="A1" s="5" t="s">
        <v>22</v>
      </c>
      <c r="B1" s="3" t="s">
        <v>0</v>
      </c>
      <c r="C1" s="179" t="s">
        <v>225</v>
      </c>
      <c r="D1" s="179" t="s">
        <v>226</v>
      </c>
      <c r="E1" s="179" t="s">
        <v>227</v>
      </c>
      <c r="F1" s="179" t="s">
        <v>228</v>
      </c>
      <c r="G1" s="179" t="s">
        <v>229</v>
      </c>
      <c r="H1" s="179" t="s">
        <v>230</v>
      </c>
      <c r="I1" s="179" t="s">
        <v>231</v>
      </c>
      <c r="J1" s="179" t="s">
        <v>232</v>
      </c>
      <c r="K1" s="179" t="s">
        <v>233</v>
      </c>
      <c r="L1" s="179" t="s">
        <v>234</v>
      </c>
      <c r="M1" s="179" t="s">
        <v>235</v>
      </c>
      <c r="N1" s="179" t="s">
        <v>236</v>
      </c>
      <c r="O1" s="179" t="s">
        <v>237</v>
      </c>
      <c r="P1" s="179" t="s">
        <v>241</v>
      </c>
    </row>
    <row r="2" spans="1:16" x14ac:dyDescent="0.15">
      <c r="A2">
        <v>1</v>
      </c>
      <c r="B2" s="17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15">
      <c r="A3">
        <v>2</v>
      </c>
      <c r="B3" s="17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15">
      <c r="A4">
        <v>3</v>
      </c>
      <c r="B4" s="17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x14ac:dyDescent="0.15">
      <c r="A5">
        <v>4</v>
      </c>
      <c r="B5" s="17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15">
      <c r="A6">
        <v>5</v>
      </c>
      <c r="B6" s="17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15">
      <c r="A7">
        <v>6</v>
      </c>
      <c r="B7" s="17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15">
      <c r="A8">
        <v>7</v>
      </c>
      <c r="B8" s="17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15">
      <c r="A9">
        <v>8</v>
      </c>
      <c r="B9" s="17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15">
      <c r="A10">
        <v>9</v>
      </c>
      <c r="B10" s="17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15">
      <c r="A11">
        <v>10</v>
      </c>
      <c r="B11" s="17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15">
      <c r="A12">
        <v>11</v>
      </c>
      <c r="B12" s="17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15">
      <c r="A13">
        <v>12</v>
      </c>
      <c r="B13" s="17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15">
      <c r="A14">
        <v>13</v>
      </c>
      <c r="B14" s="17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15">
      <c r="A15">
        <v>14</v>
      </c>
      <c r="B15" s="17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15">
      <c r="A16">
        <v>15</v>
      </c>
      <c r="B16" s="17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15">
      <c r="A17">
        <v>16</v>
      </c>
      <c r="B17" s="17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15">
      <c r="A18">
        <v>17</v>
      </c>
      <c r="B18" s="17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15">
      <c r="A19">
        <v>18</v>
      </c>
      <c r="B19" s="17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7.0000000000000001E-3</v>
      </c>
      <c r="N19">
        <v>7.0000000000000001E-3</v>
      </c>
      <c r="O19">
        <v>0</v>
      </c>
      <c r="P19">
        <v>1.4E-2</v>
      </c>
    </row>
    <row r="20" spans="1:16" x14ac:dyDescent="0.15">
      <c r="A20">
        <v>19</v>
      </c>
      <c r="B20" s="17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15">
      <c r="A21">
        <v>20</v>
      </c>
      <c r="B21" s="17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3.0000000000000001E-3</v>
      </c>
      <c r="O21">
        <v>0</v>
      </c>
      <c r="P21">
        <v>3.0000000000000001E-3</v>
      </c>
    </row>
    <row r="22" spans="1:16" x14ac:dyDescent="0.15">
      <c r="A22">
        <v>21</v>
      </c>
      <c r="B22" s="17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15">
      <c r="A23">
        <v>22</v>
      </c>
      <c r="B23" s="17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15">
      <c r="A24">
        <v>23</v>
      </c>
      <c r="B24" s="17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15">
      <c r="A25">
        <v>24</v>
      </c>
      <c r="B25" s="17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15">
      <c r="A26">
        <v>25</v>
      </c>
      <c r="B26" s="17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15">
      <c r="A27">
        <v>26</v>
      </c>
      <c r="B27" s="17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15">
      <c r="A28">
        <v>27</v>
      </c>
      <c r="B28" s="17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15">
      <c r="A29">
        <v>28</v>
      </c>
      <c r="B29" s="17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15">
      <c r="A30">
        <v>29</v>
      </c>
      <c r="B30" s="17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15">
      <c r="A31">
        <v>30</v>
      </c>
      <c r="B31" s="17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15">
      <c r="A32">
        <v>31</v>
      </c>
      <c r="B32" s="17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15">
      <c r="A33">
        <v>32</v>
      </c>
      <c r="B33" s="17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15">
      <c r="A34">
        <v>33</v>
      </c>
      <c r="B34" s="17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832031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0" t="s">
        <v>192</v>
      </c>
      <c r="F2">
        <v>0.98</v>
      </c>
      <c r="G2">
        <v>0.8</v>
      </c>
      <c r="H2">
        <v>0.8</v>
      </c>
      <c r="I2">
        <v>0</v>
      </c>
      <c r="J2" s="109">
        <v>0</v>
      </c>
      <c r="K2" s="109">
        <v>0</v>
      </c>
    </row>
    <row r="3" spans="1:42" x14ac:dyDescent="0.15">
      <c r="A3" s="118" t="s">
        <v>75</v>
      </c>
      <c r="B3" s="120">
        <v>1</v>
      </c>
      <c r="D3">
        <v>2</v>
      </c>
      <c r="E3" s="180" t="s">
        <v>193</v>
      </c>
      <c r="F3">
        <v>0.98</v>
      </c>
      <c r="G3">
        <v>0.8</v>
      </c>
      <c r="H3">
        <v>0.8</v>
      </c>
      <c r="I3">
        <v>0</v>
      </c>
      <c r="J3" s="109">
        <v>0</v>
      </c>
      <c r="K3" s="109">
        <v>0</v>
      </c>
    </row>
    <row r="4" spans="1:42" x14ac:dyDescent="0.15">
      <c r="A4" s="118" t="s">
        <v>76</v>
      </c>
      <c r="B4" s="120">
        <v>1</v>
      </c>
      <c r="D4">
        <v>3</v>
      </c>
      <c r="E4" s="180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0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0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0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0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0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0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0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0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0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0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0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0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0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0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0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0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0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0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0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0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0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0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0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0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0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0" t="s">
        <v>220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0" t="s">
        <v>221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0" t="s">
        <v>222</v>
      </c>
      <c r="F32">
        <v>0.98</v>
      </c>
      <c r="G32">
        <v>0.8</v>
      </c>
      <c r="H32">
        <v>0.8</v>
      </c>
      <c r="I32">
        <v>0.8</v>
      </c>
      <c r="J32" s="109">
        <v>0.25</v>
      </c>
      <c r="K32" s="109">
        <v>0.05</v>
      </c>
      <c r="Y32"/>
      <c r="AC32"/>
      <c r="AG32"/>
    </row>
    <row r="33" spans="4:33" ht="15" customHeight="1" x14ac:dyDescent="0.15">
      <c r="D33">
        <v>32</v>
      </c>
      <c r="E33" s="180" t="s">
        <v>223</v>
      </c>
      <c r="F33">
        <v>0.98</v>
      </c>
      <c r="G33">
        <v>0.8</v>
      </c>
      <c r="H33">
        <v>0</v>
      </c>
      <c r="I33">
        <v>0</v>
      </c>
      <c r="J33" s="109">
        <v>0</v>
      </c>
      <c r="K33" s="109">
        <v>0</v>
      </c>
      <c r="Y33"/>
      <c r="AC33"/>
      <c r="AG33"/>
    </row>
    <row r="34" spans="4:33" ht="15" customHeight="1" x14ac:dyDescent="0.15">
      <c r="D34">
        <v>33</v>
      </c>
      <c r="E34" s="180" t="s">
        <v>224</v>
      </c>
      <c r="F34">
        <v>0.98</v>
      </c>
      <c r="G34">
        <v>0.8</v>
      </c>
      <c r="H34">
        <v>0</v>
      </c>
      <c r="I34">
        <v>0</v>
      </c>
      <c r="J34" s="109">
        <v>0</v>
      </c>
      <c r="K34" s="109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" width="2.33203125" style="107" customWidth="1"/>
    <col min="4" max="32" width="3.83203125" style="107" customWidth="1"/>
    <col min="33" max="34" width="2.33203125" style="107" customWidth="1"/>
    <col min="35" max="16384" width="10.83203125" style="107"/>
  </cols>
  <sheetData>
    <row r="1" spans="1:34" x14ac:dyDescent="0.15">
      <c r="A1" s="62" t="s">
        <v>118</v>
      </c>
      <c r="B1" s="182" t="s">
        <v>192</v>
      </c>
      <c r="C1" s="182" t="s">
        <v>193</v>
      </c>
      <c r="D1" s="182" t="s">
        <v>194</v>
      </c>
      <c r="E1" s="182" t="s">
        <v>195</v>
      </c>
      <c r="F1" s="182" t="s">
        <v>196</v>
      </c>
      <c r="G1" s="182" t="s">
        <v>197</v>
      </c>
      <c r="H1" s="182" t="s">
        <v>198</v>
      </c>
      <c r="I1" s="182" t="s">
        <v>199</v>
      </c>
      <c r="J1" s="182" t="s">
        <v>200</v>
      </c>
      <c r="K1" s="182" t="s">
        <v>201</v>
      </c>
      <c r="L1" s="182" t="s">
        <v>202</v>
      </c>
      <c r="M1" s="182" t="s">
        <v>203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 s="182" t="s">
        <v>219</v>
      </c>
      <c r="AD1" s="182" t="s">
        <v>220</v>
      </c>
      <c r="AE1" s="182" t="s">
        <v>221</v>
      </c>
      <c r="AF1" s="182" t="s">
        <v>222</v>
      </c>
      <c r="AG1" s="182" t="s">
        <v>223</v>
      </c>
      <c r="AH1" s="182" t="s">
        <v>224</v>
      </c>
    </row>
    <row r="2" spans="1:34" customFormat="1" x14ac:dyDescent="0.15">
      <c r="A2" s="181" t="s">
        <v>192</v>
      </c>
      <c r="B2" s="107">
        <v>0</v>
      </c>
      <c r="C2" s="107">
        <v>0</v>
      </c>
      <c r="D2" s="107">
        <v>0.8</v>
      </c>
      <c r="E2" s="107">
        <v>0.8</v>
      </c>
      <c r="F2" s="107">
        <v>0.8</v>
      </c>
      <c r="G2" s="107">
        <v>0</v>
      </c>
      <c r="H2" s="107">
        <v>0.8</v>
      </c>
      <c r="I2" s="107">
        <v>0.8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1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0.8</v>
      </c>
      <c r="AF3" s="107">
        <v>0.8</v>
      </c>
      <c r="AG3" s="107">
        <v>0</v>
      </c>
      <c r="AH3" s="107">
        <v>0</v>
      </c>
    </row>
    <row r="4" spans="1:34" customFormat="1" x14ac:dyDescent="0.15">
      <c r="A4" s="181" t="s">
        <v>194</v>
      </c>
      <c r="B4" s="107">
        <v>0</v>
      </c>
      <c r="C4" s="107">
        <v>0</v>
      </c>
      <c r="D4" s="107">
        <v>0.8</v>
      </c>
      <c r="E4" s="107">
        <v>0.8</v>
      </c>
      <c r="F4" s="107">
        <v>0.8</v>
      </c>
      <c r="G4" s="107">
        <v>0</v>
      </c>
      <c r="H4" s="107">
        <v>0.8</v>
      </c>
      <c r="I4" s="107">
        <v>0.8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1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0.8</v>
      </c>
      <c r="G5" s="107">
        <v>0.8</v>
      </c>
      <c r="H5" s="107">
        <v>0.8</v>
      </c>
      <c r="I5" s="107">
        <v>0.8</v>
      </c>
      <c r="J5" s="107">
        <v>0.8</v>
      </c>
      <c r="K5" s="107">
        <v>0.8</v>
      </c>
      <c r="L5" s="107">
        <v>0.8</v>
      </c>
      <c r="M5" s="107">
        <v>0.8</v>
      </c>
      <c r="N5" s="107">
        <v>0.8</v>
      </c>
      <c r="O5" s="107">
        <v>0.8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0.8</v>
      </c>
      <c r="X5" s="107">
        <v>0.8</v>
      </c>
      <c r="Y5" s="107">
        <v>0</v>
      </c>
      <c r="Z5" s="107">
        <v>0</v>
      </c>
      <c r="AA5" s="107">
        <v>0</v>
      </c>
      <c r="AB5" s="107">
        <v>0</v>
      </c>
      <c r="AC5" s="107">
        <v>0.8</v>
      </c>
      <c r="AD5" s="107">
        <v>0.8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1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0.8</v>
      </c>
      <c r="H6" s="107">
        <v>0.8</v>
      </c>
      <c r="I6" s="107">
        <v>0.8</v>
      </c>
      <c r="J6" s="107">
        <v>0.8</v>
      </c>
      <c r="K6" s="107">
        <v>0.8</v>
      </c>
      <c r="L6" s="107">
        <v>0.8</v>
      </c>
      <c r="M6" s="107">
        <v>0.8</v>
      </c>
      <c r="N6" s="107">
        <v>0.8</v>
      </c>
      <c r="O6" s="107">
        <v>0.8</v>
      </c>
      <c r="P6" s="107">
        <v>0.8</v>
      </c>
      <c r="Q6" s="107">
        <v>0.8</v>
      </c>
      <c r="R6" s="107">
        <v>0.8</v>
      </c>
      <c r="S6" s="107">
        <v>0.8</v>
      </c>
      <c r="T6" s="107">
        <v>0.8</v>
      </c>
      <c r="U6" s="107">
        <v>0.8</v>
      </c>
      <c r="V6" s="107">
        <v>0.8</v>
      </c>
      <c r="W6" s="107">
        <v>0.8</v>
      </c>
      <c r="X6" s="107">
        <v>0.8</v>
      </c>
      <c r="Y6" s="107">
        <v>0</v>
      </c>
      <c r="Z6" s="107">
        <v>0</v>
      </c>
      <c r="AA6" s="107">
        <v>0</v>
      </c>
      <c r="AB6" s="107">
        <v>0</v>
      </c>
      <c r="AC6" s="107">
        <v>0.8</v>
      </c>
      <c r="AD6" s="107">
        <v>0.8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1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0.8</v>
      </c>
      <c r="H7" s="107">
        <v>0</v>
      </c>
      <c r="I7" s="107">
        <v>0</v>
      </c>
      <c r="J7" s="107">
        <v>0</v>
      </c>
      <c r="K7" s="107">
        <v>0.8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1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0.8</v>
      </c>
      <c r="M8" s="107">
        <v>0</v>
      </c>
      <c r="N8" s="107">
        <v>0.8</v>
      </c>
      <c r="O8" s="107">
        <v>0</v>
      </c>
      <c r="P8" s="107">
        <v>0.8</v>
      </c>
      <c r="Q8" s="107">
        <v>0.8</v>
      </c>
      <c r="R8" s="107">
        <v>0.8</v>
      </c>
      <c r="S8" s="107">
        <v>0.8</v>
      </c>
      <c r="T8" s="107">
        <v>0.8</v>
      </c>
      <c r="U8" s="107">
        <v>0.8</v>
      </c>
      <c r="V8" s="107">
        <v>0.8</v>
      </c>
      <c r="W8" s="107">
        <v>0.8</v>
      </c>
      <c r="X8" s="107">
        <v>0.8</v>
      </c>
      <c r="Y8" s="107">
        <v>0.8</v>
      </c>
      <c r="Z8" s="107">
        <v>0</v>
      </c>
      <c r="AA8" s="107">
        <v>0</v>
      </c>
      <c r="AB8" s="107">
        <v>0.8</v>
      </c>
      <c r="AC8" s="107">
        <v>0.8</v>
      </c>
      <c r="AD8" s="107">
        <v>0.8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1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0.8</v>
      </c>
      <c r="M9" s="107">
        <v>0</v>
      </c>
      <c r="N9" s="107">
        <v>0.8</v>
      </c>
      <c r="O9" s="107">
        <v>0</v>
      </c>
      <c r="P9" s="107">
        <v>0.8</v>
      </c>
      <c r="Q9" s="107">
        <v>0.8</v>
      </c>
      <c r="R9" s="107">
        <v>0.8</v>
      </c>
      <c r="S9" s="107">
        <v>0.8</v>
      </c>
      <c r="T9" s="107">
        <v>0.8</v>
      </c>
      <c r="U9" s="107">
        <v>0.8</v>
      </c>
      <c r="V9" s="107">
        <v>0.8</v>
      </c>
      <c r="W9" s="107">
        <v>0.8</v>
      </c>
      <c r="X9" s="107">
        <v>0</v>
      </c>
      <c r="Y9" s="107">
        <v>0.8</v>
      </c>
      <c r="Z9" s="107">
        <v>0</v>
      </c>
      <c r="AA9" s="107">
        <v>0</v>
      </c>
      <c r="AB9" s="107">
        <v>0.8</v>
      </c>
      <c r="AC9" s="107">
        <v>0.8</v>
      </c>
      <c r="AD9" s="107">
        <v>0.8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1" t="s">
        <v>200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0.8</v>
      </c>
      <c r="M10" s="107">
        <v>0</v>
      </c>
      <c r="N10" s="107">
        <v>0.8</v>
      </c>
      <c r="O10" s="107">
        <v>0</v>
      </c>
      <c r="P10" s="107">
        <v>0.8</v>
      </c>
      <c r="Q10" s="107">
        <v>0.8</v>
      </c>
      <c r="R10" s="107">
        <v>0.8</v>
      </c>
      <c r="S10" s="107">
        <v>0.8</v>
      </c>
      <c r="T10" s="107">
        <v>0.8</v>
      </c>
      <c r="U10" s="107">
        <v>0.8</v>
      </c>
      <c r="V10" s="107">
        <v>0.8</v>
      </c>
      <c r="W10" s="107">
        <v>0.8</v>
      </c>
      <c r="X10" s="107">
        <v>0.8</v>
      </c>
      <c r="Y10" s="107">
        <v>0.8</v>
      </c>
      <c r="Z10" s="107">
        <v>0</v>
      </c>
      <c r="AA10" s="107">
        <v>0</v>
      </c>
      <c r="AB10" s="107">
        <v>0.8</v>
      </c>
      <c r="AC10" s="107">
        <v>0.8</v>
      </c>
      <c r="AD10" s="107">
        <v>0.8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1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0.8</v>
      </c>
      <c r="Q11" s="107">
        <v>0.8</v>
      </c>
      <c r="R11" s="107">
        <v>0</v>
      </c>
      <c r="S11" s="107">
        <v>0</v>
      </c>
      <c r="T11" s="107">
        <v>0.8</v>
      </c>
      <c r="U11" s="107">
        <v>0.8</v>
      </c>
      <c r="V11" s="107">
        <v>0.8</v>
      </c>
      <c r="W11" s="107">
        <v>0</v>
      </c>
      <c r="X11" s="107">
        <v>0</v>
      </c>
      <c r="Y11" s="107">
        <v>0.8</v>
      </c>
      <c r="Z11" s="107">
        <v>0</v>
      </c>
      <c r="AA11" s="107">
        <v>0</v>
      </c>
      <c r="AB11" s="107">
        <v>0.8</v>
      </c>
      <c r="AC11" s="107">
        <v>0.8</v>
      </c>
      <c r="AD11" s="107">
        <v>0.8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1" t="s">
        <v>202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0.8</v>
      </c>
      <c r="Q12" s="107">
        <v>0.8</v>
      </c>
      <c r="R12" s="107">
        <v>0</v>
      </c>
      <c r="S12" s="107">
        <v>0</v>
      </c>
      <c r="T12" s="107">
        <v>0.8</v>
      </c>
      <c r="U12" s="107">
        <v>0</v>
      </c>
      <c r="V12" s="107">
        <v>0</v>
      </c>
      <c r="W12" s="107">
        <v>0</v>
      </c>
      <c r="X12" s="107">
        <v>0</v>
      </c>
      <c r="Y12" s="107">
        <v>0.8</v>
      </c>
      <c r="Z12" s="107">
        <v>0</v>
      </c>
      <c r="AA12" s="107">
        <v>0</v>
      </c>
      <c r="AB12" s="107">
        <v>0.8</v>
      </c>
      <c r="AC12" s="107">
        <v>0</v>
      </c>
      <c r="AD12" s="107">
        <v>0.8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1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0.8</v>
      </c>
      <c r="Q13" s="107">
        <v>0.8</v>
      </c>
      <c r="R13" s="107">
        <v>0</v>
      </c>
      <c r="S13" s="107">
        <v>0</v>
      </c>
      <c r="T13" s="107">
        <v>0.8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0.8</v>
      </c>
      <c r="AC13" s="107">
        <v>0</v>
      </c>
      <c r="AD13" s="107">
        <v>0.8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1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0.8</v>
      </c>
      <c r="Q14" s="107">
        <v>0</v>
      </c>
      <c r="R14" s="107">
        <v>0</v>
      </c>
      <c r="S14" s="107">
        <v>0</v>
      </c>
      <c r="T14" s="107">
        <v>0.8</v>
      </c>
      <c r="U14" s="107">
        <v>0</v>
      </c>
      <c r="V14" s="107">
        <v>0</v>
      </c>
      <c r="W14" s="107">
        <v>0</v>
      </c>
      <c r="X14" s="107">
        <v>0</v>
      </c>
      <c r="Y14" s="107">
        <v>0.8</v>
      </c>
      <c r="Z14" s="107">
        <v>0.8</v>
      </c>
      <c r="AA14" s="107">
        <v>0.8</v>
      </c>
      <c r="AB14" s="107">
        <v>0.8</v>
      </c>
      <c r="AC14" s="107">
        <v>0.8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1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0.8</v>
      </c>
      <c r="M15" s="107">
        <v>0</v>
      </c>
      <c r="N15" s="107">
        <v>0</v>
      </c>
      <c r="O15" s="107">
        <v>0</v>
      </c>
      <c r="P15" s="107">
        <v>0.8</v>
      </c>
      <c r="Q15" s="107">
        <v>0.8</v>
      </c>
      <c r="R15" s="107">
        <v>0.8</v>
      </c>
      <c r="S15" s="107">
        <v>0.8</v>
      </c>
      <c r="T15" s="107">
        <v>0.8</v>
      </c>
      <c r="U15" s="107">
        <v>0.8</v>
      </c>
      <c r="V15" s="107">
        <v>0.8</v>
      </c>
      <c r="W15" s="107">
        <v>0.8</v>
      </c>
      <c r="X15" s="107">
        <v>0.8</v>
      </c>
      <c r="Y15" s="107">
        <v>0.8</v>
      </c>
      <c r="Z15" s="107">
        <v>0.8</v>
      </c>
      <c r="AA15" s="107">
        <v>0</v>
      </c>
      <c r="AB15" s="107">
        <v>0.8</v>
      </c>
      <c r="AC15" s="107">
        <v>0.8</v>
      </c>
      <c r="AD15" s="107">
        <v>0.8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1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0.8</v>
      </c>
      <c r="Q16" s="107">
        <v>0</v>
      </c>
      <c r="R16" s="107">
        <v>0</v>
      </c>
      <c r="S16" s="107">
        <v>0</v>
      </c>
      <c r="T16" s="107">
        <v>0.8</v>
      </c>
      <c r="U16" s="107">
        <v>0</v>
      </c>
      <c r="V16" s="107">
        <v>0.8</v>
      </c>
      <c r="W16" s="107">
        <v>0</v>
      </c>
      <c r="X16" s="107">
        <v>0</v>
      </c>
      <c r="Y16" s="107">
        <v>0.8</v>
      </c>
      <c r="Z16" s="107">
        <v>0</v>
      </c>
      <c r="AA16" s="107">
        <v>0.8</v>
      </c>
      <c r="AB16" s="107">
        <v>0</v>
      </c>
      <c r="AC16" s="107">
        <v>0</v>
      </c>
      <c r="AD16" s="107">
        <v>0.8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1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0.8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0.8</v>
      </c>
      <c r="Z17" s="107">
        <v>0</v>
      </c>
      <c r="AA17" s="107">
        <v>0.8</v>
      </c>
      <c r="AB17" s="107">
        <v>0.8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1" t="s">
        <v>208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0.8</v>
      </c>
      <c r="Q18" s="107">
        <v>0.8</v>
      </c>
      <c r="R18" s="107">
        <v>0.8</v>
      </c>
      <c r="S18" s="107">
        <v>0.8</v>
      </c>
      <c r="T18" s="107">
        <v>0.8</v>
      </c>
      <c r="U18" s="107">
        <v>0.8</v>
      </c>
      <c r="V18" s="107">
        <v>0.8</v>
      </c>
      <c r="W18" s="107">
        <v>0.8</v>
      </c>
      <c r="X18" s="107">
        <v>0.8</v>
      </c>
      <c r="Y18" s="107">
        <v>0.8</v>
      </c>
      <c r="Z18" s="107">
        <v>0.8</v>
      </c>
      <c r="AA18" s="107">
        <v>0</v>
      </c>
      <c r="AB18" s="107">
        <v>0.8</v>
      </c>
      <c r="AC18" s="107">
        <v>0.8</v>
      </c>
      <c r="AD18" s="107">
        <v>0.8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1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0.8</v>
      </c>
      <c r="Q19" s="107">
        <v>0.8</v>
      </c>
      <c r="R19" s="107">
        <v>0.8</v>
      </c>
      <c r="S19" s="107">
        <v>0</v>
      </c>
      <c r="T19" s="107">
        <v>0.8</v>
      </c>
      <c r="U19" s="107">
        <v>0</v>
      </c>
      <c r="V19" s="107">
        <v>0</v>
      </c>
      <c r="W19" s="107">
        <v>0.8</v>
      </c>
      <c r="X19" s="107">
        <v>0.8</v>
      </c>
      <c r="Y19" s="107">
        <v>0</v>
      </c>
      <c r="Z19" s="107">
        <v>0</v>
      </c>
      <c r="AA19" s="107">
        <v>0</v>
      </c>
      <c r="AB19" s="107">
        <v>0.8</v>
      </c>
      <c r="AC19" s="107">
        <v>0.8</v>
      </c>
      <c r="AD19" s="107">
        <v>0.8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1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0.8</v>
      </c>
      <c r="U20" s="107">
        <v>0</v>
      </c>
      <c r="V20" s="107">
        <v>0</v>
      </c>
      <c r="W20" s="107">
        <v>0</v>
      </c>
      <c r="X20" s="107">
        <v>0.8</v>
      </c>
      <c r="Y20" s="107">
        <v>0.8</v>
      </c>
      <c r="Z20" s="107">
        <v>0.8</v>
      </c>
      <c r="AA20" s="107">
        <v>0</v>
      </c>
      <c r="AB20" s="107">
        <v>0.8</v>
      </c>
      <c r="AC20" s="107">
        <v>0.8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1" t="s">
        <v>211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0.8</v>
      </c>
      <c r="Q21" s="107">
        <v>0.8</v>
      </c>
      <c r="R21" s="107">
        <v>0.8</v>
      </c>
      <c r="S21" s="107">
        <v>0.8</v>
      </c>
      <c r="T21" s="107">
        <v>0.8</v>
      </c>
      <c r="U21" s="107">
        <v>0</v>
      </c>
      <c r="V21" s="107">
        <v>0.8</v>
      </c>
      <c r="W21" s="107">
        <v>0.8</v>
      </c>
      <c r="X21" s="107">
        <v>0.8</v>
      </c>
      <c r="Y21" s="107">
        <v>0</v>
      </c>
      <c r="Z21" s="107">
        <v>0</v>
      </c>
      <c r="AA21" s="107">
        <v>0</v>
      </c>
      <c r="AB21" s="107">
        <v>0.8</v>
      </c>
      <c r="AC21" s="107">
        <v>0.8</v>
      </c>
      <c r="AD21" s="107">
        <v>0.8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1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0.8</v>
      </c>
      <c r="W22" s="107">
        <v>0</v>
      </c>
      <c r="X22" s="107">
        <v>0.8</v>
      </c>
      <c r="Y22" s="107">
        <v>0.8</v>
      </c>
      <c r="Z22" s="107">
        <v>0</v>
      </c>
      <c r="AA22" s="107">
        <v>0</v>
      </c>
      <c r="AB22" s="107">
        <v>0.8</v>
      </c>
      <c r="AC22" s="107">
        <v>0.8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1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0.8</v>
      </c>
      <c r="Q23" s="107">
        <v>0.8</v>
      </c>
      <c r="R23" s="107">
        <v>0</v>
      </c>
      <c r="S23" s="107">
        <v>0.8</v>
      </c>
      <c r="T23" s="107">
        <v>0.8</v>
      </c>
      <c r="U23" s="107">
        <v>0.8</v>
      </c>
      <c r="V23" s="107">
        <v>0.8</v>
      </c>
      <c r="W23" s="107">
        <v>0.8</v>
      </c>
      <c r="X23" s="107">
        <v>0.8</v>
      </c>
      <c r="Y23" s="107">
        <v>0.8</v>
      </c>
      <c r="Z23" s="107">
        <v>0.8</v>
      </c>
      <c r="AA23" s="107">
        <v>0.8</v>
      </c>
      <c r="AB23" s="107">
        <v>0.8</v>
      </c>
      <c r="AC23" s="107">
        <v>0</v>
      </c>
      <c r="AD23" s="107">
        <v>0.8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1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0.8</v>
      </c>
      <c r="T24" s="107">
        <v>0.8</v>
      </c>
      <c r="U24" s="107">
        <v>0.8</v>
      </c>
      <c r="V24" s="107">
        <v>0.8</v>
      </c>
      <c r="W24" s="107">
        <v>0.8</v>
      </c>
      <c r="X24" s="107">
        <v>0.8</v>
      </c>
      <c r="Y24" s="107">
        <v>0.8</v>
      </c>
      <c r="Z24" s="107">
        <v>0.8</v>
      </c>
      <c r="AA24" s="107">
        <v>0.8</v>
      </c>
      <c r="AB24" s="107">
        <v>0.8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1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0.8</v>
      </c>
      <c r="Z25" s="107">
        <v>0</v>
      </c>
      <c r="AA25" s="107">
        <v>0.8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1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0.8</v>
      </c>
      <c r="Y26" s="107">
        <v>0</v>
      </c>
      <c r="Z26" s="107">
        <v>0.8</v>
      </c>
      <c r="AA26" s="107">
        <v>0.8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1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1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0.8</v>
      </c>
      <c r="AB28" s="107">
        <v>0</v>
      </c>
      <c r="AC28" s="107">
        <v>0</v>
      </c>
      <c r="AD28" s="107">
        <v>0.8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1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0.8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1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0.8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1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0.8</v>
      </c>
      <c r="AG31" s="107">
        <v>0</v>
      </c>
      <c r="AH31" s="107">
        <v>0</v>
      </c>
    </row>
    <row r="32" spans="1:34" customFormat="1" x14ac:dyDescent="0.15">
      <c r="A32" s="181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0.8</v>
      </c>
      <c r="R32" s="107">
        <v>0.8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0.8</v>
      </c>
      <c r="Y32" s="107">
        <v>0</v>
      </c>
      <c r="Z32" s="107">
        <v>0.8</v>
      </c>
      <c r="AA32" s="107">
        <v>0</v>
      </c>
      <c r="AB32" s="107">
        <v>0.8</v>
      </c>
      <c r="AC32" s="107">
        <v>0</v>
      </c>
      <c r="AD32" s="107">
        <v>0</v>
      </c>
      <c r="AE32" s="107">
        <v>0</v>
      </c>
      <c r="AF32" s="107">
        <v>0.8</v>
      </c>
      <c r="AG32" s="107">
        <v>0</v>
      </c>
      <c r="AH32" s="107">
        <v>0</v>
      </c>
    </row>
    <row r="33" spans="1:34" x14ac:dyDescent="0.15">
      <c r="A33" s="181" t="s">
        <v>223</v>
      </c>
      <c r="B33" s="107">
        <v>0</v>
      </c>
      <c r="C33" s="107">
        <v>0</v>
      </c>
      <c r="D33" s="107">
        <v>0.8</v>
      </c>
      <c r="E33" s="107">
        <v>0</v>
      </c>
      <c r="F33" s="107">
        <v>0</v>
      </c>
      <c r="G33" s="107">
        <v>0.8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0.8</v>
      </c>
      <c r="AF33" s="107">
        <v>0.8</v>
      </c>
      <c r="AG33" s="107">
        <v>0</v>
      </c>
      <c r="AH33" s="107">
        <v>0</v>
      </c>
    </row>
    <row r="34" spans="1:34" x14ac:dyDescent="0.15">
      <c r="A34" s="181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1" t="s">
        <v>238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0.8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4" width="2.33203125" style="107" customWidth="1"/>
    <col min="35" max="16384" width="10.83203125" style="107"/>
  </cols>
  <sheetData>
    <row r="1" spans="1:34" x14ac:dyDescent="0.15">
      <c r="A1" s="62" t="s">
        <v>139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</row>
    <row r="2" spans="1:34" customFormat="1" x14ac:dyDescent="0.15">
      <c r="A2" s="183" t="s">
        <v>192</v>
      </c>
      <c r="B2" s="107">
        <v>0</v>
      </c>
      <c r="C2" s="107">
        <v>0</v>
      </c>
      <c r="D2" s="107">
        <v>1</v>
      </c>
      <c r="E2" s="107">
        <v>1</v>
      </c>
      <c r="F2" s="107">
        <v>1</v>
      </c>
      <c r="G2" s="107">
        <v>0</v>
      </c>
      <c r="H2" s="107">
        <v>1</v>
      </c>
      <c r="I2" s="107">
        <v>1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3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1</v>
      </c>
      <c r="AF3" s="107">
        <v>1</v>
      </c>
      <c r="AG3" s="107">
        <v>0</v>
      </c>
      <c r="AH3" s="107">
        <v>0</v>
      </c>
    </row>
    <row r="4" spans="1:34" customFormat="1" x14ac:dyDescent="0.15">
      <c r="A4" s="183" t="s">
        <v>194</v>
      </c>
      <c r="B4" s="107">
        <v>0</v>
      </c>
      <c r="C4" s="107">
        <v>0</v>
      </c>
      <c r="D4" s="107">
        <v>1</v>
      </c>
      <c r="E4" s="107">
        <v>1</v>
      </c>
      <c r="F4" s="107">
        <v>1</v>
      </c>
      <c r="G4" s="107">
        <v>0</v>
      </c>
      <c r="H4" s="107">
        <v>1</v>
      </c>
      <c r="I4" s="107">
        <v>1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3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1</v>
      </c>
      <c r="G5" s="107">
        <v>1</v>
      </c>
      <c r="H5" s="107">
        <v>1</v>
      </c>
      <c r="I5" s="107">
        <v>1</v>
      </c>
      <c r="J5" s="107">
        <v>1</v>
      </c>
      <c r="K5" s="107">
        <v>1</v>
      </c>
      <c r="L5" s="107">
        <v>1</v>
      </c>
      <c r="M5" s="107">
        <v>1</v>
      </c>
      <c r="N5" s="107">
        <v>1</v>
      </c>
      <c r="O5" s="107">
        <v>1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1</v>
      </c>
      <c r="X5" s="107">
        <v>1</v>
      </c>
      <c r="Y5" s="107">
        <v>0</v>
      </c>
      <c r="Z5" s="107">
        <v>0</v>
      </c>
      <c r="AA5" s="107">
        <v>0</v>
      </c>
      <c r="AB5" s="107">
        <v>0</v>
      </c>
      <c r="AC5" s="107">
        <v>1</v>
      </c>
      <c r="AD5" s="107">
        <v>1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3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1</v>
      </c>
      <c r="H6" s="107">
        <v>1</v>
      </c>
      <c r="I6" s="107">
        <v>1</v>
      </c>
      <c r="J6" s="107">
        <v>1</v>
      </c>
      <c r="K6" s="107">
        <v>1</v>
      </c>
      <c r="L6" s="107">
        <v>1</v>
      </c>
      <c r="M6" s="107">
        <v>1</v>
      </c>
      <c r="N6" s="107">
        <v>1</v>
      </c>
      <c r="O6" s="107">
        <v>1</v>
      </c>
      <c r="P6" s="107">
        <v>1</v>
      </c>
      <c r="Q6" s="107">
        <v>1</v>
      </c>
      <c r="R6" s="107">
        <v>1</v>
      </c>
      <c r="S6" s="107">
        <v>1</v>
      </c>
      <c r="T6" s="107">
        <v>1</v>
      </c>
      <c r="U6" s="107">
        <v>1</v>
      </c>
      <c r="V6" s="107">
        <v>1</v>
      </c>
      <c r="W6" s="107">
        <v>1</v>
      </c>
      <c r="X6" s="107">
        <v>1</v>
      </c>
      <c r="Y6" s="107">
        <v>0</v>
      </c>
      <c r="Z6" s="107">
        <v>0</v>
      </c>
      <c r="AA6" s="107">
        <v>0</v>
      </c>
      <c r="AB6" s="107">
        <v>0</v>
      </c>
      <c r="AC6" s="107">
        <v>1</v>
      </c>
      <c r="AD6" s="107">
        <v>1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3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1</v>
      </c>
      <c r="H7" s="107">
        <v>0</v>
      </c>
      <c r="I7" s="107">
        <v>0</v>
      </c>
      <c r="J7" s="107">
        <v>0</v>
      </c>
      <c r="K7" s="107">
        <v>1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3" t="s">
        <v>198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1</v>
      </c>
      <c r="M8" s="107">
        <v>0</v>
      </c>
      <c r="N8" s="107">
        <v>1</v>
      </c>
      <c r="O8" s="107">
        <v>0</v>
      </c>
      <c r="P8" s="107">
        <v>1</v>
      </c>
      <c r="Q8" s="107">
        <v>1</v>
      </c>
      <c r="R8" s="107">
        <v>1</v>
      </c>
      <c r="S8" s="107">
        <v>1</v>
      </c>
      <c r="T8" s="107">
        <v>1</v>
      </c>
      <c r="U8" s="107">
        <v>1</v>
      </c>
      <c r="V8" s="107">
        <v>1</v>
      </c>
      <c r="W8" s="107">
        <v>1</v>
      </c>
      <c r="X8" s="107">
        <v>1</v>
      </c>
      <c r="Y8" s="107">
        <v>1</v>
      </c>
      <c r="Z8" s="107">
        <v>0</v>
      </c>
      <c r="AA8" s="107">
        <v>0</v>
      </c>
      <c r="AB8" s="107">
        <v>1</v>
      </c>
      <c r="AC8" s="107">
        <v>1</v>
      </c>
      <c r="AD8" s="107">
        <v>1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3" t="s">
        <v>199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1</v>
      </c>
      <c r="M9" s="107">
        <v>0</v>
      </c>
      <c r="N9" s="107">
        <v>1</v>
      </c>
      <c r="O9" s="107">
        <v>0</v>
      </c>
      <c r="P9" s="107">
        <v>1</v>
      </c>
      <c r="Q9" s="107">
        <v>1</v>
      </c>
      <c r="R9" s="107">
        <v>1</v>
      </c>
      <c r="S9" s="107">
        <v>1</v>
      </c>
      <c r="T9" s="107">
        <v>1</v>
      </c>
      <c r="U9" s="107">
        <v>1</v>
      </c>
      <c r="V9" s="107">
        <v>1</v>
      </c>
      <c r="W9" s="107">
        <v>1</v>
      </c>
      <c r="X9" s="107">
        <v>0</v>
      </c>
      <c r="Y9" s="107">
        <v>1</v>
      </c>
      <c r="Z9" s="107">
        <v>0</v>
      </c>
      <c r="AA9" s="107">
        <v>0</v>
      </c>
      <c r="AB9" s="107">
        <v>1</v>
      </c>
      <c r="AC9" s="107">
        <v>1</v>
      </c>
      <c r="AD9" s="107">
        <v>1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3" t="s">
        <v>200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1</v>
      </c>
      <c r="M10" s="107">
        <v>0</v>
      </c>
      <c r="N10" s="107">
        <v>1</v>
      </c>
      <c r="O10" s="107">
        <v>0</v>
      </c>
      <c r="P10" s="107">
        <v>1</v>
      </c>
      <c r="Q10" s="107">
        <v>1</v>
      </c>
      <c r="R10" s="107">
        <v>1</v>
      </c>
      <c r="S10" s="107">
        <v>1</v>
      </c>
      <c r="T10" s="107">
        <v>1</v>
      </c>
      <c r="U10" s="107">
        <v>1</v>
      </c>
      <c r="V10" s="107">
        <v>1</v>
      </c>
      <c r="W10" s="107">
        <v>1</v>
      </c>
      <c r="X10" s="107">
        <v>1</v>
      </c>
      <c r="Y10" s="107">
        <v>1</v>
      </c>
      <c r="Z10" s="107">
        <v>0</v>
      </c>
      <c r="AA10" s="107">
        <v>0</v>
      </c>
      <c r="AB10" s="107">
        <v>1</v>
      </c>
      <c r="AC10" s="107">
        <v>1</v>
      </c>
      <c r="AD10" s="107">
        <v>1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3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1</v>
      </c>
      <c r="Q11" s="107">
        <v>1</v>
      </c>
      <c r="R11" s="107">
        <v>0</v>
      </c>
      <c r="S11" s="107">
        <v>0</v>
      </c>
      <c r="T11" s="107">
        <v>1</v>
      </c>
      <c r="U11" s="107">
        <v>1</v>
      </c>
      <c r="V11" s="107">
        <v>1</v>
      </c>
      <c r="W11" s="107">
        <v>0</v>
      </c>
      <c r="X11" s="107">
        <v>0</v>
      </c>
      <c r="Y11" s="107">
        <v>1</v>
      </c>
      <c r="Z11" s="107">
        <v>0</v>
      </c>
      <c r="AA11" s="107">
        <v>0</v>
      </c>
      <c r="AB11" s="107">
        <v>1</v>
      </c>
      <c r="AC11" s="107">
        <v>1</v>
      </c>
      <c r="AD11" s="107">
        <v>1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3" t="s">
        <v>202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1</v>
      </c>
      <c r="Q12" s="107">
        <v>1</v>
      </c>
      <c r="R12" s="107">
        <v>0</v>
      </c>
      <c r="S12" s="107">
        <v>0</v>
      </c>
      <c r="T12" s="107">
        <v>1</v>
      </c>
      <c r="U12" s="107">
        <v>0</v>
      </c>
      <c r="V12" s="107">
        <v>0</v>
      </c>
      <c r="W12" s="107">
        <v>0</v>
      </c>
      <c r="X12" s="107">
        <v>0</v>
      </c>
      <c r="Y12" s="107">
        <v>1</v>
      </c>
      <c r="Z12" s="107">
        <v>0</v>
      </c>
      <c r="AA12" s="107">
        <v>0</v>
      </c>
      <c r="AB12" s="107">
        <v>1</v>
      </c>
      <c r="AC12" s="107">
        <v>0</v>
      </c>
      <c r="AD12" s="107">
        <v>1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3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1</v>
      </c>
      <c r="Q13" s="107">
        <v>1</v>
      </c>
      <c r="R13" s="107">
        <v>0</v>
      </c>
      <c r="S13" s="107">
        <v>0</v>
      </c>
      <c r="T13" s="107">
        <v>1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1</v>
      </c>
      <c r="AC13" s="107">
        <v>0</v>
      </c>
      <c r="AD13" s="107">
        <v>1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3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1</v>
      </c>
      <c r="Q14" s="107">
        <v>0</v>
      </c>
      <c r="R14" s="107">
        <v>0</v>
      </c>
      <c r="S14" s="107">
        <v>0</v>
      </c>
      <c r="T14" s="107">
        <v>1</v>
      </c>
      <c r="U14" s="107">
        <v>0</v>
      </c>
      <c r="V14" s="107">
        <v>0</v>
      </c>
      <c r="W14" s="107">
        <v>0</v>
      </c>
      <c r="X14" s="107">
        <v>0</v>
      </c>
      <c r="Y14" s="107">
        <v>1</v>
      </c>
      <c r="Z14" s="107">
        <v>1</v>
      </c>
      <c r="AA14" s="107">
        <v>1</v>
      </c>
      <c r="AB14" s="107">
        <v>1</v>
      </c>
      <c r="AC14" s="107">
        <v>1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3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1</v>
      </c>
      <c r="M15" s="107">
        <v>0</v>
      </c>
      <c r="N15" s="107">
        <v>0</v>
      </c>
      <c r="O15" s="107">
        <v>0</v>
      </c>
      <c r="P15" s="107">
        <v>1</v>
      </c>
      <c r="Q15" s="107">
        <v>1</v>
      </c>
      <c r="R15" s="107">
        <v>1</v>
      </c>
      <c r="S15" s="107">
        <v>1</v>
      </c>
      <c r="T15" s="107">
        <v>1</v>
      </c>
      <c r="U15" s="107">
        <v>1</v>
      </c>
      <c r="V15" s="107">
        <v>1</v>
      </c>
      <c r="W15" s="107">
        <v>1</v>
      </c>
      <c r="X15" s="107">
        <v>1</v>
      </c>
      <c r="Y15" s="107">
        <v>1</v>
      </c>
      <c r="Z15" s="107">
        <v>1</v>
      </c>
      <c r="AA15" s="107">
        <v>0</v>
      </c>
      <c r="AB15" s="107">
        <v>1</v>
      </c>
      <c r="AC15" s="107">
        <v>1</v>
      </c>
      <c r="AD15" s="107">
        <v>1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3" t="s">
        <v>206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1</v>
      </c>
      <c r="Q16" s="107">
        <v>0</v>
      </c>
      <c r="R16" s="107">
        <v>0</v>
      </c>
      <c r="S16" s="107">
        <v>0</v>
      </c>
      <c r="T16" s="107">
        <v>1</v>
      </c>
      <c r="U16" s="107">
        <v>0</v>
      </c>
      <c r="V16" s="107">
        <v>1</v>
      </c>
      <c r="W16" s="107">
        <v>0</v>
      </c>
      <c r="X16" s="107">
        <v>0</v>
      </c>
      <c r="Y16" s="107">
        <v>1</v>
      </c>
      <c r="Z16" s="107">
        <v>0</v>
      </c>
      <c r="AA16" s="107">
        <v>1</v>
      </c>
      <c r="AB16" s="107">
        <v>0</v>
      </c>
      <c r="AC16" s="107">
        <v>0</v>
      </c>
      <c r="AD16" s="107">
        <v>1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3" t="s">
        <v>207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1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1</v>
      </c>
      <c r="Z17" s="107">
        <v>0</v>
      </c>
      <c r="AA17" s="107">
        <v>1</v>
      </c>
      <c r="AB17" s="107">
        <v>1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3" t="s">
        <v>208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1</v>
      </c>
      <c r="Q18" s="107">
        <v>1</v>
      </c>
      <c r="R18" s="107">
        <v>1</v>
      </c>
      <c r="S18" s="107">
        <v>1</v>
      </c>
      <c r="T18" s="107">
        <v>1</v>
      </c>
      <c r="U18" s="107">
        <v>1</v>
      </c>
      <c r="V18" s="107">
        <v>1</v>
      </c>
      <c r="W18" s="107">
        <v>1</v>
      </c>
      <c r="X18" s="107">
        <v>1</v>
      </c>
      <c r="Y18" s="107">
        <v>1</v>
      </c>
      <c r="Z18" s="107">
        <v>1</v>
      </c>
      <c r="AA18" s="107">
        <v>0</v>
      </c>
      <c r="AB18" s="107">
        <v>1</v>
      </c>
      <c r="AC18" s="107">
        <v>1</v>
      </c>
      <c r="AD18" s="107">
        <v>1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3" t="s">
        <v>209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1</v>
      </c>
      <c r="Q19" s="107">
        <v>1</v>
      </c>
      <c r="R19" s="107">
        <v>1</v>
      </c>
      <c r="S19" s="107">
        <v>0</v>
      </c>
      <c r="T19" s="107">
        <v>1</v>
      </c>
      <c r="U19" s="107">
        <v>0</v>
      </c>
      <c r="V19" s="107">
        <v>0</v>
      </c>
      <c r="W19" s="107">
        <v>1</v>
      </c>
      <c r="X19" s="107">
        <v>1</v>
      </c>
      <c r="Y19" s="107">
        <v>0</v>
      </c>
      <c r="Z19" s="107">
        <v>0</v>
      </c>
      <c r="AA19" s="107">
        <v>0</v>
      </c>
      <c r="AB19" s="107">
        <v>1</v>
      </c>
      <c r="AC19" s="107">
        <v>1</v>
      </c>
      <c r="AD19" s="107">
        <v>1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3" t="s">
        <v>210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1</v>
      </c>
      <c r="U20" s="107">
        <v>0</v>
      </c>
      <c r="V20" s="107">
        <v>0</v>
      </c>
      <c r="W20" s="107">
        <v>0</v>
      </c>
      <c r="X20" s="107">
        <v>1</v>
      </c>
      <c r="Y20" s="107">
        <v>1</v>
      </c>
      <c r="Z20" s="107">
        <v>1</v>
      </c>
      <c r="AA20" s="107">
        <v>0</v>
      </c>
      <c r="AB20" s="107">
        <v>1</v>
      </c>
      <c r="AC20" s="107">
        <v>1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3" t="s">
        <v>211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1</v>
      </c>
      <c r="Q21" s="107">
        <v>1</v>
      </c>
      <c r="R21" s="107">
        <v>1</v>
      </c>
      <c r="S21" s="107">
        <v>1</v>
      </c>
      <c r="T21" s="107">
        <v>1</v>
      </c>
      <c r="U21" s="107">
        <v>0</v>
      </c>
      <c r="V21" s="107">
        <v>1</v>
      </c>
      <c r="W21" s="107">
        <v>1</v>
      </c>
      <c r="X21" s="107">
        <v>1</v>
      </c>
      <c r="Y21" s="107">
        <v>0</v>
      </c>
      <c r="Z21" s="107">
        <v>0</v>
      </c>
      <c r="AA21" s="107">
        <v>0</v>
      </c>
      <c r="AB21" s="107">
        <v>1</v>
      </c>
      <c r="AC21" s="107">
        <v>1</v>
      </c>
      <c r="AD21" s="107">
        <v>1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3" t="s">
        <v>212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1</v>
      </c>
      <c r="W22" s="107">
        <v>0</v>
      </c>
      <c r="X22" s="107">
        <v>1</v>
      </c>
      <c r="Y22" s="107">
        <v>1</v>
      </c>
      <c r="Z22" s="107">
        <v>0</v>
      </c>
      <c r="AA22" s="107">
        <v>0</v>
      </c>
      <c r="AB22" s="107">
        <v>1</v>
      </c>
      <c r="AC22" s="107">
        <v>1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3" t="s">
        <v>213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1</v>
      </c>
      <c r="Q23" s="107">
        <v>1</v>
      </c>
      <c r="R23" s="107">
        <v>0</v>
      </c>
      <c r="S23" s="107">
        <v>1</v>
      </c>
      <c r="T23" s="107">
        <v>1</v>
      </c>
      <c r="U23" s="107">
        <v>1</v>
      </c>
      <c r="V23" s="107">
        <v>1</v>
      </c>
      <c r="W23" s="107">
        <v>1</v>
      </c>
      <c r="X23" s="107">
        <v>1</v>
      </c>
      <c r="Y23" s="107">
        <v>1</v>
      </c>
      <c r="Z23" s="107">
        <v>1</v>
      </c>
      <c r="AA23" s="107">
        <v>1</v>
      </c>
      <c r="AB23" s="107">
        <v>1</v>
      </c>
      <c r="AC23" s="107">
        <v>0</v>
      </c>
      <c r="AD23" s="107">
        <v>1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3" t="s">
        <v>214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1</v>
      </c>
      <c r="T24" s="107">
        <v>1</v>
      </c>
      <c r="U24" s="107">
        <v>1</v>
      </c>
      <c r="V24" s="107">
        <v>1</v>
      </c>
      <c r="W24" s="107">
        <v>1</v>
      </c>
      <c r="X24" s="107">
        <v>1</v>
      </c>
      <c r="Y24" s="107">
        <v>1</v>
      </c>
      <c r="Z24" s="107">
        <v>1</v>
      </c>
      <c r="AA24" s="107">
        <v>1</v>
      </c>
      <c r="AB24" s="107">
        <v>1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3" t="s">
        <v>215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1</v>
      </c>
      <c r="Z25" s="107">
        <v>0</v>
      </c>
      <c r="AA25" s="107">
        <v>1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3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1</v>
      </c>
      <c r="Y26" s="107">
        <v>0</v>
      </c>
      <c r="Z26" s="107">
        <v>1</v>
      </c>
      <c r="AA26" s="107">
        <v>1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3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3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1</v>
      </c>
      <c r="AB28" s="107">
        <v>0</v>
      </c>
      <c r="AC28" s="107">
        <v>0</v>
      </c>
      <c r="AD28" s="107">
        <v>1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3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1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3" t="s">
        <v>220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1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3" t="s">
        <v>221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1</v>
      </c>
      <c r="AG31" s="107">
        <v>0</v>
      </c>
      <c r="AH31" s="107">
        <v>0</v>
      </c>
    </row>
    <row r="32" spans="1:34" x14ac:dyDescent="0.15">
      <c r="A32" s="183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1</v>
      </c>
      <c r="R32" s="107">
        <v>1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1</v>
      </c>
      <c r="Y32" s="107">
        <v>0</v>
      </c>
      <c r="Z32" s="107">
        <v>1</v>
      </c>
      <c r="AA32" s="107">
        <v>0</v>
      </c>
      <c r="AB32" s="107">
        <v>1</v>
      </c>
      <c r="AC32" s="107">
        <v>0</v>
      </c>
      <c r="AD32" s="107">
        <v>0</v>
      </c>
      <c r="AE32" s="107">
        <v>0</v>
      </c>
      <c r="AF32" s="107">
        <v>1</v>
      </c>
      <c r="AG32" s="107">
        <v>0</v>
      </c>
      <c r="AH32" s="107">
        <v>0</v>
      </c>
    </row>
    <row r="33" spans="1:34" x14ac:dyDescent="0.15">
      <c r="A33" s="183" t="s">
        <v>223</v>
      </c>
      <c r="B33" s="107">
        <v>0</v>
      </c>
      <c r="C33" s="107">
        <v>0</v>
      </c>
      <c r="D33" s="107">
        <v>1</v>
      </c>
      <c r="E33" s="107">
        <v>0</v>
      </c>
      <c r="F33" s="107">
        <v>0</v>
      </c>
      <c r="G33" s="107">
        <v>1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1</v>
      </c>
      <c r="AF33" s="107">
        <v>1</v>
      </c>
      <c r="AG33" s="107">
        <v>0</v>
      </c>
      <c r="AH33" s="107">
        <v>0</v>
      </c>
    </row>
    <row r="34" spans="1:34" x14ac:dyDescent="0.15">
      <c r="A34" s="183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3" t="s">
        <v>238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1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O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83</v>
      </c>
      <c r="B1" s="3" t="s">
        <v>0</v>
      </c>
      <c r="C1" s="186" t="s">
        <v>225</v>
      </c>
      <c r="D1" s="186" t="s">
        <v>226</v>
      </c>
      <c r="E1" s="186" t="s">
        <v>227</v>
      </c>
      <c r="F1" s="186" t="s">
        <v>228</v>
      </c>
      <c r="G1" s="186" t="s">
        <v>229</v>
      </c>
      <c r="H1" s="186" t="s">
        <v>230</v>
      </c>
      <c r="I1" s="186" t="s">
        <v>231</v>
      </c>
      <c r="J1" s="186" t="s">
        <v>232</v>
      </c>
      <c r="K1" s="186" t="s">
        <v>233</v>
      </c>
      <c r="L1" s="186" t="s">
        <v>234</v>
      </c>
      <c r="M1" s="186" t="s">
        <v>235</v>
      </c>
      <c r="N1" s="186" t="s">
        <v>236</v>
      </c>
      <c r="O1" s="186" t="s">
        <v>237</v>
      </c>
    </row>
    <row r="2" spans="1:15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15">
      <c r="A8">
        <v>7</v>
      </c>
      <c r="B8" s="185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15">
      <c r="A9">
        <v>8</v>
      </c>
      <c r="B9" s="185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85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15">
      <c r="A11">
        <v>10</v>
      </c>
      <c r="B11" s="185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15">
      <c r="A12">
        <v>11</v>
      </c>
      <c r="B12" s="185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</v>
      </c>
    </row>
    <row r="13" spans="1:15" x14ac:dyDescent="0.15">
      <c r="A13">
        <v>12</v>
      </c>
      <c r="B13" s="185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15">
      <c r="A14">
        <v>13</v>
      </c>
      <c r="B14" s="185" t="s">
        <v>204</v>
      </c>
      <c r="C14">
        <v>0</v>
      </c>
      <c r="D14">
        <v>0.8</v>
      </c>
      <c r="E14">
        <v>0</v>
      </c>
      <c r="F14">
        <v>0</v>
      </c>
      <c r="G14">
        <v>0.8</v>
      </c>
      <c r="H14">
        <v>0</v>
      </c>
      <c r="I14">
        <v>0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</row>
    <row r="15" spans="1:15" x14ac:dyDescent="0.15">
      <c r="A15">
        <v>14</v>
      </c>
      <c r="B15" s="185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15">
      <c r="A16">
        <v>15</v>
      </c>
      <c r="B16" s="185" t="s">
        <v>206</v>
      </c>
      <c r="C16">
        <v>0</v>
      </c>
      <c r="D16">
        <v>0.8</v>
      </c>
      <c r="E16">
        <v>0.8</v>
      </c>
      <c r="F16">
        <v>0</v>
      </c>
      <c r="G16">
        <v>0.8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85" t="s">
        <v>207</v>
      </c>
      <c r="C17">
        <v>0</v>
      </c>
      <c r="D17">
        <v>0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</row>
    <row r="18" spans="1:15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0.8</v>
      </c>
      <c r="N19">
        <v>0.8</v>
      </c>
      <c r="O19">
        <v>0</v>
      </c>
    </row>
    <row r="20" spans="1:15" x14ac:dyDescent="0.15">
      <c r="A20">
        <v>19</v>
      </c>
      <c r="B20" s="185" t="s">
        <v>210</v>
      </c>
      <c r="C20">
        <v>0</v>
      </c>
      <c r="D20">
        <v>0</v>
      </c>
      <c r="E20">
        <v>0.8</v>
      </c>
      <c r="F20">
        <v>0.8</v>
      </c>
      <c r="G20">
        <v>0</v>
      </c>
      <c r="H20">
        <v>0</v>
      </c>
      <c r="I20">
        <v>0</v>
      </c>
      <c r="J20">
        <v>0</v>
      </c>
      <c r="K20">
        <v>0.8</v>
      </c>
      <c r="L20">
        <v>0</v>
      </c>
      <c r="M20">
        <v>0.8</v>
      </c>
      <c r="N20">
        <v>0</v>
      </c>
      <c r="O20">
        <v>0</v>
      </c>
    </row>
    <row r="21" spans="1:15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0.8</v>
      </c>
      <c r="O21">
        <v>0.8</v>
      </c>
    </row>
    <row r="22" spans="1:15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0.8</v>
      </c>
    </row>
    <row r="23" spans="1:15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</row>
    <row r="24" spans="1:15" x14ac:dyDescent="0.15">
      <c r="A24">
        <v>23</v>
      </c>
      <c r="B24" s="185" t="s">
        <v>214</v>
      </c>
      <c r="C24">
        <v>0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</row>
    <row r="25" spans="1:15" x14ac:dyDescent="0.15">
      <c r="A25">
        <v>24</v>
      </c>
      <c r="B25" s="185" t="s">
        <v>215</v>
      </c>
      <c r="C25">
        <v>0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0.8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0.8</v>
      </c>
      <c r="O26">
        <v>0</v>
      </c>
    </row>
    <row r="27" spans="1:15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15">
      <c r="A32">
        <v>31</v>
      </c>
      <c r="B32" s="18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15">
      <c r="A33">
        <v>32</v>
      </c>
      <c r="B33" s="18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15">
      <c r="A34">
        <v>33</v>
      </c>
      <c r="B34" s="18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O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83203125" bestFit="1" customWidth="1"/>
    <col min="3" max="4" width="3.83203125" bestFit="1" customWidth="1"/>
    <col min="5" max="15" width="3.83203125" customWidth="1"/>
  </cols>
  <sheetData>
    <row r="1" spans="1:15" ht="112" x14ac:dyDescent="0.15">
      <c r="A1" s="5" t="s">
        <v>82</v>
      </c>
      <c r="B1" s="3" t="s">
        <v>0</v>
      </c>
      <c r="C1" s="188" t="s">
        <v>225</v>
      </c>
      <c r="D1" s="188" t="s">
        <v>226</v>
      </c>
      <c r="E1" s="188" t="s">
        <v>227</v>
      </c>
      <c r="F1" s="188" t="s">
        <v>228</v>
      </c>
      <c r="G1" s="188" t="s">
        <v>229</v>
      </c>
      <c r="H1" s="188" t="s">
        <v>230</v>
      </c>
      <c r="I1" s="188" t="s">
        <v>231</v>
      </c>
      <c r="J1" s="188" t="s">
        <v>232</v>
      </c>
      <c r="K1" s="188" t="s">
        <v>233</v>
      </c>
      <c r="L1" s="188" t="s">
        <v>234</v>
      </c>
      <c r="M1" s="188" t="s">
        <v>235</v>
      </c>
      <c r="N1" s="188" t="s">
        <v>236</v>
      </c>
      <c r="O1" s="188" t="s">
        <v>237</v>
      </c>
    </row>
    <row r="2" spans="1:15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15">
      <c r="A3">
        <v>2</v>
      </c>
      <c r="B3" s="18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15">
      <c r="A5">
        <v>4</v>
      </c>
      <c r="B5" s="187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15">
      <c r="A6">
        <v>5</v>
      </c>
      <c r="B6" s="18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15">
      <c r="A7">
        <v>6</v>
      </c>
      <c r="B7" s="18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15">
      <c r="A8">
        <v>7</v>
      </c>
      <c r="B8" s="187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15">
      <c r="A9">
        <v>8</v>
      </c>
      <c r="B9" s="187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15">
      <c r="A10">
        <v>9</v>
      </c>
      <c r="B10" s="187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15">
      <c r="A11">
        <v>10</v>
      </c>
      <c r="B11" s="187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15">
      <c r="A12">
        <v>11</v>
      </c>
      <c r="B12" s="187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</v>
      </c>
    </row>
    <row r="13" spans="1:15" x14ac:dyDescent="0.15">
      <c r="A13">
        <v>12</v>
      </c>
      <c r="B13" s="187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15">
      <c r="A14">
        <v>13</v>
      </c>
      <c r="B14" s="187" t="s">
        <v>204</v>
      </c>
      <c r="C14">
        <v>0</v>
      </c>
      <c r="D14">
        <v>0.8</v>
      </c>
      <c r="E14">
        <v>0</v>
      </c>
      <c r="F14">
        <v>0</v>
      </c>
      <c r="G14">
        <v>0.8</v>
      </c>
      <c r="H14">
        <v>0</v>
      </c>
      <c r="I14">
        <v>0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</row>
    <row r="15" spans="1:15" x14ac:dyDescent="0.15">
      <c r="A15">
        <v>14</v>
      </c>
      <c r="B15" s="187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15">
      <c r="A16">
        <v>15</v>
      </c>
      <c r="B16" s="187" t="s">
        <v>206</v>
      </c>
      <c r="C16">
        <v>0</v>
      </c>
      <c r="D16">
        <v>0.8</v>
      </c>
      <c r="E16">
        <v>0.8</v>
      </c>
      <c r="F16">
        <v>0</v>
      </c>
      <c r="G16">
        <v>0.8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15">
      <c r="A17">
        <v>16</v>
      </c>
      <c r="B17" s="187" t="s">
        <v>207</v>
      </c>
      <c r="C17">
        <v>0</v>
      </c>
      <c r="D17">
        <v>0</v>
      </c>
      <c r="E17">
        <v>0.8</v>
      </c>
      <c r="F17">
        <v>0</v>
      </c>
      <c r="G17">
        <v>0.8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</row>
    <row r="18" spans="1:15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15">
      <c r="A19">
        <v>18</v>
      </c>
      <c r="B19" s="18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0.8</v>
      </c>
      <c r="N19">
        <v>0.8</v>
      </c>
      <c r="O19">
        <v>0</v>
      </c>
    </row>
    <row r="20" spans="1:15" x14ac:dyDescent="0.15">
      <c r="A20">
        <v>19</v>
      </c>
      <c r="B20" s="187" t="s">
        <v>210</v>
      </c>
      <c r="C20">
        <v>0</v>
      </c>
      <c r="D20">
        <v>0</v>
      </c>
      <c r="E20">
        <v>0.8</v>
      </c>
      <c r="F20">
        <v>0.8</v>
      </c>
      <c r="G20">
        <v>0</v>
      </c>
      <c r="H20">
        <v>0</v>
      </c>
      <c r="I20">
        <v>0</v>
      </c>
      <c r="J20">
        <v>0</v>
      </c>
      <c r="K20">
        <v>0.8</v>
      </c>
      <c r="L20">
        <v>0</v>
      </c>
      <c r="M20">
        <v>0.8</v>
      </c>
      <c r="N20">
        <v>0</v>
      </c>
      <c r="O20">
        <v>0</v>
      </c>
    </row>
    <row r="21" spans="1:15" x14ac:dyDescent="0.15">
      <c r="A21">
        <v>20</v>
      </c>
      <c r="B21" s="18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0.8</v>
      </c>
      <c r="O21">
        <v>0.8</v>
      </c>
    </row>
    <row r="22" spans="1:15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0.8</v>
      </c>
    </row>
    <row r="23" spans="1:15" x14ac:dyDescent="0.15">
      <c r="A23">
        <v>22</v>
      </c>
      <c r="B23" s="18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</row>
    <row r="24" spans="1:15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</row>
    <row r="25" spans="1:15" x14ac:dyDescent="0.15">
      <c r="A25">
        <v>24</v>
      </c>
      <c r="B25" s="187" t="s">
        <v>215</v>
      </c>
      <c r="C25">
        <v>0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0.8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0.8</v>
      </c>
      <c r="O26">
        <v>0</v>
      </c>
    </row>
    <row r="27" spans="1:15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M8" sqref="M8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192</v>
      </c>
      <c r="C2" s="8">
        <v>1</v>
      </c>
      <c r="D2" s="9">
        <v>76.938003540039062</v>
      </c>
      <c r="E2" s="9">
        <v>154.39999389648438</v>
      </c>
      <c r="F2" s="10"/>
      <c r="G2" s="9">
        <v>0.1717752069234848</v>
      </c>
      <c r="H2" s="10"/>
      <c r="I2">
        <v>0</v>
      </c>
      <c r="J2"/>
    </row>
    <row r="3" spans="1:10" ht="15" customHeight="1" x14ac:dyDescent="0.15">
      <c r="A3" s="141">
        <v>2</v>
      </c>
      <c r="B3" s="141" t="s">
        <v>193</v>
      </c>
      <c r="C3" s="8">
        <v>1</v>
      </c>
      <c r="D3" s="9">
        <v>5.5837116241455078</v>
      </c>
      <c r="E3" s="9">
        <v>15</v>
      </c>
      <c r="F3" s="10"/>
      <c r="G3" s="9">
        <v>0.5</v>
      </c>
      <c r="H3" s="10"/>
      <c r="I3">
        <v>0</v>
      </c>
      <c r="J3"/>
    </row>
    <row r="4" spans="1:10" ht="15" customHeight="1" x14ac:dyDescent="0.15">
      <c r="A4" s="142">
        <v>3</v>
      </c>
      <c r="B4" s="142" t="s">
        <v>194</v>
      </c>
      <c r="C4" s="8">
        <v>2.0526316165924072</v>
      </c>
      <c r="D4" s="9">
        <v>1.8006916046142578</v>
      </c>
      <c r="E4" s="9">
        <v>482</v>
      </c>
      <c r="F4" s="9">
        <v>1928</v>
      </c>
      <c r="G4" s="9">
        <v>0.95000004768371582</v>
      </c>
      <c r="H4" s="9">
        <v>0.25</v>
      </c>
      <c r="I4">
        <v>0</v>
      </c>
      <c r="J4"/>
    </row>
    <row r="5" spans="1:10" ht="15" customHeight="1" x14ac:dyDescent="0.15">
      <c r="A5" s="143">
        <v>4</v>
      </c>
      <c r="B5" s="143" t="s">
        <v>195</v>
      </c>
      <c r="C5" s="8">
        <v>2.5263156890869141</v>
      </c>
      <c r="D5" s="9">
        <v>7.6304006576538086</v>
      </c>
      <c r="E5" s="9">
        <v>40</v>
      </c>
      <c r="F5" s="9">
        <v>133.33299255371094</v>
      </c>
      <c r="G5" s="9">
        <v>0.94999980926513672</v>
      </c>
      <c r="H5" s="9">
        <v>0.30000075697898865</v>
      </c>
      <c r="I5">
        <v>0</v>
      </c>
      <c r="J5"/>
    </row>
    <row r="6" spans="1:10" ht="15" customHeight="1" x14ac:dyDescent="0.15">
      <c r="A6" s="144">
        <v>5</v>
      </c>
      <c r="B6" s="144" t="s">
        <v>196</v>
      </c>
      <c r="C6" s="8">
        <v>2.8603155612945557</v>
      </c>
      <c r="D6" s="9">
        <v>12.746915817260742</v>
      </c>
      <c r="E6" s="9">
        <v>13</v>
      </c>
      <c r="F6" s="9">
        <v>31.707000732421875</v>
      </c>
      <c r="G6" s="9">
        <v>0.94998574256896973</v>
      </c>
      <c r="H6" s="9">
        <v>0.41000407934188843</v>
      </c>
      <c r="I6">
        <v>0</v>
      </c>
      <c r="J6"/>
    </row>
    <row r="7" spans="1:10" ht="15" customHeight="1" x14ac:dyDescent="0.15">
      <c r="A7" s="145">
        <v>6</v>
      </c>
      <c r="B7" s="145" t="s">
        <v>197</v>
      </c>
      <c r="C7" s="8">
        <v>3.2917499542236328</v>
      </c>
      <c r="D7" s="9">
        <v>4.5450000762939453</v>
      </c>
      <c r="E7" s="9">
        <v>0.58399999141693115</v>
      </c>
      <c r="F7" s="9">
        <v>1.6690000295639038</v>
      </c>
      <c r="G7" s="9">
        <v>0.15545617043972015</v>
      </c>
      <c r="H7" s="9">
        <v>0.34991011023521423</v>
      </c>
      <c r="I7">
        <v>0</v>
      </c>
      <c r="J7"/>
    </row>
    <row r="8" spans="1:10" ht="15" customHeight="1" x14ac:dyDescent="0.15">
      <c r="A8" s="146">
        <v>7</v>
      </c>
      <c r="B8" s="146" t="s">
        <v>198</v>
      </c>
      <c r="C8" s="8">
        <v>3.5446121692657471</v>
      </c>
      <c r="D8" s="9">
        <v>6.3427920341491699</v>
      </c>
      <c r="E8" s="9">
        <v>1.3999999761581421</v>
      </c>
      <c r="F8" s="9">
        <v>14.399999618530273</v>
      </c>
      <c r="G8" s="9">
        <v>0.98994696140289307</v>
      </c>
      <c r="H8" s="9">
        <v>9.7222223877906799E-2</v>
      </c>
      <c r="I8">
        <v>0.95200002193450928</v>
      </c>
      <c r="J8"/>
    </row>
    <row r="9" spans="1:10" ht="15" customHeight="1" x14ac:dyDescent="0.15">
      <c r="A9" s="147">
        <v>8</v>
      </c>
      <c r="B9" s="147" t="s">
        <v>199</v>
      </c>
      <c r="C9" s="8">
        <v>2.9096958637237549</v>
      </c>
      <c r="D9" s="9">
        <v>1.0147383213043213</v>
      </c>
      <c r="E9" s="9">
        <v>1.2000000476837158</v>
      </c>
      <c r="F9" s="9">
        <v>12.371000289916992</v>
      </c>
      <c r="G9" s="9">
        <v>0.98997306823730469</v>
      </c>
      <c r="H9" s="9">
        <v>9.7001053392887115E-2</v>
      </c>
      <c r="I9">
        <v>0.43999999761581421</v>
      </c>
      <c r="J9"/>
    </row>
    <row r="10" spans="1:10" ht="15" customHeight="1" x14ac:dyDescent="0.15">
      <c r="A10" s="148">
        <v>9</v>
      </c>
      <c r="B10" s="148" t="s">
        <v>200</v>
      </c>
      <c r="C10" s="8">
        <v>3.6599159240722656</v>
      </c>
      <c r="D10" s="9">
        <v>5.554999828338623</v>
      </c>
      <c r="E10" s="9">
        <v>1.2999999523162842</v>
      </c>
      <c r="F10" s="9">
        <v>13</v>
      </c>
      <c r="G10" s="9">
        <v>0.67787379026412964</v>
      </c>
      <c r="H10" s="9">
        <v>9.9999994039535522E-2</v>
      </c>
      <c r="I10">
        <v>0.30500000715255737</v>
      </c>
      <c r="J10"/>
    </row>
    <row r="11" spans="1:10" ht="15" customHeight="1" x14ac:dyDescent="0.15">
      <c r="A11" s="149">
        <v>10</v>
      </c>
      <c r="B11" s="149" t="s">
        <v>201</v>
      </c>
      <c r="C11" s="8">
        <v>3.6027185916900635</v>
      </c>
      <c r="D11" s="9">
        <v>0.36399999260902405</v>
      </c>
      <c r="E11" s="9">
        <v>1</v>
      </c>
      <c r="F11" s="9">
        <v>10</v>
      </c>
      <c r="G11" s="9">
        <v>0.75926226377487183</v>
      </c>
      <c r="H11" s="9">
        <v>0.10000000149011612</v>
      </c>
      <c r="I11">
        <v>1.0000000474974513E-3</v>
      </c>
      <c r="J11"/>
    </row>
    <row r="12" spans="1:10" ht="15" customHeight="1" x14ac:dyDescent="0.15">
      <c r="A12" s="150">
        <v>11</v>
      </c>
      <c r="B12" s="150" t="s">
        <v>202</v>
      </c>
      <c r="C12" s="8">
        <v>4.0091114044189453</v>
      </c>
      <c r="D12" s="9">
        <v>0.28400000929832458</v>
      </c>
      <c r="E12" s="9">
        <v>0.80000001192092896</v>
      </c>
      <c r="F12" s="9">
        <v>8</v>
      </c>
      <c r="G12" s="9">
        <v>0.86938178539276123</v>
      </c>
      <c r="H12" s="9">
        <v>0.10000000149011612</v>
      </c>
      <c r="I12">
        <v>3.9000000804662704E-2</v>
      </c>
      <c r="J12"/>
    </row>
    <row r="13" spans="1:10" ht="15" customHeight="1" x14ac:dyDescent="0.15">
      <c r="A13" s="151">
        <v>12</v>
      </c>
      <c r="B13" s="151" t="s">
        <v>203</v>
      </c>
      <c r="C13" s="8">
        <v>3.6098155975341797</v>
      </c>
      <c r="D13" s="9">
        <v>0.48619595170021057</v>
      </c>
      <c r="E13" s="9">
        <v>1.2000000476837158</v>
      </c>
      <c r="F13" s="9">
        <v>22.206340789794922</v>
      </c>
      <c r="G13" s="9">
        <v>0.35791900753974915</v>
      </c>
      <c r="H13" s="9">
        <v>5.4038621485233307E-2</v>
      </c>
      <c r="I13">
        <v>1.6000000759959221E-2</v>
      </c>
      <c r="J13"/>
    </row>
    <row r="14" spans="1:10" ht="15" customHeight="1" x14ac:dyDescent="0.15">
      <c r="A14" s="152">
        <v>13</v>
      </c>
      <c r="B14" s="152" t="s">
        <v>204</v>
      </c>
      <c r="C14" s="8">
        <v>3.7917501926422119</v>
      </c>
      <c r="D14" s="9">
        <v>1.6179996728897095</v>
      </c>
      <c r="E14" s="9">
        <v>1.5</v>
      </c>
      <c r="F14" s="9">
        <v>10.000001907348633</v>
      </c>
      <c r="G14" s="9">
        <v>0.54163360595703125</v>
      </c>
      <c r="H14" s="9">
        <v>0.14999997615814209</v>
      </c>
      <c r="I14">
        <v>0.15440100431442261</v>
      </c>
      <c r="J14"/>
    </row>
    <row r="15" spans="1:10" ht="15" customHeight="1" x14ac:dyDescent="0.15">
      <c r="A15" s="153">
        <v>14</v>
      </c>
      <c r="B15" s="153" t="s">
        <v>205</v>
      </c>
      <c r="C15" s="8">
        <v>3.7267155647277832</v>
      </c>
      <c r="D15" s="9">
        <v>6.9751763343811035</v>
      </c>
      <c r="E15" s="9">
        <v>1.2000000476837158</v>
      </c>
      <c r="F15" s="9">
        <v>12</v>
      </c>
      <c r="G15" s="9">
        <v>0.98998796939849854</v>
      </c>
      <c r="H15" s="9">
        <v>0.10000000149011612</v>
      </c>
      <c r="I15">
        <v>4.999999888241291E-3</v>
      </c>
      <c r="J15"/>
    </row>
    <row r="16" spans="1:10" ht="15" customHeight="1" x14ac:dyDescent="0.15">
      <c r="A16" s="154">
        <v>15</v>
      </c>
      <c r="B16" s="154" t="s">
        <v>206</v>
      </c>
      <c r="C16" s="8">
        <v>4.5411467552185059</v>
      </c>
      <c r="D16" s="9">
        <v>0.14248265326023102</v>
      </c>
      <c r="E16" s="9">
        <v>0.5</v>
      </c>
      <c r="F16" s="9">
        <v>5</v>
      </c>
      <c r="G16" s="9">
        <v>0.98999482393264771</v>
      </c>
      <c r="H16" s="9">
        <v>0.10000000149011612</v>
      </c>
      <c r="I16">
        <v>5.0999999046325684E-2</v>
      </c>
      <c r="J16"/>
    </row>
    <row r="17" spans="1:10" ht="15" customHeight="1" x14ac:dyDescent="0.15">
      <c r="A17" s="155">
        <v>16</v>
      </c>
      <c r="B17" s="155" t="s">
        <v>207</v>
      </c>
      <c r="C17" s="8">
        <v>4.5076937675476074</v>
      </c>
      <c r="D17" s="9">
        <v>0.13099999725818634</v>
      </c>
      <c r="E17" s="9">
        <v>0.49300000071525574</v>
      </c>
      <c r="F17" s="9">
        <v>4.929999828338623</v>
      </c>
      <c r="G17" s="9">
        <v>0.89482414722442627</v>
      </c>
      <c r="H17" s="9">
        <v>0.10000000149011612</v>
      </c>
      <c r="I17">
        <v>2.7000000700354576E-2</v>
      </c>
      <c r="J17"/>
    </row>
    <row r="18" spans="1:10" ht="15" customHeight="1" x14ac:dyDescent="0.15">
      <c r="A18" s="156">
        <v>17</v>
      </c>
      <c r="B18" s="156" t="s">
        <v>208</v>
      </c>
      <c r="C18" s="8">
        <v>3.9305346012115479</v>
      </c>
      <c r="D18" s="9">
        <v>1.3639999628067017</v>
      </c>
      <c r="E18" s="9">
        <v>3.5</v>
      </c>
      <c r="F18" s="9">
        <v>10</v>
      </c>
      <c r="G18" s="9">
        <v>0.82280075550079346</v>
      </c>
      <c r="H18" s="9">
        <v>0.34999999403953552</v>
      </c>
      <c r="I18">
        <v>2.3008000105619431E-2</v>
      </c>
      <c r="J18"/>
    </row>
    <row r="19" spans="1:10" ht="15" customHeight="1" x14ac:dyDescent="0.15">
      <c r="A19" s="157">
        <v>18</v>
      </c>
      <c r="B19" s="157" t="s">
        <v>209</v>
      </c>
      <c r="C19" s="8">
        <v>4.1673388481140137</v>
      </c>
      <c r="D19" s="9">
        <v>0.50244653224945068</v>
      </c>
      <c r="E19" s="9">
        <v>2.125</v>
      </c>
      <c r="F19" s="9">
        <v>15.683329582214355</v>
      </c>
      <c r="G19" s="9">
        <v>0.98321467638015747</v>
      </c>
      <c r="H19" s="9">
        <v>0.13549418747425079</v>
      </c>
      <c r="I19">
        <v>1.4000000432133675E-2</v>
      </c>
      <c r="J19"/>
    </row>
    <row r="20" spans="1:10" ht="15" customHeight="1" x14ac:dyDescent="0.15">
      <c r="A20" s="158">
        <v>19</v>
      </c>
      <c r="B20" s="158" t="s">
        <v>210</v>
      </c>
      <c r="C20" s="8">
        <v>4.7542476654052734</v>
      </c>
      <c r="D20" s="9">
        <v>0.82300019264221191</v>
      </c>
      <c r="E20" s="9">
        <v>0.80000001192092896</v>
      </c>
      <c r="F20" s="9">
        <v>4.3999991416931152</v>
      </c>
      <c r="G20" s="9">
        <v>0.75809299945831299</v>
      </c>
      <c r="H20" s="9">
        <v>0.18181821703910828</v>
      </c>
      <c r="I20">
        <v>0.14390599727630615</v>
      </c>
      <c r="J20"/>
    </row>
    <row r="21" spans="1:10" ht="15" customHeight="1" x14ac:dyDescent="0.15">
      <c r="A21" s="159">
        <v>20</v>
      </c>
      <c r="B21" s="159" t="s">
        <v>211</v>
      </c>
      <c r="C21" s="8">
        <v>4.039802074432373</v>
      </c>
      <c r="D21" s="9">
        <v>1.2932292222976685</v>
      </c>
      <c r="E21" s="9">
        <v>2.5</v>
      </c>
      <c r="F21" s="9">
        <v>18.291563034057617</v>
      </c>
      <c r="G21" s="9">
        <v>0.99474376440048218</v>
      </c>
      <c r="H21" s="9">
        <v>0.13667502999305725</v>
      </c>
      <c r="I21">
        <v>0.15030001103878021</v>
      </c>
      <c r="J21"/>
    </row>
    <row r="22" spans="1:10" ht="15" customHeight="1" x14ac:dyDescent="0.15">
      <c r="A22" s="160">
        <v>21</v>
      </c>
      <c r="B22" s="160" t="s">
        <v>212</v>
      </c>
      <c r="C22" s="8">
        <v>4.6153578758239746</v>
      </c>
      <c r="D22" s="9">
        <v>0.78600043058395386</v>
      </c>
      <c r="E22" s="9">
        <v>0.80000001192092896</v>
      </c>
      <c r="F22" s="9">
        <v>4.6999974250793457</v>
      </c>
      <c r="G22" s="9">
        <v>0.999561607837677</v>
      </c>
      <c r="H22" s="9">
        <v>0.17021286487579346</v>
      </c>
      <c r="I22">
        <v>0.34370100498199463</v>
      </c>
      <c r="J22"/>
    </row>
    <row r="23" spans="1:10" ht="15" customHeight="1" x14ac:dyDescent="0.15">
      <c r="A23" s="161">
        <v>22</v>
      </c>
      <c r="B23" s="161" t="s">
        <v>213</v>
      </c>
      <c r="C23" s="8">
        <v>4.1667203903198242</v>
      </c>
      <c r="D23" s="9">
        <v>1.4361176490783691</v>
      </c>
      <c r="E23" s="9">
        <v>0.69999998807907104</v>
      </c>
      <c r="F23" s="9">
        <v>3.5</v>
      </c>
      <c r="G23" s="9">
        <v>0.9900585412979126</v>
      </c>
      <c r="H23" s="9">
        <v>0.20000000298023224</v>
      </c>
      <c r="I23">
        <v>2.199999988079071E-2</v>
      </c>
      <c r="J23"/>
    </row>
    <row r="24" spans="1:10" ht="15" customHeight="1" x14ac:dyDescent="0.15">
      <c r="A24" s="162">
        <v>23</v>
      </c>
      <c r="B24" s="162" t="s">
        <v>214</v>
      </c>
      <c r="C24" s="8">
        <v>3.4581003189086914</v>
      </c>
      <c r="D24" s="9">
        <v>3.6859414577484131</v>
      </c>
      <c r="E24" s="9">
        <v>0.69999998807907104</v>
      </c>
      <c r="F24" s="9">
        <v>3.5</v>
      </c>
      <c r="G24" s="9">
        <v>0.99000757932662964</v>
      </c>
      <c r="H24" s="9">
        <v>0.20000000298023224</v>
      </c>
      <c r="I24">
        <v>9.299999475479126E-2</v>
      </c>
      <c r="J24"/>
    </row>
    <row r="25" spans="1:10" ht="15" customHeight="1" x14ac:dyDescent="0.15">
      <c r="A25" s="163">
        <v>24</v>
      </c>
      <c r="B25" s="163" t="s">
        <v>215</v>
      </c>
      <c r="C25" s="8">
        <v>4.9724617004394531</v>
      </c>
      <c r="D25" s="9">
        <v>0.5820000171661377</v>
      </c>
      <c r="E25" s="9">
        <v>0.5</v>
      </c>
      <c r="F25" s="9">
        <v>4.5450000762939453</v>
      </c>
      <c r="G25" s="9">
        <v>0.99319243431091309</v>
      </c>
      <c r="H25" s="9">
        <v>0.11001099646091461</v>
      </c>
      <c r="I25">
        <v>2.0000000949949026E-3</v>
      </c>
      <c r="J25"/>
    </row>
    <row r="26" spans="1:10" ht="15" customHeight="1" x14ac:dyDescent="0.15">
      <c r="A26" s="164">
        <v>25</v>
      </c>
      <c r="B26" s="164" t="s">
        <v>216</v>
      </c>
      <c r="C26" s="8">
        <v>3.5607738494873047</v>
      </c>
      <c r="D26" s="9">
        <v>0.87300002574920654</v>
      </c>
      <c r="E26" s="9">
        <v>1</v>
      </c>
      <c r="F26" s="9">
        <v>10</v>
      </c>
      <c r="G26" s="9">
        <v>0.88494157791137695</v>
      </c>
      <c r="H26" s="9">
        <v>0.10000000149011612</v>
      </c>
      <c r="I26">
        <v>1.0999999940395355E-2</v>
      </c>
      <c r="J26"/>
    </row>
    <row r="27" spans="1:10" ht="15" customHeight="1" x14ac:dyDescent="0.15">
      <c r="A27" s="165">
        <v>26</v>
      </c>
      <c r="B27" s="165" t="s">
        <v>217</v>
      </c>
      <c r="C27" s="8">
        <v>4.8047914505004883</v>
      </c>
      <c r="D27" s="9">
        <v>4.5000001788139343E-2</v>
      </c>
      <c r="E27" s="9">
        <v>0.5</v>
      </c>
      <c r="F27" s="9">
        <v>5</v>
      </c>
      <c r="G27" s="7">
        <v>0</v>
      </c>
      <c r="H27" s="9">
        <v>0.10000000149011612</v>
      </c>
      <c r="I27">
        <v>0</v>
      </c>
      <c r="J27"/>
    </row>
    <row r="28" spans="1:10" ht="15" customHeight="1" x14ac:dyDescent="0.15">
      <c r="A28" s="166">
        <v>27</v>
      </c>
      <c r="B28" s="166" t="s">
        <v>218</v>
      </c>
      <c r="C28" s="8">
        <v>4.7363386154174805</v>
      </c>
      <c r="D28" s="9">
        <v>0.13300000131130219</v>
      </c>
      <c r="E28" s="9">
        <v>0.25</v>
      </c>
      <c r="F28" s="9">
        <v>19.305999755859375</v>
      </c>
      <c r="G28" s="9">
        <v>0.46434980630874634</v>
      </c>
      <c r="H28" s="9">
        <v>1.2949341908097267E-2</v>
      </c>
      <c r="I28">
        <v>4.999999888241291E-3</v>
      </c>
      <c r="J28"/>
    </row>
    <row r="29" spans="1:10" ht="15" customHeight="1" x14ac:dyDescent="0.15">
      <c r="A29" s="167">
        <v>28</v>
      </c>
      <c r="B29" s="167" t="s">
        <v>219</v>
      </c>
      <c r="C29" s="8">
        <v>4.6166911125183105</v>
      </c>
      <c r="D29" s="9">
        <v>7.4000000953674316E-2</v>
      </c>
      <c r="E29" s="9">
        <v>0.15000000596046448</v>
      </c>
      <c r="F29" s="9">
        <v>10</v>
      </c>
      <c r="G29" s="9">
        <v>0.81081080436706543</v>
      </c>
      <c r="H29" s="9">
        <v>1.5000000596046448E-2</v>
      </c>
      <c r="I29">
        <v>0</v>
      </c>
      <c r="J29"/>
    </row>
    <row r="30" spans="1:10" ht="15" customHeight="1" x14ac:dyDescent="0.15">
      <c r="A30" s="168">
        <v>29</v>
      </c>
      <c r="B30" s="168" t="s">
        <v>220</v>
      </c>
      <c r="C30" s="8">
        <v>4.5832633972167969</v>
      </c>
      <c r="D30" s="9">
        <v>1.4999999664723873E-2</v>
      </c>
      <c r="E30" s="9">
        <v>0.12300000339746475</v>
      </c>
      <c r="F30" s="9">
        <v>123</v>
      </c>
      <c r="G30" s="9">
        <v>9.9989987909793854E-2</v>
      </c>
      <c r="H30" s="9">
        <v>1.0000000474974513E-3</v>
      </c>
      <c r="I30">
        <v>0</v>
      </c>
      <c r="J30"/>
    </row>
    <row r="31" spans="1:10" ht="15" customHeight="1" x14ac:dyDescent="0.15">
      <c r="A31" s="169">
        <v>30</v>
      </c>
      <c r="B31" s="169" t="s">
        <v>221</v>
      </c>
      <c r="C31" s="8">
        <v>2</v>
      </c>
      <c r="D31" s="9">
        <v>10.404431343078613</v>
      </c>
      <c r="E31" s="9">
        <v>4</v>
      </c>
      <c r="F31" s="9">
        <v>33</v>
      </c>
      <c r="G31" s="9">
        <v>0.94999998807907104</v>
      </c>
      <c r="H31" s="9">
        <v>0.12121212482452393</v>
      </c>
      <c r="I31">
        <v>0</v>
      </c>
      <c r="J31"/>
    </row>
    <row r="32" spans="1:10" ht="15" customHeight="1" x14ac:dyDescent="0.15">
      <c r="A32" s="197">
        <v>31</v>
      </c>
      <c r="B32" s="197" t="s">
        <v>222</v>
      </c>
      <c r="C32" s="8">
        <v>2.1612904071807861</v>
      </c>
      <c r="D32" s="9">
        <v>49.421051025390625</v>
      </c>
      <c r="E32" s="9">
        <v>1.2000000476837158</v>
      </c>
      <c r="F32" s="9">
        <v>10</v>
      </c>
      <c r="G32" s="9">
        <v>0.94999998807907104</v>
      </c>
      <c r="H32" s="9">
        <v>0.12000000476837158</v>
      </c>
      <c r="I32">
        <v>0</v>
      </c>
      <c r="J32"/>
    </row>
    <row r="33" spans="1:10" ht="15" customHeight="1" x14ac:dyDescent="0.15">
      <c r="A33" s="198">
        <v>32</v>
      </c>
      <c r="B33" s="198" t="s">
        <v>223</v>
      </c>
      <c r="C33" s="8">
        <v>1</v>
      </c>
      <c r="D33" s="9">
        <v>50</v>
      </c>
      <c r="E33" s="10"/>
      <c r="F33" s="10"/>
      <c r="G33" s="9">
        <v>0.23295557498931885</v>
      </c>
      <c r="H33" s="10"/>
      <c r="I33">
        <v>0</v>
      </c>
      <c r="J33"/>
    </row>
    <row r="34" spans="1:10" ht="15" customHeight="1" x14ac:dyDescent="0.15">
      <c r="A34" s="199">
        <v>33</v>
      </c>
      <c r="B34" s="199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0">
        <v>34</v>
      </c>
      <c r="B35" s="200" t="s">
        <v>225</v>
      </c>
      <c r="C35" s="8">
        <v>4.4075751304626465</v>
      </c>
      <c r="D35" s="10"/>
      <c r="E35" s="10"/>
      <c r="F35" s="10"/>
      <c r="G35" s="10"/>
      <c r="H35" s="10"/>
      <c r="I35">
        <v>1.7300001382827759</v>
      </c>
      <c r="J35"/>
    </row>
    <row r="36" spans="1:10" ht="15" customHeight="1" x14ac:dyDescent="0.15">
      <c r="A36" s="201">
        <v>35</v>
      </c>
      <c r="B36" s="201" t="s">
        <v>226</v>
      </c>
      <c r="C36" s="8">
        <v>5.540398120880127</v>
      </c>
      <c r="D36" s="10"/>
      <c r="E36" s="10"/>
      <c r="F36" s="10"/>
      <c r="G36" s="10"/>
      <c r="H36" s="10"/>
      <c r="I36">
        <v>1.0010000551119447E-3</v>
      </c>
      <c r="J36"/>
    </row>
    <row r="37" spans="1:10" ht="15" customHeight="1" x14ac:dyDescent="0.15">
      <c r="A37" s="202">
        <v>36</v>
      </c>
      <c r="B37" s="202" t="s">
        <v>227</v>
      </c>
      <c r="C37" s="8">
        <v>5.5426101684570312</v>
      </c>
      <c r="D37" s="10"/>
      <c r="E37" s="10"/>
      <c r="F37" s="10"/>
      <c r="G37" s="10"/>
      <c r="H37" s="10"/>
      <c r="I37">
        <v>4.1000999510288239E-2</v>
      </c>
      <c r="J37"/>
    </row>
    <row r="38" spans="1:10" ht="15" customHeight="1" x14ac:dyDescent="0.15">
      <c r="A38" s="203">
        <v>37</v>
      </c>
      <c r="B38" s="203" t="s">
        <v>228</v>
      </c>
      <c r="C38" s="8">
        <v>4.465700626373291</v>
      </c>
      <c r="D38" s="10"/>
      <c r="E38" s="10"/>
      <c r="F38" s="10"/>
      <c r="G38" s="10"/>
      <c r="H38" s="10"/>
      <c r="I38">
        <v>1.4003000222146511E-2</v>
      </c>
      <c r="J38"/>
    </row>
    <row r="39" spans="1:10" ht="15" customHeight="1" x14ac:dyDescent="0.15">
      <c r="A39" s="204">
        <v>38</v>
      </c>
      <c r="B39" s="204" t="s">
        <v>229</v>
      </c>
      <c r="C39" s="8">
        <v>4.8533115386962891</v>
      </c>
      <c r="D39" s="10"/>
      <c r="E39" s="10"/>
      <c r="F39" s="10"/>
      <c r="G39" s="10"/>
      <c r="H39" s="10"/>
      <c r="I39">
        <v>0.10840000212192535</v>
      </c>
      <c r="J39"/>
    </row>
    <row r="40" spans="1:10" ht="15" customHeight="1" x14ac:dyDescent="0.15">
      <c r="A40" s="205">
        <v>39</v>
      </c>
      <c r="B40" s="205" t="s">
        <v>230</v>
      </c>
      <c r="C40" s="8">
        <v>4.9305343627929688</v>
      </c>
      <c r="D40" s="10"/>
      <c r="E40" s="10"/>
      <c r="F40" s="10"/>
      <c r="G40" s="10"/>
      <c r="H40" s="10"/>
      <c r="I40">
        <v>2.3000000044703484E-2</v>
      </c>
      <c r="J40"/>
    </row>
    <row r="41" spans="1:10" ht="15" customHeight="1" x14ac:dyDescent="0.15">
      <c r="A41" s="206">
        <v>40</v>
      </c>
      <c r="B41" s="206" t="s">
        <v>231</v>
      </c>
      <c r="C41" s="8">
        <v>4.9305343627929688</v>
      </c>
      <c r="D41" s="10"/>
      <c r="E41" s="10"/>
      <c r="F41" s="10"/>
      <c r="G41" s="10"/>
      <c r="H41" s="10"/>
      <c r="I41">
        <v>7.9999999798019417E-6</v>
      </c>
      <c r="J41"/>
    </row>
    <row r="42" spans="1:10" ht="15" customHeight="1" x14ac:dyDescent="0.15">
      <c r="A42" s="207">
        <v>41</v>
      </c>
      <c r="B42" s="207" t="s">
        <v>232</v>
      </c>
      <c r="C42" s="8">
        <v>5.5411472320556641</v>
      </c>
      <c r="D42" s="10"/>
      <c r="E42" s="10"/>
      <c r="F42" s="10"/>
      <c r="G42" s="10"/>
      <c r="H42" s="10"/>
      <c r="I42">
        <v>3.4000001847743988E-2</v>
      </c>
      <c r="J42"/>
    </row>
    <row r="43" spans="1:10" ht="15" customHeight="1" x14ac:dyDescent="0.15">
      <c r="A43" s="208">
        <v>42</v>
      </c>
      <c r="B43" s="208" t="s">
        <v>233</v>
      </c>
      <c r="C43" s="8">
        <v>5.7542476654052734</v>
      </c>
      <c r="D43" s="10"/>
      <c r="E43" s="10"/>
      <c r="F43" s="10"/>
      <c r="G43" s="10"/>
      <c r="H43" s="10"/>
      <c r="I43">
        <v>0.12267299741506577</v>
      </c>
      <c r="J43"/>
    </row>
    <row r="44" spans="1:10" ht="15" customHeight="1" x14ac:dyDescent="0.15">
      <c r="A44" s="209">
        <v>43</v>
      </c>
      <c r="B44" s="209" t="s">
        <v>234</v>
      </c>
      <c r="C44" s="8">
        <v>4.791750431060791</v>
      </c>
      <c r="D44" s="10"/>
      <c r="E44" s="10"/>
      <c r="F44" s="10"/>
      <c r="G44" s="10"/>
      <c r="H44" s="10"/>
      <c r="I44">
        <v>5.4999999701976776E-2</v>
      </c>
      <c r="J44"/>
    </row>
    <row r="45" spans="1:10" ht="15" customHeight="1" x14ac:dyDescent="0.15">
      <c r="A45" s="210">
        <v>44</v>
      </c>
      <c r="B45" s="210" t="s">
        <v>235</v>
      </c>
      <c r="C45" s="8">
        <v>5.6087160110473633</v>
      </c>
      <c r="D45" s="10"/>
      <c r="E45" s="10"/>
      <c r="F45" s="10"/>
      <c r="G45" s="10"/>
      <c r="H45" s="10"/>
      <c r="I45">
        <v>2.8230000287294388E-2</v>
      </c>
      <c r="J45"/>
    </row>
    <row r="46" spans="1:10" ht="15" customHeight="1" x14ac:dyDescent="0.15">
      <c r="A46" s="211">
        <v>45</v>
      </c>
      <c r="B46" s="211" t="s">
        <v>236</v>
      </c>
      <c r="C46" s="8">
        <v>4.722775936126709</v>
      </c>
      <c r="D46" s="10"/>
      <c r="E46" s="10"/>
      <c r="F46" s="10"/>
      <c r="G46" s="10"/>
      <c r="H46" s="10"/>
      <c r="I46">
        <v>0.15000000596046448</v>
      </c>
      <c r="J46"/>
    </row>
    <row r="47" spans="1:10" ht="15" customHeight="1" x14ac:dyDescent="0.15">
      <c r="A47" s="212">
        <v>46</v>
      </c>
      <c r="B47" s="212" t="s">
        <v>237</v>
      </c>
      <c r="C47" s="8">
        <v>5.4426913261413574</v>
      </c>
      <c r="D47" s="10"/>
      <c r="E47" s="10"/>
      <c r="F47" s="10"/>
      <c r="G47" s="10"/>
      <c r="H47" s="10"/>
      <c r="I47">
        <v>0.49099999666213989</v>
      </c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251</v>
      </c>
      <c r="N1" t="s">
        <v>252</v>
      </c>
      <c r="O1" t="s">
        <v>253</v>
      </c>
      <c r="P1" t="s">
        <v>254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205</v>
      </c>
      <c r="AE1" t="s">
        <v>206</v>
      </c>
      <c r="AF1" t="s">
        <v>207</v>
      </c>
      <c r="AG1" t="s">
        <v>208</v>
      </c>
      <c r="AH1" t="s">
        <v>209</v>
      </c>
      <c r="AI1" t="s">
        <v>210</v>
      </c>
      <c r="AJ1" t="s">
        <v>211</v>
      </c>
      <c r="AK1" t="s">
        <v>212</v>
      </c>
      <c r="AL1" t="s">
        <v>213</v>
      </c>
      <c r="AM1" t="s">
        <v>214</v>
      </c>
      <c r="AN1" t="s">
        <v>215</v>
      </c>
      <c r="AO1" t="s">
        <v>216</v>
      </c>
      <c r="AP1" t="s">
        <v>217</v>
      </c>
      <c r="AQ1" t="s">
        <v>218</v>
      </c>
      <c r="AR1" t="s">
        <v>219</v>
      </c>
      <c r="AS1" t="s">
        <v>220</v>
      </c>
      <c r="AT1" t="s">
        <v>221</v>
      </c>
      <c r="AU1" t="s">
        <v>222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154.39999389648438</v>
      </c>
      <c r="C2">
        <v>127.87790679931641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 s="241">
        <v>18.049510955810547</v>
      </c>
      <c r="T2" s="20">
        <v>6.6117138862609863</v>
      </c>
      <c r="U2" s="18">
        <v>1.7492971420288086</v>
      </c>
      <c r="V2"/>
      <c r="W2" s="11">
        <v>5.9357013553380966E-2</v>
      </c>
      <c r="X2" s="11">
        <v>5.2211713045835495E-2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</v>
      </c>
      <c r="C3">
        <v>7.5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 s="274">
        <v>3.0745341777801514</v>
      </c>
      <c r="AU3" s="275">
        <v>4.4254660606384277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482</v>
      </c>
      <c r="C4">
        <v>24.099977493286133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282">
        <v>96.400001525878906</v>
      </c>
      <c r="T4" s="283">
        <v>282.4981689453125</v>
      </c>
      <c r="U4" s="280">
        <v>74.742080688476562</v>
      </c>
      <c r="V4"/>
      <c r="W4" s="12">
        <v>2.0289137363433838</v>
      </c>
      <c r="X4" s="12">
        <v>2.2308456897735596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2.0000076293945312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281">
        <v>17.6912841796875</v>
      </c>
      <c r="V5" s="16">
        <v>0.63624280691146851</v>
      </c>
      <c r="W5" s="273">
        <v>6.8229227066040039</v>
      </c>
      <c r="X5" s="18">
        <v>0.47710010409355164</v>
      </c>
      <c r="Y5" s="76">
        <v>5.6784696578979492</v>
      </c>
      <c r="Z5" s="15">
        <v>0.38640174269676208</v>
      </c>
      <c r="AA5" s="11">
        <v>2.9775630682706833E-3</v>
      </c>
      <c r="AB5" s="24">
        <v>1.0612123012542725</v>
      </c>
      <c r="AC5" s="64">
        <v>0.82698136568069458</v>
      </c>
      <c r="AD5" s="239">
        <v>4.3878226280212402</v>
      </c>
      <c r="AE5"/>
      <c r="AF5"/>
      <c r="AG5"/>
      <c r="AH5"/>
      <c r="AI5"/>
      <c r="AJ5"/>
      <c r="AK5"/>
      <c r="AL5" s="11">
        <v>6.5899859182536602E-3</v>
      </c>
      <c r="AM5" s="11">
        <v>1.6907099634408951E-2</v>
      </c>
      <c r="AN5"/>
      <c r="AO5"/>
      <c r="AP5"/>
      <c r="AQ5"/>
      <c r="AR5" s="11">
        <v>2.9094147030264139E-3</v>
      </c>
      <c r="AS5" s="11">
        <v>2.1759460214525461E-3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13</v>
      </c>
      <c r="C6">
        <v>0.65018534660339355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23">
        <v>7.1411199867725372E-2</v>
      </c>
      <c r="W6" s="277">
        <v>2.4362213611602783</v>
      </c>
      <c r="X6" s="23">
        <v>6.8936906754970551E-2</v>
      </c>
      <c r="Y6" s="276">
        <v>2.2661168575286865</v>
      </c>
      <c r="Z6" s="12">
        <v>4.5689482241868973E-2</v>
      </c>
      <c r="AA6" s="18">
        <v>0.14259137213230133</v>
      </c>
      <c r="AB6" s="16">
        <v>0.21174989640712738</v>
      </c>
      <c r="AC6" s="68">
        <v>0.66004985570907593</v>
      </c>
      <c r="AD6" s="245">
        <v>3.9398763179779053</v>
      </c>
      <c r="AE6" s="11">
        <v>9.5010455697774887E-3</v>
      </c>
      <c r="AF6" s="11">
        <v>4.2052431963384151E-3</v>
      </c>
      <c r="AG6" s="64">
        <v>0.2889169454574585</v>
      </c>
      <c r="AH6" s="139">
        <v>0.38080593943595886</v>
      </c>
      <c r="AI6" s="14">
        <v>1.3067883439362049E-2</v>
      </c>
      <c r="AJ6" s="239">
        <v>1.4267922639846802</v>
      </c>
      <c r="AK6" s="12">
        <v>6.0860369354486465E-2</v>
      </c>
      <c r="AL6" s="21">
        <v>0.25562402606010437</v>
      </c>
      <c r="AM6" s="12">
        <v>5.060359463095665E-2</v>
      </c>
      <c r="AN6"/>
      <c r="AO6"/>
      <c r="AP6"/>
      <c r="AQ6"/>
      <c r="AR6" s="11">
        <v>2.3221303708851337E-3</v>
      </c>
      <c r="AS6" s="14">
        <v>1.4472641050815582E-2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0.49321359395980835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257">
        <v>6.6760003566741943E-2</v>
      </c>
      <c r="W7"/>
      <c r="X7"/>
      <c r="Y7"/>
      <c r="Z7" s="65">
        <v>2.4026401340961456E-2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1.3999999761581421</v>
      </c>
      <c r="C8">
        <v>1.4074253849685192E-2</v>
      </c>
      <c r="D8" s="213">
        <v>0.15009163320064545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23">
        <v>7.1640373207628727E-3</v>
      </c>
      <c r="AB8"/>
      <c r="AC8" s="20">
        <v>6.1222244054079056E-2</v>
      </c>
      <c r="AD8"/>
      <c r="AE8" s="224">
        <v>5.3575407713651657E-2</v>
      </c>
      <c r="AF8" s="19">
        <v>2.5455271825194359E-2</v>
      </c>
      <c r="AG8" s="27">
        <v>0.10752362012863159</v>
      </c>
      <c r="AH8" s="269">
        <v>0.22362489998340607</v>
      </c>
      <c r="AI8" s="266">
        <v>0.17070382833480835</v>
      </c>
      <c r="AJ8" s="271">
        <v>0.31321194767951965</v>
      </c>
      <c r="AK8" s="11">
        <v>1.1066073784604669E-3</v>
      </c>
      <c r="AL8" s="11">
        <v>1.1891663307324052E-3</v>
      </c>
      <c r="AM8" s="22">
        <v>1.0169650427997112E-2</v>
      </c>
      <c r="AN8" s="23">
        <v>8.3407750353217125E-3</v>
      </c>
      <c r="AO8"/>
      <c r="AP8"/>
      <c r="AQ8" s="234">
        <v>0.10120534896850586</v>
      </c>
      <c r="AR8" s="26">
        <v>3.5000361502170563E-2</v>
      </c>
      <c r="AS8" s="250">
        <v>0.11634089797735214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1.2032318860292435E-2</v>
      </c>
      <c r="D9" s="214">
        <v>0.43360933661460876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s="21">
        <v>2.2390007972717285E-2</v>
      </c>
      <c r="AB9"/>
      <c r="AC9" s="242">
        <v>0.15944996476173401</v>
      </c>
      <c r="AD9"/>
      <c r="AE9" s="19">
        <v>2.1061765030026436E-2</v>
      </c>
      <c r="AF9" s="243">
        <v>9.5467470586299896E-2</v>
      </c>
      <c r="AG9" s="18">
        <v>1.3441889546811581E-2</v>
      </c>
      <c r="AH9" s="75">
        <v>7.765582948923111E-2</v>
      </c>
      <c r="AI9" s="12">
        <v>3.5686050541698933E-3</v>
      </c>
      <c r="AJ9" s="246">
        <v>0.11653474718332291</v>
      </c>
      <c r="AK9" s="11">
        <v>3.640544309746474E-4</v>
      </c>
      <c r="AL9" s="11">
        <v>4.9553881399333477E-4</v>
      </c>
      <c r="AM9"/>
      <c r="AN9" s="64">
        <v>2.6067705824971199E-2</v>
      </c>
      <c r="AO9"/>
      <c r="AP9"/>
      <c r="AQ9" s="67">
        <v>7.5912117958068848E-2</v>
      </c>
      <c r="AR9" s="20">
        <v>5.1047645509243011E-2</v>
      </c>
      <c r="AS9" s="27">
        <v>9.090103954076767E-2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1.2999999523162842</v>
      </c>
      <c r="C10">
        <v>0.41876405477523804</v>
      </c>
      <c r="D10" s="20">
        <v>5.4905492812395096E-2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 s="12">
        <v>4.0900092571973801E-3</v>
      </c>
      <c r="AB10"/>
      <c r="AC10" s="247">
        <v>0.16311070322990417</v>
      </c>
      <c r="AD10"/>
      <c r="AE10" s="23">
        <v>7.6947547495365143E-3</v>
      </c>
      <c r="AF10" s="14">
        <v>3.4878305159509182E-3</v>
      </c>
      <c r="AG10" s="72">
        <v>0.12277227640151978</v>
      </c>
      <c r="AH10" s="252">
        <v>4.3974991887807846E-2</v>
      </c>
      <c r="AI10" s="20">
        <v>5.6713666766881943E-2</v>
      </c>
      <c r="AJ10" s="261">
        <v>0.21287539601325989</v>
      </c>
      <c r="AK10" s="17">
        <v>1.8620630726218224E-2</v>
      </c>
      <c r="AL10" s="27">
        <v>9.9572733044624329E-2</v>
      </c>
      <c r="AM10" s="222">
        <v>5.8059383183717728E-2</v>
      </c>
      <c r="AN10" s="19">
        <v>2.3332908749580383E-2</v>
      </c>
      <c r="AO10"/>
      <c r="AP10"/>
      <c r="AQ10" s="14">
        <v>1.3866956578567624E-3</v>
      </c>
      <c r="AR10" s="12">
        <v>3.9963996969163418E-3</v>
      </c>
      <c r="AS10" s="23">
        <v>6.6420002840459347E-3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0.24073773622512817</v>
      </c>
      <c r="D11" s="14">
        <v>2.7472530491650105E-3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4">
        <v>1.9571594893932343E-3</v>
      </c>
      <c r="AF11" s="66">
        <v>5.8550521731376648E-2</v>
      </c>
      <c r="AG11"/>
      <c r="AH11"/>
      <c r="AI11" s="136">
        <v>9.9483519792556763E-2</v>
      </c>
      <c r="AJ11" s="75">
        <v>6.4973779022693634E-2</v>
      </c>
      <c r="AK11" s="21">
        <v>2.0297802984714508E-2</v>
      </c>
      <c r="AL11"/>
      <c r="AM11"/>
      <c r="AN11" s="235">
        <v>0.14534011483192444</v>
      </c>
      <c r="AO11"/>
      <c r="AP11"/>
      <c r="AQ11" s="64">
        <v>2.1162347868084908E-2</v>
      </c>
      <c r="AR11" s="65">
        <v>4.0659341961145401E-2</v>
      </c>
      <c r="AS11" s="245">
        <v>0.3040904700756073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0.10449457168579102</v>
      </c>
      <c r="D12" s="215">
        <v>3.8732394576072693E-2</v>
      </c>
      <c r="E12"/>
      <c r="F12"/>
      <c r="G12"/>
      <c r="H12"/>
      <c r="I12"/>
      <c r="J12"/>
      <c r="K12"/>
      <c r="L12"/>
      <c r="M12"/>
      <c r="N12"/>
      <c r="O12" s="106">
        <v>9.8591551184654236E-2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12">
        <v>2.5084719527512789E-3</v>
      </c>
      <c r="AF12" s="229">
        <v>7.0495523512363434E-2</v>
      </c>
      <c r="AG12"/>
      <c r="AH12"/>
      <c r="AI12" s="238">
        <v>0.2550140917301178</v>
      </c>
      <c r="AJ12"/>
      <c r="AK12"/>
      <c r="AL12"/>
      <c r="AM12"/>
      <c r="AN12" s="231">
        <v>9.3140490353107452E-2</v>
      </c>
      <c r="AO12"/>
      <c r="AP12"/>
      <c r="AQ12" s="233">
        <v>0.11753547936677933</v>
      </c>
      <c r="AR12"/>
      <c r="AS12" s="221">
        <v>1.9487487152218819E-2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0.77049720287322998</v>
      </c>
      <c r="D13" s="24">
        <v>3.2908543944358826E-2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 s="18">
        <v>1.465265266597271E-2</v>
      </c>
      <c r="AF13" s="232">
        <v>6.7744970321655273E-2</v>
      </c>
      <c r="AG13"/>
      <c r="AH13"/>
      <c r="AI13" s="220">
        <v>0.22344076633453369</v>
      </c>
      <c r="AJ13"/>
      <c r="AK13"/>
      <c r="AL13"/>
      <c r="AM13"/>
      <c r="AN13"/>
      <c r="AO13"/>
      <c r="AP13"/>
      <c r="AQ13" s="20">
        <v>5.2811995148658752E-2</v>
      </c>
      <c r="AR13"/>
      <c r="AS13" s="25">
        <v>3.7943869829177856E-2</v>
      </c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0.68754959106445312</v>
      </c>
      <c r="D14"/>
      <c r="E14" s="11">
        <v>6.1804706774637452E-7</v>
      </c>
      <c r="F14"/>
      <c r="G14"/>
      <c r="H14" s="65">
        <v>6.1433881521224976E-2</v>
      </c>
      <c r="I14"/>
      <c r="J14"/>
      <c r="K14"/>
      <c r="L14"/>
      <c r="M14" s="221">
        <v>3.3992588520050049E-2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11">
        <v>4.4030050048604608E-4</v>
      </c>
      <c r="AF14"/>
      <c r="AG14"/>
      <c r="AH14"/>
      <c r="AI14" s="262">
        <v>0.35361543297767639</v>
      </c>
      <c r="AJ14"/>
      <c r="AK14"/>
      <c r="AL14"/>
      <c r="AM14"/>
      <c r="AN14" s="246">
        <v>0.14713668823242188</v>
      </c>
      <c r="AO14" s="28">
        <v>5.395551398396492E-2</v>
      </c>
      <c r="AP14" s="14">
        <v>3.4765154123306274E-3</v>
      </c>
      <c r="AQ14" s="221">
        <v>3.4913081675767899E-2</v>
      </c>
      <c r="AR14" s="250">
        <v>0.12348581850528717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1.2014437466859818E-2</v>
      </c>
      <c r="D15" s="11">
        <v>7.1682775160297751E-4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65">
        <v>4.885898157954216E-2</v>
      </c>
      <c r="AB15"/>
      <c r="AC15"/>
      <c r="AD15"/>
      <c r="AE15" s="12">
        <v>5.1067247986793518E-3</v>
      </c>
      <c r="AF15" s="14">
        <v>1.8517953576520085E-3</v>
      </c>
      <c r="AG15" s="268">
        <v>0.19555060565471649</v>
      </c>
      <c r="AH15" s="250">
        <v>9.9415846168994904E-2</v>
      </c>
      <c r="AI15" s="64">
        <v>2.5957768782973289E-2</v>
      </c>
      <c r="AJ15" s="270">
        <v>0.27464351058006287</v>
      </c>
      <c r="AK15" s="244">
        <v>0.19278204441070557</v>
      </c>
      <c r="AL15" s="264">
        <v>0.1081353947520256</v>
      </c>
      <c r="AM15" s="27">
        <v>9.2476479709148407E-2</v>
      </c>
      <c r="AN15" s="73">
        <v>9.480728954076767E-2</v>
      </c>
      <c r="AO15" s="15">
        <v>1.2515813112258911E-2</v>
      </c>
      <c r="AP15"/>
      <c r="AQ15" s="12">
        <v>3.681194270029664E-3</v>
      </c>
      <c r="AR15" s="12">
        <v>4.2436202056705952E-3</v>
      </c>
      <c r="AS15" s="221">
        <v>2.7241745963692665E-2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5.0025880336761475E-3</v>
      </c>
      <c r="D16"/>
      <c r="E16" s="17">
        <v>7.0183984935283661E-3</v>
      </c>
      <c r="F16" s="216">
        <v>0.10527597367763519</v>
      </c>
      <c r="G16"/>
      <c r="H16" s="17">
        <v>7.0183984935283661E-3</v>
      </c>
      <c r="I16"/>
      <c r="J16"/>
      <c r="K16" s="219">
        <v>0.23862555623054504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s="11">
        <v>4.9999489419860765E-5</v>
      </c>
      <c r="AF16"/>
      <c r="AG16"/>
      <c r="AH16"/>
      <c r="AI16" s="227">
        <v>5.0830051302909851E-2</v>
      </c>
      <c r="AJ16"/>
      <c r="AK16" s="68">
        <v>2.5927368551492691E-2</v>
      </c>
      <c r="AL16"/>
      <c r="AM16"/>
      <c r="AN16" s="13">
        <v>1.8564999103546143E-2</v>
      </c>
      <c r="AO16"/>
      <c r="AP16" s="25">
        <v>1.5791397541761398E-2</v>
      </c>
      <c r="AQ16"/>
      <c r="AR16"/>
      <c r="AS16" s="68">
        <v>2.5895301252603531E-2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0.49300000071525574</v>
      </c>
      <c r="C17">
        <v>5.1851697266101837E-2</v>
      </c>
      <c r="D17"/>
      <c r="E17"/>
      <c r="F17" s="217">
        <v>0.18320611119270325</v>
      </c>
      <c r="G17"/>
      <c r="H17" s="25">
        <v>1.5267176553606987E-2</v>
      </c>
      <c r="I17"/>
      <c r="J17"/>
      <c r="K17"/>
      <c r="L17"/>
      <c r="M17"/>
      <c r="N17"/>
      <c r="O17" s="16">
        <v>7.6335882768034935E-3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15">
        <v>4.9300002865493298E-3</v>
      </c>
      <c r="AG17"/>
      <c r="AH17"/>
      <c r="AI17"/>
      <c r="AJ17"/>
      <c r="AK17"/>
      <c r="AL17"/>
      <c r="AM17"/>
      <c r="AN17" s="230">
        <v>0.20192290842533112</v>
      </c>
      <c r="AO17"/>
      <c r="AP17" s="19">
        <v>8.587786927819252E-3</v>
      </c>
      <c r="AQ17" s="224">
        <v>1.9600749015808105E-2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3.5</v>
      </c>
      <c r="C18">
        <v>0.6201973557472229</v>
      </c>
      <c r="D18"/>
      <c r="E18"/>
      <c r="F18"/>
      <c r="G18"/>
      <c r="H18"/>
      <c r="I18" s="12">
        <v>1.6862170770764351E-2</v>
      </c>
      <c r="J18" s="11">
        <v>5.8651025938161183E-6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14">
        <v>5.2229184657335281E-3</v>
      </c>
      <c r="AF18" s="21">
        <v>6.6761016845703125E-2</v>
      </c>
      <c r="AG18" s="263">
        <v>0.5</v>
      </c>
      <c r="AH18" s="236">
        <v>0.30041190981864929</v>
      </c>
      <c r="AI18" s="221">
        <v>7.9645164310932159E-2</v>
      </c>
      <c r="AJ18" s="215">
        <v>0.17339044809341431</v>
      </c>
      <c r="AK18" s="243">
        <v>0.28166922926902771</v>
      </c>
      <c r="AL18" s="64">
        <v>7.3730550706386566E-2</v>
      </c>
      <c r="AM18" s="63">
        <v>0.18916122615337372</v>
      </c>
      <c r="AN18" s="225">
        <v>0.38785779476165771</v>
      </c>
      <c r="AO18" s="63">
        <v>0.19200880825519562</v>
      </c>
      <c r="AP18"/>
      <c r="AQ18" s="106">
        <v>0.43485212326049805</v>
      </c>
      <c r="AR18" s="221">
        <v>8.3548389375209808E-2</v>
      </c>
      <c r="AS18" s="24">
        <v>9.467528760433197E-2</v>
      </c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2.125</v>
      </c>
      <c r="C19">
        <v>3.5668812692165375E-2</v>
      </c>
      <c r="D19"/>
      <c r="E19"/>
      <c r="F19"/>
      <c r="G19"/>
      <c r="H19"/>
      <c r="I19"/>
      <c r="J19"/>
      <c r="K19"/>
      <c r="L19"/>
      <c r="M19"/>
      <c r="N19" s="23">
        <v>1.393183134496212E-2</v>
      </c>
      <c r="O19" s="23">
        <v>1.393183134496212E-2</v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17">
        <v>2.8357485309243202E-2</v>
      </c>
      <c r="AF19" s="23">
        <v>1.2853705324232578E-2</v>
      </c>
      <c r="AG19" s="256">
        <v>0.59723770618438721</v>
      </c>
      <c r="AH19"/>
      <c r="AI19" s="258">
        <v>0.6846778392791748</v>
      </c>
      <c r="AJ19"/>
      <c r="AK19"/>
      <c r="AL19" s="21">
        <v>4.0031511336565018E-2</v>
      </c>
      <c r="AM19" s="18">
        <v>2.5675958022475243E-2</v>
      </c>
      <c r="AN19"/>
      <c r="AO19"/>
      <c r="AP19"/>
      <c r="AQ19" s="253">
        <v>0.51103907823562622</v>
      </c>
      <c r="AR19" s="22">
        <v>1.4727935194969177E-2</v>
      </c>
      <c r="AS19" s="240">
        <v>0.14686661958694458</v>
      </c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0.19352559745311737</v>
      </c>
      <c r="D20"/>
      <c r="E20"/>
      <c r="F20" s="11">
        <v>1.2150665043009212E-6</v>
      </c>
      <c r="G20" s="11">
        <v>2.4301330086018424E-6</v>
      </c>
      <c r="H20"/>
      <c r="I20"/>
      <c r="J20"/>
      <c r="K20"/>
      <c r="L20" s="220">
        <v>0.1490558534860611</v>
      </c>
      <c r="M20"/>
      <c r="N20" s="25">
        <v>2.5795862078666687E-2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239">
        <v>8.7999984622001648E-2</v>
      </c>
      <c r="AJ20"/>
      <c r="AK20"/>
      <c r="AL20"/>
      <c r="AM20" s="224">
        <v>3.1350649893283844E-2</v>
      </c>
      <c r="AN20" s="244">
        <v>0.1285632848739624</v>
      </c>
      <c r="AO20" s="242">
        <v>0.10607530921697617</v>
      </c>
      <c r="AP20"/>
      <c r="AQ20" s="236">
        <v>6.8638324737548828E-2</v>
      </c>
      <c r="AR20" s="18">
        <v>8.9914919808506966E-3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2.5</v>
      </c>
      <c r="C21">
        <v>1.3140588998794556E-2</v>
      </c>
      <c r="D21"/>
      <c r="E21"/>
      <c r="F21"/>
      <c r="G21"/>
      <c r="H21"/>
      <c r="I21"/>
      <c r="J21"/>
      <c r="K21"/>
      <c r="L21"/>
      <c r="M21"/>
      <c r="N21"/>
      <c r="O21" s="11">
        <v>2.3197743576020002E-3</v>
      </c>
      <c r="P21" s="222">
        <v>0.11390092223882675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 s="17">
        <v>3.305242583155632E-2</v>
      </c>
      <c r="AF21" s="23">
        <v>1.6979370266199112E-2</v>
      </c>
      <c r="AG21" s="265">
        <v>0.82268482446670532</v>
      </c>
      <c r="AH21" s="68">
        <v>0.12795931100845337</v>
      </c>
      <c r="AI21" s="77">
        <v>0.42001837491989136</v>
      </c>
      <c r="AJ21"/>
      <c r="AK21" s="261">
        <v>0.41420263051986694</v>
      </c>
      <c r="AL21" s="26">
        <v>6.2212307006120682E-2</v>
      </c>
      <c r="AM21" s="25">
        <v>7.9805158078670502E-2</v>
      </c>
      <c r="AN21"/>
      <c r="AO21"/>
      <c r="AP21"/>
      <c r="AQ21" s="243">
        <v>0.19854934513568878</v>
      </c>
      <c r="AR21" s="12">
        <v>9.7275879234075546E-3</v>
      </c>
      <c r="AS21" s="237">
        <v>0.18544740974903107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0.80000001192092896</v>
      </c>
      <c r="C22">
        <v>3.5071372985839844E-4</v>
      </c>
      <c r="D22"/>
      <c r="E22"/>
      <c r="F22"/>
      <c r="G22" s="11">
        <v>1.2722639439743944E-6</v>
      </c>
      <c r="H22"/>
      <c r="I22"/>
      <c r="J22"/>
      <c r="K22"/>
      <c r="L22"/>
      <c r="M22"/>
      <c r="N22"/>
      <c r="O22"/>
      <c r="P22" s="223">
        <v>0.43727710843086243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 s="241">
        <v>9.3999944627285004E-2</v>
      </c>
      <c r="AL22"/>
      <c r="AM22" s="65">
        <v>3.2826434820890427E-2</v>
      </c>
      <c r="AN22" s="216">
        <v>0.16826899349689484</v>
      </c>
      <c r="AO22"/>
      <c r="AP22"/>
      <c r="AQ22" s="234">
        <v>5.8802209794521332E-2</v>
      </c>
      <c r="AR22" s="15">
        <v>8.4732780233025551E-3</v>
      </c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0.69999998807907104</v>
      </c>
      <c r="C23">
        <v>6.9590210914611816E-3</v>
      </c>
      <c r="D23"/>
      <c r="E23"/>
      <c r="F23"/>
      <c r="G23"/>
      <c r="H23"/>
      <c r="I23"/>
      <c r="J23"/>
      <c r="K23"/>
      <c r="L23"/>
      <c r="M23"/>
      <c r="N23"/>
      <c r="O23" s="64">
        <v>1.5319079160690308E-2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s="73">
        <v>5.4567020386457443E-2</v>
      </c>
      <c r="AF23" s="63">
        <v>3.8674671202898026E-2</v>
      </c>
      <c r="AG23"/>
      <c r="AH23" s="22">
        <v>5.4870396852493286E-3</v>
      </c>
      <c r="AI23" s="12">
        <v>2.5215207133442163E-3</v>
      </c>
      <c r="AJ23" s="14">
        <v>1.6468326793983579E-3</v>
      </c>
      <c r="AK23" s="239">
        <v>7.7170558273792267E-2</v>
      </c>
      <c r="AL23" s="218">
        <v>0.10504201054573059</v>
      </c>
      <c r="AM23" s="254">
        <v>0.17966209352016449</v>
      </c>
      <c r="AN23" s="248">
        <v>9.2095173895359039E-2</v>
      </c>
      <c r="AO23" s="20">
        <v>3.0394446104764938E-2</v>
      </c>
      <c r="AP23" s="14">
        <v>1.5667241532355547E-3</v>
      </c>
      <c r="AQ23" s="247">
        <v>8.7609253823757172E-2</v>
      </c>
      <c r="AR23"/>
      <c r="AS23" s="14">
        <v>1.2845852179452777E-3</v>
      </c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0.69999998807907104</v>
      </c>
      <c r="C24">
        <v>6.9946944713592529E-3</v>
      </c>
      <c r="D24"/>
      <c r="E24"/>
      <c r="F24"/>
      <c r="G24" s="23">
        <v>3.5269143991172314E-3</v>
      </c>
      <c r="H24"/>
      <c r="I24"/>
      <c r="J24"/>
      <c r="K24"/>
      <c r="L24"/>
      <c r="M24"/>
      <c r="N24"/>
      <c r="O24" s="25">
        <v>2.1704088896512985E-2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 s="12">
        <v>2.1378621459007263E-3</v>
      </c>
      <c r="AI24" s="14">
        <v>9.8243565298616886E-4</v>
      </c>
      <c r="AJ24" s="11">
        <v>6.4163946080952883E-4</v>
      </c>
      <c r="AK24" s="259">
        <v>9.4210609793663025E-2</v>
      </c>
      <c r="AL24" s="21">
        <v>1.3642167672514915E-2</v>
      </c>
      <c r="AM24" s="136">
        <v>7.0000000298023224E-2</v>
      </c>
      <c r="AN24" s="227">
        <v>7.1764297783374786E-2</v>
      </c>
      <c r="AO24" s="267">
        <v>0.35526883602142334</v>
      </c>
      <c r="AP24" s="11">
        <v>6.1042752349749207E-4</v>
      </c>
      <c r="AQ24" s="251">
        <v>5.8516021817922592E-2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</v>
      </c>
      <c r="C25">
        <v>3.403782844543457E-3</v>
      </c>
      <c r="D25"/>
      <c r="E25"/>
      <c r="F25" s="22">
        <v>3.4364261664450169E-3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255">
        <v>0.4544999897480011</v>
      </c>
      <c r="AO25"/>
      <c r="AP25" s="27">
        <v>3.8659796118736267E-2</v>
      </c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0.11505842208862305</v>
      </c>
      <c r="D26"/>
      <c r="E26"/>
      <c r="F26"/>
      <c r="G26" s="14">
        <v>1.1454754276201129E-3</v>
      </c>
      <c r="H26" s="14">
        <v>1.1454754276201129E-3</v>
      </c>
      <c r="I26"/>
      <c r="J26"/>
      <c r="K26"/>
      <c r="L26"/>
      <c r="M26"/>
      <c r="N26"/>
      <c r="O26" s="15">
        <v>1.0309278033673763E-2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 s="237">
        <v>7.3887713253498077E-2</v>
      </c>
      <c r="AN26"/>
      <c r="AO26" s="260">
        <v>0.60000002384185791</v>
      </c>
      <c r="AP26" s="249">
        <v>0.1984536200761795</v>
      </c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</v>
      </c>
      <c r="C27">
        <v>0.5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0.25</v>
      </c>
      <c r="C28">
        <v>0.13391254842281342</v>
      </c>
      <c r="D28"/>
      <c r="E28"/>
      <c r="F28"/>
      <c r="G28"/>
      <c r="H28" s="218">
        <v>3.7593983113765717E-2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 s="226">
        <v>5.0751883536577225E-2</v>
      </c>
      <c r="AQ28"/>
      <c r="AR28"/>
      <c r="AS28" s="225">
        <v>2.7741586789488792E-2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0.15000000596046448</v>
      </c>
      <c r="C29">
        <v>2.8378380462527275E-2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 s="228">
        <v>0.12162163108587265</v>
      </c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0.12300000339746475</v>
      </c>
      <c r="C30">
        <v>0.11070123314857483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 s="136">
        <v>1.2298768386244774E-2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</v>
      </c>
      <c r="C31">
        <v>0.20000004768371582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 s="279">
        <v>3.7999999523162842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1.2000000476837158</v>
      </c>
      <c r="C32">
        <v>6.0000017285346985E-2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 s="11">
        <v>3.9203735650517046E-4</v>
      </c>
      <c r="AG32" s="236">
        <v>0.1046023890376091</v>
      </c>
      <c r="AH32"/>
      <c r="AI32"/>
      <c r="AJ32"/>
      <c r="AK32"/>
      <c r="AL32"/>
      <c r="AM32" s="273">
        <v>0.204132080078125</v>
      </c>
      <c r="AN32"/>
      <c r="AO32" s="272">
        <v>0.12806789577007294</v>
      </c>
      <c r="AP32"/>
      <c r="AQ32" s="14">
        <v>2.8055999428033829E-3</v>
      </c>
      <c r="AR32"/>
      <c r="AS32"/>
      <c r="AT32"/>
      <c r="AU32" s="278">
        <v>0.69999998807907104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0.23295557498931885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 s="9">
        <v>1909.453369140625</v>
      </c>
      <c r="T33"/>
      <c r="U33"/>
      <c r="V33" s="9">
        <v>1.5171210765838623</v>
      </c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 s="9">
        <v>326.17892456054688</v>
      </c>
      <c r="AU33" s="9">
        <v>395.368408203125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3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89" t="s">
        <v>192</v>
      </c>
      <c r="E5">
        <v>4</v>
      </c>
      <c r="F5">
        <v>2</v>
      </c>
      <c r="G5">
        <v>4</v>
      </c>
      <c r="H5" s="190" t="s">
        <v>192</v>
      </c>
      <c r="J5" s="56"/>
      <c r="K5" s="57"/>
    </row>
    <row r="6" spans="1:12" ht="14" thickBot="1" x14ac:dyDescent="0.2">
      <c r="A6" s="40" t="s">
        <v>121</v>
      </c>
      <c r="D6" s="189" t="s">
        <v>193</v>
      </c>
      <c r="E6">
        <v>5</v>
      </c>
      <c r="F6">
        <v>2</v>
      </c>
      <c r="G6">
        <v>5</v>
      </c>
      <c r="H6" s="190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89" t="s">
        <v>194</v>
      </c>
      <c r="E7">
        <v>6</v>
      </c>
      <c r="F7">
        <v>3.14</v>
      </c>
      <c r="G7">
        <v>6</v>
      </c>
      <c r="H7" s="190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89" t="s">
        <v>195</v>
      </c>
      <c r="E8">
        <v>7</v>
      </c>
      <c r="F8">
        <v>3.11</v>
      </c>
      <c r="G8">
        <v>7</v>
      </c>
      <c r="H8" s="190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89" t="s">
        <v>196</v>
      </c>
      <c r="E9">
        <v>8</v>
      </c>
      <c r="F9">
        <v>3.11</v>
      </c>
      <c r="G9">
        <v>8</v>
      </c>
      <c r="H9" s="190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89" t="s">
        <v>197</v>
      </c>
      <c r="E10">
        <v>9</v>
      </c>
      <c r="F10">
        <v>3.11</v>
      </c>
      <c r="G10">
        <v>9</v>
      </c>
      <c r="H10" s="190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89" t="s">
        <v>198</v>
      </c>
      <c r="E11">
        <v>10</v>
      </c>
      <c r="F11">
        <v>3.12</v>
      </c>
      <c r="G11">
        <v>10</v>
      </c>
      <c r="H11" s="190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89" t="s">
        <v>199</v>
      </c>
      <c r="E12">
        <v>11</v>
      </c>
      <c r="F12">
        <v>3.12</v>
      </c>
      <c r="G12">
        <v>11</v>
      </c>
      <c r="H12" s="190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89" t="s">
        <v>200</v>
      </c>
      <c r="E13">
        <v>12</v>
      </c>
      <c r="F13">
        <v>3</v>
      </c>
      <c r="G13">
        <v>12</v>
      </c>
      <c r="H13" s="190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89" t="s">
        <v>201</v>
      </c>
      <c r="E14">
        <v>13</v>
      </c>
      <c r="F14">
        <v>3.1</v>
      </c>
      <c r="G14">
        <v>13</v>
      </c>
      <c r="H14" s="190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89" t="s">
        <v>202</v>
      </c>
      <c r="E15">
        <v>14</v>
      </c>
      <c r="F15">
        <v>3.12</v>
      </c>
      <c r="G15">
        <v>14</v>
      </c>
      <c r="H15" s="190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89" t="s">
        <v>203</v>
      </c>
      <c r="E16">
        <v>15</v>
      </c>
      <c r="F16">
        <v>3.12</v>
      </c>
      <c r="G16">
        <v>15</v>
      </c>
      <c r="H16" s="190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89" t="s">
        <v>204</v>
      </c>
      <c r="E17">
        <v>16</v>
      </c>
      <c r="F17">
        <v>3.12</v>
      </c>
      <c r="G17">
        <v>16</v>
      </c>
      <c r="H17" s="190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89" t="s">
        <v>205</v>
      </c>
      <c r="E18">
        <v>17</v>
      </c>
      <c r="F18">
        <v>3.12</v>
      </c>
      <c r="G18">
        <v>17</v>
      </c>
      <c r="H18" s="190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89" t="s">
        <v>206</v>
      </c>
      <c r="E19">
        <v>18</v>
      </c>
      <c r="F19">
        <v>3.12</v>
      </c>
      <c r="G19">
        <v>18</v>
      </c>
      <c r="H19" s="190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89" t="s">
        <v>207</v>
      </c>
      <c r="E20">
        <v>19</v>
      </c>
      <c r="F20">
        <v>3.1</v>
      </c>
      <c r="G20">
        <v>19</v>
      </c>
      <c r="H20" s="190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89" t="s">
        <v>208</v>
      </c>
      <c r="E21">
        <v>20</v>
      </c>
      <c r="F21">
        <v>3.12</v>
      </c>
      <c r="G21">
        <v>20</v>
      </c>
      <c r="H21" s="190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89" t="s">
        <v>209</v>
      </c>
      <c r="E22">
        <v>21</v>
      </c>
      <c r="F22">
        <v>3.12</v>
      </c>
      <c r="G22">
        <v>21</v>
      </c>
      <c r="H22" s="190" t="s">
        <v>209</v>
      </c>
    </row>
    <row r="23" spans="1:12" x14ac:dyDescent="0.15">
      <c r="A23" s="35" t="s">
        <v>129</v>
      </c>
      <c r="B23" s="43">
        <v>4</v>
      </c>
      <c r="C23" s="37"/>
      <c r="D23" s="189" t="s">
        <v>210</v>
      </c>
      <c r="E23">
        <v>22</v>
      </c>
      <c r="F23">
        <v>3.12</v>
      </c>
      <c r="G23">
        <v>22</v>
      </c>
      <c r="H23" s="190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89" t="s">
        <v>211</v>
      </c>
      <c r="E24">
        <v>23</v>
      </c>
      <c r="F24">
        <v>3.12</v>
      </c>
      <c r="G24">
        <v>23</v>
      </c>
      <c r="H24" s="190" t="s">
        <v>211</v>
      </c>
    </row>
    <row r="25" spans="1:12" x14ac:dyDescent="0.15">
      <c r="A25" s="35" t="s">
        <v>70</v>
      </c>
      <c r="B25" s="43">
        <v>4.2</v>
      </c>
      <c r="C25" s="37"/>
      <c r="D25" s="189" t="s">
        <v>212</v>
      </c>
      <c r="E25">
        <v>24</v>
      </c>
      <c r="F25">
        <v>3.12</v>
      </c>
      <c r="G25">
        <v>24</v>
      </c>
      <c r="H25" s="190" t="s">
        <v>212</v>
      </c>
    </row>
    <row r="26" spans="1:12" x14ac:dyDescent="0.15">
      <c r="A26" s="35" t="s">
        <v>123</v>
      </c>
      <c r="B26" s="43">
        <v>4.3</v>
      </c>
      <c r="C26" s="37"/>
      <c r="D26" s="189" t="s">
        <v>213</v>
      </c>
      <c r="E26">
        <v>25</v>
      </c>
      <c r="F26">
        <v>3.1</v>
      </c>
      <c r="G26">
        <v>25</v>
      </c>
      <c r="H26" s="190" t="s">
        <v>213</v>
      </c>
    </row>
    <row r="27" spans="1:12" x14ac:dyDescent="0.15">
      <c r="A27" s="35" t="s">
        <v>125</v>
      </c>
      <c r="B27" s="43">
        <v>6.1</v>
      </c>
      <c r="D27" s="189" t="s">
        <v>214</v>
      </c>
      <c r="E27">
        <v>26</v>
      </c>
      <c r="F27">
        <v>3.2</v>
      </c>
      <c r="G27">
        <v>26</v>
      </c>
      <c r="H27" s="190" t="s">
        <v>214</v>
      </c>
    </row>
    <row r="28" spans="1:12" x14ac:dyDescent="0.15">
      <c r="A28" s="35" t="s">
        <v>124</v>
      </c>
      <c r="B28" s="43">
        <v>6.2</v>
      </c>
      <c r="D28" s="189" t="s">
        <v>215</v>
      </c>
      <c r="E28">
        <v>27</v>
      </c>
      <c r="F28">
        <v>3.12</v>
      </c>
      <c r="G28">
        <v>27</v>
      </c>
      <c r="H28" s="190" t="s">
        <v>215</v>
      </c>
    </row>
    <row r="29" spans="1:12" x14ac:dyDescent="0.15">
      <c r="A29" s="35" t="s">
        <v>44</v>
      </c>
      <c r="B29" s="43">
        <v>5</v>
      </c>
      <c r="D29" s="189" t="s">
        <v>216</v>
      </c>
      <c r="E29">
        <v>28</v>
      </c>
      <c r="F29">
        <v>3.2</v>
      </c>
      <c r="G29">
        <v>28</v>
      </c>
      <c r="H29" s="190" t="s">
        <v>216</v>
      </c>
    </row>
    <row r="30" spans="1:12" x14ac:dyDescent="0.15">
      <c r="A30" s="35" t="s">
        <v>73</v>
      </c>
      <c r="B30" s="43">
        <v>7</v>
      </c>
      <c r="D30" s="189" t="s">
        <v>217</v>
      </c>
      <c r="E30">
        <v>29</v>
      </c>
      <c r="F30">
        <v>3.12</v>
      </c>
      <c r="G30">
        <v>29</v>
      </c>
      <c r="H30" s="190" t="s">
        <v>217</v>
      </c>
    </row>
    <row r="31" spans="1:12" x14ac:dyDescent="0.15">
      <c r="A31" s="35" t="s">
        <v>169</v>
      </c>
      <c r="B31" s="43">
        <v>3.14</v>
      </c>
      <c r="D31" s="189" t="s">
        <v>218</v>
      </c>
      <c r="E31">
        <v>30</v>
      </c>
      <c r="F31">
        <v>3.13</v>
      </c>
      <c r="G31">
        <v>30</v>
      </c>
      <c r="H31" s="190" t="s">
        <v>218</v>
      </c>
    </row>
    <row r="32" spans="1:12" ht="12" customHeight="1" thickBot="1" x14ac:dyDescent="0.2">
      <c r="A32" s="41" t="s">
        <v>170</v>
      </c>
      <c r="B32" s="44">
        <v>9</v>
      </c>
      <c r="D32" s="189" t="s">
        <v>219</v>
      </c>
      <c r="E32">
        <v>31</v>
      </c>
      <c r="F32">
        <v>3.13</v>
      </c>
      <c r="G32">
        <v>31</v>
      </c>
      <c r="H32" s="190" t="s">
        <v>219</v>
      </c>
    </row>
    <row r="33" spans="4:8" customFormat="1" ht="12" customHeight="1" x14ac:dyDescent="0.15">
      <c r="D33" s="189" t="s">
        <v>220</v>
      </c>
      <c r="E33">
        <v>32</v>
      </c>
      <c r="F33">
        <v>3.13</v>
      </c>
      <c r="G33">
        <v>32</v>
      </c>
      <c r="H33" s="190" t="s">
        <v>220</v>
      </c>
    </row>
    <row r="34" spans="4:8" customFormat="1" ht="12" customHeight="1" x14ac:dyDescent="0.15">
      <c r="D34" s="189" t="s">
        <v>221</v>
      </c>
      <c r="E34">
        <v>33</v>
      </c>
      <c r="F34">
        <v>3.2</v>
      </c>
      <c r="G34">
        <v>33</v>
      </c>
      <c r="H34" s="190" t="s">
        <v>221</v>
      </c>
    </row>
    <row r="35" spans="4:8" customFormat="1" x14ac:dyDescent="0.15">
      <c r="D35" s="189" t="s">
        <v>222</v>
      </c>
      <c r="E35">
        <v>34</v>
      </c>
      <c r="F35">
        <v>3.21</v>
      </c>
      <c r="G35">
        <v>34</v>
      </c>
      <c r="H35" s="190" t="s">
        <v>222</v>
      </c>
    </row>
    <row r="36" spans="4:8" customFormat="1" x14ac:dyDescent="0.15">
      <c r="D36" s="189" t="s">
        <v>223</v>
      </c>
      <c r="E36">
        <v>35</v>
      </c>
      <c r="F36">
        <v>4.0999999999999996</v>
      </c>
      <c r="G36">
        <v>35</v>
      </c>
      <c r="H36" s="190" t="s">
        <v>223</v>
      </c>
    </row>
    <row r="37" spans="4:8" customFormat="1" ht="12" customHeight="1" x14ac:dyDescent="0.15">
      <c r="D37" s="189" t="s">
        <v>224</v>
      </c>
      <c r="E37">
        <v>36</v>
      </c>
      <c r="F37">
        <v>4.3</v>
      </c>
      <c r="G37">
        <v>36</v>
      </c>
      <c r="H37" s="190" t="s">
        <v>224</v>
      </c>
    </row>
    <row r="38" spans="4:8" customFormat="1" x14ac:dyDescent="0.15">
      <c r="D38" s="189" t="s">
        <v>225</v>
      </c>
      <c r="E38">
        <v>37</v>
      </c>
      <c r="F38">
        <v>5</v>
      </c>
      <c r="G38">
        <v>37</v>
      </c>
      <c r="H38" s="190" t="s">
        <v>225</v>
      </c>
    </row>
    <row r="39" spans="4:8" customFormat="1" x14ac:dyDescent="0.15">
      <c r="D39" s="189" t="s">
        <v>226</v>
      </c>
      <c r="E39">
        <v>38</v>
      </c>
      <c r="F39">
        <v>5</v>
      </c>
      <c r="G39">
        <v>38</v>
      </c>
      <c r="H39" s="190" t="s">
        <v>226</v>
      </c>
    </row>
    <row r="40" spans="4:8" customFormat="1" x14ac:dyDescent="0.15">
      <c r="D40" s="189" t="s">
        <v>227</v>
      </c>
      <c r="E40">
        <v>39</v>
      </c>
      <c r="F40">
        <v>5</v>
      </c>
      <c r="G40">
        <v>39</v>
      </c>
      <c r="H40" s="190" t="s">
        <v>227</v>
      </c>
    </row>
    <row r="41" spans="4:8" customFormat="1" x14ac:dyDescent="0.15">
      <c r="D41" s="189" t="s">
        <v>228</v>
      </c>
      <c r="E41">
        <v>40</v>
      </c>
      <c r="F41">
        <v>5</v>
      </c>
      <c r="G41">
        <v>40</v>
      </c>
      <c r="H41" s="190" t="s">
        <v>228</v>
      </c>
    </row>
    <row r="42" spans="4:8" customFormat="1" x14ac:dyDescent="0.15">
      <c r="D42" s="189" t="s">
        <v>229</v>
      </c>
      <c r="E42">
        <v>41</v>
      </c>
      <c r="F42">
        <v>5</v>
      </c>
      <c r="G42">
        <v>41</v>
      </c>
      <c r="H42" s="190" t="s">
        <v>229</v>
      </c>
    </row>
    <row r="43" spans="4:8" customFormat="1" x14ac:dyDescent="0.15">
      <c r="D43" s="189" t="s">
        <v>230</v>
      </c>
      <c r="E43">
        <v>42</v>
      </c>
      <c r="F43">
        <v>5</v>
      </c>
      <c r="G43">
        <v>42</v>
      </c>
      <c r="H43" s="190" t="s">
        <v>230</v>
      </c>
    </row>
    <row r="44" spans="4:8" customFormat="1" x14ac:dyDescent="0.15">
      <c r="D44" s="189" t="s">
        <v>231</v>
      </c>
      <c r="E44">
        <v>43</v>
      </c>
      <c r="F44">
        <v>5</v>
      </c>
      <c r="G44">
        <v>43</v>
      </c>
      <c r="H44" s="190" t="s">
        <v>231</v>
      </c>
    </row>
    <row r="45" spans="4:8" customFormat="1" x14ac:dyDescent="0.15">
      <c r="D45" s="189" t="s">
        <v>232</v>
      </c>
      <c r="E45">
        <v>44</v>
      </c>
      <c r="F45">
        <v>5</v>
      </c>
      <c r="G45">
        <v>44</v>
      </c>
      <c r="H45" s="190" t="s">
        <v>232</v>
      </c>
    </row>
    <row r="46" spans="4:8" customFormat="1" x14ac:dyDescent="0.15">
      <c r="D46" s="189" t="s">
        <v>233</v>
      </c>
      <c r="E46">
        <v>45</v>
      </c>
      <c r="F46">
        <v>5</v>
      </c>
      <c r="G46">
        <v>45</v>
      </c>
      <c r="H46" s="190" t="s">
        <v>233</v>
      </c>
    </row>
    <row r="47" spans="4:8" customFormat="1" x14ac:dyDescent="0.15">
      <c r="D47" s="189" t="s">
        <v>234</v>
      </c>
      <c r="E47">
        <v>46</v>
      </c>
      <c r="F47">
        <v>5</v>
      </c>
      <c r="G47">
        <v>46</v>
      </c>
      <c r="H47" s="190" t="s">
        <v>234</v>
      </c>
    </row>
    <row r="48" spans="4:8" customFormat="1" x14ac:dyDescent="0.15">
      <c r="D48" s="189" t="s">
        <v>235</v>
      </c>
      <c r="E48">
        <v>47</v>
      </c>
      <c r="F48">
        <v>5</v>
      </c>
      <c r="G48">
        <v>47</v>
      </c>
      <c r="H48" s="190" t="s">
        <v>235</v>
      </c>
    </row>
    <row r="49" spans="4:8" customFormat="1" x14ac:dyDescent="0.15">
      <c r="D49" s="189" t="s">
        <v>236</v>
      </c>
      <c r="E49">
        <v>48</v>
      </c>
      <c r="F49">
        <v>5</v>
      </c>
      <c r="G49">
        <v>48</v>
      </c>
      <c r="H49" s="190" t="s">
        <v>236</v>
      </c>
    </row>
    <row r="50" spans="4:8" customFormat="1" ht="12" customHeight="1" x14ac:dyDescent="0.15">
      <c r="D50" s="189" t="s">
        <v>237</v>
      </c>
      <c r="E50">
        <v>49</v>
      </c>
      <c r="F50">
        <v>5</v>
      </c>
      <c r="G50">
        <v>49</v>
      </c>
      <c r="H50" s="190" t="s">
        <v>237</v>
      </c>
    </row>
    <row r="51" spans="4:8" customFormat="1" x14ac:dyDescent="0.15">
      <c r="D51" s="189" t="s">
        <v>138</v>
      </c>
      <c r="E51">
        <v>50</v>
      </c>
      <c r="F51">
        <v>6.1</v>
      </c>
      <c r="G51">
        <v>50</v>
      </c>
      <c r="H51" s="190" t="s">
        <v>138</v>
      </c>
    </row>
    <row r="52" spans="4:8" customFormat="1" ht="12" customHeight="1" x14ac:dyDescent="0.15">
      <c r="D52" s="189" t="s">
        <v>45</v>
      </c>
      <c r="E52">
        <v>51</v>
      </c>
      <c r="F52">
        <v>6.2</v>
      </c>
      <c r="G52">
        <v>51</v>
      </c>
      <c r="H52" s="190" t="s">
        <v>45</v>
      </c>
    </row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3" bestFit="1" customWidth="1"/>
    <col min="2" max="2" width="12.83203125" style="82" customWidth="1"/>
    <col min="3" max="3" width="13.1640625" style="82" customWidth="1"/>
    <col min="4" max="4" width="10.83203125" style="82" customWidth="1"/>
    <col min="5" max="5" width="12.83203125" style="82" customWidth="1"/>
    <col min="6" max="6" width="21.664062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0" customWidth="1"/>
    <col min="17" max="17" width="2.33203125" style="82" customWidth="1"/>
    <col min="18" max="18" width="2.33203125" style="71" customWidth="1"/>
    <col min="19" max="16384" width="11.5" style="82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4" t="s">
        <v>48</v>
      </c>
      <c r="L1" s="71"/>
      <c r="M1" s="84" t="s">
        <v>119</v>
      </c>
      <c r="N1" s="71"/>
      <c r="O1" s="84" t="s">
        <v>49</v>
      </c>
      <c r="P1" s="74"/>
      <c r="Q1" s="84" t="s">
        <v>50</v>
      </c>
      <c r="R1" s="69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5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5">
        <v>0</v>
      </c>
      <c r="R4" s="108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5">
        <v>0</v>
      </c>
      <c r="R5" s="108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1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1</v>
      </c>
      <c r="N6" s="82">
        <v>0</v>
      </c>
      <c r="O6" s="82">
        <v>0</v>
      </c>
      <c r="P6" s="70">
        <v>0</v>
      </c>
      <c r="Q6" s="82">
        <v>0</v>
      </c>
      <c r="R6" s="71">
        <v>1</v>
      </c>
      <c r="S6"/>
      <c r="T6"/>
    </row>
    <row r="7" spans="1:23" ht="15" customHeight="1" thickBot="1" x14ac:dyDescent="0.2">
      <c r="F7" s="191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0</v>
      </c>
      <c r="L7" s="82">
        <v>0</v>
      </c>
      <c r="M7" s="82">
        <v>1</v>
      </c>
      <c r="N7" s="82">
        <v>0</v>
      </c>
      <c r="O7" s="82">
        <v>0</v>
      </c>
      <c r="P7" s="70">
        <v>0</v>
      </c>
      <c r="Q7" s="82">
        <v>0</v>
      </c>
      <c r="R7" s="71">
        <v>1</v>
      </c>
      <c r="S7"/>
      <c r="T7"/>
    </row>
    <row r="8" spans="1:23" ht="15" customHeight="1" x14ac:dyDescent="0.15">
      <c r="A8" s="84" t="s">
        <v>56</v>
      </c>
      <c r="B8" s="91">
        <v>0.99299876333686543</v>
      </c>
      <c r="C8" s="192" t="s">
        <v>192</v>
      </c>
      <c r="D8" s="86" t="s">
        <v>160</v>
      </c>
      <c r="F8" s="191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0">
        <v>0</v>
      </c>
      <c r="Q8" s="82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3">
        <v>7.0012366631345569E-3</v>
      </c>
      <c r="C9" s="192" t="s">
        <v>193</v>
      </c>
      <c r="D9" s="86" t="s">
        <v>160</v>
      </c>
      <c r="F9" s="191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0">
        <v>0</v>
      </c>
      <c r="Q9" s="82">
        <v>0</v>
      </c>
      <c r="R9" s="71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1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0">
        <v>0</v>
      </c>
      <c r="Q10" s="82">
        <v>0</v>
      </c>
      <c r="R10" s="71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1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0">
        <v>0</v>
      </c>
      <c r="Q11" s="82">
        <v>0</v>
      </c>
      <c r="R11" s="71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1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0">
        <v>0</v>
      </c>
      <c r="Q12" s="82">
        <v>0</v>
      </c>
      <c r="R12" s="71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1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0">
        <v>0</v>
      </c>
      <c r="Q13" s="82">
        <v>0</v>
      </c>
      <c r="R13" s="71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1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0">
        <v>0</v>
      </c>
      <c r="Q14" s="82">
        <v>0</v>
      </c>
      <c r="R14" s="71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1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0">
        <v>0</v>
      </c>
      <c r="Q15" s="82">
        <v>0</v>
      </c>
      <c r="R15" s="71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1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0">
        <v>0</v>
      </c>
      <c r="Q16" s="82">
        <v>0</v>
      </c>
      <c r="R16" s="71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1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0">
        <v>0</v>
      </c>
      <c r="Q17" s="82">
        <v>0</v>
      </c>
      <c r="R17" s="71">
        <v>1</v>
      </c>
      <c r="S17"/>
      <c r="T17"/>
    </row>
    <row r="18" spans="1:20" ht="15" customHeight="1" thickBot="1" x14ac:dyDescent="0.2">
      <c r="B18" s="94"/>
      <c r="F18" s="191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0">
        <v>0</v>
      </c>
      <c r="Q18" s="82">
        <v>0</v>
      </c>
      <c r="R18" s="71">
        <v>1</v>
      </c>
      <c r="S18"/>
      <c r="T18"/>
    </row>
    <row r="19" spans="1:20" ht="15" customHeight="1" x14ac:dyDescent="0.15">
      <c r="A19" s="84" t="s">
        <v>57</v>
      </c>
      <c r="B19" s="91">
        <v>0.99299876333686543</v>
      </c>
      <c r="C19" s="193" t="s">
        <v>192</v>
      </c>
      <c r="D19" s="86" t="s">
        <v>160</v>
      </c>
      <c r="F19" s="191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0">
        <v>0</v>
      </c>
      <c r="Q19" s="82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3">
        <v>7.0012366631345569E-3</v>
      </c>
      <c r="C20" s="193" t="s">
        <v>193</v>
      </c>
      <c r="D20" s="86" t="s">
        <v>160</v>
      </c>
      <c r="F20" s="191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0">
        <v>0</v>
      </c>
      <c r="Q20" s="82">
        <v>0</v>
      </c>
      <c r="R20" s="71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1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0">
        <v>0</v>
      </c>
      <c r="Q21" s="82">
        <v>0</v>
      </c>
      <c r="R21" s="71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1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0">
        <v>0</v>
      </c>
      <c r="Q22" s="82">
        <v>0</v>
      </c>
      <c r="R22" s="71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1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0">
        <v>0</v>
      </c>
      <c r="Q23" s="82">
        <v>0</v>
      </c>
      <c r="R23" s="71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1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0">
        <v>0</v>
      </c>
      <c r="Q24" s="82">
        <v>0</v>
      </c>
      <c r="R24" s="71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1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0">
        <v>0</v>
      </c>
      <c r="Q25" s="82">
        <v>0</v>
      </c>
      <c r="R25" s="71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1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0">
        <v>0</v>
      </c>
      <c r="Q26" s="82">
        <v>0</v>
      </c>
      <c r="R26" s="71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1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0">
        <v>0</v>
      </c>
      <c r="Q27" s="82">
        <v>0</v>
      </c>
      <c r="R27" s="71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1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0">
        <v>0</v>
      </c>
      <c r="Q28" s="82">
        <v>0</v>
      </c>
      <c r="R28" s="71">
        <v>1</v>
      </c>
      <c r="S28"/>
      <c r="T28"/>
    </row>
    <row r="29" spans="1:20" ht="15" customHeight="1" x14ac:dyDescent="0.15">
      <c r="F29" s="191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0">
        <v>0</v>
      </c>
      <c r="Q29" s="82">
        <v>0</v>
      </c>
      <c r="R29" s="71">
        <v>1</v>
      </c>
      <c r="S29"/>
      <c r="T29"/>
    </row>
    <row r="30" spans="1:20" ht="15" customHeight="1" x14ac:dyDescent="0.15">
      <c r="F30" s="191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0">
        <v>0</v>
      </c>
      <c r="Q30" s="82">
        <v>0</v>
      </c>
      <c r="R30" s="71">
        <v>1</v>
      </c>
      <c r="S30"/>
      <c r="T30"/>
    </row>
    <row r="31" spans="1:20" ht="15" customHeight="1" x14ac:dyDescent="0.15">
      <c r="A31" s="123"/>
      <c r="B31" s="133" t="s">
        <v>17</v>
      </c>
      <c r="C31" s="133" t="s">
        <v>1</v>
      </c>
      <c r="D31" s="133" t="s">
        <v>161</v>
      </c>
      <c r="E31" s="134" t="s">
        <v>163</v>
      </c>
      <c r="F31" s="191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0">
        <v>0</v>
      </c>
      <c r="Q31" s="82">
        <v>0</v>
      </c>
      <c r="R31" s="71">
        <v>1</v>
      </c>
      <c r="S31"/>
      <c r="T31"/>
    </row>
    <row r="32" spans="1:20" ht="15" customHeight="1" x14ac:dyDescent="0.15">
      <c r="A32" s="194" t="s">
        <v>192</v>
      </c>
      <c r="B32" s="94">
        <v>76.938000000000002</v>
      </c>
      <c r="C32" s="94">
        <v>154.4</v>
      </c>
      <c r="D32" s="94">
        <v>11879.227200000001</v>
      </c>
      <c r="E32" s="124">
        <v>0.99299876333686543</v>
      </c>
      <c r="F32" s="191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0">
        <v>0</v>
      </c>
      <c r="Q32" s="82">
        <v>0</v>
      </c>
      <c r="R32" s="71">
        <v>1</v>
      </c>
      <c r="S32"/>
      <c r="T32"/>
    </row>
    <row r="33" spans="1:20" ht="15" customHeight="1" x14ac:dyDescent="0.15">
      <c r="A33" s="194" t="s">
        <v>193</v>
      </c>
      <c r="B33" s="94">
        <v>5.5837116199999999</v>
      </c>
      <c r="C33" s="94">
        <v>15</v>
      </c>
      <c r="D33" s="94">
        <v>83.755674299999995</v>
      </c>
      <c r="E33" s="124">
        <v>7.0012366631345569E-3</v>
      </c>
      <c r="F33" s="191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0">
        <v>0</v>
      </c>
      <c r="Q33" s="82">
        <v>0</v>
      </c>
      <c r="R33" s="71">
        <v>1</v>
      </c>
      <c r="S33"/>
      <c r="T33"/>
    </row>
    <row r="34" spans="1:20" ht="15" customHeight="1" x14ac:dyDescent="0.15">
      <c r="A34" s="125"/>
      <c r="B34" s="94"/>
      <c r="C34" s="94"/>
      <c r="D34" s="94"/>
      <c r="E34" s="124"/>
      <c r="F34" s="191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0">
        <v>0</v>
      </c>
      <c r="Q34" s="82">
        <v>0</v>
      </c>
      <c r="R34" s="71">
        <v>1</v>
      </c>
      <c r="S34"/>
      <c r="T34"/>
    </row>
    <row r="35" spans="1:20" ht="15" customHeight="1" x14ac:dyDescent="0.15">
      <c r="A35" s="126"/>
      <c r="B35" s="94"/>
      <c r="C35" s="94"/>
      <c r="D35" s="94"/>
      <c r="E35" s="124"/>
      <c r="F35" s="191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0">
        <v>0</v>
      </c>
      <c r="Q35" s="82">
        <v>0</v>
      </c>
      <c r="R35" s="71">
        <v>1</v>
      </c>
      <c r="S35"/>
      <c r="T35"/>
    </row>
    <row r="36" spans="1:20" ht="15" customHeight="1" x14ac:dyDescent="0.15">
      <c r="A36" s="127"/>
      <c r="B36" s="94"/>
      <c r="C36" s="94"/>
      <c r="D36" s="94"/>
      <c r="E36" s="124"/>
      <c r="F36" s="191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0">
        <v>0</v>
      </c>
      <c r="Q36" s="82">
        <v>0</v>
      </c>
      <c r="R36" s="71">
        <v>1</v>
      </c>
      <c r="S36"/>
      <c r="T36"/>
    </row>
    <row r="37" spans="1:20" ht="15" customHeight="1" x14ac:dyDescent="0.15">
      <c r="A37" s="127"/>
      <c r="B37" s="94"/>
      <c r="C37" s="94"/>
      <c r="D37" s="94"/>
      <c r="E37" s="124"/>
      <c r="F37" s="191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0</v>
      </c>
      <c r="L37" s="82">
        <v>1</v>
      </c>
      <c r="M37" s="82">
        <v>0</v>
      </c>
      <c r="N37" s="82">
        <v>1</v>
      </c>
      <c r="O37" s="82">
        <v>0</v>
      </c>
      <c r="P37" s="70">
        <v>1</v>
      </c>
      <c r="Q37" s="82">
        <v>0</v>
      </c>
      <c r="R37" s="71">
        <v>1</v>
      </c>
      <c r="S37"/>
      <c r="T37"/>
    </row>
    <row r="38" spans="1:20" ht="15" customHeight="1" x14ac:dyDescent="0.15">
      <c r="A38" s="128"/>
      <c r="B38" s="94"/>
      <c r="C38" s="94"/>
      <c r="D38" s="94"/>
      <c r="E38" s="124"/>
      <c r="F38" s="191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0</v>
      </c>
      <c r="L38" s="82">
        <v>1</v>
      </c>
      <c r="M38" s="82">
        <v>0</v>
      </c>
      <c r="N38" s="82">
        <v>1</v>
      </c>
      <c r="O38" s="82">
        <v>0</v>
      </c>
      <c r="P38" s="70">
        <v>1</v>
      </c>
      <c r="Q38" s="82">
        <v>0</v>
      </c>
      <c r="R38" s="71">
        <v>1</v>
      </c>
      <c r="S38"/>
      <c r="T38"/>
    </row>
    <row r="39" spans="1:20" ht="15" customHeight="1" x14ac:dyDescent="0.15">
      <c r="A39" s="128"/>
      <c r="B39" s="94"/>
      <c r="C39" s="94"/>
      <c r="D39" s="94"/>
      <c r="E39" s="124"/>
      <c r="F39" s="191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1</v>
      </c>
      <c r="M39" s="82">
        <v>0</v>
      </c>
      <c r="N39" s="82">
        <v>0</v>
      </c>
      <c r="O39" s="82">
        <v>0</v>
      </c>
      <c r="P39" s="70">
        <v>0</v>
      </c>
      <c r="Q39" s="82">
        <v>0</v>
      </c>
      <c r="R39" s="71">
        <v>1</v>
      </c>
      <c r="S39"/>
      <c r="T39"/>
    </row>
    <row r="40" spans="1:20" ht="15" customHeight="1" x14ac:dyDescent="0.15">
      <c r="A40" s="128"/>
      <c r="B40" s="94"/>
      <c r="C40" s="94"/>
      <c r="D40" s="94"/>
      <c r="E40" s="124"/>
      <c r="F40" s="191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1</v>
      </c>
      <c r="M40" s="82">
        <v>0</v>
      </c>
      <c r="N40" s="82">
        <v>0</v>
      </c>
      <c r="O40" s="82">
        <v>0</v>
      </c>
      <c r="P40" s="70">
        <v>0</v>
      </c>
      <c r="Q40" s="82">
        <v>0</v>
      </c>
      <c r="R40" s="71">
        <v>1</v>
      </c>
      <c r="S40"/>
      <c r="T40"/>
    </row>
    <row r="41" spans="1:20" ht="15" customHeight="1" thickBot="1" x14ac:dyDescent="0.2">
      <c r="A41" s="128"/>
      <c r="B41" s="94"/>
      <c r="C41" s="94"/>
      <c r="D41" s="95"/>
      <c r="E41" s="129"/>
      <c r="F41" s="191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1</v>
      </c>
      <c r="M41" s="82">
        <v>0</v>
      </c>
      <c r="N41" s="82">
        <v>0</v>
      </c>
      <c r="O41" s="82">
        <v>0</v>
      </c>
      <c r="P41" s="70">
        <v>0</v>
      </c>
      <c r="Q41" s="82">
        <v>0</v>
      </c>
      <c r="R41" s="71">
        <v>1</v>
      </c>
      <c r="S41"/>
      <c r="T41"/>
    </row>
    <row r="42" spans="1:20" ht="15" customHeight="1" x14ac:dyDescent="0.15">
      <c r="A42" s="130"/>
      <c r="B42" s="131"/>
      <c r="C42" s="131" t="s">
        <v>162</v>
      </c>
      <c r="D42" s="131">
        <f>SUM(D32:D41)</f>
        <v>11962.982874300002</v>
      </c>
      <c r="E42" s="132">
        <f>SUM(E32:E41)</f>
        <v>1</v>
      </c>
      <c r="F42" s="191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1</v>
      </c>
      <c r="M42" s="82">
        <v>0</v>
      </c>
      <c r="N42" s="82">
        <v>0</v>
      </c>
      <c r="O42" s="82">
        <v>0</v>
      </c>
      <c r="P42" s="70">
        <v>0</v>
      </c>
      <c r="Q42" s="82">
        <v>0</v>
      </c>
      <c r="R42" s="71">
        <v>1</v>
      </c>
      <c r="S42"/>
      <c r="T42"/>
    </row>
    <row r="43" spans="1:20" ht="15" customHeight="1" x14ac:dyDescent="0.15">
      <c r="A43" s="82"/>
      <c r="F43" s="191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1</v>
      </c>
      <c r="M43" s="82">
        <v>0</v>
      </c>
      <c r="N43" s="82">
        <v>0</v>
      </c>
      <c r="O43" s="82">
        <v>0</v>
      </c>
      <c r="P43" s="70">
        <v>0</v>
      </c>
      <c r="Q43" s="82">
        <v>0</v>
      </c>
      <c r="R43" s="71">
        <v>1</v>
      </c>
      <c r="S43"/>
      <c r="T43"/>
    </row>
    <row r="44" spans="1:20" ht="15" customHeight="1" x14ac:dyDescent="0.15">
      <c r="A44" s="82"/>
      <c r="F44" s="191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1</v>
      </c>
      <c r="M44" s="82">
        <v>0</v>
      </c>
      <c r="N44" s="82">
        <v>0</v>
      </c>
      <c r="O44" s="82">
        <v>0</v>
      </c>
      <c r="P44" s="70">
        <v>0</v>
      </c>
      <c r="Q44" s="82">
        <v>0</v>
      </c>
      <c r="R44" s="71">
        <v>1</v>
      </c>
    </row>
    <row r="45" spans="1:20" ht="15" customHeight="1" x14ac:dyDescent="0.15">
      <c r="A45" s="82"/>
      <c r="F45" s="191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0</v>
      </c>
      <c r="O45" s="82">
        <v>0</v>
      </c>
      <c r="P45" s="70">
        <v>0</v>
      </c>
      <c r="Q45" s="82">
        <v>0</v>
      </c>
      <c r="R45" s="71">
        <v>1</v>
      </c>
    </row>
    <row r="46" spans="1:20" ht="15" customHeight="1" x14ac:dyDescent="0.15">
      <c r="A46" s="82"/>
      <c r="F46" s="191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1</v>
      </c>
      <c r="M46" s="82">
        <v>0</v>
      </c>
      <c r="N46" s="82">
        <v>0</v>
      </c>
      <c r="O46" s="82">
        <v>0</v>
      </c>
      <c r="P46" s="70">
        <v>0</v>
      </c>
      <c r="Q46" s="82">
        <v>0</v>
      </c>
      <c r="R46" s="71">
        <v>1</v>
      </c>
    </row>
    <row r="47" spans="1:20" ht="15" customHeight="1" x14ac:dyDescent="0.15">
      <c r="A47" s="82"/>
      <c r="F47" s="191" t="s">
        <v>233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1</v>
      </c>
      <c r="M47" s="82">
        <v>0</v>
      </c>
      <c r="N47" s="82">
        <v>0</v>
      </c>
      <c r="O47" s="82">
        <v>0</v>
      </c>
      <c r="P47" s="70">
        <v>0</v>
      </c>
      <c r="Q47" s="82">
        <v>0</v>
      </c>
      <c r="R47" s="71">
        <v>1</v>
      </c>
    </row>
    <row r="48" spans="1:20" ht="15" customHeight="1" x14ac:dyDescent="0.15">
      <c r="A48" s="82"/>
      <c r="F48" s="191" t="s">
        <v>234</v>
      </c>
      <c r="G48" s="82">
        <v>0</v>
      </c>
      <c r="H48" s="82">
        <v>0</v>
      </c>
      <c r="I48" s="82">
        <v>0</v>
      </c>
      <c r="J48" s="82">
        <v>0</v>
      </c>
      <c r="K48" s="82">
        <v>0</v>
      </c>
      <c r="L48" s="82">
        <v>1</v>
      </c>
      <c r="M48" s="82">
        <v>0</v>
      </c>
      <c r="N48" s="82">
        <v>0</v>
      </c>
      <c r="O48" s="82">
        <v>0</v>
      </c>
      <c r="P48" s="70">
        <v>0</v>
      </c>
      <c r="Q48" s="82">
        <v>0</v>
      </c>
      <c r="R48" s="71">
        <v>1</v>
      </c>
    </row>
    <row r="49" spans="6:18" s="82" customFormat="1" ht="15" customHeight="1" x14ac:dyDescent="0.15">
      <c r="F49" s="191" t="s">
        <v>235</v>
      </c>
      <c r="G49" s="82">
        <v>0</v>
      </c>
      <c r="H49" s="82">
        <v>0</v>
      </c>
      <c r="I49" s="82">
        <v>0</v>
      </c>
      <c r="J49" s="82">
        <v>0</v>
      </c>
      <c r="K49" s="82">
        <v>0</v>
      </c>
      <c r="L49" s="82">
        <v>1</v>
      </c>
      <c r="M49" s="82">
        <v>0</v>
      </c>
      <c r="N49" s="82">
        <v>0</v>
      </c>
      <c r="O49" s="82">
        <v>0</v>
      </c>
      <c r="P49" s="70">
        <v>0</v>
      </c>
      <c r="Q49" s="82">
        <v>0</v>
      </c>
      <c r="R49" s="71">
        <v>1</v>
      </c>
    </row>
    <row r="50" spans="6:18" s="82" customFormat="1" ht="15" customHeight="1" x14ac:dyDescent="0.15">
      <c r="F50" s="191" t="s">
        <v>236</v>
      </c>
      <c r="G50" s="82">
        <v>0</v>
      </c>
      <c r="H50" s="82">
        <v>0</v>
      </c>
      <c r="I50" s="82">
        <v>0</v>
      </c>
      <c r="J50" s="82">
        <v>0</v>
      </c>
      <c r="K50" s="82">
        <v>0</v>
      </c>
      <c r="L50" s="82">
        <v>1</v>
      </c>
      <c r="M50" s="82">
        <v>0</v>
      </c>
      <c r="N50" s="82">
        <v>0</v>
      </c>
      <c r="O50" s="82">
        <v>0</v>
      </c>
      <c r="P50" s="70">
        <v>0</v>
      </c>
      <c r="Q50" s="82">
        <v>0</v>
      </c>
      <c r="R50" s="71">
        <v>1</v>
      </c>
    </row>
    <row r="51" spans="6:18" s="82" customFormat="1" ht="15" customHeight="1" x14ac:dyDescent="0.15">
      <c r="F51" s="191" t="s">
        <v>237</v>
      </c>
      <c r="G51" s="82">
        <v>0</v>
      </c>
      <c r="H51" s="82">
        <v>0</v>
      </c>
      <c r="I51" s="82">
        <v>0</v>
      </c>
      <c r="J51" s="82">
        <v>0</v>
      </c>
      <c r="K51" s="82">
        <v>0</v>
      </c>
      <c r="L51" s="82">
        <v>1</v>
      </c>
      <c r="M51" s="82">
        <v>0</v>
      </c>
      <c r="N51" s="82">
        <v>0</v>
      </c>
      <c r="O51" s="82">
        <v>0</v>
      </c>
      <c r="P51" s="70">
        <v>0</v>
      </c>
      <c r="Q51" s="82">
        <v>0</v>
      </c>
      <c r="R51" s="71">
        <v>1</v>
      </c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B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13.1640625" style="6" customWidth="1"/>
    <col min="10" max="10" width="14.83203125" style="6" customWidth="1"/>
    <col min="11" max="12" width="13.83203125" style="6" customWidth="1"/>
    <col min="13" max="13" width="14.5" style="6" customWidth="1"/>
    <col min="14" max="14" width="14.33203125" style="6" customWidth="1"/>
    <col min="15" max="15" width="8.33203125" style="6" customWidth="1"/>
    <col min="16" max="17" width="7.5" style="6" customWidth="1"/>
    <col min="18" max="18" width="12.6640625" style="6" customWidth="1"/>
    <col min="19" max="19" width="13.1640625" style="6" customWidth="1"/>
    <col min="20" max="20" width="10.5" style="6" customWidth="1"/>
    <col min="21" max="21" width="10.33203125" style="6" customWidth="1"/>
    <col min="22" max="22" width="12.6640625" style="6" customWidth="1"/>
    <col min="23" max="23" width="6.5" style="6" customWidth="1"/>
    <col min="24" max="24" width="12.33203125" style="6" customWidth="1"/>
    <col min="25" max="25" width="12" style="6" customWidth="1"/>
    <col min="26" max="26" width="14.1640625" style="6" customWidth="1"/>
    <col min="27" max="27" width="14" style="6" customWidth="1"/>
    <col min="28" max="28" width="12.6640625" style="6" customWidth="1"/>
    <col min="29" max="29" width="12.5" style="6" customWidth="1"/>
    <col min="30" max="30" width="13.5" style="6" customWidth="1"/>
    <col min="31" max="31" width="13.6640625" style="6" customWidth="1"/>
    <col min="32" max="33" width="12.5" style="6" customWidth="1"/>
    <col min="34" max="34" width="10.5" style="6" customWidth="1"/>
    <col min="35" max="35" width="6" style="6" customWidth="1"/>
    <col min="36" max="36" width="10.1640625" style="6" customWidth="1"/>
    <col min="37" max="37" width="8.5" style="6" customWidth="1"/>
    <col min="38" max="38" width="11.83203125" style="6" customWidth="1"/>
    <col min="39" max="39" width="13" customWidth="1"/>
    <col min="40" max="40" width="7.6640625" customWidth="1"/>
    <col min="41" max="41" width="21.6640625" customWidth="1"/>
    <col min="42" max="42" width="11.1640625" customWidth="1"/>
    <col min="43" max="43" width="8.6640625" customWidth="1"/>
    <col min="44" max="44" width="11.5" customWidth="1"/>
    <col min="45" max="45" width="12.5" customWidth="1"/>
    <col min="46" max="46" width="5.83203125" customWidth="1"/>
    <col min="47" max="47" width="10.5" customWidth="1"/>
    <col min="48" max="48" width="8.83203125" customWidth="1"/>
    <col min="49" max="49" width="11" customWidth="1"/>
    <col min="50" max="50" width="17.33203125" customWidth="1"/>
    <col min="51" max="51" width="18.33203125" customWidth="1"/>
    <col min="52" max="52" width="15.83203125" customWidth="1"/>
    <col min="53" max="53" width="13.33203125" customWidth="1"/>
    <col min="54" max="54" width="16.83203125" customWidth="1"/>
    <col min="81" max="81" width="22.1640625" bestFit="1" customWidth="1"/>
  </cols>
  <sheetData>
    <row r="1" spans="1:54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6" t="s">
        <v>192</v>
      </c>
      <c r="J1" s="196" t="s">
        <v>193</v>
      </c>
      <c r="K1" s="196" t="s">
        <v>194</v>
      </c>
      <c r="L1" s="196" t="s">
        <v>195</v>
      </c>
      <c r="M1" s="196" t="s">
        <v>196</v>
      </c>
      <c r="N1" s="196" t="s">
        <v>197</v>
      </c>
      <c r="O1" s="196" t="s">
        <v>198</v>
      </c>
      <c r="P1" s="196" t="s">
        <v>199</v>
      </c>
      <c r="Q1" s="196" t="s">
        <v>200</v>
      </c>
      <c r="R1" s="196" t="s">
        <v>201</v>
      </c>
      <c r="S1" s="196" t="s">
        <v>202</v>
      </c>
      <c r="T1" s="196" t="s">
        <v>203</v>
      </c>
      <c r="U1" s="196" t="s">
        <v>204</v>
      </c>
      <c r="V1" s="196" t="s">
        <v>205</v>
      </c>
      <c r="W1" s="196" t="s">
        <v>206</v>
      </c>
      <c r="X1" s="196" t="s">
        <v>207</v>
      </c>
      <c r="Y1" s="196" t="s">
        <v>208</v>
      </c>
      <c r="Z1" s="196" t="s">
        <v>209</v>
      </c>
      <c r="AA1" s="196" t="s">
        <v>210</v>
      </c>
      <c r="AB1" s="196" t="s">
        <v>211</v>
      </c>
      <c r="AC1" s="196" t="s">
        <v>212</v>
      </c>
      <c r="AD1" s="196" t="s">
        <v>213</v>
      </c>
      <c r="AE1" s="196" t="s">
        <v>214</v>
      </c>
      <c r="AF1" s="196" t="s">
        <v>215</v>
      </c>
      <c r="AG1" s="196" t="s">
        <v>216</v>
      </c>
      <c r="AH1" s="196" t="s">
        <v>217</v>
      </c>
      <c r="AI1" s="196" t="s">
        <v>218</v>
      </c>
      <c r="AJ1" s="196" t="s">
        <v>219</v>
      </c>
      <c r="AK1" s="196" t="s">
        <v>220</v>
      </c>
      <c r="AL1" s="196" t="s">
        <v>221</v>
      </c>
      <c r="AM1" s="196" t="s">
        <v>222</v>
      </c>
      <c r="AN1" s="196" t="s">
        <v>223</v>
      </c>
      <c r="AO1" s="196" t="s">
        <v>224</v>
      </c>
      <c r="AP1" s="196" t="s">
        <v>225</v>
      </c>
      <c r="AQ1" s="196" t="s">
        <v>226</v>
      </c>
      <c r="AR1" s="196" t="s">
        <v>227</v>
      </c>
      <c r="AS1" s="196" t="s">
        <v>228</v>
      </c>
      <c r="AT1" s="196" t="s">
        <v>229</v>
      </c>
      <c r="AU1" s="196" t="s">
        <v>230</v>
      </c>
      <c r="AV1" s="196" t="s">
        <v>231</v>
      </c>
      <c r="AW1" s="196" t="s">
        <v>232</v>
      </c>
      <c r="AX1" s="196" t="s">
        <v>233</v>
      </c>
      <c r="AY1" s="196" t="s">
        <v>234</v>
      </c>
      <c r="AZ1" s="196" t="s">
        <v>235</v>
      </c>
      <c r="BA1" s="196" t="s">
        <v>236</v>
      </c>
      <c r="BB1" s="196" t="s">
        <v>237</v>
      </c>
    </row>
    <row r="2" spans="1:54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4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4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4" x14ac:dyDescent="0.15">
      <c r="A5" s="195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4" x14ac:dyDescent="0.15">
      <c r="A6" s="195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4" x14ac:dyDescent="0.15">
      <c r="A7" s="195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4" x14ac:dyDescent="0.15">
      <c r="A8" s="195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4" x14ac:dyDescent="0.15">
      <c r="A9" s="195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4" x14ac:dyDescent="0.15">
      <c r="A10" s="195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4" x14ac:dyDescent="0.15">
      <c r="A11" s="195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4" x14ac:dyDescent="0.15">
      <c r="A12" s="195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4" x14ac:dyDescent="0.15">
      <c r="A13" s="195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4" x14ac:dyDescent="0.15">
      <c r="A14" s="195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4" x14ac:dyDescent="0.15">
      <c r="A15" s="195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4" x14ac:dyDescent="0.15">
      <c r="A16" s="195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5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5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5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5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5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5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5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5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5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5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5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5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5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5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5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5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5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5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5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5" t="s">
        <v>223</v>
      </c>
      <c r="B36" s="108">
        <v>0</v>
      </c>
      <c r="C36"/>
      <c r="D36"/>
    </row>
    <row r="37" spans="1:38" ht="15" customHeight="1" x14ac:dyDescent="0.15">
      <c r="A37" s="195" t="s">
        <v>224</v>
      </c>
      <c r="B37" s="108">
        <v>0</v>
      </c>
      <c r="C37"/>
      <c r="D37"/>
    </row>
    <row r="38" spans="1:38" ht="15" customHeight="1" x14ac:dyDescent="0.15">
      <c r="A38" s="195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5" t="s">
        <v>226</v>
      </c>
      <c r="B39" s="108">
        <v>0</v>
      </c>
      <c r="C39"/>
      <c r="D39"/>
    </row>
    <row r="40" spans="1:38" ht="15" customHeight="1" x14ac:dyDescent="0.15">
      <c r="A40" s="195" t="s">
        <v>227</v>
      </c>
      <c r="B40" s="108">
        <v>0</v>
      </c>
      <c r="C40"/>
      <c r="D40"/>
    </row>
    <row r="41" spans="1:38" ht="15" customHeight="1" x14ac:dyDescent="0.15">
      <c r="A41" s="195" t="s">
        <v>228</v>
      </c>
      <c r="B41" s="108">
        <v>0</v>
      </c>
      <c r="C41"/>
      <c r="D41"/>
    </row>
    <row r="42" spans="1:38" ht="15" customHeight="1" x14ac:dyDescent="0.15">
      <c r="A42" s="195" t="s">
        <v>229</v>
      </c>
      <c r="B42" s="108">
        <v>0</v>
      </c>
    </row>
    <row r="43" spans="1:38" ht="15" customHeight="1" x14ac:dyDescent="0.15">
      <c r="A43" s="195" t="s">
        <v>230</v>
      </c>
      <c r="B43" s="108">
        <v>0</v>
      </c>
    </row>
    <row r="44" spans="1:38" ht="15" customHeight="1" x14ac:dyDescent="0.15">
      <c r="A44" s="195" t="s">
        <v>231</v>
      </c>
      <c r="B44" s="108">
        <v>0</v>
      </c>
    </row>
    <row r="45" spans="1:38" ht="15" customHeight="1" x14ac:dyDescent="0.15">
      <c r="A45" s="195" t="s">
        <v>232</v>
      </c>
      <c r="B45" s="108">
        <v>0</v>
      </c>
    </row>
    <row r="46" spans="1:38" ht="15" customHeight="1" x14ac:dyDescent="0.15">
      <c r="A46" s="195" t="s">
        <v>233</v>
      </c>
      <c r="B46" s="108">
        <v>0</v>
      </c>
    </row>
    <row r="47" spans="1:38" ht="15" customHeight="1" x14ac:dyDescent="0.15">
      <c r="A47" s="195" t="s">
        <v>234</v>
      </c>
      <c r="B47" s="108">
        <v>0</v>
      </c>
    </row>
    <row r="48" spans="1:38" ht="15" customHeight="1" x14ac:dyDescent="0.15">
      <c r="A48" s="195" t="s">
        <v>235</v>
      </c>
      <c r="B48" s="108">
        <v>0</v>
      </c>
    </row>
    <row r="49" spans="1:38" ht="15" customHeight="1" x14ac:dyDescent="0.15">
      <c r="A49" s="195" t="s">
        <v>236</v>
      </c>
      <c r="B49" s="108">
        <v>0</v>
      </c>
    </row>
    <row r="50" spans="1:38" ht="15" customHeight="1" x14ac:dyDescent="0.15">
      <c r="A50" s="195" t="s">
        <v>237</v>
      </c>
      <c r="B50" s="108">
        <v>0</v>
      </c>
    </row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2022-10-24T04:35:07Z</dcterms:modified>
</cp:coreProperties>
</file>