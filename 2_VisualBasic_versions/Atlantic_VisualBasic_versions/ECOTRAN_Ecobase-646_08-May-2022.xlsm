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5C6647D1-CEA3-1C42-A8CA-B9CDCF77E875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Main!$C$2:$N$48</definedName>
    <definedName name="matDetritus">Detritus!$C$2:$E$48</definedName>
    <definedName name="matDiet">Diets!$B$2:$AR$47</definedName>
    <definedName name="matDiscards">Discards!$C$2:$D$46</definedName>
    <definedName name="matFishery">Fishing!$C$2:$D$46</definedName>
    <definedName name="matFishing">Fishing!#REF!</definedName>
    <definedName name="matMort">Mortalities!$A$1:$AX$46</definedName>
    <definedName name="matOut">MainOutputs!$A$2:$I$48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<sst xmlns="http://schemas.openxmlformats.org/spreadsheetml/2006/main" count="1260" uniqueCount="244">
  <si>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</si>
  <si>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</si>
  <si>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</si>
  <si>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</si>
  <si>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</si>
  <si>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</si>
  <si>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</si>
  <si>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</si>
  <si>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</si>
  <si>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</si>
  <si>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</si>
  <si>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</si>
  <si>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</si>
  <si>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</si>
  <si>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</si>
  <si>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</si>
  <si>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</si>
  <si>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</si>
  <si>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</si>
  <si>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</si>
  <si>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</si>
  <si>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</si>
  <si>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</si>
  <si>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</si>
  <si>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</si>
  <si>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</si>
  <si>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</si>
  <si>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</si>
  <si>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</si>
  <si>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</si>
  <si>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</si>
  <si>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</si>
  <si>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</si>
  <si>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</si>
  <si>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</si>
  <si>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</si>
  <si>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</si>
  <si>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</si>
  <si>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</si>
  <si>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</si>
  <si>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</si>
  <si>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</si>
  <si>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</si>
  <si>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</si>
  <si>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</si>
  <si>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</si>
  <si>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</si>
  <si>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</si>
  <si>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</si>
  <si>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</si>
  <si>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</si>
  <si>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</si>
  <si>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</si>
  <si>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</si>
  <si>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</si>
  <si>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</si>
  <si>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</si>
  <si>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</si>
  <si>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</si>
  <si>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</si>
  <si>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</si>
  <si>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</si>
  <si>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</si>
  <si>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</si>
  <si>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</si>
  <si>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</si>
  <si>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</si>
  <si>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</si>
  <si>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</si>
  <si>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</si>
  <si>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</si>
  <si>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</si>
  <si>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</si>
  <si>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</si>
  <si>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</si>
  <si>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</si>
  <si>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</si>
  <si>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</si>
  <si>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</si>
  <si>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</si>
  <si>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</si>
  <si>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</si>
  <si>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</si>
  <si>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</si>
  <si>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</si>
  <si>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</si>
  <si>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</si>
  <si>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</si>
  <si>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</si>
  <si>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</si>
  <si>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</si>
  <si>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</si>
  <si>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</si>
  <si>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</si>
  <si>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</si>
  <si>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</si>
  <si>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</si>
  <si>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</si>
  <si>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</si>
  <si>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</si>
  <si>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</si>
  <si>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</si>
  <si>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</si>
  <si>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</si>
  <si>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</si>
  <si>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</si>
  <si>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</si>
  <si>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</si>
  <si>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</si>
  <si>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</si>
  <si>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</si>
  <si>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</si>
  <si>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</si>
  <si>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</si>
  <si>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</si>
  <si>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</si>
  <si>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</si>
  <si>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</si>
  <si>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</si>
  <si>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</si>
  <si>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</si>
  <si>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</si>
  <si>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</si>
  <si>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</si>
  <si>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</si>
  <si>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</si>
  <si>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</si>
  <si>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</si>
  <si>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</si>
  <si>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</si>
  <si>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</si>
  <si>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</si>
  <si>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</si>
  <si>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</si>
  <si>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</si>
  <si>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</si>
  <si>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</si>
  <si>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</si>
  <si>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</si>
  <si>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</si>
  <si>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</si>
  <si>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</si>
  <si>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</si>
  <si>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</si>
  <si>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</si>
  <si>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</si>
  <si>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</si>
  <si>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</si>
  <si>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</si>
  <si>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</si>
  <si>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</si>
  <si>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</si>
  <si>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</si>
  <si>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</si>
  <si>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</si>
  <si>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</si>
  <si>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</si>
  <si>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</si>
  <si>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</si>
  <si>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</si>
  <si>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</si>
  <si>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</si>
  <si>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</si>
  <si>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</si>
  <si>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</si>
  <si>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</si>
  <si>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</si>
  <si>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</si>
  <si>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</si>
  <si>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</si>
  <si>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</si>
  <si>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</si>
  <si>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</si>
  <si>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</si>
  <si>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</si>
  <si>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</si>
  <si>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</si>
  <si>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</si>
  <si>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</si>
  <si>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</si>
  <si>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</si>
  <si>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</si>
  <si>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</si>
  <si>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</si>
  <si>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</si>
  <si>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Guinea</t>
  </si>
  <si>
    <t>BOX(-18.202054494847 7.44335703776483,-12.5470638320047 11.1684699347165)</t>
  </si>
  <si>
    <t>open ocean</t>
  </si>
  <si>
    <t>WetWeight</t>
  </si>
  <si>
    <t>nouveau modèle corrigé; 26/11/2002 14:18:01; 26/11/2002 14:37:51; 27/11/2002 07:54:15; 27/11/2002 16:36:51; 29/11/2002 12:07:13; 02/12/2002 14:11:27; 03/12/2002 14:53:00; 17/03/2003 9:18:51; 2003-03-20 11:40:21; 2003-03-20 13:32:09; 13/04/2003 16:27:07; 6/29/2010 10:10:03 AM</t>
  </si>
  <si>
    <t>Guénette S.,Diallo I.(2004). Addendum: Modèles de la côte guinéenne, 1985 et 1998 West African marine ecosystems: models and fisheries impacts. pp 124-159. In Palomares M.L.D.,Pauly D.</t>
  </si>
  <si>
    <t>Baleines</t>
  </si>
  <si>
    <t>Dauphins</t>
  </si>
  <si>
    <t>Tortues</t>
  </si>
  <si>
    <t>Oiseaux</t>
  </si>
  <si>
    <t>Sélaciens L prof</t>
  </si>
  <si>
    <t>Sélaciens L côtiers</t>
  </si>
  <si>
    <t>Sélaciens M prof</t>
  </si>
  <si>
    <t>Sélaciens M côtiers</t>
  </si>
  <si>
    <t>Thons majeurs</t>
  </si>
  <si>
    <t>Thons mineurs</t>
  </si>
  <si>
    <t>Côtier pel L pred</t>
  </si>
  <si>
    <t>Côtier pel S inv</t>
  </si>
  <si>
    <t>Ethmalose</t>
  </si>
  <si>
    <t>Pel L pred</t>
  </si>
  <si>
    <t>Pel S inv</t>
  </si>
  <si>
    <t>Bars</t>
  </si>
  <si>
    <t>Gros capitaine</t>
  </si>
  <si>
    <t>Côtier L pred</t>
  </si>
  <si>
    <t>Côtier M pred</t>
  </si>
  <si>
    <t>Mâchoiron</t>
  </si>
  <si>
    <t>Disques</t>
  </si>
  <si>
    <t>Mulets</t>
  </si>
  <si>
    <t>Petit capitaine</t>
  </si>
  <si>
    <t>Côtier M inv</t>
  </si>
  <si>
    <t>Côtier S pred</t>
  </si>
  <si>
    <t>Capitaine royal</t>
  </si>
  <si>
    <t>Côtier S inv</t>
  </si>
  <si>
    <t>Dem L pred</t>
  </si>
  <si>
    <t>Dem L inv</t>
  </si>
  <si>
    <t>Dem M pred</t>
  </si>
  <si>
    <t>Dem M inv</t>
  </si>
  <si>
    <t>Dem S pred</t>
  </si>
  <si>
    <t>Dem S inv</t>
  </si>
  <si>
    <t>Bathy L pred</t>
  </si>
  <si>
    <t>Bathy S pred</t>
  </si>
  <si>
    <t>Bathy SM inv</t>
  </si>
  <si>
    <t>Mésopélagiques</t>
  </si>
  <si>
    <t>Céphalopodes</t>
  </si>
  <si>
    <t>Crustacés</t>
  </si>
  <si>
    <t>Benthos</t>
  </si>
  <si>
    <t>Zool L</t>
  </si>
  <si>
    <t>Zool S</t>
  </si>
  <si>
    <t>Producteurs primaires</t>
  </si>
  <si>
    <t>Detritus</t>
  </si>
  <si>
    <t>detritus_TerminalBenthic</t>
  </si>
  <si>
    <t>artisanale</t>
  </si>
  <si>
    <t>industrielle</t>
  </si>
  <si>
    <t>Import</t>
  </si>
  <si>
    <t>export</t>
  </si>
  <si>
    <t>sum</t>
  </si>
  <si>
    <t>TOTAL</t>
  </si>
  <si>
    <t>F artisanale</t>
  </si>
  <si>
    <t>F industrielle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</si>
</sst>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8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FFB1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1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38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3" t="s">
        <v>171</v>
      </c>
      <c r="C53" s="113">
        <v>646</v>
      </c>
      <c r="D53" s="113"/>
    </row>
    <row r="54" spans="2:4" x14ac:dyDescent="0.15">
      <c r="B54" s="183" t="s">
        <v>172</v>
      </c>
      <c r="C54" s="183" t="s">
        <v>185</v>
      </c>
      <c r="D54" s="113"/>
    </row>
    <row r="55" spans="2:4" x14ac:dyDescent="0.15">
      <c r="B55" s="183" t="s">
        <v>173</v>
      </c>
      <c r="C55" s="183" t="s">
        <v>185</v>
      </c>
      <c r="D55" s="113"/>
    </row>
    <row r="56" spans="2:4" x14ac:dyDescent="0.15">
      <c r="B56" s="183" t="s">
        <v>174</v>
      </c>
      <c r="C56" s="113">
        <v>112000</v>
      </c>
      <c r="D56" s="113"/>
    </row>
    <row r="57" spans="2:4" x14ac:dyDescent="0.15">
      <c r="B57" s="183" t="s">
        <v>175</v>
      </c>
      <c r="C57" s="183" t="s">
        <v>186</v>
      </c>
      <c r="D57" s="113"/>
    </row>
    <row r="58" spans="2:4" x14ac:dyDescent="0.15">
      <c r="B58" s="183" t="s">
        <v>176</v>
      </c>
      <c r="C58" s="183" t="s">
        <v>187</v>
      </c>
      <c r="D58" s="113"/>
    </row>
    <row r="59" spans="2:4" x14ac:dyDescent="0.15">
      <c r="B59" s="183" t="s">
        <v>177</v>
      </c>
      <c r="C59" s="183" t="s">
        <v>188</v>
      </c>
      <c r="D59" s="113"/>
    </row>
    <row r="60" spans="2:4" x14ac:dyDescent="0.15">
      <c r="B60" s="183" t="s">
        <v>178</v>
      </c>
      <c r="C60" s="183" t="s">
        <v>189</v>
      </c>
      <c r="D60" s="113"/>
    </row>
    <row r="61" spans="2:4" x14ac:dyDescent="0.15">
      <c r="B61" s="183" t="s">
        <v>179</v>
      </c>
      <c r="C61" s="113">
        <v>44</v>
      </c>
      <c r="D61" s="113"/>
    </row>
    <row r="62" spans="2:4" x14ac:dyDescent="0.15">
      <c r="B62" s="183" t="s">
        <v>180</v>
      </c>
      <c r="C62" s="113">
        <v>2</v>
      </c>
      <c r="D62" s="113"/>
    </row>
    <row r="63" spans="2:4" x14ac:dyDescent="0.15">
      <c r="B63" s="183" t="s">
        <v>181</v>
      </c>
      <c r="C63" s="113">
        <v>1998</v>
      </c>
      <c r="D63" s="113"/>
    </row>
    <row r="64" spans="2:4" x14ac:dyDescent="0.15">
      <c r="B64" s="183" t="s">
        <v>182</v>
      </c>
      <c r="C64" s="113">
        <v>1</v>
      </c>
      <c r="D64" s="113"/>
    </row>
    <row r="65" spans="2:4" x14ac:dyDescent="0.15">
      <c r="B65" s="183" t="s">
        <v>183</v>
      </c>
      <c r="C65" s="183" t="s">
        <v>190</v>
      </c>
      <c r="D65" s="113"/>
    </row>
    <row r="66" spans="2:4" x14ac:dyDescent="0.15">
      <c r="B66" s="183" t="s">
        <v>184</v>
      </c>
      <c r="D66" s="113"/>
    </row>
    <row r="67" spans="2:4" x14ac:dyDescent="0.15">
      <c r="B67" s="113"/>
      <c r="C67" s="113"/>
      <c r="D67" s="113"/>
    </row>
    <row r="68" spans="2:4" x14ac:dyDescent="0.15">
      <c r="B68" s="113"/>
      <c r="C68" s="113"/>
      <c r="D68" s="11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21.6640625" style="83" bestFit="1" customWidth="1"/>
    <col min="6" max="6" width="2.33203125" style="83" bestFit="1" customWidth="1"/>
    <col min="7" max="7" width="12.83203125" style="83" bestFit="1" customWidth="1"/>
    <col min="8" max="8" width="4.83203125" style="83" customWidth="1"/>
    <col min="9" max="9" width="10.83203125" style="83" customWidth="1"/>
    <col min="10" max="10" width="11.83203125" style="83" customWidth="1"/>
    <col min="11" max="11" width="13.83203125" style="83" customWidth="1"/>
    <col min="12" max="12" width="2.33203125" style="83" customWidth="1"/>
    <col min="13" max="13" width="3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100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84" t="s">
        <v>191</v>
      </c>
      <c r="F2" s="83">
        <v>0</v>
      </c>
      <c r="G2" s="83">
        <v>3.0901137700000001E-2</v>
      </c>
      <c r="H2" s="83">
        <v>0.02</v>
      </c>
      <c r="I2" s="6">
        <v>4.6520924600000004</v>
      </c>
      <c r="J2" s="6">
        <v>0.5434175</v>
      </c>
      <c r="K2" s="6">
        <v>4.2991405400000004E-3</v>
      </c>
      <c r="L2" s="6">
        <v>0</v>
      </c>
      <c r="M2" s="83">
        <v>0.2</v>
      </c>
      <c r="N2" s="83">
        <v>0</v>
      </c>
    </row>
    <row r="3" spans="1:46" ht="15" customHeight="1" x14ac:dyDescent="0.15">
      <c r="A3" s="1" t="s">
        <v>9</v>
      </c>
      <c r="B3" s="4">
        <v>43</v>
      </c>
      <c r="C3" s="83">
        <v>2</v>
      </c>
      <c r="D3"/>
      <c r="E3" s="184" t="s">
        <v>192</v>
      </c>
      <c r="F3" s="83">
        <v>0</v>
      </c>
      <c r="G3" s="83">
        <v>6.1803314800000002E-2</v>
      </c>
      <c r="H3" s="83">
        <v>7.0000000000000007E-2</v>
      </c>
      <c r="I3" s="83">
        <v>12.1157389</v>
      </c>
      <c r="J3" s="83">
        <v>0.38814875500000001</v>
      </c>
      <c r="K3" s="83">
        <v>5.7776090000000004E-3</v>
      </c>
      <c r="L3" s="83">
        <v>0</v>
      </c>
      <c r="M3" s="83">
        <v>0.2</v>
      </c>
      <c r="N3" s="83">
        <v>0</v>
      </c>
    </row>
    <row r="4" spans="1:46" ht="15" customHeight="1" x14ac:dyDescent="0.15">
      <c r="A4" s="1" t="s">
        <v>10</v>
      </c>
      <c r="B4" s="4">
        <v>2</v>
      </c>
      <c r="C4" s="83">
        <v>3</v>
      </c>
      <c r="D4"/>
      <c r="E4" s="184" t="s">
        <v>193</v>
      </c>
      <c r="F4" s="83">
        <v>0</v>
      </c>
      <c r="G4" s="83">
        <v>0.149811372</v>
      </c>
      <c r="H4" s="83">
        <v>0.15</v>
      </c>
      <c r="I4" s="83">
        <v>3.5</v>
      </c>
      <c r="J4" s="83">
        <v>0.5</v>
      </c>
      <c r="K4" s="83">
        <v>4.2857144E-2</v>
      </c>
      <c r="L4" s="83">
        <v>0</v>
      </c>
      <c r="M4" s="83">
        <v>0.2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83">
        <v>4</v>
      </c>
      <c r="D5"/>
      <c r="E5" s="184" t="s">
        <v>194</v>
      </c>
      <c r="F5" s="83">
        <v>0</v>
      </c>
      <c r="G5" s="83">
        <v>4.0000000000000002E-4</v>
      </c>
      <c r="H5" s="83">
        <v>0.3</v>
      </c>
      <c r="I5" s="83">
        <v>85.660970000000006</v>
      </c>
      <c r="J5" s="83">
        <v>0.35929736499999998</v>
      </c>
      <c r="K5" s="83">
        <v>3.5021784700000002E-3</v>
      </c>
      <c r="L5" s="83">
        <v>0</v>
      </c>
      <c r="M5" s="83">
        <v>0.2</v>
      </c>
      <c r="N5" s="83">
        <v>0</v>
      </c>
      <c r="P5" s="72"/>
      <c r="Q5" s="72"/>
      <c r="R5" s="72"/>
    </row>
    <row r="6" spans="1:46" ht="15" customHeight="1" thickBot="1" x14ac:dyDescent="0.2">
      <c r="B6" s="1"/>
      <c r="C6" s="83">
        <v>5</v>
      </c>
      <c r="D6"/>
      <c r="E6" s="184" t="s">
        <v>195</v>
      </c>
      <c r="F6" s="83">
        <v>0</v>
      </c>
      <c r="G6" s="83">
        <v>2.4889410000000001E-2</v>
      </c>
      <c r="H6" s="83">
        <v>0.28999999999999998</v>
      </c>
      <c r="I6" s="83">
        <v>4.83</v>
      </c>
      <c r="J6" s="83">
        <v>0.5</v>
      </c>
      <c r="K6" s="83">
        <v>6.0041405300000003E-2</v>
      </c>
      <c r="L6" s="83">
        <v>0</v>
      </c>
      <c r="M6" s="83">
        <v>0.2</v>
      </c>
      <c r="N6" s="83">
        <v>0</v>
      </c>
      <c r="P6" s="72"/>
      <c r="Q6" s="72"/>
      <c r="R6" s="72"/>
      <c r="W6" s="36" t="s">
        <v>31</v>
      </c>
      <c r="X6" s="52">
        <f>MAX(MainOutputs!G:G)</f>
        <v>0.99512630701065063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512</v>
      </c>
      <c r="C7" s="83">
        <v>6</v>
      </c>
      <c r="D7"/>
      <c r="E7" s="184" t="s">
        <v>196</v>
      </c>
      <c r="F7" s="83">
        <v>0</v>
      </c>
      <c r="G7" s="83">
        <v>0.05</v>
      </c>
      <c r="H7" s="83">
        <v>0.34</v>
      </c>
      <c r="I7" s="83">
        <v>4.33</v>
      </c>
      <c r="J7" s="83">
        <v>0.89582216699999995</v>
      </c>
      <c r="K7" s="83">
        <v>7.8521944600000004E-2</v>
      </c>
      <c r="L7" s="83">
        <v>0</v>
      </c>
      <c r="M7" s="83">
        <v>0.2</v>
      </c>
      <c r="N7" s="83">
        <v>0</v>
      </c>
      <c r="P7" s="72"/>
      <c r="Q7" s="72"/>
      <c r="R7" s="72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132</v>
      </c>
      <c r="C8" s="83">
        <v>7</v>
      </c>
      <c r="D8"/>
      <c r="E8" s="184" t="s">
        <v>197</v>
      </c>
      <c r="F8" s="83">
        <v>0</v>
      </c>
      <c r="G8" s="83">
        <v>5.3311888100000003E-2</v>
      </c>
      <c r="H8" s="83">
        <v>0.42</v>
      </c>
      <c r="I8" s="83">
        <v>7.99</v>
      </c>
      <c r="J8" s="83">
        <v>0.5</v>
      </c>
      <c r="K8" s="83">
        <v>5.2565710000000002E-2</v>
      </c>
      <c r="L8" s="83">
        <v>0</v>
      </c>
      <c r="M8" s="83">
        <v>0.2</v>
      </c>
      <c r="N8" s="83">
        <v>0</v>
      </c>
      <c r="P8" s="72"/>
      <c r="Q8" s="72"/>
      <c r="R8" s="72"/>
    </row>
    <row r="9" spans="1:46" ht="15" customHeight="1" x14ac:dyDescent="0.15">
      <c r="B9" s="1"/>
      <c r="C9" s="83">
        <v>8</v>
      </c>
      <c r="D9"/>
      <c r="E9" s="184" t="s">
        <v>198</v>
      </c>
      <c r="F9" s="83">
        <v>0</v>
      </c>
      <c r="G9" s="83">
        <v>6.6198684300000005E-2</v>
      </c>
      <c r="H9" s="83">
        <v>0.57999999999999996</v>
      </c>
      <c r="I9" s="83">
        <v>7.99</v>
      </c>
      <c r="J9" s="83">
        <v>0.5</v>
      </c>
      <c r="K9" s="83">
        <v>7.2590740000000001E-2</v>
      </c>
      <c r="L9" s="83">
        <v>0</v>
      </c>
      <c r="M9" s="83">
        <v>0.2</v>
      </c>
      <c r="N9" s="83">
        <v>0</v>
      </c>
      <c r="P9" s="72"/>
      <c r="Q9" s="72"/>
      <c r="R9" s="72"/>
    </row>
    <row r="10" spans="1:46" ht="15" customHeight="1" x14ac:dyDescent="0.15">
      <c r="B10" s="1"/>
      <c r="C10" s="83">
        <v>9</v>
      </c>
      <c r="D10"/>
      <c r="E10" s="184" t="s">
        <v>199</v>
      </c>
      <c r="F10" s="83">
        <v>0</v>
      </c>
      <c r="G10" s="83">
        <v>5.8909110000000004E-3</v>
      </c>
      <c r="H10" s="83">
        <v>0.94</v>
      </c>
      <c r="I10" s="83">
        <v>4.8499999999999996</v>
      </c>
      <c r="J10" s="83">
        <v>0.5</v>
      </c>
      <c r="K10" s="83">
        <v>0.193814442</v>
      </c>
      <c r="L10" s="83">
        <v>0</v>
      </c>
      <c r="M10" s="83">
        <v>0.2</v>
      </c>
      <c r="N10" s="83">
        <v>0</v>
      </c>
    </row>
    <row r="11" spans="1:46" ht="15" customHeight="1" x14ac:dyDescent="0.15">
      <c r="C11" s="83">
        <v>10</v>
      </c>
      <c r="D11"/>
      <c r="E11" s="184" t="s">
        <v>200</v>
      </c>
      <c r="F11" s="83">
        <v>0</v>
      </c>
      <c r="G11" s="83">
        <v>3.025945E-2</v>
      </c>
      <c r="H11" s="83">
        <v>1.34</v>
      </c>
      <c r="I11" s="83">
        <v>6.6</v>
      </c>
      <c r="J11" s="83">
        <v>0.57619019999999999</v>
      </c>
      <c r="K11" s="83">
        <v>0.20303031799999999</v>
      </c>
      <c r="L11" s="83">
        <v>0</v>
      </c>
      <c r="M11" s="83">
        <v>0.2</v>
      </c>
      <c r="N11" s="83">
        <v>0</v>
      </c>
    </row>
    <row r="12" spans="1:46" ht="15" customHeight="1" x14ac:dyDescent="0.15">
      <c r="C12" s="83">
        <v>11</v>
      </c>
      <c r="D12"/>
      <c r="E12" s="184" t="s">
        <v>201</v>
      </c>
      <c r="F12" s="83">
        <v>0</v>
      </c>
      <c r="G12" s="83">
        <v>0.06</v>
      </c>
      <c r="H12" s="83">
        <v>0.93</v>
      </c>
      <c r="I12" s="83">
        <v>9.51</v>
      </c>
      <c r="J12" s="83">
        <v>0.95840466000000002</v>
      </c>
      <c r="K12" s="83">
        <v>9.7791799999999998E-2</v>
      </c>
      <c r="L12" s="83">
        <v>0</v>
      </c>
      <c r="M12" s="83">
        <v>0.2</v>
      </c>
      <c r="N12" s="83">
        <v>0</v>
      </c>
    </row>
    <row r="13" spans="1:46" ht="15" customHeight="1" x14ac:dyDescent="0.15">
      <c r="C13" s="83">
        <v>12</v>
      </c>
      <c r="D13"/>
      <c r="E13" s="184" t="s">
        <v>202</v>
      </c>
      <c r="F13" s="83">
        <v>0</v>
      </c>
      <c r="G13" s="83">
        <v>1.1000000000000001</v>
      </c>
      <c r="H13" s="83">
        <v>2.27</v>
      </c>
      <c r="I13" s="83">
        <v>12.04</v>
      </c>
      <c r="J13" s="83">
        <v>0.90417796399999995</v>
      </c>
      <c r="K13" s="83">
        <v>0.18853820900000001</v>
      </c>
      <c r="L13" s="83">
        <v>0</v>
      </c>
      <c r="M13" s="83">
        <v>0.2</v>
      </c>
      <c r="N13" s="83">
        <v>0</v>
      </c>
    </row>
    <row r="14" spans="1:46" ht="15" customHeight="1" x14ac:dyDescent="0.15">
      <c r="C14" s="83">
        <v>13</v>
      </c>
      <c r="D14"/>
      <c r="E14" s="184" t="s">
        <v>203</v>
      </c>
      <c r="F14" s="83">
        <v>0</v>
      </c>
      <c r="G14" s="83">
        <v>0.50604559999999998</v>
      </c>
      <c r="H14" s="83">
        <v>1.29</v>
      </c>
      <c r="I14" s="83">
        <v>13.51</v>
      </c>
      <c r="J14" s="83">
        <v>0.95</v>
      </c>
      <c r="K14" s="83">
        <v>9.5484819999999998E-2</v>
      </c>
      <c r="L14" s="83">
        <v>0</v>
      </c>
      <c r="M14" s="83">
        <v>0.2</v>
      </c>
      <c r="N14" s="83">
        <v>0</v>
      </c>
    </row>
    <row r="15" spans="1:46" ht="15" customHeight="1" x14ac:dyDescent="0.15">
      <c r="C15" s="83">
        <v>14</v>
      </c>
      <c r="D15"/>
      <c r="E15" s="184" t="s">
        <v>204</v>
      </c>
      <c r="F15" s="83">
        <v>0</v>
      </c>
      <c r="G15" s="83">
        <v>4.3217655299999998E-2</v>
      </c>
      <c r="H15" s="83">
        <v>0.72</v>
      </c>
      <c r="I15" s="83">
        <v>7.49</v>
      </c>
      <c r="J15" s="83">
        <v>0.95</v>
      </c>
      <c r="K15" s="83">
        <v>9.6128179999999994E-2</v>
      </c>
      <c r="L15" s="83">
        <v>0</v>
      </c>
      <c r="M15" s="83">
        <v>0.2</v>
      </c>
      <c r="N15" s="83">
        <v>0</v>
      </c>
    </row>
    <row r="16" spans="1:46" ht="15" customHeight="1" x14ac:dyDescent="0.15">
      <c r="C16" s="83">
        <v>15</v>
      </c>
      <c r="D16"/>
      <c r="E16" s="184" t="s">
        <v>205</v>
      </c>
      <c r="F16" s="83">
        <v>0</v>
      </c>
      <c r="G16" s="83">
        <v>0.36</v>
      </c>
      <c r="H16" s="83">
        <v>1.87</v>
      </c>
      <c r="I16" s="83">
        <v>10.25</v>
      </c>
      <c r="J16" s="83">
        <v>0.98789190000000004</v>
      </c>
      <c r="K16" s="83">
        <v>0.182439029</v>
      </c>
      <c r="L16" s="83">
        <v>0</v>
      </c>
      <c r="M16" s="83">
        <v>0.2</v>
      </c>
      <c r="N16" s="83">
        <v>0</v>
      </c>
    </row>
    <row r="17" spans="1:22" ht="15" customHeight="1" x14ac:dyDescent="0.15">
      <c r="C17" s="83">
        <v>16</v>
      </c>
      <c r="D17"/>
      <c r="E17" s="184" t="s">
        <v>206</v>
      </c>
      <c r="F17" s="83">
        <v>0</v>
      </c>
      <c r="G17" s="83">
        <v>0.18</v>
      </c>
      <c r="H17" s="83">
        <v>0.97</v>
      </c>
      <c r="I17" s="83">
        <v>8.3699999999999992</v>
      </c>
      <c r="J17" s="83">
        <v>0.93810373499999999</v>
      </c>
      <c r="K17" s="83">
        <v>0.115890086</v>
      </c>
      <c r="L17" s="83">
        <v>0</v>
      </c>
      <c r="M17" s="83">
        <v>0.2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84" t="s">
        <v>207</v>
      </c>
      <c r="F18" s="83">
        <v>0</v>
      </c>
      <c r="G18" s="83">
        <v>1.2E-2</v>
      </c>
      <c r="H18" s="83">
        <v>0.98</v>
      </c>
      <c r="I18" s="83">
        <v>5.57</v>
      </c>
      <c r="J18" s="83">
        <v>0.98930320000000005</v>
      </c>
      <c r="K18" s="83">
        <v>0.17594254000000001</v>
      </c>
      <c r="L18" s="83">
        <v>0</v>
      </c>
      <c r="M18" s="83">
        <v>0.2</v>
      </c>
      <c r="N18" s="83">
        <v>0</v>
      </c>
      <c r="V18" s="1"/>
    </row>
    <row r="19" spans="1:22" ht="15" customHeight="1" x14ac:dyDescent="0.15">
      <c r="C19" s="83">
        <v>18</v>
      </c>
      <c r="D19"/>
      <c r="E19" s="184" t="s">
        <v>208</v>
      </c>
      <c r="F19" s="83">
        <v>0</v>
      </c>
      <c r="G19" s="83">
        <v>0.12</v>
      </c>
      <c r="H19" s="83">
        <v>0.47</v>
      </c>
      <c r="I19" s="83">
        <v>6.56</v>
      </c>
      <c r="J19" s="83">
        <v>0.86461734800000001</v>
      </c>
      <c r="K19" s="83">
        <v>7.1646340000000003E-2</v>
      </c>
      <c r="L19" s="83">
        <v>0</v>
      </c>
      <c r="M19" s="83">
        <v>0.2</v>
      </c>
      <c r="N19" s="83">
        <v>0</v>
      </c>
    </row>
    <row r="20" spans="1:22" ht="15" customHeight="1" thickBot="1" x14ac:dyDescent="0.2">
      <c r="C20" s="83">
        <v>19</v>
      </c>
      <c r="D20"/>
      <c r="E20" s="184" t="s">
        <v>209</v>
      </c>
      <c r="F20" s="83">
        <v>0</v>
      </c>
      <c r="G20" s="83">
        <v>3.1722847399999997E-2</v>
      </c>
      <c r="H20" s="83">
        <v>0.67</v>
      </c>
      <c r="I20" s="83">
        <v>11.87</v>
      </c>
      <c r="J20" s="83">
        <v>0.95</v>
      </c>
      <c r="K20" s="83">
        <v>5.644482E-2</v>
      </c>
      <c r="L20" s="83">
        <v>0</v>
      </c>
      <c r="M20" s="83">
        <v>0.2</v>
      </c>
      <c r="N20" s="83">
        <v>0</v>
      </c>
    </row>
    <row r="21" spans="1:22" ht="15" customHeight="1" thickBot="1" x14ac:dyDescent="0.2">
      <c r="A21" s="47" t="s">
        <v>137</v>
      </c>
      <c r="B21" s="101"/>
      <c r="C21" s="83">
        <v>20</v>
      </c>
      <c r="D21"/>
      <c r="E21" s="184" t="s">
        <v>210</v>
      </c>
      <c r="F21" s="83">
        <v>0</v>
      </c>
      <c r="G21" s="83">
        <v>0.15</v>
      </c>
      <c r="H21" s="83">
        <v>0.83</v>
      </c>
      <c r="I21" s="83">
        <v>8.32</v>
      </c>
      <c r="J21" s="83">
        <v>0.95909540000000004</v>
      </c>
      <c r="K21" s="83">
        <v>9.9759615999999995E-2</v>
      </c>
      <c r="L21" s="83">
        <v>0</v>
      </c>
      <c r="M21" s="83">
        <v>0.2</v>
      </c>
      <c r="N21" s="83">
        <v>0</v>
      </c>
    </row>
    <row r="22" spans="1:22" ht="15" customHeight="1" x14ac:dyDescent="0.15">
      <c r="A22" s="102" t="s">
        <v>58</v>
      </c>
      <c r="B22" s="103">
        <v>0</v>
      </c>
      <c r="C22" s="83">
        <v>21</v>
      </c>
      <c r="D22"/>
      <c r="E22" s="184" t="s">
        <v>211</v>
      </c>
      <c r="F22" s="83">
        <v>0</v>
      </c>
      <c r="G22" s="83">
        <v>5.2946492999999997E-2</v>
      </c>
      <c r="H22" s="83">
        <v>0.76</v>
      </c>
      <c r="I22" s="83">
        <v>10.37</v>
      </c>
      <c r="J22" s="83">
        <v>0.88111853600000001</v>
      </c>
      <c r="K22" s="83">
        <v>7.3288329999999999E-2</v>
      </c>
      <c r="L22" s="83">
        <v>0</v>
      </c>
      <c r="M22" s="83">
        <v>0.2</v>
      </c>
      <c r="N22" s="83">
        <v>0</v>
      </c>
    </row>
    <row r="23" spans="1:22" ht="15" customHeight="1" x14ac:dyDescent="0.15">
      <c r="A23" s="102" t="s">
        <v>59</v>
      </c>
      <c r="B23" s="103">
        <v>1</v>
      </c>
      <c r="C23" s="83">
        <v>22</v>
      </c>
      <c r="D23"/>
      <c r="E23" s="184" t="s">
        <v>212</v>
      </c>
      <c r="F23" s="83">
        <v>0</v>
      </c>
      <c r="G23" s="83">
        <v>0.32286015200000001</v>
      </c>
      <c r="H23" s="83">
        <v>1.0900000000000001</v>
      </c>
      <c r="I23" s="83">
        <v>13</v>
      </c>
      <c r="J23" s="83">
        <v>0.95</v>
      </c>
      <c r="K23" s="83">
        <v>8.3846160000000003E-2</v>
      </c>
      <c r="L23" s="83">
        <v>0</v>
      </c>
      <c r="M23" s="83">
        <v>0.2</v>
      </c>
      <c r="N23" s="83">
        <v>0</v>
      </c>
    </row>
    <row r="24" spans="1:22" ht="15" customHeight="1" x14ac:dyDescent="0.15">
      <c r="A24" s="102" t="s">
        <v>60</v>
      </c>
      <c r="B24" s="103">
        <v>2</v>
      </c>
      <c r="C24" s="83">
        <v>23</v>
      </c>
      <c r="D24"/>
      <c r="E24" s="184" t="s">
        <v>213</v>
      </c>
      <c r="F24" s="83">
        <v>0</v>
      </c>
      <c r="G24" s="83">
        <v>4.4999999999999998E-2</v>
      </c>
      <c r="H24" s="83">
        <v>1.17</v>
      </c>
      <c r="I24" s="83">
        <v>9.01</v>
      </c>
      <c r="J24" s="83">
        <v>0.92579066799999998</v>
      </c>
      <c r="K24" s="83">
        <v>0.12985569999999999</v>
      </c>
      <c r="L24" s="83">
        <v>0</v>
      </c>
      <c r="M24" s="83">
        <v>0.2</v>
      </c>
      <c r="N24" s="83">
        <v>0</v>
      </c>
    </row>
    <row r="25" spans="1:22" ht="15" customHeight="1" thickBot="1" x14ac:dyDescent="0.2">
      <c r="A25" s="104" t="s">
        <v>44</v>
      </c>
      <c r="B25" s="105">
        <v>3</v>
      </c>
      <c r="C25" s="83">
        <v>24</v>
      </c>
      <c r="D25"/>
      <c r="E25" s="184" t="s">
        <v>214</v>
      </c>
      <c r="F25" s="83">
        <v>0</v>
      </c>
      <c r="G25" s="83">
        <v>0.16</v>
      </c>
      <c r="H25" s="83">
        <v>1.4</v>
      </c>
      <c r="I25" s="83">
        <v>9.94</v>
      </c>
      <c r="J25" s="83">
        <v>0.99512630000000002</v>
      </c>
      <c r="K25" s="83">
        <v>0.14084507499999999</v>
      </c>
      <c r="L25" s="83">
        <v>0</v>
      </c>
      <c r="M25" s="83">
        <v>0.2</v>
      </c>
      <c r="N25" s="83">
        <v>0</v>
      </c>
    </row>
    <row r="26" spans="1:22" ht="15" customHeight="1" x14ac:dyDescent="0.15">
      <c r="A26" s="106" t="s">
        <v>140</v>
      </c>
      <c r="C26" s="83">
        <v>25</v>
      </c>
      <c r="D26"/>
      <c r="E26" s="184" t="s">
        <v>215</v>
      </c>
      <c r="F26" s="83">
        <v>0</v>
      </c>
      <c r="G26" s="83">
        <v>5.1193519999999999E-2</v>
      </c>
      <c r="H26" s="83">
        <v>1.78</v>
      </c>
      <c r="I26" s="83">
        <v>11.83</v>
      </c>
      <c r="J26" s="83">
        <v>0.90101605699999998</v>
      </c>
      <c r="K26" s="83">
        <v>0.150464922</v>
      </c>
      <c r="L26" s="83">
        <v>0</v>
      </c>
      <c r="M26" s="83">
        <v>0.2</v>
      </c>
      <c r="N26" s="83">
        <v>0</v>
      </c>
    </row>
    <row r="27" spans="1:22" ht="15" customHeight="1" x14ac:dyDescent="0.15">
      <c r="C27" s="83">
        <v>26</v>
      </c>
      <c r="D27"/>
      <c r="E27" s="184" t="s">
        <v>216</v>
      </c>
      <c r="F27" s="83">
        <v>0</v>
      </c>
      <c r="G27" s="83">
        <v>5.2604390000000001E-2</v>
      </c>
      <c r="H27" s="83">
        <v>1.37</v>
      </c>
      <c r="I27" s="83">
        <v>11.7</v>
      </c>
      <c r="J27" s="83">
        <v>0.95</v>
      </c>
      <c r="K27" s="83">
        <v>0.11709401799999999</v>
      </c>
      <c r="L27" s="83">
        <v>0</v>
      </c>
      <c r="M27" s="83">
        <v>0.2</v>
      </c>
      <c r="N27" s="83">
        <v>0</v>
      </c>
    </row>
    <row r="28" spans="1:22" ht="15" customHeight="1" x14ac:dyDescent="0.15">
      <c r="C28" s="83">
        <v>27</v>
      </c>
      <c r="D28"/>
      <c r="E28" s="184" t="s">
        <v>217</v>
      </c>
      <c r="F28" s="83">
        <v>0</v>
      </c>
      <c r="G28" s="83">
        <v>0.5</v>
      </c>
      <c r="H28" s="83">
        <v>1.6</v>
      </c>
      <c r="I28" s="83">
        <v>11.6</v>
      </c>
      <c r="J28" s="83">
        <v>0.97460570000000002</v>
      </c>
      <c r="K28" s="83">
        <v>0.13793103400000001</v>
      </c>
      <c r="L28" s="83">
        <v>0</v>
      </c>
      <c r="M28" s="83">
        <v>0.2</v>
      </c>
      <c r="N28" s="83">
        <v>0</v>
      </c>
    </row>
    <row r="29" spans="1:22" customFormat="1" ht="15" customHeight="1" x14ac:dyDescent="0.15">
      <c r="C29" s="83">
        <v>28</v>
      </c>
      <c r="E29" s="184" t="s">
        <v>218</v>
      </c>
      <c r="F29" s="83">
        <v>0</v>
      </c>
      <c r="G29" s="83">
        <v>5.5E-2</v>
      </c>
      <c r="H29" s="83">
        <v>0.59</v>
      </c>
      <c r="I29" s="83">
        <v>7.33</v>
      </c>
      <c r="J29" s="83">
        <v>0.84256833799999997</v>
      </c>
      <c r="K29" s="83">
        <v>8.0491129999999994E-2</v>
      </c>
      <c r="L29" s="83">
        <v>0</v>
      </c>
      <c r="M29" s="83">
        <v>0.2</v>
      </c>
      <c r="N29" s="83">
        <v>0</v>
      </c>
    </row>
    <row r="30" spans="1:22" customFormat="1" ht="15" customHeight="1" x14ac:dyDescent="0.15">
      <c r="C30" s="83">
        <v>29</v>
      </c>
      <c r="E30" s="184" t="s">
        <v>219</v>
      </c>
      <c r="F30" s="83">
        <v>0</v>
      </c>
      <c r="G30" s="83">
        <v>2.3513844200000002E-2</v>
      </c>
      <c r="H30" s="83">
        <v>0.71</v>
      </c>
      <c r="I30" s="83">
        <v>6.12</v>
      </c>
      <c r="J30" s="83">
        <v>0.95</v>
      </c>
      <c r="K30" s="83">
        <v>0.11601307199999999</v>
      </c>
      <c r="L30" s="83">
        <v>0</v>
      </c>
      <c r="M30" s="83">
        <v>0.2</v>
      </c>
      <c r="N30" s="83">
        <v>0</v>
      </c>
    </row>
    <row r="31" spans="1:22" customFormat="1" ht="15" customHeight="1" x14ac:dyDescent="0.15">
      <c r="C31" s="83">
        <v>30</v>
      </c>
      <c r="E31" s="184" t="s">
        <v>220</v>
      </c>
      <c r="F31" s="83">
        <v>0</v>
      </c>
      <c r="G31" s="83">
        <v>0.10135772799999999</v>
      </c>
      <c r="H31" s="83">
        <v>1.01</v>
      </c>
      <c r="I31" s="83">
        <v>9.89</v>
      </c>
      <c r="J31" s="83">
        <v>0.95</v>
      </c>
      <c r="K31" s="83">
        <v>0.10212335</v>
      </c>
      <c r="L31" s="83">
        <v>0</v>
      </c>
      <c r="M31" s="83">
        <v>0.2</v>
      </c>
      <c r="N31" s="83">
        <v>0</v>
      </c>
    </row>
    <row r="32" spans="1:22" customFormat="1" ht="15" customHeight="1" x14ac:dyDescent="0.15">
      <c r="C32" s="83">
        <v>31</v>
      </c>
      <c r="E32" s="184" t="s">
        <v>221</v>
      </c>
      <c r="F32" s="83">
        <v>0</v>
      </c>
      <c r="G32" s="83">
        <v>0.20833889999999999</v>
      </c>
      <c r="H32" s="83">
        <v>0.75</v>
      </c>
      <c r="I32" s="83">
        <v>11.47</v>
      </c>
      <c r="J32" s="83">
        <v>0.95</v>
      </c>
      <c r="K32" s="83">
        <v>6.5387964199999996E-2</v>
      </c>
      <c r="L32" s="83">
        <v>0</v>
      </c>
      <c r="M32" s="83">
        <v>0.2</v>
      </c>
      <c r="N32" s="83">
        <v>0</v>
      </c>
    </row>
    <row r="33" spans="3:14" customFormat="1" ht="15" customHeight="1" x14ac:dyDescent="0.15">
      <c r="C33" s="83">
        <v>32</v>
      </c>
      <c r="E33" s="184" t="s">
        <v>222</v>
      </c>
      <c r="F33" s="83">
        <v>0</v>
      </c>
      <c r="G33" s="83">
        <v>8.2821279999999997E-2</v>
      </c>
      <c r="H33" s="83">
        <v>1.96</v>
      </c>
      <c r="I33" s="83">
        <v>12.08</v>
      </c>
      <c r="J33" s="83">
        <v>0.95</v>
      </c>
      <c r="K33" s="83">
        <v>0.16225166599999999</v>
      </c>
      <c r="L33" s="83">
        <v>0</v>
      </c>
      <c r="M33" s="83">
        <v>0.2</v>
      </c>
      <c r="N33" s="83">
        <v>0</v>
      </c>
    </row>
    <row r="34" spans="3:14" customFormat="1" ht="15" customHeight="1" x14ac:dyDescent="0.15">
      <c r="C34" s="83">
        <v>33</v>
      </c>
      <c r="E34" s="184" t="s">
        <v>223</v>
      </c>
      <c r="F34" s="83">
        <v>0</v>
      </c>
      <c r="G34" s="83">
        <v>0.57928579999999996</v>
      </c>
      <c r="H34" s="83">
        <v>1.06</v>
      </c>
      <c r="I34" s="83">
        <v>9.3000000000000007</v>
      </c>
      <c r="J34" s="83">
        <v>0.95</v>
      </c>
      <c r="K34" s="83">
        <v>0.11397848300000001</v>
      </c>
      <c r="L34" s="83">
        <v>0</v>
      </c>
      <c r="M34" s="83">
        <v>0.2</v>
      </c>
      <c r="N34" s="83">
        <v>0</v>
      </c>
    </row>
    <row r="35" spans="3:14" customFormat="1" ht="15" customHeight="1" x14ac:dyDescent="0.15">
      <c r="C35" s="83">
        <v>34</v>
      </c>
      <c r="E35" s="184" t="s">
        <v>224</v>
      </c>
      <c r="F35" s="83">
        <v>0</v>
      </c>
      <c r="G35" s="83">
        <v>4.0398824999999999E-2</v>
      </c>
      <c r="H35" s="83">
        <v>0.71</v>
      </c>
      <c r="I35" s="83">
        <v>5.81</v>
      </c>
      <c r="J35" s="83">
        <v>0.95</v>
      </c>
      <c r="K35" s="83">
        <v>0.1222031</v>
      </c>
      <c r="L35" s="83">
        <v>0</v>
      </c>
      <c r="M35" s="83">
        <v>0.2</v>
      </c>
      <c r="N35" s="83">
        <v>0</v>
      </c>
    </row>
    <row r="36" spans="3:14" customFormat="1" ht="15" customHeight="1" x14ac:dyDescent="0.15">
      <c r="C36" s="83">
        <v>35</v>
      </c>
      <c r="E36" s="184" t="s">
        <v>225</v>
      </c>
      <c r="F36" s="83">
        <v>0</v>
      </c>
      <c r="G36" s="83">
        <v>0.41132986500000002</v>
      </c>
      <c r="H36" s="83">
        <v>0.8</v>
      </c>
      <c r="I36" s="83">
        <v>6.38</v>
      </c>
      <c r="J36" s="83">
        <v>0.95</v>
      </c>
      <c r="K36" s="83">
        <v>0.125391856</v>
      </c>
      <c r="L36" s="83">
        <v>0</v>
      </c>
      <c r="M36" s="83">
        <v>0.2</v>
      </c>
      <c r="N36" s="83">
        <v>0</v>
      </c>
    </row>
    <row r="37" spans="3:14" customFormat="1" ht="15" customHeight="1" x14ac:dyDescent="0.15">
      <c r="C37" s="83">
        <v>36</v>
      </c>
      <c r="E37" s="184" t="s">
        <v>226</v>
      </c>
      <c r="F37" s="83">
        <v>0</v>
      </c>
      <c r="G37" s="83">
        <v>1.1422658000000001</v>
      </c>
      <c r="H37" s="83">
        <v>0.37</v>
      </c>
      <c r="I37" s="83">
        <v>4.7</v>
      </c>
      <c r="J37" s="83">
        <v>0.95</v>
      </c>
      <c r="K37" s="83">
        <v>7.8723409999999994E-2</v>
      </c>
      <c r="L37" s="83">
        <v>0</v>
      </c>
      <c r="M37" s="83">
        <v>0.2</v>
      </c>
      <c r="N37" s="83">
        <v>0</v>
      </c>
    </row>
    <row r="38" spans="3:14" customFormat="1" ht="15" customHeight="1" x14ac:dyDescent="0.15">
      <c r="C38" s="83">
        <v>37</v>
      </c>
      <c r="E38" s="184" t="s">
        <v>227</v>
      </c>
      <c r="F38" s="83">
        <v>0</v>
      </c>
      <c r="G38" s="83">
        <v>3.36</v>
      </c>
      <c r="H38" s="83">
        <v>2.72</v>
      </c>
      <c r="I38" s="83">
        <v>9.5</v>
      </c>
      <c r="J38" s="83">
        <v>0.299378425</v>
      </c>
      <c r="K38" s="83">
        <v>0.28631580000000001</v>
      </c>
      <c r="L38" s="83">
        <v>0</v>
      </c>
      <c r="M38" s="83">
        <v>0.2</v>
      </c>
      <c r="N38" s="83">
        <v>0</v>
      </c>
    </row>
    <row r="39" spans="3:14" customFormat="1" ht="15" customHeight="1" x14ac:dyDescent="0.15">
      <c r="C39" s="83">
        <v>38</v>
      </c>
      <c r="E39" s="184" t="s">
        <v>228</v>
      </c>
      <c r="F39" s="83">
        <v>0</v>
      </c>
      <c r="G39" s="83">
        <v>0.58922039999999998</v>
      </c>
      <c r="H39" s="83">
        <v>2.5</v>
      </c>
      <c r="I39" s="83">
        <v>10</v>
      </c>
      <c r="J39" s="83">
        <v>0.95</v>
      </c>
      <c r="K39" s="83">
        <v>0.25</v>
      </c>
      <c r="L39" s="83">
        <v>0</v>
      </c>
      <c r="M39" s="83">
        <v>0.2</v>
      </c>
      <c r="N39" s="83">
        <v>0</v>
      </c>
    </row>
    <row r="40" spans="3:14" customFormat="1" ht="15" customHeight="1" x14ac:dyDescent="0.15">
      <c r="C40" s="83">
        <v>39</v>
      </c>
      <c r="E40" s="184" t="s">
        <v>229</v>
      </c>
      <c r="F40" s="83">
        <v>0</v>
      </c>
      <c r="G40" s="83">
        <v>2.6901855499999998</v>
      </c>
      <c r="H40" s="83">
        <v>5.5</v>
      </c>
      <c r="I40" s="83">
        <v>20</v>
      </c>
      <c r="J40" s="83">
        <v>0.95</v>
      </c>
      <c r="K40" s="83">
        <v>0.27500000000000002</v>
      </c>
      <c r="L40" s="83">
        <v>0</v>
      </c>
      <c r="M40" s="83">
        <v>0.2</v>
      </c>
      <c r="N40" s="83">
        <v>0</v>
      </c>
    </row>
    <row r="41" spans="3:14" customFormat="1" ht="15" customHeight="1" x14ac:dyDescent="0.15">
      <c r="C41" s="83">
        <v>40</v>
      </c>
      <c r="E41" s="184" t="s">
        <v>230</v>
      </c>
      <c r="F41" s="83">
        <v>0</v>
      </c>
      <c r="G41" s="83">
        <v>59.346080000000001</v>
      </c>
      <c r="H41" s="83">
        <v>1.8</v>
      </c>
      <c r="I41" s="83">
        <v>25</v>
      </c>
      <c r="J41" s="83">
        <v>0.739724457</v>
      </c>
      <c r="K41" s="83">
        <v>7.1999999999999995E-2</v>
      </c>
      <c r="L41" s="83">
        <v>0</v>
      </c>
      <c r="M41" s="83">
        <v>0.2</v>
      </c>
      <c r="N41" s="83">
        <v>0</v>
      </c>
    </row>
    <row r="42" spans="3:14" customFormat="1" ht="15" customHeight="1" x14ac:dyDescent="0.15">
      <c r="C42" s="83">
        <v>41</v>
      </c>
      <c r="E42" s="184" t="s">
        <v>231</v>
      </c>
      <c r="F42" s="83">
        <v>0</v>
      </c>
      <c r="G42" s="83">
        <v>2.5979519999999998</v>
      </c>
      <c r="H42" s="83">
        <v>10</v>
      </c>
      <c r="I42" s="83">
        <v>50</v>
      </c>
      <c r="J42" s="83">
        <v>0.8</v>
      </c>
      <c r="K42" s="83">
        <v>0.2</v>
      </c>
      <c r="L42" s="83">
        <v>0</v>
      </c>
      <c r="M42" s="83">
        <v>0.2</v>
      </c>
      <c r="N42" s="83">
        <v>0</v>
      </c>
    </row>
    <row r="43" spans="3:14" customFormat="1" ht="15" customHeight="1" x14ac:dyDescent="0.15">
      <c r="C43" s="83">
        <v>42</v>
      </c>
      <c r="E43" s="184" t="s">
        <v>232</v>
      </c>
      <c r="F43" s="83">
        <v>0</v>
      </c>
      <c r="G43" s="83">
        <v>14.9455881</v>
      </c>
      <c r="H43" s="83">
        <v>40</v>
      </c>
      <c r="I43" s="83">
        <v>200</v>
      </c>
      <c r="J43" s="83">
        <v>0.6</v>
      </c>
      <c r="K43" s="83">
        <v>0.2</v>
      </c>
      <c r="L43" s="83">
        <v>0</v>
      </c>
      <c r="M43" s="83">
        <v>0.4</v>
      </c>
      <c r="N43" s="83">
        <v>0</v>
      </c>
    </row>
    <row r="44" spans="3:14" customFormat="1" ht="15" customHeight="1" x14ac:dyDescent="0.15">
      <c r="C44" s="83">
        <v>43</v>
      </c>
      <c r="E44" s="184" t="s">
        <v>233</v>
      </c>
      <c r="F44" s="83">
        <v>1</v>
      </c>
      <c r="G44" s="83">
        <v>49</v>
      </c>
      <c r="H44" s="83">
        <v>84</v>
      </c>
      <c r="I44" s="83">
        <v>0</v>
      </c>
      <c r="J44" s="83">
        <v>0.67021869999999995</v>
      </c>
      <c r="K44" s="83">
        <v>0</v>
      </c>
      <c r="L44" s="83">
        <v>0</v>
      </c>
      <c r="M44" s="83">
        <v>0</v>
      </c>
      <c r="N44" s="83">
        <v>0</v>
      </c>
    </row>
    <row r="45" spans="3:14" customFormat="1" ht="15" customHeight="1" x14ac:dyDescent="0.15">
      <c r="C45" s="83">
        <v>44</v>
      </c>
      <c r="E45" s="184" t="s">
        <v>234</v>
      </c>
      <c r="F45" s="83">
        <v>2</v>
      </c>
      <c r="G45" s="83">
        <v>290</v>
      </c>
      <c r="H45" s="83">
        <v>0</v>
      </c>
      <c r="I45" s="83">
        <v>0</v>
      </c>
      <c r="J45" s="83">
        <v>0.47581613099999998</v>
      </c>
      <c r="K45" s="83">
        <v>0</v>
      </c>
      <c r="L45" s="83">
        <v>0</v>
      </c>
      <c r="M45" s="83">
        <v>0</v>
      </c>
      <c r="N45" s="83">
        <v>0</v>
      </c>
    </row>
    <row r="46" spans="3:14" customFormat="1" ht="15" customHeight="1" x14ac:dyDescent="0.15">
      <c r="C46" s="83">
        <v>45</v>
      </c>
      <c r="E46" s="184" t="s">
        <v>235</v>
      </c>
      <c r="F46" s="83">
        <v>2</v>
      </c>
      <c r="G46" s="83">
        <v>5</v>
      </c>
      <c r="H46" s="83">
        <v>0</v>
      </c>
      <c r="I46" s="83">
        <v>0</v>
      </c>
      <c r="J46" s="83">
        <v>0</v>
      </c>
      <c r="K46" s="83">
        <v>0</v>
      </c>
      <c r="L46" s="83">
        <v>0</v>
      </c>
      <c r="M46" s="83">
        <v>0</v>
      </c>
      <c r="N46" s="83">
        <v>0</v>
      </c>
    </row>
    <row r="47" spans="3:14" customFormat="1" ht="15" customHeight="1" x14ac:dyDescent="0.15">
      <c r="C47" s="83">
        <v>46</v>
      </c>
      <c r="E47" s="184" t="s">
        <v>236</v>
      </c>
      <c r="F47" s="83">
        <v>3</v>
      </c>
      <c r="G47" s="83">
        <v>0</v>
      </c>
      <c r="H47" s="83">
        <v>0</v>
      </c>
      <c r="I47" s="83">
        <v>0</v>
      </c>
      <c r="J47" s="83">
        <v>0</v>
      </c>
      <c r="K47" s="83">
        <v>0</v>
      </c>
      <c r="L47" s="83">
        <v>0</v>
      </c>
      <c r="M47" s="83">
        <v>0</v>
      </c>
      <c r="N47" s="83">
        <v>0</v>
      </c>
    </row>
    <row r="48" spans="3:14" customFormat="1" ht="15" customHeight="1" x14ac:dyDescent="0.15">
      <c r="C48" s="83">
        <v>47</v>
      </c>
      <c r="E48" s="184" t="s">
        <v>237</v>
      </c>
      <c r="F48" s="83">
        <v>3</v>
      </c>
      <c r="G48" s="83">
        <v>0</v>
      </c>
      <c r="H48" s="83">
        <v>0</v>
      </c>
      <c r="I48" s="83">
        <v>0</v>
      </c>
      <c r="J48" s="83">
        <v>0</v>
      </c>
      <c r="K48" s="83">
        <v>0</v>
      </c>
      <c r="L48" s="83">
        <v>0</v>
      </c>
      <c r="M48" s="83">
        <v>0</v>
      </c>
      <c r="N48" s="83">
        <v>0</v>
      </c>
    </row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T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7" bestFit="1" customWidth="1"/>
    <col min="2" max="2" width="13.83203125" style="147" bestFit="1" customWidth="1"/>
    <col min="3" max="3" width="5.83203125" style="147" bestFit="1" customWidth="1"/>
    <col min="4" max="4" width="3.83203125" style="147" bestFit="1" customWidth="1"/>
    <col min="5" max="5" width="5.83203125" style="147" bestFit="1" customWidth="1"/>
    <col min="6" max="7" width="15.83203125" style="147" bestFit="1" customWidth="1"/>
    <col min="8" max="9" width="14.83203125" style="147" bestFit="1" customWidth="1"/>
    <col min="10" max="11" width="15.83203125" style="147" bestFit="1" customWidth="1"/>
    <col min="12" max="13" width="14.83203125" style="147" bestFit="1" customWidth="1"/>
    <col min="14" max="14" width="3.83203125" style="147" bestFit="1" customWidth="1"/>
    <col min="15" max="15" width="5.83203125" style="147" bestFit="1" customWidth="1"/>
    <col min="16" max="17" width="14.83203125" style="147" bestFit="1" customWidth="1"/>
    <col min="18" max="18" width="13.83203125" style="147" bestFit="1" customWidth="1"/>
    <col min="19" max="19" width="14.83203125" style="147" bestFit="1" customWidth="1"/>
    <col min="20" max="21" width="13.83203125" style="147" bestFit="1" customWidth="1"/>
    <col min="22" max="22" width="12.83203125" style="147" bestFit="1" customWidth="1"/>
    <col min="23" max="23" width="15.83203125" style="147" bestFit="1" customWidth="1"/>
    <col min="24" max="27" width="13.83203125" style="147" bestFit="1" customWidth="1"/>
    <col min="28" max="28" width="14.83203125" style="147" bestFit="1" customWidth="1"/>
    <col min="29" max="29" width="15.5" style="147" bestFit="1" customWidth="1"/>
    <col min="30" max="30" width="5.83203125" style="147" customWidth="1"/>
    <col min="31" max="31" width="14.83203125" style="147" customWidth="1"/>
    <col min="32" max="33" width="13.83203125" style="147" customWidth="1"/>
    <col min="34" max="34" width="2.33203125" style="147" customWidth="1"/>
    <col min="35" max="35" width="15.83203125" style="147" customWidth="1"/>
    <col min="36" max="36" width="11.83203125" style="147" customWidth="1"/>
    <col min="37" max="39" width="14.83203125" style="147" customWidth="1"/>
    <col min="40" max="42" width="4.83203125" style="147" customWidth="1"/>
    <col min="43" max="43" width="3.83203125" style="147" customWidth="1"/>
    <col min="44" max="46" width="2.33203125" style="147" customWidth="1"/>
    <col min="47" max="16384" width="8.83203125" style="147"/>
  </cols>
  <sheetData>
    <row r="1" spans="1:46" x14ac:dyDescent="0.15">
      <c r="A1" s="146" t="s">
        <v>19</v>
      </c>
      <c r="B1" s="186" t="s">
        <v>191</v>
      </c>
      <c r="C1" s="186" t="s">
        <v>192</v>
      </c>
      <c r="D1" s="186" t="s">
        <v>193</v>
      </c>
      <c r="E1" s="186" t="s">
        <v>194</v>
      </c>
      <c r="F1" s="186" t="s">
        <v>195</v>
      </c>
      <c r="G1" s="186" t="s">
        <v>196</v>
      </c>
      <c r="H1" s="186" t="s">
        <v>197</v>
      </c>
      <c r="I1" s="186" t="s">
        <v>198</v>
      </c>
      <c r="J1" s="186" t="s">
        <v>199</v>
      </c>
      <c r="K1" s="186" t="s">
        <v>200</v>
      </c>
      <c r="L1" s="186" t="s">
        <v>201</v>
      </c>
      <c r="M1" s="186" t="s">
        <v>202</v>
      </c>
      <c r="N1" s="186" t="s">
        <v>203</v>
      </c>
      <c r="O1" s="186" t="s">
        <v>204</v>
      </c>
      <c r="P1" s="186" t="s">
        <v>205</v>
      </c>
      <c r="Q1" s="186" t="s">
        <v>206</v>
      </c>
      <c r="R1" s="186" t="s">
        <v>207</v>
      </c>
      <c r="S1" s="186" t="s">
        <v>208</v>
      </c>
      <c r="T1" s="186" t="s">
        <v>209</v>
      </c>
      <c r="U1" s="186" t="s">
        <v>210</v>
      </c>
      <c r="V1" s="186" t="s">
        <v>211</v>
      </c>
      <c r="W1" s="186" t="s">
        <v>212</v>
      </c>
      <c r="X1" s="186" t="s">
        <v>213</v>
      </c>
      <c r="Y1" s="186" t="s">
        <v>214</v>
      </c>
      <c r="Z1" s="186" t="s">
        <v>215</v>
      </c>
      <c r="AA1" s="186" t="s">
        <v>216</v>
      </c>
      <c r="AB1" s="186" t="s">
        <v>217</v>
      </c>
      <c r="AC1" s="186" t="s">
        <v>218</v>
      </c>
      <c r="AD1" s="186" t="s">
        <v>219</v>
      </c>
      <c r="AE1" s="186" t="s">
        <v>220</v>
      </c>
      <c r="AF1" s="186" t="s">
        <v>221</v>
      </c>
      <c r="AG1" s="186" t="s">
        <v>222</v>
      </c>
      <c r="AH1" s="186" t="s">
        <v>223</v>
      </c>
      <c r="AI1" s="186" t="s">
        <v>224</v>
      </c>
      <c r="AJ1" s="186" t="s">
        <v>225</v>
      </c>
      <c r="AK1" s="186" t="s">
        <v>226</v>
      </c>
      <c r="AL1" s="186" t="s">
        <v>227</v>
      </c>
      <c r="AM1" s="186" t="s">
        <v>228</v>
      </c>
      <c r="AN1" s="186" t="s">
        <v>229</v>
      </c>
      <c r="AO1" s="186" t="s">
        <v>230</v>
      </c>
      <c r="AP1" s="186" t="s">
        <v>231</v>
      </c>
      <c r="AQ1" s="186" t="s">
        <v>232</v>
      </c>
      <c r="AR1" s="186" t="s">
        <v>233</v>
      </c>
      <c r="AS1" s="186" t="s">
        <v>234</v>
      </c>
      <c r="AT1" s="186" t="s">
        <v>235</v>
      </c>
    </row>
    <row r="2" spans="1:46" customFormat="1" x14ac:dyDescent="0.15">
      <c r="A2" s="185" t="s">
        <v>191</v>
      </c>
      <c r="B2" s="147">
        <v>0</v>
      </c>
      <c r="C2" s="147">
        <v>0</v>
      </c>
      <c r="D2" s="147">
        <v>0</v>
      </c>
      <c r="E2" s="147">
        <v>0</v>
      </c>
      <c r="F2" s="147">
        <v>1.0004164833675648E-3</v>
      </c>
      <c r="G2" s="147">
        <v>9.9574341035174856E-4</v>
      </c>
      <c r="H2" s="147">
        <v>0</v>
      </c>
      <c r="I2" s="147">
        <v>0</v>
      </c>
      <c r="J2" s="147">
        <v>0</v>
      </c>
      <c r="K2" s="147">
        <v>0</v>
      </c>
      <c r="L2" s="147">
        <v>0</v>
      </c>
      <c r="M2" s="147">
        <v>0</v>
      </c>
      <c r="N2" s="147">
        <v>0</v>
      </c>
      <c r="O2" s="147">
        <v>0</v>
      </c>
      <c r="P2" s="147">
        <v>0</v>
      </c>
      <c r="Q2" s="147">
        <v>0</v>
      </c>
      <c r="R2" s="147">
        <v>0</v>
      </c>
      <c r="S2" s="147">
        <v>0</v>
      </c>
      <c r="T2" s="147">
        <v>0</v>
      </c>
      <c r="U2" s="147">
        <v>0</v>
      </c>
      <c r="V2" s="147">
        <v>0</v>
      </c>
      <c r="W2" s="147">
        <v>0</v>
      </c>
      <c r="X2" s="147">
        <v>0</v>
      </c>
      <c r="Y2" s="147">
        <v>0</v>
      </c>
      <c r="Z2" s="147">
        <v>0</v>
      </c>
      <c r="AA2" s="147">
        <v>0</v>
      </c>
      <c r="AB2" s="147">
        <v>0</v>
      </c>
      <c r="AC2" s="147">
        <v>0</v>
      </c>
      <c r="AD2" s="147">
        <v>0</v>
      </c>
      <c r="AE2" s="147">
        <v>0</v>
      </c>
      <c r="AF2" s="147">
        <v>0</v>
      </c>
      <c r="AG2" s="147">
        <v>0</v>
      </c>
      <c r="AH2" s="147">
        <v>0</v>
      </c>
      <c r="AI2" s="147">
        <v>0</v>
      </c>
      <c r="AJ2" s="147">
        <v>0</v>
      </c>
      <c r="AK2" s="147">
        <v>0</v>
      </c>
      <c r="AL2" s="147">
        <v>0</v>
      </c>
      <c r="AM2" s="147">
        <v>0</v>
      </c>
      <c r="AN2" s="147">
        <v>0</v>
      </c>
      <c r="AO2" s="147">
        <v>0</v>
      </c>
      <c r="AP2" s="147">
        <v>0</v>
      </c>
      <c r="AQ2" s="147">
        <v>0</v>
      </c>
      <c r="AR2" s="147">
        <v>0</v>
      </c>
      <c r="AS2" s="147">
        <v>0</v>
      </c>
      <c r="AT2" s="147">
        <v>0</v>
      </c>
    </row>
    <row r="3" spans="1:46" customFormat="1" x14ac:dyDescent="0.15">
      <c r="A3" s="185" t="s">
        <v>192</v>
      </c>
      <c r="B3" s="147">
        <v>0</v>
      </c>
      <c r="C3" s="147">
        <v>0</v>
      </c>
      <c r="D3" s="147">
        <v>0</v>
      </c>
      <c r="E3" s="147">
        <v>0</v>
      </c>
      <c r="F3" s="147">
        <v>5.0020820668378197E-3</v>
      </c>
      <c r="G3" s="147">
        <v>4.9787170517587428E-3</v>
      </c>
      <c r="H3" s="147">
        <v>0</v>
      </c>
      <c r="I3" s="147">
        <v>0</v>
      </c>
      <c r="J3" s="147">
        <v>0</v>
      </c>
      <c r="K3" s="147">
        <v>0</v>
      </c>
      <c r="L3" s="147">
        <v>0</v>
      </c>
      <c r="M3" s="147">
        <v>0</v>
      </c>
      <c r="N3" s="147">
        <v>0</v>
      </c>
      <c r="O3" s="147">
        <v>0</v>
      </c>
      <c r="P3" s="147">
        <v>0</v>
      </c>
      <c r="Q3" s="147">
        <v>0</v>
      </c>
      <c r="R3" s="147">
        <v>0</v>
      </c>
      <c r="S3" s="147">
        <v>0</v>
      </c>
      <c r="T3" s="147">
        <v>0</v>
      </c>
      <c r="U3" s="147">
        <v>0</v>
      </c>
      <c r="V3" s="147">
        <v>0</v>
      </c>
      <c r="W3" s="147">
        <v>0</v>
      </c>
      <c r="X3" s="147">
        <v>0</v>
      </c>
      <c r="Y3" s="147">
        <v>0</v>
      </c>
      <c r="Z3" s="147">
        <v>0</v>
      </c>
      <c r="AA3" s="147">
        <v>0</v>
      </c>
      <c r="AB3" s="147">
        <v>0</v>
      </c>
      <c r="AC3" s="147">
        <v>0</v>
      </c>
      <c r="AD3" s="147">
        <v>0</v>
      </c>
      <c r="AE3" s="147">
        <v>0</v>
      </c>
      <c r="AF3" s="147">
        <v>0</v>
      </c>
      <c r="AG3" s="147">
        <v>0</v>
      </c>
      <c r="AH3" s="147">
        <v>0</v>
      </c>
      <c r="AI3" s="147">
        <v>0</v>
      </c>
      <c r="AJ3" s="147">
        <v>0</v>
      </c>
      <c r="AK3" s="147">
        <v>0</v>
      </c>
      <c r="AL3" s="147">
        <v>0</v>
      </c>
      <c r="AM3" s="147">
        <v>0</v>
      </c>
      <c r="AN3" s="147">
        <v>0</v>
      </c>
      <c r="AO3" s="147">
        <v>0</v>
      </c>
      <c r="AP3" s="147">
        <v>0</v>
      </c>
      <c r="AQ3" s="147">
        <v>0</v>
      </c>
      <c r="AR3" s="147">
        <v>0</v>
      </c>
      <c r="AS3" s="147">
        <v>0</v>
      </c>
      <c r="AT3" s="147">
        <v>0</v>
      </c>
    </row>
    <row r="4" spans="1:46" customFormat="1" x14ac:dyDescent="0.15">
      <c r="A4" s="185" t="s">
        <v>193</v>
      </c>
      <c r="B4" s="147">
        <v>0</v>
      </c>
      <c r="C4" s="147">
        <v>0</v>
      </c>
      <c r="D4" s="147">
        <v>0</v>
      </c>
      <c r="E4" s="147">
        <v>0</v>
      </c>
      <c r="F4" s="147">
        <v>0</v>
      </c>
      <c r="G4" s="147">
        <v>9.9574341035174856E-4</v>
      </c>
      <c r="H4" s="147">
        <v>0</v>
      </c>
      <c r="I4" s="147">
        <v>0</v>
      </c>
      <c r="J4" s="147">
        <v>0</v>
      </c>
      <c r="K4" s="147">
        <v>0</v>
      </c>
      <c r="L4" s="147">
        <v>0</v>
      </c>
      <c r="M4" s="147">
        <v>0</v>
      </c>
      <c r="N4" s="147">
        <v>0</v>
      </c>
      <c r="O4" s="147">
        <v>0</v>
      </c>
      <c r="P4" s="147">
        <v>0</v>
      </c>
      <c r="Q4" s="147">
        <v>0</v>
      </c>
      <c r="R4" s="147">
        <v>0</v>
      </c>
      <c r="S4" s="147">
        <v>1.3999333519223845E-2</v>
      </c>
      <c r="T4" s="147">
        <v>0</v>
      </c>
      <c r="U4" s="147">
        <v>0</v>
      </c>
      <c r="V4" s="147">
        <v>0</v>
      </c>
      <c r="W4" s="147">
        <v>0</v>
      </c>
      <c r="X4" s="147">
        <v>0</v>
      </c>
      <c r="Y4" s="147">
        <v>0</v>
      </c>
      <c r="Z4" s="147">
        <v>0</v>
      </c>
      <c r="AA4" s="147">
        <v>0</v>
      </c>
      <c r="AB4" s="147">
        <v>0</v>
      </c>
      <c r="AC4" s="147">
        <v>0</v>
      </c>
      <c r="AD4" s="147">
        <v>0</v>
      </c>
      <c r="AE4" s="147">
        <v>0</v>
      </c>
      <c r="AF4" s="147">
        <v>0</v>
      </c>
      <c r="AG4" s="147">
        <v>0</v>
      </c>
      <c r="AH4" s="147">
        <v>0</v>
      </c>
      <c r="AI4" s="147">
        <v>0</v>
      </c>
      <c r="AJ4" s="147">
        <v>0</v>
      </c>
      <c r="AK4" s="147">
        <v>0</v>
      </c>
      <c r="AL4" s="147">
        <v>0</v>
      </c>
      <c r="AM4" s="147">
        <v>0</v>
      </c>
      <c r="AN4" s="147">
        <v>0</v>
      </c>
      <c r="AO4" s="147">
        <v>0</v>
      </c>
      <c r="AP4" s="147">
        <v>0</v>
      </c>
      <c r="AQ4" s="147">
        <v>0</v>
      </c>
      <c r="AR4" s="147">
        <v>0</v>
      </c>
      <c r="AS4" s="147">
        <v>0</v>
      </c>
      <c r="AT4" s="147">
        <v>0</v>
      </c>
    </row>
    <row r="5" spans="1:46" customFormat="1" x14ac:dyDescent="0.15">
      <c r="A5" s="185" t="s">
        <v>194</v>
      </c>
      <c r="B5" s="147">
        <v>0</v>
      </c>
      <c r="C5" s="147">
        <v>0</v>
      </c>
      <c r="D5" s="147">
        <v>0</v>
      </c>
      <c r="E5" s="147">
        <v>0</v>
      </c>
      <c r="F5" s="147">
        <v>0</v>
      </c>
      <c r="G5" s="147">
        <v>1.9914866607034952E-4</v>
      </c>
      <c r="H5" s="147">
        <v>0</v>
      </c>
      <c r="I5" s="147">
        <v>0</v>
      </c>
      <c r="J5" s="147">
        <v>0</v>
      </c>
      <c r="K5" s="147">
        <v>0</v>
      </c>
      <c r="L5" s="147">
        <v>0</v>
      </c>
      <c r="M5" s="147">
        <v>0</v>
      </c>
      <c r="N5" s="147">
        <v>0</v>
      </c>
      <c r="O5" s="147">
        <v>0</v>
      </c>
      <c r="P5" s="147">
        <v>0</v>
      </c>
      <c r="Q5" s="147">
        <v>0</v>
      </c>
      <c r="R5" s="147">
        <v>0</v>
      </c>
      <c r="S5" s="147">
        <v>0</v>
      </c>
      <c r="T5" s="147">
        <v>0</v>
      </c>
      <c r="U5" s="147">
        <v>0</v>
      </c>
      <c r="V5" s="147">
        <v>0</v>
      </c>
      <c r="W5" s="147">
        <v>0</v>
      </c>
      <c r="X5" s="147">
        <v>0</v>
      </c>
      <c r="Y5" s="147">
        <v>0</v>
      </c>
      <c r="Z5" s="147">
        <v>0</v>
      </c>
      <c r="AA5" s="147">
        <v>0</v>
      </c>
      <c r="AB5" s="147">
        <v>0</v>
      </c>
      <c r="AC5" s="147">
        <v>0</v>
      </c>
      <c r="AD5" s="147">
        <v>0</v>
      </c>
      <c r="AE5" s="147">
        <v>0</v>
      </c>
      <c r="AF5" s="147">
        <v>0</v>
      </c>
      <c r="AG5" s="147">
        <v>0</v>
      </c>
      <c r="AH5" s="147">
        <v>0</v>
      </c>
      <c r="AI5" s="147">
        <v>0</v>
      </c>
      <c r="AJ5" s="147">
        <v>0</v>
      </c>
      <c r="AK5" s="147">
        <v>0</v>
      </c>
      <c r="AL5" s="147">
        <v>0</v>
      </c>
      <c r="AM5" s="147">
        <v>0</v>
      </c>
      <c r="AN5" s="147">
        <v>0</v>
      </c>
      <c r="AO5" s="147">
        <v>0</v>
      </c>
      <c r="AP5" s="147">
        <v>0</v>
      </c>
      <c r="AQ5" s="147">
        <v>0</v>
      </c>
      <c r="AR5" s="147">
        <v>0</v>
      </c>
      <c r="AS5" s="147">
        <v>0</v>
      </c>
      <c r="AT5" s="147">
        <v>0</v>
      </c>
    </row>
    <row r="6" spans="1:46" customFormat="1" x14ac:dyDescent="0.15">
      <c r="A6" s="185" t="s">
        <v>195</v>
      </c>
      <c r="B6" s="147">
        <v>0</v>
      </c>
      <c r="C6" s="147">
        <v>0</v>
      </c>
      <c r="D6" s="147">
        <v>0</v>
      </c>
      <c r="E6" s="147">
        <v>0</v>
      </c>
      <c r="F6" s="147">
        <v>2.0008327667351271E-2</v>
      </c>
      <c r="G6" s="147">
        <v>5.5595670577972588E-3</v>
      </c>
      <c r="H6" s="147">
        <v>0</v>
      </c>
      <c r="I6" s="147">
        <v>0</v>
      </c>
      <c r="J6" s="147">
        <v>0</v>
      </c>
      <c r="K6" s="147">
        <v>0</v>
      </c>
      <c r="L6" s="147">
        <v>0</v>
      </c>
      <c r="M6" s="147">
        <v>0</v>
      </c>
      <c r="N6" s="147">
        <v>0</v>
      </c>
      <c r="O6" s="147">
        <v>0</v>
      </c>
      <c r="P6" s="147">
        <v>0</v>
      </c>
      <c r="Q6" s="147">
        <v>0</v>
      </c>
      <c r="R6" s="147">
        <v>0</v>
      </c>
      <c r="S6" s="147">
        <v>0</v>
      </c>
      <c r="T6" s="147">
        <v>0</v>
      </c>
      <c r="U6" s="147">
        <v>0</v>
      </c>
      <c r="V6" s="147">
        <v>0</v>
      </c>
      <c r="W6" s="147">
        <v>0</v>
      </c>
      <c r="X6" s="147">
        <v>0</v>
      </c>
      <c r="Y6" s="147">
        <v>0</v>
      </c>
      <c r="Z6" s="147">
        <v>0</v>
      </c>
      <c r="AA6" s="147">
        <v>0</v>
      </c>
      <c r="AB6" s="147">
        <v>0</v>
      </c>
      <c r="AC6" s="147">
        <v>0</v>
      </c>
      <c r="AD6" s="147">
        <v>0</v>
      </c>
      <c r="AE6" s="147">
        <v>0</v>
      </c>
      <c r="AF6" s="147">
        <v>0</v>
      </c>
      <c r="AG6" s="147">
        <v>0</v>
      </c>
      <c r="AH6" s="147">
        <v>0</v>
      </c>
      <c r="AI6" s="147">
        <v>0</v>
      </c>
      <c r="AJ6" s="147">
        <v>0</v>
      </c>
      <c r="AK6" s="147">
        <v>0</v>
      </c>
      <c r="AL6" s="147">
        <v>0</v>
      </c>
      <c r="AM6" s="147">
        <v>0</v>
      </c>
      <c r="AN6" s="147">
        <v>0</v>
      </c>
      <c r="AO6" s="147">
        <v>0</v>
      </c>
      <c r="AP6" s="147">
        <v>0</v>
      </c>
      <c r="AQ6" s="147">
        <v>0</v>
      </c>
      <c r="AR6" s="147">
        <v>0</v>
      </c>
      <c r="AS6" s="147">
        <v>0</v>
      </c>
      <c r="AT6" s="147">
        <v>0</v>
      </c>
    </row>
    <row r="7" spans="1:46" customFormat="1" x14ac:dyDescent="0.15">
      <c r="A7" s="185" t="s">
        <v>196</v>
      </c>
      <c r="B7" s="147">
        <v>0</v>
      </c>
      <c r="C7" s="147">
        <v>0</v>
      </c>
      <c r="D7" s="147">
        <v>0</v>
      </c>
      <c r="E7" s="147">
        <v>0</v>
      </c>
      <c r="F7" s="147">
        <v>0</v>
      </c>
      <c r="G7" s="147">
        <v>5.9744604521104914E-3</v>
      </c>
      <c r="H7" s="147">
        <v>0</v>
      </c>
      <c r="I7" s="147">
        <v>0</v>
      </c>
      <c r="J7" s="147">
        <v>0</v>
      </c>
      <c r="K7" s="147">
        <v>0</v>
      </c>
      <c r="L7" s="147">
        <v>0</v>
      </c>
      <c r="M7" s="147">
        <v>0</v>
      </c>
      <c r="N7" s="147">
        <v>0</v>
      </c>
      <c r="O7" s="147">
        <v>0</v>
      </c>
      <c r="P7" s="147">
        <v>0</v>
      </c>
      <c r="Q7" s="147">
        <v>0</v>
      </c>
      <c r="R7" s="147">
        <v>0</v>
      </c>
      <c r="S7" s="147">
        <v>4.999761971151373E-3</v>
      </c>
      <c r="T7" s="147">
        <v>0</v>
      </c>
      <c r="U7" s="147">
        <v>0</v>
      </c>
      <c r="V7" s="147">
        <v>0</v>
      </c>
      <c r="W7" s="147">
        <v>0</v>
      </c>
      <c r="X7" s="147">
        <v>0</v>
      </c>
      <c r="Y7" s="147">
        <v>0</v>
      </c>
      <c r="Z7" s="147">
        <v>0</v>
      </c>
      <c r="AA7" s="147">
        <v>0</v>
      </c>
      <c r="AB7" s="147">
        <v>0</v>
      </c>
      <c r="AC7" s="147">
        <v>0</v>
      </c>
      <c r="AD7" s="147">
        <v>0</v>
      </c>
      <c r="AE7" s="147">
        <v>0</v>
      </c>
      <c r="AF7" s="147">
        <v>0</v>
      </c>
      <c r="AG7" s="147">
        <v>0</v>
      </c>
      <c r="AH7" s="147">
        <v>0</v>
      </c>
      <c r="AI7" s="147">
        <v>0</v>
      </c>
      <c r="AJ7" s="147">
        <v>0</v>
      </c>
      <c r="AK7" s="147">
        <v>0</v>
      </c>
      <c r="AL7" s="147">
        <v>0</v>
      </c>
      <c r="AM7" s="147">
        <v>0</v>
      </c>
      <c r="AN7" s="147">
        <v>0</v>
      </c>
      <c r="AO7" s="147">
        <v>0</v>
      </c>
      <c r="AP7" s="147">
        <v>0</v>
      </c>
      <c r="AQ7" s="147">
        <v>0</v>
      </c>
      <c r="AR7" s="147">
        <v>0</v>
      </c>
      <c r="AS7" s="147">
        <v>0</v>
      </c>
      <c r="AT7" s="147">
        <v>0</v>
      </c>
    </row>
    <row r="8" spans="1:46" customFormat="1" x14ac:dyDescent="0.15">
      <c r="A8" s="185" t="s">
        <v>197</v>
      </c>
      <c r="B8" s="147">
        <v>0</v>
      </c>
      <c r="C8" s="147">
        <v>0</v>
      </c>
      <c r="D8" s="147">
        <v>0</v>
      </c>
      <c r="E8" s="147">
        <v>0</v>
      </c>
      <c r="F8" s="147">
        <v>1.0004163833675635E-2</v>
      </c>
      <c r="G8" s="147">
        <v>2.0080825508760263E-2</v>
      </c>
      <c r="H8" s="147">
        <v>0</v>
      </c>
      <c r="I8" s="147">
        <v>0</v>
      </c>
      <c r="J8" s="147">
        <v>8.3363866120050368E-4</v>
      </c>
      <c r="K8" s="147">
        <v>0</v>
      </c>
      <c r="L8" s="147">
        <v>0</v>
      </c>
      <c r="M8" s="147">
        <v>0</v>
      </c>
      <c r="N8" s="147">
        <v>0</v>
      </c>
      <c r="O8" s="147">
        <v>0</v>
      </c>
      <c r="P8" s="147">
        <v>0</v>
      </c>
      <c r="Q8" s="147">
        <v>0</v>
      </c>
      <c r="R8" s="147">
        <v>0</v>
      </c>
      <c r="S8" s="147">
        <v>0</v>
      </c>
      <c r="T8" s="147">
        <v>0</v>
      </c>
      <c r="U8" s="147">
        <v>0</v>
      </c>
      <c r="V8" s="147">
        <v>0</v>
      </c>
      <c r="W8" s="147">
        <v>0</v>
      </c>
      <c r="X8" s="147">
        <v>0</v>
      </c>
      <c r="Y8" s="147">
        <v>0</v>
      </c>
      <c r="Z8" s="147">
        <v>0</v>
      </c>
      <c r="AA8" s="147">
        <v>0</v>
      </c>
      <c r="AB8" s="147">
        <v>0</v>
      </c>
      <c r="AC8" s="147">
        <v>0</v>
      </c>
      <c r="AD8" s="147">
        <v>0</v>
      </c>
      <c r="AE8" s="147">
        <v>0</v>
      </c>
      <c r="AF8" s="147">
        <v>0</v>
      </c>
      <c r="AG8" s="147">
        <v>0</v>
      </c>
      <c r="AH8" s="147">
        <v>0</v>
      </c>
      <c r="AI8" s="147">
        <v>0</v>
      </c>
      <c r="AJ8" s="147">
        <v>0</v>
      </c>
      <c r="AK8" s="147">
        <v>0</v>
      </c>
      <c r="AL8" s="147">
        <v>0</v>
      </c>
      <c r="AM8" s="147">
        <v>0</v>
      </c>
      <c r="AN8" s="147">
        <v>0</v>
      </c>
      <c r="AO8" s="147">
        <v>0</v>
      </c>
      <c r="AP8" s="147">
        <v>0</v>
      </c>
      <c r="AQ8" s="147">
        <v>0</v>
      </c>
      <c r="AR8" s="147">
        <v>0</v>
      </c>
      <c r="AS8" s="147">
        <v>0</v>
      </c>
      <c r="AT8" s="147">
        <v>0</v>
      </c>
    </row>
    <row r="9" spans="1:46" customFormat="1" x14ac:dyDescent="0.15">
      <c r="A9" s="185" t="s">
        <v>198</v>
      </c>
      <c r="B9" s="147">
        <v>0</v>
      </c>
      <c r="C9" s="147">
        <v>0</v>
      </c>
      <c r="D9" s="147">
        <v>0</v>
      </c>
      <c r="E9" s="147">
        <v>0</v>
      </c>
      <c r="F9" s="147">
        <v>4.0016660534702613E-3</v>
      </c>
      <c r="G9" s="147">
        <v>1.9914867607034967E-2</v>
      </c>
      <c r="H9" s="147">
        <v>0</v>
      </c>
      <c r="I9" s="147">
        <v>0</v>
      </c>
      <c r="J9" s="147">
        <v>0</v>
      </c>
      <c r="K9" s="147">
        <v>0</v>
      </c>
      <c r="L9" s="147">
        <v>3.3988105136367264E-3</v>
      </c>
      <c r="M9" s="147">
        <v>0</v>
      </c>
      <c r="N9" s="147">
        <v>0</v>
      </c>
      <c r="O9" s="147">
        <v>0</v>
      </c>
      <c r="P9" s="147">
        <v>0</v>
      </c>
      <c r="Q9" s="147">
        <v>0</v>
      </c>
      <c r="R9" s="147">
        <v>0</v>
      </c>
      <c r="S9" s="147">
        <v>0</v>
      </c>
      <c r="T9" s="147">
        <v>0</v>
      </c>
      <c r="U9" s="147">
        <v>0</v>
      </c>
      <c r="V9" s="147">
        <v>0</v>
      </c>
      <c r="W9" s="147">
        <v>0</v>
      </c>
      <c r="X9" s="147">
        <v>0</v>
      </c>
      <c r="Y9" s="147">
        <v>0</v>
      </c>
      <c r="Z9" s="147">
        <v>0</v>
      </c>
      <c r="AA9" s="147">
        <v>0</v>
      </c>
      <c r="AB9" s="147">
        <v>0</v>
      </c>
      <c r="AC9" s="147">
        <v>0</v>
      </c>
      <c r="AD9" s="147">
        <v>0</v>
      </c>
      <c r="AE9" s="147">
        <v>0</v>
      </c>
      <c r="AF9" s="147">
        <v>0</v>
      </c>
      <c r="AG9" s="147">
        <v>0</v>
      </c>
      <c r="AH9" s="147">
        <v>0</v>
      </c>
      <c r="AI9" s="147">
        <v>0</v>
      </c>
      <c r="AJ9" s="147">
        <v>0</v>
      </c>
      <c r="AK9" s="147">
        <v>0</v>
      </c>
      <c r="AL9" s="147">
        <v>0</v>
      </c>
      <c r="AM9" s="147">
        <v>0</v>
      </c>
      <c r="AN9" s="147">
        <v>0</v>
      </c>
      <c r="AO9" s="147">
        <v>0</v>
      </c>
      <c r="AP9" s="147">
        <v>0</v>
      </c>
      <c r="AQ9" s="147">
        <v>0</v>
      </c>
      <c r="AR9" s="147">
        <v>0</v>
      </c>
      <c r="AS9" s="147">
        <v>0</v>
      </c>
      <c r="AT9" s="147">
        <v>0</v>
      </c>
    </row>
    <row r="10" spans="1:46" customFormat="1" x14ac:dyDescent="0.15">
      <c r="A10" s="185" t="s">
        <v>199</v>
      </c>
      <c r="B10" s="147">
        <v>0</v>
      </c>
      <c r="C10" s="147">
        <v>0</v>
      </c>
      <c r="D10" s="147">
        <v>0</v>
      </c>
      <c r="E10" s="147">
        <v>0</v>
      </c>
      <c r="F10" s="147">
        <v>2.1279690284339219E-2</v>
      </c>
      <c r="G10" s="147">
        <v>6.8664770713838959E-4</v>
      </c>
      <c r="H10" s="147">
        <v>0</v>
      </c>
      <c r="I10" s="147">
        <v>0</v>
      </c>
      <c r="J10" s="147">
        <v>0</v>
      </c>
      <c r="K10" s="147">
        <v>0</v>
      </c>
      <c r="L10" s="147">
        <v>0</v>
      </c>
      <c r="M10" s="147">
        <v>0</v>
      </c>
      <c r="N10" s="147">
        <v>0</v>
      </c>
      <c r="O10" s="147">
        <v>0</v>
      </c>
      <c r="P10" s="147">
        <v>0</v>
      </c>
      <c r="Q10" s="147">
        <v>0</v>
      </c>
      <c r="R10" s="147">
        <v>0</v>
      </c>
      <c r="S10" s="147">
        <v>0</v>
      </c>
      <c r="T10" s="147">
        <v>0</v>
      </c>
      <c r="U10" s="147">
        <v>0</v>
      </c>
      <c r="V10" s="147">
        <v>0</v>
      </c>
      <c r="W10" s="147">
        <v>0</v>
      </c>
      <c r="X10" s="147">
        <v>0</v>
      </c>
      <c r="Y10" s="147">
        <v>0</v>
      </c>
      <c r="Z10" s="147">
        <v>0</v>
      </c>
      <c r="AA10" s="147">
        <v>0</v>
      </c>
      <c r="AB10" s="147">
        <v>0</v>
      </c>
      <c r="AC10" s="147">
        <v>0</v>
      </c>
      <c r="AD10" s="147">
        <v>0</v>
      </c>
      <c r="AE10" s="147">
        <v>0</v>
      </c>
      <c r="AF10" s="147">
        <v>0</v>
      </c>
      <c r="AG10" s="147">
        <v>0</v>
      </c>
      <c r="AH10" s="147">
        <v>0</v>
      </c>
      <c r="AI10" s="147">
        <v>0</v>
      </c>
      <c r="AJ10" s="147">
        <v>0</v>
      </c>
      <c r="AK10" s="147">
        <v>0</v>
      </c>
      <c r="AL10" s="147">
        <v>0</v>
      </c>
      <c r="AM10" s="147">
        <v>0</v>
      </c>
      <c r="AN10" s="147">
        <v>0</v>
      </c>
      <c r="AO10" s="147">
        <v>0</v>
      </c>
      <c r="AP10" s="147">
        <v>0</v>
      </c>
      <c r="AQ10" s="147">
        <v>0</v>
      </c>
      <c r="AR10" s="147">
        <v>0</v>
      </c>
      <c r="AS10" s="147">
        <v>0</v>
      </c>
      <c r="AT10" s="147">
        <v>0</v>
      </c>
    </row>
    <row r="11" spans="1:46" customFormat="1" x14ac:dyDescent="0.15">
      <c r="A11" s="185" t="s">
        <v>200</v>
      </c>
      <c r="B11" s="147">
        <v>0</v>
      </c>
      <c r="C11" s="147">
        <v>6.0000000000000001E-3</v>
      </c>
      <c r="D11" s="147">
        <v>0</v>
      </c>
      <c r="E11" s="147">
        <v>0</v>
      </c>
      <c r="F11" s="147">
        <v>1.3370148978651929E-2</v>
      </c>
      <c r="G11" s="147">
        <v>1.4936150155276218E-2</v>
      </c>
      <c r="H11" s="147">
        <v>0</v>
      </c>
      <c r="I11" s="147">
        <v>0</v>
      </c>
      <c r="J11" s="147">
        <v>0</v>
      </c>
      <c r="K11" s="147">
        <v>0</v>
      </c>
      <c r="L11" s="147">
        <v>1.9993001621392507E-2</v>
      </c>
      <c r="M11" s="147">
        <v>0</v>
      </c>
      <c r="N11" s="147">
        <v>0</v>
      </c>
      <c r="O11" s="147">
        <v>0</v>
      </c>
      <c r="P11" s="147">
        <v>0</v>
      </c>
      <c r="Q11" s="147">
        <v>0</v>
      </c>
      <c r="R11" s="147">
        <v>0</v>
      </c>
      <c r="S11" s="147">
        <v>0</v>
      </c>
      <c r="T11" s="147">
        <v>0</v>
      </c>
      <c r="U11" s="147">
        <v>0</v>
      </c>
      <c r="V11" s="147">
        <v>0</v>
      </c>
      <c r="W11" s="147">
        <v>0</v>
      </c>
      <c r="X11" s="147">
        <v>0</v>
      </c>
      <c r="Y11" s="147">
        <v>0</v>
      </c>
      <c r="Z11" s="147">
        <v>0</v>
      </c>
      <c r="AA11" s="147">
        <v>0</v>
      </c>
      <c r="AB11" s="147">
        <v>0</v>
      </c>
      <c r="AC11" s="147">
        <v>0</v>
      </c>
      <c r="AD11" s="147">
        <v>0</v>
      </c>
      <c r="AE11" s="147">
        <v>0</v>
      </c>
      <c r="AF11" s="147">
        <v>0</v>
      </c>
      <c r="AG11" s="147">
        <v>0</v>
      </c>
      <c r="AH11" s="147">
        <v>0</v>
      </c>
      <c r="AI11" s="147">
        <v>0</v>
      </c>
      <c r="AJ11" s="147">
        <v>0</v>
      </c>
      <c r="AK11" s="147">
        <v>0</v>
      </c>
      <c r="AL11" s="147">
        <v>0</v>
      </c>
      <c r="AM11" s="147">
        <v>0</v>
      </c>
      <c r="AN11" s="147">
        <v>0</v>
      </c>
      <c r="AO11" s="147">
        <v>0</v>
      </c>
      <c r="AP11" s="147">
        <v>0</v>
      </c>
      <c r="AQ11" s="147">
        <v>0</v>
      </c>
      <c r="AR11" s="147">
        <v>0</v>
      </c>
      <c r="AS11" s="147">
        <v>0</v>
      </c>
      <c r="AT11" s="147">
        <v>0</v>
      </c>
    </row>
    <row r="12" spans="1:46" customFormat="1" x14ac:dyDescent="0.15">
      <c r="A12" s="185" t="s">
        <v>201</v>
      </c>
      <c r="B12" s="147">
        <v>3.2967028658241936E-2</v>
      </c>
      <c r="C12" s="147">
        <v>0.01</v>
      </c>
      <c r="D12" s="147">
        <v>0</v>
      </c>
      <c r="E12" s="147">
        <v>1.2E-2</v>
      </c>
      <c r="F12" s="147">
        <v>9.7040391296653691E-2</v>
      </c>
      <c r="G12" s="147">
        <v>2.9872300310552435E-2</v>
      </c>
      <c r="H12" s="147">
        <v>0</v>
      </c>
      <c r="I12" s="147">
        <v>0</v>
      </c>
      <c r="J12" s="147">
        <v>0</v>
      </c>
      <c r="K12" s="147">
        <v>0</v>
      </c>
      <c r="L12" s="147">
        <v>5.0182435753695189E-3</v>
      </c>
      <c r="M12" s="147">
        <v>0</v>
      </c>
      <c r="N12" s="147">
        <v>0</v>
      </c>
      <c r="O12" s="147">
        <v>0</v>
      </c>
      <c r="P12" s="147">
        <v>0</v>
      </c>
      <c r="Q12" s="147">
        <v>0</v>
      </c>
      <c r="R12" s="147">
        <v>0</v>
      </c>
      <c r="S12" s="147">
        <v>0</v>
      </c>
      <c r="T12" s="147">
        <v>0</v>
      </c>
      <c r="U12" s="147">
        <v>0</v>
      </c>
      <c r="V12" s="147">
        <v>0</v>
      </c>
      <c r="W12" s="147">
        <v>0</v>
      </c>
      <c r="X12" s="147">
        <v>0</v>
      </c>
      <c r="Y12" s="147">
        <v>0</v>
      </c>
      <c r="Z12" s="147">
        <v>0</v>
      </c>
      <c r="AA12" s="147">
        <v>0</v>
      </c>
      <c r="AB12" s="147">
        <v>0</v>
      </c>
      <c r="AC12" s="147">
        <v>0</v>
      </c>
      <c r="AD12" s="147">
        <v>0</v>
      </c>
      <c r="AE12" s="147">
        <v>0</v>
      </c>
      <c r="AF12" s="147">
        <v>0</v>
      </c>
      <c r="AG12" s="147">
        <v>0</v>
      </c>
      <c r="AH12" s="147">
        <v>0</v>
      </c>
      <c r="AI12" s="147">
        <v>0</v>
      </c>
      <c r="AJ12" s="147">
        <v>0</v>
      </c>
      <c r="AK12" s="147">
        <v>0</v>
      </c>
      <c r="AL12" s="147">
        <v>0</v>
      </c>
      <c r="AM12" s="147">
        <v>0</v>
      </c>
      <c r="AN12" s="147">
        <v>0</v>
      </c>
      <c r="AO12" s="147">
        <v>0</v>
      </c>
      <c r="AP12" s="147">
        <v>0</v>
      </c>
      <c r="AQ12" s="147">
        <v>0</v>
      </c>
      <c r="AR12" s="147">
        <v>0</v>
      </c>
      <c r="AS12" s="147">
        <v>0</v>
      </c>
      <c r="AT12" s="147">
        <v>0</v>
      </c>
    </row>
    <row r="13" spans="1:46" customFormat="1" x14ac:dyDescent="0.15">
      <c r="A13" s="185" t="s">
        <v>202</v>
      </c>
      <c r="B13" s="147">
        <v>3.2967028658241936E-2</v>
      </c>
      <c r="C13" s="147">
        <v>1.2999999999999999E-2</v>
      </c>
      <c r="D13" s="147">
        <v>0</v>
      </c>
      <c r="E13" s="147">
        <v>0.08</v>
      </c>
      <c r="F13" s="147">
        <v>5.1199883884132838E-2</v>
      </c>
      <c r="G13" s="147">
        <v>0.11948920124220974</v>
      </c>
      <c r="H13" s="147">
        <v>7.8374800807260434E-2</v>
      </c>
      <c r="I13" s="147">
        <v>0.16708483136508845</v>
      </c>
      <c r="J13" s="147">
        <v>8.0029346787248698E-2</v>
      </c>
      <c r="K13" s="147">
        <v>0.18803332602222667</v>
      </c>
      <c r="L13" s="147">
        <v>0.43984603947063516</v>
      </c>
      <c r="M13" s="147">
        <v>3.8199999579800005E-2</v>
      </c>
      <c r="N13" s="147">
        <v>0</v>
      </c>
      <c r="O13" s="147">
        <v>7.0000000000000007E-2</v>
      </c>
      <c r="P13" s="147">
        <v>1.999555704801155E-2</v>
      </c>
      <c r="Q13" s="147">
        <v>0.11495402509771092</v>
      </c>
      <c r="R13" s="147">
        <v>0</v>
      </c>
      <c r="S13" s="147">
        <v>0.13499358222108704</v>
      </c>
      <c r="T13" s="147">
        <v>5.5555554900000005E-2</v>
      </c>
      <c r="U13" s="147">
        <v>0</v>
      </c>
      <c r="V13" s="147">
        <v>0</v>
      </c>
      <c r="W13" s="147">
        <v>0</v>
      </c>
      <c r="X13" s="147">
        <v>2.7777777833333329E-2</v>
      </c>
      <c r="Y13" s="147">
        <v>0</v>
      </c>
      <c r="Z13" s="147">
        <v>9.722222383194444E-2</v>
      </c>
      <c r="AA13" s="147">
        <v>0.16661113258413859</v>
      </c>
      <c r="AB13" s="147">
        <v>7.4937368162694661E-3</v>
      </c>
      <c r="AC13" s="147">
        <v>4.4357270100824076E-2</v>
      </c>
      <c r="AD13" s="147">
        <v>0</v>
      </c>
      <c r="AE13" s="147">
        <v>6.0058104713845921E-2</v>
      </c>
      <c r="AF13" s="147">
        <v>0</v>
      </c>
      <c r="AG13" s="147">
        <v>0</v>
      </c>
      <c r="AH13" s="147">
        <v>0</v>
      </c>
      <c r="AI13" s="147">
        <v>1.9994048795882166E-2</v>
      </c>
      <c r="AJ13" s="147">
        <v>9.523810000000002E-2</v>
      </c>
      <c r="AK13" s="147">
        <v>0</v>
      </c>
      <c r="AL13" s="147">
        <v>0</v>
      </c>
      <c r="AM13" s="147">
        <v>5.0563843366624277E-2</v>
      </c>
      <c r="AN13" s="147">
        <v>0</v>
      </c>
      <c r="AO13" s="147">
        <v>0</v>
      </c>
      <c r="AP13" s="147">
        <v>0</v>
      </c>
      <c r="AQ13" s="147">
        <v>0</v>
      </c>
      <c r="AR13" s="147">
        <v>0</v>
      </c>
      <c r="AS13" s="147">
        <v>0</v>
      </c>
      <c r="AT13" s="147">
        <v>0</v>
      </c>
    </row>
    <row r="14" spans="1:46" customFormat="1" x14ac:dyDescent="0.15">
      <c r="A14" s="185" t="s">
        <v>203</v>
      </c>
      <c r="B14" s="147">
        <v>0</v>
      </c>
      <c r="C14" s="147">
        <v>6.0000000000000001E-3</v>
      </c>
      <c r="D14" s="147">
        <v>0</v>
      </c>
      <c r="E14" s="147">
        <v>3.9E-2</v>
      </c>
      <c r="F14" s="147">
        <v>0</v>
      </c>
      <c r="G14" s="147">
        <v>1.0953176913869229E-2</v>
      </c>
      <c r="H14" s="147">
        <v>0</v>
      </c>
      <c r="I14" s="147">
        <v>2.0007394702948923E-2</v>
      </c>
      <c r="J14" s="147">
        <v>0</v>
      </c>
      <c r="K14" s="147">
        <v>2.7499999856999996E-2</v>
      </c>
      <c r="L14" s="147">
        <v>3.898635514171539E-2</v>
      </c>
      <c r="M14" s="147">
        <v>0</v>
      </c>
      <c r="N14" s="147">
        <v>0</v>
      </c>
      <c r="O14" s="147">
        <v>0</v>
      </c>
      <c r="P14" s="147">
        <v>0</v>
      </c>
      <c r="Q14" s="147">
        <v>1.3489841511466365E-2</v>
      </c>
      <c r="R14" s="147">
        <v>7.1428573014285679E-2</v>
      </c>
      <c r="S14" s="147">
        <v>9.1067089474542885E-3</v>
      </c>
      <c r="T14" s="147">
        <v>5.5555554900000005E-2</v>
      </c>
      <c r="U14" s="147">
        <v>4.1673612096182693E-2</v>
      </c>
      <c r="V14" s="147">
        <v>0</v>
      </c>
      <c r="W14" s="147">
        <v>0</v>
      </c>
      <c r="X14" s="147">
        <v>2.7777777833333329E-2</v>
      </c>
      <c r="Y14" s="147">
        <v>0</v>
      </c>
      <c r="Z14" s="147">
        <v>9.722222383194444E-2</v>
      </c>
      <c r="AA14" s="147">
        <v>0.16661113258413859</v>
      </c>
      <c r="AB14" s="147">
        <v>7.4937368162694661E-3</v>
      </c>
      <c r="AC14" s="147">
        <v>8.5975170195421568E-3</v>
      </c>
      <c r="AD14" s="147">
        <v>0</v>
      </c>
      <c r="AE14" s="147">
        <v>0</v>
      </c>
      <c r="AF14" s="147">
        <v>0</v>
      </c>
      <c r="AG14" s="147">
        <v>0</v>
      </c>
      <c r="AH14" s="147">
        <v>0</v>
      </c>
      <c r="AI14" s="147">
        <v>0</v>
      </c>
      <c r="AJ14" s="147">
        <v>0</v>
      </c>
      <c r="AK14" s="147">
        <v>0</v>
      </c>
      <c r="AL14" s="147">
        <v>0</v>
      </c>
      <c r="AM14" s="147">
        <v>0</v>
      </c>
      <c r="AN14" s="147">
        <v>0</v>
      </c>
      <c r="AO14" s="147">
        <v>0</v>
      </c>
      <c r="AP14" s="147">
        <v>0</v>
      </c>
      <c r="AQ14" s="147">
        <v>0</v>
      </c>
      <c r="AR14" s="147">
        <v>0</v>
      </c>
      <c r="AS14" s="147">
        <v>0</v>
      </c>
      <c r="AT14" s="147">
        <v>0</v>
      </c>
    </row>
    <row r="15" spans="1:46" customFormat="1" x14ac:dyDescent="0.15">
      <c r="A15" s="185" t="s">
        <v>204</v>
      </c>
      <c r="B15" s="147">
        <v>0</v>
      </c>
      <c r="C15" s="147">
        <v>0</v>
      </c>
      <c r="D15" s="147">
        <v>0</v>
      </c>
      <c r="E15" s="147">
        <v>7.0000000000000001E-3</v>
      </c>
      <c r="F15" s="147">
        <v>7.9783211066063245E-2</v>
      </c>
      <c r="G15" s="147">
        <v>0</v>
      </c>
      <c r="H15" s="147">
        <v>0</v>
      </c>
      <c r="I15" s="147">
        <v>1.925711748783834E-2</v>
      </c>
      <c r="J15" s="147">
        <v>5.0810296599820892E-2</v>
      </c>
      <c r="K15" s="147">
        <v>0</v>
      </c>
      <c r="L15" s="147">
        <v>0</v>
      </c>
      <c r="M15" s="147">
        <v>0</v>
      </c>
      <c r="N15" s="147">
        <v>0</v>
      </c>
      <c r="O15" s="147">
        <v>2.5000000000000001E-2</v>
      </c>
      <c r="P15" s="147">
        <v>0</v>
      </c>
      <c r="Q15" s="147">
        <v>0</v>
      </c>
      <c r="R15" s="147">
        <v>0</v>
      </c>
      <c r="S15" s="147">
        <v>0</v>
      </c>
      <c r="T15" s="147">
        <v>0</v>
      </c>
      <c r="U15" s="147">
        <v>0</v>
      </c>
      <c r="V15" s="147">
        <v>0</v>
      </c>
      <c r="W15" s="147">
        <v>0</v>
      </c>
      <c r="X15" s="147">
        <v>0</v>
      </c>
      <c r="Y15" s="147">
        <v>0</v>
      </c>
      <c r="Z15" s="147">
        <v>0</v>
      </c>
      <c r="AA15" s="147">
        <v>0</v>
      </c>
      <c r="AB15" s="147">
        <v>0</v>
      </c>
      <c r="AC15" s="147">
        <v>0</v>
      </c>
      <c r="AD15" s="147">
        <v>0</v>
      </c>
      <c r="AE15" s="147">
        <v>0</v>
      </c>
      <c r="AF15" s="147">
        <v>0</v>
      </c>
      <c r="AG15" s="147">
        <v>0</v>
      </c>
      <c r="AH15" s="147">
        <v>0</v>
      </c>
      <c r="AI15" s="147">
        <v>0</v>
      </c>
      <c r="AJ15" s="147">
        <v>0</v>
      </c>
      <c r="AK15" s="147">
        <v>0</v>
      </c>
      <c r="AL15" s="147">
        <v>0</v>
      </c>
      <c r="AM15" s="147">
        <v>0</v>
      </c>
      <c r="AN15" s="147">
        <v>0</v>
      </c>
      <c r="AO15" s="147">
        <v>0</v>
      </c>
      <c r="AP15" s="147">
        <v>0</v>
      </c>
      <c r="AQ15" s="147">
        <v>0</v>
      </c>
      <c r="AR15" s="147">
        <v>0</v>
      </c>
      <c r="AS15" s="147">
        <v>0</v>
      </c>
      <c r="AT15" s="147">
        <v>0</v>
      </c>
    </row>
    <row r="16" spans="1:46" customFormat="1" x14ac:dyDescent="0.15">
      <c r="A16" s="185" t="s">
        <v>205</v>
      </c>
      <c r="B16" s="147">
        <v>3.2967028658241936E-2</v>
      </c>
      <c r="C16" s="147">
        <v>1.0999999999999999E-2</v>
      </c>
      <c r="D16" s="147">
        <v>0</v>
      </c>
      <c r="E16" s="147">
        <v>0.1</v>
      </c>
      <c r="F16" s="147">
        <v>5.3635065216671739E-2</v>
      </c>
      <c r="G16" s="147">
        <v>3.6984607984491984E-2</v>
      </c>
      <c r="H16" s="147">
        <v>5.3361560549624069E-3</v>
      </c>
      <c r="I16" s="147">
        <v>8.2030321652090663E-2</v>
      </c>
      <c r="J16" s="147">
        <v>0.22418219120528024</v>
      </c>
      <c r="K16" s="147">
        <v>0.25966667964973322</v>
      </c>
      <c r="L16" s="147">
        <v>1.9993001621392507E-2</v>
      </c>
      <c r="M16" s="147">
        <v>0</v>
      </c>
      <c r="N16" s="147">
        <v>0</v>
      </c>
      <c r="O16" s="147">
        <v>0.29499999999999998</v>
      </c>
      <c r="P16" s="147">
        <v>6.6651859826705167E-3</v>
      </c>
      <c r="Q16" s="147">
        <v>0</v>
      </c>
      <c r="R16" s="147">
        <v>0</v>
      </c>
      <c r="S16" s="147">
        <v>0</v>
      </c>
      <c r="T16" s="147">
        <v>0</v>
      </c>
      <c r="U16" s="147">
        <v>0</v>
      </c>
      <c r="V16" s="147">
        <v>0</v>
      </c>
      <c r="W16" s="147">
        <v>0</v>
      </c>
      <c r="X16" s="147">
        <v>0</v>
      </c>
      <c r="Y16" s="147">
        <v>0</v>
      </c>
      <c r="Z16" s="147">
        <v>0</v>
      </c>
      <c r="AA16" s="147">
        <v>0</v>
      </c>
      <c r="AB16" s="147">
        <v>7.4937368162694661E-3</v>
      </c>
      <c r="AC16" s="147">
        <v>5.498732012498618E-2</v>
      </c>
      <c r="AD16" s="147">
        <v>0</v>
      </c>
      <c r="AE16" s="147">
        <v>1.040467232915528E-2</v>
      </c>
      <c r="AF16" s="147">
        <v>0</v>
      </c>
      <c r="AG16" s="147">
        <v>5.0020010280112055E-2</v>
      </c>
      <c r="AH16" s="147">
        <v>0</v>
      </c>
      <c r="AI16" s="147">
        <v>4.8556950961427627E-4</v>
      </c>
      <c r="AJ16" s="147">
        <v>0</v>
      </c>
      <c r="AK16" s="147">
        <v>0</v>
      </c>
      <c r="AL16" s="147">
        <v>0</v>
      </c>
      <c r="AM16" s="147">
        <v>3.0010913351773378E-2</v>
      </c>
      <c r="AN16" s="147">
        <v>0</v>
      </c>
      <c r="AO16" s="147">
        <v>0</v>
      </c>
      <c r="AP16" s="147">
        <v>0</v>
      </c>
      <c r="AQ16" s="147">
        <v>0</v>
      </c>
      <c r="AR16" s="147">
        <v>0</v>
      </c>
      <c r="AS16" s="147">
        <v>0</v>
      </c>
      <c r="AT16" s="147">
        <v>0</v>
      </c>
    </row>
    <row r="17" spans="1:46" customFormat="1" x14ac:dyDescent="0.15">
      <c r="A17" s="185" t="s">
        <v>206</v>
      </c>
      <c r="B17" s="147">
        <v>0</v>
      </c>
      <c r="C17" s="147">
        <v>5.0000000000000001E-3</v>
      </c>
      <c r="D17" s="147">
        <v>0</v>
      </c>
      <c r="E17" s="147">
        <v>0</v>
      </c>
      <c r="F17" s="147">
        <v>1.0004163833675635E-2</v>
      </c>
      <c r="G17" s="147">
        <v>5.9744600621104871E-2</v>
      </c>
      <c r="H17" s="147">
        <v>0</v>
      </c>
      <c r="I17" s="147">
        <v>1.0003697301474462E-2</v>
      </c>
      <c r="J17" s="147">
        <v>5.0018340492030425E-2</v>
      </c>
      <c r="K17" s="147">
        <v>0</v>
      </c>
      <c r="L17" s="147">
        <v>0</v>
      </c>
      <c r="M17" s="147">
        <v>0</v>
      </c>
      <c r="N17" s="147">
        <v>0</v>
      </c>
      <c r="O17" s="147">
        <v>0</v>
      </c>
      <c r="P17" s="147">
        <v>0</v>
      </c>
      <c r="Q17" s="147">
        <v>9.9960020084966014E-3</v>
      </c>
      <c r="R17" s="147">
        <v>0</v>
      </c>
      <c r="S17" s="147">
        <v>2.9998569826908249E-2</v>
      </c>
      <c r="T17" s="147">
        <v>0</v>
      </c>
      <c r="U17" s="147">
        <v>0</v>
      </c>
      <c r="V17" s="147">
        <v>0</v>
      </c>
      <c r="W17" s="147">
        <v>0</v>
      </c>
      <c r="X17" s="147">
        <v>0</v>
      </c>
      <c r="Y17" s="147">
        <v>0</v>
      </c>
      <c r="Z17" s="147">
        <v>0</v>
      </c>
      <c r="AA17" s="147">
        <v>0</v>
      </c>
      <c r="AB17" s="147">
        <v>0</v>
      </c>
      <c r="AC17" s="147">
        <v>0</v>
      </c>
      <c r="AD17" s="147">
        <v>0</v>
      </c>
      <c r="AE17" s="147">
        <v>0</v>
      </c>
      <c r="AF17" s="147">
        <v>0</v>
      </c>
      <c r="AG17" s="147">
        <v>0</v>
      </c>
      <c r="AH17" s="147">
        <v>0</v>
      </c>
      <c r="AI17" s="147">
        <v>0</v>
      </c>
      <c r="AJ17" s="147">
        <v>0</v>
      </c>
      <c r="AK17" s="147">
        <v>0</v>
      </c>
      <c r="AL17" s="147">
        <v>0</v>
      </c>
      <c r="AM17" s="147">
        <v>0</v>
      </c>
      <c r="AN17" s="147">
        <v>0</v>
      </c>
      <c r="AO17" s="147">
        <v>0</v>
      </c>
      <c r="AP17" s="147">
        <v>0</v>
      </c>
      <c r="AQ17" s="147">
        <v>0</v>
      </c>
      <c r="AR17" s="147">
        <v>0</v>
      </c>
      <c r="AS17" s="147">
        <v>0</v>
      </c>
      <c r="AT17" s="147">
        <v>0</v>
      </c>
    </row>
    <row r="18" spans="1:46" customFormat="1" x14ac:dyDescent="0.15">
      <c r="A18" s="185" t="s">
        <v>207</v>
      </c>
      <c r="B18" s="147">
        <v>0</v>
      </c>
      <c r="C18" s="147">
        <v>0</v>
      </c>
      <c r="D18" s="147">
        <v>0</v>
      </c>
      <c r="E18" s="147">
        <v>0</v>
      </c>
      <c r="F18" s="147">
        <v>0</v>
      </c>
      <c r="G18" s="147">
        <v>9.9574341035174856E-3</v>
      </c>
      <c r="H18" s="147">
        <v>0</v>
      </c>
      <c r="I18" s="147">
        <v>1.0003698001474475E-3</v>
      </c>
      <c r="J18" s="147">
        <v>0</v>
      </c>
      <c r="K18" s="147">
        <v>0</v>
      </c>
      <c r="L18" s="147">
        <v>0</v>
      </c>
      <c r="M18" s="147">
        <v>0</v>
      </c>
      <c r="N18" s="147">
        <v>0</v>
      </c>
      <c r="O18" s="147">
        <v>0.01</v>
      </c>
      <c r="P18" s="147">
        <v>0</v>
      </c>
      <c r="Q18" s="147">
        <v>0</v>
      </c>
      <c r="R18" s="147">
        <v>0</v>
      </c>
      <c r="S18" s="147">
        <v>1.9999048584605486E-3</v>
      </c>
      <c r="T18" s="147">
        <v>0</v>
      </c>
      <c r="U18" s="147">
        <v>0</v>
      </c>
      <c r="V18" s="147">
        <v>0</v>
      </c>
      <c r="W18" s="147">
        <v>0</v>
      </c>
      <c r="X18" s="147">
        <v>0</v>
      </c>
      <c r="Y18" s="147">
        <v>0</v>
      </c>
      <c r="Z18" s="147">
        <v>0</v>
      </c>
      <c r="AA18" s="147">
        <v>0</v>
      </c>
      <c r="AB18" s="147">
        <v>0</v>
      </c>
      <c r="AC18" s="147">
        <v>0</v>
      </c>
      <c r="AD18" s="147">
        <v>0</v>
      </c>
      <c r="AE18" s="147">
        <v>0</v>
      </c>
      <c r="AF18" s="147">
        <v>0</v>
      </c>
      <c r="AG18" s="147">
        <v>0</v>
      </c>
      <c r="AH18" s="147">
        <v>0</v>
      </c>
      <c r="AI18" s="147">
        <v>0</v>
      </c>
      <c r="AJ18" s="147">
        <v>0</v>
      </c>
      <c r="AK18" s="147">
        <v>0</v>
      </c>
      <c r="AL18" s="147">
        <v>0</v>
      </c>
      <c r="AM18" s="147">
        <v>0</v>
      </c>
      <c r="AN18" s="147">
        <v>0</v>
      </c>
      <c r="AO18" s="147">
        <v>0</v>
      </c>
      <c r="AP18" s="147">
        <v>0</v>
      </c>
      <c r="AQ18" s="147">
        <v>0</v>
      </c>
      <c r="AR18" s="147">
        <v>0</v>
      </c>
      <c r="AS18" s="147">
        <v>0</v>
      </c>
      <c r="AT18" s="147">
        <v>0</v>
      </c>
    </row>
    <row r="19" spans="1:46" customFormat="1" x14ac:dyDescent="0.15">
      <c r="A19" s="185" t="s">
        <v>208</v>
      </c>
      <c r="B19" s="147">
        <v>0</v>
      </c>
      <c r="C19" s="147">
        <v>2E-3</v>
      </c>
      <c r="D19" s="147">
        <v>0</v>
      </c>
      <c r="E19" s="147">
        <v>0</v>
      </c>
      <c r="F19" s="147">
        <v>0</v>
      </c>
      <c r="G19" s="147">
        <v>9.9574341035174856E-3</v>
      </c>
      <c r="H19" s="147">
        <v>0</v>
      </c>
      <c r="I19" s="147">
        <v>1.0003697301474462E-2</v>
      </c>
      <c r="J19" s="147">
        <v>2.3341890229614175E-3</v>
      </c>
      <c r="K19" s="147">
        <v>0</v>
      </c>
      <c r="L19" s="147">
        <v>2.9989503332088763E-2</v>
      </c>
      <c r="M19" s="147">
        <v>0</v>
      </c>
      <c r="N19" s="147">
        <v>0</v>
      </c>
      <c r="O19" s="147">
        <v>0</v>
      </c>
      <c r="P19" s="147">
        <v>0</v>
      </c>
      <c r="Q19" s="147">
        <v>3.941281003350088E-3</v>
      </c>
      <c r="R19" s="147">
        <v>0</v>
      </c>
      <c r="S19" s="147">
        <v>0</v>
      </c>
      <c r="T19" s="147">
        <v>0</v>
      </c>
      <c r="U19" s="147">
        <v>0</v>
      </c>
      <c r="V19" s="147">
        <v>0</v>
      </c>
      <c r="W19" s="147">
        <v>0</v>
      </c>
      <c r="X19" s="147">
        <v>0</v>
      </c>
      <c r="Y19" s="147">
        <v>0</v>
      </c>
      <c r="Z19" s="147">
        <v>0</v>
      </c>
      <c r="AA19" s="147">
        <v>0</v>
      </c>
      <c r="AB19" s="147">
        <v>0</v>
      </c>
      <c r="AC19" s="147">
        <v>0</v>
      </c>
      <c r="AD19" s="147">
        <v>0</v>
      </c>
      <c r="AE19" s="147">
        <v>0</v>
      </c>
      <c r="AF19" s="147">
        <v>0</v>
      </c>
      <c r="AG19" s="147">
        <v>0</v>
      </c>
      <c r="AH19" s="147">
        <v>0</v>
      </c>
      <c r="AI19" s="147">
        <v>0</v>
      </c>
      <c r="AJ19" s="147">
        <v>0</v>
      </c>
      <c r="AK19" s="147">
        <v>0</v>
      </c>
      <c r="AL19" s="147">
        <v>0</v>
      </c>
      <c r="AM19" s="147">
        <v>0</v>
      </c>
      <c r="AN19" s="147">
        <v>0</v>
      </c>
      <c r="AO19" s="147">
        <v>0</v>
      </c>
      <c r="AP19" s="147">
        <v>0</v>
      </c>
      <c r="AQ19" s="147">
        <v>0</v>
      </c>
      <c r="AR19" s="147">
        <v>0</v>
      </c>
      <c r="AS19" s="147">
        <v>0</v>
      </c>
      <c r="AT19" s="147">
        <v>0</v>
      </c>
    </row>
    <row r="20" spans="1:46" customFormat="1" x14ac:dyDescent="0.15">
      <c r="A20" s="185" t="s">
        <v>209</v>
      </c>
      <c r="B20" s="147">
        <v>0</v>
      </c>
      <c r="C20" s="147">
        <v>0</v>
      </c>
      <c r="D20" s="147">
        <v>0</v>
      </c>
      <c r="E20" s="147">
        <v>0</v>
      </c>
      <c r="F20" s="147">
        <v>0</v>
      </c>
      <c r="G20" s="147">
        <v>1.8690929494310903E-3</v>
      </c>
      <c r="H20" s="147">
        <v>0</v>
      </c>
      <c r="I20" s="147">
        <v>3.5263035210197522E-3</v>
      </c>
      <c r="J20" s="147">
        <v>0</v>
      </c>
      <c r="K20" s="147">
        <v>0</v>
      </c>
      <c r="L20" s="147">
        <v>7.9972020085570042E-3</v>
      </c>
      <c r="M20" s="147">
        <v>0</v>
      </c>
      <c r="N20" s="147">
        <v>0</v>
      </c>
      <c r="O20" s="147">
        <v>0</v>
      </c>
      <c r="P20" s="147">
        <v>0</v>
      </c>
      <c r="Q20" s="147">
        <v>2.0404540017343858E-3</v>
      </c>
      <c r="R20" s="147">
        <v>7.1428573014285679E-2</v>
      </c>
      <c r="S20" s="147">
        <v>6.9996669596119219E-3</v>
      </c>
      <c r="T20" s="147">
        <v>0</v>
      </c>
      <c r="U20" s="147">
        <v>0</v>
      </c>
      <c r="V20" s="147">
        <v>0</v>
      </c>
      <c r="W20" s="147">
        <v>0</v>
      </c>
      <c r="X20" s="147">
        <v>0</v>
      </c>
      <c r="Y20" s="147">
        <v>0</v>
      </c>
      <c r="Z20" s="147">
        <v>0</v>
      </c>
      <c r="AA20" s="147">
        <v>0</v>
      </c>
      <c r="AB20" s="147">
        <v>0</v>
      </c>
      <c r="AC20" s="147">
        <v>0</v>
      </c>
      <c r="AD20" s="147">
        <v>0</v>
      </c>
      <c r="AE20" s="147">
        <v>0</v>
      </c>
      <c r="AF20" s="147">
        <v>0</v>
      </c>
      <c r="AG20" s="147">
        <v>0</v>
      </c>
      <c r="AH20" s="147">
        <v>0</v>
      </c>
      <c r="AI20" s="147">
        <v>0</v>
      </c>
      <c r="AJ20" s="147">
        <v>0</v>
      </c>
      <c r="AK20" s="147">
        <v>0</v>
      </c>
      <c r="AL20" s="147">
        <v>0</v>
      </c>
      <c r="AM20" s="147">
        <v>0</v>
      </c>
      <c r="AN20" s="147">
        <v>0</v>
      </c>
      <c r="AO20" s="147">
        <v>0</v>
      </c>
      <c r="AP20" s="147">
        <v>0</v>
      </c>
      <c r="AQ20" s="147">
        <v>0</v>
      </c>
      <c r="AR20" s="147">
        <v>0</v>
      </c>
      <c r="AS20" s="147">
        <v>0</v>
      </c>
      <c r="AT20" s="147">
        <v>0</v>
      </c>
    </row>
    <row r="21" spans="1:46" customFormat="1" x14ac:dyDescent="0.15">
      <c r="A21" s="185" t="s">
        <v>210</v>
      </c>
      <c r="B21" s="147">
        <v>0</v>
      </c>
      <c r="C21" s="147">
        <v>0</v>
      </c>
      <c r="D21" s="147">
        <v>0</v>
      </c>
      <c r="E21" s="147">
        <v>0</v>
      </c>
      <c r="F21" s="147">
        <v>0</v>
      </c>
      <c r="G21" s="147">
        <v>1.4936150155276218E-2</v>
      </c>
      <c r="H21" s="147">
        <v>0</v>
      </c>
      <c r="I21" s="147">
        <v>5.0918824125505109E-3</v>
      </c>
      <c r="J21" s="147">
        <v>0</v>
      </c>
      <c r="K21" s="147">
        <v>0</v>
      </c>
      <c r="L21" s="147">
        <v>1.5994403517114009E-2</v>
      </c>
      <c r="M21" s="147">
        <v>0</v>
      </c>
      <c r="N21" s="147">
        <v>0</v>
      </c>
      <c r="O21" s="147">
        <v>0</v>
      </c>
      <c r="P21" s="147">
        <v>0</v>
      </c>
      <c r="Q21" s="147">
        <v>1.9992003216993202E-2</v>
      </c>
      <c r="R21" s="147">
        <v>7.1428573014285679E-2</v>
      </c>
      <c r="S21" s="147">
        <v>3.9998095269210984E-2</v>
      </c>
      <c r="T21" s="147">
        <v>0</v>
      </c>
      <c r="U21" s="147">
        <v>0</v>
      </c>
      <c r="V21" s="147">
        <v>0</v>
      </c>
      <c r="W21" s="147">
        <v>0</v>
      </c>
      <c r="X21" s="147">
        <v>0</v>
      </c>
      <c r="Y21" s="147">
        <v>0</v>
      </c>
      <c r="Z21" s="147">
        <v>0</v>
      </c>
      <c r="AA21" s="147">
        <v>0</v>
      </c>
      <c r="AB21" s="147">
        <v>0</v>
      </c>
      <c r="AC21" s="147">
        <v>0</v>
      </c>
      <c r="AD21" s="147">
        <v>0</v>
      </c>
      <c r="AE21" s="147">
        <v>0</v>
      </c>
      <c r="AF21" s="147">
        <v>0</v>
      </c>
      <c r="AG21" s="147">
        <v>0</v>
      </c>
      <c r="AH21" s="147">
        <v>0</v>
      </c>
      <c r="AI21" s="147">
        <v>0</v>
      </c>
      <c r="AJ21" s="147">
        <v>0</v>
      </c>
      <c r="AK21" s="147">
        <v>0</v>
      </c>
      <c r="AL21" s="147">
        <v>0</v>
      </c>
      <c r="AM21" s="147">
        <v>0</v>
      </c>
      <c r="AN21" s="147">
        <v>0</v>
      </c>
      <c r="AO21" s="147">
        <v>0</v>
      </c>
      <c r="AP21" s="147">
        <v>0</v>
      </c>
      <c r="AQ21" s="147">
        <v>0</v>
      </c>
      <c r="AR21" s="147">
        <v>0</v>
      </c>
      <c r="AS21" s="147">
        <v>0</v>
      </c>
      <c r="AT21" s="147">
        <v>0</v>
      </c>
    </row>
    <row r="22" spans="1:46" customFormat="1" x14ac:dyDescent="0.15">
      <c r="A22" s="185" t="s">
        <v>211</v>
      </c>
      <c r="B22" s="147">
        <v>0</v>
      </c>
      <c r="C22" s="147">
        <v>0</v>
      </c>
      <c r="D22" s="147">
        <v>0</v>
      </c>
      <c r="E22" s="147">
        <v>0</v>
      </c>
      <c r="F22" s="147">
        <v>0</v>
      </c>
      <c r="G22" s="147">
        <v>1.3608496041473926E-3</v>
      </c>
      <c r="H22" s="147">
        <v>0</v>
      </c>
      <c r="I22" s="147">
        <v>5.0918824125505109E-3</v>
      </c>
      <c r="J22" s="147">
        <v>0</v>
      </c>
      <c r="K22" s="147">
        <v>0</v>
      </c>
      <c r="L22" s="147">
        <v>1.0196431510910179E-2</v>
      </c>
      <c r="M22" s="147">
        <v>0</v>
      </c>
      <c r="N22" s="147">
        <v>0</v>
      </c>
      <c r="O22" s="147">
        <v>0</v>
      </c>
      <c r="P22" s="147">
        <v>0</v>
      </c>
      <c r="Q22" s="147">
        <v>3.5731736630371979E-3</v>
      </c>
      <c r="R22" s="147">
        <v>7.1428573014285679E-2</v>
      </c>
      <c r="S22" s="147">
        <v>1.2999380824993571E-2</v>
      </c>
      <c r="T22" s="147">
        <v>0</v>
      </c>
      <c r="U22" s="147">
        <v>0</v>
      </c>
      <c r="V22" s="147">
        <v>0</v>
      </c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  <c r="AK22" s="147">
        <v>0</v>
      </c>
      <c r="AL22" s="147">
        <v>0</v>
      </c>
      <c r="AM22" s="147">
        <v>0</v>
      </c>
      <c r="AN22" s="147">
        <v>0</v>
      </c>
      <c r="AO22" s="147">
        <v>0</v>
      </c>
      <c r="AP22" s="147">
        <v>0</v>
      </c>
      <c r="AQ22" s="147">
        <v>0</v>
      </c>
      <c r="AR22" s="147">
        <v>0</v>
      </c>
      <c r="AS22" s="147">
        <v>0</v>
      </c>
      <c r="AT22" s="147">
        <v>0</v>
      </c>
    </row>
    <row r="23" spans="1:46" customFormat="1" x14ac:dyDescent="0.15">
      <c r="A23" s="185" t="s">
        <v>212</v>
      </c>
      <c r="B23" s="147">
        <v>0</v>
      </c>
      <c r="C23" s="147">
        <v>5.0000000000000001E-3</v>
      </c>
      <c r="D23" s="147">
        <v>0</v>
      </c>
      <c r="E23" s="147">
        <v>6.9000000000000006E-2</v>
      </c>
      <c r="F23" s="147">
        <v>0</v>
      </c>
      <c r="G23" s="147">
        <v>9.9574341035174856E-3</v>
      </c>
      <c r="H23" s="147">
        <v>0</v>
      </c>
      <c r="I23" s="147">
        <v>5.00184910073724E-2</v>
      </c>
      <c r="J23" s="147">
        <v>0</v>
      </c>
      <c r="K23" s="147">
        <v>0</v>
      </c>
      <c r="L23" s="147">
        <v>7.9972010085570033E-2</v>
      </c>
      <c r="M23" s="147">
        <v>0</v>
      </c>
      <c r="N23" s="147">
        <v>0</v>
      </c>
      <c r="O23" s="147">
        <v>0</v>
      </c>
      <c r="P23" s="147">
        <v>0</v>
      </c>
      <c r="Q23" s="147">
        <v>2.0991602917842862E-2</v>
      </c>
      <c r="R23" s="147">
        <v>7.1428573014285679E-2</v>
      </c>
      <c r="S23" s="147">
        <v>2.4998809855756865E-2</v>
      </c>
      <c r="T23" s="147">
        <v>6.9999998614000025E-2</v>
      </c>
      <c r="U23" s="147">
        <v>3.2005337709868485E-2</v>
      </c>
      <c r="V23" s="147">
        <v>0</v>
      </c>
      <c r="W23" s="147">
        <v>0</v>
      </c>
      <c r="X23" s="147">
        <v>0</v>
      </c>
      <c r="Y23" s="147">
        <v>0</v>
      </c>
      <c r="Z23" s="147">
        <v>0</v>
      </c>
      <c r="AA23" s="147">
        <v>0</v>
      </c>
      <c r="AB23" s="147">
        <v>0</v>
      </c>
      <c r="AC23" s="147">
        <v>0</v>
      </c>
      <c r="AD23" s="147">
        <v>0</v>
      </c>
      <c r="AE23" s="147">
        <v>0</v>
      </c>
      <c r="AF23" s="147">
        <v>0</v>
      </c>
      <c r="AG23" s="147">
        <v>0</v>
      </c>
      <c r="AH23" s="147">
        <v>0</v>
      </c>
      <c r="AI23" s="147">
        <v>0</v>
      </c>
      <c r="AJ23" s="147">
        <v>0</v>
      </c>
      <c r="AK23" s="147">
        <v>0</v>
      </c>
      <c r="AL23" s="147">
        <v>0</v>
      </c>
      <c r="AM23" s="147">
        <v>2.0007275501182253E-2</v>
      </c>
      <c r="AN23" s="147">
        <v>0</v>
      </c>
      <c r="AO23" s="147">
        <v>0</v>
      </c>
      <c r="AP23" s="147">
        <v>0</v>
      </c>
      <c r="AQ23" s="147">
        <v>0</v>
      </c>
      <c r="AR23" s="147">
        <v>0</v>
      </c>
      <c r="AS23" s="147">
        <v>0</v>
      </c>
      <c r="AT23" s="147">
        <v>0</v>
      </c>
    </row>
    <row r="24" spans="1:46" customFormat="1" x14ac:dyDescent="0.15">
      <c r="A24" s="185" t="s">
        <v>213</v>
      </c>
      <c r="B24" s="147">
        <v>0</v>
      </c>
      <c r="C24" s="147">
        <v>3.0000000000000001E-3</v>
      </c>
      <c r="D24" s="147">
        <v>0</v>
      </c>
      <c r="E24" s="147">
        <v>0</v>
      </c>
      <c r="F24" s="147">
        <v>0</v>
      </c>
      <c r="G24" s="147">
        <v>1.3608496041473926E-3</v>
      </c>
      <c r="H24" s="147">
        <v>1.7157226976719439E-2</v>
      </c>
      <c r="I24" s="147">
        <v>1.0003697301474462E-2</v>
      </c>
      <c r="J24" s="147">
        <v>0</v>
      </c>
      <c r="K24" s="147">
        <v>0</v>
      </c>
      <c r="L24" s="147">
        <v>2.2492127024066567E-3</v>
      </c>
      <c r="M24" s="147">
        <v>0</v>
      </c>
      <c r="N24" s="147">
        <v>0</v>
      </c>
      <c r="O24" s="147">
        <v>0</v>
      </c>
      <c r="P24" s="147">
        <v>0</v>
      </c>
      <c r="Q24" s="147">
        <v>4.9980010042483007E-3</v>
      </c>
      <c r="R24" s="147">
        <v>0</v>
      </c>
      <c r="S24" s="147">
        <v>4.5533539737271471E-3</v>
      </c>
      <c r="T24" s="147">
        <v>1.9999999604000007E-2</v>
      </c>
      <c r="U24" s="147">
        <v>0</v>
      </c>
      <c r="V24" s="147">
        <v>0</v>
      </c>
      <c r="W24" s="147">
        <v>0</v>
      </c>
      <c r="X24" s="147">
        <v>0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0</v>
      </c>
      <c r="AI24" s="147">
        <v>0</v>
      </c>
      <c r="AJ24" s="147">
        <v>0</v>
      </c>
      <c r="AK24" s="147">
        <v>0</v>
      </c>
      <c r="AL24" s="147">
        <v>0</v>
      </c>
      <c r="AM24" s="147">
        <v>0</v>
      </c>
      <c r="AN24" s="147">
        <v>0</v>
      </c>
      <c r="AO24" s="147">
        <v>0</v>
      </c>
      <c r="AP24" s="147">
        <v>0</v>
      </c>
      <c r="AQ24" s="147">
        <v>0</v>
      </c>
      <c r="AR24" s="147">
        <v>0</v>
      </c>
      <c r="AS24" s="147">
        <v>0</v>
      </c>
      <c r="AT24" s="147">
        <v>0</v>
      </c>
    </row>
    <row r="25" spans="1:46" customFormat="1" x14ac:dyDescent="0.15">
      <c r="A25" s="185" t="s">
        <v>214</v>
      </c>
      <c r="B25" s="147">
        <v>0</v>
      </c>
      <c r="C25" s="147">
        <v>4.0000000000000001E-3</v>
      </c>
      <c r="D25" s="147">
        <v>0</v>
      </c>
      <c r="E25" s="147">
        <v>0.04</v>
      </c>
      <c r="F25" s="147">
        <v>4.2249730564540892E-2</v>
      </c>
      <c r="G25" s="147">
        <v>3.0658500318725773E-2</v>
      </c>
      <c r="H25" s="147">
        <v>0</v>
      </c>
      <c r="I25" s="147">
        <v>8.0029581611795755E-2</v>
      </c>
      <c r="J25" s="147">
        <v>2.9010636985377636E-2</v>
      </c>
      <c r="K25" s="147">
        <v>3.1499999836199992E-2</v>
      </c>
      <c r="L25" s="147">
        <v>2.4991253426740634E-2</v>
      </c>
      <c r="M25" s="147">
        <v>0</v>
      </c>
      <c r="N25" s="147">
        <v>0</v>
      </c>
      <c r="O25" s="147">
        <v>0</v>
      </c>
      <c r="P25" s="147">
        <v>0</v>
      </c>
      <c r="Q25" s="147">
        <v>8.2808150070386929E-3</v>
      </c>
      <c r="R25" s="147">
        <v>0</v>
      </c>
      <c r="S25" s="147">
        <v>2.9998569826908249E-2</v>
      </c>
      <c r="T25" s="147">
        <v>0</v>
      </c>
      <c r="U25" s="147">
        <v>1.5002500754625789E-2</v>
      </c>
      <c r="V25" s="147">
        <v>0</v>
      </c>
      <c r="W25" s="147">
        <v>0</v>
      </c>
      <c r="X25" s="147">
        <v>0</v>
      </c>
      <c r="Y25" s="147">
        <v>0</v>
      </c>
      <c r="Z25" s="147">
        <v>0</v>
      </c>
      <c r="AA25" s="147">
        <v>0</v>
      </c>
      <c r="AB25" s="147">
        <v>0</v>
      </c>
      <c r="AC25" s="147">
        <v>0</v>
      </c>
      <c r="AD25" s="147">
        <v>0</v>
      </c>
      <c r="AE25" s="147">
        <v>2.2229298534994918E-2</v>
      </c>
      <c r="AF25" s="147">
        <v>0</v>
      </c>
      <c r="AG25" s="147">
        <v>0</v>
      </c>
      <c r="AH25" s="147">
        <v>0</v>
      </c>
      <c r="AI25" s="147">
        <v>0</v>
      </c>
      <c r="AJ25" s="147">
        <v>0</v>
      </c>
      <c r="AK25" s="147">
        <v>0</v>
      </c>
      <c r="AL25" s="147">
        <v>0</v>
      </c>
      <c r="AM25" s="147">
        <v>0</v>
      </c>
      <c r="AN25" s="147">
        <v>0</v>
      </c>
      <c r="AO25" s="147">
        <v>0</v>
      </c>
      <c r="AP25" s="147">
        <v>0</v>
      </c>
      <c r="AQ25" s="147">
        <v>0</v>
      </c>
      <c r="AR25" s="147">
        <v>0</v>
      </c>
      <c r="AS25" s="147">
        <v>0</v>
      </c>
      <c r="AT25" s="147">
        <v>0</v>
      </c>
    </row>
    <row r="26" spans="1:46" customFormat="1" x14ac:dyDescent="0.15">
      <c r="A26" s="185" t="s">
        <v>215</v>
      </c>
      <c r="B26" s="147">
        <v>0</v>
      </c>
      <c r="C26" s="147">
        <v>0.01</v>
      </c>
      <c r="D26" s="147">
        <v>0</v>
      </c>
      <c r="E26" s="147">
        <v>3.2000000000000001E-2</v>
      </c>
      <c r="F26" s="147">
        <v>0</v>
      </c>
      <c r="G26" s="147">
        <v>1.6315324369614113E-2</v>
      </c>
      <c r="H26" s="147">
        <v>0</v>
      </c>
      <c r="I26" s="147">
        <v>4.0014790805897878E-2</v>
      </c>
      <c r="J26" s="147">
        <v>0</v>
      </c>
      <c r="K26" s="147">
        <v>0</v>
      </c>
      <c r="L26" s="147">
        <v>9.9965010106962526E-3</v>
      </c>
      <c r="M26" s="147">
        <v>0</v>
      </c>
      <c r="N26" s="147">
        <v>0</v>
      </c>
      <c r="O26" s="147">
        <v>0</v>
      </c>
      <c r="P26" s="147">
        <v>0</v>
      </c>
      <c r="Q26" s="147">
        <v>5.3391344845382643E-3</v>
      </c>
      <c r="R26" s="147">
        <v>0</v>
      </c>
      <c r="S26" s="147">
        <v>0</v>
      </c>
      <c r="T26" s="147">
        <v>5.9999998812000015E-2</v>
      </c>
      <c r="U26" s="147">
        <v>1.0001667303083866E-2</v>
      </c>
      <c r="V26" s="147">
        <v>0</v>
      </c>
      <c r="W26" s="147">
        <v>0</v>
      </c>
      <c r="X26" s="147">
        <v>0</v>
      </c>
      <c r="Y26" s="147">
        <v>0</v>
      </c>
      <c r="Z26" s="147">
        <v>0</v>
      </c>
      <c r="AA26" s="147">
        <v>0</v>
      </c>
      <c r="AB26" s="147">
        <v>0</v>
      </c>
      <c r="AC26" s="147">
        <v>0</v>
      </c>
      <c r="AD26" s="147">
        <v>0</v>
      </c>
      <c r="AE26" s="147">
        <v>0</v>
      </c>
      <c r="AF26" s="147">
        <v>0</v>
      </c>
      <c r="AG26" s="147">
        <v>0</v>
      </c>
      <c r="AH26" s="147">
        <v>0</v>
      </c>
      <c r="AI26" s="147">
        <v>0</v>
      </c>
      <c r="AJ26" s="147">
        <v>0</v>
      </c>
      <c r="AK26" s="147">
        <v>0</v>
      </c>
      <c r="AL26" s="147">
        <v>0</v>
      </c>
      <c r="AM26" s="147">
        <v>0</v>
      </c>
      <c r="AN26" s="147">
        <v>0</v>
      </c>
      <c r="AO26" s="147">
        <v>0</v>
      </c>
      <c r="AP26" s="147">
        <v>0</v>
      </c>
      <c r="AQ26" s="147">
        <v>0</v>
      </c>
      <c r="AR26" s="147">
        <v>0</v>
      </c>
      <c r="AS26" s="147">
        <v>0</v>
      </c>
      <c r="AT26" s="147">
        <v>0</v>
      </c>
    </row>
    <row r="27" spans="1:46" customFormat="1" x14ac:dyDescent="0.15">
      <c r="A27" s="185" t="s">
        <v>216</v>
      </c>
      <c r="B27" s="147">
        <v>0</v>
      </c>
      <c r="C27" s="147">
        <v>4.0000000000000001E-3</v>
      </c>
      <c r="D27" s="147">
        <v>0</v>
      </c>
      <c r="E27" s="147">
        <v>0</v>
      </c>
      <c r="F27" s="147">
        <v>0</v>
      </c>
      <c r="G27" s="147">
        <v>2.3151033340678144E-3</v>
      </c>
      <c r="H27" s="147">
        <v>0</v>
      </c>
      <c r="I27" s="147">
        <v>5.0918824125505109E-3</v>
      </c>
      <c r="J27" s="147">
        <v>0</v>
      </c>
      <c r="K27" s="147">
        <v>0</v>
      </c>
      <c r="L27" s="147">
        <v>2.9989504332088761E-3</v>
      </c>
      <c r="M27" s="147">
        <v>0</v>
      </c>
      <c r="N27" s="147">
        <v>0</v>
      </c>
      <c r="O27" s="147">
        <v>0</v>
      </c>
      <c r="P27" s="147">
        <v>0</v>
      </c>
      <c r="Q27" s="147">
        <v>2.7544542723412862E-3</v>
      </c>
      <c r="R27" s="147">
        <v>7.1428573014285679E-2</v>
      </c>
      <c r="S27" s="147">
        <v>4.5533539737271471E-3</v>
      </c>
      <c r="T27" s="147">
        <v>4.9999999010000018E-2</v>
      </c>
      <c r="U27" s="147">
        <v>2.08368051480913E-2</v>
      </c>
      <c r="V27" s="147">
        <v>0</v>
      </c>
      <c r="W27" s="147">
        <v>0</v>
      </c>
      <c r="X27" s="147">
        <v>0</v>
      </c>
      <c r="Y27" s="147">
        <v>0</v>
      </c>
      <c r="Z27" s="147">
        <v>0</v>
      </c>
      <c r="AA27" s="147">
        <v>0</v>
      </c>
      <c r="AB27" s="147">
        <v>0</v>
      </c>
      <c r="AC27" s="147">
        <v>0</v>
      </c>
      <c r="AD27" s="147">
        <v>0</v>
      </c>
      <c r="AE27" s="147">
        <v>0</v>
      </c>
      <c r="AF27" s="147">
        <v>0</v>
      </c>
      <c r="AG27" s="147">
        <v>0</v>
      </c>
      <c r="AH27" s="147">
        <v>0</v>
      </c>
      <c r="AI27" s="147">
        <v>0</v>
      </c>
      <c r="AJ27" s="147">
        <v>0</v>
      </c>
      <c r="AK27" s="147">
        <v>0</v>
      </c>
      <c r="AL27" s="147">
        <v>0</v>
      </c>
      <c r="AM27" s="147">
        <v>0</v>
      </c>
      <c r="AN27" s="147">
        <v>0</v>
      </c>
      <c r="AO27" s="147">
        <v>0</v>
      </c>
      <c r="AP27" s="147">
        <v>0</v>
      </c>
      <c r="AQ27" s="147">
        <v>0</v>
      </c>
      <c r="AR27" s="147">
        <v>0</v>
      </c>
      <c r="AS27" s="147">
        <v>0</v>
      </c>
      <c r="AT27" s="147">
        <v>0</v>
      </c>
    </row>
    <row r="28" spans="1:46" customFormat="1" x14ac:dyDescent="0.15">
      <c r="A28" s="185" t="s">
        <v>217</v>
      </c>
      <c r="B28" s="147">
        <v>0</v>
      </c>
      <c r="C28" s="147">
        <v>1.6E-2</v>
      </c>
      <c r="D28" s="147">
        <v>0</v>
      </c>
      <c r="E28" s="147">
        <v>0.06</v>
      </c>
      <c r="F28" s="147">
        <v>0</v>
      </c>
      <c r="G28" s="147">
        <v>2.0376706711836244E-2</v>
      </c>
      <c r="H28" s="147">
        <v>1.7157226976719439E-2</v>
      </c>
      <c r="I28" s="147">
        <v>4.2475697555460545E-2</v>
      </c>
      <c r="J28" s="147">
        <v>0</v>
      </c>
      <c r="K28" s="147">
        <v>9.1433329524546664E-2</v>
      </c>
      <c r="L28" s="147">
        <v>8.9968520096266297E-2</v>
      </c>
      <c r="M28" s="147">
        <v>0</v>
      </c>
      <c r="N28" s="147">
        <v>0</v>
      </c>
      <c r="O28" s="147">
        <v>0</v>
      </c>
      <c r="P28" s="147">
        <v>0</v>
      </c>
      <c r="Q28" s="147">
        <v>8.2808150070386929E-3</v>
      </c>
      <c r="R28" s="147">
        <v>7.1428573014285679E-2</v>
      </c>
      <c r="S28" s="147">
        <v>9.999523942302746E-2</v>
      </c>
      <c r="T28" s="147">
        <v>0.10555555491</v>
      </c>
      <c r="U28" s="147">
        <v>4.7007835064494109E-2</v>
      </c>
      <c r="V28" s="147">
        <v>0</v>
      </c>
      <c r="W28" s="147">
        <v>0</v>
      </c>
      <c r="X28" s="147">
        <v>2.7777777833333329E-2</v>
      </c>
      <c r="Y28" s="147">
        <v>0</v>
      </c>
      <c r="Z28" s="147">
        <v>9.722222383194444E-2</v>
      </c>
      <c r="AA28" s="147">
        <v>9.9966673550483248E-2</v>
      </c>
      <c r="AB28" s="147">
        <v>7.4937368162694661E-3</v>
      </c>
      <c r="AC28" s="147">
        <v>1.6285717537017439E-2</v>
      </c>
      <c r="AD28" s="147">
        <v>0</v>
      </c>
      <c r="AE28" s="147">
        <v>0.15399515347139958</v>
      </c>
      <c r="AF28" s="147">
        <v>0</v>
      </c>
      <c r="AG28" s="147">
        <v>7.002801489215689E-2</v>
      </c>
      <c r="AH28" s="147">
        <v>0</v>
      </c>
      <c r="AI28" s="147">
        <v>0</v>
      </c>
      <c r="AJ28" s="147">
        <v>0</v>
      </c>
      <c r="AK28" s="147">
        <v>0</v>
      </c>
      <c r="AL28" s="147">
        <v>0</v>
      </c>
      <c r="AM28" s="147">
        <v>1.0003637750591127E-2</v>
      </c>
      <c r="AN28" s="147">
        <v>0</v>
      </c>
      <c r="AO28" s="147">
        <v>0</v>
      </c>
      <c r="AP28" s="147">
        <v>0</v>
      </c>
      <c r="AQ28" s="147">
        <v>0</v>
      </c>
      <c r="AR28" s="147">
        <v>0</v>
      </c>
      <c r="AS28" s="147">
        <v>0</v>
      </c>
      <c r="AT28" s="147">
        <v>0</v>
      </c>
    </row>
    <row r="29" spans="1:46" customFormat="1" x14ac:dyDescent="0.15">
      <c r="A29" s="185" t="s">
        <v>218</v>
      </c>
      <c r="B29" s="147">
        <v>0</v>
      </c>
      <c r="C29" s="147">
        <v>0</v>
      </c>
      <c r="D29" s="147">
        <v>0</v>
      </c>
      <c r="E29" s="147">
        <v>0</v>
      </c>
      <c r="F29" s="147">
        <v>1.881140125135794E-2</v>
      </c>
      <c r="G29" s="147">
        <v>9.9574341035174856E-3</v>
      </c>
      <c r="H29" s="147">
        <v>1.2006352823665434E-2</v>
      </c>
      <c r="I29" s="147">
        <v>1.0003697301474462E-2</v>
      </c>
      <c r="J29" s="147">
        <v>6.2522930615038083E-5</v>
      </c>
      <c r="K29" s="147">
        <v>0</v>
      </c>
      <c r="L29" s="147">
        <v>3.1988802434228013E-3</v>
      </c>
      <c r="M29" s="147">
        <v>0</v>
      </c>
      <c r="N29" s="147">
        <v>0</v>
      </c>
      <c r="O29" s="147">
        <v>0</v>
      </c>
      <c r="P29" s="147">
        <v>0</v>
      </c>
      <c r="Q29" s="147">
        <v>0</v>
      </c>
      <c r="R29" s="147">
        <v>0</v>
      </c>
      <c r="S29" s="147">
        <v>0</v>
      </c>
      <c r="T29" s="147">
        <v>0</v>
      </c>
      <c r="U29" s="147">
        <v>0</v>
      </c>
      <c r="V29" s="147">
        <v>0</v>
      </c>
      <c r="W29" s="147">
        <v>0</v>
      </c>
      <c r="X29" s="147">
        <v>0</v>
      </c>
      <c r="Y29" s="147">
        <v>0</v>
      </c>
      <c r="Z29" s="147">
        <v>0</v>
      </c>
      <c r="AA29" s="147">
        <v>0</v>
      </c>
      <c r="AB29" s="147">
        <v>0</v>
      </c>
      <c r="AC29" s="147">
        <v>9.9976950227247605E-3</v>
      </c>
      <c r="AD29" s="147">
        <v>0</v>
      </c>
      <c r="AE29" s="147">
        <v>0</v>
      </c>
      <c r="AF29" s="147">
        <v>0</v>
      </c>
      <c r="AG29" s="147">
        <v>0</v>
      </c>
      <c r="AH29" s="147">
        <v>0</v>
      </c>
      <c r="AI29" s="147">
        <v>1.1753645032722172E-2</v>
      </c>
      <c r="AJ29" s="147">
        <v>0</v>
      </c>
      <c r="AK29" s="147">
        <v>0</v>
      </c>
      <c r="AL29" s="147">
        <v>0</v>
      </c>
      <c r="AM29" s="147">
        <v>0</v>
      </c>
      <c r="AN29" s="147">
        <v>0</v>
      </c>
      <c r="AO29" s="147">
        <v>0</v>
      </c>
      <c r="AP29" s="147">
        <v>0</v>
      </c>
      <c r="AQ29" s="147">
        <v>0</v>
      </c>
      <c r="AR29" s="147">
        <v>0</v>
      </c>
      <c r="AS29" s="147">
        <v>0</v>
      </c>
      <c r="AT29" s="147">
        <v>0</v>
      </c>
    </row>
    <row r="30" spans="1:46" customFormat="1" x14ac:dyDescent="0.15">
      <c r="A30" s="185" t="s">
        <v>219</v>
      </c>
      <c r="B30" s="147">
        <v>0</v>
      </c>
      <c r="C30" s="147">
        <v>0</v>
      </c>
      <c r="D30" s="147">
        <v>0</v>
      </c>
      <c r="E30" s="147">
        <v>0</v>
      </c>
      <c r="F30" s="147">
        <v>1.250520596709456E-4</v>
      </c>
      <c r="G30" s="147">
        <v>2.9996768911846414E-3</v>
      </c>
      <c r="H30" s="147">
        <v>9.7194291001101198E-3</v>
      </c>
      <c r="I30" s="147">
        <v>1.0003697301474462E-2</v>
      </c>
      <c r="J30" s="147">
        <v>0</v>
      </c>
      <c r="K30" s="147">
        <v>0</v>
      </c>
      <c r="L30" s="147">
        <v>0</v>
      </c>
      <c r="M30" s="147">
        <v>0</v>
      </c>
      <c r="N30" s="147">
        <v>0</v>
      </c>
      <c r="O30" s="147">
        <v>0</v>
      </c>
      <c r="P30" s="147">
        <v>0</v>
      </c>
      <c r="Q30" s="147">
        <v>0</v>
      </c>
      <c r="R30" s="147">
        <v>0</v>
      </c>
      <c r="S30" s="147">
        <v>0</v>
      </c>
      <c r="T30" s="147">
        <v>0</v>
      </c>
      <c r="U30" s="147">
        <v>0</v>
      </c>
      <c r="V30" s="147">
        <v>0</v>
      </c>
      <c r="W30" s="147">
        <v>0</v>
      </c>
      <c r="X30" s="147">
        <v>0</v>
      </c>
      <c r="Y30" s="147">
        <v>0</v>
      </c>
      <c r="Z30" s="147">
        <v>0</v>
      </c>
      <c r="AA30" s="147">
        <v>0</v>
      </c>
      <c r="AB30" s="147">
        <v>0</v>
      </c>
      <c r="AC30" s="147">
        <v>0</v>
      </c>
      <c r="AD30" s="147">
        <v>0</v>
      </c>
      <c r="AE30" s="147">
        <v>0</v>
      </c>
      <c r="AF30" s="147">
        <v>0</v>
      </c>
      <c r="AG30" s="147">
        <v>0</v>
      </c>
      <c r="AH30" s="147">
        <v>0</v>
      </c>
      <c r="AI30" s="147">
        <v>0</v>
      </c>
      <c r="AJ30" s="147">
        <v>0</v>
      </c>
      <c r="AK30" s="147">
        <v>0</v>
      </c>
      <c r="AL30" s="147">
        <v>0</v>
      </c>
      <c r="AM30" s="147">
        <v>0</v>
      </c>
      <c r="AN30" s="147">
        <v>0</v>
      </c>
      <c r="AO30" s="147">
        <v>0</v>
      </c>
      <c r="AP30" s="147">
        <v>0</v>
      </c>
      <c r="AQ30" s="147">
        <v>0</v>
      </c>
      <c r="AR30" s="147">
        <v>0</v>
      </c>
      <c r="AS30" s="147">
        <v>0</v>
      </c>
      <c r="AT30" s="147">
        <v>0</v>
      </c>
    </row>
    <row r="31" spans="1:46" customFormat="1" x14ac:dyDescent="0.15">
      <c r="A31" s="185" t="s">
        <v>220</v>
      </c>
      <c r="B31" s="147">
        <v>0</v>
      </c>
      <c r="C31" s="147">
        <v>0</v>
      </c>
      <c r="D31" s="147">
        <v>0</v>
      </c>
      <c r="E31" s="147">
        <v>0</v>
      </c>
      <c r="F31" s="147">
        <v>1.2808903271152562E-2</v>
      </c>
      <c r="G31" s="147">
        <v>1.0953176913869229E-2</v>
      </c>
      <c r="H31" s="147">
        <v>2.6876652876829523E-2</v>
      </c>
      <c r="I31" s="147">
        <v>8.1630171644031645E-3</v>
      </c>
      <c r="J31" s="147">
        <v>6.7024580659320807E-2</v>
      </c>
      <c r="K31" s="147">
        <v>0</v>
      </c>
      <c r="L31" s="147">
        <v>1.1445994512247213E-2</v>
      </c>
      <c r="M31" s="147">
        <v>0</v>
      </c>
      <c r="N31" s="147">
        <v>0</v>
      </c>
      <c r="O31" s="147">
        <v>0</v>
      </c>
      <c r="P31" s="147">
        <v>0</v>
      </c>
      <c r="Q31" s="147">
        <v>0</v>
      </c>
      <c r="R31" s="147">
        <v>0</v>
      </c>
      <c r="S31" s="147">
        <v>0</v>
      </c>
      <c r="T31" s="147">
        <v>0</v>
      </c>
      <c r="U31" s="147">
        <v>0</v>
      </c>
      <c r="V31" s="147">
        <v>0</v>
      </c>
      <c r="W31" s="147">
        <v>0</v>
      </c>
      <c r="X31" s="147">
        <v>0</v>
      </c>
      <c r="Y31" s="147">
        <v>0</v>
      </c>
      <c r="Z31" s="147">
        <v>0</v>
      </c>
      <c r="AA31" s="147">
        <v>0</v>
      </c>
      <c r="AB31" s="147">
        <v>0</v>
      </c>
      <c r="AC31" s="147">
        <v>0.10313394723442347</v>
      </c>
      <c r="AD31" s="147">
        <v>0</v>
      </c>
      <c r="AE31" s="147">
        <v>0</v>
      </c>
      <c r="AF31" s="147">
        <v>0</v>
      </c>
      <c r="AG31" s="147">
        <v>0</v>
      </c>
      <c r="AH31" s="147">
        <v>0</v>
      </c>
      <c r="AI31" s="147">
        <v>0</v>
      </c>
      <c r="AJ31" s="147">
        <v>0</v>
      </c>
      <c r="AK31" s="147">
        <v>0</v>
      </c>
      <c r="AL31" s="147">
        <v>0</v>
      </c>
      <c r="AM31" s="147">
        <v>0</v>
      </c>
      <c r="AN31" s="147">
        <v>0</v>
      </c>
      <c r="AO31" s="147">
        <v>0</v>
      </c>
      <c r="AP31" s="147">
        <v>0</v>
      </c>
      <c r="AQ31" s="147">
        <v>0</v>
      </c>
      <c r="AR31" s="147">
        <v>0</v>
      </c>
      <c r="AS31" s="147">
        <v>0</v>
      </c>
      <c r="AT31" s="147">
        <v>0</v>
      </c>
    </row>
    <row r="32" spans="1:46" customFormat="1" x14ac:dyDescent="0.15">
      <c r="A32" s="185" t="s">
        <v>221</v>
      </c>
      <c r="B32" s="147">
        <v>0</v>
      </c>
      <c r="C32" s="147">
        <v>0</v>
      </c>
      <c r="D32" s="147">
        <v>0</v>
      </c>
      <c r="E32" s="147">
        <v>0</v>
      </c>
      <c r="F32" s="147">
        <v>1.245310076639833E-2</v>
      </c>
      <c r="G32" s="147">
        <v>9.5297230990710018E-3</v>
      </c>
      <c r="H32" s="147">
        <v>5.3557440551641633E-2</v>
      </c>
      <c r="I32" s="147">
        <v>1.1004067221621911E-2</v>
      </c>
      <c r="J32" s="147">
        <v>4.1015040403464958E-2</v>
      </c>
      <c r="K32" s="147">
        <v>7.3333329618666667E-3</v>
      </c>
      <c r="L32" s="147">
        <v>5.2381670056048373E-2</v>
      </c>
      <c r="M32" s="147">
        <v>0</v>
      </c>
      <c r="N32" s="147">
        <v>0</v>
      </c>
      <c r="O32" s="147">
        <v>0.04</v>
      </c>
      <c r="P32" s="147">
        <v>0</v>
      </c>
      <c r="Q32" s="147">
        <v>0</v>
      </c>
      <c r="R32" s="147">
        <v>0</v>
      </c>
      <c r="S32" s="147">
        <v>0</v>
      </c>
      <c r="T32" s="147">
        <v>0</v>
      </c>
      <c r="U32" s="147">
        <v>0</v>
      </c>
      <c r="V32" s="147">
        <v>0</v>
      </c>
      <c r="W32" s="147">
        <v>0</v>
      </c>
      <c r="X32" s="147">
        <v>0</v>
      </c>
      <c r="Y32" s="147">
        <v>0</v>
      </c>
      <c r="Z32" s="147">
        <v>0</v>
      </c>
      <c r="AA32" s="147">
        <v>0</v>
      </c>
      <c r="AB32" s="147">
        <v>0</v>
      </c>
      <c r="AC32" s="147">
        <v>3.9990780090899042E-2</v>
      </c>
      <c r="AD32" s="147">
        <v>0</v>
      </c>
      <c r="AE32" s="147">
        <v>1.9992369671725289E-2</v>
      </c>
      <c r="AF32" s="147">
        <v>0</v>
      </c>
      <c r="AG32" s="147">
        <v>0</v>
      </c>
      <c r="AH32" s="147">
        <v>0</v>
      </c>
      <c r="AI32" s="147">
        <v>0</v>
      </c>
      <c r="AJ32" s="147">
        <v>0</v>
      </c>
      <c r="AK32" s="147">
        <v>0</v>
      </c>
      <c r="AL32" s="147">
        <v>0</v>
      </c>
      <c r="AM32" s="147">
        <v>0</v>
      </c>
      <c r="AN32" s="147">
        <v>0</v>
      </c>
      <c r="AO32" s="147">
        <v>0</v>
      </c>
      <c r="AP32" s="147">
        <v>0</v>
      </c>
      <c r="AQ32" s="147">
        <v>0</v>
      </c>
      <c r="AR32" s="147">
        <v>0</v>
      </c>
      <c r="AS32" s="147">
        <v>0</v>
      </c>
      <c r="AT32" s="147">
        <v>0</v>
      </c>
    </row>
    <row r="33" spans="1:46" customFormat="1" x14ac:dyDescent="0.15">
      <c r="A33" s="185" t="s">
        <v>222</v>
      </c>
      <c r="B33" s="147">
        <v>0</v>
      </c>
      <c r="C33" s="147">
        <v>1.2E-2</v>
      </c>
      <c r="D33" s="147">
        <v>0</v>
      </c>
      <c r="E33" s="147">
        <v>0</v>
      </c>
      <c r="F33" s="147">
        <v>3.4389314659510018E-3</v>
      </c>
      <c r="G33" s="147">
        <v>1.8038168687524801E-2</v>
      </c>
      <c r="H33" s="147">
        <v>5.3557440551641633E-2</v>
      </c>
      <c r="I33" s="147">
        <v>3.0011092004423385E-2</v>
      </c>
      <c r="J33" s="147">
        <v>0</v>
      </c>
      <c r="K33" s="147">
        <v>3.2433334531346648E-2</v>
      </c>
      <c r="L33" s="147">
        <v>8.8469030094661845E-3</v>
      </c>
      <c r="M33" s="147">
        <v>0</v>
      </c>
      <c r="N33" s="147">
        <v>0</v>
      </c>
      <c r="O33" s="147">
        <v>0</v>
      </c>
      <c r="P33" s="147">
        <v>0</v>
      </c>
      <c r="Q33" s="147">
        <v>0</v>
      </c>
      <c r="R33" s="147">
        <v>0</v>
      </c>
      <c r="S33" s="147">
        <v>0</v>
      </c>
      <c r="T33" s="147">
        <v>0</v>
      </c>
      <c r="U33" s="147">
        <v>0</v>
      </c>
      <c r="V33" s="147">
        <v>0</v>
      </c>
      <c r="W33" s="147">
        <v>0</v>
      </c>
      <c r="X33" s="147">
        <v>0</v>
      </c>
      <c r="Y33" s="147">
        <v>0</v>
      </c>
      <c r="Z33" s="147">
        <v>0</v>
      </c>
      <c r="AA33" s="147">
        <v>0</v>
      </c>
      <c r="AB33" s="147">
        <v>0</v>
      </c>
      <c r="AC33" s="147">
        <v>2.999308336817428E-2</v>
      </c>
      <c r="AD33" s="147">
        <v>0</v>
      </c>
      <c r="AE33" s="147">
        <v>0</v>
      </c>
      <c r="AF33" s="147">
        <v>0</v>
      </c>
      <c r="AG33" s="147">
        <v>3.0012004268067223E-2</v>
      </c>
      <c r="AH33" s="147">
        <v>0</v>
      </c>
      <c r="AI33" s="147">
        <v>0</v>
      </c>
      <c r="AJ33" s="147">
        <v>0</v>
      </c>
      <c r="AK33" s="147">
        <v>0</v>
      </c>
      <c r="AL33" s="147">
        <v>0</v>
      </c>
      <c r="AM33" s="147">
        <v>7.0025466254137929E-3</v>
      </c>
      <c r="AN33" s="147">
        <v>0</v>
      </c>
      <c r="AO33" s="147">
        <v>0</v>
      </c>
      <c r="AP33" s="147">
        <v>0</v>
      </c>
      <c r="AQ33" s="147">
        <v>0</v>
      </c>
      <c r="AR33" s="147">
        <v>0</v>
      </c>
      <c r="AS33" s="147">
        <v>0</v>
      </c>
      <c r="AT33" s="147">
        <v>0</v>
      </c>
    </row>
    <row r="34" spans="1:46" customFormat="1" x14ac:dyDescent="0.15">
      <c r="A34" s="185" t="s">
        <v>223</v>
      </c>
      <c r="B34" s="147">
        <v>2.1978021605494519E-2</v>
      </c>
      <c r="C34" s="147">
        <v>1.6E-2</v>
      </c>
      <c r="D34" s="147">
        <v>0</v>
      </c>
      <c r="E34" s="147">
        <v>0</v>
      </c>
      <c r="F34" s="147">
        <v>2.7392235066015042E-2</v>
      </c>
      <c r="G34" s="147">
        <v>4.5804195576180422E-2</v>
      </c>
      <c r="H34" s="147">
        <v>5.3557440551641633E-2</v>
      </c>
      <c r="I34" s="147">
        <v>5.3019595467814644E-2</v>
      </c>
      <c r="J34" s="147">
        <v>5.8208840572600368E-2</v>
      </c>
      <c r="K34" s="147">
        <v>5.993333428834665E-2</v>
      </c>
      <c r="L34" s="147">
        <v>4.9982504053481267E-3</v>
      </c>
      <c r="M34" s="147">
        <v>0</v>
      </c>
      <c r="N34" s="147">
        <v>0</v>
      </c>
      <c r="O34" s="147">
        <v>0</v>
      </c>
      <c r="P34" s="147">
        <v>0</v>
      </c>
      <c r="Q34" s="147">
        <v>0</v>
      </c>
      <c r="R34" s="147">
        <v>0</v>
      </c>
      <c r="S34" s="147">
        <v>2.199895297306604E-2</v>
      </c>
      <c r="T34" s="147">
        <v>0</v>
      </c>
      <c r="U34" s="147">
        <v>0</v>
      </c>
      <c r="V34" s="147">
        <v>0</v>
      </c>
      <c r="W34" s="147">
        <v>0</v>
      </c>
      <c r="X34" s="147">
        <v>0</v>
      </c>
      <c r="Y34" s="147">
        <v>0</v>
      </c>
      <c r="Z34" s="147">
        <v>0</v>
      </c>
      <c r="AA34" s="147">
        <v>2.9990002065144974E-2</v>
      </c>
      <c r="AB34" s="147">
        <v>7.4937368162694661E-3</v>
      </c>
      <c r="AC34" s="147">
        <v>3.2764505674473719E-2</v>
      </c>
      <c r="AD34" s="147">
        <v>0</v>
      </c>
      <c r="AE34" s="147">
        <v>0.12099619001324256</v>
      </c>
      <c r="AF34" s="147">
        <v>0</v>
      </c>
      <c r="AG34" s="147">
        <v>0.17006802695238096</v>
      </c>
      <c r="AH34" s="147">
        <v>0</v>
      </c>
      <c r="AI34" s="147">
        <v>1.1753645032722172E-2</v>
      </c>
      <c r="AJ34" s="147">
        <v>0</v>
      </c>
      <c r="AK34" s="147">
        <v>0</v>
      </c>
      <c r="AL34" s="147">
        <v>0</v>
      </c>
      <c r="AM34" s="147">
        <v>1.6187703605501976E-2</v>
      </c>
      <c r="AN34" s="147">
        <v>0</v>
      </c>
      <c r="AO34" s="147">
        <v>0</v>
      </c>
      <c r="AP34" s="147">
        <v>0</v>
      </c>
      <c r="AQ34" s="147">
        <v>0</v>
      </c>
      <c r="AR34" s="147">
        <v>0</v>
      </c>
      <c r="AS34" s="147">
        <v>0</v>
      </c>
      <c r="AT34" s="147">
        <v>0</v>
      </c>
    </row>
    <row r="35" spans="1:46" customFormat="1" x14ac:dyDescent="0.15">
      <c r="A35" s="185" t="s">
        <v>224</v>
      </c>
      <c r="B35" s="147">
        <v>0</v>
      </c>
      <c r="C35" s="147">
        <v>0</v>
      </c>
      <c r="D35" s="147">
        <v>0</v>
      </c>
      <c r="E35" s="147">
        <v>0</v>
      </c>
      <c r="F35" s="147">
        <v>1.4584821794882387E-2</v>
      </c>
      <c r="G35" s="147">
        <v>9.9989271039488468E-4</v>
      </c>
      <c r="H35" s="147">
        <v>2.6876652876829523E-2</v>
      </c>
      <c r="I35" s="147">
        <v>1.925711748783834E-2</v>
      </c>
      <c r="J35" s="147">
        <v>1.125412721070685E-2</v>
      </c>
      <c r="K35" s="147">
        <v>0</v>
      </c>
      <c r="L35" s="147">
        <v>0</v>
      </c>
      <c r="M35" s="147">
        <v>0</v>
      </c>
      <c r="N35" s="147">
        <v>0</v>
      </c>
      <c r="O35" s="147">
        <v>0</v>
      </c>
      <c r="P35" s="147">
        <v>0</v>
      </c>
      <c r="Q35" s="147">
        <v>0</v>
      </c>
      <c r="R35" s="147">
        <v>0</v>
      </c>
      <c r="S35" s="147">
        <v>0</v>
      </c>
      <c r="T35" s="147">
        <v>0</v>
      </c>
      <c r="U35" s="147">
        <v>0</v>
      </c>
      <c r="V35" s="147">
        <v>0</v>
      </c>
      <c r="W35" s="147">
        <v>0</v>
      </c>
      <c r="X35" s="147">
        <v>0</v>
      </c>
      <c r="Y35" s="147">
        <v>0</v>
      </c>
      <c r="Z35" s="147">
        <v>0</v>
      </c>
      <c r="AA35" s="147">
        <v>0</v>
      </c>
      <c r="AB35" s="147">
        <v>0</v>
      </c>
      <c r="AC35" s="147">
        <v>0</v>
      </c>
      <c r="AD35" s="147">
        <v>0</v>
      </c>
      <c r="AE35" s="147">
        <v>0</v>
      </c>
      <c r="AF35" s="147">
        <v>0</v>
      </c>
      <c r="AG35" s="147">
        <v>0</v>
      </c>
      <c r="AH35" s="147">
        <v>0</v>
      </c>
      <c r="AI35" s="147">
        <v>1.416007178036942E-2</v>
      </c>
      <c r="AJ35" s="147">
        <v>0</v>
      </c>
      <c r="AK35" s="147">
        <v>0</v>
      </c>
      <c r="AL35" s="147">
        <v>0</v>
      </c>
      <c r="AM35" s="147">
        <v>0</v>
      </c>
      <c r="AN35" s="147">
        <v>0</v>
      </c>
      <c r="AO35" s="147">
        <v>0</v>
      </c>
      <c r="AP35" s="147">
        <v>0</v>
      </c>
      <c r="AQ35" s="147">
        <v>0</v>
      </c>
      <c r="AR35" s="147">
        <v>0</v>
      </c>
      <c r="AS35" s="147">
        <v>0</v>
      </c>
      <c r="AT35" s="147">
        <v>0</v>
      </c>
    </row>
    <row r="36" spans="1:46" customFormat="1" x14ac:dyDescent="0.15">
      <c r="A36" s="185" t="s">
        <v>225</v>
      </c>
      <c r="B36" s="147">
        <v>2.1978021605494519E-2</v>
      </c>
      <c r="C36" s="147">
        <v>0</v>
      </c>
      <c r="D36" s="147">
        <v>0</v>
      </c>
      <c r="E36" s="147">
        <v>0</v>
      </c>
      <c r="F36" s="147">
        <v>1.3974567086728163E-2</v>
      </c>
      <c r="G36" s="147">
        <v>0</v>
      </c>
      <c r="H36" s="147">
        <v>7.7040760793519833E-2</v>
      </c>
      <c r="I36" s="147">
        <v>0</v>
      </c>
      <c r="J36" s="147">
        <v>5.3544633626718567E-2</v>
      </c>
      <c r="K36" s="147">
        <v>0</v>
      </c>
      <c r="L36" s="147">
        <v>0</v>
      </c>
      <c r="M36" s="147">
        <v>0</v>
      </c>
      <c r="N36" s="147">
        <v>0</v>
      </c>
      <c r="O36" s="147">
        <v>0.05</v>
      </c>
      <c r="P36" s="147">
        <v>0</v>
      </c>
      <c r="Q36" s="147">
        <v>0</v>
      </c>
      <c r="R36" s="147">
        <v>0</v>
      </c>
      <c r="S36" s="147">
        <v>0</v>
      </c>
      <c r="T36" s="147">
        <v>0</v>
      </c>
      <c r="U36" s="147">
        <v>0</v>
      </c>
      <c r="V36" s="147">
        <v>0</v>
      </c>
      <c r="W36" s="147">
        <v>0</v>
      </c>
      <c r="X36" s="147">
        <v>0</v>
      </c>
      <c r="Y36" s="147">
        <v>0</v>
      </c>
      <c r="Z36" s="147">
        <v>0</v>
      </c>
      <c r="AA36" s="147">
        <v>0</v>
      </c>
      <c r="AB36" s="147">
        <v>0</v>
      </c>
      <c r="AC36" s="147">
        <v>8.5975170195421568E-3</v>
      </c>
      <c r="AD36" s="147">
        <v>0</v>
      </c>
      <c r="AE36" s="147">
        <v>0</v>
      </c>
      <c r="AF36" s="147">
        <v>0</v>
      </c>
      <c r="AG36" s="147">
        <v>5.0020010280112055E-2</v>
      </c>
      <c r="AH36" s="147">
        <v>0</v>
      </c>
      <c r="AI36" s="147">
        <v>6.4378456574693432E-2</v>
      </c>
      <c r="AJ36" s="147">
        <v>0</v>
      </c>
      <c r="AK36" s="147">
        <v>0</v>
      </c>
      <c r="AL36" s="147">
        <v>0</v>
      </c>
      <c r="AM36" s="147">
        <v>3.2011643901891679E-2</v>
      </c>
      <c r="AN36" s="147">
        <v>0</v>
      </c>
      <c r="AO36" s="147">
        <v>0</v>
      </c>
      <c r="AP36" s="147">
        <v>0</v>
      </c>
      <c r="AQ36" s="147">
        <v>0</v>
      </c>
      <c r="AR36" s="147">
        <v>0</v>
      </c>
      <c r="AS36" s="147">
        <v>0</v>
      </c>
      <c r="AT36" s="147">
        <v>0</v>
      </c>
    </row>
    <row r="37" spans="1:46" customFormat="1" x14ac:dyDescent="0.15">
      <c r="A37" s="185" t="s">
        <v>226</v>
      </c>
      <c r="B37" s="147">
        <v>2.1978021605494519E-2</v>
      </c>
      <c r="C37" s="147">
        <v>2.5999999999999999E-2</v>
      </c>
      <c r="D37" s="147">
        <v>0</v>
      </c>
      <c r="E37" s="147">
        <v>0</v>
      </c>
      <c r="F37" s="147">
        <v>5.5902258346965966E-2</v>
      </c>
      <c r="G37" s="147">
        <v>3.3685372050193132E-3</v>
      </c>
      <c r="H37" s="147">
        <v>0.10053467103550712</v>
      </c>
      <c r="I37" s="147">
        <v>0</v>
      </c>
      <c r="J37" s="147">
        <v>5.4186540533033003E-3</v>
      </c>
      <c r="K37" s="147">
        <v>0</v>
      </c>
      <c r="L37" s="147">
        <v>0</v>
      </c>
      <c r="M37" s="147">
        <v>0</v>
      </c>
      <c r="N37" s="147">
        <v>0</v>
      </c>
      <c r="O37" s="147">
        <v>0.05</v>
      </c>
      <c r="P37" s="147">
        <v>0</v>
      </c>
      <c r="Q37" s="147">
        <v>0</v>
      </c>
      <c r="R37" s="147">
        <v>0</v>
      </c>
      <c r="S37" s="147">
        <v>0</v>
      </c>
      <c r="T37" s="147">
        <v>0</v>
      </c>
      <c r="U37" s="147">
        <v>0</v>
      </c>
      <c r="V37" s="147">
        <v>0</v>
      </c>
      <c r="W37" s="147">
        <v>0</v>
      </c>
      <c r="X37" s="147">
        <v>0</v>
      </c>
      <c r="Y37" s="147">
        <v>0</v>
      </c>
      <c r="Z37" s="147">
        <v>0</v>
      </c>
      <c r="AA37" s="147">
        <v>0</v>
      </c>
      <c r="AB37" s="147">
        <v>0</v>
      </c>
      <c r="AC37" s="147">
        <v>1.2982007129508102E-2</v>
      </c>
      <c r="AD37" s="147">
        <v>0</v>
      </c>
      <c r="AE37" s="147">
        <v>2.6933992757743838E-3</v>
      </c>
      <c r="AF37" s="147">
        <v>0</v>
      </c>
      <c r="AG37" s="147">
        <v>5.7022810319327738E-2</v>
      </c>
      <c r="AH37" s="147">
        <v>0</v>
      </c>
      <c r="AI37" s="147">
        <v>4.9025886770712561E-2</v>
      </c>
      <c r="AJ37" s="147">
        <v>0</v>
      </c>
      <c r="AK37" s="147">
        <v>0</v>
      </c>
      <c r="AL37" s="147">
        <v>0</v>
      </c>
      <c r="AM37" s="147">
        <v>4.0014551002364507E-2</v>
      </c>
      <c r="AN37" s="147">
        <v>0</v>
      </c>
      <c r="AO37" s="147">
        <v>0</v>
      </c>
      <c r="AP37" s="147">
        <v>0</v>
      </c>
      <c r="AQ37" s="147">
        <v>0</v>
      </c>
      <c r="AR37" s="147">
        <v>0</v>
      </c>
      <c r="AS37" s="147">
        <v>0</v>
      </c>
      <c r="AT37" s="147">
        <v>0</v>
      </c>
    </row>
    <row r="38" spans="1:46" customFormat="1" x14ac:dyDescent="0.15">
      <c r="A38" s="185" t="s">
        <v>227</v>
      </c>
      <c r="B38" s="147">
        <v>4.3956043310989033E-2</v>
      </c>
      <c r="C38" s="147">
        <v>0.13</v>
      </c>
      <c r="D38" s="147">
        <v>0</v>
      </c>
      <c r="E38" s="147">
        <v>0</v>
      </c>
      <c r="F38" s="147">
        <v>1.5131298702184411E-2</v>
      </c>
      <c r="G38" s="147">
        <v>1.4936150155276218E-2</v>
      </c>
      <c r="H38" s="147">
        <v>0.13240339036375492</v>
      </c>
      <c r="I38" s="147">
        <v>7.6951521549803628E-2</v>
      </c>
      <c r="J38" s="147">
        <v>5.4019810531392883E-2</v>
      </c>
      <c r="K38" s="147">
        <v>0</v>
      </c>
      <c r="L38" s="147">
        <v>0</v>
      </c>
      <c r="M38" s="147">
        <v>2.5999999714000003E-3</v>
      </c>
      <c r="N38" s="147">
        <v>0</v>
      </c>
      <c r="O38" s="147">
        <v>2.5000000000000001E-2</v>
      </c>
      <c r="P38" s="147">
        <v>9.9977783640057771E-2</v>
      </c>
      <c r="Q38" s="147">
        <v>0</v>
      </c>
      <c r="R38" s="147">
        <v>0</v>
      </c>
      <c r="S38" s="147">
        <v>0</v>
      </c>
      <c r="T38" s="147">
        <v>0</v>
      </c>
      <c r="U38" s="147">
        <v>0</v>
      </c>
      <c r="V38" s="147">
        <v>0</v>
      </c>
      <c r="W38" s="147">
        <v>0</v>
      </c>
      <c r="X38" s="147">
        <v>0</v>
      </c>
      <c r="Y38" s="147">
        <v>0</v>
      </c>
      <c r="Z38" s="147">
        <v>0</v>
      </c>
      <c r="AA38" s="147">
        <v>0</v>
      </c>
      <c r="AB38" s="147">
        <v>0</v>
      </c>
      <c r="AC38" s="147">
        <v>7.9227015580083007E-2</v>
      </c>
      <c r="AD38" s="147">
        <v>0</v>
      </c>
      <c r="AE38" s="147">
        <v>0</v>
      </c>
      <c r="AF38" s="147">
        <v>0</v>
      </c>
      <c r="AG38" s="147">
        <v>0</v>
      </c>
      <c r="AH38" s="147">
        <v>0</v>
      </c>
      <c r="AI38" s="147">
        <v>0.11196668621694038</v>
      </c>
      <c r="AJ38" s="147">
        <v>0.32983570000000006</v>
      </c>
      <c r="AK38" s="147">
        <v>9.8484404242424967E-2</v>
      </c>
      <c r="AL38" s="147">
        <v>5.4985233946406977E-3</v>
      </c>
      <c r="AM38" s="147">
        <v>8.3030192079906306E-2</v>
      </c>
      <c r="AN38" s="147">
        <v>0</v>
      </c>
      <c r="AO38" s="147">
        <v>0</v>
      </c>
      <c r="AP38" s="147">
        <v>0</v>
      </c>
      <c r="AQ38" s="147">
        <v>0</v>
      </c>
      <c r="AR38" s="147">
        <v>0</v>
      </c>
      <c r="AS38" s="147">
        <v>0</v>
      </c>
      <c r="AT38" s="147">
        <v>0</v>
      </c>
    </row>
    <row r="39" spans="1:46" x14ac:dyDescent="0.15">
      <c r="A39" s="185" t="s">
        <v>228</v>
      </c>
      <c r="B39" s="147">
        <v>3.7962036554945108E-2</v>
      </c>
      <c r="C39" s="147">
        <v>0.67300000000000004</v>
      </c>
      <c r="D39" s="147">
        <v>0</v>
      </c>
      <c r="E39" s="147">
        <v>4.3999999999999997E-2</v>
      </c>
      <c r="F39" s="147">
        <v>0.16306787917891297</v>
      </c>
      <c r="G39" s="147">
        <v>0.16753381674168158</v>
      </c>
      <c r="H39" s="147">
        <v>0.21911593025689405</v>
      </c>
      <c r="I39" s="147">
        <v>3.8475756374901728E-2</v>
      </c>
      <c r="J39" s="147">
        <v>0.20507519101732466</v>
      </c>
      <c r="K39" s="147">
        <v>0.19366666599293328</v>
      </c>
      <c r="L39" s="147">
        <v>8.696956009305741E-2</v>
      </c>
      <c r="M39" s="147">
        <v>0</v>
      </c>
      <c r="N39" s="147">
        <v>0</v>
      </c>
      <c r="O39" s="147">
        <v>0</v>
      </c>
      <c r="P39" s="147">
        <v>0</v>
      </c>
      <c r="Q39" s="147">
        <v>1.49940019127449E-2</v>
      </c>
      <c r="R39" s="147">
        <v>0</v>
      </c>
      <c r="S39" s="147">
        <v>9.3995519457645851E-2</v>
      </c>
      <c r="T39" s="147">
        <v>0</v>
      </c>
      <c r="U39" s="147">
        <v>0</v>
      </c>
      <c r="V39" s="147">
        <v>0</v>
      </c>
      <c r="W39" s="147">
        <v>0</v>
      </c>
      <c r="X39" s="147">
        <v>0</v>
      </c>
      <c r="Y39" s="147">
        <v>0</v>
      </c>
      <c r="Z39" s="147">
        <v>0.12499999991249999</v>
      </c>
      <c r="AA39" s="147">
        <v>0</v>
      </c>
      <c r="AB39" s="147">
        <v>0</v>
      </c>
      <c r="AC39" s="147">
        <v>2.6891393661124138E-2</v>
      </c>
      <c r="AD39" s="147">
        <v>0</v>
      </c>
      <c r="AE39" s="147">
        <v>0.1273523249088748</v>
      </c>
      <c r="AF39" s="147">
        <v>0</v>
      </c>
      <c r="AG39" s="147">
        <v>0</v>
      </c>
      <c r="AH39" s="147">
        <v>0</v>
      </c>
      <c r="AI39" s="147">
        <v>0.12288247243307295</v>
      </c>
      <c r="AJ39" s="147">
        <v>0</v>
      </c>
      <c r="AK39" s="147">
        <v>6.1363319901818695E-4</v>
      </c>
      <c r="AL39" s="147">
        <v>3.4473843617185214E-3</v>
      </c>
      <c r="AM39" s="147">
        <v>2.0007275501182253E-2</v>
      </c>
      <c r="AN39" s="147">
        <v>0</v>
      </c>
      <c r="AO39" s="147">
        <v>0</v>
      </c>
      <c r="AP39" s="147">
        <v>0</v>
      </c>
      <c r="AQ39" s="147">
        <v>0</v>
      </c>
      <c r="AR39" s="147">
        <v>0</v>
      </c>
      <c r="AS39" s="147">
        <v>0</v>
      </c>
      <c r="AT39" s="147">
        <v>0</v>
      </c>
    </row>
    <row r="40" spans="1:46" x14ac:dyDescent="0.15">
      <c r="A40" s="185" t="s">
        <v>229</v>
      </c>
      <c r="B40" s="147">
        <v>0</v>
      </c>
      <c r="C40" s="147">
        <v>0</v>
      </c>
      <c r="D40" s="147">
        <v>0</v>
      </c>
      <c r="E40" s="147">
        <v>7.9000000000000001E-2</v>
      </c>
      <c r="F40" s="147">
        <v>0.20821166278212419</v>
      </c>
      <c r="G40" s="147">
        <v>4.9787170517587428E-4</v>
      </c>
      <c r="H40" s="147">
        <v>6.1699312835502923E-2</v>
      </c>
      <c r="I40" s="147">
        <v>7.6951521549803628E-2</v>
      </c>
      <c r="J40" s="147">
        <v>1.8006602977130954E-3</v>
      </c>
      <c r="K40" s="147">
        <v>1.7999999906399996E-2</v>
      </c>
      <c r="L40" s="147">
        <v>2.0972660022440741E-2</v>
      </c>
      <c r="M40" s="147">
        <v>7.1162859217208538E-2</v>
      </c>
      <c r="N40" s="147">
        <v>0</v>
      </c>
      <c r="O40" s="147">
        <v>0.375</v>
      </c>
      <c r="P40" s="147">
        <v>0</v>
      </c>
      <c r="Q40" s="147">
        <v>0.70924010060285414</v>
      </c>
      <c r="R40" s="147">
        <v>0.49999998890000019</v>
      </c>
      <c r="S40" s="147">
        <v>0.30106899826283184</v>
      </c>
      <c r="T40" s="147">
        <v>0.3333333363999999</v>
      </c>
      <c r="U40" s="147">
        <v>0.50008332515419129</v>
      </c>
      <c r="V40" s="147">
        <v>0.30952380930000006</v>
      </c>
      <c r="W40" s="147">
        <v>8.5637231070465384E-4</v>
      </c>
      <c r="X40" s="147">
        <v>0.74999999549999996</v>
      </c>
      <c r="Y40" s="147">
        <v>0.19444445237500019</v>
      </c>
      <c r="Z40" s="147">
        <v>0.29166665679583331</v>
      </c>
      <c r="AA40" s="147">
        <v>0.53682105921609469</v>
      </c>
      <c r="AB40" s="147">
        <v>8.8009771482964655E-2</v>
      </c>
      <c r="AC40" s="147">
        <v>0.13878551131545946</v>
      </c>
      <c r="AD40" s="147">
        <v>0.25</v>
      </c>
      <c r="AE40" s="147">
        <v>0.31089135489516395</v>
      </c>
      <c r="AF40" s="147">
        <v>0.15597518261686541</v>
      </c>
      <c r="AG40" s="147">
        <v>0.23909562933893552</v>
      </c>
      <c r="AH40" s="147">
        <v>0</v>
      </c>
      <c r="AI40" s="147">
        <v>0.24521749185530634</v>
      </c>
      <c r="AJ40" s="147">
        <v>0.11064130000000001</v>
      </c>
      <c r="AK40" s="147">
        <v>0.10864285382617143</v>
      </c>
      <c r="AL40" s="147">
        <v>2.2985790144810475E-2</v>
      </c>
      <c r="AM40" s="147">
        <v>0.61113131530883946</v>
      </c>
      <c r="AN40" s="147">
        <v>0.05</v>
      </c>
      <c r="AO40" s="147">
        <v>0</v>
      </c>
      <c r="AP40" s="147">
        <v>0</v>
      </c>
      <c r="AQ40" s="147">
        <v>0</v>
      </c>
      <c r="AR40" s="147">
        <v>0</v>
      </c>
      <c r="AS40" s="147">
        <v>0</v>
      </c>
      <c r="AT40" s="147">
        <v>0</v>
      </c>
    </row>
    <row r="41" spans="1:46" x14ac:dyDescent="0.15">
      <c r="A41" s="185" t="s">
        <v>230</v>
      </c>
      <c r="B41" s="147">
        <v>0</v>
      </c>
      <c r="C41" s="147">
        <v>4.8000000000000001E-2</v>
      </c>
      <c r="D41" s="147">
        <v>0</v>
      </c>
      <c r="E41" s="147">
        <v>0.27600000000000002</v>
      </c>
      <c r="F41" s="147">
        <v>1.3755725883804007E-2</v>
      </c>
      <c r="G41" s="147">
        <v>0.17483593681759441</v>
      </c>
      <c r="H41" s="147">
        <v>1.3340388137405997E-3</v>
      </c>
      <c r="I41" s="147">
        <v>7.6951521549803628E-2</v>
      </c>
      <c r="J41" s="147">
        <v>1.7339690170570535E-2</v>
      </c>
      <c r="K41" s="147">
        <v>2.7333332057866668E-2</v>
      </c>
      <c r="L41" s="147">
        <v>4.7983210051342024E-3</v>
      </c>
      <c r="M41" s="147">
        <v>8.634431905021249E-2</v>
      </c>
      <c r="N41" s="147">
        <v>0.1</v>
      </c>
      <c r="O41" s="147">
        <v>0</v>
      </c>
      <c r="P41" s="147">
        <v>2.8327038426349697E-2</v>
      </c>
      <c r="Q41" s="147">
        <v>3.5700010030345002E-2</v>
      </c>
      <c r="R41" s="147">
        <v>0</v>
      </c>
      <c r="S41" s="147">
        <v>0.15899242408261369</v>
      </c>
      <c r="T41" s="147">
        <v>8.333333414999998E-2</v>
      </c>
      <c r="U41" s="147">
        <v>0.33338891676946253</v>
      </c>
      <c r="V41" s="147">
        <v>0.30952380930000006</v>
      </c>
      <c r="W41" s="147">
        <v>1.3757115371963941E-2</v>
      </c>
      <c r="X41" s="147">
        <v>0.16666667099999996</v>
      </c>
      <c r="Y41" s="147">
        <v>0.65577776675499977</v>
      </c>
      <c r="Z41" s="147">
        <v>0.12499999991249999</v>
      </c>
      <c r="AA41" s="147">
        <v>0</v>
      </c>
      <c r="AB41" s="147">
        <v>0.34271354077472321</v>
      </c>
      <c r="AC41" s="147">
        <v>0.36174592482224849</v>
      </c>
      <c r="AD41" s="147">
        <v>0.375</v>
      </c>
      <c r="AE41" s="147">
        <v>0.16421235830363307</v>
      </c>
      <c r="AF41" s="147">
        <v>0.65384711935387474</v>
      </c>
      <c r="AG41" s="147">
        <v>0.26910764150700278</v>
      </c>
      <c r="AH41" s="147">
        <v>1</v>
      </c>
      <c r="AI41" s="147">
        <v>2.426420758043131E-2</v>
      </c>
      <c r="AJ41" s="147">
        <v>0.21287737800000003</v>
      </c>
      <c r="AK41" s="147">
        <v>0.39717829936451476</v>
      </c>
      <c r="AL41" s="147">
        <v>0.17520980110382173</v>
      </c>
      <c r="AM41" s="147">
        <v>8.0029102004729014E-2</v>
      </c>
      <c r="AN41" s="147">
        <v>0.5</v>
      </c>
      <c r="AO41" s="147">
        <v>0.02</v>
      </c>
      <c r="AP41" s="147">
        <v>0</v>
      </c>
      <c r="AQ41" s="147">
        <v>0</v>
      </c>
      <c r="AR41" s="147">
        <v>0</v>
      </c>
      <c r="AS41" s="147">
        <v>0</v>
      </c>
      <c r="AT41" s="147">
        <v>0</v>
      </c>
    </row>
    <row r="42" spans="1:46" x14ac:dyDescent="0.15">
      <c r="A42" s="185" t="s">
        <v>231</v>
      </c>
      <c r="B42" s="147">
        <v>0.7532467693428565</v>
      </c>
      <c r="C42" s="147">
        <v>0</v>
      </c>
      <c r="D42" s="147">
        <v>0.1</v>
      </c>
      <c r="E42" s="147">
        <v>3.4000000000000002E-2</v>
      </c>
      <c r="F42" s="147">
        <v>2.2759473304112078E-2</v>
      </c>
      <c r="G42" s="147">
        <v>7.1361610741875314E-3</v>
      </c>
      <c r="H42" s="147">
        <v>5.3695075753059276E-2</v>
      </c>
      <c r="I42" s="147">
        <v>3.8475756374901728E-2</v>
      </c>
      <c r="J42" s="147">
        <v>3.8013940373943136E-2</v>
      </c>
      <c r="K42" s="147">
        <v>2.6999999859599996E-2</v>
      </c>
      <c r="L42" s="147">
        <v>1.3995100714974756E-3</v>
      </c>
      <c r="M42" s="147">
        <v>0.1658078711761134</v>
      </c>
      <c r="N42" s="147">
        <v>0</v>
      </c>
      <c r="O42" s="147">
        <v>0</v>
      </c>
      <c r="P42" s="147">
        <v>0.22217285542235057</v>
      </c>
      <c r="Q42" s="147">
        <v>1.7850004115172503E-2</v>
      </c>
      <c r="R42" s="147">
        <v>0</v>
      </c>
      <c r="S42" s="147">
        <v>2.2498927870181185E-3</v>
      </c>
      <c r="T42" s="147">
        <v>0</v>
      </c>
      <c r="U42" s="147">
        <v>0</v>
      </c>
      <c r="V42" s="147">
        <v>0.16666666570000005</v>
      </c>
      <c r="W42" s="147">
        <v>0.10704651633808145</v>
      </c>
      <c r="X42" s="147">
        <v>0</v>
      </c>
      <c r="Y42" s="147">
        <v>5.9444443737499984E-2</v>
      </c>
      <c r="Z42" s="147">
        <v>0</v>
      </c>
      <c r="AA42" s="147">
        <v>0</v>
      </c>
      <c r="AB42" s="147">
        <v>1.3738516931494011E-2</v>
      </c>
      <c r="AC42" s="147">
        <v>2.6409005760027672E-2</v>
      </c>
      <c r="AD42" s="147">
        <v>0</v>
      </c>
      <c r="AE42" s="147">
        <v>0</v>
      </c>
      <c r="AF42" s="147">
        <v>7.0731102093640627E-2</v>
      </c>
      <c r="AG42" s="147">
        <v>2.360944463221289E-2</v>
      </c>
      <c r="AH42" s="147">
        <v>0</v>
      </c>
      <c r="AI42" s="147">
        <v>0.24536982685832257</v>
      </c>
      <c r="AJ42" s="147">
        <v>0.15056790000000003</v>
      </c>
      <c r="AK42" s="147">
        <v>0.31891809948973104</v>
      </c>
      <c r="AL42" s="147">
        <v>0.20241184627519462</v>
      </c>
      <c r="AM42" s="147">
        <v>0</v>
      </c>
      <c r="AN42" s="147">
        <v>0.1</v>
      </c>
      <c r="AO42" s="147">
        <v>0</v>
      </c>
      <c r="AP42" s="147">
        <v>0.02</v>
      </c>
      <c r="AQ42" s="147">
        <v>0</v>
      </c>
      <c r="AR42" s="147">
        <v>0</v>
      </c>
      <c r="AS42" s="147">
        <v>0</v>
      </c>
      <c r="AT42" s="147">
        <v>0</v>
      </c>
    </row>
    <row r="43" spans="1:46" x14ac:dyDescent="0.15">
      <c r="A43" s="185" t="s">
        <v>232</v>
      </c>
      <c r="B43" s="147">
        <v>0</v>
      </c>
      <c r="C43" s="147">
        <v>0</v>
      </c>
      <c r="D43" s="147">
        <v>0</v>
      </c>
      <c r="E43" s="147">
        <v>0</v>
      </c>
      <c r="F43" s="147">
        <v>0</v>
      </c>
      <c r="G43" s="147">
        <v>0</v>
      </c>
      <c r="H43" s="147">
        <v>0</v>
      </c>
      <c r="I43" s="147">
        <v>0</v>
      </c>
      <c r="J43" s="147">
        <v>1.0003668398406088E-2</v>
      </c>
      <c r="K43" s="147">
        <v>3.583333251366666E-2</v>
      </c>
      <c r="L43" s="147">
        <v>1.1995802612835506E-3</v>
      </c>
      <c r="M43" s="147">
        <v>0.23288495543826548</v>
      </c>
      <c r="N43" s="147">
        <v>0.4</v>
      </c>
      <c r="O43" s="147">
        <v>0.06</v>
      </c>
      <c r="P43" s="147">
        <v>0.50188845269509008</v>
      </c>
      <c r="Q43" s="147">
        <v>0</v>
      </c>
      <c r="R43" s="147">
        <v>0</v>
      </c>
      <c r="S43" s="147">
        <v>2.4998809855756865E-3</v>
      </c>
      <c r="T43" s="147">
        <v>0</v>
      </c>
      <c r="U43" s="147">
        <v>0</v>
      </c>
      <c r="V43" s="147">
        <v>7.1428571900000001E-2</v>
      </c>
      <c r="W43" s="147">
        <v>0.10752122234401527</v>
      </c>
      <c r="X43" s="147">
        <v>0</v>
      </c>
      <c r="Y43" s="147">
        <v>0</v>
      </c>
      <c r="Z43" s="147">
        <v>0.16666667188333331</v>
      </c>
      <c r="AA43" s="147">
        <v>0</v>
      </c>
      <c r="AB43" s="147">
        <v>0.24904184419635508</v>
      </c>
      <c r="AC43" s="147">
        <v>4.9988470113623792E-6</v>
      </c>
      <c r="AD43" s="147">
        <v>0.2</v>
      </c>
      <c r="AE43" s="147">
        <v>0</v>
      </c>
      <c r="AF43" s="147">
        <v>5.9261293954134306E-2</v>
      </c>
      <c r="AG43" s="147">
        <v>0</v>
      </c>
      <c r="AH43" s="147">
        <v>0</v>
      </c>
      <c r="AI43" s="147">
        <v>7.8747991559210237E-2</v>
      </c>
      <c r="AJ43" s="147">
        <v>0.10083962200000002</v>
      </c>
      <c r="AK43" s="147">
        <v>7.6162709878139667E-2</v>
      </c>
      <c r="AL43" s="147">
        <v>0.59044665471981395</v>
      </c>
      <c r="AM43" s="147">
        <v>0</v>
      </c>
      <c r="AN43" s="147">
        <v>0.1</v>
      </c>
      <c r="AO43" s="147">
        <v>0.15</v>
      </c>
      <c r="AP43" s="147">
        <v>0.78</v>
      </c>
      <c r="AQ43" s="147">
        <v>0</v>
      </c>
      <c r="AR43" s="147">
        <v>0</v>
      </c>
      <c r="AS43" s="147">
        <v>0</v>
      </c>
      <c r="AT43" s="147">
        <v>0</v>
      </c>
    </row>
    <row r="44" spans="1:46" x14ac:dyDescent="0.15">
      <c r="A44" s="185" t="s">
        <v>233</v>
      </c>
      <c r="B44" s="147">
        <v>0</v>
      </c>
      <c r="C44" s="147">
        <v>0</v>
      </c>
      <c r="D44" s="147">
        <v>0.9</v>
      </c>
      <c r="E44" s="147">
        <v>0</v>
      </c>
      <c r="F44" s="147">
        <v>4.3768217484830918E-3</v>
      </c>
      <c r="G44" s="147">
        <v>0</v>
      </c>
      <c r="H44" s="147">
        <v>0</v>
      </c>
      <c r="I44" s="147">
        <v>0</v>
      </c>
      <c r="J44" s="147">
        <v>0</v>
      </c>
      <c r="K44" s="147">
        <v>0</v>
      </c>
      <c r="L44" s="147">
        <v>0</v>
      </c>
      <c r="M44" s="147">
        <v>0.21299999765700001</v>
      </c>
      <c r="N44" s="147">
        <v>0.5</v>
      </c>
      <c r="O44" s="147">
        <v>0</v>
      </c>
      <c r="P44" s="147">
        <v>0.10097756973745832</v>
      </c>
      <c r="Q44" s="147">
        <v>0</v>
      </c>
      <c r="R44" s="147">
        <v>0</v>
      </c>
      <c r="S44" s="147">
        <v>0</v>
      </c>
      <c r="T44" s="147">
        <v>0</v>
      </c>
      <c r="U44" s="147">
        <v>0</v>
      </c>
      <c r="V44" s="147">
        <v>7.1428571900000001E-2</v>
      </c>
      <c r="W44" s="147">
        <v>0.48670640608383003</v>
      </c>
      <c r="X44" s="147">
        <v>0</v>
      </c>
      <c r="Y44" s="147">
        <v>9.0333337132500094E-2</v>
      </c>
      <c r="Z44" s="147">
        <v>0</v>
      </c>
      <c r="AA44" s="147">
        <v>0</v>
      </c>
      <c r="AB44" s="147">
        <v>0.25678536732683344</v>
      </c>
      <c r="AC44" s="147">
        <v>5.2487896919304992E-3</v>
      </c>
      <c r="AD44" s="147">
        <v>0</v>
      </c>
      <c r="AE44" s="147">
        <v>7.174773882190213E-3</v>
      </c>
      <c r="AF44" s="147">
        <v>4.4452214115785538E-2</v>
      </c>
      <c r="AG44" s="147">
        <v>0</v>
      </c>
      <c r="AH44" s="147">
        <v>0</v>
      </c>
      <c r="AI44" s="147">
        <v>0</v>
      </c>
      <c r="AJ44" s="147">
        <v>0</v>
      </c>
      <c r="AK44" s="147">
        <v>0</v>
      </c>
      <c r="AL44" s="147">
        <v>0</v>
      </c>
      <c r="AM44" s="147">
        <v>0</v>
      </c>
      <c r="AN44" s="147">
        <v>0</v>
      </c>
      <c r="AO44" s="147">
        <v>0.03</v>
      </c>
      <c r="AP44" s="147">
        <v>0.1</v>
      </c>
      <c r="AQ44" s="147">
        <v>0.9</v>
      </c>
      <c r="AR44" s="147">
        <v>0</v>
      </c>
      <c r="AS44" s="147">
        <v>0</v>
      </c>
      <c r="AT44" s="147">
        <v>0</v>
      </c>
    </row>
    <row r="45" spans="1:46" x14ac:dyDescent="0.15">
      <c r="A45" s="185" t="s">
        <v>234</v>
      </c>
      <c r="B45" s="147">
        <v>0</v>
      </c>
      <c r="C45" s="147">
        <v>0</v>
      </c>
      <c r="D45" s="147">
        <v>0</v>
      </c>
      <c r="E45" s="147">
        <v>0</v>
      </c>
      <c r="F45" s="147">
        <v>4.6269260618249852E-3</v>
      </c>
      <c r="G45" s="147">
        <v>8.2978620862645749E-2</v>
      </c>
      <c r="H45" s="147">
        <v>0</v>
      </c>
      <c r="I45" s="147">
        <v>0</v>
      </c>
      <c r="J45" s="147">
        <v>0</v>
      </c>
      <c r="K45" s="147">
        <v>3.3333299826666832E-4</v>
      </c>
      <c r="L45" s="147">
        <v>2.1992302523531756E-3</v>
      </c>
      <c r="M45" s="147">
        <v>0.18999999791000002</v>
      </c>
      <c r="N45" s="147">
        <v>0</v>
      </c>
      <c r="O45" s="147">
        <v>0</v>
      </c>
      <c r="P45" s="147">
        <v>1.999555704801155E-2</v>
      </c>
      <c r="Q45" s="147">
        <v>3.5842801430466379E-3</v>
      </c>
      <c r="R45" s="147">
        <v>0</v>
      </c>
      <c r="S45" s="147">
        <v>0</v>
      </c>
      <c r="T45" s="147">
        <v>0.16666666869999994</v>
      </c>
      <c r="U45" s="147">
        <v>0</v>
      </c>
      <c r="V45" s="147">
        <v>7.1428571900000001E-2</v>
      </c>
      <c r="W45" s="147">
        <v>0.28411236755140457</v>
      </c>
      <c r="X45" s="147">
        <v>0</v>
      </c>
      <c r="Y45" s="147">
        <v>0</v>
      </c>
      <c r="Z45" s="147">
        <v>0</v>
      </c>
      <c r="AA45" s="147">
        <v>0</v>
      </c>
      <c r="AB45" s="147">
        <v>9.2422751557323362E-3</v>
      </c>
      <c r="AC45" s="147">
        <v>0</v>
      </c>
      <c r="AD45" s="147">
        <v>0.17499999999999999</v>
      </c>
      <c r="AE45" s="147">
        <v>0</v>
      </c>
      <c r="AF45" s="147">
        <v>1.5733087865699404E-2</v>
      </c>
      <c r="AG45" s="147">
        <v>4.1016407529691885E-2</v>
      </c>
      <c r="AH45" s="147">
        <v>0</v>
      </c>
      <c r="AI45" s="147">
        <v>0</v>
      </c>
      <c r="AJ45" s="147">
        <v>0</v>
      </c>
      <c r="AK45" s="147">
        <v>0</v>
      </c>
      <c r="AL45" s="147">
        <v>0</v>
      </c>
      <c r="AM45" s="147">
        <v>0</v>
      </c>
      <c r="AN45" s="147">
        <v>0.25</v>
      </c>
      <c r="AO45" s="147">
        <v>0.8</v>
      </c>
      <c r="AP45" s="147">
        <v>0.1</v>
      </c>
      <c r="AQ45" s="147">
        <v>0.1</v>
      </c>
      <c r="AR45" s="147">
        <v>0</v>
      </c>
      <c r="AS45" s="147">
        <v>0</v>
      </c>
      <c r="AT45" s="147">
        <v>0</v>
      </c>
    </row>
    <row r="46" spans="1:46" x14ac:dyDescent="0.15">
      <c r="A46" s="185" t="s">
        <v>235</v>
      </c>
      <c r="B46" s="147">
        <v>0</v>
      </c>
      <c r="C46" s="147">
        <v>0</v>
      </c>
      <c r="D46" s="147">
        <v>0</v>
      </c>
      <c r="E46" s="147">
        <v>0</v>
      </c>
      <c r="F46" s="147">
        <v>0</v>
      </c>
      <c r="G46" s="147">
        <v>0</v>
      </c>
      <c r="H46" s="147">
        <v>0</v>
      </c>
      <c r="I46" s="147">
        <v>0</v>
      </c>
      <c r="J46" s="147">
        <v>0</v>
      </c>
      <c r="K46" s="147">
        <v>0</v>
      </c>
      <c r="L46" s="147">
        <v>0</v>
      </c>
      <c r="M46" s="147">
        <v>0</v>
      </c>
      <c r="N46" s="147">
        <v>0</v>
      </c>
      <c r="O46" s="147">
        <v>0</v>
      </c>
      <c r="P46" s="147">
        <v>0</v>
      </c>
      <c r="Q46" s="147">
        <v>0</v>
      </c>
      <c r="R46" s="147">
        <v>0</v>
      </c>
      <c r="S46" s="147">
        <v>0</v>
      </c>
      <c r="T46" s="147">
        <v>0</v>
      </c>
      <c r="U46" s="147">
        <v>0</v>
      </c>
      <c r="V46" s="147">
        <v>0</v>
      </c>
      <c r="W46" s="147">
        <v>0</v>
      </c>
      <c r="X46" s="147">
        <v>0</v>
      </c>
      <c r="Y46" s="147">
        <v>0</v>
      </c>
      <c r="Z46" s="147">
        <v>0</v>
      </c>
      <c r="AA46" s="147">
        <v>0</v>
      </c>
      <c r="AB46" s="147">
        <v>0</v>
      </c>
      <c r="AC46" s="147">
        <v>0</v>
      </c>
      <c r="AD46" s="147">
        <v>0</v>
      </c>
      <c r="AE46" s="147">
        <v>0</v>
      </c>
      <c r="AF46" s="147">
        <v>0</v>
      </c>
      <c r="AG46" s="147">
        <v>0</v>
      </c>
      <c r="AH46" s="147">
        <v>0</v>
      </c>
      <c r="AI46" s="147">
        <v>0</v>
      </c>
      <c r="AJ46" s="147">
        <v>0</v>
      </c>
      <c r="AK46" s="147">
        <v>0</v>
      </c>
      <c r="AL46" s="147">
        <v>0</v>
      </c>
      <c r="AM46" s="147">
        <v>0</v>
      </c>
      <c r="AN46" s="147">
        <v>0</v>
      </c>
      <c r="AO46" s="147">
        <v>0</v>
      </c>
      <c r="AP46" s="147">
        <v>0</v>
      </c>
      <c r="AQ46" s="147">
        <v>0</v>
      </c>
      <c r="AR46" s="147">
        <v>0</v>
      </c>
      <c r="AS46" s="147">
        <v>0</v>
      </c>
      <c r="AT46" s="147">
        <v>0</v>
      </c>
    </row>
    <row r="47" spans="1:46" x14ac:dyDescent="0.15">
      <c r="A47" s="185" t="s">
        <v>238</v>
      </c>
      <c r="B47" s="147">
        <v>0</v>
      </c>
      <c r="C47" s="147">
        <v>0</v>
      </c>
      <c r="D47" s="147">
        <v>0</v>
      </c>
      <c r="E47" s="147">
        <v>0.128</v>
      </c>
      <c r="F47" s="147">
        <v>0</v>
      </c>
      <c r="G47" s="147">
        <v>0</v>
      </c>
      <c r="H47" s="147">
        <v>0</v>
      </c>
      <c r="I47" s="147">
        <v>0</v>
      </c>
      <c r="J47" s="147">
        <v>0</v>
      </c>
      <c r="K47" s="147">
        <v>0</v>
      </c>
      <c r="L47" s="147">
        <v>0</v>
      </c>
      <c r="M47" s="147">
        <v>0</v>
      </c>
      <c r="N47" s="147">
        <v>0</v>
      </c>
      <c r="O47" s="147">
        <v>0</v>
      </c>
      <c r="P47" s="147">
        <v>0</v>
      </c>
      <c r="Q47" s="147">
        <v>0</v>
      </c>
      <c r="R47" s="147">
        <v>0</v>
      </c>
      <c r="S47" s="147">
        <v>0</v>
      </c>
      <c r="T47" s="147">
        <v>0</v>
      </c>
      <c r="U47" s="147">
        <v>0</v>
      </c>
      <c r="V47" s="147">
        <v>0</v>
      </c>
      <c r="W47" s="147">
        <v>0</v>
      </c>
      <c r="X47" s="147">
        <v>0</v>
      </c>
      <c r="Y47" s="147">
        <v>0</v>
      </c>
      <c r="Z47" s="147">
        <v>0</v>
      </c>
      <c r="AA47" s="147">
        <v>0</v>
      </c>
      <c r="AB47" s="147">
        <v>3.0000000505500013E-3</v>
      </c>
      <c r="AC47" s="147">
        <v>0</v>
      </c>
      <c r="AD47" s="147">
        <v>0</v>
      </c>
      <c r="AE47" s="147">
        <v>0</v>
      </c>
      <c r="AF47" s="147">
        <v>0</v>
      </c>
      <c r="AG47" s="147">
        <v>0</v>
      </c>
      <c r="AH47" s="147">
        <v>0</v>
      </c>
      <c r="AI47" s="147">
        <v>0</v>
      </c>
      <c r="AJ47" s="147">
        <v>0</v>
      </c>
      <c r="AK47" s="147">
        <v>0</v>
      </c>
      <c r="AL47" s="147">
        <v>0</v>
      </c>
      <c r="AM47" s="147">
        <v>0</v>
      </c>
      <c r="AN47" s="147">
        <v>0</v>
      </c>
      <c r="AO47" s="147">
        <v>0</v>
      </c>
      <c r="AP47" s="147">
        <v>0</v>
      </c>
      <c r="AQ47" s="147">
        <v>0</v>
      </c>
      <c r="AR47" s="147">
        <v>0</v>
      </c>
      <c r="AS47" s="147">
        <v>0</v>
      </c>
      <c r="AT47" s="147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G51" sqref="G51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1" style="115" customWidth="1"/>
    <col min="5" max="6" width="11" style="114" customWidth="1"/>
    <col min="7" max="8" width="8.83203125" style="115"/>
  </cols>
  <sheetData>
    <row r="1" spans="1:8" ht="70" x14ac:dyDescent="0.15">
      <c r="A1" s="5" t="s">
        <v>20</v>
      </c>
      <c r="B1" s="1" t="s">
        <v>0</v>
      </c>
      <c r="C1" s="188" t="s">
        <v>234</v>
      </c>
      <c r="D1" s="188" t="s">
        <v>235</v>
      </c>
      <c r="E1" s="188" t="s">
        <v>239</v>
      </c>
      <c r="F1" s="188" t="s">
        <v>240</v>
      </c>
      <c r="G1"/>
      <c r="H1"/>
    </row>
    <row r="2" spans="1:8" x14ac:dyDescent="0.15">
      <c r="A2">
        <v>1</v>
      </c>
      <c r="B2" s="187" t="s">
        <v>191</v>
      </c>
      <c r="C2" s="115">
        <v>1</v>
      </c>
      <c r="D2" s="115">
        <v>0</v>
      </c>
      <c r="E2" s="114">
        <v>0</v>
      </c>
      <c r="F2" s="114">
        <v>1</v>
      </c>
      <c r="G2"/>
      <c r="H2"/>
    </row>
    <row r="3" spans="1:8" x14ac:dyDescent="0.15">
      <c r="A3">
        <v>2</v>
      </c>
      <c r="B3" s="187" t="s">
        <v>192</v>
      </c>
      <c r="C3" s="115">
        <v>1</v>
      </c>
      <c r="D3" s="115">
        <v>0</v>
      </c>
      <c r="E3" s="114">
        <v>0</v>
      </c>
      <c r="F3" s="114">
        <v>1</v>
      </c>
      <c r="G3"/>
      <c r="H3"/>
    </row>
    <row r="4" spans="1:8" x14ac:dyDescent="0.15">
      <c r="A4">
        <v>3</v>
      </c>
      <c r="B4" s="187" t="s">
        <v>193</v>
      </c>
      <c r="C4" s="115">
        <v>1</v>
      </c>
      <c r="D4" s="115">
        <v>0</v>
      </c>
      <c r="E4" s="114">
        <v>0</v>
      </c>
      <c r="F4" s="114">
        <v>1</v>
      </c>
      <c r="G4"/>
      <c r="H4"/>
    </row>
    <row r="5" spans="1:8" x14ac:dyDescent="0.15">
      <c r="A5">
        <v>4</v>
      </c>
      <c r="B5" s="187" t="s">
        <v>194</v>
      </c>
      <c r="C5" s="115">
        <v>1</v>
      </c>
      <c r="D5" s="115">
        <v>0</v>
      </c>
      <c r="E5" s="114">
        <v>0</v>
      </c>
      <c r="F5" s="114">
        <v>1</v>
      </c>
      <c r="G5"/>
      <c r="H5"/>
    </row>
    <row r="6" spans="1:8" x14ac:dyDescent="0.15">
      <c r="A6">
        <v>5</v>
      </c>
      <c r="B6" s="187" t="s">
        <v>195</v>
      </c>
      <c r="C6" s="115">
        <v>1</v>
      </c>
      <c r="D6" s="115">
        <v>0</v>
      </c>
      <c r="E6" s="114">
        <v>0</v>
      </c>
      <c r="F6" s="114">
        <v>1</v>
      </c>
      <c r="G6"/>
      <c r="H6"/>
    </row>
    <row r="7" spans="1:8" x14ac:dyDescent="0.15">
      <c r="A7">
        <v>6</v>
      </c>
      <c r="B7" s="187" t="s">
        <v>196</v>
      </c>
      <c r="C7" s="115">
        <v>1</v>
      </c>
      <c r="D7" s="115">
        <v>0</v>
      </c>
      <c r="E7" s="114">
        <v>0</v>
      </c>
      <c r="F7" s="114">
        <v>1</v>
      </c>
      <c r="G7"/>
      <c r="H7"/>
    </row>
    <row r="8" spans="1:8" x14ac:dyDescent="0.15">
      <c r="A8">
        <v>7</v>
      </c>
      <c r="B8" s="187" t="s">
        <v>197</v>
      </c>
      <c r="C8" s="115">
        <v>1</v>
      </c>
      <c r="D8" s="115">
        <v>0</v>
      </c>
      <c r="E8" s="114">
        <v>0</v>
      </c>
      <c r="F8" s="114">
        <v>1</v>
      </c>
      <c r="G8"/>
      <c r="H8"/>
    </row>
    <row r="9" spans="1:8" x14ac:dyDescent="0.15">
      <c r="A9">
        <v>8</v>
      </c>
      <c r="B9" s="187" t="s">
        <v>198</v>
      </c>
      <c r="C9" s="115">
        <v>1</v>
      </c>
      <c r="D9" s="115">
        <v>0</v>
      </c>
      <c r="E9" s="114">
        <v>0</v>
      </c>
      <c r="F9" s="114">
        <v>1</v>
      </c>
      <c r="G9"/>
      <c r="H9"/>
    </row>
    <row r="10" spans="1:8" x14ac:dyDescent="0.15">
      <c r="A10">
        <v>9</v>
      </c>
      <c r="B10" s="187" t="s">
        <v>199</v>
      </c>
      <c r="C10" s="115">
        <v>1</v>
      </c>
      <c r="D10" s="115">
        <v>0</v>
      </c>
      <c r="E10" s="114">
        <v>0</v>
      </c>
      <c r="F10" s="114">
        <v>1</v>
      </c>
      <c r="G10"/>
      <c r="H10"/>
    </row>
    <row r="11" spans="1:8" x14ac:dyDescent="0.15">
      <c r="A11">
        <v>10</v>
      </c>
      <c r="B11" s="187" t="s">
        <v>200</v>
      </c>
      <c r="C11" s="115">
        <v>1</v>
      </c>
      <c r="D11" s="115">
        <v>0</v>
      </c>
      <c r="E11" s="114">
        <v>0</v>
      </c>
      <c r="F11" s="114">
        <v>1</v>
      </c>
      <c r="G11"/>
      <c r="H11"/>
    </row>
    <row r="12" spans="1:8" x14ac:dyDescent="0.15">
      <c r="A12">
        <v>11</v>
      </c>
      <c r="B12" s="187" t="s">
        <v>201</v>
      </c>
      <c r="C12" s="115">
        <v>1</v>
      </c>
      <c r="D12" s="115">
        <v>0</v>
      </c>
      <c r="E12" s="114">
        <v>0</v>
      </c>
      <c r="F12" s="114">
        <v>1</v>
      </c>
      <c r="G12"/>
      <c r="H12"/>
    </row>
    <row r="13" spans="1:8" x14ac:dyDescent="0.15">
      <c r="A13">
        <v>12</v>
      </c>
      <c r="B13" s="187" t="s">
        <v>202</v>
      </c>
      <c r="C13" s="115">
        <v>1</v>
      </c>
      <c r="D13" s="115">
        <v>0</v>
      </c>
      <c r="E13" s="114">
        <v>0</v>
      </c>
      <c r="F13" s="114">
        <v>1</v>
      </c>
      <c r="G13"/>
      <c r="H13"/>
    </row>
    <row r="14" spans="1:8" x14ac:dyDescent="0.15">
      <c r="A14">
        <v>13</v>
      </c>
      <c r="B14" s="187" t="s">
        <v>203</v>
      </c>
      <c r="C14" s="115">
        <v>1</v>
      </c>
      <c r="D14" s="115">
        <v>0</v>
      </c>
      <c r="E14" s="114">
        <v>0</v>
      </c>
      <c r="F14" s="114">
        <v>1</v>
      </c>
      <c r="G14"/>
      <c r="H14"/>
    </row>
    <row r="15" spans="1:8" x14ac:dyDescent="0.15">
      <c r="A15">
        <v>14</v>
      </c>
      <c r="B15" s="187" t="s">
        <v>204</v>
      </c>
      <c r="C15" s="115">
        <v>1</v>
      </c>
      <c r="D15" s="115">
        <v>0</v>
      </c>
      <c r="E15" s="114">
        <v>0</v>
      </c>
      <c r="F15" s="114">
        <v>1</v>
      </c>
      <c r="G15"/>
      <c r="H15"/>
    </row>
    <row r="16" spans="1:8" x14ac:dyDescent="0.15">
      <c r="A16">
        <v>15</v>
      </c>
      <c r="B16" s="187" t="s">
        <v>205</v>
      </c>
      <c r="C16" s="115">
        <v>1</v>
      </c>
      <c r="D16" s="115">
        <v>0</v>
      </c>
      <c r="E16" s="114">
        <v>0</v>
      </c>
      <c r="F16" s="114">
        <v>1</v>
      </c>
      <c r="G16"/>
      <c r="H16"/>
    </row>
    <row r="17" spans="1:8" ht="15" customHeight="1" x14ac:dyDescent="0.15">
      <c r="A17">
        <v>16</v>
      </c>
      <c r="B17" s="187" t="s">
        <v>206</v>
      </c>
      <c r="C17" s="115">
        <v>1</v>
      </c>
      <c r="D17" s="115">
        <v>0</v>
      </c>
      <c r="E17" s="114">
        <v>0</v>
      </c>
      <c r="F17" s="114">
        <v>1</v>
      </c>
      <c r="G17"/>
      <c r="H17"/>
    </row>
    <row r="18" spans="1:8" ht="15" customHeight="1" x14ac:dyDescent="0.15">
      <c r="A18">
        <v>17</v>
      </c>
      <c r="B18" s="187" t="s">
        <v>207</v>
      </c>
      <c r="C18" s="115">
        <v>1</v>
      </c>
      <c r="D18" s="115">
        <v>0</v>
      </c>
      <c r="E18" s="114">
        <v>0</v>
      </c>
      <c r="F18" s="114">
        <v>1</v>
      </c>
      <c r="G18"/>
      <c r="H18"/>
    </row>
    <row r="19" spans="1:8" ht="15" customHeight="1" x14ac:dyDescent="0.15">
      <c r="A19">
        <v>18</v>
      </c>
      <c r="B19" s="187" t="s">
        <v>208</v>
      </c>
      <c r="C19" s="115">
        <v>1</v>
      </c>
      <c r="D19" s="115">
        <v>0</v>
      </c>
      <c r="E19" s="114">
        <v>0</v>
      </c>
      <c r="F19" s="114">
        <v>1</v>
      </c>
      <c r="G19"/>
      <c r="H19"/>
    </row>
    <row r="20" spans="1:8" ht="15" customHeight="1" x14ac:dyDescent="0.15">
      <c r="A20">
        <v>19</v>
      </c>
      <c r="B20" s="187" t="s">
        <v>209</v>
      </c>
      <c r="C20" s="115">
        <v>1</v>
      </c>
      <c r="D20" s="115">
        <v>0</v>
      </c>
      <c r="E20" s="114">
        <v>0</v>
      </c>
      <c r="F20" s="114">
        <v>1</v>
      </c>
      <c r="G20"/>
      <c r="H20"/>
    </row>
    <row r="21" spans="1:8" ht="15" customHeight="1" x14ac:dyDescent="0.15">
      <c r="A21">
        <v>20</v>
      </c>
      <c r="B21" s="187" t="s">
        <v>210</v>
      </c>
      <c r="C21" s="115">
        <v>1</v>
      </c>
      <c r="D21" s="115">
        <v>0</v>
      </c>
      <c r="E21" s="114">
        <v>0</v>
      </c>
      <c r="F21" s="114">
        <v>1</v>
      </c>
      <c r="G21"/>
      <c r="H21"/>
    </row>
    <row r="22" spans="1:8" ht="15" customHeight="1" x14ac:dyDescent="0.15">
      <c r="A22">
        <v>21</v>
      </c>
      <c r="B22" s="187" t="s">
        <v>211</v>
      </c>
      <c r="C22" s="115">
        <v>1</v>
      </c>
      <c r="D22" s="115">
        <v>0</v>
      </c>
      <c r="E22" s="114">
        <v>0</v>
      </c>
      <c r="F22" s="114">
        <v>1</v>
      </c>
      <c r="G22"/>
      <c r="H22"/>
    </row>
    <row r="23" spans="1:8" ht="15" customHeight="1" x14ac:dyDescent="0.15">
      <c r="A23">
        <v>22</v>
      </c>
      <c r="B23" s="187" t="s">
        <v>212</v>
      </c>
      <c r="C23" s="115">
        <v>1</v>
      </c>
      <c r="D23" s="115">
        <v>0</v>
      </c>
      <c r="E23" s="114">
        <v>0</v>
      </c>
      <c r="F23" s="114">
        <v>1</v>
      </c>
      <c r="G23"/>
      <c r="H23"/>
    </row>
    <row r="24" spans="1:8" ht="15" customHeight="1" x14ac:dyDescent="0.15">
      <c r="A24">
        <v>23</v>
      </c>
      <c r="B24" s="187" t="s">
        <v>213</v>
      </c>
      <c r="C24" s="115">
        <v>1</v>
      </c>
      <c r="D24" s="115">
        <v>0</v>
      </c>
      <c r="E24" s="114">
        <v>0</v>
      </c>
      <c r="F24" s="114">
        <v>1</v>
      </c>
      <c r="G24"/>
      <c r="H24"/>
    </row>
    <row r="25" spans="1:8" ht="15" customHeight="1" x14ac:dyDescent="0.15">
      <c r="A25">
        <v>24</v>
      </c>
      <c r="B25" s="187" t="s">
        <v>214</v>
      </c>
      <c r="C25" s="115">
        <v>1</v>
      </c>
      <c r="D25" s="115">
        <v>0</v>
      </c>
      <c r="E25" s="114">
        <v>0</v>
      </c>
      <c r="F25" s="114">
        <v>1</v>
      </c>
      <c r="G25"/>
      <c r="H25"/>
    </row>
    <row r="26" spans="1:8" ht="15" customHeight="1" x14ac:dyDescent="0.15">
      <c r="A26">
        <v>25</v>
      </c>
      <c r="B26" s="187" t="s">
        <v>215</v>
      </c>
      <c r="C26" s="115">
        <v>1</v>
      </c>
      <c r="D26" s="115">
        <v>0</v>
      </c>
      <c r="E26" s="114">
        <v>0</v>
      </c>
      <c r="F26" s="114">
        <v>1</v>
      </c>
      <c r="G26"/>
      <c r="H26"/>
    </row>
    <row r="27" spans="1:8" ht="15" customHeight="1" x14ac:dyDescent="0.15">
      <c r="A27">
        <v>26</v>
      </c>
      <c r="B27" s="187" t="s">
        <v>216</v>
      </c>
      <c r="C27" s="115">
        <v>1</v>
      </c>
      <c r="D27" s="115">
        <v>0</v>
      </c>
      <c r="E27" s="114">
        <v>0</v>
      </c>
      <c r="F27" s="114">
        <v>1</v>
      </c>
      <c r="G27"/>
      <c r="H27"/>
    </row>
    <row r="28" spans="1:8" ht="15" customHeight="1" x14ac:dyDescent="0.15">
      <c r="A28">
        <v>27</v>
      </c>
      <c r="B28" s="187" t="s">
        <v>217</v>
      </c>
      <c r="C28" s="115">
        <v>1</v>
      </c>
      <c r="D28" s="115">
        <v>0</v>
      </c>
      <c r="E28" s="114">
        <v>0</v>
      </c>
      <c r="F28" s="114">
        <v>1</v>
      </c>
      <c r="G28"/>
      <c r="H28"/>
    </row>
    <row r="29" spans="1:8" ht="15" customHeight="1" x14ac:dyDescent="0.15">
      <c r="A29">
        <v>28</v>
      </c>
      <c r="B29" s="187" t="s">
        <v>218</v>
      </c>
      <c r="C29" s="115">
        <v>1</v>
      </c>
      <c r="D29" s="115">
        <v>0</v>
      </c>
      <c r="E29" s="114">
        <v>0</v>
      </c>
      <c r="F29" s="114">
        <v>1</v>
      </c>
      <c r="G29"/>
      <c r="H29"/>
    </row>
    <row r="30" spans="1:8" ht="15" customHeight="1" x14ac:dyDescent="0.15">
      <c r="A30">
        <v>29</v>
      </c>
      <c r="B30" s="187" t="s">
        <v>219</v>
      </c>
      <c r="C30" s="115">
        <v>1</v>
      </c>
      <c r="D30" s="115">
        <v>0</v>
      </c>
      <c r="E30" s="114">
        <v>0</v>
      </c>
      <c r="F30" s="114">
        <v>1</v>
      </c>
      <c r="G30"/>
      <c r="H30"/>
    </row>
    <row r="31" spans="1:8" ht="15" customHeight="1" x14ac:dyDescent="0.15">
      <c r="A31">
        <v>30</v>
      </c>
      <c r="B31" s="187" t="s">
        <v>220</v>
      </c>
      <c r="C31" s="115">
        <v>1</v>
      </c>
      <c r="D31" s="115">
        <v>0</v>
      </c>
      <c r="E31" s="114">
        <v>0</v>
      </c>
      <c r="F31" s="114">
        <v>1</v>
      </c>
      <c r="G31"/>
      <c r="H31"/>
    </row>
    <row r="32" spans="1:8" ht="15" customHeight="1" x14ac:dyDescent="0.15">
      <c r="A32">
        <v>31</v>
      </c>
      <c r="B32" s="187" t="s">
        <v>221</v>
      </c>
      <c r="C32" s="115">
        <v>1</v>
      </c>
      <c r="D32" s="115">
        <v>0</v>
      </c>
      <c r="E32" s="114">
        <v>0</v>
      </c>
      <c r="F32" s="114">
        <v>1</v>
      </c>
    </row>
    <row r="33" spans="1:8" ht="15" customHeight="1" x14ac:dyDescent="0.15">
      <c r="A33">
        <v>32</v>
      </c>
      <c r="B33" s="187" t="s">
        <v>222</v>
      </c>
      <c r="C33" s="115">
        <v>1</v>
      </c>
      <c r="D33" s="115">
        <v>0</v>
      </c>
      <c r="E33" s="114">
        <v>0</v>
      </c>
      <c r="F33" s="114">
        <v>1</v>
      </c>
    </row>
    <row r="34" spans="1:8" ht="15" customHeight="1" x14ac:dyDescent="0.15">
      <c r="A34">
        <v>33</v>
      </c>
      <c r="B34" s="187" t="s">
        <v>223</v>
      </c>
      <c r="C34" s="115">
        <v>1</v>
      </c>
      <c r="D34" s="115">
        <v>0</v>
      </c>
      <c r="E34" s="114">
        <v>0</v>
      </c>
      <c r="F34" s="114">
        <v>1</v>
      </c>
    </row>
    <row r="35" spans="1:8" ht="15" customHeight="1" x14ac:dyDescent="0.15">
      <c r="A35">
        <v>34</v>
      </c>
      <c r="B35" s="187" t="s">
        <v>224</v>
      </c>
      <c r="C35" s="115">
        <v>1</v>
      </c>
      <c r="D35" s="115">
        <v>0</v>
      </c>
      <c r="E35" s="114">
        <v>0</v>
      </c>
      <c r="F35" s="114">
        <v>1</v>
      </c>
    </row>
    <row r="36" spans="1:8" ht="15" customHeight="1" x14ac:dyDescent="0.15">
      <c r="A36">
        <v>35</v>
      </c>
      <c r="B36" s="187" t="s">
        <v>225</v>
      </c>
      <c r="C36" s="115">
        <v>1</v>
      </c>
      <c r="D36" s="115">
        <v>0</v>
      </c>
      <c r="E36" s="115">
        <v>0</v>
      </c>
      <c r="F36" s="115">
        <v>1</v>
      </c>
      <c r="G36"/>
      <c r="H36"/>
    </row>
    <row r="37" spans="1:8" ht="15" customHeight="1" x14ac:dyDescent="0.15">
      <c r="A37">
        <v>36</v>
      </c>
      <c r="B37" s="187" t="s">
        <v>226</v>
      </c>
      <c r="C37" s="115">
        <v>1</v>
      </c>
      <c r="D37" s="115">
        <v>0</v>
      </c>
      <c r="E37" s="115">
        <v>0</v>
      </c>
      <c r="F37" s="115">
        <v>1</v>
      </c>
      <c r="G37"/>
      <c r="H37"/>
    </row>
    <row r="38" spans="1:8" ht="15" customHeight="1" x14ac:dyDescent="0.15">
      <c r="A38">
        <v>37</v>
      </c>
      <c r="B38" s="187" t="s">
        <v>227</v>
      </c>
      <c r="C38" s="115">
        <v>1</v>
      </c>
      <c r="D38" s="115">
        <v>0</v>
      </c>
      <c r="E38" s="115">
        <v>0</v>
      </c>
      <c r="F38" s="115">
        <v>1</v>
      </c>
      <c r="G38"/>
      <c r="H38"/>
    </row>
    <row r="39" spans="1:8" ht="15" customHeight="1" x14ac:dyDescent="0.15">
      <c r="A39">
        <v>38</v>
      </c>
      <c r="B39" s="187" t="s">
        <v>228</v>
      </c>
      <c r="C39" s="115">
        <v>1</v>
      </c>
      <c r="D39" s="115">
        <v>0</v>
      </c>
      <c r="E39" s="115">
        <v>0</v>
      </c>
      <c r="F39" s="115">
        <v>1</v>
      </c>
      <c r="G39"/>
      <c r="H39"/>
    </row>
    <row r="40" spans="1:8" ht="15" customHeight="1" x14ac:dyDescent="0.15">
      <c r="A40">
        <v>39</v>
      </c>
      <c r="B40" s="187" t="s">
        <v>229</v>
      </c>
      <c r="C40" s="115">
        <v>1</v>
      </c>
      <c r="D40" s="115">
        <v>0</v>
      </c>
      <c r="E40" s="115">
        <v>0</v>
      </c>
      <c r="F40" s="115">
        <v>1</v>
      </c>
      <c r="G40"/>
      <c r="H40"/>
    </row>
    <row r="41" spans="1:8" ht="15" customHeight="1" x14ac:dyDescent="0.15">
      <c r="A41">
        <v>40</v>
      </c>
      <c r="B41" s="187" t="s">
        <v>230</v>
      </c>
      <c r="C41" s="115">
        <v>1</v>
      </c>
      <c r="D41" s="115">
        <v>0</v>
      </c>
      <c r="E41" s="115">
        <v>0</v>
      </c>
      <c r="F41" s="115">
        <v>1</v>
      </c>
      <c r="G41"/>
      <c r="H41"/>
    </row>
    <row r="42" spans="1:8" ht="15" customHeight="1" x14ac:dyDescent="0.15">
      <c r="A42">
        <v>41</v>
      </c>
      <c r="B42" s="187" t="s">
        <v>231</v>
      </c>
      <c r="C42" s="115">
        <v>1</v>
      </c>
      <c r="D42" s="115">
        <v>0</v>
      </c>
      <c r="E42" s="115">
        <v>0</v>
      </c>
      <c r="F42" s="115">
        <v>1</v>
      </c>
      <c r="G42"/>
      <c r="H42"/>
    </row>
    <row r="43" spans="1:8" ht="15" customHeight="1" x14ac:dyDescent="0.15">
      <c r="A43">
        <v>42</v>
      </c>
      <c r="B43" s="187" t="s">
        <v>232</v>
      </c>
      <c r="C43" s="115">
        <v>1</v>
      </c>
      <c r="D43" s="115">
        <v>0</v>
      </c>
      <c r="E43" s="115">
        <v>0</v>
      </c>
      <c r="F43" s="115">
        <v>1</v>
      </c>
      <c r="G43"/>
      <c r="H43"/>
    </row>
    <row r="44" spans="1:8" ht="15" customHeight="1" x14ac:dyDescent="0.15">
      <c r="A44">
        <v>43</v>
      </c>
      <c r="B44" s="187" t="s">
        <v>233</v>
      </c>
      <c r="C44" s="115">
        <v>1</v>
      </c>
      <c r="D44" s="115">
        <v>0</v>
      </c>
      <c r="E44" s="114">
        <v>0</v>
      </c>
      <c r="F44" s="114">
        <v>1</v>
      </c>
      <c r="G44"/>
      <c r="H44"/>
    </row>
    <row r="45" spans="1:8" ht="15" customHeight="1" x14ac:dyDescent="0.15">
      <c r="A45">
        <v>44</v>
      </c>
      <c r="B45" s="187" t="s">
        <v>234</v>
      </c>
      <c r="C45" s="115">
        <v>0</v>
      </c>
      <c r="D45" s="115">
        <v>1</v>
      </c>
      <c r="E45" s="114">
        <v>0</v>
      </c>
      <c r="F45" s="114">
        <v>1</v>
      </c>
      <c r="G45"/>
      <c r="H45"/>
    </row>
    <row r="46" spans="1:8" ht="15" customHeight="1" x14ac:dyDescent="0.15">
      <c r="A46">
        <v>45</v>
      </c>
      <c r="B46" s="187" t="s">
        <v>235</v>
      </c>
      <c r="C46" s="115">
        <v>0</v>
      </c>
      <c r="D46" s="115">
        <v>0</v>
      </c>
      <c r="E46" s="115">
        <v>1</v>
      </c>
      <c r="F46" s="115">
        <v>1</v>
      </c>
      <c r="G46"/>
      <c r="H46"/>
    </row>
    <row r="47" spans="1:8" ht="15" customHeight="1" x14ac:dyDescent="0.15">
      <c r="A47">
        <v>46</v>
      </c>
      <c r="B47" s="187" t="s">
        <v>236</v>
      </c>
      <c r="C47" s="115">
        <v>0</v>
      </c>
      <c r="D47" s="115">
        <v>1</v>
      </c>
      <c r="E47" s="114">
        <v>0</v>
      </c>
      <c r="F47" s="114">
        <v>1</v>
      </c>
      <c r="G47"/>
      <c r="H47"/>
    </row>
    <row r="48" spans="1:8" ht="15" customHeight="1" x14ac:dyDescent="0.15">
      <c r="A48">
        <v>47</v>
      </c>
      <c r="B48" s="187" t="s">
        <v>237</v>
      </c>
      <c r="C48" s="115">
        <v>0</v>
      </c>
      <c r="D48" s="115">
        <v>1</v>
      </c>
      <c r="E48" s="114">
        <v>0</v>
      </c>
      <c r="F48" s="114">
        <v>1</v>
      </c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.5" bestFit="1" customWidth="1"/>
    <col min="3" max="5" width="12.83203125" bestFit="1" customWidth="1"/>
  </cols>
  <sheetData>
    <row r="1" spans="1:5" s="116" customFormat="1" ht="112" x14ac:dyDescent="0.15">
      <c r="A1" s="5" t="s">
        <v>21</v>
      </c>
      <c r="B1" s="3" t="s">
        <v>0</v>
      </c>
      <c r="C1" s="190" t="s">
        <v>236</v>
      </c>
      <c r="D1" s="190" t="s">
        <v>237</v>
      </c>
      <c r="E1" s="190" t="s">
        <v>241</v>
      </c>
    </row>
    <row r="2" spans="1:5" ht="15" customHeight="1" x14ac:dyDescent="0.15">
      <c r="A2">
        <v>1</v>
      </c>
      <c r="B2" s="189" t="s">
        <v>191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89" t="s">
        <v>192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89" t="s">
        <v>193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89" t="s">
        <v>194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89" t="s">
        <v>195</v>
      </c>
      <c r="C6">
        <v>0</v>
      </c>
      <c r="D6">
        <v>0</v>
      </c>
      <c r="E6">
        <v>0</v>
      </c>
    </row>
    <row r="7" spans="1:5" ht="15" customHeight="1" x14ac:dyDescent="0.15">
      <c r="A7">
        <v>6</v>
      </c>
      <c r="B7" s="189" t="s">
        <v>196</v>
      </c>
      <c r="C7">
        <v>2.6505470000000001E-3</v>
      </c>
      <c r="D7">
        <v>1.7276259999999999E-3</v>
      </c>
      <c r="E7">
        <v>4.378173E-3</v>
      </c>
    </row>
    <row r="8" spans="1:5" ht="15" customHeight="1" x14ac:dyDescent="0.15">
      <c r="A8">
        <v>7</v>
      </c>
      <c r="B8" s="189" t="s">
        <v>197</v>
      </c>
      <c r="C8">
        <v>0</v>
      </c>
      <c r="D8">
        <v>0</v>
      </c>
      <c r="E8">
        <v>0</v>
      </c>
    </row>
    <row r="9" spans="1:5" ht="15" customHeight="1" x14ac:dyDescent="0.15">
      <c r="A9">
        <v>8</v>
      </c>
      <c r="B9" s="189" t="s">
        <v>198</v>
      </c>
      <c r="C9">
        <v>4.2526639999999997E-3</v>
      </c>
      <c r="D9">
        <v>2.5914390000000001E-3</v>
      </c>
      <c r="E9">
        <v>6.8441029999999998E-3</v>
      </c>
    </row>
    <row r="10" spans="1:5" ht="15" customHeight="1" x14ac:dyDescent="0.15">
      <c r="A10">
        <v>9</v>
      </c>
      <c r="B10" s="189" t="s">
        <v>199</v>
      </c>
      <c r="C10">
        <v>0</v>
      </c>
      <c r="D10">
        <v>6.1912800000000001E-5</v>
      </c>
      <c r="E10">
        <v>6.1912800000000001E-5</v>
      </c>
    </row>
    <row r="11" spans="1:5" ht="15" customHeight="1" x14ac:dyDescent="0.15">
      <c r="A11">
        <v>10</v>
      </c>
      <c r="B11" s="189" t="s">
        <v>200</v>
      </c>
      <c r="C11">
        <v>1.6313530000000001E-3</v>
      </c>
      <c r="D11">
        <v>9.9006900000000011E-4</v>
      </c>
      <c r="E11">
        <v>2.621422E-3</v>
      </c>
    </row>
    <row r="12" spans="1:5" ht="15" customHeight="1" x14ac:dyDescent="0.15">
      <c r="A12">
        <v>11</v>
      </c>
      <c r="B12" s="189" t="s">
        <v>201</v>
      </c>
      <c r="C12">
        <v>9.2679359999999992E-3</v>
      </c>
      <c r="D12">
        <v>1.0576211800000001E-2</v>
      </c>
      <c r="E12">
        <v>1.98441478E-2</v>
      </c>
    </row>
    <row r="13" spans="1:5" ht="15" customHeight="1" x14ac:dyDescent="0.15">
      <c r="A13">
        <v>12</v>
      </c>
      <c r="B13" s="189" t="s">
        <v>202</v>
      </c>
      <c r="C13">
        <v>2.5702077899999998E-2</v>
      </c>
      <c r="D13">
        <v>2.0079694700000001E-2</v>
      </c>
      <c r="E13">
        <v>4.5781772599999999E-2</v>
      </c>
    </row>
    <row r="14" spans="1:5" ht="15" customHeight="1" x14ac:dyDescent="0.15">
      <c r="A14">
        <v>13</v>
      </c>
      <c r="B14" s="189" t="s">
        <v>203</v>
      </c>
      <c r="C14">
        <v>0.248826936</v>
      </c>
      <c r="D14">
        <v>0</v>
      </c>
      <c r="E14">
        <v>0.248826936</v>
      </c>
    </row>
    <row r="15" spans="1:5" ht="15" customHeight="1" x14ac:dyDescent="0.15">
      <c r="A15">
        <v>14</v>
      </c>
      <c r="B15" s="189" t="s">
        <v>204</v>
      </c>
      <c r="C15">
        <v>0</v>
      </c>
      <c r="D15">
        <v>0</v>
      </c>
      <c r="E15">
        <v>0</v>
      </c>
    </row>
    <row r="16" spans="1:5" ht="15" customHeight="1" x14ac:dyDescent="0.15">
      <c r="A16">
        <v>15</v>
      </c>
      <c r="B16" s="189" t="s">
        <v>205</v>
      </c>
      <c r="C16">
        <v>0</v>
      </c>
      <c r="D16">
        <v>9.2934420000000004E-2</v>
      </c>
      <c r="E16">
        <v>9.2934420000000004E-2</v>
      </c>
    </row>
    <row r="17" spans="1:5" ht="15" customHeight="1" x14ac:dyDescent="0.15">
      <c r="A17">
        <v>16</v>
      </c>
      <c r="B17" s="189" t="s">
        <v>206</v>
      </c>
      <c r="C17">
        <v>4.8743043100000001E-2</v>
      </c>
      <c r="D17">
        <v>4.0252704200000003E-2</v>
      </c>
      <c r="E17">
        <v>8.8995747300000011E-2</v>
      </c>
    </row>
    <row r="18" spans="1:5" ht="15" customHeight="1" x14ac:dyDescent="0.15">
      <c r="A18">
        <v>17</v>
      </c>
      <c r="B18" s="189" t="s">
        <v>207</v>
      </c>
      <c r="C18">
        <v>2.5846139999999998E-3</v>
      </c>
      <c r="D18">
        <v>1.207702E-3</v>
      </c>
      <c r="E18">
        <v>3.7923159999999996E-3</v>
      </c>
    </row>
    <row r="19" spans="1:5" ht="15" customHeight="1" x14ac:dyDescent="0.15">
      <c r="A19">
        <v>18</v>
      </c>
      <c r="B19" s="189" t="s">
        <v>208</v>
      </c>
      <c r="C19">
        <v>2.379131E-3</v>
      </c>
      <c r="D19">
        <v>1.1136643599999999E-2</v>
      </c>
      <c r="E19">
        <v>1.3515774599999999E-2</v>
      </c>
    </row>
    <row r="20" spans="1:5" ht="15" customHeight="1" x14ac:dyDescent="0.15">
      <c r="A20">
        <v>19</v>
      </c>
      <c r="B20" s="189" t="s">
        <v>209</v>
      </c>
      <c r="C20">
        <v>0</v>
      </c>
      <c r="D20">
        <v>0</v>
      </c>
      <c r="E20">
        <v>0</v>
      </c>
    </row>
    <row r="21" spans="1:5" ht="15" customHeight="1" x14ac:dyDescent="0.15">
      <c r="A21">
        <v>20</v>
      </c>
      <c r="B21" s="189" t="s">
        <v>210</v>
      </c>
      <c r="C21">
        <v>2.3140022499999999E-2</v>
      </c>
      <c r="D21">
        <v>1.15325768E-2</v>
      </c>
      <c r="E21">
        <v>3.4672599299999995E-2</v>
      </c>
    </row>
    <row r="22" spans="1:5" ht="15" customHeight="1" x14ac:dyDescent="0.15">
      <c r="A22">
        <v>21</v>
      </c>
      <c r="B22" s="189" t="s">
        <v>211</v>
      </c>
      <c r="C22">
        <v>9.479E-4</v>
      </c>
      <c r="D22">
        <v>4.1292179999999996E-3</v>
      </c>
      <c r="E22">
        <v>5.0771179999999994E-3</v>
      </c>
    </row>
    <row r="23" spans="1:5" ht="15" customHeight="1" x14ac:dyDescent="0.15">
      <c r="A23">
        <v>22</v>
      </c>
      <c r="B23" s="189" t="s">
        <v>212</v>
      </c>
      <c r="C23">
        <v>1.3702116E-2</v>
      </c>
      <c r="D23">
        <v>0</v>
      </c>
      <c r="E23">
        <v>1.3702116E-2</v>
      </c>
    </row>
    <row r="24" spans="1:5" ht="15" customHeight="1" x14ac:dyDescent="0.15">
      <c r="A24">
        <v>23</v>
      </c>
      <c r="B24" s="189" t="s">
        <v>213</v>
      </c>
      <c r="C24">
        <v>2.35858E-4</v>
      </c>
      <c r="D24">
        <v>1.0336669200000001E-2</v>
      </c>
      <c r="E24">
        <v>1.0572527200000001E-2</v>
      </c>
    </row>
    <row r="25" spans="1:5" ht="15" customHeight="1" x14ac:dyDescent="0.15">
      <c r="A25">
        <v>24</v>
      </c>
      <c r="B25" s="189" t="s">
        <v>214</v>
      </c>
      <c r="C25">
        <v>6.3458389999999998E-3</v>
      </c>
      <c r="D25">
        <v>4.6394669999999999E-2</v>
      </c>
      <c r="E25">
        <v>5.2740508999999998E-2</v>
      </c>
    </row>
    <row r="26" spans="1:5" ht="15" customHeight="1" x14ac:dyDescent="0.15">
      <c r="A26">
        <v>25</v>
      </c>
      <c r="B26" s="189" t="s">
        <v>215</v>
      </c>
      <c r="C26">
        <v>0</v>
      </c>
      <c r="D26">
        <v>0</v>
      </c>
      <c r="E26">
        <v>0</v>
      </c>
    </row>
    <row r="27" spans="1:5" ht="15" customHeight="1" x14ac:dyDescent="0.15">
      <c r="A27">
        <v>26</v>
      </c>
      <c r="B27" s="189" t="s">
        <v>216</v>
      </c>
      <c r="C27">
        <v>3.1680060000000001E-3</v>
      </c>
      <c r="D27">
        <v>4.3062000000000002E-5</v>
      </c>
      <c r="E27">
        <v>3.2110680000000001E-3</v>
      </c>
    </row>
    <row r="28" spans="1:5" ht="15" customHeight="1" x14ac:dyDescent="0.15">
      <c r="A28">
        <v>27</v>
      </c>
      <c r="B28" s="189" t="s">
        <v>217</v>
      </c>
      <c r="C28">
        <v>1.2865000000000001E-4</v>
      </c>
      <c r="D28">
        <v>1.7766430000000001E-3</v>
      </c>
      <c r="E28">
        <v>1.9052930000000002E-3</v>
      </c>
    </row>
    <row r="29" spans="1:5" ht="15" customHeight="1" x14ac:dyDescent="0.15">
      <c r="A29">
        <v>28</v>
      </c>
      <c r="B29" s="189" t="s">
        <v>218</v>
      </c>
      <c r="C29">
        <v>8.0663100000000004E-4</v>
      </c>
      <c r="D29">
        <v>2.40676E-3</v>
      </c>
      <c r="E29">
        <v>3.2133909999999999E-3</v>
      </c>
    </row>
    <row r="30" spans="1:5" ht="15" customHeight="1" x14ac:dyDescent="0.15">
      <c r="A30">
        <v>29</v>
      </c>
      <c r="B30" s="189" t="s">
        <v>219</v>
      </c>
      <c r="C30">
        <v>0</v>
      </c>
      <c r="D30">
        <v>1.4276600000000001E-4</v>
      </c>
      <c r="E30">
        <v>1.4276600000000001E-4</v>
      </c>
    </row>
    <row r="31" spans="1:5" ht="15" customHeight="1" x14ac:dyDescent="0.15">
      <c r="A31">
        <v>30</v>
      </c>
      <c r="B31" s="189" t="s">
        <v>220</v>
      </c>
      <c r="C31">
        <v>1.29141351E-2</v>
      </c>
      <c r="D31">
        <v>1.1379827699999999E-2</v>
      </c>
      <c r="E31">
        <v>2.4293962799999999E-2</v>
      </c>
    </row>
    <row r="32" spans="1:5" ht="15" customHeight="1" x14ac:dyDescent="0.15">
      <c r="A32">
        <v>31</v>
      </c>
      <c r="B32" s="189" t="s">
        <v>221</v>
      </c>
      <c r="C32">
        <v>1.31909782E-2</v>
      </c>
      <c r="D32">
        <v>1.6653494899999999E-2</v>
      </c>
      <c r="E32">
        <v>2.9844473099999998E-2</v>
      </c>
    </row>
    <row r="33" spans="1:5" ht="15" customHeight="1" x14ac:dyDescent="0.15">
      <c r="A33">
        <v>32</v>
      </c>
      <c r="B33" s="189" t="s">
        <v>222</v>
      </c>
      <c r="C33">
        <v>0</v>
      </c>
      <c r="D33">
        <v>1.6964149999999999E-3</v>
      </c>
      <c r="E33">
        <v>1.6964149999999999E-3</v>
      </c>
    </row>
    <row r="34" spans="1:5" ht="15" customHeight="1" x14ac:dyDescent="0.15">
      <c r="A34">
        <v>33</v>
      </c>
      <c r="B34" s="189" t="s">
        <v>223</v>
      </c>
      <c r="C34">
        <v>0</v>
      </c>
      <c r="D34">
        <v>0</v>
      </c>
      <c r="E34">
        <v>0</v>
      </c>
    </row>
    <row r="35" spans="1:5" ht="15" customHeight="1" x14ac:dyDescent="0.15">
      <c r="A35">
        <v>34</v>
      </c>
      <c r="B35" s="189" t="s">
        <v>224</v>
      </c>
      <c r="C35">
        <v>0</v>
      </c>
      <c r="D35">
        <v>0</v>
      </c>
      <c r="E35">
        <v>0</v>
      </c>
    </row>
    <row r="36" spans="1:5" ht="15" customHeight="1" x14ac:dyDescent="0.15">
      <c r="A36">
        <v>35</v>
      </c>
      <c r="B36" s="189" t="s">
        <v>225</v>
      </c>
      <c r="C36">
        <v>0</v>
      </c>
      <c r="D36">
        <v>0</v>
      </c>
      <c r="E36">
        <v>0</v>
      </c>
    </row>
    <row r="37" spans="1:5" ht="15" customHeight="1" x14ac:dyDescent="0.15">
      <c r="A37">
        <v>36</v>
      </c>
      <c r="B37" s="189" t="s">
        <v>226</v>
      </c>
      <c r="C37">
        <v>0</v>
      </c>
      <c r="D37">
        <v>0</v>
      </c>
      <c r="E37">
        <v>0</v>
      </c>
    </row>
    <row r="38" spans="1:5" ht="15" customHeight="1" x14ac:dyDescent="0.15">
      <c r="A38">
        <v>37</v>
      </c>
      <c r="B38" s="189" t="s">
        <v>227</v>
      </c>
      <c r="C38">
        <v>0</v>
      </c>
      <c r="D38">
        <v>0</v>
      </c>
      <c r="E38">
        <v>0</v>
      </c>
    </row>
    <row r="39" spans="1:5" ht="15" customHeight="1" x14ac:dyDescent="0.15">
      <c r="A39">
        <v>38</v>
      </c>
      <c r="B39" s="189" t="s">
        <v>228</v>
      </c>
      <c r="C39">
        <v>0</v>
      </c>
      <c r="D39">
        <v>5.3921137000000001E-2</v>
      </c>
      <c r="E39">
        <v>5.3921137000000001E-2</v>
      </c>
    </row>
    <row r="40" spans="1:5" ht="15" customHeight="1" x14ac:dyDescent="0.15">
      <c r="A40">
        <v>39</v>
      </c>
      <c r="B40" s="189" t="s">
        <v>229</v>
      </c>
      <c r="C40">
        <v>0</v>
      </c>
      <c r="D40">
        <v>1.18505387E-2</v>
      </c>
      <c r="E40">
        <v>1.18505387E-2</v>
      </c>
    </row>
    <row r="41" spans="1:5" ht="15" customHeight="1" x14ac:dyDescent="0.15">
      <c r="A41">
        <v>40</v>
      </c>
      <c r="B41" s="189" t="s">
        <v>230</v>
      </c>
      <c r="C41">
        <v>0</v>
      </c>
      <c r="D41">
        <v>0</v>
      </c>
      <c r="E41">
        <v>0</v>
      </c>
    </row>
    <row r="42" spans="1:5" ht="15" customHeight="1" x14ac:dyDescent="0.15">
      <c r="A42">
        <v>41</v>
      </c>
      <c r="B42" s="189" t="s">
        <v>231</v>
      </c>
      <c r="C42">
        <v>0</v>
      </c>
      <c r="D42">
        <v>0</v>
      </c>
      <c r="E42">
        <v>0</v>
      </c>
    </row>
    <row r="43" spans="1:5" ht="15" customHeight="1" x14ac:dyDescent="0.15">
      <c r="A43">
        <v>42</v>
      </c>
      <c r="B43" s="189" t="s">
        <v>232</v>
      </c>
      <c r="C43">
        <v>0</v>
      </c>
      <c r="D43">
        <v>0</v>
      </c>
      <c r="E43">
        <v>0</v>
      </c>
    </row>
    <row r="44" spans="1:5" ht="15" customHeight="1" x14ac:dyDescent="0.15">
      <c r="A44">
        <v>43</v>
      </c>
      <c r="B44" s="189" t="s">
        <v>233</v>
      </c>
      <c r="C44">
        <v>0</v>
      </c>
      <c r="D44">
        <v>0</v>
      </c>
      <c r="E44">
        <v>0</v>
      </c>
    </row>
    <row r="45" spans="1:5" ht="15" customHeight="1" x14ac:dyDescent="0.15">
      <c r="A45">
        <v>44</v>
      </c>
      <c r="B45" s="189" t="s">
        <v>234</v>
      </c>
      <c r="C45">
        <v>0</v>
      </c>
      <c r="D45">
        <v>0</v>
      </c>
      <c r="E45">
        <v>0</v>
      </c>
    </row>
    <row r="46" spans="1:5" ht="15" customHeight="1" x14ac:dyDescent="0.15">
      <c r="A46">
        <v>45</v>
      </c>
      <c r="B46" s="189" t="s">
        <v>235</v>
      </c>
      <c r="C46">
        <v>0</v>
      </c>
      <c r="D46">
        <v>0</v>
      </c>
      <c r="E46">
        <v>0</v>
      </c>
    </row>
    <row r="47" spans="1:5" ht="15" customHeight="1" x14ac:dyDescent="0.15"/>
    <row r="48" spans="1:5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4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9.5" bestFit="1" customWidth="1"/>
    <col min="3" max="3" width="2.33203125" bestFit="1" customWidth="1"/>
    <col min="4" max="5" width="12.83203125" bestFit="1" customWidth="1"/>
  </cols>
  <sheetData>
    <row r="1" spans="1:5" s="116" customFormat="1" ht="112" x14ac:dyDescent="0.15">
      <c r="A1" s="5" t="s">
        <v>22</v>
      </c>
      <c r="B1" s="3" t="s">
        <v>0</v>
      </c>
      <c r="C1" s="192" t="s">
        <v>236</v>
      </c>
      <c r="D1" s="192" t="s">
        <v>237</v>
      </c>
      <c r="E1" s="192" t="s">
        <v>241</v>
      </c>
    </row>
    <row r="2" spans="1:5" x14ac:dyDescent="0.15">
      <c r="A2">
        <v>1</v>
      </c>
      <c r="B2" s="191" t="s">
        <v>191</v>
      </c>
      <c r="C2">
        <v>0</v>
      </c>
      <c r="D2">
        <v>0</v>
      </c>
      <c r="E2">
        <v>0</v>
      </c>
    </row>
    <row r="3" spans="1:5" x14ac:dyDescent="0.15">
      <c r="A3">
        <v>2</v>
      </c>
      <c r="B3" s="191" t="s">
        <v>192</v>
      </c>
      <c r="C3">
        <v>0</v>
      </c>
      <c r="D3">
        <v>0</v>
      </c>
      <c r="E3">
        <v>0</v>
      </c>
    </row>
    <row r="4" spans="1:5" x14ac:dyDescent="0.15">
      <c r="A4">
        <v>3</v>
      </c>
      <c r="B4" s="191" t="s">
        <v>193</v>
      </c>
      <c r="C4">
        <v>0</v>
      </c>
      <c r="D4">
        <v>0</v>
      </c>
      <c r="E4">
        <v>0</v>
      </c>
    </row>
    <row r="5" spans="1:5" x14ac:dyDescent="0.15">
      <c r="A5">
        <v>4</v>
      </c>
      <c r="B5" s="191" t="s">
        <v>194</v>
      </c>
      <c r="C5">
        <v>0</v>
      </c>
      <c r="D5">
        <v>0</v>
      </c>
      <c r="E5">
        <v>0</v>
      </c>
    </row>
    <row r="6" spans="1:5" x14ac:dyDescent="0.15">
      <c r="A6">
        <v>5</v>
      </c>
      <c r="B6" s="191" t="s">
        <v>195</v>
      </c>
      <c r="C6">
        <v>0</v>
      </c>
      <c r="D6">
        <v>0</v>
      </c>
      <c r="E6">
        <v>0</v>
      </c>
    </row>
    <row r="7" spans="1:5" x14ac:dyDescent="0.15">
      <c r="A7">
        <v>6</v>
      </c>
      <c r="B7" s="191" t="s">
        <v>196</v>
      </c>
      <c r="C7">
        <v>0</v>
      </c>
      <c r="D7">
        <v>5.621521E-3</v>
      </c>
      <c r="E7">
        <v>5.621521E-3</v>
      </c>
    </row>
    <row r="8" spans="1:5" x14ac:dyDescent="0.15">
      <c r="A8">
        <v>7</v>
      </c>
      <c r="B8" s="191" t="s">
        <v>197</v>
      </c>
      <c r="C8">
        <v>0</v>
      </c>
      <c r="D8">
        <v>5.621521E-3</v>
      </c>
      <c r="E8">
        <v>5.621521E-3</v>
      </c>
    </row>
    <row r="9" spans="1:5" x14ac:dyDescent="0.15">
      <c r="A9">
        <v>8</v>
      </c>
      <c r="B9" s="191" t="s">
        <v>198</v>
      </c>
      <c r="C9">
        <v>0</v>
      </c>
      <c r="D9">
        <v>5.621521E-3</v>
      </c>
      <c r="E9">
        <v>5.621521E-3</v>
      </c>
    </row>
    <row r="10" spans="1:5" x14ac:dyDescent="0.15">
      <c r="A10">
        <v>9</v>
      </c>
      <c r="B10" s="191" t="s">
        <v>199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91" t="s">
        <v>200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91" t="s">
        <v>201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91" t="s">
        <v>202</v>
      </c>
      <c r="C13">
        <v>0</v>
      </c>
      <c r="D13">
        <v>6.0239099999999997E-4</v>
      </c>
      <c r="E13">
        <v>6.0239099999999997E-4</v>
      </c>
    </row>
    <row r="14" spans="1:5" x14ac:dyDescent="0.15">
      <c r="A14">
        <v>13</v>
      </c>
      <c r="B14" s="191" t="s">
        <v>203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91" t="s">
        <v>204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91" t="s">
        <v>205</v>
      </c>
      <c r="C16">
        <v>0</v>
      </c>
      <c r="D16">
        <v>2.7880330000000001E-3</v>
      </c>
      <c r="E16">
        <v>2.7880330000000001E-3</v>
      </c>
    </row>
    <row r="17" spans="1:5" x14ac:dyDescent="0.15">
      <c r="A17">
        <v>16</v>
      </c>
      <c r="B17" s="191" t="s">
        <v>206</v>
      </c>
      <c r="C17">
        <v>0</v>
      </c>
      <c r="D17">
        <v>1.1520695900000001E-2</v>
      </c>
      <c r="E17">
        <v>1.1520695900000001E-2</v>
      </c>
    </row>
    <row r="18" spans="1:5" x14ac:dyDescent="0.15">
      <c r="A18">
        <v>17</v>
      </c>
      <c r="B18" s="191" t="s">
        <v>207</v>
      </c>
      <c r="C18">
        <v>0</v>
      </c>
      <c r="D18">
        <v>3.45655E-4</v>
      </c>
      <c r="E18">
        <v>3.45655E-4</v>
      </c>
    </row>
    <row r="19" spans="1:5" x14ac:dyDescent="0.15">
      <c r="A19">
        <v>18</v>
      </c>
      <c r="B19" s="191" t="s">
        <v>208</v>
      </c>
      <c r="C19">
        <v>0</v>
      </c>
      <c r="D19">
        <v>3.1874099999999999E-3</v>
      </c>
      <c r="E19">
        <v>3.1874099999999999E-3</v>
      </c>
    </row>
    <row r="20" spans="1:5" x14ac:dyDescent="0.15">
      <c r="A20">
        <v>19</v>
      </c>
      <c r="B20" s="191" t="s">
        <v>209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91" t="s">
        <v>210</v>
      </c>
      <c r="C21">
        <v>0</v>
      </c>
      <c r="D21">
        <v>3.30073E-3</v>
      </c>
      <c r="E21">
        <v>3.30073E-3</v>
      </c>
    </row>
    <row r="22" spans="1:5" x14ac:dyDescent="0.15">
      <c r="A22">
        <v>21</v>
      </c>
      <c r="B22" s="191" t="s">
        <v>211</v>
      </c>
      <c r="C22">
        <v>0</v>
      </c>
      <c r="D22">
        <v>1.1818200000000001E-3</v>
      </c>
      <c r="E22">
        <v>1.1818200000000001E-3</v>
      </c>
    </row>
    <row r="23" spans="1:5" x14ac:dyDescent="0.15">
      <c r="A23">
        <v>22</v>
      </c>
      <c r="B23" s="191" t="s">
        <v>212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91" t="s">
        <v>213</v>
      </c>
      <c r="C24">
        <v>0</v>
      </c>
      <c r="D24">
        <v>3.1010009999999999E-3</v>
      </c>
      <c r="E24">
        <v>3.1010009999999999E-3</v>
      </c>
    </row>
    <row r="25" spans="1:5" x14ac:dyDescent="0.15">
      <c r="A25">
        <v>24</v>
      </c>
      <c r="B25" s="191" t="s">
        <v>214</v>
      </c>
      <c r="C25">
        <v>0</v>
      </c>
      <c r="D25">
        <v>1.32785831E-2</v>
      </c>
      <c r="E25">
        <v>1.32785831E-2</v>
      </c>
    </row>
    <row r="26" spans="1:5" x14ac:dyDescent="0.15">
      <c r="A26">
        <v>25</v>
      </c>
      <c r="B26" s="191" t="s">
        <v>215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91" t="s">
        <v>216</v>
      </c>
      <c r="C27">
        <v>0</v>
      </c>
      <c r="D27">
        <v>1.2324700000000001E-5</v>
      </c>
      <c r="E27">
        <v>1.2324700000000001E-5</v>
      </c>
    </row>
    <row r="28" spans="1:5" x14ac:dyDescent="0.15">
      <c r="A28">
        <v>27</v>
      </c>
      <c r="B28" s="191" t="s">
        <v>217</v>
      </c>
      <c r="C28">
        <v>0</v>
      </c>
      <c r="D28">
        <v>5.0849200000000004E-4</v>
      </c>
      <c r="E28">
        <v>5.0849200000000004E-4</v>
      </c>
    </row>
    <row r="29" spans="1:5" x14ac:dyDescent="0.15">
      <c r="A29">
        <v>28</v>
      </c>
      <c r="B29" s="191" t="s">
        <v>218</v>
      </c>
      <c r="C29">
        <v>0</v>
      </c>
      <c r="D29">
        <v>6.8883699999999998E-4</v>
      </c>
      <c r="E29">
        <v>6.8883699999999998E-4</v>
      </c>
    </row>
    <row r="30" spans="1:5" x14ac:dyDescent="0.15">
      <c r="A30">
        <v>29</v>
      </c>
      <c r="B30" s="191" t="s">
        <v>219</v>
      </c>
      <c r="C30">
        <v>0</v>
      </c>
      <c r="D30">
        <v>5.621521E-3</v>
      </c>
      <c r="E30">
        <v>5.621521E-3</v>
      </c>
    </row>
    <row r="31" spans="1:5" x14ac:dyDescent="0.15">
      <c r="A31">
        <v>30</v>
      </c>
      <c r="B31" s="191" t="s">
        <v>220</v>
      </c>
      <c r="C31">
        <v>0</v>
      </c>
      <c r="D31">
        <v>3.2570120000000001E-3</v>
      </c>
      <c r="E31">
        <v>3.2570120000000001E-3</v>
      </c>
    </row>
    <row r="32" spans="1:5" x14ac:dyDescent="0.15">
      <c r="A32">
        <v>31</v>
      </c>
      <c r="B32" s="191" t="s">
        <v>221</v>
      </c>
      <c r="C32">
        <v>0</v>
      </c>
      <c r="D32">
        <v>4.7663840000000002E-3</v>
      </c>
      <c r="E32">
        <v>4.7663840000000002E-3</v>
      </c>
    </row>
    <row r="33" spans="1:5" x14ac:dyDescent="0.15">
      <c r="A33">
        <v>32</v>
      </c>
      <c r="B33" s="191" t="s">
        <v>222</v>
      </c>
      <c r="C33">
        <v>0</v>
      </c>
      <c r="D33">
        <v>5.621521E-3</v>
      </c>
      <c r="E33">
        <v>5.621521E-3</v>
      </c>
    </row>
    <row r="34" spans="1:5" x14ac:dyDescent="0.15">
      <c r="A34">
        <v>33</v>
      </c>
      <c r="B34" s="191" t="s">
        <v>223</v>
      </c>
      <c r="C34">
        <v>0</v>
      </c>
      <c r="D34">
        <v>5.621521E-3</v>
      </c>
      <c r="E34">
        <v>5.621521E-3</v>
      </c>
    </row>
    <row r="35" spans="1:5" x14ac:dyDescent="0.15">
      <c r="A35">
        <v>34</v>
      </c>
      <c r="B35" s="191" t="s">
        <v>224</v>
      </c>
      <c r="C35">
        <v>0</v>
      </c>
      <c r="D35">
        <v>0</v>
      </c>
      <c r="E35">
        <v>0</v>
      </c>
    </row>
    <row r="36" spans="1:5" x14ac:dyDescent="0.15">
      <c r="A36">
        <v>35</v>
      </c>
      <c r="B36" s="191" t="s">
        <v>225</v>
      </c>
      <c r="C36">
        <v>0</v>
      </c>
      <c r="D36">
        <v>0</v>
      </c>
      <c r="E36">
        <v>0</v>
      </c>
    </row>
    <row r="37" spans="1:5" x14ac:dyDescent="0.15">
      <c r="A37">
        <v>36</v>
      </c>
      <c r="B37" s="191" t="s">
        <v>226</v>
      </c>
      <c r="C37">
        <v>0</v>
      </c>
      <c r="D37">
        <v>0</v>
      </c>
      <c r="E37">
        <v>0</v>
      </c>
    </row>
    <row r="38" spans="1:5" x14ac:dyDescent="0.15">
      <c r="A38">
        <v>37</v>
      </c>
      <c r="B38" s="191" t="s">
        <v>227</v>
      </c>
      <c r="C38">
        <v>0</v>
      </c>
      <c r="D38">
        <v>0</v>
      </c>
      <c r="E38">
        <v>0</v>
      </c>
    </row>
    <row r="39" spans="1:5" x14ac:dyDescent="0.15">
      <c r="A39">
        <v>38</v>
      </c>
      <c r="B39" s="191" t="s">
        <v>228</v>
      </c>
      <c r="C39">
        <v>0</v>
      </c>
      <c r="D39">
        <v>0</v>
      </c>
      <c r="E39">
        <v>0</v>
      </c>
    </row>
    <row r="40" spans="1:5" x14ac:dyDescent="0.15">
      <c r="A40">
        <v>39</v>
      </c>
      <c r="B40" s="191" t="s">
        <v>229</v>
      </c>
      <c r="C40">
        <v>0</v>
      </c>
      <c r="D40">
        <v>5.621521E-3</v>
      </c>
      <c r="E40">
        <v>5.621521E-3</v>
      </c>
    </row>
    <row r="41" spans="1:5" x14ac:dyDescent="0.15">
      <c r="A41">
        <v>40</v>
      </c>
      <c r="B41" s="191" t="s">
        <v>230</v>
      </c>
      <c r="C41">
        <v>0</v>
      </c>
      <c r="D41">
        <v>5.621521E-3</v>
      </c>
      <c r="E41">
        <v>5.621521E-3</v>
      </c>
    </row>
    <row r="42" spans="1:5" x14ac:dyDescent="0.15">
      <c r="A42">
        <v>41</v>
      </c>
      <c r="B42" s="191" t="s">
        <v>231</v>
      </c>
      <c r="C42">
        <v>0</v>
      </c>
      <c r="D42">
        <v>0</v>
      </c>
      <c r="E42">
        <v>0</v>
      </c>
    </row>
    <row r="43" spans="1:5" x14ac:dyDescent="0.15">
      <c r="A43">
        <v>42</v>
      </c>
      <c r="B43" s="191" t="s">
        <v>232</v>
      </c>
      <c r="C43">
        <v>0</v>
      </c>
      <c r="D43">
        <v>0</v>
      </c>
      <c r="E43">
        <v>0</v>
      </c>
    </row>
    <row r="44" spans="1:5" x14ac:dyDescent="0.15">
      <c r="A44">
        <v>43</v>
      </c>
      <c r="B44" s="191" t="s">
        <v>233</v>
      </c>
      <c r="C44">
        <v>0</v>
      </c>
      <c r="D44">
        <v>0</v>
      </c>
      <c r="E44">
        <v>0</v>
      </c>
    </row>
    <row r="45" spans="1:5" x14ac:dyDescent="0.15">
      <c r="A45">
        <v>44</v>
      </c>
      <c r="B45" s="191" t="s">
        <v>234</v>
      </c>
      <c r="C45">
        <v>0</v>
      </c>
      <c r="D45">
        <v>0</v>
      </c>
      <c r="E45">
        <v>0</v>
      </c>
    </row>
    <row r="46" spans="1:5" x14ac:dyDescent="0.15">
      <c r="A46">
        <v>45</v>
      </c>
      <c r="B46" s="191" t="s">
        <v>235</v>
      </c>
      <c r="C46">
        <v>0</v>
      </c>
      <c r="D46">
        <v>0</v>
      </c>
      <c r="E4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9.5" bestFit="1" customWidth="1"/>
    <col min="6" max="6" width="4.83203125" bestFit="1" customWidth="1"/>
    <col min="7" max="9" width="3.83203125" bestFit="1" customWidth="1"/>
    <col min="10" max="11" width="4.83203125" style="11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7" customFormat="1" ht="14" thickBot="1" x14ac:dyDescent="0.2">
      <c r="D1" s="118" t="s">
        <v>8</v>
      </c>
      <c r="E1" s="118" t="s">
        <v>0</v>
      </c>
      <c r="F1" s="119" t="s">
        <v>99</v>
      </c>
      <c r="G1" s="120" t="s">
        <v>84</v>
      </c>
      <c r="H1" s="120" t="s">
        <v>85</v>
      </c>
      <c r="I1" s="120" t="s">
        <v>86</v>
      </c>
      <c r="J1" s="120" t="s">
        <v>87</v>
      </c>
      <c r="K1" s="120" t="s">
        <v>88</v>
      </c>
      <c r="L1" s="121" t="s">
        <v>89</v>
      </c>
      <c r="M1" s="121" t="s">
        <v>93</v>
      </c>
      <c r="N1" s="121" t="s">
        <v>92</v>
      </c>
      <c r="O1" s="121" t="s">
        <v>90</v>
      </c>
      <c r="P1" s="121" t="s">
        <v>91</v>
      </c>
      <c r="Q1" s="122" t="s">
        <v>94</v>
      </c>
      <c r="R1" s="122" t="s">
        <v>95</v>
      </c>
      <c r="S1" s="122" t="s">
        <v>96</v>
      </c>
      <c r="T1" s="122" t="s">
        <v>97</v>
      </c>
      <c r="U1" s="122" t="s">
        <v>98</v>
      </c>
      <c r="V1" s="120" t="s">
        <v>100</v>
      </c>
      <c r="W1" s="120" t="s">
        <v>101</v>
      </c>
      <c r="X1" s="120" t="s">
        <v>102</v>
      </c>
      <c r="Y1" s="120" t="s">
        <v>134</v>
      </c>
      <c r="Z1" s="121" t="s">
        <v>103</v>
      </c>
      <c r="AA1" s="121" t="s">
        <v>104</v>
      </c>
      <c r="AB1" s="121" t="s">
        <v>105</v>
      </c>
      <c r="AC1" s="123" t="s">
        <v>135</v>
      </c>
      <c r="AD1" s="122" t="s">
        <v>106</v>
      </c>
      <c r="AE1" s="122" t="s">
        <v>107</v>
      </c>
      <c r="AF1" s="122" t="s">
        <v>108</v>
      </c>
      <c r="AG1" s="122" t="s">
        <v>136</v>
      </c>
      <c r="AH1" s="120" t="s">
        <v>109</v>
      </c>
      <c r="AI1" s="120" t="s">
        <v>111</v>
      </c>
      <c r="AJ1" s="120" t="s">
        <v>110</v>
      </c>
      <c r="AK1" s="121" t="s">
        <v>115</v>
      </c>
      <c r="AL1" s="121" t="s">
        <v>116</v>
      </c>
      <c r="AM1" s="121" t="s">
        <v>117</v>
      </c>
      <c r="AN1" s="122" t="s">
        <v>112</v>
      </c>
      <c r="AO1" s="122" t="s">
        <v>113</v>
      </c>
      <c r="AP1" s="122" t="s">
        <v>114</v>
      </c>
    </row>
    <row r="2" spans="1:42" x14ac:dyDescent="0.15">
      <c r="A2" s="124" t="s">
        <v>74</v>
      </c>
      <c r="B2" s="125">
        <v>1</v>
      </c>
      <c r="D2">
        <v>1</v>
      </c>
      <c r="E2" s="193" t="s">
        <v>191</v>
      </c>
      <c r="F2">
        <v>0.98</v>
      </c>
      <c r="G2">
        <v>0.8</v>
      </c>
      <c r="H2">
        <v>0.8</v>
      </c>
      <c r="I2">
        <v>0.8</v>
      </c>
      <c r="J2" s="115">
        <v>0.25</v>
      </c>
      <c r="K2" s="115">
        <v>0.05</v>
      </c>
    </row>
    <row r="3" spans="1:42" x14ac:dyDescent="0.15">
      <c r="A3" s="124" t="s">
        <v>75</v>
      </c>
      <c r="B3" s="126">
        <v>1</v>
      </c>
      <c r="D3">
        <v>2</v>
      </c>
      <c r="E3" s="193" t="s">
        <v>192</v>
      </c>
      <c r="F3">
        <v>0.98</v>
      </c>
      <c r="G3">
        <v>0.8</v>
      </c>
      <c r="H3">
        <v>0.8</v>
      </c>
      <c r="I3">
        <v>0.8</v>
      </c>
      <c r="J3" s="115">
        <v>0.25</v>
      </c>
      <c r="K3" s="115">
        <v>0.05</v>
      </c>
    </row>
    <row r="4" spans="1:42" x14ac:dyDescent="0.15">
      <c r="A4" s="124" t="s">
        <v>76</v>
      </c>
      <c r="B4" s="126">
        <v>1</v>
      </c>
      <c r="D4">
        <v>3</v>
      </c>
      <c r="E4" s="193" t="s">
        <v>193</v>
      </c>
      <c r="F4">
        <v>0.98</v>
      </c>
      <c r="G4">
        <v>0.8</v>
      </c>
      <c r="H4">
        <v>0.8</v>
      </c>
      <c r="I4">
        <v>0.8</v>
      </c>
      <c r="J4" s="115">
        <v>0.25</v>
      </c>
      <c r="K4" s="115">
        <v>0.05</v>
      </c>
    </row>
    <row r="5" spans="1:42" x14ac:dyDescent="0.15">
      <c r="A5" s="124" t="s">
        <v>77</v>
      </c>
      <c r="B5" s="126">
        <v>1</v>
      </c>
      <c r="D5">
        <v>4</v>
      </c>
      <c r="E5" s="193" t="s">
        <v>194</v>
      </c>
      <c r="F5">
        <v>0.98</v>
      </c>
      <c r="G5">
        <v>0.8</v>
      </c>
      <c r="H5">
        <v>0.8</v>
      </c>
      <c r="I5">
        <v>0.8</v>
      </c>
      <c r="J5" s="115">
        <v>0.25</v>
      </c>
      <c r="K5" s="115">
        <v>0.05</v>
      </c>
    </row>
    <row r="6" spans="1:42" x14ac:dyDescent="0.15">
      <c r="A6" s="124" t="s">
        <v>78</v>
      </c>
      <c r="B6" s="126">
        <v>1</v>
      </c>
      <c r="D6">
        <v>5</v>
      </c>
      <c r="E6" s="193" t="s">
        <v>195</v>
      </c>
      <c r="F6">
        <v>0.98</v>
      </c>
      <c r="G6">
        <v>0.8</v>
      </c>
      <c r="H6">
        <v>0.8</v>
      </c>
      <c r="I6">
        <v>0.8</v>
      </c>
      <c r="J6" s="115">
        <v>0.25</v>
      </c>
      <c r="K6" s="115">
        <v>0.05</v>
      </c>
    </row>
    <row r="7" spans="1:42" x14ac:dyDescent="0.15">
      <c r="A7" s="124" t="s">
        <v>79</v>
      </c>
      <c r="B7" s="126">
        <v>1</v>
      </c>
      <c r="D7">
        <v>6</v>
      </c>
      <c r="E7" s="193" t="s">
        <v>196</v>
      </c>
      <c r="F7">
        <v>0.98</v>
      </c>
      <c r="G7">
        <v>0.8</v>
      </c>
      <c r="H7">
        <v>0.8</v>
      </c>
      <c r="I7">
        <v>0.8</v>
      </c>
      <c r="J7" s="115">
        <v>0.25</v>
      </c>
      <c r="K7" s="115">
        <v>0.05</v>
      </c>
    </row>
    <row r="8" spans="1:42" x14ac:dyDescent="0.15">
      <c r="A8" s="124" t="s">
        <v>80</v>
      </c>
      <c r="B8" s="126">
        <v>1</v>
      </c>
      <c r="D8">
        <v>7</v>
      </c>
      <c r="E8" s="193" t="s">
        <v>197</v>
      </c>
      <c r="F8">
        <v>0.98</v>
      </c>
      <c r="G8">
        <v>0.8</v>
      </c>
      <c r="H8">
        <v>0.8</v>
      </c>
      <c r="I8">
        <v>0.8</v>
      </c>
      <c r="J8" s="115">
        <v>0.25</v>
      </c>
      <c r="K8" s="115">
        <v>0.05</v>
      </c>
    </row>
    <row r="9" spans="1:42" x14ac:dyDescent="0.15">
      <c r="A9" s="124" t="s">
        <v>81</v>
      </c>
      <c r="B9" s="126">
        <v>0.1</v>
      </c>
      <c r="C9" s="61" t="s">
        <v>150</v>
      </c>
      <c r="D9">
        <v>8</v>
      </c>
      <c r="E9" s="193" t="s">
        <v>198</v>
      </c>
      <c r="F9">
        <v>0.98</v>
      </c>
      <c r="G9">
        <v>0.8</v>
      </c>
      <c r="H9">
        <v>0.8</v>
      </c>
      <c r="I9">
        <v>0.8</v>
      </c>
      <c r="J9" s="115">
        <v>0.25</v>
      </c>
      <c r="K9" s="115">
        <v>0.05</v>
      </c>
    </row>
    <row r="10" spans="1:42" ht="14" thickBot="1" x14ac:dyDescent="0.2">
      <c r="A10" s="124" t="s">
        <v>149</v>
      </c>
      <c r="B10" s="127">
        <f>1/3</f>
        <v>0.33333333333333331</v>
      </c>
      <c r="C10" s="61" t="s">
        <v>150</v>
      </c>
      <c r="D10">
        <v>9</v>
      </c>
      <c r="E10" s="193" t="s">
        <v>199</v>
      </c>
      <c r="F10">
        <v>0.98</v>
      </c>
      <c r="G10">
        <v>0.8</v>
      </c>
      <c r="H10">
        <v>0.8</v>
      </c>
      <c r="I10">
        <v>0.8</v>
      </c>
      <c r="J10" s="115">
        <v>0.25</v>
      </c>
      <c r="K10" s="115">
        <v>0.05</v>
      </c>
    </row>
    <row r="11" spans="1:42" x14ac:dyDescent="0.15">
      <c r="D11">
        <v>10</v>
      </c>
      <c r="E11" s="193" t="s">
        <v>200</v>
      </c>
      <c r="F11">
        <v>0.98</v>
      </c>
      <c r="G11">
        <v>0.8</v>
      </c>
      <c r="H11">
        <v>0.8</v>
      </c>
      <c r="I11">
        <v>0.8</v>
      </c>
      <c r="J11" s="115">
        <v>0.25</v>
      </c>
      <c r="K11" s="115">
        <v>0.05</v>
      </c>
    </row>
    <row r="12" spans="1:42" x14ac:dyDescent="0.15">
      <c r="D12">
        <v>11</v>
      </c>
      <c r="E12" s="193" t="s">
        <v>201</v>
      </c>
      <c r="F12">
        <v>0.98</v>
      </c>
      <c r="G12">
        <v>0.8</v>
      </c>
      <c r="H12">
        <v>0.8</v>
      </c>
      <c r="I12">
        <v>0.8</v>
      </c>
      <c r="J12" s="115">
        <v>0.25</v>
      </c>
      <c r="K12" s="115">
        <v>0.05</v>
      </c>
    </row>
    <row r="13" spans="1:42" x14ac:dyDescent="0.15">
      <c r="D13">
        <v>12</v>
      </c>
      <c r="E13" s="193" t="s">
        <v>202</v>
      </c>
      <c r="F13">
        <v>0.98</v>
      </c>
      <c r="G13">
        <v>0.8</v>
      </c>
      <c r="H13">
        <v>0.8</v>
      </c>
      <c r="I13">
        <v>0.8</v>
      </c>
      <c r="J13" s="115">
        <v>0.25</v>
      </c>
      <c r="K13" s="115">
        <v>0.05</v>
      </c>
    </row>
    <row r="14" spans="1:42" x14ac:dyDescent="0.15">
      <c r="D14">
        <v>13</v>
      </c>
      <c r="E14" s="193" t="s">
        <v>203</v>
      </c>
      <c r="F14">
        <v>0.98</v>
      </c>
      <c r="G14">
        <v>0.8</v>
      </c>
      <c r="H14">
        <v>0.8</v>
      </c>
      <c r="I14">
        <v>0.8</v>
      </c>
      <c r="J14" s="115">
        <v>0.25</v>
      </c>
      <c r="K14" s="115">
        <v>0.05</v>
      </c>
    </row>
    <row r="15" spans="1:42" x14ac:dyDescent="0.15">
      <c r="D15">
        <v>14</v>
      </c>
      <c r="E15" s="193" t="s">
        <v>204</v>
      </c>
      <c r="F15">
        <v>0.98</v>
      </c>
      <c r="G15">
        <v>0.8</v>
      </c>
      <c r="H15">
        <v>0.8</v>
      </c>
      <c r="I15">
        <v>0.8</v>
      </c>
      <c r="J15" s="115">
        <v>0.25</v>
      </c>
      <c r="K15" s="115">
        <v>0.05</v>
      </c>
    </row>
    <row r="16" spans="1:42" x14ac:dyDescent="0.15">
      <c r="D16">
        <v>15</v>
      </c>
      <c r="E16" s="193" t="s">
        <v>205</v>
      </c>
      <c r="F16">
        <v>0.98</v>
      </c>
      <c r="G16">
        <v>0.8</v>
      </c>
      <c r="H16">
        <v>0.8</v>
      </c>
      <c r="I16">
        <v>0.8</v>
      </c>
      <c r="J16" s="115">
        <v>0.25</v>
      </c>
      <c r="K16" s="115">
        <v>0.05</v>
      </c>
    </row>
    <row r="17" spans="4:33" ht="15" customHeight="1" x14ac:dyDescent="0.15">
      <c r="D17">
        <v>16</v>
      </c>
      <c r="E17" s="193" t="s">
        <v>206</v>
      </c>
      <c r="F17">
        <v>0.98</v>
      </c>
      <c r="G17">
        <v>0.8</v>
      </c>
      <c r="H17">
        <v>0.8</v>
      </c>
      <c r="I17">
        <v>0.8</v>
      </c>
      <c r="J17" s="115">
        <v>0.25</v>
      </c>
      <c r="K17" s="115">
        <v>0.05</v>
      </c>
    </row>
    <row r="18" spans="4:33" ht="15" customHeight="1" x14ac:dyDescent="0.15">
      <c r="D18">
        <v>17</v>
      </c>
      <c r="E18" s="193" t="s">
        <v>207</v>
      </c>
      <c r="F18">
        <v>0.98</v>
      </c>
      <c r="G18">
        <v>0.8</v>
      </c>
      <c r="H18">
        <v>0.8</v>
      </c>
      <c r="I18">
        <v>0.8</v>
      </c>
      <c r="J18" s="115">
        <v>0.25</v>
      </c>
      <c r="K18" s="115">
        <v>0.05</v>
      </c>
    </row>
    <row r="19" spans="4:33" ht="15" customHeight="1" x14ac:dyDescent="0.15">
      <c r="D19">
        <v>18</v>
      </c>
      <c r="E19" s="193" t="s">
        <v>208</v>
      </c>
      <c r="F19">
        <v>0.98</v>
      </c>
      <c r="G19">
        <v>0.8</v>
      </c>
      <c r="H19">
        <v>0.8</v>
      </c>
      <c r="I19">
        <v>0.8</v>
      </c>
      <c r="J19" s="115">
        <v>0.25</v>
      </c>
      <c r="K19" s="115">
        <v>0.05</v>
      </c>
    </row>
    <row r="20" spans="4:33" ht="15" customHeight="1" x14ac:dyDescent="0.15">
      <c r="D20">
        <v>19</v>
      </c>
      <c r="E20" s="193" t="s">
        <v>209</v>
      </c>
      <c r="F20">
        <v>0.98</v>
      </c>
      <c r="G20">
        <v>0.8</v>
      </c>
      <c r="H20">
        <v>0.8</v>
      </c>
      <c r="I20">
        <v>0.8</v>
      </c>
      <c r="J20" s="115">
        <v>0.25</v>
      </c>
      <c r="K20" s="115">
        <v>0.05</v>
      </c>
    </row>
    <row r="21" spans="4:33" ht="15" customHeight="1" x14ac:dyDescent="0.15">
      <c r="D21">
        <v>20</v>
      </c>
      <c r="E21" s="193" t="s">
        <v>210</v>
      </c>
      <c r="F21">
        <v>0.98</v>
      </c>
      <c r="G21">
        <v>0.8</v>
      </c>
      <c r="H21">
        <v>0.8</v>
      </c>
      <c r="I21">
        <v>0.8</v>
      </c>
      <c r="J21" s="115">
        <v>0.25</v>
      </c>
      <c r="K21" s="115">
        <v>0.05</v>
      </c>
    </row>
    <row r="22" spans="4:33" ht="15" customHeight="1" x14ac:dyDescent="0.15">
      <c r="D22">
        <v>21</v>
      </c>
      <c r="E22" s="193" t="s">
        <v>211</v>
      </c>
      <c r="F22">
        <v>0.98</v>
      </c>
      <c r="G22">
        <v>0.8</v>
      </c>
      <c r="H22">
        <v>0.8</v>
      </c>
      <c r="I22">
        <v>0.8</v>
      </c>
      <c r="J22" s="115">
        <v>0.25</v>
      </c>
      <c r="K22" s="115">
        <v>0.05</v>
      </c>
    </row>
    <row r="23" spans="4:33" ht="15" customHeight="1" x14ac:dyDescent="0.15">
      <c r="D23">
        <v>22</v>
      </c>
      <c r="E23" s="193" t="s">
        <v>212</v>
      </c>
      <c r="F23">
        <v>0.98</v>
      </c>
      <c r="G23">
        <v>0.8</v>
      </c>
      <c r="H23">
        <v>0.8</v>
      </c>
      <c r="I23">
        <v>0.8</v>
      </c>
      <c r="J23" s="115">
        <v>0.25</v>
      </c>
      <c r="K23" s="115">
        <v>0.05</v>
      </c>
    </row>
    <row r="24" spans="4:33" ht="15" customHeight="1" x14ac:dyDescent="0.15">
      <c r="D24">
        <v>23</v>
      </c>
      <c r="E24" s="193" t="s">
        <v>213</v>
      </c>
      <c r="F24">
        <v>0.98</v>
      </c>
      <c r="G24">
        <v>0.8</v>
      </c>
      <c r="H24">
        <v>0.8</v>
      </c>
      <c r="I24">
        <v>0.8</v>
      </c>
      <c r="J24" s="115">
        <v>0.25</v>
      </c>
      <c r="K24" s="115">
        <v>0.05</v>
      </c>
    </row>
    <row r="25" spans="4:33" ht="15" customHeight="1" x14ac:dyDescent="0.15">
      <c r="D25">
        <v>24</v>
      </c>
      <c r="E25" s="193" t="s">
        <v>214</v>
      </c>
      <c r="F25">
        <v>0.98</v>
      </c>
      <c r="G25">
        <v>0.8</v>
      </c>
      <c r="H25">
        <v>0.8</v>
      </c>
      <c r="I25">
        <v>0.8</v>
      </c>
      <c r="J25" s="115">
        <v>0.25</v>
      </c>
      <c r="K25" s="115">
        <v>0.05</v>
      </c>
    </row>
    <row r="26" spans="4:33" ht="15" customHeight="1" x14ac:dyDescent="0.15">
      <c r="D26">
        <v>25</v>
      </c>
      <c r="E26" s="193" t="s">
        <v>215</v>
      </c>
      <c r="F26">
        <v>0.98</v>
      </c>
      <c r="G26">
        <v>0.8</v>
      </c>
      <c r="H26">
        <v>0.8</v>
      </c>
      <c r="I26">
        <v>0.8</v>
      </c>
      <c r="J26" s="115">
        <v>0.25</v>
      </c>
      <c r="K26" s="115">
        <v>0.05</v>
      </c>
    </row>
    <row r="27" spans="4:33" ht="15" customHeight="1" x14ac:dyDescent="0.15">
      <c r="D27">
        <v>26</v>
      </c>
      <c r="E27" s="193" t="s">
        <v>216</v>
      </c>
      <c r="F27">
        <v>0.98</v>
      </c>
      <c r="G27">
        <v>0.8</v>
      </c>
      <c r="H27">
        <v>0.8</v>
      </c>
      <c r="I27">
        <v>0.8</v>
      </c>
      <c r="J27" s="115">
        <v>0.25</v>
      </c>
      <c r="K27" s="115">
        <v>0.05</v>
      </c>
    </row>
    <row r="28" spans="4:33" ht="15" customHeight="1" x14ac:dyDescent="0.15">
      <c r="D28">
        <v>27</v>
      </c>
      <c r="E28" s="193" t="s">
        <v>217</v>
      </c>
      <c r="F28">
        <v>0.98</v>
      </c>
      <c r="G28">
        <v>0.8</v>
      </c>
      <c r="H28">
        <v>0.8</v>
      </c>
      <c r="I28">
        <v>0.8</v>
      </c>
      <c r="J28" s="115">
        <v>0.25</v>
      </c>
      <c r="K28" s="115">
        <v>0.05</v>
      </c>
    </row>
    <row r="29" spans="4:33" ht="15" customHeight="1" x14ac:dyDescent="0.15">
      <c r="D29">
        <v>28</v>
      </c>
      <c r="E29" s="193" t="s">
        <v>218</v>
      </c>
      <c r="F29">
        <v>0.98</v>
      </c>
      <c r="G29">
        <v>0.8</v>
      </c>
      <c r="H29">
        <v>0.8</v>
      </c>
      <c r="I29">
        <v>0.8</v>
      </c>
      <c r="J29" s="115">
        <v>0.25</v>
      </c>
      <c r="K29" s="115">
        <v>0.05</v>
      </c>
      <c r="Y29"/>
      <c r="AC29"/>
      <c r="AG29"/>
    </row>
    <row r="30" spans="4:33" ht="15" customHeight="1" x14ac:dyDescent="0.15">
      <c r="D30">
        <v>29</v>
      </c>
      <c r="E30" s="193" t="s">
        <v>219</v>
      </c>
      <c r="F30">
        <v>0.98</v>
      </c>
      <c r="G30">
        <v>0.8</v>
      </c>
      <c r="H30">
        <v>0.8</v>
      </c>
      <c r="I30">
        <v>0.8</v>
      </c>
      <c r="J30" s="115">
        <v>0.25</v>
      </c>
      <c r="K30" s="115">
        <v>0.05</v>
      </c>
      <c r="Y30"/>
      <c r="AC30"/>
      <c r="AG30"/>
    </row>
    <row r="31" spans="4:33" ht="15" customHeight="1" x14ac:dyDescent="0.15">
      <c r="D31">
        <v>30</v>
      </c>
      <c r="E31" s="193" t="s">
        <v>220</v>
      </c>
      <c r="F31">
        <v>0.98</v>
      </c>
      <c r="G31">
        <v>0.8</v>
      </c>
      <c r="H31">
        <v>0.8</v>
      </c>
      <c r="I31">
        <v>0.8</v>
      </c>
      <c r="J31" s="115">
        <v>0.25</v>
      </c>
      <c r="K31" s="115">
        <v>0.05</v>
      </c>
      <c r="Y31"/>
      <c r="AC31"/>
      <c r="AG31"/>
    </row>
    <row r="32" spans="4:33" ht="15" customHeight="1" x14ac:dyDescent="0.15">
      <c r="D32">
        <v>31</v>
      </c>
      <c r="E32" s="193" t="s">
        <v>221</v>
      </c>
      <c r="F32">
        <v>0.98</v>
      </c>
      <c r="G32">
        <v>0.8</v>
      </c>
      <c r="H32">
        <v>0.8</v>
      </c>
      <c r="I32">
        <v>0.8</v>
      </c>
      <c r="J32" s="115">
        <v>0.25</v>
      </c>
      <c r="K32" s="115">
        <v>0.05</v>
      </c>
      <c r="Y32"/>
      <c r="AC32"/>
      <c r="AG32"/>
    </row>
    <row r="33" spans="4:33" ht="15" customHeight="1" x14ac:dyDescent="0.15">
      <c r="D33">
        <v>32</v>
      </c>
      <c r="E33" s="193" t="s">
        <v>222</v>
      </c>
      <c r="F33">
        <v>0.98</v>
      </c>
      <c r="G33">
        <v>0.8</v>
      </c>
      <c r="H33">
        <v>0.8</v>
      </c>
      <c r="I33">
        <v>0.8</v>
      </c>
      <c r="J33" s="115">
        <v>0.25</v>
      </c>
      <c r="K33" s="115">
        <v>0.05</v>
      </c>
      <c r="Y33"/>
      <c r="AC33"/>
      <c r="AG33"/>
    </row>
    <row r="34" spans="4:33" ht="15" customHeight="1" x14ac:dyDescent="0.15">
      <c r="D34">
        <v>33</v>
      </c>
      <c r="E34" s="193" t="s">
        <v>223</v>
      </c>
      <c r="F34">
        <v>0.98</v>
      </c>
      <c r="G34">
        <v>0.8</v>
      </c>
      <c r="H34">
        <v>0.8</v>
      </c>
      <c r="I34">
        <v>0.8</v>
      </c>
      <c r="J34" s="115">
        <v>0.25</v>
      </c>
      <c r="K34" s="115">
        <v>0.05</v>
      </c>
      <c r="Y34"/>
      <c r="AC34"/>
      <c r="AG34"/>
    </row>
    <row r="35" spans="4:33" ht="15" customHeight="1" x14ac:dyDescent="0.15">
      <c r="D35">
        <v>34</v>
      </c>
      <c r="E35" s="193" t="s">
        <v>224</v>
      </c>
      <c r="F35">
        <v>0.98</v>
      </c>
      <c r="G35">
        <v>0.8</v>
      </c>
      <c r="H35">
        <v>0.8</v>
      </c>
      <c r="I35">
        <v>0.8</v>
      </c>
      <c r="J35" s="115">
        <v>0.25</v>
      </c>
      <c r="K35" s="115">
        <v>0.05</v>
      </c>
      <c r="Y35"/>
      <c r="AC35"/>
      <c r="AG35"/>
    </row>
    <row r="36" spans="4:33" ht="15" customHeight="1" x14ac:dyDescent="0.15">
      <c r="D36">
        <v>35</v>
      </c>
      <c r="E36" s="193" t="s">
        <v>225</v>
      </c>
      <c r="F36">
        <v>0.98</v>
      </c>
      <c r="G36">
        <v>0.8</v>
      </c>
      <c r="H36">
        <v>0.8</v>
      </c>
      <c r="I36">
        <v>0.8</v>
      </c>
      <c r="J36" s="115">
        <v>0.25</v>
      </c>
      <c r="K36" s="115">
        <v>0.05</v>
      </c>
      <c r="Y36"/>
      <c r="AC36"/>
      <c r="AG36"/>
    </row>
    <row r="37" spans="4:33" ht="15" customHeight="1" x14ac:dyDescent="0.15">
      <c r="D37">
        <v>36</v>
      </c>
      <c r="E37" s="193" t="s">
        <v>226</v>
      </c>
      <c r="F37">
        <v>0.98</v>
      </c>
      <c r="G37">
        <v>0.8</v>
      </c>
      <c r="H37">
        <v>0.8</v>
      </c>
      <c r="I37">
        <v>0.8</v>
      </c>
      <c r="J37" s="115">
        <v>0.25</v>
      </c>
      <c r="K37" s="115">
        <v>0.05</v>
      </c>
      <c r="Y37"/>
      <c r="AC37"/>
      <c r="AG37"/>
    </row>
    <row r="38" spans="4:33" ht="15" customHeight="1" x14ac:dyDescent="0.15">
      <c r="D38">
        <v>37</v>
      </c>
      <c r="E38" s="193" t="s">
        <v>227</v>
      </c>
      <c r="F38">
        <v>0.98</v>
      </c>
      <c r="G38">
        <v>0.8</v>
      </c>
      <c r="H38">
        <v>0.8</v>
      </c>
      <c r="I38">
        <v>0.8</v>
      </c>
      <c r="J38" s="115">
        <v>0.25</v>
      </c>
      <c r="K38" s="115">
        <v>0.05</v>
      </c>
      <c r="Y38"/>
      <c r="AC38"/>
      <c r="AG38"/>
    </row>
    <row r="39" spans="4:33" ht="15" customHeight="1" x14ac:dyDescent="0.15">
      <c r="D39">
        <v>38</v>
      </c>
      <c r="E39" s="193" t="s">
        <v>228</v>
      </c>
      <c r="F39">
        <v>0.98</v>
      </c>
      <c r="G39">
        <v>0.8</v>
      </c>
      <c r="H39">
        <v>0.8</v>
      </c>
      <c r="I39">
        <v>0.8</v>
      </c>
      <c r="J39" s="115">
        <v>0.25</v>
      </c>
      <c r="K39" s="115">
        <v>0.05</v>
      </c>
    </row>
    <row r="40" spans="4:33" ht="15" customHeight="1" x14ac:dyDescent="0.15">
      <c r="D40">
        <v>39</v>
      </c>
      <c r="E40" s="193" t="s">
        <v>229</v>
      </c>
      <c r="F40">
        <v>0.98</v>
      </c>
      <c r="G40">
        <v>0.8</v>
      </c>
      <c r="H40">
        <v>0.8</v>
      </c>
      <c r="I40">
        <v>0.8</v>
      </c>
      <c r="J40" s="115">
        <v>0.25</v>
      </c>
      <c r="K40" s="115">
        <v>0.05</v>
      </c>
      <c r="Y40"/>
      <c r="AC40"/>
      <c r="AG40"/>
    </row>
    <row r="41" spans="4:33" ht="15" customHeight="1" x14ac:dyDescent="0.15">
      <c r="D41">
        <v>40</v>
      </c>
      <c r="E41" s="193" t="s">
        <v>230</v>
      </c>
      <c r="F41">
        <v>0.98</v>
      </c>
      <c r="G41">
        <v>0.8</v>
      </c>
      <c r="H41">
        <v>0.8</v>
      </c>
      <c r="I41">
        <v>0.8</v>
      </c>
      <c r="J41" s="115">
        <v>0.25</v>
      </c>
      <c r="K41" s="115">
        <v>0.05</v>
      </c>
      <c r="Y41"/>
      <c r="AC41"/>
      <c r="AG41"/>
    </row>
    <row r="42" spans="4:33" ht="15" customHeight="1" x14ac:dyDescent="0.15">
      <c r="D42">
        <v>41</v>
      </c>
      <c r="E42" s="193" t="s">
        <v>231</v>
      </c>
      <c r="F42">
        <v>0.98</v>
      </c>
      <c r="G42">
        <v>0.8</v>
      </c>
      <c r="H42">
        <v>0.8</v>
      </c>
      <c r="I42">
        <v>0.8</v>
      </c>
      <c r="J42" s="115">
        <v>0.25</v>
      </c>
      <c r="K42" s="115">
        <v>0.05</v>
      </c>
      <c r="Y42"/>
      <c r="AC42"/>
      <c r="AG42"/>
    </row>
    <row r="43" spans="4:33" ht="15" customHeight="1" x14ac:dyDescent="0.15">
      <c r="D43">
        <v>42</v>
      </c>
      <c r="E43" s="193" t="s">
        <v>232</v>
      </c>
      <c r="F43">
        <v>0.98</v>
      </c>
      <c r="G43">
        <v>0.8</v>
      </c>
      <c r="H43">
        <v>0.8</v>
      </c>
      <c r="I43">
        <v>0.8</v>
      </c>
      <c r="J43" s="115">
        <v>0.25</v>
      </c>
      <c r="K43" s="115">
        <v>0.05</v>
      </c>
      <c r="Y43"/>
      <c r="AC43"/>
      <c r="AG43"/>
    </row>
    <row r="44" spans="4:33" ht="15" customHeight="1" x14ac:dyDescent="0.15">
      <c r="D44">
        <v>43</v>
      </c>
      <c r="E44" s="193" t="s">
        <v>233</v>
      </c>
      <c r="F44">
        <v>0.98</v>
      </c>
      <c r="G44">
        <v>0.8</v>
      </c>
      <c r="H44">
        <v>0.8</v>
      </c>
      <c r="I44">
        <v>0</v>
      </c>
      <c r="J44" s="115">
        <v>0</v>
      </c>
      <c r="K44" s="115">
        <v>0</v>
      </c>
      <c r="Y44"/>
      <c r="AC44"/>
      <c r="AG44"/>
    </row>
    <row r="45" spans="4:33" ht="15" customHeight="1" x14ac:dyDescent="0.15">
      <c r="D45">
        <v>44</v>
      </c>
      <c r="E45" s="193" t="s">
        <v>234</v>
      </c>
      <c r="F45">
        <v>0.98</v>
      </c>
      <c r="G45">
        <v>0.8</v>
      </c>
      <c r="H45">
        <v>0</v>
      </c>
      <c r="I45">
        <v>0</v>
      </c>
      <c r="J45" s="115">
        <v>0</v>
      </c>
      <c r="K45" s="115">
        <v>0</v>
      </c>
      <c r="Y45"/>
      <c r="AC45"/>
      <c r="AG45"/>
    </row>
    <row r="46" spans="4:33" ht="15" customHeight="1" x14ac:dyDescent="0.15">
      <c r="D46">
        <v>45</v>
      </c>
      <c r="E46" s="193" t="s">
        <v>235</v>
      </c>
      <c r="F46">
        <v>0.98</v>
      </c>
      <c r="G46">
        <v>0.8</v>
      </c>
      <c r="H46">
        <v>0</v>
      </c>
      <c r="I46">
        <v>0</v>
      </c>
      <c r="J46" s="115">
        <v>0</v>
      </c>
      <c r="K46" s="115">
        <v>0</v>
      </c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T47"/>
  <sheetViews>
    <sheetView workbookViewId="0">
      <selection activeCell="A3" sqref="A3"/>
    </sheetView>
  </sheetViews>
  <sheetFormatPr baseColWidth="10" defaultRowHeight="13" x14ac:dyDescent="0.15"/>
  <cols>
    <col min="1" max="1" width="21.6640625" style="113" bestFit="1" customWidth="1"/>
    <col min="2" max="43" width="3.83203125" style="113" customWidth="1"/>
    <col min="44" max="46" width="2.33203125" style="113" customWidth="1"/>
    <col min="47" max="16384" width="10.83203125" style="113"/>
  </cols>
  <sheetData>
    <row r="1" spans="1:46" x14ac:dyDescent="0.15">
      <c r="A1" s="63" t="s">
        <v>118</v>
      </c>
      <c r="B1" s="195" t="s">
        <v>191</v>
      </c>
      <c r="C1" s="195" t="s">
        <v>192</v>
      </c>
      <c r="D1" s="195" t="s">
        <v>193</v>
      </c>
      <c r="E1" s="195" t="s">
        <v>194</v>
      </c>
      <c r="F1" s="195" t="s">
        <v>195</v>
      </c>
      <c r="G1" s="195" t="s">
        <v>196</v>
      </c>
      <c r="H1" s="195" t="s">
        <v>197</v>
      </c>
      <c r="I1" s="195" t="s">
        <v>198</v>
      </c>
      <c r="J1" s="195" t="s">
        <v>199</v>
      </c>
      <c r="K1" s="195" t="s">
        <v>200</v>
      </c>
      <c r="L1" s="195" t="s">
        <v>201</v>
      </c>
      <c r="M1" s="195" t="s">
        <v>202</v>
      </c>
      <c r="N1" s="195" t="s">
        <v>203</v>
      </c>
      <c r="O1" s="195" t="s">
        <v>204</v>
      </c>
      <c r="P1" s="195" t="s">
        <v>205</v>
      </c>
      <c r="Q1" s="195" t="s">
        <v>206</v>
      </c>
      <c r="R1" s="195" t="s">
        <v>207</v>
      </c>
      <c r="S1" s="195" t="s">
        <v>208</v>
      </c>
      <c r="T1" s="195" t="s">
        <v>209</v>
      </c>
      <c r="U1" s="195" t="s">
        <v>210</v>
      </c>
      <c r="V1" s="195" t="s">
        <v>211</v>
      </c>
      <c r="W1" s="195" t="s">
        <v>212</v>
      </c>
      <c r="X1" s="195" t="s">
        <v>213</v>
      </c>
      <c r="Y1" s="195" t="s">
        <v>214</v>
      </c>
      <c r="Z1" s="195" t="s">
        <v>215</v>
      </c>
      <c r="AA1" s="195" t="s">
        <v>216</v>
      </c>
      <c r="AB1" s="195" t="s">
        <v>217</v>
      </c>
      <c r="AC1" s="195" t="s">
        <v>218</v>
      </c>
      <c r="AD1" s="195" t="s">
        <v>219</v>
      </c>
      <c r="AE1" s="195" t="s">
        <v>220</v>
      </c>
      <c r="AF1" s="195" t="s">
        <v>221</v>
      </c>
      <c r="AG1" s="195" t="s">
        <v>222</v>
      </c>
      <c r="AH1" s="195" t="s">
        <v>223</v>
      </c>
      <c r="AI1" s="195" t="s">
        <v>224</v>
      </c>
      <c r="AJ1" s="195" t="s">
        <v>225</v>
      </c>
      <c r="AK1" s="195" t="s">
        <v>226</v>
      </c>
      <c r="AL1" s="195" t="s">
        <v>227</v>
      </c>
      <c r="AM1" s="195" t="s">
        <v>228</v>
      </c>
      <c r="AN1" s="195" t="s">
        <v>229</v>
      </c>
      <c r="AO1" s="195" t="s">
        <v>230</v>
      </c>
      <c r="AP1" s="195" t="s">
        <v>231</v>
      </c>
      <c r="AQ1" s="195" t="s">
        <v>232</v>
      </c>
      <c r="AR1" s="195" t="s">
        <v>233</v>
      </c>
      <c r="AS1" s="195" t="s">
        <v>234</v>
      </c>
      <c r="AT1" s="195" t="s">
        <v>235</v>
      </c>
    </row>
    <row r="2" spans="1:46" customFormat="1" x14ac:dyDescent="0.15">
      <c r="A2" s="194" t="s">
        <v>191</v>
      </c>
      <c r="B2" s="113">
        <v>0</v>
      </c>
      <c r="C2" s="113">
        <v>0</v>
      </c>
      <c r="D2" s="113">
        <v>0</v>
      </c>
      <c r="E2" s="113">
        <v>0</v>
      </c>
      <c r="F2" s="113">
        <v>0.8</v>
      </c>
      <c r="G2" s="113">
        <v>0.8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  <c r="AT2" s="113">
        <v>0</v>
      </c>
    </row>
    <row r="3" spans="1:46" customFormat="1" x14ac:dyDescent="0.15">
      <c r="A3" s="194" t="s">
        <v>192</v>
      </c>
      <c r="B3" s="113">
        <v>0</v>
      </c>
      <c r="C3" s="113">
        <v>0</v>
      </c>
      <c r="D3" s="113">
        <v>0</v>
      </c>
      <c r="E3" s="113">
        <v>0</v>
      </c>
      <c r="F3" s="113">
        <v>0.8</v>
      </c>
      <c r="G3" s="113">
        <v>0.8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</row>
    <row r="4" spans="1:46" customFormat="1" x14ac:dyDescent="0.15">
      <c r="A4" s="194" t="s">
        <v>193</v>
      </c>
      <c r="B4" s="113">
        <v>0</v>
      </c>
      <c r="C4" s="113">
        <v>0</v>
      </c>
      <c r="D4" s="113">
        <v>0</v>
      </c>
      <c r="E4" s="113">
        <v>0</v>
      </c>
      <c r="F4" s="113">
        <v>0</v>
      </c>
      <c r="G4" s="113">
        <v>0.8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0.8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</row>
    <row r="5" spans="1:46" customFormat="1" x14ac:dyDescent="0.15">
      <c r="A5" s="194" t="s">
        <v>194</v>
      </c>
      <c r="B5" s="113">
        <v>0</v>
      </c>
      <c r="C5" s="113">
        <v>0</v>
      </c>
      <c r="D5" s="113">
        <v>0</v>
      </c>
      <c r="E5" s="113">
        <v>0</v>
      </c>
      <c r="F5" s="113">
        <v>0</v>
      </c>
      <c r="G5" s="113">
        <v>0.8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</row>
    <row r="6" spans="1:46" customFormat="1" x14ac:dyDescent="0.15">
      <c r="A6" s="194" t="s">
        <v>195</v>
      </c>
      <c r="B6" s="113">
        <v>0</v>
      </c>
      <c r="C6" s="113">
        <v>0</v>
      </c>
      <c r="D6" s="113">
        <v>0</v>
      </c>
      <c r="E6" s="113">
        <v>0</v>
      </c>
      <c r="F6" s="113">
        <v>0.8</v>
      </c>
      <c r="G6" s="113">
        <v>0.8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</row>
    <row r="7" spans="1:46" customFormat="1" x14ac:dyDescent="0.15">
      <c r="A7" s="194" t="s">
        <v>196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0.8</v>
      </c>
      <c r="H7" s="113">
        <v>0</v>
      </c>
      <c r="I7" s="113">
        <v>0</v>
      </c>
      <c r="J7" s="113">
        <v>0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0.8</v>
      </c>
      <c r="T7" s="113">
        <v>0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</row>
    <row r="8" spans="1:46" customFormat="1" x14ac:dyDescent="0.15">
      <c r="A8" s="194" t="s">
        <v>197</v>
      </c>
      <c r="B8" s="113">
        <v>0</v>
      </c>
      <c r="C8" s="113">
        <v>0</v>
      </c>
      <c r="D8" s="113">
        <v>0</v>
      </c>
      <c r="E8" s="113">
        <v>0</v>
      </c>
      <c r="F8" s="113">
        <v>0.8</v>
      </c>
      <c r="G8" s="113">
        <v>0.8</v>
      </c>
      <c r="H8" s="113">
        <v>0</v>
      </c>
      <c r="I8" s="113">
        <v>0</v>
      </c>
      <c r="J8" s="113">
        <v>0.8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</row>
    <row r="9" spans="1:46" customFormat="1" x14ac:dyDescent="0.15">
      <c r="A9" s="194" t="s">
        <v>198</v>
      </c>
      <c r="B9" s="113">
        <v>0</v>
      </c>
      <c r="C9" s="113">
        <v>0</v>
      </c>
      <c r="D9" s="113">
        <v>0</v>
      </c>
      <c r="E9" s="113">
        <v>0</v>
      </c>
      <c r="F9" s="113">
        <v>0.8</v>
      </c>
      <c r="G9" s="113">
        <v>0.8</v>
      </c>
      <c r="H9" s="113">
        <v>0</v>
      </c>
      <c r="I9" s="113">
        <v>0</v>
      </c>
      <c r="J9" s="113">
        <v>0</v>
      </c>
      <c r="K9" s="113">
        <v>0</v>
      </c>
      <c r="L9" s="113">
        <v>0.8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</row>
    <row r="10" spans="1:46" customFormat="1" x14ac:dyDescent="0.15">
      <c r="A10" s="194" t="s">
        <v>199</v>
      </c>
      <c r="B10" s="113">
        <v>0</v>
      </c>
      <c r="C10" s="113">
        <v>0</v>
      </c>
      <c r="D10" s="113">
        <v>0</v>
      </c>
      <c r="E10" s="113">
        <v>0</v>
      </c>
      <c r="F10" s="113">
        <v>0.8</v>
      </c>
      <c r="G10" s="113">
        <v>0.8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</row>
    <row r="11" spans="1:46" customFormat="1" x14ac:dyDescent="0.15">
      <c r="A11" s="194" t="s">
        <v>200</v>
      </c>
      <c r="B11" s="113">
        <v>0</v>
      </c>
      <c r="C11" s="113">
        <v>0.8</v>
      </c>
      <c r="D11" s="113">
        <v>0</v>
      </c>
      <c r="E11" s="113">
        <v>0</v>
      </c>
      <c r="F11" s="113">
        <v>0.8</v>
      </c>
      <c r="G11" s="113">
        <v>0.8</v>
      </c>
      <c r="H11" s="113">
        <v>0</v>
      </c>
      <c r="I11" s="113">
        <v>0</v>
      </c>
      <c r="J11" s="113">
        <v>0</v>
      </c>
      <c r="K11" s="113">
        <v>0</v>
      </c>
      <c r="L11" s="113">
        <v>0.8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  <c r="AT11" s="113">
        <v>0</v>
      </c>
    </row>
    <row r="12" spans="1:46" customFormat="1" x14ac:dyDescent="0.15">
      <c r="A12" s="194" t="s">
        <v>201</v>
      </c>
      <c r="B12" s="113">
        <v>0.8</v>
      </c>
      <c r="C12" s="113">
        <v>0.8</v>
      </c>
      <c r="D12" s="113">
        <v>0</v>
      </c>
      <c r="E12" s="113">
        <v>0.8</v>
      </c>
      <c r="F12" s="113">
        <v>0.8</v>
      </c>
      <c r="G12" s="113">
        <v>0.8</v>
      </c>
      <c r="H12" s="113">
        <v>0</v>
      </c>
      <c r="I12" s="113">
        <v>0</v>
      </c>
      <c r="J12" s="113">
        <v>0</v>
      </c>
      <c r="K12" s="113">
        <v>0</v>
      </c>
      <c r="L12" s="113">
        <v>0.8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0</v>
      </c>
      <c r="U12" s="113">
        <v>0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</row>
    <row r="13" spans="1:46" customFormat="1" x14ac:dyDescent="0.15">
      <c r="A13" s="194" t="s">
        <v>202</v>
      </c>
      <c r="B13" s="113">
        <v>0.8</v>
      </c>
      <c r="C13" s="113">
        <v>0.8</v>
      </c>
      <c r="D13" s="113">
        <v>0</v>
      </c>
      <c r="E13" s="113">
        <v>0.8</v>
      </c>
      <c r="F13" s="113">
        <v>0.8</v>
      </c>
      <c r="G13" s="113">
        <v>0.8</v>
      </c>
      <c r="H13" s="113">
        <v>0.8</v>
      </c>
      <c r="I13" s="113">
        <v>0.8</v>
      </c>
      <c r="J13" s="113">
        <v>0.8</v>
      </c>
      <c r="K13" s="113">
        <v>0.8</v>
      </c>
      <c r="L13" s="113">
        <v>0.8</v>
      </c>
      <c r="M13" s="113">
        <v>0.8</v>
      </c>
      <c r="N13" s="113">
        <v>0</v>
      </c>
      <c r="O13" s="113">
        <v>0.8</v>
      </c>
      <c r="P13" s="113">
        <v>0.8</v>
      </c>
      <c r="Q13" s="113">
        <v>0.8</v>
      </c>
      <c r="R13" s="113">
        <v>0</v>
      </c>
      <c r="S13" s="113">
        <v>0.8</v>
      </c>
      <c r="T13" s="113">
        <v>0.8</v>
      </c>
      <c r="U13" s="113">
        <v>0</v>
      </c>
      <c r="V13" s="113">
        <v>0</v>
      </c>
      <c r="W13" s="113">
        <v>0</v>
      </c>
      <c r="X13" s="113">
        <v>0.8</v>
      </c>
      <c r="Y13" s="113">
        <v>0</v>
      </c>
      <c r="Z13" s="113">
        <v>0.8</v>
      </c>
      <c r="AA13" s="113">
        <v>0.8</v>
      </c>
      <c r="AB13" s="113">
        <v>0.8</v>
      </c>
      <c r="AC13" s="113">
        <v>0.8</v>
      </c>
      <c r="AD13" s="113">
        <v>0</v>
      </c>
      <c r="AE13" s="113">
        <v>0.8</v>
      </c>
      <c r="AF13" s="113">
        <v>0</v>
      </c>
      <c r="AG13" s="113">
        <v>0</v>
      </c>
      <c r="AH13" s="113">
        <v>0</v>
      </c>
      <c r="AI13" s="113">
        <v>0.8</v>
      </c>
      <c r="AJ13" s="113">
        <v>0.8</v>
      </c>
      <c r="AK13" s="113">
        <v>0</v>
      </c>
      <c r="AL13" s="113">
        <v>0</v>
      </c>
      <c r="AM13" s="113">
        <v>0.8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</row>
    <row r="14" spans="1:46" customFormat="1" x14ac:dyDescent="0.15">
      <c r="A14" s="194" t="s">
        <v>203</v>
      </c>
      <c r="B14" s="113">
        <v>0</v>
      </c>
      <c r="C14" s="113">
        <v>0.8</v>
      </c>
      <c r="D14" s="113">
        <v>0</v>
      </c>
      <c r="E14" s="113">
        <v>0.8</v>
      </c>
      <c r="F14" s="113">
        <v>0</v>
      </c>
      <c r="G14" s="113">
        <v>0.8</v>
      </c>
      <c r="H14" s="113">
        <v>0</v>
      </c>
      <c r="I14" s="113">
        <v>0.8</v>
      </c>
      <c r="J14" s="113">
        <v>0</v>
      </c>
      <c r="K14" s="113">
        <v>0.8</v>
      </c>
      <c r="L14" s="113">
        <v>0.8</v>
      </c>
      <c r="M14" s="113">
        <v>0</v>
      </c>
      <c r="N14" s="113">
        <v>0</v>
      </c>
      <c r="O14" s="113">
        <v>0</v>
      </c>
      <c r="P14" s="113">
        <v>0</v>
      </c>
      <c r="Q14" s="113">
        <v>0.8</v>
      </c>
      <c r="R14" s="113">
        <v>0.8</v>
      </c>
      <c r="S14" s="113">
        <v>0.8</v>
      </c>
      <c r="T14" s="113">
        <v>0.8</v>
      </c>
      <c r="U14" s="113">
        <v>0.8</v>
      </c>
      <c r="V14" s="113">
        <v>0</v>
      </c>
      <c r="W14" s="113">
        <v>0</v>
      </c>
      <c r="X14" s="113">
        <v>0.8</v>
      </c>
      <c r="Y14" s="113">
        <v>0</v>
      </c>
      <c r="Z14" s="113">
        <v>0.8</v>
      </c>
      <c r="AA14" s="113">
        <v>0.8</v>
      </c>
      <c r="AB14" s="113">
        <v>0.8</v>
      </c>
      <c r="AC14" s="113">
        <v>0.8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</row>
    <row r="15" spans="1:46" customFormat="1" x14ac:dyDescent="0.15">
      <c r="A15" s="194" t="s">
        <v>204</v>
      </c>
      <c r="B15" s="113">
        <v>0</v>
      </c>
      <c r="C15" s="113">
        <v>0</v>
      </c>
      <c r="D15" s="113">
        <v>0</v>
      </c>
      <c r="E15" s="113">
        <v>0.8</v>
      </c>
      <c r="F15" s="113">
        <v>0.8</v>
      </c>
      <c r="G15" s="113">
        <v>0</v>
      </c>
      <c r="H15" s="113">
        <v>0</v>
      </c>
      <c r="I15" s="113">
        <v>0.8</v>
      </c>
      <c r="J15" s="113">
        <v>0.8</v>
      </c>
      <c r="K15" s="113">
        <v>0</v>
      </c>
      <c r="L15" s="113">
        <v>0</v>
      </c>
      <c r="M15" s="113">
        <v>0</v>
      </c>
      <c r="N15" s="113">
        <v>0</v>
      </c>
      <c r="O15" s="113">
        <v>0.8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</row>
    <row r="16" spans="1:46" customFormat="1" x14ac:dyDescent="0.15">
      <c r="A16" s="194" t="s">
        <v>205</v>
      </c>
      <c r="B16" s="113">
        <v>0.8</v>
      </c>
      <c r="C16" s="113">
        <v>0.8</v>
      </c>
      <c r="D16" s="113">
        <v>0</v>
      </c>
      <c r="E16" s="113">
        <v>0.8</v>
      </c>
      <c r="F16" s="113">
        <v>0.8</v>
      </c>
      <c r="G16" s="113">
        <v>0.8</v>
      </c>
      <c r="H16" s="113">
        <v>0.8</v>
      </c>
      <c r="I16" s="113">
        <v>0.8</v>
      </c>
      <c r="J16" s="113">
        <v>0.8</v>
      </c>
      <c r="K16" s="113">
        <v>0.8</v>
      </c>
      <c r="L16" s="113">
        <v>0.8</v>
      </c>
      <c r="M16" s="113">
        <v>0</v>
      </c>
      <c r="N16" s="113">
        <v>0</v>
      </c>
      <c r="O16" s="113">
        <v>0.8</v>
      </c>
      <c r="P16" s="113">
        <v>0.8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0.8</v>
      </c>
      <c r="AC16" s="113">
        <v>0.8</v>
      </c>
      <c r="AD16" s="113">
        <v>0</v>
      </c>
      <c r="AE16" s="113">
        <v>0.8</v>
      </c>
      <c r="AF16" s="113">
        <v>0</v>
      </c>
      <c r="AG16" s="113">
        <v>0.8</v>
      </c>
      <c r="AH16" s="113">
        <v>0</v>
      </c>
      <c r="AI16" s="113">
        <v>0.8</v>
      </c>
      <c r="AJ16" s="113">
        <v>0</v>
      </c>
      <c r="AK16" s="113">
        <v>0</v>
      </c>
      <c r="AL16" s="113">
        <v>0</v>
      </c>
      <c r="AM16" s="113">
        <v>0.8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</row>
    <row r="17" spans="1:46" customFormat="1" x14ac:dyDescent="0.15">
      <c r="A17" s="194" t="s">
        <v>206</v>
      </c>
      <c r="B17" s="113">
        <v>0</v>
      </c>
      <c r="C17" s="113">
        <v>0.8</v>
      </c>
      <c r="D17" s="113">
        <v>0</v>
      </c>
      <c r="E17" s="113">
        <v>0</v>
      </c>
      <c r="F17" s="113">
        <v>0.8</v>
      </c>
      <c r="G17" s="113">
        <v>0.8</v>
      </c>
      <c r="H17" s="113">
        <v>0</v>
      </c>
      <c r="I17" s="113">
        <v>0.8</v>
      </c>
      <c r="J17" s="113">
        <v>0.8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0.8</v>
      </c>
      <c r="R17" s="113">
        <v>0</v>
      </c>
      <c r="S17" s="113">
        <v>0.8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</row>
    <row r="18" spans="1:46" customFormat="1" x14ac:dyDescent="0.15">
      <c r="A18" s="194" t="s">
        <v>207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0.8</v>
      </c>
      <c r="H18" s="113">
        <v>0</v>
      </c>
      <c r="I18" s="113">
        <v>0.8</v>
      </c>
      <c r="J18" s="113">
        <v>0</v>
      </c>
      <c r="K18" s="113">
        <v>0</v>
      </c>
      <c r="L18" s="113">
        <v>0</v>
      </c>
      <c r="M18" s="113">
        <v>0</v>
      </c>
      <c r="N18" s="113">
        <v>0</v>
      </c>
      <c r="O18" s="113">
        <v>0.8</v>
      </c>
      <c r="P18" s="113">
        <v>0</v>
      </c>
      <c r="Q18" s="113">
        <v>0</v>
      </c>
      <c r="R18" s="113">
        <v>0</v>
      </c>
      <c r="S18" s="113">
        <v>0.8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</row>
    <row r="19" spans="1:46" customFormat="1" x14ac:dyDescent="0.15">
      <c r="A19" s="194" t="s">
        <v>208</v>
      </c>
      <c r="B19" s="113">
        <v>0</v>
      </c>
      <c r="C19" s="113">
        <v>0.8</v>
      </c>
      <c r="D19" s="113">
        <v>0</v>
      </c>
      <c r="E19" s="113">
        <v>0</v>
      </c>
      <c r="F19" s="113">
        <v>0</v>
      </c>
      <c r="G19" s="113">
        <v>0.8</v>
      </c>
      <c r="H19" s="113">
        <v>0</v>
      </c>
      <c r="I19" s="113">
        <v>0.8</v>
      </c>
      <c r="J19" s="113">
        <v>0.8</v>
      </c>
      <c r="K19" s="113">
        <v>0</v>
      </c>
      <c r="L19" s="113">
        <v>0.8</v>
      </c>
      <c r="M19" s="113">
        <v>0</v>
      </c>
      <c r="N19" s="113">
        <v>0</v>
      </c>
      <c r="O19" s="113">
        <v>0</v>
      </c>
      <c r="P19" s="113">
        <v>0</v>
      </c>
      <c r="Q19" s="113">
        <v>0.8</v>
      </c>
      <c r="R19" s="113">
        <v>0</v>
      </c>
      <c r="S19" s="113">
        <v>0</v>
      </c>
      <c r="T19" s="113">
        <v>0</v>
      </c>
      <c r="U19" s="113">
        <v>0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</row>
    <row r="20" spans="1:46" customFormat="1" x14ac:dyDescent="0.15">
      <c r="A20" s="194" t="s">
        <v>209</v>
      </c>
      <c r="B20" s="113">
        <v>0</v>
      </c>
      <c r="C20" s="113">
        <v>0</v>
      </c>
      <c r="D20" s="113">
        <v>0</v>
      </c>
      <c r="E20" s="113">
        <v>0</v>
      </c>
      <c r="F20" s="113">
        <v>0</v>
      </c>
      <c r="G20" s="113">
        <v>0.8</v>
      </c>
      <c r="H20" s="113">
        <v>0</v>
      </c>
      <c r="I20" s="113">
        <v>0.8</v>
      </c>
      <c r="J20" s="113">
        <v>0</v>
      </c>
      <c r="K20" s="113">
        <v>0</v>
      </c>
      <c r="L20" s="113">
        <v>0.8</v>
      </c>
      <c r="M20" s="113">
        <v>0</v>
      </c>
      <c r="N20" s="113">
        <v>0</v>
      </c>
      <c r="O20" s="113">
        <v>0</v>
      </c>
      <c r="P20" s="113">
        <v>0</v>
      </c>
      <c r="Q20" s="113">
        <v>0.8</v>
      </c>
      <c r="R20" s="113">
        <v>0.8</v>
      </c>
      <c r="S20" s="113">
        <v>0.8</v>
      </c>
      <c r="T20" s="113">
        <v>0</v>
      </c>
      <c r="U20" s="113">
        <v>0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</row>
    <row r="21" spans="1:46" customFormat="1" x14ac:dyDescent="0.15">
      <c r="A21" s="194" t="s">
        <v>210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0.8</v>
      </c>
      <c r="H21" s="113">
        <v>0</v>
      </c>
      <c r="I21" s="113">
        <v>0.8</v>
      </c>
      <c r="J21" s="113">
        <v>0</v>
      </c>
      <c r="K21" s="113">
        <v>0</v>
      </c>
      <c r="L21" s="113">
        <v>0.8</v>
      </c>
      <c r="M21" s="113">
        <v>0</v>
      </c>
      <c r="N21" s="113">
        <v>0</v>
      </c>
      <c r="O21" s="113">
        <v>0</v>
      </c>
      <c r="P21" s="113">
        <v>0</v>
      </c>
      <c r="Q21" s="113">
        <v>0.8</v>
      </c>
      <c r="R21" s="113">
        <v>0.8</v>
      </c>
      <c r="S21" s="113">
        <v>0.8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</row>
    <row r="22" spans="1:46" customFormat="1" x14ac:dyDescent="0.15">
      <c r="A22" s="194" t="s">
        <v>211</v>
      </c>
      <c r="B22" s="113">
        <v>0</v>
      </c>
      <c r="C22" s="113">
        <v>0</v>
      </c>
      <c r="D22" s="113">
        <v>0</v>
      </c>
      <c r="E22" s="113">
        <v>0</v>
      </c>
      <c r="F22" s="113">
        <v>0</v>
      </c>
      <c r="G22" s="113">
        <v>0.8</v>
      </c>
      <c r="H22" s="113">
        <v>0</v>
      </c>
      <c r="I22" s="113">
        <v>0.8</v>
      </c>
      <c r="J22" s="113">
        <v>0</v>
      </c>
      <c r="K22" s="113">
        <v>0</v>
      </c>
      <c r="L22" s="113">
        <v>0.8</v>
      </c>
      <c r="M22" s="113">
        <v>0</v>
      </c>
      <c r="N22" s="113">
        <v>0</v>
      </c>
      <c r="O22" s="113">
        <v>0</v>
      </c>
      <c r="P22" s="113">
        <v>0</v>
      </c>
      <c r="Q22" s="113">
        <v>0.8</v>
      </c>
      <c r="R22" s="113">
        <v>0.8</v>
      </c>
      <c r="S22" s="113">
        <v>0.8</v>
      </c>
      <c r="T22" s="113">
        <v>0</v>
      </c>
      <c r="U22" s="113">
        <v>0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</row>
    <row r="23" spans="1:46" customFormat="1" x14ac:dyDescent="0.15">
      <c r="A23" s="194" t="s">
        <v>212</v>
      </c>
      <c r="B23" s="113">
        <v>0</v>
      </c>
      <c r="C23" s="113">
        <v>0.8</v>
      </c>
      <c r="D23" s="113">
        <v>0</v>
      </c>
      <c r="E23" s="113">
        <v>0.8</v>
      </c>
      <c r="F23" s="113">
        <v>0</v>
      </c>
      <c r="G23" s="113">
        <v>0.8</v>
      </c>
      <c r="H23" s="113">
        <v>0</v>
      </c>
      <c r="I23" s="113">
        <v>0.8</v>
      </c>
      <c r="J23" s="113">
        <v>0</v>
      </c>
      <c r="K23" s="113">
        <v>0</v>
      </c>
      <c r="L23" s="113">
        <v>0.8</v>
      </c>
      <c r="M23" s="113">
        <v>0</v>
      </c>
      <c r="N23" s="113">
        <v>0</v>
      </c>
      <c r="O23" s="113">
        <v>0</v>
      </c>
      <c r="P23" s="113">
        <v>0</v>
      </c>
      <c r="Q23" s="113">
        <v>0.8</v>
      </c>
      <c r="R23" s="113">
        <v>0.8</v>
      </c>
      <c r="S23" s="113">
        <v>0.8</v>
      </c>
      <c r="T23" s="113">
        <v>0.8</v>
      </c>
      <c r="U23" s="113">
        <v>0.8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0.8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</row>
    <row r="24" spans="1:46" customFormat="1" x14ac:dyDescent="0.15">
      <c r="A24" s="194" t="s">
        <v>213</v>
      </c>
      <c r="B24" s="113">
        <v>0</v>
      </c>
      <c r="C24" s="113">
        <v>0.8</v>
      </c>
      <c r="D24" s="113">
        <v>0</v>
      </c>
      <c r="E24" s="113">
        <v>0</v>
      </c>
      <c r="F24" s="113">
        <v>0</v>
      </c>
      <c r="G24" s="113">
        <v>0.8</v>
      </c>
      <c r="H24" s="113">
        <v>0.8</v>
      </c>
      <c r="I24" s="113">
        <v>0.8</v>
      </c>
      <c r="J24" s="113">
        <v>0</v>
      </c>
      <c r="K24" s="113">
        <v>0</v>
      </c>
      <c r="L24" s="113">
        <v>0.8</v>
      </c>
      <c r="M24" s="113">
        <v>0</v>
      </c>
      <c r="N24" s="113">
        <v>0</v>
      </c>
      <c r="O24" s="113">
        <v>0</v>
      </c>
      <c r="P24" s="113">
        <v>0</v>
      </c>
      <c r="Q24" s="113">
        <v>0.8</v>
      </c>
      <c r="R24" s="113">
        <v>0</v>
      </c>
      <c r="S24" s="113">
        <v>0.8</v>
      </c>
      <c r="T24" s="113">
        <v>0.8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</row>
    <row r="25" spans="1:46" customFormat="1" x14ac:dyDescent="0.15">
      <c r="A25" s="194" t="s">
        <v>214</v>
      </c>
      <c r="B25" s="113">
        <v>0</v>
      </c>
      <c r="C25" s="113">
        <v>0.8</v>
      </c>
      <c r="D25" s="113">
        <v>0</v>
      </c>
      <c r="E25" s="113">
        <v>0.8</v>
      </c>
      <c r="F25" s="113">
        <v>0.8</v>
      </c>
      <c r="G25" s="113">
        <v>0.8</v>
      </c>
      <c r="H25" s="113">
        <v>0</v>
      </c>
      <c r="I25" s="113">
        <v>0.8</v>
      </c>
      <c r="J25" s="113">
        <v>0.8</v>
      </c>
      <c r="K25" s="113">
        <v>0.8</v>
      </c>
      <c r="L25" s="113">
        <v>0.8</v>
      </c>
      <c r="M25" s="113">
        <v>0</v>
      </c>
      <c r="N25" s="113">
        <v>0</v>
      </c>
      <c r="O25" s="113">
        <v>0</v>
      </c>
      <c r="P25" s="113">
        <v>0</v>
      </c>
      <c r="Q25" s="113">
        <v>0.8</v>
      </c>
      <c r="R25" s="113">
        <v>0</v>
      </c>
      <c r="S25" s="113">
        <v>0.8</v>
      </c>
      <c r="T25" s="113">
        <v>0</v>
      </c>
      <c r="U25" s="113">
        <v>0.8</v>
      </c>
      <c r="V25" s="113">
        <v>0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0.8</v>
      </c>
      <c r="AF25" s="113">
        <v>0</v>
      </c>
      <c r="AG25" s="113">
        <v>0</v>
      </c>
      <c r="AH25" s="113">
        <v>0</v>
      </c>
      <c r="AI25" s="113">
        <v>0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</row>
    <row r="26" spans="1:46" customFormat="1" x14ac:dyDescent="0.15">
      <c r="A26" s="194" t="s">
        <v>215</v>
      </c>
      <c r="B26" s="113">
        <v>0</v>
      </c>
      <c r="C26" s="113">
        <v>0.8</v>
      </c>
      <c r="D26" s="113">
        <v>0</v>
      </c>
      <c r="E26" s="113">
        <v>0.8</v>
      </c>
      <c r="F26" s="113">
        <v>0</v>
      </c>
      <c r="G26" s="113">
        <v>0.8</v>
      </c>
      <c r="H26" s="113">
        <v>0</v>
      </c>
      <c r="I26" s="113">
        <v>0.8</v>
      </c>
      <c r="J26" s="113">
        <v>0</v>
      </c>
      <c r="K26" s="113">
        <v>0</v>
      </c>
      <c r="L26" s="113">
        <v>0.8</v>
      </c>
      <c r="M26" s="113">
        <v>0</v>
      </c>
      <c r="N26" s="113">
        <v>0</v>
      </c>
      <c r="O26" s="113">
        <v>0</v>
      </c>
      <c r="P26" s="113">
        <v>0</v>
      </c>
      <c r="Q26" s="113">
        <v>0.8</v>
      </c>
      <c r="R26" s="113">
        <v>0</v>
      </c>
      <c r="S26" s="113">
        <v>0</v>
      </c>
      <c r="T26" s="113">
        <v>0.8</v>
      </c>
      <c r="U26" s="113">
        <v>0.8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</row>
    <row r="27" spans="1:46" customFormat="1" x14ac:dyDescent="0.15">
      <c r="A27" s="194" t="s">
        <v>216</v>
      </c>
      <c r="B27" s="113">
        <v>0</v>
      </c>
      <c r="C27" s="113">
        <v>0.8</v>
      </c>
      <c r="D27" s="113">
        <v>0</v>
      </c>
      <c r="E27" s="113">
        <v>0</v>
      </c>
      <c r="F27" s="113">
        <v>0</v>
      </c>
      <c r="G27" s="113">
        <v>0.8</v>
      </c>
      <c r="H27" s="113">
        <v>0</v>
      </c>
      <c r="I27" s="113">
        <v>0.8</v>
      </c>
      <c r="J27" s="113">
        <v>0</v>
      </c>
      <c r="K27" s="113">
        <v>0</v>
      </c>
      <c r="L27" s="113">
        <v>0.8</v>
      </c>
      <c r="M27" s="113">
        <v>0</v>
      </c>
      <c r="N27" s="113">
        <v>0</v>
      </c>
      <c r="O27" s="113">
        <v>0</v>
      </c>
      <c r="P27" s="113">
        <v>0</v>
      </c>
      <c r="Q27" s="113">
        <v>0.8</v>
      </c>
      <c r="R27" s="113">
        <v>0.8</v>
      </c>
      <c r="S27" s="113">
        <v>0.8</v>
      </c>
      <c r="T27" s="113">
        <v>0.8</v>
      </c>
      <c r="U27" s="113">
        <v>0.8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13">
        <v>0</v>
      </c>
      <c r="AJ27" s="113">
        <v>0</v>
      </c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</row>
    <row r="28" spans="1:46" customFormat="1" x14ac:dyDescent="0.15">
      <c r="A28" s="194" t="s">
        <v>217</v>
      </c>
      <c r="B28" s="113">
        <v>0</v>
      </c>
      <c r="C28" s="113">
        <v>0.8</v>
      </c>
      <c r="D28" s="113">
        <v>0</v>
      </c>
      <c r="E28" s="113">
        <v>0.8</v>
      </c>
      <c r="F28" s="113">
        <v>0</v>
      </c>
      <c r="G28" s="113">
        <v>0.8</v>
      </c>
      <c r="H28" s="113">
        <v>0.8</v>
      </c>
      <c r="I28" s="113">
        <v>0.8</v>
      </c>
      <c r="J28" s="113">
        <v>0</v>
      </c>
      <c r="K28" s="113">
        <v>0.8</v>
      </c>
      <c r="L28" s="113">
        <v>0.8</v>
      </c>
      <c r="M28" s="113">
        <v>0</v>
      </c>
      <c r="N28" s="113">
        <v>0</v>
      </c>
      <c r="O28" s="113">
        <v>0</v>
      </c>
      <c r="P28" s="113">
        <v>0</v>
      </c>
      <c r="Q28" s="113">
        <v>0.8</v>
      </c>
      <c r="R28" s="113">
        <v>0.8</v>
      </c>
      <c r="S28" s="113">
        <v>0.8</v>
      </c>
      <c r="T28" s="113">
        <v>0.8</v>
      </c>
      <c r="U28" s="113">
        <v>0.8</v>
      </c>
      <c r="V28" s="113">
        <v>0</v>
      </c>
      <c r="W28" s="113">
        <v>0</v>
      </c>
      <c r="X28" s="113">
        <v>0.8</v>
      </c>
      <c r="Y28" s="113">
        <v>0</v>
      </c>
      <c r="Z28" s="113">
        <v>0.8</v>
      </c>
      <c r="AA28" s="113">
        <v>0.8</v>
      </c>
      <c r="AB28" s="113">
        <v>0.8</v>
      </c>
      <c r="AC28" s="113">
        <v>0.8</v>
      </c>
      <c r="AD28" s="113">
        <v>0</v>
      </c>
      <c r="AE28" s="113">
        <v>0.8</v>
      </c>
      <c r="AF28" s="113">
        <v>0</v>
      </c>
      <c r="AG28" s="113">
        <v>0.8</v>
      </c>
      <c r="AH28" s="113">
        <v>0</v>
      </c>
      <c r="AI28" s="113">
        <v>0</v>
      </c>
      <c r="AJ28" s="113">
        <v>0</v>
      </c>
      <c r="AK28" s="113">
        <v>0</v>
      </c>
      <c r="AL28" s="113">
        <v>0</v>
      </c>
      <c r="AM28" s="113">
        <v>0.8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</row>
    <row r="29" spans="1:46" customFormat="1" x14ac:dyDescent="0.15">
      <c r="A29" s="194" t="s">
        <v>218</v>
      </c>
      <c r="B29" s="113">
        <v>0</v>
      </c>
      <c r="C29" s="113">
        <v>0</v>
      </c>
      <c r="D29" s="113">
        <v>0</v>
      </c>
      <c r="E29" s="113">
        <v>0</v>
      </c>
      <c r="F29" s="113">
        <v>0.8</v>
      </c>
      <c r="G29" s="113">
        <v>0.8</v>
      </c>
      <c r="H29" s="113">
        <v>0.8</v>
      </c>
      <c r="I29" s="113">
        <v>0.8</v>
      </c>
      <c r="J29" s="113">
        <v>0.8</v>
      </c>
      <c r="K29" s="113">
        <v>0</v>
      </c>
      <c r="L29" s="113">
        <v>0.8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0.8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0.8</v>
      </c>
      <c r="AJ29" s="113">
        <v>0</v>
      </c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  <c r="AR29" s="113">
        <v>0</v>
      </c>
      <c r="AS29" s="113">
        <v>0</v>
      </c>
      <c r="AT29" s="113">
        <v>0</v>
      </c>
    </row>
    <row r="30" spans="1:46" customFormat="1" x14ac:dyDescent="0.15">
      <c r="A30" s="194" t="s">
        <v>219</v>
      </c>
      <c r="B30" s="113">
        <v>0</v>
      </c>
      <c r="C30" s="113">
        <v>0</v>
      </c>
      <c r="D30" s="113">
        <v>0</v>
      </c>
      <c r="E30" s="113">
        <v>0</v>
      </c>
      <c r="F30" s="113">
        <v>0.8</v>
      </c>
      <c r="G30" s="113">
        <v>0.8</v>
      </c>
      <c r="H30" s="113">
        <v>0.8</v>
      </c>
      <c r="I30" s="113">
        <v>0.8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</row>
    <row r="31" spans="1:46" customFormat="1" x14ac:dyDescent="0.15">
      <c r="A31" s="194" t="s">
        <v>220</v>
      </c>
      <c r="B31" s="113">
        <v>0</v>
      </c>
      <c r="C31" s="113">
        <v>0</v>
      </c>
      <c r="D31" s="113">
        <v>0</v>
      </c>
      <c r="E31" s="113">
        <v>0</v>
      </c>
      <c r="F31" s="113">
        <v>0.8</v>
      </c>
      <c r="G31" s="113">
        <v>0.8</v>
      </c>
      <c r="H31" s="113">
        <v>0.8</v>
      </c>
      <c r="I31" s="113">
        <v>0.8</v>
      </c>
      <c r="J31" s="113">
        <v>0.8</v>
      </c>
      <c r="K31" s="113">
        <v>0</v>
      </c>
      <c r="L31" s="113">
        <v>0.8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0</v>
      </c>
      <c r="S31" s="113">
        <v>0</v>
      </c>
      <c r="T31" s="113">
        <v>0</v>
      </c>
      <c r="U31" s="113">
        <v>0</v>
      </c>
      <c r="V31" s="113">
        <v>0</v>
      </c>
      <c r="W31" s="113">
        <v>0</v>
      </c>
      <c r="X31" s="113">
        <v>0</v>
      </c>
      <c r="Y31" s="113">
        <v>0</v>
      </c>
      <c r="Z31" s="113">
        <v>0</v>
      </c>
      <c r="AA31" s="113">
        <v>0</v>
      </c>
      <c r="AB31" s="113">
        <v>0</v>
      </c>
      <c r="AC31" s="113">
        <v>0.8</v>
      </c>
      <c r="AD31" s="113">
        <v>0</v>
      </c>
      <c r="AE31" s="113">
        <v>0</v>
      </c>
      <c r="AF31" s="113">
        <v>0</v>
      </c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</row>
    <row r="32" spans="1:46" customFormat="1" x14ac:dyDescent="0.15">
      <c r="A32" s="194" t="s">
        <v>221</v>
      </c>
      <c r="B32" s="113">
        <v>0</v>
      </c>
      <c r="C32" s="113">
        <v>0</v>
      </c>
      <c r="D32" s="113">
        <v>0</v>
      </c>
      <c r="E32" s="113">
        <v>0</v>
      </c>
      <c r="F32" s="113">
        <v>0.8</v>
      </c>
      <c r="G32" s="113">
        <v>0.8</v>
      </c>
      <c r="H32" s="113">
        <v>0.8</v>
      </c>
      <c r="I32" s="113">
        <v>0.8</v>
      </c>
      <c r="J32" s="113">
        <v>0.8</v>
      </c>
      <c r="K32" s="113">
        <v>0.8</v>
      </c>
      <c r="L32" s="113">
        <v>0.8</v>
      </c>
      <c r="M32" s="113">
        <v>0</v>
      </c>
      <c r="N32" s="113">
        <v>0</v>
      </c>
      <c r="O32" s="113">
        <v>0.8</v>
      </c>
      <c r="P32" s="113">
        <v>0</v>
      </c>
      <c r="Q32" s="113">
        <v>0</v>
      </c>
      <c r="R32" s="113">
        <v>0</v>
      </c>
      <c r="S32" s="113">
        <v>0</v>
      </c>
      <c r="T32" s="113">
        <v>0</v>
      </c>
      <c r="U32" s="113">
        <v>0</v>
      </c>
      <c r="V32" s="113">
        <v>0</v>
      </c>
      <c r="W32" s="113">
        <v>0</v>
      </c>
      <c r="X32" s="113">
        <v>0</v>
      </c>
      <c r="Y32" s="113">
        <v>0</v>
      </c>
      <c r="Z32" s="113">
        <v>0</v>
      </c>
      <c r="AA32" s="113">
        <v>0</v>
      </c>
      <c r="AB32" s="113">
        <v>0</v>
      </c>
      <c r="AC32" s="113">
        <v>0.8</v>
      </c>
      <c r="AD32" s="113">
        <v>0</v>
      </c>
      <c r="AE32" s="113">
        <v>0.8</v>
      </c>
      <c r="AF32" s="113">
        <v>0</v>
      </c>
      <c r="AG32" s="113">
        <v>0</v>
      </c>
      <c r="AH32" s="113">
        <v>0</v>
      </c>
      <c r="AI32" s="113">
        <v>0</v>
      </c>
      <c r="AJ32" s="113">
        <v>0</v>
      </c>
      <c r="AK32" s="113">
        <v>0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</row>
    <row r="33" spans="1:46" x14ac:dyDescent="0.15">
      <c r="A33" s="194" t="s">
        <v>222</v>
      </c>
      <c r="B33" s="113">
        <v>0</v>
      </c>
      <c r="C33" s="113">
        <v>0.8</v>
      </c>
      <c r="D33" s="113">
        <v>0</v>
      </c>
      <c r="E33" s="113">
        <v>0</v>
      </c>
      <c r="F33" s="113">
        <v>0.8</v>
      </c>
      <c r="G33" s="113">
        <v>0.8</v>
      </c>
      <c r="H33" s="113">
        <v>0.8</v>
      </c>
      <c r="I33" s="113">
        <v>0.8</v>
      </c>
      <c r="J33" s="113">
        <v>0</v>
      </c>
      <c r="K33" s="113">
        <v>0.8</v>
      </c>
      <c r="L33" s="113">
        <v>0.8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113">
        <v>0</v>
      </c>
      <c r="T33" s="113">
        <v>0</v>
      </c>
      <c r="U33" s="113">
        <v>0</v>
      </c>
      <c r="V33" s="113">
        <v>0</v>
      </c>
      <c r="W33" s="113">
        <v>0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0.8</v>
      </c>
      <c r="AD33" s="113">
        <v>0</v>
      </c>
      <c r="AE33" s="113">
        <v>0</v>
      </c>
      <c r="AF33" s="113">
        <v>0</v>
      </c>
      <c r="AG33" s="113">
        <v>0.8</v>
      </c>
      <c r="AH33" s="113">
        <v>0</v>
      </c>
      <c r="AI33" s="113">
        <v>0</v>
      </c>
      <c r="AJ33" s="113">
        <v>0</v>
      </c>
      <c r="AK33" s="113">
        <v>0</v>
      </c>
      <c r="AL33" s="113">
        <v>0</v>
      </c>
      <c r="AM33" s="113">
        <v>0.8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</row>
    <row r="34" spans="1:46" x14ac:dyDescent="0.15">
      <c r="A34" s="194" t="s">
        <v>223</v>
      </c>
      <c r="B34" s="113">
        <v>0.8</v>
      </c>
      <c r="C34" s="113">
        <v>0.8</v>
      </c>
      <c r="D34" s="113">
        <v>0</v>
      </c>
      <c r="E34" s="113">
        <v>0</v>
      </c>
      <c r="F34" s="113">
        <v>0.8</v>
      </c>
      <c r="G34" s="113">
        <v>0.8</v>
      </c>
      <c r="H34" s="113">
        <v>0.8</v>
      </c>
      <c r="I34" s="113">
        <v>0.8</v>
      </c>
      <c r="J34" s="113">
        <v>0.8</v>
      </c>
      <c r="K34" s="113">
        <v>0.8</v>
      </c>
      <c r="L34" s="113">
        <v>0.8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113">
        <v>0.8</v>
      </c>
      <c r="T34" s="113">
        <v>0</v>
      </c>
      <c r="U34" s="113">
        <v>0</v>
      </c>
      <c r="V34" s="113">
        <v>0</v>
      </c>
      <c r="W34" s="113">
        <v>0</v>
      </c>
      <c r="X34" s="113">
        <v>0</v>
      </c>
      <c r="Y34" s="113">
        <v>0</v>
      </c>
      <c r="Z34" s="113">
        <v>0</v>
      </c>
      <c r="AA34" s="113">
        <v>0.8</v>
      </c>
      <c r="AB34" s="113">
        <v>0.8</v>
      </c>
      <c r="AC34" s="113">
        <v>0.8</v>
      </c>
      <c r="AD34" s="113">
        <v>0</v>
      </c>
      <c r="AE34" s="113">
        <v>0.8</v>
      </c>
      <c r="AF34" s="113">
        <v>0</v>
      </c>
      <c r="AG34" s="113">
        <v>0.8</v>
      </c>
      <c r="AH34" s="113">
        <v>0</v>
      </c>
      <c r="AI34" s="113">
        <v>0.8</v>
      </c>
      <c r="AJ34" s="113">
        <v>0</v>
      </c>
      <c r="AK34" s="113">
        <v>0</v>
      </c>
      <c r="AL34" s="113">
        <v>0</v>
      </c>
      <c r="AM34" s="113">
        <v>0.8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</row>
    <row r="35" spans="1:46" x14ac:dyDescent="0.15">
      <c r="A35" s="194" t="s">
        <v>224</v>
      </c>
      <c r="B35" s="113">
        <v>0</v>
      </c>
      <c r="C35" s="113">
        <v>0</v>
      </c>
      <c r="D35" s="113">
        <v>0</v>
      </c>
      <c r="E35" s="113">
        <v>0</v>
      </c>
      <c r="F35" s="113">
        <v>0.8</v>
      </c>
      <c r="G35" s="113">
        <v>0.8</v>
      </c>
      <c r="H35" s="113">
        <v>0.8</v>
      </c>
      <c r="I35" s="113">
        <v>0.8</v>
      </c>
      <c r="J35" s="113">
        <v>0.8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13">
        <v>0.8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  <c r="AQ35" s="113">
        <v>0</v>
      </c>
      <c r="AR35" s="113">
        <v>0</v>
      </c>
      <c r="AS35" s="113">
        <v>0</v>
      </c>
      <c r="AT35" s="113">
        <v>0</v>
      </c>
    </row>
    <row r="36" spans="1:46" x14ac:dyDescent="0.15">
      <c r="A36" s="194" t="s">
        <v>225</v>
      </c>
      <c r="B36" s="113">
        <v>0.8</v>
      </c>
      <c r="C36" s="113">
        <v>0</v>
      </c>
      <c r="D36" s="113">
        <v>0</v>
      </c>
      <c r="E36" s="113">
        <v>0</v>
      </c>
      <c r="F36" s="113">
        <v>0.8</v>
      </c>
      <c r="G36" s="113">
        <v>0</v>
      </c>
      <c r="H36" s="113">
        <v>0.8</v>
      </c>
      <c r="I36" s="113">
        <v>0</v>
      </c>
      <c r="J36" s="113">
        <v>0.8</v>
      </c>
      <c r="K36" s="113">
        <v>0</v>
      </c>
      <c r="L36" s="113">
        <v>0</v>
      </c>
      <c r="M36" s="113">
        <v>0</v>
      </c>
      <c r="N36" s="113">
        <v>0</v>
      </c>
      <c r="O36" s="113">
        <v>0.8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0.8</v>
      </c>
      <c r="AD36" s="113">
        <v>0</v>
      </c>
      <c r="AE36" s="113">
        <v>0</v>
      </c>
      <c r="AF36" s="113">
        <v>0</v>
      </c>
      <c r="AG36" s="113">
        <v>0.8</v>
      </c>
      <c r="AH36" s="113">
        <v>0</v>
      </c>
      <c r="AI36" s="113">
        <v>0.8</v>
      </c>
      <c r="AJ36" s="113">
        <v>0</v>
      </c>
      <c r="AK36" s="113">
        <v>0</v>
      </c>
      <c r="AL36" s="113">
        <v>0</v>
      </c>
      <c r="AM36" s="113">
        <v>0.8</v>
      </c>
      <c r="AN36" s="113">
        <v>0</v>
      </c>
      <c r="AO36" s="113">
        <v>0</v>
      </c>
      <c r="AP36" s="113">
        <v>0</v>
      </c>
      <c r="AQ36" s="113">
        <v>0</v>
      </c>
      <c r="AR36" s="113">
        <v>0</v>
      </c>
      <c r="AS36" s="113">
        <v>0</v>
      </c>
      <c r="AT36" s="113">
        <v>0</v>
      </c>
    </row>
    <row r="37" spans="1:46" x14ac:dyDescent="0.15">
      <c r="A37" s="194" t="s">
        <v>226</v>
      </c>
      <c r="B37" s="113">
        <v>0.8</v>
      </c>
      <c r="C37" s="113">
        <v>0.8</v>
      </c>
      <c r="D37" s="113">
        <v>0</v>
      </c>
      <c r="E37" s="113">
        <v>0</v>
      </c>
      <c r="F37" s="113">
        <v>0.8</v>
      </c>
      <c r="G37" s="113">
        <v>0.8</v>
      </c>
      <c r="H37" s="113">
        <v>0.8</v>
      </c>
      <c r="I37" s="113">
        <v>0</v>
      </c>
      <c r="J37" s="113">
        <v>0.8</v>
      </c>
      <c r="K37" s="113">
        <v>0</v>
      </c>
      <c r="L37" s="113">
        <v>0</v>
      </c>
      <c r="M37" s="113">
        <v>0</v>
      </c>
      <c r="N37" s="113">
        <v>0</v>
      </c>
      <c r="O37" s="113">
        <v>0.8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0.8</v>
      </c>
      <c r="AD37" s="113">
        <v>0</v>
      </c>
      <c r="AE37" s="113">
        <v>0.8</v>
      </c>
      <c r="AF37" s="113">
        <v>0</v>
      </c>
      <c r="AG37" s="113">
        <v>0.8</v>
      </c>
      <c r="AH37" s="113">
        <v>0</v>
      </c>
      <c r="AI37" s="113">
        <v>0.8</v>
      </c>
      <c r="AJ37" s="113">
        <v>0</v>
      </c>
      <c r="AK37" s="113">
        <v>0</v>
      </c>
      <c r="AL37" s="113">
        <v>0</v>
      </c>
      <c r="AM37" s="113">
        <v>0.8</v>
      </c>
      <c r="AN37" s="113">
        <v>0</v>
      </c>
      <c r="AO37" s="113">
        <v>0</v>
      </c>
      <c r="AP37" s="113">
        <v>0</v>
      </c>
      <c r="AQ37" s="113">
        <v>0</v>
      </c>
      <c r="AR37" s="113">
        <v>0</v>
      </c>
      <c r="AS37" s="113">
        <v>0</v>
      </c>
      <c r="AT37" s="113">
        <v>0</v>
      </c>
    </row>
    <row r="38" spans="1:46" x14ac:dyDescent="0.15">
      <c r="A38" s="194" t="s">
        <v>227</v>
      </c>
      <c r="B38" s="113">
        <v>0.8</v>
      </c>
      <c r="C38" s="113">
        <v>0.8</v>
      </c>
      <c r="D38" s="113">
        <v>0</v>
      </c>
      <c r="E38" s="113">
        <v>0</v>
      </c>
      <c r="F38" s="113">
        <v>0.8</v>
      </c>
      <c r="G38" s="113">
        <v>0.8</v>
      </c>
      <c r="H38" s="113">
        <v>0.8</v>
      </c>
      <c r="I38" s="113">
        <v>0.8</v>
      </c>
      <c r="J38" s="113">
        <v>0.8</v>
      </c>
      <c r="K38" s="113">
        <v>0</v>
      </c>
      <c r="L38" s="113">
        <v>0</v>
      </c>
      <c r="M38" s="113">
        <v>0.8</v>
      </c>
      <c r="N38" s="113">
        <v>0</v>
      </c>
      <c r="O38" s="113">
        <v>0.8</v>
      </c>
      <c r="P38" s="113">
        <v>0.8</v>
      </c>
      <c r="Q38" s="113">
        <v>0</v>
      </c>
      <c r="R38" s="113">
        <v>0</v>
      </c>
      <c r="S38" s="113">
        <v>0</v>
      </c>
      <c r="T38" s="113">
        <v>0</v>
      </c>
      <c r="U38" s="113">
        <v>0</v>
      </c>
      <c r="V38" s="113">
        <v>0</v>
      </c>
      <c r="W38" s="113">
        <v>0</v>
      </c>
      <c r="X38" s="113">
        <v>0</v>
      </c>
      <c r="Y38" s="113">
        <v>0</v>
      </c>
      <c r="Z38" s="113">
        <v>0</v>
      </c>
      <c r="AA38" s="113">
        <v>0</v>
      </c>
      <c r="AB38" s="113">
        <v>0</v>
      </c>
      <c r="AC38" s="113">
        <v>0.8</v>
      </c>
      <c r="AD38" s="113">
        <v>0</v>
      </c>
      <c r="AE38" s="113">
        <v>0</v>
      </c>
      <c r="AF38" s="113">
        <v>0</v>
      </c>
      <c r="AG38" s="113">
        <v>0</v>
      </c>
      <c r="AH38" s="113">
        <v>0</v>
      </c>
      <c r="AI38" s="113">
        <v>0.8</v>
      </c>
      <c r="AJ38" s="113">
        <v>0.8</v>
      </c>
      <c r="AK38" s="113">
        <v>0.8</v>
      </c>
      <c r="AL38" s="113">
        <v>0.8</v>
      </c>
      <c r="AM38" s="113">
        <v>0.8</v>
      </c>
      <c r="AN38" s="113">
        <v>0</v>
      </c>
      <c r="AO38" s="113">
        <v>0</v>
      </c>
      <c r="AP38" s="113">
        <v>0</v>
      </c>
      <c r="AQ38" s="113">
        <v>0</v>
      </c>
      <c r="AR38" s="113">
        <v>0</v>
      </c>
      <c r="AS38" s="113">
        <v>0</v>
      </c>
      <c r="AT38" s="113">
        <v>0</v>
      </c>
    </row>
    <row r="39" spans="1:46" x14ac:dyDescent="0.15">
      <c r="A39" s="194" t="s">
        <v>228</v>
      </c>
      <c r="B39" s="113">
        <v>0.8</v>
      </c>
      <c r="C39" s="113">
        <v>0.8</v>
      </c>
      <c r="D39" s="113">
        <v>0</v>
      </c>
      <c r="E39" s="113">
        <v>0.8</v>
      </c>
      <c r="F39" s="113">
        <v>0.8</v>
      </c>
      <c r="G39" s="113">
        <v>0.8</v>
      </c>
      <c r="H39" s="113">
        <v>0.8</v>
      </c>
      <c r="I39" s="113">
        <v>0.8</v>
      </c>
      <c r="J39" s="113">
        <v>0.8</v>
      </c>
      <c r="K39" s="113">
        <v>0.8</v>
      </c>
      <c r="L39" s="113">
        <v>0.8</v>
      </c>
      <c r="M39" s="113">
        <v>0</v>
      </c>
      <c r="N39" s="113">
        <v>0</v>
      </c>
      <c r="O39" s="113">
        <v>0</v>
      </c>
      <c r="P39" s="113">
        <v>0</v>
      </c>
      <c r="Q39" s="113">
        <v>0.8</v>
      </c>
      <c r="R39" s="113">
        <v>0</v>
      </c>
      <c r="S39" s="113">
        <v>0.8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0.8</v>
      </c>
      <c r="AA39" s="113">
        <v>0</v>
      </c>
      <c r="AB39" s="113">
        <v>0</v>
      </c>
      <c r="AC39" s="113">
        <v>0.8</v>
      </c>
      <c r="AD39" s="113">
        <v>0</v>
      </c>
      <c r="AE39" s="113">
        <v>0.8</v>
      </c>
      <c r="AF39" s="113">
        <v>0</v>
      </c>
      <c r="AG39" s="113">
        <v>0</v>
      </c>
      <c r="AH39" s="113">
        <v>0</v>
      </c>
      <c r="AI39" s="113">
        <v>0.8</v>
      </c>
      <c r="AJ39" s="113">
        <v>0</v>
      </c>
      <c r="AK39" s="113">
        <v>0.8</v>
      </c>
      <c r="AL39" s="113">
        <v>0.8</v>
      </c>
      <c r="AM39" s="113">
        <v>0.8</v>
      </c>
      <c r="AN39" s="113">
        <v>0</v>
      </c>
      <c r="AO39" s="113">
        <v>0</v>
      </c>
      <c r="AP39" s="113">
        <v>0</v>
      </c>
      <c r="AQ39" s="113">
        <v>0</v>
      </c>
      <c r="AR39" s="113">
        <v>0</v>
      </c>
      <c r="AS39" s="113">
        <v>0</v>
      </c>
      <c r="AT39" s="113">
        <v>0</v>
      </c>
    </row>
    <row r="40" spans="1:46" x14ac:dyDescent="0.15">
      <c r="A40" s="194" t="s">
        <v>229</v>
      </c>
      <c r="B40" s="113">
        <v>0</v>
      </c>
      <c r="C40" s="113">
        <v>0</v>
      </c>
      <c r="D40" s="113">
        <v>0</v>
      </c>
      <c r="E40" s="113">
        <v>0.8</v>
      </c>
      <c r="F40" s="113">
        <v>0.8</v>
      </c>
      <c r="G40" s="113">
        <v>0.8</v>
      </c>
      <c r="H40" s="113">
        <v>0.8</v>
      </c>
      <c r="I40" s="113">
        <v>0.8</v>
      </c>
      <c r="J40" s="113">
        <v>0.8</v>
      </c>
      <c r="K40" s="113">
        <v>0.8</v>
      </c>
      <c r="L40" s="113">
        <v>0.8</v>
      </c>
      <c r="M40" s="113">
        <v>0.8</v>
      </c>
      <c r="N40" s="113">
        <v>0</v>
      </c>
      <c r="O40" s="113">
        <v>0.8</v>
      </c>
      <c r="P40" s="113">
        <v>0</v>
      </c>
      <c r="Q40" s="113">
        <v>0.8</v>
      </c>
      <c r="R40" s="113">
        <v>0.8</v>
      </c>
      <c r="S40" s="113">
        <v>0.8</v>
      </c>
      <c r="T40" s="113">
        <v>0.8</v>
      </c>
      <c r="U40" s="113">
        <v>0.8</v>
      </c>
      <c r="V40" s="113">
        <v>0.8</v>
      </c>
      <c r="W40" s="113">
        <v>0.8</v>
      </c>
      <c r="X40" s="113">
        <v>0.8</v>
      </c>
      <c r="Y40" s="113">
        <v>0.8</v>
      </c>
      <c r="Z40" s="113">
        <v>0.8</v>
      </c>
      <c r="AA40" s="113">
        <v>0.8</v>
      </c>
      <c r="AB40" s="113">
        <v>0.8</v>
      </c>
      <c r="AC40" s="113">
        <v>0.8</v>
      </c>
      <c r="AD40" s="113">
        <v>0.8</v>
      </c>
      <c r="AE40" s="113">
        <v>0.8</v>
      </c>
      <c r="AF40" s="113">
        <v>0.8</v>
      </c>
      <c r="AG40" s="113">
        <v>0.8</v>
      </c>
      <c r="AH40" s="113">
        <v>0</v>
      </c>
      <c r="AI40" s="113">
        <v>0.8</v>
      </c>
      <c r="AJ40" s="113">
        <v>0.8</v>
      </c>
      <c r="AK40" s="113">
        <v>0.8</v>
      </c>
      <c r="AL40" s="113">
        <v>0.8</v>
      </c>
      <c r="AM40" s="113">
        <v>0.8</v>
      </c>
      <c r="AN40" s="113">
        <v>0.8</v>
      </c>
      <c r="AO40" s="113">
        <v>0</v>
      </c>
      <c r="AP40" s="113">
        <v>0</v>
      </c>
      <c r="AQ40" s="113">
        <v>0</v>
      </c>
      <c r="AR40" s="113">
        <v>0</v>
      </c>
      <c r="AS40" s="113">
        <v>0</v>
      </c>
      <c r="AT40" s="113">
        <v>0</v>
      </c>
    </row>
    <row r="41" spans="1:46" x14ac:dyDescent="0.15">
      <c r="A41" s="194" t="s">
        <v>230</v>
      </c>
      <c r="B41" s="113">
        <v>0</v>
      </c>
      <c r="C41" s="113">
        <v>0.8</v>
      </c>
      <c r="D41" s="113">
        <v>0</v>
      </c>
      <c r="E41" s="113">
        <v>0.8</v>
      </c>
      <c r="F41" s="113">
        <v>0.8</v>
      </c>
      <c r="G41" s="113">
        <v>0.8</v>
      </c>
      <c r="H41" s="113">
        <v>0.8</v>
      </c>
      <c r="I41" s="113">
        <v>0.8</v>
      </c>
      <c r="J41" s="113">
        <v>0.8</v>
      </c>
      <c r="K41" s="113">
        <v>0.8</v>
      </c>
      <c r="L41" s="113">
        <v>0.8</v>
      </c>
      <c r="M41" s="113">
        <v>0.8</v>
      </c>
      <c r="N41" s="113">
        <v>0.8</v>
      </c>
      <c r="O41" s="113">
        <v>0</v>
      </c>
      <c r="P41" s="113">
        <v>0.8</v>
      </c>
      <c r="Q41" s="113">
        <v>0.8</v>
      </c>
      <c r="R41" s="113">
        <v>0</v>
      </c>
      <c r="S41" s="113">
        <v>0.8</v>
      </c>
      <c r="T41" s="113">
        <v>0.8</v>
      </c>
      <c r="U41" s="113">
        <v>0.8</v>
      </c>
      <c r="V41" s="113">
        <v>0.8</v>
      </c>
      <c r="W41" s="113">
        <v>0.8</v>
      </c>
      <c r="X41" s="113">
        <v>0.8</v>
      </c>
      <c r="Y41" s="113">
        <v>0.8</v>
      </c>
      <c r="Z41" s="113">
        <v>0.8</v>
      </c>
      <c r="AA41" s="113">
        <v>0</v>
      </c>
      <c r="AB41" s="113">
        <v>0.8</v>
      </c>
      <c r="AC41" s="113">
        <v>0.8</v>
      </c>
      <c r="AD41" s="113">
        <v>0.8</v>
      </c>
      <c r="AE41" s="113">
        <v>0.8</v>
      </c>
      <c r="AF41" s="113">
        <v>0.8</v>
      </c>
      <c r="AG41" s="113">
        <v>0.8</v>
      </c>
      <c r="AH41" s="113">
        <v>0.8</v>
      </c>
      <c r="AI41" s="113">
        <v>0.8</v>
      </c>
      <c r="AJ41" s="113">
        <v>0.8</v>
      </c>
      <c r="AK41" s="113">
        <v>0.8</v>
      </c>
      <c r="AL41" s="113">
        <v>0.8</v>
      </c>
      <c r="AM41" s="113">
        <v>0.8</v>
      </c>
      <c r="AN41" s="113">
        <v>0.8</v>
      </c>
      <c r="AO41" s="113">
        <v>0.8</v>
      </c>
      <c r="AP41" s="113">
        <v>0</v>
      </c>
      <c r="AQ41" s="113">
        <v>0</v>
      </c>
      <c r="AR41" s="113">
        <v>0</v>
      </c>
      <c r="AS41" s="113">
        <v>0</v>
      </c>
      <c r="AT41" s="113">
        <v>0</v>
      </c>
    </row>
    <row r="42" spans="1:46" x14ac:dyDescent="0.15">
      <c r="A42" s="194" t="s">
        <v>231</v>
      </c>
      <c r="B42" s="113">
        <v>0.8</v>
      </c>
      <c r="C42" s="113">
        <v>0</v>
      </c>
      <c r="D42" s="113">
        <v>0.8</v>
      </c>
      <c r="E42" s="113">
        <v>0.8</v>
      </c>
      <c r="F42" s="113">
        <v>0.8</v>
      </c>
      <c r="G42" s="113">
        <v>0.8</v>
      </c>
      <c r="H42" s="113">
        <v>0.8</v>
      </c>
      <c r="I42" s="113">
        <v>0.8</v>
      </c>
      <c r="J42" s="113">
        <v>0.8</v>
      </c>
      <c r="K42" s="113">
        <v>0.8</v>
      </c>
      <c r="L42" s="113">
        <v>0.8</v>
      </c>
      <c r="M42" s="113">
        <v>0.8</v>
      </c>
      <c r="N42" s="113">
        <v>0</v>
      </c>
      <c r="O42" s="113">
        <v>0</v>
      </c>
      <c r="P42" s="113">
        <v>0.8</v>
      </c>
      <c r="Q42" s="113">
        <v>0.8</v>
      </c>
      <c r="R42" s="113">
        <v>0</v>
      </c>
      <c r="S42" s="113">
        <v>0.8</v>
      </c>
      <c r="T42" s="113">
        <v>0</v>
      </c>
      <c r="U42" s="113">
        <v>0</v>
      </c>
      <c r="V42" s="113">
        <v>0.8</v>
      </c>
      <c r="W42" s="113">
        <v>0.8</v>
      </c>
      <c r="X42" s="113">
        <v>0</v>
      </c>
      <c r="Y42" s="113">
        <v>0.8</v>
      </c>
      <c r="Z42" s="113">
        <v>0</v>
      </c>
      <c r="AA42" s="113">
        <v>0</v>
      </c>
      <c r="AB42" s="113">
        <v>0.8</v>
      </c>
      <c r="AC42" s="113">
        <v>0.8</v>
      </c>
      <c r="AD42" s="113">
        <v>0</v>
      </c>
      <c r="AE42" s="113">
        <v>0</v>
      </c>
      <c r="AF42" s="113">
        <v>0.8</v>
      </c>
      <c r="AG42" s="113">
        <v>0.8</v>
      </c>
      <c r="AH42" s="113">
        <v>0</v>
      </c>
      <c r="AI42" s="113">
        <v>0.8</v>
      </c>
      <c r="AJ42" s="113">
        <v>0.8</v>
      </c>
      <c r="AK42" s="113">
        <v>0.8</v>
      </c>
      <c r="AL42" s="113">
        <v>0.8</v>
      </c>
      <c r="AM42" s="113">
        <v>0</v>
      </c>
      <c r="AN42" s="113">
        <v>0.8</v>
      </c>
      <c r="AO42" s="113">
        <v>0</v>
      </c>
      <c r="AP42" s="113">
        <v>0.8</v>
      </c>
      <c r="AQ42" s="113">
        <v>0</v>
      </c>
      <c r="AR42" s="113">
        <v>0</v>
      </c>
      <c r="AS42" s="113">
        <v>0</v>
      </c>
      <c r="AT42" s="113">
        <v>0</v>
      </c>
    </row>
    <row r="43" spans="1:46" x14ac:dyDescent="0.15">
      <c r="A43" s="194" t="s">
        <v>232</v>
      </c>
      <c r="B43" s="113">
        <v>0</v>
      </c>
      <c r="C43" s="113">
        <v>0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0.8</v>
      </c>
      <c r="K43" s="113">
        <v>0.8</v>
      </c>
      <c r="L43" s="113">
        <v>0.8</v>
      </c>
      <c r="M43" s="113">
        <v>0.8</v>
      </c>
      <c r="N43" s="113">
        <v>0.8</v>
      </c>
      <c r="O43" s="113">
        <v>0.8</v>
      </c>
      <c r="P43" s="113">
        <v>0.8</v>
      </c>
      <c r="Q43" s="113">
        <v>0</v>
      </c>
      <c r="R43" s="113">
        <v>0</v>
      </c>
      <c r="S43" s="113">
        <v>0.8</v>
      </c>
      <c r="T43" s="113">
        <v>0</v>
      </c>
      <c r="U43" s="113">
        <v>0</v>
      </c>
      <c r="V43" s="113">
        <v>0.8</v>
      </c>
      <c r="W43" s="113">
        <v>0.8</v>
      </c>
      <c r="X43" s="113">
        <v>0</v>
      </c>
      <c r="Y43" s="113">
        <v>0</v>
      </c>
      <c r="Z43" s="113">
        <v>0.8</v>
      </c>
      <c r="AA43" s="113">
        <v>0</v>
      </c>
      <c r="AB43" s="113">
        <v>0.8</v>
      </c>
      <c r="AC43" s="113">
        <v>0.8</v>
      </c>
      <c r="AD43" s="113">
        <v>0.8</v>
      </c>
      <c r="AE43" s="113">
        <v>0</v>
      </c>
      <c r="AF43" s="113">
        <v>0.8</v>
      </c>
      <c r="AG43" s="113">
        <v>0</v>
      </c>
      <c r="AH43" s="113">
        <v>0</v>
      </c>
      <c r="AI43" s="113">
        <v>0.8</v>
      </c>
      <c r="AJ43" s="113">
        <v>0.8</v>
      </c>
      <c r="AK43" s="113">
        <v>0.8</v>
      </c>
      <c r="AL43" s="113">
        <v>0.8</v>
      </c>
      <c r="AM43" s="113">
        <v>0</v>
      </c>
      <c r="AN43" s="113">
        <v>0.8</v>
      </c>
      <c r="AO43" s="113">
        <v>0.8</v>
      </c>
      <c r="AP43" s="113">
        <v>0.8</v>
      </c>
      <c r="AQ43" s="113">
        <v>0</v>
      </c>
      <c r="AR43" s="113">
        <v>0</v>
      </c>
      <c r="AS43" s="113">
        <v>0</v>
      </c>
      <c r="AT43" s="113">
        <v>0</v>
      </c>
    </row>
    <row r="44" spans="1:46" x14ac:dyDescent="0.15">
      <c r="A44" s="194" t="s">
        <v>233</v>
      </c>
      <c r="B44" s="113">
        <v>0</v>
      </c>
      <c r="C44" s="113">
        <v>0</v>
      </c>
      <c r="D44" s="113">
        <v>0.8</v>
      </c>
      <c r="E44" s="113">
        <v>0</v>
      </c>
      <c r="F44" s="113">
        <v>0.8</v>
      </c>
      <c r="G44" s="113">
        <v>0</v>
      </c>
      <c r="H44" s="113">
        <v>0</v>
      </c>
      <c r="I44" s="113">
        <v>0</v>
      </c>
      <c r="J44" s="113">
        <v>0</v>
      </c>
      <c r="K44" s="113">
        <v>0</v>
      </c>
      <c r="L44" s="113">
        <v>0</v>
      </c>
      <c r="M44" s="113">
        <v>0.8</v>
      </c>
      <c r="N44" s="113">
        <v>0.8</v>
      </c>
      <c r="O44" s="113">
        <v>0</v>
      </c>
      <c r="P44" s="113">
        <v>0.8</v>
      </c>
      <c r="Q44" s="113">
        <v>0</v>
      </c>
      <c r="R44" s="113">
        <v>0</v>
      </c>
      <c r="S44" s="113">
        <v>0</v>
      </c>
      <c r="T44" s="113">
        <v>0</v>
      </c>
      <c r="U44" s="113">
        <v>0</v>
      </c>
      <c r="V44" s="113">
        <v>0.8</v>
      </c>
      <c r="W44" s="113">
        <v>0.8</v>
      </c>
      <c r="X44" s="113">
        <v>0</v>
      </c>
      <c r="Y44" s="113">
        <v>0.8</v>
      </c>
      <c r="Z44" s="113">
        <v>0</v>
      </c>
      <c r="AA44" s="113">
        <v>0</v>
      </c>
      <c r="AB44" s="113">
        <v>0.8</v>
      </c>
      <c r="AC44" s="113">
        <v>0.8</v>
      </c>
      <c r="AD44" s="113">
        <v>0</v>
      </c>
      <c r="AE44" s="113">
        <v>0.8</v>
      </c>
      <c r="AF44" s="113">
        <v>0.8</v>
      </c>
      <c r="AG44" s="113">
        <v>0</v>
      </c>
      <c r="AH44" s="113">
        <v>0</v>
      </c>
      <c r="AI44" s="113">
        <v>0</v>
      </c>
      <c r="AJ44" s="113">
        <v>0</v>
      </c>
      <c r="AK44" s="113">
        <v>0</v>
      </c>
      <c r="AL44" s="113">
        <v>0</v>
      </c>
      <c r="AM44" s="113">
        <v>0</v>
      </c>
      <c r="AN44" s="113">
        <v>0</v>
      </c>
      <c r="AO44" s="113">
        <v>0.8</v>
      </c>
      <c r="AP44" s="113">
        <v>0.8</v>
      </c>
      <c r="AQ44" s="113">
        <v>0.8</v>
      </c>
      <c r="AR44" s="113">
        <v>0</v>
      </c>
      <c r="AS44" s="113">
        <v>0</v>
      </c>
      <c r="AT44" s="113">
        <v>0</v>
      </c>
    </row>
    <row r="45" spans="1:46" x14ac:dyDescent="0.15">
      <c r="A45" s="194" t="s">
        <v>234</v>
      </c>
      <c r="B45" s="113">
        <v>0</v>
      </c>
      <c r="C45" s="113">
        <v>0</v>
      </c>
      <c r="D45" s="113">
        <v>0</v>
      </c>
      <c r="E45" s="113">
        <v>0</v>
      </c>
      <c r="F45" s="113">
        <v>0.8</v>
      </c>
      <c r="G45" s="113">
        <v>0.8</v>
      </c>
      <c r="H45" s="113">
        <v>0</v>
      </c>
      <c r="I45" s="113">
        <v>0</v>
      </c>
      <c r="J45" s="113">
        <v>0</v>
      </c>
      <c r="K45" s="113">
        <v>0.8</v>
      </c>
      <c r="L45" s="113">
        <v>0.8</v>
      </c>
      <c r="M45" s="113">
        <v>0.8</v>
      </c>
      <c r="N45" s="113">
        <v>0</v>
      </c>
      <c r="O45" s="113">
        <v>0</v>
      </c>
      <c r="P45" s="113">
        <v>0.8</v>
      </c>
      <c r="Q45" s="113">
        <v>0.8</v>
      </c>
      <c r="R45" s="113">
        <v>0</v>
      </c>
      <c r="S45" s="113">
        <v>0</v>
      </c>
      <c r="T45" s="113">
        <v>0.8</v>
      </c>
      <c r="U45" s="113">
        <v>0</v>
      </c>
      <c r="V45" s="113">
        <v>0.8</v>
      </c>
      <c r="W45" s="113">
        <v>0.8</v>
      </c>
      <c r="X45" s="113">
        <v>0</v>
      </c>
      <c r="Y45" s="113">
        <v>0</v>
      </c>
      <c r="Z45" s="113">
        <v>0</v>
      </c>
      <c r="AA45" s="113">
        <v>0</v>
      </c>
      <c r="AB45" s="113">
        <v>0.8</v>
      </c>
      <c r="AC45" s="113">
        <v>0</v>
      </c>
      <c r="AD45" s="113">
        <v>0.8</v>
      </c>
      <c r="AE45" s="113">
        <v>0</v>
      </c>
      <c r="AF45" s="113">
        <v>0.8</v>
      </c>
      <c r="AG45" s="113">
        <v>0.8</v>
      </c>
      <c r="AH45" s="113">
        <v>0</v>
      </c>
      <c r="AI45" s="113">
        <v>0</v>
      </c>
      <c r="AJ45" s="113">
        <v>0</v>
      </c>
      <c r="AK45" s="113">
        <v>0</v>
      </c>
      <c r="AL45" s="113">
        <v>0</v>
      </c>
      <c r="AM45" s="113">
        <v>0</v>
      </c>
      <c r="AN45" s="113">
        <v>0.8</v>
      </c>
      <c r="AO45" s="113">
        <v>0.8</v>
      </c>
      <c r="AP45" s="113">
        <v>0.8</v>
      </c>
      <c r="AQ45" s="113">
        <v>0.8</v>
      </c>
      <c r="AR45" s="113">
        <v>0</v>
      </c>
      <c r="AS45" s="113">
        <v>0</v>
      </c>
      <c r="AT45" s="113">
        <v>0</v>
      </c>
    </row>
    <row r="46" spans="1:46" x14ac:dyDescent="0.15">
      <c r="A46" s="194" t="s">
        <v>235</v>
      </c>
      <c r="B46" s="113">
        <v>0</v>
      </c>
      <c r="C46" s="113">
        <v>0</v>
      </c>
      <c r="D46" s="113">
        <v>0</v>
      </c>
      <c r="E46" s="113">
        <v>0</v>
      </c>
      <c r="F46" s="113">
        <v>0</v>
      </c>
      <c r="G46" s="113">
        <v>0</v>
      </c>
      <c r="H46" s="113">
        <v>0</v>
      </c>
      <c r="I46" s="113">
        <v>0</v>
      </c>
      <c r="J46" s="113">
        <v>0</v>
      </c>
      <c r="K46" s="113">
        <v>0</v>
      </c>
      <c r="L46" s="113">
        <v>0</v>
      </c>
      <c r="M46" s="113">
        <v>0</v>
      </c>
      <c r="N46" s="113">
        <v>0</v>
      </c>
      <c r="O46" s="113">
        <v>0</v>
      </c>
      <c r="P46" s="113">
        <v>0</v>
      </c>
      <c r="Q46" s="113">
        <v>0</v>
      </c>
      <c r="R46" s="113">
        <v>0</v>
      </c>
      <c r="S46" s="113">
        <v>0</v>
      </c>
      <c r="T46" s="113">
        <v>0</v>
      </c>
      <c r="U46" s="113">
        <v>0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113">
        <v>0</v>
      </c>
      <c r="AE46" s="113">
        <v>0</v>
      </c>
      <c r="AF46" s="113">
        <v>0</v>
      </c>
      <c r="AG46" s="113">
        <v>0</v>
      </c>
      <c r="AH46" s="113">
        <v>0</v>
      </c>
      <c r="AI46" s="113">
        <v>0</v>
      </c>
      <c r="AJ46" s="113">
        <v>0</v>
      </c>
      <c r="AK46" s="113">
        <v>0</v>
      </c>
      <c r="AL46" s="113">
        <v>0</v>
      </c>
      <c r="AM46" s="113">
        <v>0</v>
      </c>
      <c r="AN46" s="113">
        <v>0</v>
      </c>
      <c r="AO46" s="113">
        <v>0</v>
      </c>
      <c r="AP46" s="113">
        <v>0</v>
      </c>
      <c r="AQ46" s="113">
        <v>0</v>
      </c>
      <c r="AR46" s="113">
        <v>0</v>
      </c>
      <c r="AS46" s="113">
        <v>0</v>
      </c>
      <c r="AT46" s="113">
        <v>0</v>
      </c>
    </row>
    <row r="47" spans="1:46" x14ac:dyDescent="0.15">
      <c r="A47" s="194" t="s">
        <v>238</v>
      </c>
      <c r="B47" s="113">
        <v>0</v>
      </c>
      <c r="C47" s="113">
        <v>0</v>
      </c>
      <c r="D47" s="113">
        <v>0</v>
      </c>
      <c r="E47" s="113">
        <v>0.8</v>
      </c>
      <c r="F47" s="113">
        <v>0</v>
      </c>
      <c r="G47" s="113">
        <v>0</v>
      </c>
      <c r="H47" s="113">
        <v>0</v>
      </c>
      <c r="I47" s="113">
        <v>0</v>
      </c>
      <c r="J47" s="113">
        <v>0</v>
      </c>
      <c r="K47" s="113">
        <v>0</v>
      </c>
      <c r="L47" s="113">
        <v>0</v>
      </c>
      <c r="M47" s="113">
        <v>0</v>
      </c>
      <c r="N47" s="113">
        <v>0</v>
      </c>
      <c r="O47" s="113">
        <v>0</v>
      </c>
      <c r="P47" s="113">
        <v>0</v>
      </c>
      <c r="Q47" s="113">
        <v>0</v>
      </c>
      <c r="R47" s="113">
        <v>0</v>
      </c>
      <c r="S47" s="113">
        <v>0</v>
      </c>
      <c r="T47" s="113">
        <v>0</v>
      </c>
      <c r="U47" s="113">
        <v>0</v>
      </c>
      <c r="V47" s="113">
        <v>0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0.8</v>
      </c>
      <c r="AC47" s="113">
        <v>0</v>
      </c>
      <c r="AD47" s="113">
        <v>0</v>
      </c>
      <c r="AE47" s="113">
        <v>0</v>
      </c>
      <c r="AF47" s="113">
        <v>0</v>
      </c>
      <c r="AG47" s="113">
        <v>0</v>
      </c>
      <c r="AH47" s="113">
        <v>0</v>
      </c>
      <c r="AI47" s="113">
        <v>0</v>
      </c>
      <c r="AJ47" s="113">
        <v>0</v>
      </c>
      <c r="AK47" s="113">
        <v>0</v>
      </c>
      <c r="AL47" s="113">
        <v>0</v>
      </c>
      <c r="AM47" s="113">
        <v>0</v>
      </c>
      <c r="AN47" s="113">
        <v>0</v>
      </c>
      <c r="AO47" s="113">
        <v>0</v>
      </c>
      <c r="AP47" s="113">
        <v>0</v>
      </c>
      <c r="AQ47" s="113">
        <v>0</v>
      </c>
      <c r="AR47" s="113">
        <v>0</v>
      </c>
      <c r="AS47" s="113">
        <v>0</v>
      </c>
      <c r="AT47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T47"/>
  <sheetViews>
    <sheetView workbookViewId="0">
      <selection activeCell="A3" sqref="A3"/>
    </sheetView>
  </sheetViews>
  <sheetFormatPr baseColWidth="10" defaultRowHeight="13" x14ac:dyDescent="0.15"/>
  <cols>
    <col min="1" max="1" width="21.6640625" style="113" bestFit="1" customWidth="1"/>
    <col min="2" max="46" width="2.33203125" style="113" customWidth="1"/>
    <col min="47" max="16384" width="10.83203125" style="113"/>
  </cols>
  <sheetData>
    <row r="1" spans="1:46" x14ac:dyDescent="0.15">
      <c r="A1" s="63" t="s">
        <v>139</v>
      </c>
      <c r="B1" s="197" t="s">
        <v>191</v>
      </c>
      <c r="C1" s="197" t="s">
        <v>192</v>
      </c>
      <c r="D1" s="197" t="s">
        <v>193</v>
      </c>
      <c r="E1" s="197" t="s">
        <v>194</v>
      </c>
      <c r="F1" s="197" t="s">
        <v>195</v>
      </c>
      <c r="G1" s="197" t="s">
        <v>196</v>
      </c>
      <c r="H1" s="197" t="s">
        <v>197</v>
      </c>
      <c r="I1" s="197" t="s">
        <v>198</v>
      </c>
      <c r="J1" s="197" t="s">
        <v>199</v>
      </c>
      <c r="K1" s="197" t="s">
        <v>200</v>
      </c>
      <c r="L1" s="197" t="s">
        <v>201</v>
      </c>
      <c r="M1" s="197" t="s">
        <v>202</v>
      </c>
      <c r="N1" s="197" t="s">
        <v>203</v>
      </c>
      <c r="O1" s="197" t="s">
        <v>204</v>
      </c>
      <c r="P1" s="197" t="s">
        <v>205</v>
      </c>
      <c r="Q1" s="197" t="s">
        <v>206</v>
      </c>
      <c r="R1" s="197" t="s">
        <v>207</v>
      </c>
      <c r="S1" s="197" t="s">
        <v>208</v>
      </c>
      <c r="T1" s="197" t="s">
        <v>209</v>
      </c>
      <c r="U1" s="197" t="s">
        <v>210</v>
      </c>
      <c r="V1" s="197" t="s">
        <v>211</v>
      </c>
      <c r="W1" s="197" t="s">
        <v>212</v>
      </c>
      <c r="X1" s="197" t="s">
        <v>213</v>
      </c>
      <c r="Y1" s="197" t="s">
        <v>214</v>
      </c>
      <c r="Z1" s="197" t="s">
        <v>215</v>
      </c>
      <c r="AA1" s="197" t="s">
        <v>216</v>
      </c>
      <c r="AB1" s="197" t="s">
        <v>217</v>
      </c>
      <c r="AC1" s="197" t="s">
        <v>218</v>
      </c>
      <c r="AD1" s="197" t="s">
        <v>219</v>
      </c>
      <c r="AE1" s="197" t="s">
        <v>220</v>
      </c>
      <c r="AF1" s="197" t="s">
        <v>221</v>
      </c>
      <c r="AG1" s="197" t="s">
        <v>222</v>
      </c>
      <c r="AH1" s="197" t="s">
        <v>223</v>
      </c>
      <c r="AI1" s="197" t="s">
        <v>224</v>
      </c>
      <c r="AJ1" s="197" t="s">
        <v>225</v>
      </c>
      <c r="AK1" s="197" t="s">
        <v>226</v>
      </c>
      <c r="AL1" s="197" t="s">
        <v>227</v>
      </c>
      <c r="AM1" s="197" t="s">
        <v>228</v>
      </c>
      <c r="AN1" s="197" t="s">
        <v>229</v>
      </c>
      <c r="AO1" s="197" t="s">
        <v>230</v>
      </c>
      <c r="AP1" s="197" t="s">
        <v>231</v>
      </c>
      <c r="AQ1" s="197" t="s">
        <v>232</v>
      </c>
      <c r="AR1" s="197" t="s">
        <v>233</v>
      </c>
      <c r="AS1" s="197" t="s">
        <v>234</v>
      </c>
      <c r="AT1" s="197" t="s">
        <v>235</v>
      </c>
    </row>
    <row r="2" spans="1:46" customFormat="1" x14ac:dyDescent="0.15">
      <c r="A2" s="196" t="s">
        <v>191</v>
      </c>
      <c r="B2" s="113">
        <v>0</v>
      </c>
      <c r="C2" s="113">
        <v>0</v>
      </c>
      <c r="D2" s="113">
        <v>0</v>
      </c>
      <c r="E2" s="113">
        <v>0</v>
      </c>
      <c r="F2" s="113">
        <v>1</v>
      </c>
      <c r="G2" s="113">
        <v>1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N2" s="113">
        <v>0</v>
      </c>
      <c r="O2" s="113">
        <v>0</v>
      </c>
      <c r="P2" s="113">
        <v>0</v>
      </c>
      <c r="Q2" s="113">
        <v>0</v>
      </c>
      <c r="R2" s="113">
        <v>0</v>
      </c>
      <c r="S2" s="113">
        <v>0</v>
      </c>
      <c r="T2" s="113">
        <v>0</v>
      </c>
      <c r="U2" s="113">
        <v>0</v>
      </c>
      <c r="V2" s="113">
        <v>0</v>
      </c>
      <c r="W2" s="113">
        <v>0</v>
      </c>
      <c r="X2" s="113">
        <v>0</v>
      </c>
      <c r="Y2" s="113">
        <v>0</v>
      </c>
      <c r="Z2" s="113">
        <v>0</v>
      </c>
      <c r="AA2" s="113">
        <v>0</v>
      </c>
      <c r="AB2" s="113">
        <v>0</v>
      </c>
      <c r="AC2" s="113">
        <v>0</v>
      </c>
      <c r="AD2" s="113">
        <v>0</v>
      </c>
      <c r="AE2" s="113">
        <v>0</v>
      </c>
      <c r="AF2" s="113">
        <v>0</v>
      </c>
      <c r="AG2" s="113">
        <v>0</v>
      </c>
      <c r="AH2" s="113">
        <v>0</v>
      </c>
      <c r="AI2" s="113">
        <v>0</v>
      </c>
      <c r="AJ2" s="113">
        <v>0</v>
      </c>
      <c r="AK2" s="113">
        <v>0</v>
      </c>
      <c r="AL2" s="113">
        <v>0</v>
      </c>
      <c r="AM2" s="113">
        <v>0</v>
      </c>
      <c r="AN2" s="113">
        <v>0</v>
      </c>
      <c r="AO2" s="113">
        <v>0</v>
      </c>
      <c r="AP2" s="113">
        <v>0</v>
      </c>
      <c r="AQ2" s="113">
        <v>0</v>
      </c>
      <c r="AR2" s="113">
        <v>0</v>
      </c>
      <c r="AS2" s="113">
        <v>0</v>
      </c>
      <c r="AT2" s="113">
        <v>0</v>
      </c>
    </row>
    <row r="3" spans="1:46" customFormat="1" x14ac:dyDescent="0.15">
      <c r="A3" s="196" t="s">
        <v>192</v>
      </c>
      <c r="B3" s="113">
        <v>0</v>
      </c>
      <c r="C3" s="113">
        <v>0</v>
      </c>
      <c r="D3" s="113">
        <v>0</v>
      </c>
      <c r="E3" s="113">
        <v>0</v>
      </c>
      <c r="F3" s="113">
        <v>1</v>
      </c>
      <c r="G3" s="113">
        <v>1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>
        <v>0</v>
      </c>
      <c r="AC3" s="113">
        <v>0</v>
      </c>
      <c r="AD3" s="113">
        <v>0</v>
      </c>
      <c r="AE3" s="113">
        <v>0</v>
      </c>
      <c r="AF3" s="113">
        <v>0</v>
      </c>
      <c r="AG3" s="113">
        <v>0</v>
      </c>
      <c r="AH3" s="113">
        <v>0</v>
      </c>
      <c r="AI3" s="113">
        <v>0</v>
      </c>
      <c r="AJ3" s="113">
        <v>0</v>
      </c>
      <c r="AK3" s="113">
        <v>0</v>
      </c>
      <c r="AL3" s="113">
        <v>0</v>
      </c>
      <c r="AM3" s="113">
        <v>0</v>
      </c>
      <c r="AN3" s="113">
        <v>0</v>
      </c>
      <c r="AO3" s="113">
        <v>0</v>
      </c>
      <c r="AP3" s="113">
        <v>0</v>
      </c>
      <c r="AQ3" s="113">
        <v>0</v>
      </c>
      <c r="AR3" s="113">
        <v>0</v>
      </c>
      <c r="AS3" s="113">
        <v>0</v>
      </c>
      <c r="AT3" s="113">
        <v>0</v>
      </c>
    </row>
    <row r="4" spans="1:46" customFormat="1" x14ac:dyDescent="0.15">
      <c r="A4" s="196" t="s">
        <v>193</v>
      </c>
      <c r="B4" s="113">
        <v>0</v>
      </c>
      <c r="C4" s="113">
        <v>0</v>
      </c>
      <c r="D4" s="113">
        <v>0</v>
      </c>
      <c r="E4" s="113">
        <v>0</v>
      </c>
      <c r="F4" s="113">
        <v>0</v>
      </c>
      <c r="G4" s="113">
        <v>1</v>
      </c>
      <c r="H4" s="113">
        <v>0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N4" s="113">
        <v>0</v>
      </c>
      <c r="O4" s="113">
        <v>0</v>
      </c>
      <c r="P4" s="113">
        <v>0</v>
      </c>
      <c r="Q4" s="113">
        <v>0</v>
      </c>
      <c r="R4" s="113">
        <v>0</v>
      </c>
      <c r="S4" s="113">
        <v>1</v>
      </c>
      <c r="T4" s="113">
        <v>0</v>
      </c>
      <c r="U4" s="113">
        <v>0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3">
        <v>0</v>
      </c>
      <c r="AP4" s="113">
        <v>0</v>
      </c>
      <c r="AQ4" s="113">
        <v>0</v>
      </c>
      <c r="AR4" s="113">
        <v>0</v>
      </c>
      <c r="AS4" s="113">
        <v>0</v>
      </c>
      <c r="AT4" s="113">
        <v>0</v>
      </c>
    </row>
    <row r="5" spans="1:46" customFormat="1" x14ac:dyDescent="0.15">
      <c r="A5" s="196" t="s">
        <v>194</v>
      </c>
      <c r="B5" s="113">
        <v>0</v>
      </c>
      <c r="C5" s="113">
        <v>0</v>
      </c>
      <c r="D5" s="113">
        <v>0</v>
      </c>
      <c r="E5" s="113">
        <v>0</v>
      </c>
      <c r="F5" s="113">
        <v>0</v>
      </c>
      <c r="G5" s="113">
        <v>1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3">
        <v>0</v>
      </c>
      <c r="AP5" s="113">
        <v>0</v>
      </c>
      <c r="AQ5" s="113">
        <v>0</v>
      </c>
      <c r="AR5" s="113">
        <v>0</v>
      </c>
      <c r="AS5" s="113">
        <v>0</v>
      </c>
      <c r="AT5" s="113">
        <v>0</v>
      </c>
    </row>
    <row r="6" spans="1:46" customFormat="1" x14ac:dyDescent="0.15">
      <c r="A6" s="196" t="s">
        <v>195</v>
      </c>
      <c r="B6" s="113">
        <v>0</v>
      </c>
      <c r="C6" s="113">
        <v>0</v>
      </c>
      <c r="D6" s="113">
        <v>0</v>
      </c>
      <c r="E6" s="113">
        <v>0</v>
      </c>
      <c r="F6" s="113">
        <v>1</v>
      </c>
      <c r="G6" s="113">
        <v>1</v>
      </c>
      <c r="H6" s="113">
        <v>0</v>
      </c>
      <c r="I6" s="113">
        <v>0</v>
      </c>
      <c r="J6" s="113">
        <v>0</v>
      </c>
      <c r="K6" s="113">
        <v>0</v>
      </c>
      <c r="L6" s="113">
        <v>0</v>
      </c>
      <c r="M6" s="113">
        <v>0</v>
      </c>
      <c r="N6" s="113">
        <v>0</v>
      </c>
      <c r="O6" s="113">
        <v>0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>
        <v>0</v>
      </c>
      <c r="AC6" s="113">
        <v>0</v>
      </c>
      <c r="AD6" s="113">
        <v>0</v>
      </c>
      <c r="AE6" s="113">
        <v>0</v>
      </c>
      <c r="AF6" s="113">
        <v>0</v>
      </c>
      <c r="AG6" s="113">
        <v>0</v>
      </c>
      <c r="AH6" s="113">
        <v>0</v>
      </c>
      <c r="AI6" s="113">
        <v>0</v>
      </c>
      <c r="AJ6" s="113">
        <v>0</v>
      </c>
      <c r="AK6" s="113">
        <v>0</v>
      </c>
      <c r="AL6" s="113">
        <v>0</v>
      </c>
      <c r="AM6" s="113">
        <v>0</v>
      </c>
      <c r="AN6" s="113">
        <v>0</v>
      </c>
      <c r="AO6" s="113">
        <v>0</v>
      </c>
      <c r="AP6" s="113">
        <v>0</v>
      </c>
      <c r="AQ6" s="113">
        <v>0</v>
      </c>
      <c r="AR6" s="113">
        <v>0</v>
      </c>
      <c r="AS6" s="113">
        <v>0</v>
      </c>
      <c r="AT6" s="113">
        <v>0</v>
      </c>
    </row>
    <row r="7" spans="1:46" customFormat="1" x14ac:dyDescent="0.15">
      <c r="A7" s="196" t="s">
        <v>196</v>
      </c>
      <c r="B7" s="113">
        <v>0</v>
      </c>
      <c r="C7" s="113">
        <v>0</v>
      </c>
      <c r="D7" s="113">
        <v>0</v>
      </c>
      <c r="E7" s="113">
        <v>0</v>
      </c>
      <c r="F7" s="113">
        <v>0</v>
      </c>
      <c r="G7" s="113">
        <v>1</v>
      </c>
      <c r="H7" s="113">
        <v>0</v>
      </c>
      <c r="I7" s="113">
        <v>0</v>
      </c>
      <c r="J7" s="113">
        <v>0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1</v>
      </c>
      <c r="T7" s="113">
        <v>0</v>
      </c>
      <c r="U7" s="113">
        <v>0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>
        <v>0</v>
      </c>
      <c r="AB7" s="113">
        <v>0</v>
      </c>
      <c r="AC7" s="113">
        <v>0</v>
      </c>
      <c r="AD7" s="113">
        <v>0</v>
      </c>
      <c r="AE7" s="113">
        <v>0</v>
      </c>
      <c r="AF7" s="113">
        <v>0</v>
      </c>
      <c r="AG7" s="113">
        <v>0</v>
      </c>
      <c r="AH7" s="113">
        <v>0</v>
      </c>
      <c r="AI7" s="113">
        <v>0</v>
      </c>
      <c r="AJ7" s="113">
        <v>0</v>
      </c>
      <c r="AK7" s="113">
        <v>0</v>
      </c>
      <c r="AL7" s="113">
        <v>0</v>
      </c>
      <c r="AM7" s="113">
        <v>0</v>
      </c>
      <c r="AN7" s="113">
        <v>0</v>
      </c>
      <c r="AO7" s="113">
        <v>0</v>
      </c>
      <c r="AP7" s="113">
        <v>0</v>
      </c>
      <c r="AQ7" s="113">
        <v>0</v>
      </c>
      <c r="AR7" s="113">
        <v>0</v>
      </c>
      <c r="AS7" s="113">
        <v>0</v>
      </c>
      <c r="AT7" s="113">
        <v>0</v>
      </c>
    </row>
    <row r="8" spans="1:46" customFormat="1" x14ac:dyDescent="0.15">
      <c r="A8" s="196" t="s">
        <v>197</v>
      </c>
      <c r="B8" s="113">
        <v>0</v>
      </c>
      <c r="C8" s="113">
        <v>0</v>
      </c>
      <c r="D8" s="113">
        <v>0</v>
      </c>
      <c r="E8" s="113">
        <v>0</v>
      </c>
      <c r="F8" s="113">
        <v>1</v>
      </c>
      <c r="G8" s="113">
        <v>1</v>
      </c>
      <c r="H8" s="113">
        <v>0</v>
      </c>
      <c r="I8" s="113">
        <v>0</v>
      </c>
      <c r="J8" s="113">
        <v>1</v>
      </c>
      <c r="K8" s="113">
        <v>0</v>
      </c>
      <c r="L8" s="113">
        <v>0</v>
      </c>
      <c r="M8" s="113">
        <v>0</v>
      </c>
      <c r="N8" s="113">
        <v>0</v>
      </c>
      <c r="O8" s="113">
        <v>0</v>
      </c>
      <c r="P8" s="113">
        <v>0</v>
      </c>
      <c r="Q8" s="113">
        <v>0</v>
      </c>
      <c r="R8" s="113">
        <v>0</v>
      </c>
      <c r="S8" s="113">
        <v>0</v>
      </c>
      <c r="T8" s="113">
        <v>0</v>
      </c>
      <c r="U8" s="113">
        <v>0</v>
      </c>
      <c r="V8" s="113">
        <v>0</v>
      </c>
      <c r="W8" s="113">
        <v>0</v>
      </c>
      <c r="X8" s="113">
        <v>0</v>
      </c>
      <c r="Y8" s="113">
        <v>0</v>
      </c>
      <c r="Z8" s="113">
        <v>0</v>
      </c>
      <c r="AA8" s="113">
        <v>0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3">
        <v>0</v>
      </c>
      <c r="AP8" s="113">
        <v>0</v>
      </c>
      <c r="AQ8" s="113">
        <v>0</v>
      </c>
      <c r="AR8" s="113">
        <v>0</v>
      </c>
      <c r="AS8" s="113">
        <v>0</v>
      </c>
      <c r="AT8" s="113">
        <v>0</v>
      </c>
    </row>
    <row r="9" spans="1:46" customFormat="1" x14ac:dyDescent="0.15">
      <c r="A9" s="196" t="s">
        <v>198</v>
      </c>
      <c r="B9" s="113">
        <v>0</v>
      </c>
      <c r="C9" s="113">
        <v>0</v>
      </c>
      <c r="D9" s="113">
        <v>0</v>
      </c>
      <c r="E9" s="113">
        <v>0</v>
      </c>
      <c r="F9" s="113">
        <v>1</v>
      </c>
      <c r="G9" s="113">
        <v>1</v>
      </c>
      <c r="H9" s="113">
        <v>0</v>
      </c>
      <c r="I9" s="113">
        <v>0</v>
      </c>
      <c r="J9" s="113">
        <v>0</v>
      </c>
      <c r="K9" s="113">
        <v>0</v>
      </c>
      <c r="L9" s="113">
        <v>1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3">
        <v>0</v>
      </c>
      <c r="AP9" s="113">
        <v>0</v>
      </c>
      <c r="AQ9" s="113">
        <v>0</v>
      </c>
      <c r="AR9" s="113">
        <v>0</v>
      </c>
      <c r="AS9" s="113">
        <v>0</v>
      </c>
      <c r="AT9" s="113">
        <v>0</v>
      </c>
    </row>
    <row r="10" spans="1:46" customFormat="1" x14ac:dyDescent="0.15">
      <c r="A10" s="196" t="s">
        <v>199</v>
      </c>
      <c r="B10" s="113">
        <v>0</v>
      </c>
      <c r="C10" s="113">
        <v>0</v>
      </c>
      <c r="D10" s="113">
        <v>0</v>
      </c>
      <c r="E10" s="113">
        <v>0</v>
      </c>
      <c r="F10" s="113">
        <v>1</v>
      </c>
      <c r="G10" s="113">
        <v>1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3">
        <v>0</v>
      </c>
      <c r="AP10" s="113">
        <v>0</v>
      </c>
      <c r="AQ10" s="113">
        <v>0</v>
      </c>
      <c r="AR10" s="113">
        <v>0</v>
      </c>
      <c r="AS10" s="113">
        <v>0</v>
      </c>
      <c r="AT10" s="113">
        <v>0</v>
      </c>
    </row>
    <row r="11" spans="1:46" customFormat="1" x14ac:dyDescent="0.15">
      <c r="A11" s="196" t="s">
        <v>200</v>
      </c>
      <c r="B11" s="113">
        <v>0</v>
      </c>
      <c r="C11" s="113">
        <v>1</v>
      </c>
      <c r="D11" s="113">
        <v>0</v>
      </c>
      <c r="E11" s="113">
        <v>0</v>
      </c>
      <c r="F11" s="113">
        <v>1</v>
      </c>
      <c r="G11" s="113">
        <v>1</v>
      </c>
      <c r="H11" s="113">
        <v>0</v>
      </c>
      <c r="I11" s="113">
        <v>0</v>
      </c>
      <c r="J11" s="113">
        <v>0</v>
      </c>
      <c r="K11" s="113">
        <v>0</v>
      </c>
      <c r="L11" s="113">
        <v>1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3">
        <v>0</v>
      </c>
      <c r="AP11" s="113">
        <v>0</v>
      </c>
      <c r="AQ11" s="113">
        <v>0</v>
      </c>
      <c r="AR11" s="113">
        <v>0</v>
      </c>
      <c r="AS11" s="113">
        <v>0</v>
      </c>
      <c r="AT11" s="113">
        <v>0</v>
      </c>
    </row>
    <row r="12" spans="1:46" customFormat="1" x14ac:dyDescent="0.15">
      <c r="A12" s="196" t="s">
        <v>201</v>
      </c>
      <c r="B12" s="113">
        <v>1</v>
      </c>
      <c r="C12" s="113">
        <v>1</v>
      </c>
      <c r="D12" s="113">
        <v>0</v>
      </c>
      <c r="E12" s="113">
        <v>1</v>
      </c>
      <c r="F12" s="113">
        <v>1</v>
      </c>
      <c r="G12" s="113">
        <v>1</v>
      </c>
      <c r="H12" s="113">
        <v>0</v>
      </c>
      <c r="I12" s="113">
        <v>0</v>
      </c>
      <c r="J12" s="113">
        <v>0</v>
      </c>
      <c r="K12" s="113">
        <v>0</v>
      </c>
      <c r="L12" s="113">
        <v>1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0</v>
      </c>
      <c r="U12" s="113">
        <v>0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113">
        <v>0</v>
      </c>
      <c r="AE12" s="113">
        <v>0</v>
      </c>
      <c r="AF12" s="113">
        <v>0</v>
      </c>
      <c r="AG12" s="113">
        <v>0</v>
      </c>
      <c r="AH12" s="113">
        <v>0</v>
      </c>
      <c r="AI12" s="113">
        <v>0</v>
      </c>
      <c r="AJ12" s="113">
        <v>0</v>
      </c>
      <c r="AK12" s="113">
        <v>0</v>
      </c>
      <c r="AL12" s="113">
        <v>0</v>
      </c>
      <c r="AM12" s="113">
        <v>0</v>
      </c>
      <c r="AN12" s="113">
        <v>0</v>
      </c>
      <c r="AO12" s="113">
        <v>0</v>
      </c>
      <c r="AP12" s="113">
        <v>0</v>
      </c>
      <c r="AQ12" s="113">
        <v>0</v>
      </c>
      <c r="AR12" s="113">
        <v>0</v>
      </c>
      <c r="AS12" s="113">
        <v>0</v>
      </c>
      <c r="AT12" s="113">
        <v>0</v>
      </c>
    </row>
    <row r="13" spans="1:46" customFormat="1" x14ac:dyDescent="0.15">
      <c r="A13" s="196" t="s">
        <v>202</v>
      </c>
      <c r="B13" s="113">
        <v>1</v>
      </c>
      <c r="C13" s="113">
        <v>1</v>
      </c>
      <c r="D13" s="113">
        <v>0</v>
      </c>
      <c r="E13" s="113">
        <v>1</v>
      </c>
      <c r="F13" s="113">
        <v>1</v>
      </c>
      <c r="G13" s="113">
        <v>1</v>
      </c>
      <c r="H13" s="113">
        <v>1</v>
      </c>
      <c r="I13" s="113">
        <v>1</v>
      </c>
      <c r="J13" s="113">
        <v>1</v>
      </c>
      <c r="K13" s="113">
        <v>1</v>
      </c>
      <c r="L13" s="113">
        <v>1</v>
      </c>
      <c r="M13" s="113">
        <v>1</v>
      </c>
      <c r="N13" s="113">
        <v>0</v>
      </c>
      <c r="O13" s="113">
        <v>1</v>
      </c>
      <c r="P13" s="113">
        <v>1</v>
      </c>
      <c r="Q13" s="113">
        <v>1</v>
      </c>
      <c r="R13" s="113">
        <v>0</v>
      </c>
      <c r="S13" s="113">
        <v>1</v>
      </c>
      <c r="T13" s="113">
        <v>1</v>
      </c>
      <c r="U13" s="113">
        <v>0</v>
      </c>
      <c r="V13" s="113">
        <v>0</v>
      </c>
      <c r="W13" s="113">
        <v>0</v>
      </c>
      <c r="X13" s="113">
        <v>1</v>
      </c>
      <c r="Y13" s="113">
        <v>0</v>
      </c>
      <c r="Z13" s="113">
        <v>1</v>
      </c>
      <c r="AA13" s="113">
        <v>1</v>
      </c>
      <c r="AB13" s="113">
        <v>1</v>
      </c>
      <c r="AC13" s="113">
        <v>1</v>
      </c>
      <c r="AD13" s="113">
        <v>0</v>
      </c>
      <c r="AE13" s="113">
        <v>1</v>
      </c>
      <c r="AF13" s="113">
        <v>0</v>
      </c>
      <c r="AG13" s="113">
        <v>0</v>
      </c>
      <c r="AH13" s="113">
        <v>0</v>
      </c>
      <c r="AI13" s="113">
        <v>1</v>
      </c>
      <c r="AJ13" s="113">
        <v>1</v>
      </c>
      <c r="AK13" s="113">
        <v>0</v>
      </c>
      <c r="AL13" s="113">
        <v>0</v>
      </c>
      <c r="AM13" s="113">
        <v>1</v>
      </c>
      <c r="AN13" s="113">
        <v>0</v>
      </c>
      <c r="AO13" s="113">
        <v>0</v>
      </c>
      <c r="AP13" s="113">
        <v>0</v>
      </c>
      <c r="AQ13" s="113">
        <v>0</v>
      </c>
      <c r="AR13" s="113">
        <v>0</v>
      </c>
      <c r="AS13" s="113">
        <v>0</v>
      </c>
      <c r="AT13" s="113">
        <v>0</v>
      </c>
    </row>
    <row r="14" spans="1:46" customFormat="1" x14ac:dyDescent="0.15">
      <c r="A14" s="196" t="s">
        <v>203</v>
      </c>
      <c r="B14" s="113">
        <v>0</v>
      </c>
      <c r="C14" s="113">
        <v>1</v>
      </c>
      <c r="D14" s="113">
        <v>0</v>
      </c>
      <c r="E14" s="113">
        <v>1</v>
      </c>
      <c r="F14" s="113">
        <v>0</v>
      </c>
      <c r="G14" s="113">
        <v>1</v>
      </c>
      <c r="H14" s="113">
        <v>0</v>
      </c>
      <c r="I14" s="113">
        <v>1</v>
      </c>
      <c r="J14" s="113">
        <v>0</v>
      </c>
      <c r="K14" s="113">
        <v>1</v>
      </c>
      <c r="L14" s="113">
        <v>1</v>
      </c>
      <c r="M14" s="113">
        <v>0</v>
      </c>
      <c r="N14" s="113">
        <v>0</v>
      </c>
      <c r="O14" s="113">
        <v>0</v>
      </c>
      <c r="P14" s="113">
        <v>0</v>
      </c>
      <c r="Q14" s="113">
        <v>1</v>
      </c>
      <c r="R14" s="113">
        <v>1</v>
      </c>
      <c r="S14" s="113">
        <v>1</v>
      </c>
      <c r="T14" s="113">
        <v>1</v>
      </c>
      <c r="U14" s="113">
        <v>1</v>
      </c>
      <c r="V14" s="113">
        <v>0</v>
      </c>
      <c r="W14" s="113">
        <v>0</v>
      </c>
      <c r="X14" s="113">
        <v>1</v>
      </c>
      <c r="Y14" s="113">
        <v>0</v>
      </c>
      <c r="Z14" s="113">
        <v>1</v>
      </c>
      <c r="AA14" s="113">
        <v>1</v>
      </c>
      <c r="AB14" s="113">
        <v>1</v>
      </c>
      <c r="AC14" s="113">
        <v>1</v>
      </c>
      <c r="AD14" s="113">
        <v>0</v>
      </c>
      <c r="AE14" s="113">
        <v>0</v>
      </c>
      <c r="AF14" s="113">
        <v>0</v>
      </c>
      <c r="AG14" s="113">
        <v>0</v>
      </c>
      <c r="AH14" s="113">
        <v>0</v>
      </c>
      <c r="AI14" s="113">
        <v>0</v>
      </c>
      <c r="AJ14" s="113">
        <v>0</v>
      </c>
      <c r="AK14" s="113">
        <v>0</v>
      </c>
      <c r="AL14" s="113">
        <v>0</v>
      </c>
      <c r="AM14" s="113">
        <v>0</v>
      </c>
      <c r="AN14" s="113">
        <v>0</v>
      </c>
      <c r="AO14" s="113">
        <v>0</v>
      </c>
      <c r="AP14" s="113">
        <v>0</v>
      </c>
      <c r="AQ14" s="113">
        <v>0</v>
      </c>
      <c r="AR14" s="113">
        <v>0</v>
      </c>
      <c r="AS14" s="113">
        <v>0</v>
      </c>
      <c r="AT14" s="113">
        <v>0</v>
      </c>
    </row>
    <row r="15" spans="1:46" customFormat="1" x14ac:dyDescent="0.15">
      <c r="A15" s="196" t="s">
        <v>204</v>
      </c>
      <c r="B15" s="113">
        <v>0</v>
      </c>
      <c r="C15" s="113">
        <v>0</v>
      </c>
      <c r="D15" s="113">
        <v>0</v>
      </c>
      <c r="E15" s="113">
        <v>1</v>
      </c>
      <c r="F15" s="113">
        <v>1</v>
      </c>
      <c r="G15" s="113">
        <v>0</v>
      </c>
      <c r="H15" s="113">
        <v>0</v>
      </c>
      <c r="I15" s="113">
        <v>1</v>
      </c>
      <c r="J15" s="113">
        <v>1</v>
      </c>
      <c r="K15" s="113">
        <v>0</v>
      </c>
      <c r="L15" s="113">
        <v>0</v>
      </c>
      <c r="M15" s="113">
        <v>0</v>
      </c>
      <c r="N15" s="113">
        <v>0</v>
      </c>
      <c r="O15" s="113">
        <v>1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113">
        <v>0</v>
      </c>
      <c r="AE15" s="113">
        <v>0</v>
      </c>
      <c r="AF15" s="113">
        <v>0</v>
      </c>
      <c r="AG15" s="113">
        <v>0</v>
      </c>
      <c r="AH15" s="113">
        <v>0</v>
      </c>
      <c r="AI15" s="113">
        <v>0</v>
      </c>
      <c r="AJ15" s="113">
        <v>0</v>
      </c>
      <c r="AK15" s="113">
        <v>0</v>
      </c>
      <c r="AL15" s="113">
        <v>0</v>
      </c>
      <c r="AM15" s="113">
        <v>0</v>
      </c>
      <c r="AN15" s="113">
        <v>0</v>
      </c>
      <c r="AO15" s="113">
        <v>0</v>
      </c>
      <c r="AP15" s="113">
        <v>0</v>
      </c>
      <c r="AQ15" s="113">
        <v>0</v>
      </c>
      <c r="AR15" s="113">
        <v>0</v>
      </c>
      <c r="AS15" s="113">
        <v>0</v>
      </c>
      <c r="AT15" s="113">
        <v>0</v>
      </c>
    </row>
    <row r="16" spans="1:46" customFormat="1" x14ac:dyDescent="0.15">
      <c r="A16" s="196" t="s">
        <v>205</v>
      </c>
      <c r="B16" s="113">
        <v>1</v>
      </c>
      <c r="C16" s="113">
        <v>1</v>
      </c>
      <c r="D16" s="113">
        <v>0</v>
      </c>
      <c r="E16" s="113">
        <v>1</v>
      </c>
      <c r="F16" s="113">
        <v>1</v>
      </c>
      <c r="G16" s="113">
        <v>1</v>
      </c>
      <c r="H16" s="113">
        <v>1</v>
      </c>
      <c r="I16" s="113">
        <v>1</v>
      </c>
      <c r="J16" s="113">
        <v>1</v>
      </c>
      <c r="K16" s="113">
        <v>1</v>
      </c>
      <c r="L16" s="113">
        <v>1</v>
      </c>
      <c r="M16" s="113">
        <v>0</v>
      </c>
      <c r="N16" s="113">
        <v>0</v>
      </c>
      <c r="O16" s="113">
        <v>1</v>
      </c>
      <c r="P16" s="113">
        <v>1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1</v>
      </c>
      <c r="AC16" s="113">
        <v>1</v>
      </c>
      <c r="AD16" s="113">
        <v>0</v>
      </c>
      <c r="AE16" s="113">
        <v>1</v>
      </c>
      <c r="AF16" s="113">
        <v>0</v>
      </c>
      <c r="AG16" s="113">
        <v>1</v>
      </c>
      <c r="AH16" s="113">
        <v>0</v>
      </c>
      <c r="AI16" s="113">
        <v>1</v>
      </c>
      <c r="AJ16" s="113">
        <v>0</v>
      </c>
      <c r="AK16" s="113">
        <v>0</v>
      </c>
      <c r="AL16" s="113">
        <v>0</v>
      </c>
      <c r="AM16" s="113">
        <v>1</v>
      </c>
      <c r="AN16" s="113">
        <v>0</v>
      </c>
      <c r="AO16" s="113">
        <v>0</v>
      </c>
      <c r="AP16" s="113">
        <v>0</v>
      </c>
      <c r="AQ16" s="113">
        <v>0</v>
      </c>
      <c r="AR16" s="113">
        <v>0</v>
      </c>
      <c r="AS16" s="113">
        <v>0</v>
      </c>
      <c r="AT16" s="113">
        <v>0</v>
      </c>
    </row>
    <row r="17" spans="1:46" customFormat="1" x14ac:dyDescent="0.15">
      <c r="A17" s="196" t="s">
        <v>206</v>
      </c>
      <c r="B17" s="113">
        <v>0</v>
      </c>
      <c r="C17" s="113">
        <v>1</v>
      </c>
      <c r="D17" s="113">
        <v>0</v>
      </c>
      <c r="E17" s="113">
        <v>0</v>
      </c>
      <c r="F17" s="113">
        <v>1</v>
      </c>
      <c r="G17" s="113">
        <v>1</v>
      </c>
      <c r="H17" s="113">
        <v>0</v>
      </c>
      <c r="I17" s="113">
        <v>1</v>
      </c>
      <c r="J17" s="113">
        <v>1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1</v>
      </c>
      <c r="R17" s="113">
        <v>0</v>
      </c>
      <c r="S17" s="113">
        <v>1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3">
        <v>0</v>
      </c>
      <c r="AP17" s="113">
        <v>0</v>
      </c>
      <c r="AQ17" s="113">
        <v>0</v>
      </c>
      <c r="AR17" s="113">
        <v>0</v>
      </c>
      <c r="AS17" s="113">
        <v>0</v>
      </c>
      <c r="AT17" s="113">
        <v>0</v>
      </c>
    </row>
    <row r="18" spans="1:46" customFormat="1" x14ac:dyDescent="0.15">
      <c r="A18" s="196" t="s">
        <v>207</v>
      </c>
      <c r="B18" s="113">
        <v>0</v>
      </c>
      <c r="C18" s="113">
        <v>0</v>
      </c>
      <c r="D18" s="113">
        <v>0</v>
      </c>
      <c r="E18" s="113">
        <v>0</v>
      </c>
      <c r="F18" s="113">
        <v>0</v>
      </c>
      <c r="G18" s="113">
        <v>1</v>
      </c>
      <c r="H18" s="113">
        <v>0</v>
      </c>
      <c r="I18" s="113">
        <v>1</v>
      </c>
      <c r="J18" s="113">
        <v>0</v>
      </c>
      <c r="K18" s="113">
        <v>0</v>
      </c>
      <c r="L18" s="113">
        <v>0</v>
      </c>
      <c r="M18" s="113">
        <v>0</v>
      </c>
      <c r="N18" s="113">
        <v>0</v>
      </c>
      <c r="O18" s="113">
        <v>1</v>
      </c>
      <c r="P18" s="113">
        <v>0</v>
      </c>
      <c r="Q18" s="113">
        <v>0</v>
      </c>
      <c r="R18" s="113">
        <v>0</v>
      </c>
      <c r="S18" s="113">
        <v>1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 s="113">
        <v>0</v>
      </c>
      <c r="AI18" s="113">
        <v>0</v>
      </c>
      <c r="AJ18" s="113">
        <v>0</v>
      </c>
      <c r="AK18" s="113">
        <v>0</v>
      </c>
      <c r="AL18" s="113">
        <v>0</v>
      </c>
      <c r="AM18" s="113">
        <v>0</v>
      </c>
      <c r="AN18" s="113">
        <v>0</v>
      </c>
      <c r="AO18" s="113">
        <v>0</v>
      </c>
      <c r="AP18" s="113">
        <v>0</v>
      </c>
      <c r="AQ18" s="113">
        <v>0</v>
      </c>
      <c r="AR18" s="113">
        <v>0</v>
      </c>
      <c r="AS18" s="113">
        <v>0</v>
      </c>
      <c r="AT18" s="113">
        <v>0</v>
      </c>
    </row>
    <row r="19" spans="1:46" customFormat="1" x14ac:dyDescent="0.15">
      <c r="A19" s="196" t="s">
        <v>208</v>
      </c>
      <c r="B19" s="113">
        <v>0</v>
      </c>
      <c r="C19" s="113">
        <v>1</v>
      </c>
      <c r="D19" s="113">
        <v>0</v>
      </c>
      <c r="E19" s="113">
        <v>0</v>
      </c>
      <c r="F19" s="113">
        <v>0</v>
      </c>
      <c r="G19" s="113">
        <v>1</v>
      </c>
      <c r="H19" s="113">
        <v>0</v>
      </c>
      <c r="I19" s="113">
        <v>1</v>
      </c>
      <c r="J19" s="113">
        <v>1</v>
      </c>
      <c r="K19" s="113">
        <v>0</v>
      </c>
      <c r="L19" s="113">
        <v>1</v>
      </c>
      <c r="M19" s="113">
        <v>0</v>
      </c>
      <c r="N19" s="113">
        <v>0</v>
      </c>
      <c r="O19" s="113">
        <v>0</v>
      </c>
      <c r="P19" s="113">
        <v>0</v>
      </c>
      <c r="Q19" s="113">
        <v>1</v>
      </c>
      <c r="R19" s="113">
        <v>0</v>
      </c>
      <c r="S19" s="113">
        <v>0</v>
      </c>
      <c r="T19" s="113">
        <v>0</v>
      </c>
      <c r="U19" s="113">
        <v>0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>
        <v>0</v>
      </c>
      <c r="AC19" s="113">
        <v>0</v>
      </c>
      <c r="AD19" s="113">
        <v>0</v>
      </c>
      <c r="AE19" s="113">
        <v>0</v>
      </c>
      <c r="AF19" s="113">
        <v>0</v>
      </c>
      <c r="AG19" s="113">
        <v>0</v>
      </c>
      <c r="AH19" s="113">
        <v>0</v>
      </c>
      <c r="AI19" s="113">
        <v>0</v>
      </c>
      <c r="AJ19" s="113">
        <v>0</v>
      </c>
      <c r="AK19" s="113">
        <v>0</v>
      </c>
      <c r="AL19" s="113">
        <v>0</v>
      </c>
      <c r="AM19" s="113">
        <v>0</v>
      </c>
      <c r="AN19" s="113">
        <v>0</v>
      </c>
      <c r="AO19" s="113">
        <v>0</v>
      </c>
      <c r="AP19" s="113">
        <v>0</v>
      </c>
      <c r="AQ19" s="113">
        <v>0</v>
      </c>
      <c r="AR19" s="113">
        <v>0</v>
      </c>
      <c r="AS19" s="113">
        <v>0</v>
      </c>
      <c r="AT19" s="113">
        <v>0</v>
      </c>
    </row>
    <row r="20" spans="1:46" customFormat="1" x14ac:dyDescent="0.15">
      <c r="A20" s="196" t="s">
        <v>209</v>
      </c>
      <c r="B20" s="113">
        <v>0</v>
      </c>
      <c r="C20" s="113">
        <v>0</v>
      </c>
      <c r="D20" s="113">
        <v>0</v>
      </c>
      <c r="E20" s="113">
        <v>0</v>
      </c>
      <c r="F20" s="113">
        <v>0</v>
      </c>
      <c r="G20" s="113">
        <v>1</v>
      </c>
      <c r="H20" s="113">
        <v>0</v>
      </c>
      <c r="I20" s="113">
        <v>1</v>
      </c>
      <c r="J20" s="113">
        <v>0</v>
      </c>
      <c r="K20" s="113">
        <v>0</v>
      </c>
      <c r="L20" s="113">
        <v>1</v>
      </c>
      <c r="M20" s="113">
        <v>0</v>
      </c>
      <c r="N20" s="113">
        <v>0</v>
      </c>
      <c r="O20" s="113">
        <v>0</v>
      </c>
      <c r="P20" s="113">
        <v>0</v>
      </c>
      <c r="Q20" s="113">
        <v>1</v>
      </c>
      <c r="R20" s="113">
        <v>1</v>
      </c>
      <c r="S20" s="113">
        <v>1</v>
      </c>
      <c r="T20" s="113">
        <v>0</v>
      </c>
      <c r="U20" s="113">
        <v>0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113">
        <v>0</v>
      </c>
      <c r="AE20" s="113">
        <v>0</v>
      </c>
      <c r="AF20" s="113">
        <v>0</v>
      </c>
      <c r="AG20" s="113">
        <v>0</v>
      </c>
      <c r="AH20" s="113">
        <v>0</v>
      </c>
      <c r="AI20" s="113">
        <v>0</v>
      </c>
      <c r="AJ20" s="113">
        <v>0</v>
      </c>
      <c r="AK20" s="113">
        <v>0</v>
      </c>
      <c r="AL20" s="113">
        <v>0</v>
      </c>
      <c r="AM20" s="113">
        <v>0</v>
      </c>
      <c r="AN20" s="113">
        <v>0</v>
      </c>
      <c r="AO20" s="113">
        <v>0</v>
      </c>
      <c r="AP20" s="113">
        <v>0</v>
      </c>
      <c r="AQ20" s="113">
        <v>0</v>
      </c>
      <c r="AR20" s="113">
        <v>0</v>
      </c>
      <c r="AS20" s="113">
        <v>0</v>
      </c>
      <c r="AT20" s="113">
        <v>0</v>
      </c>
    </row>
    <row r="21" spans="1:46" customFormat="1" x14ac:dyDescent="0.15">
      <c r="A21" s="196" t="s">
        <v>210</v>
      </c>
      <c r="B21" s="113">
        <v>0</v>
      </c>
      <c r="C21" s="113">
        <v>0</v>
      </c>
      <c r="D21" s="113">
        <v>0</v>
      </c>
      <c r="E21" s="113">
        <v>0</v>
      </c>
      <c r="F21" s="113">
        <v>0</v>
      </c>
      <c r="G21" s="113">
        <v>1</v>
      </c>
      <c r="H21" s="113">
        <v>0</v>
      </c>
      <c r="I21" s="113">
        <v>1</v>
      </c>
      <c r="J21" s="113">
        <v>0</v>
      </c>
      <c r="K21" s="113">
        <v>0</v>
      </c>
      <c r="L21" s="113">
        <v>1</v>
      </c>
      <c r="M21" s="113">
        <v>0</v>
      </c>
      <c r="N21" s="113">
        <v>0</v>
      </c>
      <c r="O21" s="113">
        <v>0</v>
      </c>
      <c r="P21" s="113">
        <v>0</v>
      </c>
      <c r="Q21" s="113">
        <v>1</v>
      </c>
      <c r="R21" s="113">
        <v>1</v>
      </c>
      <c r="S21" s="113">
        <v>1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113">
        <v>0</v>
      </c>
      <c r="AE21" s="113">
        <v>0</v>
      </c>
      <c r="AF21" s="113">
        <v>0</v>
      </c>
      <c r="AG21" s="113">
        <v>0</v>
      </c>
      <c r="AH21" s="113">
        <v>0</v>
      </c>
      <c r="AI21" s="113">
        <v>0</v>
      </c>
      <c r="AJ21" s="113">
        <v>0</v>
      </c>
      <c r="AK21" s="113">
        <v>0</v>
      </c>
      <c r="AL21" s="113">
        <v>0</v>
      </c>
      <c r="AM21" s="113">
        <v>0</v>
      </c>
      <c r="AN21" s="113">
        <v>0</v>
      </c>
      <c r="AO21" s="113">
        <v>0</v>
      </c>
      <c r="AP21" s="113">
        <v>0</v>
      </c>
      <c r="AQ21" s="113">
        <v>0</v>
      </c>
      <c r="AR21" s="113">
        <v>0</v>
      </c>
      <c r="AS21" s="113">
        <v>0</v>
      </c>
      <c r="AT21" s="113">
        <v>0</v>
      </c>
    </row>
    <row r="22" spans="1:46" customFormat="1" x14ac:dyDescent="0.15">
      <c r="A22" s="196" t="s">
        <v>211</v>
      </c>
      <c r="B22" s="113">
        <v>0</v>
      </c>
      <c r="C22" s="113">
        <v>0</v>
      </c>
      <c r="D22" s="113">
        <v>0</v>
      </c>
      <c r="E22" s="113">
        <v>0</v>
      </c>
      <c r="F22" s="113">
        <v>0</v>
      </c>
      <c r="G22" s="113">
        <v>1</v>
      </c>
      <c r="H22" s="113">
        <v>0</v>
      </c>
      <c r="I22" s="113">
        <v>1</v>
      </c>
      <c r="J22" s="113">
        <v>0</v>
      </c>
      <c r="K22" s="113">
        <v>0</v>
      </c>
      <c r="L22" s="113">
        <v>1</v>
      </c>
      <c r="M22" s="113">
        <v>0</v>
      </c>
      <c r="N22" s="113">
        <v>0</v>
      </c>
      <c r="O22" s="113">
        <v>0</v>
      </c>
      <c r="P22" s="113">
        <v>0</v>
      </c>
      <c r="Q22" s="113">
        <v>1</v>
      </c>
      <c r="R22" s="113">
        <v>1</v>
      </c>
      <c r="S22" s="113">
        <v>1</v>
      </c>
      <c r="T22" s="113">
        <v>0</v>
      </c>
      <c r="U22" s="113">
        <v>0</v>
      </c>
      <c r="V22" s="113">
        <v>0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113">
        <v>0</v>
      </c>
      <c r="AE22" s="113">
        <v>0</v>
      </c>
      <c r="AF22" s="113">
        <v>0</v>
      </c>
      <c r="AG22" s="113">
        <v>0</v>
      </c>
      <c r="AH22" s="113">
        <v>0</v>
      </c>
      <c r="AI22" s="113">
        <v>0</v>
      </c>
      <c r="AJ22" s="113">
        <v>0</v>
      </c>
      <c r="AK22" s="113">
        <v>0</v>
      </c>
      <c r="AL22" s="113">
        <v>0</v>
      </c>
      <c r="AM22" s="113">
        <v>0</v>
      </c>
      <c r="AN22" s="113">
        <v>0</v>
      </c>
      <c r="AO22" s="113">
        <v>0</v>
      </c>
      <c r="AP22" s="113">
        <v>0</v>
      </c>
      <c r="AQ22" s="113">
        <v>0</v>
      </c>
      <c r="AR22" s="113">
        <v>0</v>
      </c>
      <c r="AS22" s="113">
        <v>0</v>
      </c>
      <c r="AT22" s="113">
        <v>0</v>
      </c>
    </row>
    <row r="23" spans="1:46" customFormat="1" x14ac:dyDescent="0.15">
      <c r="A23" s="196" t="s">
        <v>212</v>
      </c>
      <c r="B23" s="113">
        <v>0</v>
      </c>
      <c r="C23" s="113">
        <v>1</v>
      </c>
      <c r="D23" s="113">
        <v>0</v>
      </c>
      <c r="E23" s="113">
        <v>1</v>
      </c>
      <c r="F23" s="113">
        <v>0</v>
      </c>
      <c r="G23" s="113">
        <v>1</v>
      </c>
      <c r="H23" s="113">
        <v>0</v>
      </c>
      <c r="I23" s="113">
        <v>1</v>
      </c>
      <c r="J23" s="113">
        <v>0</v>
      </c>
      <c r="K23" s="113">
        <v>0</v>
      </c>
      <c r="L23" s="113">
        <v>1</v>
      </c>
      <c r="M23" s="113">
        <v>0</v>
      </c>
      <c r="N23" s="113">
        <v>0</v>
      </c>
      <c r="O23" s="113">
        <v>0</v>
      </c>
      <c r="P23" s="113">
        <v>0</v>
      </c>
      <c r="Q23" s="113">
        <v>1</v>
      </c>
      <c r="R23" s="113">
        <v>1</v>
      </c>
      <c r="S23" s="113">
        <v>1</v>
      </c>
      <c r="T23" s="113">
        <v>1</v>
      </c>
      <c r="U23" s="113">
        <v>1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>
        <v>0</v>
      </c>
      <c r="AC23" s="113">
        <v>0</v>
      </c>
      <c r="AD23" s="113">
        <v>0</v>
      </c>
      <c r="AE23" s="113">
        <v>0</v>
      </c>
      <c r="AF23" s="113">
        <v>0</v>
      </c>
      <c r="AG23" s="113">
        <v>0</v>
      </c>
      <c r="AH23" s="113">
        <v>0</v>
      </c>
      <c r="AI23" s="113">
        <v>0</v>
      </c>
      <c r="AJ23" s="113">
        <v>0</v>
      </c>
      <c r="AK23" s="113">
        <v>0</v>
      </c>
      <c r="AL23" s="113">
        <v>0</v>
      </c>
      <c r="AM23" s="113">
        <v>1</v>
      </c>
      <c r="AN23" s="113">
        <v>0</v>
      </c>
      <c r="AO23" s="113">
        <v>0</v>
      </c>
      <c r="AP23" s="113">
        <v>0</v>
      </c>
      <c r="AQ23" s="113">
        <v>0</v>
      </c>
      <c r="AR23" s="113">
        <v>0</v>
      </c>
      <c r="AS23" s="113">
        <v>0</v>
      </c>
      <c r="AT23" s="113">
        <v>0</v>
      </c>
    </row>
    <row r="24" spans="1:46" customFormat="1" x14ac:dyDescent="0.15">
      <c r="A24" s="196" t="s">
        <v>213</v>
      </c>
      <c r="B24" s="113">
        <v>0</v>
      </c>
      <c r="C24" s="113">
        <v>1</v>
      </c>
      <c r="D24" s="113">
        <v>0</v>
      </c>
      <c r="E24" s="113">
        <v>0</v>
      </c>
      <c r="F24" s="113">
        <v>0</v>
      </c>
      <c r="G24" s="113">
        <v>1</v>
      </c>
      <c r="H24" s="113">
        <v>1</v>
      </c>
      <c r="I24" s="113">
        <v>1</v>
      </c>
      <c r="J24" s="113">
        <v>0</v>
      </c>
      <c r="K24" s="113">
        <v>0</v>
      </c>
      <c r="L24" s="113">
        <v>1</v>
      </c>
      <c r="M24" s="113">
        <v>0</v>
      </c>
      <c r="N24" s="113">
        <v>0</v>
      </c>
      <c r="O24" s="113">
        <v>0</v>
      </c>
      <c r="P24" s="113">
        <v>0</v>
      </c>
      <c r="Q24" s="113">
        <v>1</v>
      </c>
      <c r="R24" s="113">
        <v>0</v>
      </c>
      <c r="S24" s="113">
        <v>1</v>
      </c>
      <c r="T24" s="113">
        <v>1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0</v>
      </c>
      <c r="AA24" s="113">
        <v>0</v>
      </c>
      <c r="AB24" s="113">
        <v>0</v>
      </c>
      <c r="AC24" s="113">
        <v>0</v>
      </c>
      <c r="AD24" s="113">
        <v>0</v>
      </c>
      <c r="AE24" s="113">
        <v>0</v>
      </c>
      <c r="AF24" s="113">
        <v>0</v>
      </c>
      <c r="AG24" s="113">
        <v>0</v>
      </c>
      <c r="AH24" s="113">
        <v>0</v>
      </c>
      <c r="AI24" s="113">
        <v>0</v>
      </c>
      <c r="AJ24" s="113">
        <v>0</v>
      </c>
      <c r="AK24" s="113">
        <v>0</v>
      </c>
      <c r="AL24" s="113">
        <v>0</v>
      </c>
      <c r="AM24" s="113">
        <v>0</v>
      </c>
      <c r="AN24" s="113">
        <v>0</v>
      </c>
      <c r="AO24" s="113">
        <v>0</v>
      </c>
      <c r="AP24" s="113">
        <v>0</v>
      </c>
      <c r="AQ24" s="113">
        <v>0</v>
      </c>
      <c r="AR24" s="113">
        <v>0</v>
      </c>
      <c r="AS24" s="113">
        <v>0</v>
      </c>
      <c r="AT24" s="113">
        <v>0</v>
      </c>
    </row>
    <row r="25" spans="1:46" customFormat="1" x14ac:dyDescent="0.15">
      <c r="A25" s="196" t="s">
        <v>214</v>
      </c>
      <c r="B25" s="113">
        <v>0</v>
      </c>
      <c r="C25" s="113">
        <v>1</v>
      </c>
      <c r="D25" s="113">
        <v>0</v>
      </c>
      <c r="E25" s="113">
        <v>1</v>
      </c>
      <c r="F25" s="113">
        <v>1</v>
      </c>
      <c r="G25" s="113">
        <v>1</v>
      </c>
      <c r="H25" s="113">
        <v>0</v>
      </c>
      <c r="I25" s="113">
        <v>1</v>
      </c>
      <c r="J25" s="113">
        <v>1</v>
      </c>
      <c r="K25" s="113">
        <v>1</v>
      </c>
      <c r="L25" s="113">
        <v>1</v>
      </c>
      <c r="M25" s="113">
        <v>0</v>
      </c>
      <c r="N25" s="113">
        <v>0</v>
      </c>
      <c r="O25" s="113">
        <v>0</v>
      </c>
      <c r="P25" s="113">
        <v>0</v>
      </c>
      <c r="Q25" s="113">
        <v>1</v>
      </c>
      <c r="R25" s="113">
        <v>0</v>
      </c>
      <c r="S25" s="113">
        <v>1</v>
      </c>
      <c r="T25" s="113">
        <v>0</v>
      </c>
      <c r="U25" s="113">
        <v>1</v>
      </c>
      <c r="V25" s="113">
        <v>0</v>
      </c>
      <c r="W25" s="113">
        <v>0</v>
      </c>
      <c r="X25" s="113">
        <v>0</v>
      </c>
      <c r="Y25" s="113">
        <v>0</v>
      </c>
      <c r="Z25" s="113">
        <v>0</v>
      </c>
      <c r="AA25" s="113">
        <v>0</v>
      </c>
      <c r="AB25" s="113">
        <v>0</v>
      </c>
      <c r="AC25" s="113">
        <v>0</v>
      </c>
      <c r="AD25" s="113">
        <v>0</v>
      </c>
      <c r="AE25" s="113">
        <v>1</v>
      </c>
      <c r="AF25" s="113">
        <v>0</v>
      </c>
      <c r="AG25" s="113">
        <v>0</v>
      </c>
      <c r="AH25" s="113">
        <v>0</v>
      </c>
      <c r="AI25" s="113">
        <v>0</v>
      </c>
      <c r="AJ25" s="113">
        <v>0</v>
      </c>
      <c r="AK25" s="113">
        <v>0</v>
      </c>
      <c r="AL25" s="113">
        <v>0</v>
      </c>
      <c r="AM25" s="113">
        <v>0</v>
      </c>
      <c r="AN25" s="113">
        <v>0</v>
      </c>
      <c r="AO25" s="113">
        <v>0</v>
      </c>
      <c r="AP25" s="113">
        <v>0</v>
      </c>
      <c r="AQ25" s="113">
        <v>0</v>
      </c>
      <c r="AR25" s="113">
        <v>0</v>
      </c>
      <c r="AS25" s="113">
        <v>0</v>
      </c>
      <c r="AT25" s="113">
        <v>0</v>
      </c>
    </row>
    <row r="26" spans="1:46" customFormat="1" x14ac:dyDescent="0.15">
      <c r="A26" s="196" t="s">
        <v>215</v>
      </c>
      <c r="B26" s="113">
        <v>0</v>
      </c>
      <c r="C26" s="113">
        <v>1</v>
      </c>
      <c r="D26" s="113">
        <v>0</v>
      </c>
      <c r="E26" s="113">
        <v>1</v>
      </c>
      <c r="F26" s="113">
        <v>0</v>
      </c>
      <c r="G26" s="113">
        <v>1</v>
      </c>
      <c r="H26" s="113">
        <v>0</v>
      </c>
      <c r="I26" s="113">
        <v>1</v>
      </c>
      <c r="J26" s="113">
        <v>0</v>
      </c>
      <c r="K26" s="113">
        <v>0</v>
      </c>
      <c r="L26" s="113">
        <v>1</v>
      </c>
      <c r="M26" s="113">
        <v>0</v>
      </c>
      <c r="N26" s="113">
        <v>0</v>
      </c>
      <c r="O26" s="113">
        <v>0</v>
      </c>
      <c r="P26" s="113">
        <v>0</v>
      </c>
      <c r="Q26" s="113">
        <v>1</v>
      </c>
      <c r="R26" s="113">
        <v>0</v>
      </c>
      <c r="S26" s="113">
        <v>0</v>
      </c>
      <c r="T26" s="113">
        <v>1</v>
      </c>
      <c r="U26" s="113">
        <v>1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113">
        <v>0</v>
      </c>
      <c r="AE26" s="113">
        <v>0</v>
      </c>
      <c r="AF26" s="113">
        <v>0</v>
      </c>
      <c r="AG26" s="113">
        <v>0</v>
      </c>
      <c r="AH26" s="113">
        <v>0</v>
      </c>
      <c r="AI26" s="113">
        <v>0</v>
      </c>
      <c r="AJ26" s="113">
        <v>0</v>
      </c>
      <c r="AK26" s="113">
        <v>0</v>
      </c>
      <c r="AL26" s="113">
        <v>0</v>
      </c>
      <c r="AM26" s="113">
        <v>0</v>
      </c>
      <c r="AN26" s="113">
        <v>0</v>
      </c>
      <c r="AO26" s="113">
        <v>0</v>
      </c>
      <c r="AP26" s="113">
        <v>0</v>
      </c>
      <c r="AQ26" s="113">
        <v>0</v>
      </c>
      <c r="AR26" s="113">
        <v>0</v>
      </c>
      <c r="AS26" s="113">
        <v>0</v>
      </c>
      <c r="AT26" s="113">
        <v>0</v>
      </c>
    </row>
    <row r="27" spans="1:46" customFormat="1" x14ac:dyDescent="0.15">
      <c r="A27" s="196" t="s">
        <v>216</v>
      </c>
      <c r="B27" s="113">
        <v>0</v>
      </c>
      <c r="C27" s="113">
        <v>1</v>
      </c>
      <c r="D27" s="113">
        <v>0</v>
      </c>
      <c r="E27" s="113">
        <v>0</v>
      </c>
      <c r="F27" s="113">
        <v>0</v>
      </c>
      <c r="G27" s="113">
        <v>1</v>
      </c>
      <c r="H27" s="113">
        <v>0</v>
      </c>
      <c r="I27" s="113">
        <v>1</v>
      </c>
      <c r="J27" s="113">
        <v>0</v>
      </c>
      <c r="K27" s="113">
        <v>0</v>
      </c>
      <c r="L27" s="113">
        <v>1</v>
      </c>
      <c r="M27" s="113">
        <v>0</v>
      </c>
      <c r="N27" s="113">
        <v>0</v>
      </c>
      <c r="O27" s="113">
        <v>0</v>
      </c>
      <c r="P27" s="113">
        <v>0</v>
      </c>
      <c r="Q27" s="113">
        <v>1</v>
      </c>
      <c r="R27" s="113">
        <v>1</v>
      </c>
      <c r="S27" s="113">
        <v>1</v>
      </c>
      <c r="T27" s="113">
        <v>1</v>
      </c>
      <c r="U27" s="113">
        <v>1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113">
        <v>0</v>
      </c>
      <c r="AE27" s="113">
        <v>0</v>
      </c>
      <c r="AF27" s="113">
        <v>0</v>
      </c>
      <c r="AG27" s="113">
        <v>0</v>
      </c>
      <c r="AH27" s="113">
        <v>0</v>
      </c>
      <c r="AI27" s="113">
        <v>0</v>
      </c>
      <c r="AJ27" s="113">
        <v>0</v>
      </c>
      <c r="AK27" s="113">
        <v>0</v>
      </c>
      <c r="AL27" s="113">
        <v>0</v>
      </c>
      <c r="AM27" s="113">
        <v>0</v>
      </c>
      <c r="AN27" s="113">
        <v>0</v>
      </c>
      <c r="AO27" s="113">
        <v>0</v>
      </c>
      <c r="AP27" s="113">
        <v>0</v>
      </c>
      <c r="AQ27" s="113">
        <v>0</v>
      </c>
      <c r="AR27" s="113">
        <v>0</v>
      </c>
      <c r="AS27" s="113">
        <v>0</v>
      </c>
      <c r="AT27" s="113">
        <v>0</v>
      </c>
    </row>
    <row r="28" spans="1:46" customFormat="1" x14ac:dyDescent="0.15">
      <c r="A28" s="196" t="s">
        <v>217</v>
      </c>
      <c r="B28" s="113">
        <v>0</v>
      </c>
      <c r="C28" s="113">
        <v>1</v>
      </c>
      <c r="D28" s="113">
        <v>0</v>
      </c>
      <c r="E28" s="113">
        <v>1</v>
      </c>
      <c r="F28" s="113">
        <v>0</v>
      </c>
      <c r="G28" s="113">
        <v>1</v>
      </c>
      <c r="H28" s="113">
        <v>1</v>
      </c>
      <c r="I28" s="113">
        <v>1</v>
      </c>
      <c r="J28" s="113">
        <v>0</v>
      </c>
      <c r="K28" s="113">
        <v>1</v>
      </c>
      <c r="L28" s="113">
        <v>1</v>
      </c>
      <c r="M28" s="113">
        <v>0</v>
      </c>
      <c r="N28" s="113">
        <v>0</v>
      </c>
      <c r="O28" s="113">
        <v>0</v>
      </c>
      <c r="P28" s="113">
        <v>0</v>
      </c>
      <c r="Q28" s="113">
        <v>1</v>
      </c>
      <c r="R28" s="113">
        <v>1</v>
      </c>
      <c r="S28" s="113">
        <v>1</v>
      </c>
      <c r="T28" s="113">
        <v>1</v>
      </c>
      <c r="U28" s="113">
        <v>1</v>
      </c>
      <c r="V28" s="113">
        <v>0</v>
      </c>
      <c r="W28" s="113">
        <v>0</v>
      </c>
      <c r="X28" s="113">
        <v>1</v>
      </c>
      <c r="Y28" s="113">
        <v>0</v>
      </c>
      <c r="Z28" s="113">
        <v>1</v>
      </c>
      <c r="AA28" s="113">
        <v>1</v>
      </c>
      <c r="AB28" s="113">
        <v>1</v>
      </c>
      <c r="AC28" s="113">
        <v>1</v>
      </c>
      <c r="AD28" s="113">
        <v>0</v>
      </c>
      <c r="AE28" s="113">
        <v>1</v>
      </c>
      <c r="AF28" s="113">
        <v>0</v>
      </c>
      <c r="AG28" s="113">
        <v>1</v>
      </c>
      <c r="AH28" s="113">
        <v>0</v>
      </c>
      <c r="AI28" s="113">
        <v>0</v>
      </c>
      <c r="AJ28" s="113">
        <v>0</v>
      </c>
      <c r="AK28" s="113">
        <v>0</v>
      </c>
      <c r="AL28" s="113">
        <v>0</v>
      </c>
      <c r="AM28" s="113">
        <v>1</v>
      </c>
      <c r="AN28" s="113">
        <v>0</v>
      </c>
      <c r="AO28" s="113">
        <v>0</v>
      </c>
      <c r="AP28" s="113">
        <v>0</v>
      </c>
      <c r="AQ28" s="113">
        <v>0</v>
      </c>
      <c r="AR28" s="113">
        <v>0</v>
      </c>
      <c r="AS28" s="113">
        <v>0</v>
      </c>
      <c r="AT28" s="113">
        <v>0</v>
      </c>
    </row>
    <row r="29" spans="1:46" customFormat="1" x14ac:dyDescent="0.15">
      <c r="A29" s="196" t="s">
        <v>218</v>
      </c>
      <c r="B29" s="113">
        <v>0</v>
      </c>
      <c r="C29" s="113">
        <v>0</v>
      </c>
      <c r="D29" s="113">
        <v>0</v>
      </c>
      <c r="E29" s="113">
        <v>0</v>
      </c>
      <c r="F29" s="113">
        <v>1</v>
      </c>
      <c r="G29" s="113">
        <v>1</v>
      </c>
      <c r="H29" s="113">
        <v>1</v>
      </c>
      <c r="I29" s="113">
        <v>1</v>
      </c>
      <c r="J29" s="113">
        <v>1</v>
      </c>
      <c r="K29" s="113">
        <v>0</v>
      </c>
      <c r="L29" s="113">
        <v>1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1</v>
      </c>
      <c r="AD29" s="113">
        <v>0</v>
      </c>
      <c r="AE29" s="113">
        <v>0</v>
      </c>
      <c r="AF29" s="113">
        <v>0</v>
      </c>
      <c r="AG29" s="113">
        <v>0</v>
      </c>
      <c r="AH29" s="113">
        <v>0</v>
      </c>
      <c r="AI29" s="113">
        <v>1</v>
      </c>
      <c r="AJ29" s="113">
        <v>0</v>
      </c>
      <c r="AK29" s="113">
        <v>0</v>
      </c>
      <c r="AL29" s="113">
        <v>0</v>
      </c>
      <c r="AM29" s="113">
        <v>0</v>
      </c>
      <c r="AN29" s="113">
        <v>0</v>
      </c>
      <c r="AO29" s="113">
        <v>0</v>
      </c>
      <c r="AP29" s="113">
        <v>0</v>
      </c>
      <c r="AQ29" s="113">
        <v>0</v>
      </c>
      <c r="AR29" s="113">
        <v>0</v>
      </c>
      <c r="AS29" s="113">
        <v>0</v>
      </c>
      <c r="AT29" s="113">
        <v>0</v>
      </c>
    </row>
    <row r="30" spans="1:46" customFormat="1" x14ac:dyDescent="0.15">
      <c r="A30" s="196" t="s">
        <v>219</v>
      </c>
      <c r="B30" s="113">
        <v>0</v>
      </c>
      <c r="C30" s="113">
        <v>0</v>
      </c>
      <c r="D30" s="113">
        <v>0</v>
      </c>
      <c r="E30" s="113">
        <v>0</v>
      </c>
      <c r="F30" s="113">
        <v>1</v>
      </c>
      <c r="G30" s="113">
        <v>1</v>
      </c>
      <c r="H30" s="113">
        <v>1</v>
      </c>
      <c r="I30" s="113">
        <v>1</v>
      </c>
      <c r="J30" s="113">
        <v>0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0</v>
      </c>
      <c r="AD30" s="113">
        <v>0</v>
      </c>
      <c r="AE30" s="113">
        <v>0</v>
      </c>
      <c r="AF30" s="113">
        <v>0</v>
      </c>
      <c r="AG30" s="113">
        <v>0</v>
      </c>
      <c r="AH30" s="113">
        <v>0</v>
      </c>
      <c r="AI30" s="113">
        <v>0</v>
      </c>
      <c r="AJ30" s="113">
        <v>0</v>
      </c>
      <c r="AK30" s="113">
        <v>0</v>
      </c>
      <c r="AL30" s="113">
        <v>0</v>
      </c>
      <c r="AM30" s="113">
        <v>0</v>
      </c>
      <c r="AN30" s="113">
        <v>0</v>
      </c>
      <c r="AO30" s="113">
        <v>0</v>
      </c>
      <c r="AP30" s="113">
        <v>0</v>
      </c>
      <c r="AQ30" s="113">
        <v>0</v>
      </c>
      <c r="AR30" s="113">
        <v>0</v>
      </c>
      <c r="AS30" s="113">
        <v>0</v>
      </c>
      <c r="AT30" s="113">
        <v>0</v>
      </c>
    </row>
    <row r="31" spans="1:46" customFormat="1" x14ac:dyDescent="0.15">
      <c r="A31" s="196" t="s">
        <v>220</v>
      </c>
      <c r="B31" s="113">
        <v>0</v>
      </c>
      <c r="C31" s="113">
        <v>0</v>
      </c>
      <c r="D31" s="113">
        <v>0</v>
      </c>
      <c r="E31" s="113">
        <v>0</v>
      </c>
      <c r="F31" s="113">
        <v>1</v>
      </c>
      <c r="G31" s="113">
        <v>1</v>
      </c>
      <c r="H31" s="113">
        <v>1</v>
      </c>
      <c r="I31" s="113">
        <v>1</v>
      </c>
      <c r="J31" s="113">
        <v>1</v>
      </c>
      <c r="K31" s="113">
        <v>0</v>
      </c>
      <c r="L31" s="113">
        <v>1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0</v>
      </c>
      <c r="S31" s="113">
        <v>0</v>
      </c>
      <c r="T31" s="113">
        <v>0</v>
      </c>
      <c r="U31" s="113">
        <v>0</v>
      </c>
      <c r="V31" s="113">
        <v>0</v>
      </c>
      <c r="W31" s="113">
        <v>0</v>
      </c>
      <c r="X31" s="113">
        <v>0</v>
      </c>
      <c r="Y31" s="113">
        <v>0</v>
      </c>
      <c r="Z31" s="113">
        <v>0</v>
      </c>
      <c r="AA31" s="113">
        <v>0</v>
      </c>
      <c r="AB31" s="113">
        <v>0</v>
      </c>
      <c r="AC31" s="113">
        <v>1</v>
      </c>
      <c r="AD31" s="113">
        <v>0</v>
      </c>
      <c r="AE31" s="113">
        <v>0</v>
      </c>
      <c r="AF31" s="113">
        <v>0</v>
      </c>
      <c r="AG31" s="113">
        <v>0</v>
      </c>
      <c r="AH31" s="113">
        <v>0</v>
      </c>
      <c r="AI31" s="113">
        <v>0</v>
      </c>
      <c r="AJ31" s="113">
        <v>0</v>
      </c>
      <c r="AK31" s="113">
        <v>0</v>
      </c>
      <c r="AL31" s="113">
        <v>0</v>
      </c>
      <c r="AM31" s="113">
        <v>0</v>
      </c>
      <c r="AN31" s="113">
        <v>0</v>
      </c>
      <c r="AO31" s="113">
        <v>0</v>
      </c>
      <c r="AP31" s="113">
        <v>0</v>
      </c>
      <c r="AQ31" s="113">
        <v>0</v>
      </c>
      <c r="AR31" s="113">
        <v>0</v>
      </c>
      <c r="AS31" s="113">
        <v>0</v>
      </c>
      <c r="AT31" s="113">
        <v>0</v>
      </c>
    </row>
    <row r="32" spans="1:46" x14ac:dyDescent="0.15">
      <c r="A32" s="196" t="s">
        <v>221</v>
      </c>
      <c r="B32" s="113">
        <v>0</v>
      </c>
      <c r="C32" s="113">
        <v>0</v>
      </c>
      <c r="D32" s="113">
        <v>0</v>
      </c>
      <c r="E32" s="113">
        <v>0</v>
      </c>
      <c r="F32" s="113">
        <v>1</v>
      </c>
      <c r="G32" s="113">
        <v>1</v>
      </c>
      <c r="H32" s="113">
        <v>1</v>
      </c>
      <c r="I32" s="113">
        <v>1</v>
      </c>
      <c r="J32" s="113">
        <v>1</v>
      </c>
      <c r="K32" s="113">
        <v>1</v>
      </c>
      <c r="L32" s="113">
        <v>1</v>
      </c>
      <c r="M32" s="113">
        <v>0</v>
      </c>
      <c r="N32" s="113">
        <v>0</v>
      </c>
      <c r="O32" s="113">
        <v>1</v>
      </c>
      <c r="P32" s="113">
        <v>0</v>
      </c>
      <c r="Q32" s="113">
        <v>0</v>
      </c>
      <c r="R32" s="113">
        <v>0</v>
      </c>
      <c r="S32" s="113">
        <v>0</v>
      </c>
      <c r="T32" s="113">
        <v>0</v>
      </c>
      <c r="U32" s="113">
        <v>0</v>
      </c>
      <c r="V32" s="113">
        <v>0</v>
      </c>
      <c r="W32" s="113">
        <v>0</v>
      </c>
      <c r="X32" s="113">
        <v>0</v>
      </c>
      <c r="Y32" s="113">
        <v>0</v>
      </c>
      <c r="Z32" s="113">
        <v>0</v>
      </c>
      <c r="AA32" s="113">
        <v>0</v>
      </c>
      <c r="AB32" s="113">
        <v>0</v>
      </c>
      <c r="AC32" s="113">
        <v>1</v>
      </c>
      <c r="AD32" s="113">
        <v>0</v>
      </c>
      <c r="AE32" s="113">
        <v>1</v>
      </c>
      <c r="AF32" s="113">
        <v>0</v>
      </c>
      <c r="AG32" s="113">
        <v>0</v>
      </c>
      <c r="AH32" s="113">
        <v>0</v>
      </c>
      <c r="AI32" s="113">
        <v>0</v>
      </c>
      <c r="AJ32" s="113">
        <v>0</v>
      </c>
      <c r="AK32" s="113">
        <v>0</v>
      </c>
      <c r="AL32" s="113">
        <v>0</v>
      </c>
      <c r="AM32" s="113">
        <v>0</v>
      </c>
      <c r="AN32" s="113">
        <v>0</v>
      </c>
      <c r="AO32" s="113">
        <v>0</v>
      </c>
      <c r="AP32" s="113">
        <v>0</v>
      </c>
      <c r="AQ32" s="113">
        <v>0</v>
      </c>
      <c r="AR32" s="113">
        <v>0</v>
      </c>
      <c r="AS32" s="113">
        <v>0</v>
      </c>
      <c r="AT32" s="113">
        <v>0</v>
      </c>
    </row>
    <row r="33" spans="1:46" x14ac:dyDescent="0.15">
      <c r="A33" s="196" t="s">
        <v>222</v>
      </c>
      <c r="B33" s="113">
        <v>0</v>
      </c>
      <c r="C33" s="113">
        <v>1</v>
      </c>
      <c r="D33" s="113">
        <v>0</v>
      </c>
      <c r="E33" s="113">
        <v>0</v>
      </c>
      <c r="F33" s="113">
        <v>1</v>
      </c>
      <c r="G33" s="113">
        <v>1</v>
      </c>
      <c r="H33" s="113">
        <v>1</v>
      </c>
      <c r="I33" s="113">
        <v>1</v>
      </c>
      <c r="J33" s="113">
        <v>0</v>
      </c>
      <c r="K33" s="113">
        <v>1</v>
      </c>
      <c r="L33" s="113">
        <v>1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0</v>
      </c>
      <c r="S33" s="113">
        <v>0</v>
      </c>
      <c r="T33" s="113">
        <v>0</v>
      </c>
      <c r="U33" s="113">
        <v>0</v>
      </c>
      <c r="V33" s="113">
        <v>0</v>
      </c>
      <c r="W33" s="113">
        <v>0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1</v>
      </c>
      <c r="AD33" s="113">
        <v>0</v>
      </c>
      <c r="AE33" s="113">
        <v>0</v>
      </c>
      <c r="AF33" s="113">
        <v>0</v>
      </c>
      <c r="AG33" s="113">
        <v>1</v>
      </c>
      <c r="AH33" s="113">
        <v>0</v>
      </c>
      <c r="AI33" s="113">
        <v>0</v>
      </c>
      <c r="AJ33" s="113">
        <v>0</v>
      </c>
      <c r="AK33" s="113">
        <v>0</v>
      </c>
      <c r="AL33" s="113">
        <v>0</v>
      </c>
      <c r="AM33" s="113">
        <v>1</v>
      </c>
      <c r="AN33" s="113">
        <v>0</v>
      </c>
      <c r="AO33" s="113">
        <v>0</v>
      </c>
      <c r="AP33" s="113">
        <v>0</v>
      </c>
      <c r="AQ33" s="113">
        <v>0</v>
      </c>
      <c r="AR33" s="113">
        <v>0</v>
      </c>
      <c r="AS33" s="113">
        <v>0</v>
      </c>
      <c r="AT33" s="113">
        <v>0</v>
      </c>
    </row>
    <row r="34" spans="1:46" x14ac:dyDescent="0.15">
      <c r="A34" s="196" t="s">
        <v>223</v>
      </c>
      <c r="B34" s="113">
        <v>1</v>
      </c>
      <c r="C34" s="113">
        <v>1</v>
      </c>
      <c r="D34" s="113">
        <v>0</v>
      </c>
      <c r="E34" s="113">
        <v>0</v>
      </c>
      <c r="F34" s="113">
        <v>1</v>
      </c>
      <c r="G34" s="113">
        <v>1</v>
      </c>
      <c r="H34" s="113">
        <v>1</v>
      </c>
      <c r="I34" s="113">
        <v>1</v>
      </c>
      <c r="J34" s="113">
        <v>1</v>
      </c>
      <c r="K34" s="113">
        <v>1</v>
      </c>
      <c r="L34" s="113">
        <v>1</v>
      </c>
      <c r="M34" s="113">
        <v>0</v>
      </c>
      <c r="N34" s="113">
        <v>0</v>
      </c>
      <c r="O34" s="113">
        <v>0</v>
      </c>
      <c r="P34" s="113">
        <v>0</v>
      </c>
      <c r="Q34" s="113">
        <v>0</v>
      </c>
      <c r="R34" s="113">
        <v>0</v>
      </c>
      <c r="S34" s="113">
        <v>1</v>
      </c>
      <c r="T34" s="113">
        <v>0</v>
      </c>
      <c r="U34" s="113">
        <v>0</v>
      </c>
      <c r="V34" s="113">
        <v>0</v>
      </c>
      <c r="W34" s="113">
        <v>0</v>
      </c>
      <c r="X34" s="113">
        <v>0</v>
      </c>
      <c r="Y34" s="113">
        <v>0</v>
      </c>
      <c r="Z34" s="113">
        <v>0</v>
      </c>
      <c r="AA34" s="113">
        <v>1</v>
      </c>
      <c r="AB34" s="113">
        <v>1</v>
      </c>
      <c r="AC34" s="113">
        <v>1</v>
      </c>
      <c r="AD34" s="113">
        <v>0</v>
      </c>
      <c r="AE34" s="113">
        <v>1</v>
      </c>
      <c r="AF34" s="113">
        <v>0</v>
      </c>
      <c r="AG34" s="113">
        <v>1</v>
      </c>
      <c r="AH34" s="113">
        <v>0</v>
      </c>
      <c r="AI34" s="113">
        <v>1</v>
      </c>
      <c r="AJ34" s="113">
        <v>0</v>
      </c>
      <c r="AK34" s="113">
        <v>0</v>
      </c>
      <c r="AL34" s="113">
        <v>0</v>
      </c>
      <c r="AM34" s="113">
        <v>1</v>
      </c>
      <c r="AN34" s="113">
        <v>0</v>
      </c>
      <c r="AO34" s="113">
        <v>0</v>
      </c>
      <c r="AP34" s="113">
        <v>0</v>
      </c>
      <c r="AQ34" s="113">
        <v>0</v>
      </c>
      <c r="AR34" s="113">
        <v>0</v>
      </c>
      <c r="AS34" s="113">
        <v>0</v>
      </c>
      <c r="AT34" s="113">
        <v>0</v>
      </c>
    </row>
    <row r="35" spans="1:46" x14ac:dyDescent="0.15">
      <c r="A35" s="196" t="s">
        <v>224</v>
      </c>
      <c r="B35" s="113">
        <v>0</v>
      </c>
      <c r="C35" s="113">
        <v>0</v>
      </c>
      <c r="D35" s="113">
        <v>0</v>
      </c>
      <c r="E35" s="113">
        <v>0</v>
      </c>
      <c r="F35" s="113">
        <v>1</v>
      </c>
      <c r="G35" s="113">
        <v>1</v>
      </c>
      <c r="H35" s="113">
        <v>1</v>
      </c>
      <c r="I35" s="113">
        <v>1</v>
      </c>
      <c r="J35" s="113">
        <v>1</v>
      </c>
      <c r="K35" s="113">
        <v>0</v>
      </c>
      <c r="L35" s="113">
        <v>0</v>
      </c>
      <c r="M35" s="113">
        <v>0</v>
      </c>
      <c r="N35" s="113">
        <v>0</v>
      </c>
      <c r="O35" s="113">
        <v>0</v>
      </c>
      <c r="P35" s="113">
        <v>0</v>
      </c>
      <c r="Q35" s="113">
        <v>0</v>
      </c>
      <c r="R35" s="113">
        <v>0</v>
      </c>
      <c r="S35" s="113">
        <v>0</v>
      </c>
      <c r="T35" s="113">
        <v>0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0</v>
      </c>
      <c r="AD35" s="113">
        <v>0</v>
      </c>
      <c r="AE35" s="113">
        <v>0</v>
      </c>
      <c r="AF35" s="113">
        <v>0</v>
      </c>
      <c r="AG35" s="113">
        <v>0</v>
      </c>
      <c r="AH35" s="113">
        <v>0</v>
      </c>
      <c r="AI35" s="113">
        <v>1</v>
      </c>
      <c r="AJ35" s="113">
        <v>0</v>
      </c>
      <c r="AK35" s="113">
        <v>0</v>
      </c>
      <c r="AL35" s="113">
        <v>0</v>
      </c>
      <c r="AM35" s="113">
        <v>0</v>
      </c>
      <c r="AN35" s="113">
        <v>0</v>
      </c>
      <c r="AO35" s="113">
        <v>0</v>
      </c>
      <c r="AP35" s="113">
        <v>0</v>
      </c>
      <c r="AQ35" s="113">
        <v>0</v>
      </c>
      <c r="AR35" s="113">
        <v>0</v>
      </c>
      <c r="AS35" s="113">
        <v>0</v>
      </c>
      <c r="AT35" s="113">
        <v>0</v>
      </c>
    </row>
    <row r="36" spans="1:46" x14ac:dyDescent="0.15">
      <c r="A36" s="196" t="s">
        <v>225</v>
      </c>
      <c r="B36" s="113">
        <v>1</v>
      </c>
      <c r="C36" s="113">
        <v>0</v>
      </c>
      <c r="D36" s="113">
        <v>0</v>
      </c>
      <c r="E36" s="113">
        <v>0</v>
      </c>
      <c r="F36" s="113">
        <v>1</v>
      </c>
      <c r="G36" s="113">
        <v>0</v>
      </c>
      <c r="H36" s="113">
        <v>1</v>
      </c>
      <c r="I36" s="113">
        <v>0</v>
      </c>
      <c r="J36" s="113">
        <v>1</v>
      </c>
      <c r="K36" s="113">
        <v>0</v>
      </c>
      <c r="L36" s="113">
        <v>0</v>
      </c>
      <c r="M36" s="113">
        <v>0</v>
      </c>
      <c r="N36" s="113">
        <v>0</v>
      </c>
      <c r="O36" s="113">
        <v>1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1</v>
      </c>
      <c r="AD36" s="113">
        <v>0</v>
      </c>
      <c r="AE36" s="113">
        <v>0</v>
      </c>
      <c r="AF36" s="113">
        <v>0</v>
      </c>
      <c r="AG36" s="113">
        <v>1</v>
      </c>
      <c r="AH36" s="113">
        <v>0</v>
      </c>
      <c r="AI36" s="113">
        <v>1</v>
      </c>
      <c r="AJ36" s="113">
        <v>0</v>
      </c>
      <c r="AK36" s="113">
        <v>0</v>
      </c>
      <c r="AL36" s="113">
        <v>0</v>
      </c>
      <c r="AM36" s="113">
        <v>1</v>
      </c>
      <c r="AN36" s="113">
        <v>0</v>
      </c>
      <c r="AO36" s="113">
        <v>0</v>
      </c>
      <c r="AP36" s="113">
        <v>0</v>
      </c>
      <c r="AQ36" s="113">
        <v>0</v>
      </c>
      <c r="AR36" s="113">
        <v>0</v>
      </c>
      <c r="AS36" s="113">
        <v>0</v>
      </c>
      <c r="AT36" s="113">
        <v>0</v>
      </c>
    </row>
    <row r="37" spans="1:46" x14ac:dyDescent="0.15">
      <c r="A37" s="196" t="s">
        <v>226</v>
      </c>
      <c r="B37" s="113">
        <v>1</v>
      </c>
      <c r="C37" s="113">
        <v>1</v>
      </c>
      <c r="D37" s="113">
        <v>0</v>
      </c>
      <c r="E37" s="113">
        <v>0</v>
      </c>
      <c r="F37" s="113">
        <v>1</v>
      </c>
      <c r="G37" s="113">
        <v>1</v>
      </c>
      <c r="H37" s="113">
        <v>1</v>
      </c>
      <c r="I37" s="113">
        <v>0</v>
      </c>
      <c r="J37" s="113">
        <v>1</v>
      </c>
      <c r="K37" s="113">
        <v>0</v>
      </c>
      <c r="L37" s="113">
        <v>0</v>
      </c>
      <c r="M37" s="113">
        <v>0</v>
      </c>
      <c r="N37" s="113">
        <v>0</v>
      </c>
      <c r="O37" s="113">
        <v>1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1</v>
      </c>
      <c r="AD37" s="113">
        <v>0</v>
      </c>
      <c r="AE37" s="113">
        <v>1</v>
      </c>
      <c r="AF37" s="113">
        <v>0</v>
      </c>
      <c r="AG37" s="113">
        <v>1</v>
      </c>
      <c r="AH37" s="113">
        <v>0</v>
      </c>
      <c r="AI37" s="113">
        <v>1</v>
      </c>
      <c r="AJ37" s="113">
        <v>0</v>
      </c>
      <c r="AK37" s="113">
        <v>0</v>
      </c>
      <c r="AL37" s="113">
        <v>0</v>
      </c>
      <c r="AM37" s="113">
        <v>1</v>
      </c>
      <c r="AN37" s="113">
        <v>0</v>
      </c>
      <c r="AO37" s="113">
        <v>0</v>
      </c>
      <c r="AP37" s="113">
        <v>0</v>
      </c>
      <c r="AQ37" s="113">
        <v>0</v>
      </c>
      <c r="AR37" s="113">
        <v>0</v>
      </c>
      <c r="AS37" s="113">
        <v>0</v>
      </c>
      <c r="AT37" s="113">
        <v>0</v>
      </c>
    </row>
    <row r="38" spans="1:46" x14ac:dyDescent="0.15">
      <c r="A38" s="196" t="s">
        <v>227</v>
      </c>
      <c r="B38" s="113">
        <v>1</v>
      </c>
      <c r="C38" s="113">
        <v>1</v>
      </c>
      <c r="D38" s="113">
        <v>0</v>
      </c>
      <c r="E38" s="113">
        <v>0</v>
      </c>
      <c r="F38" s="113">
        <v>1</v>
      </c>
      <c r="G38" s="113">
        <v>1</v>
      </c>
      <c r="H38" s="113">
        <v>1</v>
      </c>
      <c r="I38" s="113">
        <v>1</v>
      </c>
      <c r="J38" s="113">
        <v>1</v>
      </c>
      <c r="K38" s="113">
        <v>0</v>
      </c>
      <c r="L38" s="113">
        <v>0</v>
      </c>
      <c r="M38" s="113">
        <v>1</v>
      </c>
      <c r="N38" s="113">
        <v>0</v>
      </c>
      <c r="O38" s="113">
        <v>1</v>
      </c>
      <c r="P38" s="113">
        <v>1</v>
      </c>
      <c r="Q38" s="113">
        <v>0</v>
      </c>
      <c r="R38" s="113">
        <v>0</v>
      </c>
      <c r="S38" s="113">
        <v>0</v>
      </c>
      <c r="T38" s="113">
        <v>0</v>
      </c>
      <c r="U38" s="113">
        <v>0</v>
      </c>
      <c r="V38" s="113">
        <v>0</v>
      </c>
      <c r="W38" s="113">
        <v>0</v>
      </c>
      <c r="X38" s="113">
        <v>0</v>
      </c>
      <c r="Y38" s="113">
        <v>0</v>
      </c>
      <c r="Z38" s="113">
        <v>0</v>
      </c>
      <c r="AA38" s="113">
        <v>0</v>
      </c>
      <c r="AB38" s="113">
        <v>0</v>
      </c>
      <c r="AC38" s="113">
        <v>1</v>
      </c>
      <c r="AD38" s="113">
        <v>0</v>
      </c>
      <c r="AE38" s="113">
        <v>0</v>
      </c>
      <c r="AF38" s="113">
        <v>0</v>
      </c>
      <c r="AG38" s="113">
        <v>0</v>
      </c>
      <c r="AH38" s="113">
        <v>0</v>
      </c>
      <c r="AI38" s="113">
        <v>1</v>
      </c>
      <c r="AJ38" s="113">
        <v>1</v>
      </c>
      <c r="AK38" s="113">
        <v>1</v>
      </c>
      <c r="AL38" s="113">
        <v>1</v>
      </c>
      <c r="AM38" s="113">
        <v>1</v>
      </c>
      <c r="AN38" s="113">
        <v>0</v>
      </c>
      <c r="AO38" s="113">
        <v>0</v>
      </c>
      <c r="AP38" s="113">
        <v>0</v>
      </c>
      <c r="AQ38" s="113">
        <v>0</v>
      </c>
      <c r="AR38" s="113">
        <v>0</v>
      </c>
      <c r="AS38" s="113">
        <v>0</v>
      </c>
      <c r="AT38" s="113">
        <v>0</v>
      </c>
    </row>
    <row r="39" spans="1:46" x14ac:dyDescent="0.15">
      <c r="A39" s="196" t="s">
        <v>228</v>
      </c>
      <c r="B39" s="113">
        <v>1</v>
      </c>
      <c r="C39" s="113">
        <v>1</v>
      </c>
      <c r="D39" s="113">
        <v>0</v>
      </c>
      <c r="E39" s="113">
        <v>1</v>
      </c>
      <c r="F39" s="113">
        <v>1</v>
      </c>
      <c r="G39" s="113">
        <v>1</v>
      </c>
      <c r="H39" s="113">
        <v>1</v>
      </c>
      <c r="I39" s="113">
        <v>1</v>
      </c>
      <c r="J39" s="113">
        <v>1</v>
      </c>
      <c r="K39" s="113">
        <v>1</v>
      </c>
      <c r="L39" s="113">
        <v>1</v>
      </c>
      <c r="M39" s="113">
        <v>0</v>
      </c>
      <c r="N39" s="113">
        <v>0</v>
      </c>
      <c r="O39" s="113">
        <v>0</v>
      </c>
      <c r="P39" s="113">
        <v>0</v>
      </c>
      <c r="Q39" s="113">
        <v>1</v>
      </c>
      <c r="R39" s="113">
        <v>0</v>
      </c>
      <c r="S39" s="113">
        <v>1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1</v>
      </c>
      <c r="AA39" s="113">
        <v>0</v>
      </c>
      <c r="AB39" s="113">
        <v>0</v>
      </c>
      <c r="AC39" s="113">
        <v>1</v>
      </c>
      <c r="AD39" s="113">
        <v>0</v>
      </c>
      <c r="AE39" s="113">
        <v>1</v>
      </c>
      <c r="AF39" s="113">
        <v>0</v>
      </c>
      <c r="AG39" s="113">
        <v>0</v>
      </c>
      <c r="AH39" s="113">
        <v>0</v>
      </c>
      <c r="AI39" s="113">
        <v>1</v>
      </c>
      <c r="AJ39" s="113">
        <v>0</v>
      </c>
      <c r="AK39" s="113">
        <v>1</v>
      </c>
      <c r="AL39" s="113">
        <v>1</v>
      </c>
      <c r="AM39" s="113">
        <v>1</v>
      </c>
      <c r="AN39" s="113">
        <v>0</v>
      </c>
      <c r="AO39" s="113">
        <v>0</v>
      </c>
      <c r="AP39" s="113">
        <v>0</v>
      </c>
      <c r="AQ39" s="113">
        <v>0</v>
      </c>
      <c r="AR39" s="113">
        <v>0</v>
      </c>
      <c r="AS39" s="113">
        <v>0</v>
      </c>
      <c r="AT39" s="113">
        <v>0</v>
      </c>
    </row>
    <row r="40" spans="1:46" x14ac:dyDescent="0.15">
      <c r="A40" s="196" t="s">
        <v>229</v>
      </c>
      <c r="B40" s="113">
        <v>0</v>
      </c>
      <c r="C40" s="113">
        <v>0</v>
      </c>
      <c r="D40" s="113">
        <v>0</v>
      </c>
      <c r="E40" s="113">
        <v>1</v>
      </c>
      <c r="F40" s="113">
        <v>1</v>
      </c>
      <c r="G40" s="113">
        <v>1</v>
      </c>
      <c r="H40" s="113">
        <v>1</v>
      </c>
      <c r="I40" s="113">
        <v>1</v>
      </c>
      <c r="J40" s="113">
        <v>1</v>
      </c>
      <c r="K40" s="113">
        <v>1</v>
      </c>
      <c r="L40" s="113">
        <v>1</v>
      </c>
      <c r="M40" s="113">
        <v>1</v>
      </c>
      <c r="N40" s="113">
        <v>0</v>
      </c>
      <c r="O40" s="113">
        <v>1</v>
      </c>
      <c r="P40" s="113">
        <v>0</v>
      </c>
      <c r="Q40" s="113">
        <v>1</v>
      </c>
      <c r="R40" s="113">
        <v>1</v>
      </c>
      <c r="S40" s="113">
        <v>1</v>
      </c>
      <c r="T40" s="113">
        <v>1</v>
      </c>
      <c r="U40" s="113">
        <v>1</v>
      </c>
      <c r="V40" s="113">
        <v>1</v>
      </c>
      <c r="W40" s="113">
        <v>1</v>
      </c>
      <c r="X40" s="113">
        <v>1</v>
      </c>
      <c r="Y40" s="113">
        <v>1</v>
      </c>
      <c r="Z40" s="113">
        <v>1</v>
      </c>
      <c r="AA40" s="113">
        <v>1</v>
      </c>
      <c r="AB40" s="113">
        <v>1</v>
      </c>
      <c r="AC40" s="113">
        <v>1</v>
      </c>
      <c r="AD40" s="113">
        <v>1</v>
      </c>
      <c r="AE40" s="113">
        <v>1</v>
      </c>
      <c r="AF40" s="113">
        <v>1</v>
      </c>
      <c r="AG40" s="113">
        <v>1</v>
      </c>
      <c r="AH40" s="113">
        <v>0</v>
      </c>
      <c r="AI40" s="113">
        <v>1</v>
      </c>
      <c r="AJ40" s="113">
        <v>1</v>
      </c>
      <c r="AK40" s="113">
        <v>1</v>
      </c>
      <c r="AL40" s="113">
        <v>1</v>
      </c>
      <c r="AM40" s="113">
        <v>1</v>
      </c>
      <c r="AN40" s="113">
        <v>1</v>
      </c>
      <c r="AO40" s="113">
        <v>0</v>
      </c>
      <c r="AP40" s="113">
        <v>0</v>
      </c>
      <c r="AQ40" s="113">
        <v>0</v>
      </c>
      <c r="AR40" s="113">
        <v>0</v>
      </c>
      <c r="AS40" s="113">
        <v>0</v>
      </c>
      <c r="AT40" s="113">
        <v>0</v>
      </c>
    </row>
    <row r="41" spans="1:46" x14ac:dyDescent="0.15">
      <c r="A41" s="196" t="s">
        <v>230</v>
      </c>
      <c r="B41" s="113">
        <v>0</v>
      </c>
      <c r="C41" s="113">
        <v>1</v>
      </c>
      <c r="D41" s="113">
        <v>0</v>
      </c>
      <c r="E41" s="113">
        <v>1</v>
      </c>
      <c r="F41" s="113">
        <v>1</v>
      </c>
      <c r="G41" s="113">
        <v>1</v>
      </c>
      <c r="H41" s="113">
        <v>1</v>
      </c>
      <c r="I41" s="113">
        <v>1</v>
      </c>
      <c r="J41" s="113">
        <v>1</v>
      </c>
      <c r="K41" s="113">
        <v>1</v>
      </c>
      <c r="L41" s="113">
        <v>1</v>
      </c>
      <c r="M41" s="113">
        <v>1</v>
      </c>
      <c r="N41" s="113">
        <v>1</v>
      </c>
      <c r="O41" s="113">
        <v>0</v>
      </c>
      <c r="P41" s="113">
        <v>1</v>
      </c>
      <c r="Q41" s="113">
        <v>1</v>
      </c>
      <c r="R41" s="113">
        <v>0</v>
      </c>
      <c r="S41" s="113">
        <v>1</v>
      </c>
      <c r="T41" s="113">
        <v>1</v>
      </c>
      <c r="U41" s="113">
        <v>1</v>
      </c>
      <c r="V41" s="113">
        <v>1</v>
      </c>
      <c r="W41" s="113">
        <v>1</v>
      </c>
      <c r="X41" s="113">
        <v>1</v>
      </c>
      <c r="Y41" s="113">
        <v>1</v>
      </c>
      <c r="Z41" s="113">
        <v>1</v>
      </c>
      <c r="AA41" s="113">
        <v>0</v>
      </c>
      <c r="AB41" s="113">
        <v>1</v>
      </c>
      <c r="AC41" s="113">
        <v>1</v>
      </c>
      <c r="AD41" s="113">
        <v>1</v>
      </c>
      <c r="AE41" s="113">
        <v>1</v>
      </c>
      <c r="AF41" s="113">
        <v>1</v>
      </c>
      <c r="AG41" s="113">
        <v>1</v>
      </c>
      <c r="AH41" s="113">
        <v>1</v>
      </c>
      <c r="AI41" s="113">
        <v>1</v>
      </c>
      <c r="AJ41" s="113">
        <v>1</v>
      </c>
      <c r="AK41" s="113">
        <v>1</v>
      </c>
      <c r="AL41" s="113">
        <v>1</v>
      </c>
      <c r="AM41" s="113">
        <v>1</v>
      </c>
      <c r="AN41" s="113">
        <v>1</v>
      </c>
      <c r="AO41" s="113">
        <v>1</v>
      </c>
      <c r="AP41" s="113">
        <v>0</v>
      </c>
      <c r="AQ41" s="113">
        <v>0</v>
      </c>
      <c r="AR41" s="113">
        <v>0</v>
      </c>
      <c r="AS41" s="113">
        <v>0</v>
      </c>
      <c r="AT41" s="113">
        <v>0</v>
      </c>
    </row>
    <row r="42" spans="1:46" x14ac:dyDescent="0.15">
      <c r="A42" s="196" t="s">
        <v>231</v>
      </c>
      <c r="B42" s="113">
        <v>1</v>
      </c>
      <c r="C42" s="113">
        <v>0</v>
      </c>
      <c r="D42" s="113">
        <v>1</v>
      </c>
      <c r="E42" s="113">
        <v>1</v>
      </c>
      <c r="F42" s="113">
        <v>1</v>
      </c>
      <c r="G42" s="113">
        <v>1</v>
      </c>
      <c r="H42" s="113">
        <v>1</v>
      </c>
      <c r="I42" s="113">
        <v>1</v>
      </c>
      <c r="J42" s="113">
        <v>1</v>
      </c>
      <c r="K42" s="113">
        <v>1</v>
      </c>
      <c r="L42" s="113">
        <v>1</v>
      </c>
      <c r="M42" s="113">
        <v>1</v>
      </c>
      <c r="N42" s="113">
        <v>0</v>
      </c>
      <c r="O42" s="113">
        <v>0</v>
      </c>
      <c r="P42" s="113">
        <v>1</v>
      </c>
      <c r="Q42" s="113">
        <v>1</v>
      </c>
      <c r="R42" s="113">
        <v>0</v>
      </c>
      <c r="S42" s="113">
        <v>1</v>
      </c>
      <c r="T42" s="113">
        <v>0</v>
      </c>
      <c r="U42" s="113">
        <v>0</v>
      </c>
      <c r="V42" s="113">
        <v>1</v>
      </c>
      <c r="W42" s="113">
        <v>1</v>
      </c>
      <c r="X42" s="113">
        <v>0</v>
      </c>
      <c r="Y42" s="113">
        <v>1</v>
      </c>
      <c r="Z42" s="113">
        <v>0</v>
      </c>
      <c r="AA42" s="113">
        <v>0</v>
      </c>
      <c r="AB42" s="113">
        <v>1</v>
      </c>
      <c r="AC42" s="113">
        <v>1</v>
      </c>
      <c r="AD42" s="113">
        <v>0</v>
      </c>
      <c r="AE42" s="113">
        <v>0</v>
      </c>
      <c r="AF42" s="113">
        <v>1</v>
      </c>
      <c r="AG42" s="113">
        <v>1</v>
      </c>
      <c r="AH42" s="113">
        <v>0</v>
      </c>
      <c r="AI42" s="113">
        <v>1</v>
      </c>
      <c r="AJ42" s="113">
        <v>1</v>
      </c>
      <c r="AK42" s="113">
        <v>1</v>
      </c>
      <c r="AL42" s="113">
        <v>1</v>
      </c>
      <c r="AM42" s="113">
        <v>0</v>
      </c>
      <c r="AN42" s="113">
        <v>1</v>
      </c>
      <c r="AO42" s="113">
        <v>0</v>
      </c>
      <c r="AP42" s="113">
        <v>1</v>
      </c>
      <c r="AQ42" s="113">
        <v>0</v>
      </c>
      <c r="AR42" s="113">
        <v>0</v>
      </c>
      <c r="AS42" s="113">
        <v>0</v>
      </c>
      <c r="AT42" s="113">
        <v>0</v>
      </c>
    </row>
    <row r="43" spans="1:46" x14ac:dyDescent="0.15">
      <c r="A43" s="196" t="s">
        <v>232</v>
      </c>
      <c r="B43" s="113">
        <v>0</v>
      </c>
      <c r="C43" s="113">
        <v>0</v>
      </c>
      <c r="D43" s="113">
        <v>0</v>
      </c>
      <c r="E43" s="113">
        <v>0</v>
      </c>
      <c r="F43" s="113">
        <v>0</v>
      </c>
      <c r="G43" s="113">
        <v>0</v>
      </c>
      <c r="H43" s="113">
        <v>0</v>
      </c>
      <c r="I43" s="113">
        <v>0</v>
      </c>
      <c r="J43" s="113">
        <v>1</v>
      </c>
      <c r="K43" s="113">
        <v>1</v>
      </c>
      <c r="L43" s="113">
        <v>1</v>
      </c>
      <c r="M43" s="113">
        <v>1</v>
      </c>
      <c r="N43" s="113">
        <v>1</v>
      </c>
      <c r="O43" s="113">
        <v>1</v>
      </c>
      <c r="P43" s="113">
        <v>1</v>
      </c>
      <c r="Q43" s="113">
        <v>0</v>
      </c>
      <c r="R43" s="113">
        <v>0</v>
      </c>
      <c r="S43" s="113">
        <v>1</v>
      </c>
      <c r="T43" s="113">
        <v>0</v>
      </c>
      <c r="U43" s="113">
        <v>0</v>
      </c>
      <c r="V43" s="113">
        <v>1</v>
      </c>
      <c r="W43" s="113">
        <v>1</v>
      </c>
      <c r="X43" s="113">
        <v>0</v>
      </c>
      <c r="Y43" s="113">
        <v>0</v>
      </c>
      <c r="Z43" s="113">
        <v>1</v>
      </c>
      <c r="AA43" s="113">
        <v>0</v>
      </c>
      <c r="AB43" s="113">
        <v>1</v>
      </c>
      <c r="AC43" s="113">
        <v>1</v>
      </c>
      <c r="AD43" s="113">
        <v>1</v>
      </c>
      <c r="AE43" s="113">
        <v>0</v>
      </c>
      <c r="AF43" s="113">
        <v>1</v>
      </c>
      <c r="AG43" s="113">
        <v>0</v>
      </c>
      <c r="AH43" s="113">
        <v>0</v>
      </c>
      <c r="AI43" s="113">
        <v>1</v>
      </c>
      <c r="AJ43" s="113">
        <v>1</v>
      </c>
      <c r="AK43" s="113">
        <v>1</v>
      </c>
      <c r="AL43" s="113">
        <v>1</v>
      </c>
      <c r="AM43" s="113">
        <v>0</v>
      </c>
      <c r="AN43" s="113">
        <v>1</v>
      </c>
      <c r="AO43" s="113">
        <v>1</v>
      </c>
      <c r="AP43" s="113">
        <v>1</v>
      </c>
      <c r="AQ43" s="113">
        <v>0</v>
      </c>
      <c r="AR43" s="113">
        <v>0</v>
      </c>
      <c r="AS43" s="113">
        <v>0</v>
      </c>
      <c r="AT43" s="113">
        <v>0</v>
      </c>
    </row>
    <row r="44" spans="1:46" x14ac:dyDescent="0.15">
      <c r="A44" s="196" t="s">
        <v>233</v>
      </c>
      <c r="B44" s="113">
        <v>0</v>
      </c>
      <c r="C44" s="113">
        <v>0</v>
      </c>
      <c r="D44" s="113">
        <v>1</v>
      </c>
      <c r="E44" s="113">
        <v>0</v>
      </c>
      <c r="F44" s="113">
        <v>1</v>
      </c>
      <c r="G44" s="113">
        <v>0</v>
      </c>
      <c r="H44" s="113">
        <v>0</v>
      </c>
      <c r="I44" s="113">
        <v>0</v>
      </c>
      <c r="J44" s="113">
        <v>0</v>
      </c>
      <c r="K44" s="113">
        <v>0</v>
      </c>
      <c r="L44" s="113">
        <v>0</v>
      </c>
      <c r="M44" s="113">
        <v>1</v>
      </c>
      <c r="N44" s="113">
        <v>1</v>
      </c>
      <c r="O44" s="113">
        <v>0</v>
      </c>
      <c r="P44" s="113">
        <v>1</v>
      </c>
      <c r="Q44" s="113">
        <v>0</v>
      </c>
      <c r="R44" s="113">
        <v>0</v>
      </c>
      <c r="S44" s="113">
        <v>0</v>
      </c>
      <c r="T44" s="113">
        <v>0</v>
      </c>
      <c r="U44" s="113">
        <v>0</v>
      </c>
      <c r="V44" s="113">
        <v>1</v>
      </c>
      <c r="W44" s="113">
        <v>1</v>
      </c>
      <c r="X44" s="113">
        <v>0</v>
      </c>
      <c r="Y44" s="113">
        <v>1</v>
      </c>
      <c r="Z44" s="113">
        <v>0</v>
      </c>
      <c r="AA44" s="113">
        <v>0</v>
      </c>
      <c r="AB44" s="113">
        <v>1</v>
      </c>
      <c r="AC44" s="113">
        <v>1</v>
      </c>
      <c r="AD44" s="113">
        <v>0</v>
      </c>
      <c r="AE44" s="113">
        <v>1</v>
      </c>
      <c r="AF44" s="113">
        <v>1</v>
      </c>
      <c r="AG44" s="113">
        <v>0</v>
      </c>
      <c r="AH44" s="113">
        <v>0</v>
      </c>
      <c r="AI44" s="113">
        <v>0</v>
      </c>
      <c r="AJ44" s="113">
        <v>0</v>
      </c>
      <c r="AK44" s="113">
        <v>0</v>
      </c>
      <c r="AL44" s="113">
        <v>0</v>
      </c>
      <c r="AM44" s="113">
        <v>0</v>
      </c>
      <c r="AN44" s="113">
        <v>0</v>
      </c>
      <c r="AO44" s="113">
        <v>1</v>
      </c>
      <c r="AP44" s="113">
        <v>1</v>
      </c>
      <c r="AQ44" s="113">
        <v>1</v>
      </c>
      <c r="AR44" s="113">
        <v>0</v>
      </c>
      <c r="AS44" s="113">
        <v>0</v>
      </c>
      <c r="AT44" s="113">
        <v>0</v>
      </c>
    </row>
    <row r="45" spans="1:46" x14ac:dyDescent="0.15">
      <c r="A45" s="196" t="s">
        <v>234</v>
      </c>
      <c r="B45" s="113">
        <v>0</v>
      </c>
      <c r="C45" s="113">
        <v>0</v>
      </c>
      <c r="D45" s="113">
        <v>0</v>
      </c>
      <c r="E45" s="113">
        <v>0</v>
      </c>
      <c r="F45" s="113">
        <v>1</v>
      </c>
      <c r="G45" s="113">
        <v>1</v>
      </c>
      <c r="H45" s="113">
        <v>0</v>
      </c>
      <c r="I45" s="113">
        <v>0</v>
      </c>
      <c r="J45" s="113">
        <v>0</v>
      </c>
      <c r="K45" s="113">
        <v>1</v>
      </c>
      <c r="L45" s="113">
        <v>1</v>
      </c>
      <c r="M45" s="113">
        <v>1</v>
      </c>
      <c r="N45" s="113">
        <v>0</v>
      </c>
      <c r="O45" s="113">
        <v>0</v>
      </c>
      <c r="P45" s="113">
        <v>1</v>
      </c>
      <c r="Q45" s="113">
        <v>1</v>
      </c>
      <c r="R45" s="113">
        <v>0</v>
      </c>
      <c r="S45" s="113">
        <v>0</v>
      </c>
      <c r="T45" s="113">
        <v>1</v>
      </c>
      <c r="U45" s="113">
        <v>0</v>
      </c>
      <c r="V45" s="113">
        <v>1</v>
      </c>
      <c r="W45" s="113">
        <v>1</v>
      </c>
      <c r="X45" s="113">
        <v>0</v>
      </c>
      <c r="Y45" s="113">
        <v>0</v>
      </c>
      <c r="Z45" s="113">
        <v>0</v>
      </c>
      <c r="AA45" s="113">
        <v>0</v>
      </c>
      <c r="AB45" s="113">
        <v>1</v>
      </c>
      <c r="AC45" s="113">
        <v>0</v>
      </c>
      <c r="AD45" s="113">
        <v>1</v>
      </c>
      <c r="AE45" s="113">
        <v>0</v>
      </c>
      <c r="AF45" s="113">
        <v>1</v>
      </c>
      <c r="AG45" s="113">
        <v>1</v>
      </c>
      <c r="AH45" s="113">
        <v>0</v>
      </c>
      <c r="AI45" s="113">
        <v>0</v>
      </c>
      <c r="AJ45" s="113">
        <v>0</v>
      </c>
      <c r="AK45" s="113">
        <v>0</v>
      </c>
      <c r="AL45" s="113">
        <v>0</v>
      </c>
      <c r="AM45" s="113">
        <v>0</v>
      </c>
      <c r="AN45" s="113">
        <v>1</v>
      </c>
      <c r="AO45" s="113">
        <v>1</v>
      </c>
      <c r="AP45" s="113">
        <v>1</v>
      </c>
      <c r="AQ45" s="113">
        <v>1</v>
      </c>
      <c r="AR45" s="113">
        <v>0</v>
      </c>
      <c r="AS45" s="113">
        <v>0</v>
      </c>
      <c r="AT45" s="113">
        <v>0</v>
      </c>
    </row>
    <row r="46" spans="1:46" x14ac:dyDescent="0.15">
      <c r="A46" s="196" t="s">
        <v>235</v>
      </c>
      <c r="B46" s="113">
        <v>0</v>
      </c>
      <c r="C46" s="113">
        <v>0</v>
      </c>
      <c r="D46" s="113">
        <v>0</v>
      </c>
      <c r="E46" s="113">
        <v>0</v>
      </c>
      <c r="F46" s="113">
        <v>0</v>
      </c>
      <c r="G46" s="113">
        <v>0</v>
      </c>
      <c r="H46" s="113">
        <v>0</v>
      </c>
      <c r="I46" s="113">
        <v>0</v>
      </c>
      <c r="J46" s="113">
        <v>0</v>
      </c>
      <c r="K46" s="113">
        <v>0</v>
      </c>
      <c r="L46" s="113">
        <v>0</v>
      </c>
      <c r="M46" s="113">
        <v>0</v>
      </c>
      <c r="N46" s="113">
        <v>0</v>
      </c>
      <c r="O46" s="113">
        <v>0</v>
      </c>
      <c r="P46" s="113">
        <v>0</v>
      </c>
      <c r="Q46" s="113">
        <v>0</v>
      </c>
      <c r="R46" s="113">
        <v>0</v>
      </c>
      <c r="S46" s="113">
        <v>0</v>
      </c>
      <c r="T46" s="113">
        <v>0</v>
      </c>
      <c r="U46" s="113">
        <v>0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113">
        <v>0</v>
      </c>
      <c r="AE46" s="113">
        <v>0</v>
      </c>
      <c r="AF46" s="113">
        <v>0</v>
      </c>
      <c r="AG46" s="113">
        <v>0</v>
      </c>
      <c r="AH46" s="113">
        <v>0</v>
      </c>
      <c r="AI46" s="113">
        <v>0</v>
      </c>
      <c r="AJ46" s="113">
        <v>0</v>
      </c>
      <c r="AK46" s="113">
        <v>0</v>
      </c>
      <c r="AL46" s="113">
        <v>0</v>
      </c>
      <c r="AM46" s="113">
        <v>0</v>
      </c>
      <c r="AN46" s="113">
        <v>0</v>
      </c>
      <c r="AO46" s="113">
        <v>0</v>
      </c>
      <c r="AP46" s="113">
        <v>0</v>
      </c>
      <c r="AQ46" s="113">
        <v>0</v>
      </c>
      <c r="AR46" s="113">
        <v>0</v>
      </c>
      <c r="AS46" s="113">
        <v>0</v>
      </c>
      <c r="AT46" s="113">
        <v>0</v>
      </c>
    </row>
    <row r="47" spans="1:46" x14ac:dyDescent="0.15">
      <c r="A47" s="196" t="s">
        <v>238</v>
      </c>
      <c r="B47" s="113">
        <v>0</v>
      </c>
      <c r="C47" s="113">
        <v>0</v>
      </c>
      <c r="D47" s="113">
        <v>0</v>
      </c>
      <c r="E47" s="113">
        <v>1</v>
      </c>
      <c r="F47" s="113">
        <v>0</v>
      </c>
      <c r="G47" s="113">
        <v>0</v>
      </c>
      <c r="H47" s="113">
        <v>0</v>
      </c>
      <c r="I47" s="113">
        <v>0</v>
      </c>
      <c r="J47" s="113">
        <v>0</v>
      </c>
      <c r="K47" s="113">
        <v>0</v>
      </c>
      <c r="L47" s="113">
        <v>0</v>
      </c>
      <c r="M47" s="113">
        <v>0</v>
      </c>
      <c r="N47" s="113">
        <v>0</v>
      </c>
      <c r="O47" s="113">
        <v>0</v>
      </c>
      <c r="P47" s="113">
        <v>0</v>
      </c>
      <c r="Q47" s="113">
        <v>0</v>
      </c>
      <c r="R47" s="113">
        <v>0</v>
      </c>
      <c r="S47" s="113">
        <v>0</v>
      </c>
      <c r="T47" s="113">
        <v>0</v>
      </c>
      <c r="U47" s="113">
        <v>0</v>
      </c>
      <c r="V47" s="113">
        <v>0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1</v>
      </c>
      <c r="AC47" s="113">
        <v>0</v>
      </c>
      <c r="AD47" s="113">
        <v>0</v>
      </c>
      <c r="AE47" s="113">
        <v>0</v>
      </c>
      <c r="AF47" s="113">
        <v>0</v>
      </c>
      <c r="AG47" s="113">
        <v>0</v>
      </c>
      <c r="AH47" s="113">
        <v>0</v>
      </c>
      <c r="AI47" s="113">
        <v>0</v>
      </c>
      <c r="AJ47" s="113">
        <v>0</v>
      </c>
      <c r="AK47" s="113">
        <v>0</v>
      </c>
      <c r="AL47" s="113">
        <v>0</v>
      </c>
      <c r="AM47" s="113">
        <v>0</v>
      </c>
      <c r="AN47" s="113">
        <v>0</v>
      </c>
      <c r="AO47" s="113">
        <v>0</v>
      </c>
      <c r="AP47" s="113">
        <v>0</v>
      </c>
      <c r="AQ47" s="113">
        <v>0</v>
      </c>
      <c r="AR47" s="113">
        <v>0</v>
      </c>
      <c r="AS47" s="113">
        <v>0</v>
      </c>
      <c r="AT47" s="11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.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99" t="s">
        <v>236</v>
      </c>
      <c r="D1" s="199" t="s">
        <v>237</v>
      </c>
    </row>
    <row r="2" spans="1:4" x14ac:dyDescent="0.15">
      <c r="A2">
        <v>1</v>
      </c>
      <c r="B2" s="198" t="s">
        <v>191</v>
      </c>
      <c r="C2">
        <v>0</v>
      </c>
      <c r="D2">
        <v>0</v>
      </c>
    </row>
    <row r="3" spans="1:4" x14ac:dyDescent="0.15">
      <c r="A3">
        <v>2</v>
      </c>
      <c r="B3" s="198" t="s">
        <v>192</v>
      </c>
      <c r="C3">
        <v>0</v>
      </c>
      <c r="D3">
        <v>0</v>
      </c>
    </row>
    <row r="4" spans="1:4" x14ac:dyDescent="0.15">
      <c r="A4">
        <v>3</v>
      </c>
      <c r="B4" s="198" t="s">
        <v>193</v>
      </c>
      <c r="C4">
        <v>0</v>
      </c>
      <c r="D4">
        <v>0</v>
      </c>
    </row>
    <row r="5" spans="1:4" x14ac:dyDescent="0.15">
      <c r="A5">
        <v>4</v>
      </c>
      <c r="B5" s="198" t="s">
        <v>194</v>
      </c>
      <c r="C5">
        <v>0</v>
      </c>
      <c r="D5">
        <v>0</v>
      </c>
    </row>
    <row r="6" spans="1:4" x14ac:dyDescent="0.15">
      <c r="A6">
        <v>5</v>
      </c>
      <c r="B6" s="198" t="s">
        <v>195</v>
      </c>
      <c r="C6">
        <v>0</v>
      </c>
      <c r="D6">
        <v>0</v>
      </c>
    </row>
    <row r="7" spans="1:4" x14ac:dyDescent="0.15">
      <c r="A7">
        <v>6</v>
      </c>
      <c r="B7" s="198" t="s">
        <v>196</v>
      </c>
      <c r="C7">
        <v>0.8</v>
      </c>
      <c r="D7">
        <v>0.8</v>
      </c>
    </row>
    <row r="8" spans="1:4" x14ac:dyDescent="0.15">
      <c r="A8">
        <v>7</v>
      </c>
      <c r="B8" s="198" t="s">
        <v>197</v>
      </c>
      <c r="C8">
        <v>0</v>
      </c>
      <c r="D8">
        <v>0.8</v>
      </c>
    </row>
    <row r="9" spans="1:4" x14ac:dyDescent="0.15">
      <c r="A9">
        <v>8</v>
      </c>
      <c r="B9" s="198" t="s">
        <v>198</v>
      </c>
      <c r="C9">
        <v>0.8</v>
      </c>
      <c r="D9">
        <v>0.8</v>
      </c>
    </row>
    <row r="10" spans="1:4" x14ac:dyDescent="0.15">
      <c r="A10">
        <v>9</v>
      </c>
      <c r="B10" s="198" t="s">
        <v>199</v>
      </c>
      <c r="C10">
        <v>0</v>
      </c>
      <c r="D10">
        <v>0.8</v>
      </c>
    </row>
    <row r="11" spans="1:4" x14ac:dyDescent="0.15">
      <c r="A11">
        <v>10</v>
      </c>
      <c r="B11" s="198" t="s">
        <v>200</v>
      </c>
      <c r="C11">
        <v>0.8</v>
      </c>
      <c r="D11">
        <v>0.8</v>
      </c>
    </row>
    <row r="12" spans="1:4" x14ac:dyDescent="0.15">
      <c r="A12">
        <v>11</v>
      </c>
      <c r="B12" s="198" t="s">
        <v>201</v>
      </c>
      <c r="C12">
        <v>0.8</v>
      </c>
      <c r="D12">
        <v>0.8</v>
      </c>
    </row>
    <row r="13" spans="1:4" x14ac:dyDescent="0.15">
      <c r="A13">
        <v>12</v>
      </c>
      <c r="B13" s="198" t="s">
        <v>202</v>
      </c>
      <c r="C13">
        <v>0.8</v>
      </c>
      <c r="D13">
        <v>0.8</v>
      </c>
    </row>
    <row r="14" spans="1:4" x14ac:dyDescent="0.15">
      <c r="A14">
        <v>13</v>
      </c>
      <c r="B14" s="198" t="s">
        <v>203</v>
      </c>
      <c r="C14">
        <v>0.8</v>
      </c>
      <c r="D14">
        <v>0</v>
      </c>
    </row>
    <row r="15" spans="1:4" x14ac:dyDescent="0.15">
      <c r="A15">
        <v>14</v>
      </c>
      <c r="B15" s="198" t="s">
        <v>204</v>
      </c>
      <c r="C15">
        <v>0</v>
      </c>
      <c r="D15">
        <v>0</v>
      </c>
    </row>
    <row r="16" spans="1:4" x14ac:dyDescent="0.15">
      <c r="A16">
        <v>15</v>
      </c>
      <c r="B16" s="198" t="s">
        <v>205</v>
      </c>
      <c r="C16">
        <v>0</v>
      </c>
      <c r="D16">
        <v>0.8</v>
      </c>
    </row>
    <row r="17" spans="1:4" x14ac:dyDescent="0.15">
      <c r="A17">
        <v>16</v>
      </c>
      <c r="B17" s="198" t="s">
        <v>206</v>
      </c>
      <c r="C17">
        <v>0.8</v>
      </c>
      <c r="D17">
        <v>0.8</v>
      </c>
    </row>
    <row r="18" spans="1:4" x14ac:dyDescent="0.15">
      <c r="A18">
        <v>17</v>
      </c>
      <c r="B18" s="198" t="s">
        <v>207</v>
      </c>
      <c r="C18">
        <v>0.8</v>
      </c>
      <c r="D18">
        <v>0.8</v>
      </c>
    </row>
    <row r="19" spans="1:4" x14ac:dyDescent="0.15">
      <c r="A19">
        <v>18</v>
      </c>
      <c r="B19" s="198" t="s">
        <v>208</v>
      </c>
      <c r="C19">
        <v>0.8</v>
      </c>
      <c r="D19">
        <v>0.8</v>
      </c>
    </row>
    <row r="20" spans="1:4" x14ac:dyDescent="0.15">
      <c r="A20">
        <v>19</v>
      </c>
      <c r="B20" s="198" t="s">
        <v>209</v>
      </c>
      <c r="C20">
        <v>0</v>
      </c>
      <c r="D20">
        <v>0</v>
      </c>
    </row>
    <row r="21" spans="1:4" x14ac:dyDescent="0.15">
      <c r="A21">
        <v>20</v>
      </c>
      <c r="B21" s="198" t="s">
        <v>210</v>
      </c>
      <c r="C21">
        <v>0.8</v>
      </c>
      <c r="D21">
        <v>0.8</v>
      </c>
    </row>
    <row r="22" spans="1:4" x14ac:dyDescent="0.15">
      <c r="A22">
        <v>21</v>
      </c>
      <c r="B22" s="198" t="s">
        <v>211</v>
      </c>
      <c r="C22">
        <v>0.8</v>
      </c>
      <c r="D22">
        <v>0.8</v>
      </c>
    </row>
    <row r="23" spans="1:4" x14ac:dyDescent="0.15">
      <c r="A23">
        <v>22</v>
      </c>
      <c r="B23" s="198" t="s">
        <v>212</v>
      </c>
      <c r="C23">
        <v>0.8</v>
      </c>
      <c r="D23">
        <v>0</v>
      </c>
    </row>
    <row r="24" spans="1:4" x14ac:dyDescent="0.15">
      <c r="A24">
        <v>23</v>
      </c>
      <c r="B24" s="198" t="s">
        <v>213</v>
      </c>
      <c r="C24">
        <v>0.8</v>
      </c>
      <c r="D24">
        <v>0.8</v>
      </c>
    </row>
    <row r="25" spans="1:4" x14ac:dyDescent="0.15">
      <c r="A25">
        <v>24</v>
      </c>
      <c r="B25" s="198" t="s">
        <v>214</v>
      </c>
      <c r="C25">
        <v>0.8</v>
      </c>
      <c r="D25">
        <v>0.8</v>
      </c>
    </row>
    <row r="26" spans="1:4" x14ac:dyDescent="0.15">
      <c r="A26">
        <v>25</v>
      </c>
      <c r="B26" s="198" t="s">
        <v>215</v>
      </c>
      <c r="C26">
        <v>0</v>
      </c>
      <c r="D26">
        <v>0</v>
      </c>
    </row>
    <row r="27" spans="1:4" x14ac:dyDescent="0.15">
      <c r="A27">
        <v>26</v>
      </c>
      <c r="B27" s="198" t="s">
        <v>216</v>
      </c>
      <c r="C27">
        <v>0.8</v>
      </c>
      <c r="D27">
        <v>0.8</v>
      </c>
    </row>
    <row r="28" spans="1:4" x14ac:dyDescent="0.15">
      <c r="A28">
        <v>27</v>
      </c>
      <c r="B28" s="198" t="s">
        <v>217</v>
      </c>
      <c r="C28">
        <v>0.8</v>
      </c>
      <c r="D28">
        <v>0.8</v>
      </c>
    </row>
    <row r="29" spans="1:4" x14ac:dyDescent="0.15">
      <c r="A29">
        <v>28</v>
      </c>
      <c r="B29" s="198" t="s">
        <v>218</v>
      </c>
      <c r="C29">
        <v>0.8</v>
      </c>
      <c r="D29">
        <v>0.8</v>
      </c>
    </row>
    <row r="30" spans="1:4" x14ac:dyDescent="0.15">
      <c r="A30">
        <v>29</v>
      </c>
      <c r="B30" s="198" t="s">
        <v>219</v>
      </c>
      <c r="C30">
        <v>0</v>
      </c>
      <c r="D30">
        <v>0.8</v>
      </c>
    </row>
    <row r="31" spans="1:4" x14ac:dyDescent="0.15">
      <c r="A31">
        <v>30</v>
      </c>
      <c r="B31" s="198" t="s">
        <v>220</v>
      </c>
      <c r="C31">
        <v>0.8</v>
      </c>
      <c r="D31">
        <v>0.8</v>
      </c>
    </row>
    <row r="32" spans="1:4" x14ac:dyDescent="0.15">
      <c r="A32">
        <v>31</v>
      </c>
      <c r="B32" s="198" t="s">
        <v>221</v>
      </c>
      <c r="C32">
        <v>0.8</v>
      </c>
      <c r="D32">
        <v>0.8</v>
      </c>
    </row>
    <row r="33" spans="1:4" x14ac:dyDescent="0.15">
      <c r="A33">
        <v>32</v>
      </c>
      <c r="B33" s="198" t="s">
        <v>222</v>
      </c>
      <c r="C33">
        <v>0</v>
      </c>
      <c r="D33">
        <v>0.8</v>
      </c>
    </row>
    <row r="34" spans="1:4" x14ac:dyDescent="0.15">
      <c r="A34">
        <v>33</v>
      </c>
      <c r="B34" s="198" t="s">
        <v>223</v>
      </c>
      <c r="C34">
        <v>0</v>
      </c>
      <c r="D34">
        <v>0.8</v>
      </c>
    </row>
    <row r="35" spans="1:4" x14ac:dyDescent="0.15">
      <c r="A35">
        <v>34</v>
      </c>
      <c r="B35" s="198" t="s">
        <v>224</v>
      </c>
      <c r="C35">
        <v>0</v>
      </c>
      <c r="D35">
        <v>0</v>
      </c>
    </row>
    <row r="36" spans="1:4" x14ac:dyDescent="0.15">
      <c r="A36">
        <v>35</v>
      </c>
      <c r="B36" s="198" t="s">
        <v>225</v>
      </c>
      <c r="C36">
        <v>0</v>
      </c>
      <c r="D36">
        <v>0</v>
      </c>
    </row>
    <row r="37" spans="1:4" x14ac:dyDescent="0.15">
      <c r="A37">
        <v>36</v>
      </c>
      <c r="B37" s="198" t="s">
        <v>226</v>
      </c>
      <c r="C37">
        <v>0</v>
      </c>
      <c r="D37">
        <v>0</v>
      </c>
    </row>
    <row r="38" spans="1:4" x14ac:dyDescent="0.15">
      <c r="A38">
        <v>37</v>
      </c>
      <c r="B38" s="198" t="s">
        <v>227</v>
      </c>
      <c r="C38">
        <v>0</v>
      </c>
      <c r="D38">
        <v>0</v>
      </c>
    </row>
    <row r="39" spans="1:4" x14ac:dyDescent="0.15">
      <c r="A39">
        <v>38</v>
      </c>
      <c r="B39" s="198" t="s">
        <v>228</v>
      </c>
      <c r="C39">
        <v>0</v>
      </c>
      <c r="D39">
        <v>0.8</v>
      </c>
    </row>
    <row r="40" spans="1:4" x14ac:dyDescent="0.15">
      <c r="A40">
        <v>39</v>
      </c>
      <c r="B40" s="198" t="s">
        <v>229</v>
      </c>
      <c r="C40">
        <v>0</v>
      </c>
      <c r="D40">
        <v>0.8</v>
      </c>
    </row>
    <row r="41" spans="1:4" x14ac:dyDescent="0.15">
      <c r="A41">
        <v>40</v>
      </c>
      <c r="B41" s="198" t="s">
        <v>230</v>
      </c>
      <c r="C41">
        <v>0</v>
      </c>
      <c r="D41">
        <v>0.8</v>
      </c>
    </row>
    <row r="42" spans="1:4" x14ac:dyDescent="0.15">
      <c r="A42">
        <v>41</v>
      </c>
      <c r="B42" s="198" t="s">
        <v>231</v>
      </c>
      <c r="C42">
        <v>0</v>
      </c>
      <c r="D42">
        <v>0</v>
      </c>
    </row>
    <row r="43" spans="1:4" x14ac:dyDescent="0.15">
      <c r="A43">
        <v>42</v>
      </c>
      <c r="B43" s="198" t="s">
        <v>232</v>
      </c>
      <c r="C43">
        <v>0</v>
      </c>
      <c r="D43">
        <v>0</v>
      </c>
    </row>
    <row r="44" spans="1:4" x14ac:dyDescent="0.15">
      <c r="A44">
        <v>43</v>
      </c>
      <c r="B44" s="198" t="s">
        <v>233</v>
      </c>
      <c r="C44">
        <v>0</v>
      </c>
      <c r="D44">
        <v>0</v>
      </c>
    </row>
    <row r="45" spans="1:4" x14ac:dyDescent="0.15">
      <c r="A45">
        <v>44</v>
      </c>
      <c r="B45" s="198" t="s">
        <v>234</v>
      </c>
      <c r="C45">
        <v>0</v>
      </c>
      <c r="D45">
        <v>0</v>
      </c>
    </row>
    <row r="46" spans="1:4" x14ac:dyDescent="0.15">
      <c r="A46">
        <v>45</v>
      </c>
      <c r="B46" s="198" t="s">
        <v>235</v>
      </c>
      <c r="C46">
        <v>0</v>
      </c>
      <c r="D4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4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9.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201" t="s">
        <v>236</v>
      </c>
      <c r="D1" s="201" t="s">
        <v>237</v>
      </c>
    </row>
    <row r="2" spans="1:4" x14ac:dyDescent="0.15">
      <c r="A2">
        <v>1</v>
      </c>
      <c r="B2" s="200" t="s">
        <v>191</v>
      </c>
      <c r="C2">
        <v>0</v>
      </c>
      <c r="D2">
        <v>0</v>
      </c>
    </row>
    <row r="3" spans="1:4" x14ac:dyDescent="0.15">
      <c r="A3">
        <v>2</v>
      </c>
      <c r="B3" s="200" t="s">
        <v>192</v>
      </c>
      <c r="C3">
        <v>0</v>
      </c>
      <c r="D3">
        <v>0</v>
      </c>
    </row>
    <row r="4" spans="1:4" x14ac:dyDescent="0.15">
      <c r="A4">
        <v>3</v>
      </c>
      <c r="B4" s="200" t="s">
        <v>193</v>
      </c>
      <c r="C4">
        <v>0</v>
      </c>
      <c r="D4">
        <v>0</v>
      </c>
    </row>
    <row r="5" spans="1:4" x14ac:dyDescent="0.15">
      <c r="A5">
        <v>4</v>
      </c>
      <c r="B5" s="200" t="s">
        <v>194</v>
      </c>
      <c r="C5">
        <v>0</v>
      </c>
      <c r="D5">
        <v>0</v>
      </c>
    </row>
    <row r="6" spans="1:4" x14ac:dyDescent="0.15">
      <c r="A6">
        <v>5</v>
      </c>
      <c r="B6" s="200" t="s">
        <v>195</v>
      </c>
      <c r="C6">
        <v>0</v>
      </c>
      <c r="D6">
        <v>0</v>
      </c>
    </row>
    <row r="7" spans="1:4" x14ac:dyDescent="0.15">
      <c r="A7">
        <v>6</v>
      </c>
      <c r="B7" s="200" t="s">
        <v>196</v>
      </c>
      <c r="C7">
        <v>0.8</v>
      </c>
      <c r="D7">
        <v>0.8</v>
      </c>
    </row>
    <row r="8" spans="1:4" x14ac:dyDescent="0.15">
      <c r="A8">
        <v>7</v>
      </c>
      <c r="B8" s="200" t="s">
        <v>197</v>
      </c>
      <c r="C8">
        <v>0</v>
      </c>
      <c r="D8">
        <v>0.8</v>
      </c>
    </row>
    <row r="9" spans="1:4" x14ac:dyDescent="0.15">
      <c r="A9">
        <v>8</v>
      </c>
      <c r="B9" s="200" t="s">
        <v>198</v>
      </c>
      <c r="C9">
        <v>0.8</v>
      </c>
      <c r="D9">
        <v>0.8</v>
      </c>
    </row>
    <row r="10" spans="1:4" x14ac:dyDescent="0.15">
      <c r="A10">
        <v>9</v>
      </c>
      <c r="B10" s="200" t="s">
        <v>199</v>
      </c>
      <c r="C10">
        <v>0</v>
      </c>
      <c r="D10">
        <v>0.8</v>
      </c>
    </row>
    <row r="11" spans="1:4" x14ac:dyDescent="0.15">
      <c r="A11">
        <v>10</v>
      </c>
      <c r="B11" s="200" t="s">
        <v>200</v>
      </c>
      <c r="C11">
        <v>0.8</v>
      </c>
      <c r="D11">
        <v>0.8</v>
      </c>
    </row>
    <row r="12" spans="1:4" x14ac:dyDescent="0.15">
      <c r="A12">
        <v>11</v>
      </c>
      <c r="B12" s="200" t="s">
        <v>201</v>
      </c>
      <c r="C12">
        <v>0.8</v>
      </c>
      <c r="D12">
        <v>0.8</v>
      </c>
    </row>
    <row r="13" spans="1:4" x14ac:dyDescent="0.15">
      <c r="A13">
        <v>12</v>
      </c>
      <c r="B13" s="200" t="s">
        <v>202</v>
      </c>
      <c r="C13">
        <v>0.8</v>
      </c>
      <c r="D13">
        <v>0.8</v>
      </c>
    </row>
    <row r="14" spans="1:4" x14ac:dyDescent="0.15">
      <c r="A14">
        <v>13</v>
      </c>
      <c r="B14" s="200" t="s">
        <v>203</v>
      </c>
      <c r="C14">
        <v>0.8</v>
      </c>
      <c r="D14">
        <v>0</v>
      </c>
    </row>
    <row r="15" spans="1:4" x14ac:dyDescent="0.15">
      <c r="A15">
        <v>14</v>
      </c>
      <c r="B15" s="200" t="s">
        <v>204</v>
      </c>
      <c r="C15">
        <v>0</v>
      </c>
      <c r="D15">
        <v>0</v>
      </c>
    </row>
    <row r="16" spans="1:4" x14ac:dyDescent="0.15">
      <c r="A16">
        <v>15</v>
      </c>
      <c r="B16" s="200" t="s">
        <v>205</v>
      </c>
      <c r="C16">
        <v>0</v>
      </c>
      <c r="D16">
        <v>0.8</v>
      </c>
    </row>
    <row r="17" spans="1:4" x14ac:dyDescent="0.15">
      <c r="A17">
        <v>16</v>
      </c>
      <c r="B17" s="200" t="s">
        <v>206</v>
      </c>
      <c r="C17">
        <v>0.8</v>
      </c>
      <c r="D17">
        <v>0.8</v>
      </c>
    </row>
    <row r="18" spans="1:4" x14ac:dyDescent="0.15">
      <c r="A18">
        <v>17</v>
      </c>
      <c r="B18" s="200" t="s">
        <v>207</v>
      </c>
      <c r="C18">
        <v>0.8</v>
      </c>
      <c r="D18">
        <v>0.8</v>
      </c>
    </row>
    <row r="19" spans="1:4" x14ac:dyDescent="0.15">
      <c r="A19">
        <v>18</v>
      </c>
      <c r="B19" s="200" t="s">
        <v>208</v>
      </c>
      <c r="C19">
        <v>0.8</v>
      </c>
      <c r="D19">
        <v>0.8</v>
      </c>
    </row>
    <row r="20" spans="1:4" x14ac:dyDescent="0.15">
      <c r="A20">
        <v>19</v>
      </c>
      <c r="B20" s="200" t="s">
        <v>209</v>
      </c>
      <c r="C20">
        <v>0</v>
      </c>
      <c r="D20">
        <v>0</v>
      </c>
    </row>
    <row r="21" spans="1:4" x14ac:dyDescent="0.15">
      <c r="A21">
        <v>20</v>
      </c>
      <c r="B21" s="200" t="s">
        <v>210</v>
      </c>
      <c r="C21">
        <v>0.8</v>
      </c>
      <c r="D21">
        <v>0.8</v>
      </c>
    </row>
    <row r="22" spans="1:4" x14ac:dyDescent="0.15">
      <c r="A22">
        <v>21</v>
      </c>
      <c r="B22" s="200" t="s">
        <v>211</v>
      </c>
      <c r="C22">
        <v>0.8</v>
      </c>
      <c r="D22">
        <v>0.8</v>
      </c>
    </row>
    <row r="23" spans="1:4" x14ac:dyDescent="0.15">
      <c r="A23">
        <v>22</v>
      </c>
      <c r="B23" s="200" t="s">
        <v>212</v>
      </c>
      <c r="C23">
        <v>0.8</v>
      </c>
      <c r="D23">
        <v>0</v>
      </c>
    </row>
    <row r="24" spans="1:4" x14ac:dyDescent="0.15">
      <c r="A24">
        <v>23</v>
      </c>
      <c r="B24" s="200" t="s">
        <v>213</v>
      </c>
      <c r="C24">
        <v>0.8</v>
      </c>
      <c r="D24">
        <v>0.8</v>
      </c>
    </row>
    <row r="25" spans="1:4" x14ac:dyDescent="0.15">
      <c r="A25">
        <v>24</v>
      </c>
      <c r="B25" s="200" t="s">
        <v>214</v>
      </c>
      <c r="C25">
        <v>0.8</v>
      </c>
      <c r="D25">
        <v>0.8</v>
      </c>
    </row>
    <row r="26" spans="1:4" x14ac:dyDescent="0.15">
      <c r="A26">
        <v>25</v>
      </c>
      <c r="B26" s="200" t="s">
        <v>215</v>
      </c>
      <c r="C26">
        <v>0</v>
      </c>
      <c r="D26">
        <v>0</v>
      </c>
    </row>
    <row r="27" spans="1:4" x14ac:dyDescent="0.15">
      <c r="A27">
        <v>26</v>
      </c>
      <c r="B27" s="200" t="s">
        <v>216</v>
      </c>
      <c r="C27">
        <v>0.8</v>
      </c>
      <c r="D27">
        <v>0.8</v>
      </c>
    </row>
    <row r="28" spans="1:4" x14ac:dyDescent="0.15">
      <c r="A28">
        <v>27</v>
      </c>
      <c r="B28" s="200" t="s">
        <v>217</v>
      </c>
      <c r="C28">
        <v>0.8</v>
      </c>
      <c r="D28">
        <v>0.8</v>
      </c>
    </row>
    <row r="29" spans="1:4" x14ac:dyDescent="0.15">
      <c r="A29">
        <v>28</v>
      </c>
      <c r="B29" s="200" t="s">
        <v>218</v>
      </c>
      <c r="C29">
        <v>0.8</v>
      </c>
      <c r="D29">
        <v>0.8</v>
      </c>
    </row>
    <row r="30" spans="1:4" x14ac:dyDescent="0.15">
      <c r="A30">
        <v>29</v>
      </c>
      <c r="B30" s="200" t="s">
        <v>219</v>
      </c>
      <c r="C30">
        <v>0</v>
      </c>
      <c r="D30">
        <v>0.8</v>
      </c>
    </row>
    <row r="31" spans="1:4" x14ac:dyDescent="0.15">
      <c r="A31">
        <v>30</v>
      </c>
      <c r="B31" s="200" t="s">
        <v>220</v>
      </c>
      <c r="C31">
        <v>0.8</v>
      </c>
      <c r="D31">
        <v>0.8</v>
      </c>
    </row>
    <row r="32" spans="1:4" x14ac:dyDescent="0.15">
      <c r="A32">
        <v>31</v>
      </c>
      <c r="B32" s="200" t="s">
        <v>221</v>
      </c>
      <c r="C32">
        <v>0.8</v>
      </c>
      <c r="D32">
        <v>0.8</v>
      </c>
    </row>
    <row r="33" spans="1:4" x14ac:dyDescent="0.15">
      <c r="A33">
        <v>32</v>
      </c>
      <c r="B33" s="200" t="s">
        <v>222</v>
      </c>
      <c r="C33">
        <v>0</v>
      </c>
      <c r="D33">
        <v>0.8</v>
      </c>
    </row>
    <row r="34" spans="1:4" x14ac:dyDescent="0.15">
      <c r="A34">
        <v>33</v>
      </c>
      <c r="B34" s="200" t="s">
        <v>223</v>
      </c>
      <c r="C34">
        <v>0</v>
      </c>
      <c r="D34">
        <v>0.8</v>
      </c>
    </row>
    <row r="35" spans="1:4" x14ac:dyDescent="0.15">
      <c r="A35">
        <v>34</v>
      </c>
      <c r="B35" s="200" t="s">
        <v>224</v>
      </c>
      <c r="C35">
        <v>0</v>
      </c>
      <c r="D35">
        <v>0</v>
      </c>
    </row>
    <row r="36" spans="1:4" x14ac:dyDescent="0.15">
      <c r="A36">
        <v>35</v>
      </c>
      <c r="B36" s="200" t="s">
        <v>225</v>
      </c>
      <c r="C36">
        <v>0</v>
      </c>
      <c r="D36">
        <v>0</v>
      </c>
    </row>
    <row r="37" spans="1:4" x14ac:dyDescent="0.15">
      <c r="A37">
        <v>36</v>
      </c>
      <c r="B37" s="200" t="s">
        <v>226</v>
      </c>
      <c r="C37">
        <v>0</v>
      </c>
      <c r="D37">
        <v>0</v>
      </c>
    </row>
    <row r="38" spans="1:4" x14ac:dyDescent="0.15">
      <c r="A38">
        <v>37</v>
      </c>
      <c r="B38" s="200" t="s">
        <v>227</v>
      </c>
      <c r="C38">
        <v>0</v>
      </c>
      <c r="D38">
        <v>0</v>
      </c>
    </row>
    <row r="39" spans="1:4" x14ac:dyDescent="0.15">
      <c r="A39">
        <v>38</v>
      </c>
      <c r="B39" s="200" t="s">
        <v>228</v>
      </c>
      <c r="C39">
        <v>0</v>
      </c>
      <c r="D39">
        <v>0.8</v>
      </c>
    </row>
    <row r="40" spans="1:4" x14ac:dyDescent="0.15">
      <c r="A40">
        <v>39</v>
      </c>
      <c r="B40" s="200" t="s">
        <v>229</v>
      </c>
      <c r="C40">
        <v>0</v>
      </c>
      <c r="D40">
        <v>0.8</v>
      </c>
    </row>
    <row r="41" spans="1:4" x14ac:dyDescent="0.15">
      <c r="A41">
        <v>40</v>
      </c>
      <c r="B41" s="200" t="s">
        <v>230</v>
      </c>
      <c r="C41">
        <v>0</v>
      </c>
      <c r="D41">
        <v>0.8</v>
      </c>
    </row>
    <row r="42" spans="1:4" x14ac:dyDescent="0.15">
      <c r="A42">
        <v>41</v>
      </c>
      <c r="B42" s="200" t="s">
        <v>231</v>
      </c>
      <c r="C42">
        <v>0</v>
      </c>
      <c r="D42">
        <v>0</v>
      </c>
    </row>
    <row r="43" spans="1:4" x14ac:dyDescent="0.15">
      <c r="A43">
        <v>42</v>
      </c>
      <c r="B43" s="200" t="s">
        <v>232</v>
      </c>
      <c r="C43">
        <v>0</v>
      </c>
      <c r="D43">
        <v>0</v>
      </c>
    </row>
    <row r="44" spans="1:4" x14ac:dyDescent="0.15">
      <c r="A44">
        <v>43</v>
      </c>
      <c r="B44" s="200" t="s">
        <v>233</v>
      </c>
      <c r="C44">
        <v>0</v>
      </c>
      <c r="D44">
        <v>0</v>
      </c>
    </row>
    <row r="45" spans="1:4" x14ac:dyDescent="0.15">
      <c r="A45">
        <v>44</v>
      </c>
      <c r="B45" s="200" t="s">
        <v>234</v>
      </c>
      <c r="C45">
        <v>0</v>
      </c>
      <c r="D45">
        <v>0</v>
      </c>
    </row>
    <row r="46" spans="1:4" x14ac:dyDescent="0.15">
      <c r="A46">
        <v>45</v>
      </c>
      <c r="B46" s="200" t="s">
        <v>235</v>
      </c>
      <c r="C46">
        <v>0</v>
      </c>
      <c r="D4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9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3">
        <v>1</v>
      </c>
      <c r="B2" s="153" t="s">
        <v>191</v>
      </c>
      <c r="C2" s="8">
        <v>3.9795730113983154</v>
      </c>
      <c r="D2" s="9">
        <v>3.0901137739419937E-2</v>
      </c>
      <c r="E2" s="9">
        <v>1.9999999552965164E-2</v>
      </c>
      <c r="F2" s="9">
        <v>4.652092456817627</v>
      </c>
      <c r="G2" s="9">
        <v>0.54341751337051392</v>
      </c>
      <c r="H2" s="9">
        <v>4.2991405352950096E-3</v>
      </c>
      <c r="I2">
        <v>0</v>
      </c>
      <c r="J2"/>
    </row>
    <row r="3" spans="1:10" ht="15" customHeight="1" x14ac:dyDescent="0.15">
      <c r="A3" s="154">
        <v>2</v>
      </c>
      <c r="B3" s="154" t="s">
        <v>192</v>
      </c>
      <c r="C3" s="8">
        <v>4.7172636985778809</v>
      </c>
      <c r="D3" s="9">
        <v>6.1803314834833145E-2</v>
      </c>
      <c r="E3" s="9">
        <v>7.0000000298023224E-2</v>
      </c>
      <c r="F3" s="9">
        <v>12.115738868713379</v>
      </c>
      <c r="G3" s="9">
        <v>0.38814875483512878</v>
      </c>
      <c r="H3" s="9">
        <v>5.7776090689003468E-3</v>
      </c>
      <c r="I3">
        <v>0</v>
      </c>
      <c r="J3"/>
    </row>
    <row r="4" spans="1:10" ht="15" customHeight="1" x14ac:dyDescent="0.15">
      <c r="A4" s="155">
        <v>3</v>
      </c>
      <c r="B4" s="155" t="s">
        <v>193</v>
      </c>
      <c r="C4" s="8">
        <v>2.1816327571868896</v>
      </c>
      <c r="D4" s="9">
        <v>0.14981137216091156</v>
      </c>
      <c r="E4" s="9">
        <v>0.15000000596046448</v>
      </c>
      <c r="F4" s="9">
        <v>3.5</v>
      </c>
      <c r="G4" s="9">
        <v>0.5</v>
      </c>
      <c r="H4" s="9">
        <v>4.285714402794838E-2</v>
      </c>
      <c r="I4">
        <v>0</v>
      </c>
      <c r="J4"/>
    </row>
    <row r="5" spans="1:10" ht="15" customHeight="1" x14ac:dyDescent="0.15">
      <c r="A5" s="156">
        <v>4</v>
      </c>
      <c r="B5" s="156" t="s">
        <v>194</v>
      </c>
      <c r="C5" s="8">
        <v>3.7725217342376709</v>
      </c>
      <c r="D5" s="9">
        <v>3.9999998989515007E-4</v>
      </c>
      <c r="E5" s="9">
        <v>0.30000001192092896</v>
      </c>
      <c r="F5" s="9">
        <v>85.660972595214844</v>
      </c>
      <c r="G5" s="9">
        <v>0.35929736495018005</v>
      </c>
      <c r="H5" s="9">
        <v>3.5021784715354443E-3</v>
      </c>
      <c r="I5">
        <v>0</v>
      </c>
      <c r="J5"/>
    </row>
    <row r="6" spans="1:10" ht="15" customHeight="1" x14ac:dyDescent="0.15">
      <c r="A6" s="157">
        <v>5</v>
      </c>
      <c r="B6" s="157" t="s">
        <v>195</v>
      </c>
      <c r="C6" s="8">
        <v>4.5457773208618164</v>
      </c>
      <c r="D6" s="9">
        <v>2.488940954208374E-2</v>
      </c>
      <c r="E6" s="9">
        <v>0.28999999165534973</v>
      </c>
      <c r="F6" s="9">
        <v>4.8299999237060547</v>
      </c>
      <c r="G6" s="9">
        <v>0.49999997019767761</v>
      </c>
      <c r="H6" s="9">
        <v>6.0041405260562897E-2</v>
      </c>
      <c r="I6">
        <v>0</v>
      </c>
      <c r="J6"/>
    </row>
    <row r="7" spans="1:10" ht="15" customHeight="1" x14ac:dyDescent="0.15">
      <c r="A7" s="158">
        <v>6</v>
      </c>
      <c r="B7" s="158" t="s">
        <v>196</v>
      </c>
      <c r="C7" s="8">
        <v>4.1226992607116699</v>
      </c>
      <c r="D7" s="9">
        <v>5.000000074505806E-2</v>
      </c>
      <c r="E7" s="9">
        <v>0.34000000357627869</v>
      </c>
      <c r="F7" s="9">
        <v>4.3299999237060547</v>
      </c>
      <c r="G7" s="9">
        <v>0.89582216739654541</v>
      </c>
      <c r="H7" s="9">
        <v>7.8521944582462311E-2</v>
      </c>
      <c r="I7">
        <v>9.9996943026781082E-3</v>
      </c>
      <c r="J7"/>
    </row>
    <row r="8" spans="1:10" ht="15" customHeight="1" x14ac:dyDescent="0.15">
      <c r="A8" s="159">
        <v>7</v>
      </c>
      <c r="B8" s="159" t="s">
        <v>197</v>
      </c>
      <c r="C8" s="8">
        <v>4.4859495162963867</v>
      </c>
      <c r="D8" s="9">
        <v>5.3311888128519058E-2</v>
      </c>
      <c r="E8" s="9">
        <v>0.41999998688697815</v>
      </c>
      <c r="F8" s="9">
        <v>7.9899997711181641</v>
      </c>
      <c r="G8" s="9">
        <v>0.5</v>
      </c>
      <c r="H8" s="9">
        <v>5.2565708756446838E-2</v>
      </c>
      <c r="I8">
        <v>5.6215208023786545E-3</v>
      </c>
      <c r="J8"/>
    </row>
    <row r="9" spans="1:10" ht="15" customHeight="1" x14ac:dyDescent="0.15">
      <c r="A9" s="160">
        <v>8</v>
      </c>
      <c r="B9" s="160" t="s">
        <v>198</v>
      </c>
      <c r="C9" s="8">
        <v>4.117943286895752</v>
      </c>
      <c r="D9" s="9">
        <v>6.6198684275150299E-2</v>
      </c>
      <c r="E9" s="9">
        <v>0.57999998331069946</v>
      </c>
      <c r="F9" s="9">
        <v>7.9899997711181641</v>
      </c>
      <c r="G9" s="9">
        <v>0.5</v>
      </c>
      <c r="H9" s="9">
        <v>7.2590738534927368E-2</v>
      </c>
      <c r="I9">
        <v>1.2465624138712883E-2</v>
      </c>
      <c r="J9"/>
    </row>
    <row r="10" spans="1:10" ht="15" customHeight="1" x14ac:dyDescent="0.15">
      <c r="A10" s="161">
        <v>9</v>
      </c>
      <c r="B10" s="161" t="s">
        <v>199</v>
      </c>
      <c r="C10" s="8">
        <v>4.4777317047119141</v>
      </c>
      <c r="D10" s="9">
        <v>5.890910979360342E-3</v>
      </c>
      <c r="E10" s="9">
        <v>0.93999999761581421</v>
      </c>
      <c r="F10" s="9">
        <v>4.8499999046325684</v>
      </c>
      <c r="G10" s="9">
        <v>0.5</v>
      </c>
      <c r="H10" s="9">
        <v>0.19381444156169891</v>
      </c>
      <c r="I10">
        <v>6.1912796809338033E-5</v>
      </c>
      <c r="J10"/>
    </row>
    <row r="11" spans="1:10" ht="15" customHeight="1" x14ac:dyDescent="0.15">
      <c r="A11" s="162">
        <v>10</v>
      </c>
      <c r="B11" s="162" t="s">
        <v>200</v>
      </c>
      <c r="C11" s="8">
        <v>4.1817355155944824</v>
      </c>
      <c r="D11" s="9">
        <v>3.0259450897574425E-2</v>
      </c>
      <c r="E11" s="9">
        <v>1.3400000333786011</v>
      </c>
      <c r="F11" s="9">
        <v>6.5999999046325684</v>
      </c>
      <c r="G11" s="9">
        <v>0.57619017362594604</v>
      </c>
      <c r="H11" s="9">
        <v>0.20303031802177429</v>
      </c>
      <c r="I11">
        <v>2.6214220561087132E-3</v>
      </c>
      <c r="J11"/>
    </row>
    <row r="12" spans="1:10" ht="15" customHeight="1" x14ac:dyDescent="0.15">
      <c r="A12" s="163">
        <v>11</v>
      </c>
      <c r="B12" s="163" t="s">
        <v>201</v>
      </c>
      <c r="C12" s="8">
        <v>4.0710453987121582</v>
      </c>
      <c r="D12" s="9">
        <v>5.9999998658895493E-2</v>
      </c>
      <c r="E12" s="9">
        <v>0.93000000715255737</v>
      </c>
      <c r="F12" s="9">
        <v>9.5100002288818359</v>
      </c>
      <c r="G12" s="9">
        <v>0.95840466022491455</v>
      </c>
      <c r="H12" s="9">
        <v>9.7791798412799835E-2</v>
      </c>
      <c r="I12">
        <v>1.9844148308038712E-2</v>
      </c>
      <c r="J12"/>
    </row>
    <row r="13" spans="1:10" ht="15" customHeight="1" x14ac:dyDescent="0.15">
      <c r="A13" s="164">
        <v>12</v>
      </c>
      <c r="B13" s="164" t="s">
        <v>202</v>
      </c>
      <c r="C13" s="8">
        <v>2.8518681526184082</v>
      </c>
      <c r="D13" s="9">
        <v>1.1000000238418579</v>
      </c>
      <c r="E13" s="9">
        <v>2.2699999809265137</v>
      </c>
      <c r="F13" s="9">
        <v>12.039999961853027</v>
      </c>
      <c r="G13" s="9">
        <v>0.9041779637336731</v>
      </c>
      <c r="H13" s="9">
        <v>0.18853820860385895</v>
      </c>
      <c r="I13">
        <v>4.6384163200855255E-2</v>
      </c>
      <c r="J13"/>
    </row>
    <row r="14" spans="1:10" ht="15" customHeight="1" x14ac:dyDescent="0.15">
      <c r="A14" s="165">
        <v>13</v>
      </c>
      <c r="B14" s="165" t="s">
        <v>203</v>
      </c>
      <c r="C14" s="8">
        <v>2.5173468589782715</v>
      </c>
      <c r="D14" s="9">
        <v>0.50604557991027832</v>
      </c>
      <c r="E14" s="9">
        <v>1.2899999618530273</v>
      </c>
      <c r="F14" s="9">
        <v>13.510000228881836</v>
      </c>
      <c r="G14" s="9">
        <v>0.95000004768371582</v>
      </c>
      <c r="H14" s="9">
        <v>9.5484822988510132E-2</v>
      </c>
      <c r="I14">
        <v>0.24882693588733673</v>
      </c>
      <c r="J14"/>
    </row>
    <row r="15" spans="1:10" ht="15" customHeight="1" x14ac:dyDescent="0.15">
      <c r="A15" s="166">
        <v>14</v>
      </c>
      <c r="B15" s="166" t="s">
        <v>204</v>
      </c>
      <c r="C15" s="8">
        <v>4.100193977355957</v>
      </c>
      <c r="D15" s="9">
        <v>4.3217655271291733E-2</v>
      </c>
      <c r="E15" s="9">
        <v>0.72000002861022949</v>
      </c>
      <c r="F15" s="9">
        <v>7.4899997711181641</v>
      </c>
      <c r="G15" s="9">
        <v>0.95000004768371582</v>
      </c>
      <c r="H15" s="9">
        <v>9.6128180623054504E-2</v>
      </c>
      <c r="I15">
        <v>0</v>
      </c>
      <c r="J15"/>
    </row>
    <row r="16" spans="1:10" ht="15" customHeight="1" x14ac:dyDescent="0.15">
      <c r="A16" s="167">
        <v>15</v>
      </c>
      <c r="B16" s="167" t="s">
        <v>205</v>
      </c>
      <c r="C16" s="8">
        <v>3.2135496139526367</v>
      </c>
      <c r="D16" s="9">
        <v>0.36000001430511475</v>
      </c>
      <c r="E16" s="9">
        <v>1.8700000047683716</v>
      </c>
      <c r="F16" s="9">
        <v>10.25</v>
      </c>
      <c r="G16" s="9">
        <v>0.98789197206497192</v>
      </c>
      <c r="H16" s="9">
        <v>0.18243902921676636</v>
      </c>
      <c r="I16">
        <v>9.572245180606842E-2</v>
      </c>
      <c r="J16"/>
    </row>
    <row r="17" spans="1:10" ht="15" customHeight="1" x14ac:dyDescent="0.15">
      <c r="A17" s="168">
        <v>16</v>
      </c>
      <c r="B17" s="168" t="s">
        <v>206</v>
      </c>
      <c r="C17" s="8">
        <v>3.9553713798522949</v>
      </c>
      <c r="D17" s="9">
        <v>0.18000000715255737</v>
      </c>
      <c r="E17" s="9">
        <v>0.97000002861022949</v>
      </c>
      <c r="F17" s="9">
        <v>8.369999885559082</v>
      </c>
      <c r="G17" s="9">
        <v>0.93810379505157471</v>
      </c>
      <c r="H17" s="9">
        <v>0.11589008569717407</v>
      </c>
      <c r="I17">
        <v>0.10051644593477249</v>
      </c>
      <c r="J17"/>
    </row>
    <row r="18" spans="1:10" ht="15" customHeight="1" x14ac:dyDescent="0.15">
      <c r="A18" s="169">
        <v>17</v>
      </c>
      <c r="B18" s="169" t="s">
        <v>207</v>
      </c>
      <c r="C18" s="8">
        <v>4.0745902061462402</v>
      </c>
      <c r="D18" s="9">
        <v>1.2000000104308128E-2</v>
      </c>
      <c r="E18" s="9">
        <v>0.98000001907348633</v>
      </c>
      <c r="F18" s="9">
        <v>5.570000171661377</v>
      </c>
      <c r="G18" s="9">
        <v>0.98930317163467407</v>
      </c>
      <c r="H18" s="9">
        <v>0.17594254016876221</v>
      </c>
      <c r="I18">
        <v>4.1379709728062153E-3</v>
      </c>
      <c r="J18"/>
    </row>
    <row r="19" spans="1:10" ht="15" customHeight="1" x14ac:dyDescent="0.15">
      <c r="A19" s="170">
        <v>18</v>
      </c>
      <c r="B19" s="170" t="s">
        <v>208</v>
      </c>
      <c r="C19" s="8">
        <v>3.9806413650512695</v>
      </c>
      <c r="D19" s="9">
        <v>0.11999999731779099</v>
      </c>
      <c r="E19" s="9">
        <v>0.4699999988079071</v>
      </c>
      <c r="F19" s="9">
        <v>6.559999942779541</v>
      </c>
      <c r="G19" s="9">
        <v>0.86461746692657471</v>
      </c>
      <c r="H19" s="9">
        <v>7.1646340191364288E-2</v>
      </c>
      <c r="I19">
        <v>1.6703184694051743E-2</v>
      </c>
      <c r="J19"/>
    </row>
    <row r="20" spans="1:10" ht="15" customHeight="1" x14ac:dyDescent="0.15">
      <c r="A20" s="171">
        <v>19</v>
      </c>
      <c r="B20" s="171" t="s">
        <v>209</v>
      </c>
      <c r="C20" s="8">
        <v>3.6026875972747803</v>
      </c>
      <c r="D20" s="9">
        <v>3.1722847372293472E-2</v>
      </c>
      <c r="E20" s="9">
        <v>0.67000001668930054</v>
      </c>
      <c r="F20" s="9">
        <v>11.869999885559082</v>
      </c>
      <c r="G20" s="9">
        <v>0.94999998807907104</v>
      </c>
      <c r="H20" s="9">
        <v>5.6444820016622543E-2</v>
      </c>
      <c r="I20">
        <v>0</v>
      </c>
      <c r="J20"/>
    </row>
    <row r="21" spans="1:10" ht="15" customHeight="1" x14ac:dyDescent="0.15">
      <c r="A21" s="172">
        <v>20</v>
      </c>
      <c r="B21" s="172" t="s">
        <v>210</v>
      </c>
      <c r="C21" s="8">
        <v>3.6922414302825928</v>
      </c>
      <c r="D21" s="9">
        <v>0.15000000596046448</v>
      </c>
      <c r="E21" s="9">
        <v>0.82999998331069946</v>
      </c>
      <c r="F21" s="9">
        <v>8.3199996948242188</v>
      </c>
      <c r="G21" s="9">
        <v>0.95909547805786133</v>
      </c>
      <c r="H21" s="9">
        <v>9.9759615957736969E-2</v>
      </c>
      <c r="I21">
        <v>3.7973329424858093E-2</v>
      </c>
      <c r="J21"/>
    </row>
    <row r="22" spans="1:10" ht="15" customHeight="1" x14ac:dyDescent="0.15">
      <c r="A22" s="173">
        <v>21</v>
      </c>
      <c r="B22" s="173" t="s">
        <v>211</v>
      </c>
      <c r="C22" s="8">
        <v>3.3461074829101562</v>
      </c>
      <c r="D22" s="9">
        <v>5.2946493029594421E-2</v>
      </c>
      <c r="E22" s="9">
        <v>0.75999999046325684</v>
      </c>
      <c r="F22" s="9">
        <v>10.369999885559082</v>
      </c>
      <c r="G22" s="9">
        <v>0.88111859560012817</v>
      </c>
      <c r="H22" s="9">
        <v>7.3288328945636749E-2</v>
      </c>
      <c r="I22">
        <v>6.2589379958808422E-3</v>
      </c>
      <c r="J22"/>
    </row>
    <row r="23" spans="1:10" ht="15" customHeight="1" x14ac:dyDescent="0.15">
      <c r="A23" s="174">
        <v>22</v>
      </c>
      <c r="B23" s="174" t="s">
        <v>212</v>
      </c>
      <c r="C23" s="8">
        <v>2.3197803497314453</v>
      </c>
      <c r="D23" s="9">
        <v>0.32286015152931213</v>
      </c>
      <c r="E23" s="9">
        <v>1.0900000333786011</v>
      </c>
      <c r="F23" s="9">
        <v>13</v>
      </c>
      <c r="G23" s="9">
        <v>0.9500001072883606</v>
      </c>
      <c r="H23" s="9">
        <v>8.3846159279346466E-2</v>
      </c>
      <c r="I23">
        <v>1.3702115975320339E-2</v>
      </c>
      <c r="J23"/>
    </row>
    <row r="24" spans="1:10" ht="15" customHeight="1" x14ac:dyDescent="0.15">
      <c r="A24" s="175">
        <v>23</v>
      </c>
      <c r="B24" s="175" t="s">
        <v>213</v>
      </c>
      <c r="C24" s="8">
        <v>3.817652702331543</v>
      </c>
      <c r="D24" s="9">
        <v>4.5000001788139343E-2</v>
      </c>
      <c r="E24" s="9">
        <v>1.1699999570846558</v>
      </c>
      <c r="F24" s="9">
        <v>9.0100002288818359</v>
      </c>
      <c r="G24" s="9">
        <v>0.92579072713851929</v>
      </c>
      <c r="H24" s="9">
        <v>0.12985570728778839</v>
      </c>
      <c r="I24">
        <v>1.3673528097569942E-2</v>
      </c>
      <c r="J24"/>
    </row>
    <row r="25" spans="1:10" ht="15" customHeight="1" x14ac:dyDescent="0.15">
      <c r="A25" s="176">
        <v>24</v>
      </c>
      <c r="B25" s="176" t="s">
        <v>214</v>
      </c>
      <c r="C25" s="8">
        <v>3.2599198818206787</v>
      </c>
      <c r="D25" s="9">
        <v>0.15999999642372131</v>
      </c>
      <c r="E25" s="9">
        <v>1.3999999761581421</v>
      </c>
      <c r="F25" s="9">
        <v>9.9399995803833008</v>
      </c>
      <c r="G25" s="9">
        <v>0.99512630701065063</v>
      </c>
      <c r="H25" s="9">
        <v>0.14084507524967194</v>
      </c>
      <c r="I25">
        <v>6.601908802986145E-2</v>
      </c>
      <c r="J25"/>
    </row>
    <row r="26" spans="1:10" ht="15" customHeight="1" x14ac:dyDescent="0.15">
      <c r="A26" s="177">
        <v>25</v>
      </c>
      <c r="B26" s="177" t="s">
        <v>215</v>
      </c>
      <c r="C26" s="8">
        <v>3.7756438255310059</v>
      </c>
      <c r="D26" s="9">
        <v>5.1193520426750183E-2</v>
      </c>
      <c r="E26" s="9">
        <v>1.7799999713897705</v>
      </c>
      <c r="F26" s="9">
        <v>11.829999923706055</v>
      </c>
      <c r="G26" s="9">
        <v>0.90101617574691772</v>
      </c>
      <c r="H26" s="9">
        <v>0.15046492218971252</v>
      </c>
      <c r="I26">
        <v>0</v>
      </c>
      <c r="J26"/>
    </row>
    <row r="27" spans="1:10" ht="15" customHeight="1" x14ac:dyDescent="0.15">
      <c r="A27" s="178">
        <v>26</v>
      </c>
      <c r="B27" s="178" t="s">
        <v>216</v>
      </c>
      <c r="C27" s="8">
        <v>3.8746845722198486</v>
      </c>
      <c r="D27" s="9">
        <v>5.2604388445615768E-2</v>
      </c>
      <c r="E27" s="9">
        <v>1.3700000047683716</v>
      </c>
      <c r="F27" s="9">
        <v>11.699999809265137</v>
      </c>
      <c r="G27" s="9">
        <v>0.9500001072883606</v>
      </c>
      <c r="H27" s="9">
        <v>0.1170940175652504</v>
      </c>
      <c r="I27">
        <v>3.2233926467597485E-3</v>
      </c>
      <c r="J27"/>
    </row>
    <row r="28" spans="1:10" ht="15" customHeight="1" x14ac:dyDescent="0.15">
      <c r="A28" s="179">
        <v>27</v>
      </c>
      <c r="B28" s="179" t="s">
        <v>217</v>
      </c>
      <c r="C28" s="8">
        <v>2.9245011806488037</v>
      </c>
      <c r="D28" s="9">
        <v>0.5</v>
      </c>
      <c r="E28" s="9">
        <v>1.6000000238418579</v>
      </c>
      <c r="F28" s="9">
        <v>11.600000381469727</v>
      </c>
      <c r="G28" s="9">
        <v>0.97460567951202393</v>
      </c>
      <c r="H28" s="9">
        <v>0.13793103396892548</v>
      </c>
      <c r="I28">
        <v>2.4137850850820541E-3</v>
      </c>
      <c r="J28"/>
    </row>
    <row r="29" spans="1:10" ht="15" customHeight="1" x14ac:dyDescent="0.15">
      <c r="A29" s="180">
        <v>28</v>
      </c>
      <c r="B29" s="180" t="s">
        <v>218</v>
      </c>
      <c r="C29" s="8">
        <v>3.8901431560516357</v>
      </c>
      <c r="D29" s="9">
        <v>5.4999999701976776E-2</v>
      </c>
      <c r="E29" s="9">
        <v>0.5899999737739563</v>
      </c>
      <c r="F29" s="9">
        <v>7.3299999237060547</v>
      </c>
      <c r="G29" s="9">
        <v>0.84256833791732788</v>
      </c>
      <c r="H29" s="9">
        <v>8.0491133034229279E-2</v>
      </c>
      <c r="I29">
        <v>3.9022278506308794E-3</v>
      </c>
      <c r="J29"/>
    </row>
    <row r="30" spans="1:10" ht="15" customHeight="1" x14ac:dyDescent="0.15">
      <c r="A30" s="181">
        <v>29</v>
      </c>
      <c r="B30" s="181" t="s">
        <v>219</v>
      </c>
      <c r="C30" s="8">
        <v>3.1317265033721924</v>
      </c>
      <c r="D30" s="9">
        <v>2.3513844236731529E-2</v>
      </c>
      <c r="E30" s="9">
        <v>0.70999997854232788</v>
      </c>
      <c r="F30" s="9">
        <v>6.119999885559082</v>
      </c>
      <c r="G30" s="9">
        <v>0.95000004768371582</v>
      </c>
      <c r="H30" s="9">
        <v>0.11601307243108749</v>
      </c>
      <c r="I30">
        <v>5.7642869651317596E-3</v>
      </c>
      <c r="J30"/>
    </row>
    <row r="31" spans="1:10" ht="15" customHeight="1" x14ac:dyDescent="0.15">
      <c r="A31" s="182">
        <v>30</v>
      </c>
      <c r="B31" s="182" t="s">
        <v>220</v>
      </c>
      <c r="C31" s="8">
        <v>3.9811093807220459</v>
      </c>
      <c r="D31" s="9">
        <v>0.10135772824287415</v>
      </c>
      <c r="E31" s="9">
        <v>1.0099999904632568</v>
      </c>
      <c r="F31" s="9">
        <v>9.8900003433227539</v>
      </c>
      <c r="G31" s="9">
        <v>0.94999998807907104</v>
      </c>
      <c r="H31" s="9">
        <v>0.10212334990501404</v>
      </c>
      <c r="I31">
        <v>2.7550974860787392E-2</v>
      </c>
      <c r="J31"/>
    </row>
    <row r="32" spans="1:10" ht="15" customHeight="1" x14ac:dyDescent="0.15">
      <c r="A32" s="210">
        <v>31</v>
      </c>
      <c r="B32" s="210" t="s">
        <v>221</v>
      </c>
      <c r="C32" s="8">
        <v>3.26175856590271</v>
      </c>
      <c r="D32" s="9">
        <v>0.2083389014005661</v>
      </c>
      <c r="E32" s="9">
        <v>0.75</v>
      </c>
      <c r="F32" s="9">
        <v>11.470000267028809</v>
      </c>
      <c r="G32" s="9">
        <v>0.94999998807907104</v>
      </c>
      <c r="H32" s="9">
        <v>6.5387964248657227E-2</v>
      </c>
      <c r="I32">
        <v>3.461085632443428E-2</v>
      </c>
      <c r="J32"/>
    </row>
    <row r="33" spans="1:10" ht="15" customHeight="1" x14ac:dyDescent="0.15">
      <c r="A33" s="211">
        <v>32</v>
      </c>
      <c r="B33" s="211" t="s">
        <v>222</v>
      </c>
      <c r="C33" s="8">
        <v>3.811978816986084</v>
      </c>
      <c r="D33" s="9">
        <v>8.2821279764175415E-2</v>
      </c>
      <c r="E33" s="9">
        <v>1.9600000381469727</v>
      </c>
      <c r="F33" s="9">
        <v>12.079999923706055</v>
      </c>
      <c r="G33" s="9">
        <v>0.94999998807907104</v>
      </c>
      <c r="H33" s="9">
        <v>0.16225166618824005</v>
      </c>
      <c r="I33">
        <v>7.317936047911644E-3</v>
      </c>
      <c r="J33"/>
    </row>
    <row r="34" spans="1:10" ht="15" customHeight="1" x14ac:dyDescent="0.15">
      <c r="A34" s="212">
        <v>33</v>
      </c>
      <c r="B34" s="212" t="s">
        <v>223</v>
      </c>
      <c r="C34" s="8">
        <v>3.1734693050384521</v>
      </c>
      <c r="D34" s="9">
        <v>0.57928580045700073</v>
      </c>
      <c r="E34" s="9">
        <v>1.059999942779541</v>
      </c>
      <c r="F34" s="9">
        <v>9.3000001907348633</v>
      </c>
      <c r="G34" s="9">
        <v>0.95000004768371582</v>
      </c>
      <c r="H34" s="9">
        <v>0.11397848278284073</v>
      </c>
      <c r="I34">
        <v>5.6215208023786545E-3</v>
      </c>
      <c r="J34"/>
    </row>
    <row r="35" spans="1:10" ht="15" customHeight="1" x14ac:dyDescent="0.15">
      <c r="A35" s="213">
        <v>34</v>
      </c>
      <c r="B35" s="213" t="s">
        <v>224</v>
      </c>
      <c r="C35" s="8">
        <v>4.0968060493469238</v>
      </c>
      <c r="D35" s="9">
        <v>4.0398824959993362E-2</v>
      </c>
      <c r="E35" s="9">
        <v>0.70999997854232788</v>
      </c>
      <c r="F35" s="9">
        <v>5.809999942779541</v>
      </c>
      <c r="G35" s="9">
        <v>0.95000004768371582</v>
      </c>
      <c r="H35" s="9">
        <v>0.12220309674739838</v>
      </c>
      <c r="I35">
        <v>0</v>
      </c>
      <c r="J35"/>
    </row>
    <row r="36" spans="1:10" ht="15" customHeight="1" x14ac:dyDescent="0.15">
      <c r="A36" s="214">
        <v>35</v>
      </c>
      <c r="B36" s="214" t="s">
        <v>225</v>
      </c>
      <c r="C36" s="8">
        <v>3.7541162967681885</v>
      </c>
      <c r="D36" s="9">
        <v>0.41132986545562744</v>
      </c>
      <c r="E36" s="9">
        <v>0.80000001192092896</v>
      </c>
      <c r="F36" s="9">
        <v>6.380000114440918</v>
      </c>
      <c r="G36" s="9">
        <v>0.95000004768371582</v>
      </c>
      <c r="H36" s="9">
        <v>0.12539185583591461</v>
      </c>
      <c r="I36">
        <v>0</v>
      </c>
      <c r="J36"/>
    </row>
    <row r="37" spans="1:10" ht="15" customHeight="1" x14ac:dyDescent="0.15">
      <c r="A37" s="215">
        <v>36</v>
      </c>
      <c r="B37" s="215" t="s">
        <v>226</v>
      </c>
      <c r="C37" s="8">
        <v>3.5567693710327148</v>
      </c>
      <c r="D37" s="9">
        <v>1.142265796661377</v>
      </c>
      <c r="E37" s="9">
        <v>0.37000000476837158</v>
      </c>
      <c r="F37" s="9">
        <v>4.6999998092651367</v>
      </c>
      <c r="G37" s="9">
        <v>0.95000004768371582</v>
      </c>
      <c r="H37" s="9">
        <v>7.8723408281803131E-2</v>
      </c>
      <c r="I37">
        <v>0</v>
      </c>
      <c r="J37"/>
    </row>
    <row r="38" spans="1:10" ht="15" customHeight="1" x14ac:dyDescent="0.15">
      <c r="A38" s="216">
        <v>37</v>
      </c>
      <c r="B38" s="216" t="s">
        <v>227</v>
      </c>
      <c r="C38" s="8">
        <v>3.2314867973327637</v>
      </c>
      <c r="D38" s="9">
        <v>3.3599998950958252</v>
      </c>
      <c r="E38" s="9">
        <v>2.7200000286102295</v>
      </c>
      <c r="F38" s="9">
        <v>9.5</v>
      </c>
      <c r="G38" s="9">
        <v>0.29937842488288879</v>
      </c>
      <c r="H38" s="9">
        <v>0.28631579875946045</v>
      </c>
      <c r="I38">
        <v>0</v>
      </c>
      <c r="J38"/>
    </row>
    <row r="39" spans="1:10" ht="15" customHeight="1" x14ac:dyDescent="0.15">
      <c r="A39" s="217">
        <v>38</v>
      </c>
      <c r="B39" s="217" t="s">
        <v>228</v>
      </c>
      <c r="C39" s="8">
        <v>3.9920401573181152</v>
      </c>
      <c r="D39" s="9">
        <v>0.58922040462493896</v>
      </c>
      <c r="E39" s="9">
        <v>2.5</v>
      </c>
      <c r="F39" s="9">
        <v>10</v>
      </c>
      <c r="G39" s="9">
        <v>0.94999998807907104</v>
      </c>
      <c r="H39" s="9">
        <v>0.25</v>
      </c>
      <c r="I39">
        <v>5.3921137005090714E-2</v>
      </c>
      <c r="J39"/>
    </row>
    <row r="40" spans="1:10" ht="15" customHeight="1" x14ac:dyDescent="0.15">
      <c r="A40" s="218">
        <v>39</v>
      </c>
      <c r="B40" s="218" t="s">
        <v>229</v>
      </c>
      <c r="C40" s="8">
        <v>2.9667024612426758</v>
      </c>
      <c r="D40" s="9">
        <v>2.690185546875</v>
      </c>
      <c r="E40" s="9">
        <v>5.5</v>
      </c>
      <c r="F40" s="9">
        <v>20</v>
      </c>
      <c r="G40" s="9">
        <v>0.95000004768371582</v>
      </c>
      <c r="H40" s="9">
        <v>0.27500000596046448</v>
      </c>
      <c r="I40">
        <v>1.7472058534622192E-2</v>
      </c>
      <c r="J40"/>
    </row>
    <row r="41" spans="1:10" ht="15" customHeight="1" x14ac:dyDescent="0.15">
      <c r="A41" s="219">
        <v>40</v>
      </c>
      <c r="B41" s="219" t="s">
        <v>230</v>
      </c>
      <c r="C41" s="8">
        <v>2.1734693050384521</v>
      </c>
      <c r="D41" s="9">
        <v>59.346080780029297</v>
      </c>
      <c r="E41" s="9">
        <v>1.7999999523162842</v>
      </c>
      <c r="F41" s="9">
        <v>25</v>
      </c>
      <c r="G41" s="9">
        <v>0.73972445726394653</v>
      </c>
      <c r="H41" s="9">
        <v>7.1999996900558472E-2</v>
      </c>
      <c r="I41">
        <v>5.6215208023786545E-3</v>
      </c>
      <c r="J41"/>
    </row>
    <row r="42" spans="1:10" ht="15" customHeight="1" x14ac:dyDescent="0.15">
      <c r="A42" s="220">
        <v>41</v>
      </c>
      <c r="B42" s="220" t="s">
        <v>231</v>
      </c>
      <c r="C42" s="8">
        <v>2.816326379776001</v>
      </c>
      <c r="D42" s="9">
        <v>2.5979518890380859</v>
      </c>
      <c r="E42" s="9">
        <v>10</v>
      </c>
      <c r="F42" s="9">
        <v>50</v>
      </c>
      <c r="G42" s="9">
        <v>0.80000001192092896</v>
      </c>
      <c r="H42" s="9">
        <v>0.20000000298023224</v>
      </c>
      <c r="I42">
        <v>0</v>
      </c>
      <c r="J42"/>
    </row>
    <row r="43" spans="1:10" ht="15" customHeight="1" x14ac:dyDescent="0.15">
      <c r="A43" s="221">
        <v>42</v>
      </c>
      <c r="B43" s="221" t="s">
        <v>232</v>
      </c>
      <c r="C43" s="8">
        <v>2</v>
      </c>
      <c r="D43" s="9">
        <v>14.945588111877441</v>
      </c>
      <c r="E43" s="9">
        <v>40</v>
      </c>
      <c r="F43" s="9">
        <v>200</v>
      </c>
      <c r="G43" s="9">
        <v>0.60000008344650269</v>
      </c>
      <c r="H43" s="9">
        <v>0.20000000298023224</v>
      </c>
      <c r="I43">
        <v>0</v>
      </c>
      <c r="J43"/>
    </row>
    <row r="44" spans="1:10" ht="15" customHeight="1" x14ac:dyDescent="0.15">
      <c r="A44" s="222">
        <v>43</v>
      </c>
      <c r="B44" s="222" t="s">
        <v>233</v>
      </c>
      <c r="C44" s="8">
        <v>1</v>
      </c>
      <c r="D44" s="9">
        <v>49</v>
      </c>
      <c r="E44" s="9">
        <v>84</v>
      </c>
      <c r="F44" s="10"/>
      <c r="G44" s="9">
        <v>0.67021870613098145</v>
      </c>
      <c r="H44" s="10"/>
      <c r="I44">
        <v>0</v>
      </c>
      <c r="J44"/>
    </row>
    <row r="45" spans="1:10" ht="15" customHeight="1" x14ac:dyDescent="0.15">
      <c r="A45" s="223">
        <v>44</v>
      </c>
      <c r="B45" s="223" t="s">
        <v>234</v>
      </c>
      <c r="C45" s="8">
        <v>1</v>
      </c>
      <c r="D45" s="9">
        <v>290</v>
      </c>
      <c r="E45" s="10"/>
      <c r="F45" s="10"/>
      <c r="G45" s="9">
        <v>0.475830078125</v>
      </c>
      <c r="H45" s="10"/>
      <c r="I45">
        <v>0</v>
      </c>
      <c r="J45"/>
    </row>
    <row r="46" spans="1:10" ht="15" customHeight="1" x14ac:dyDescent="0.15">
      <c r="A46" s="224">
        <v>45</v>
      </c>
      <c r="B46" s="224" t="s">
        <v>235</v>
      </c>
      <c r="C46" s="8">
        <v>1</v>
      </c>
      <c r="D46" s="9">
        <v>5</v>
      </c>
      <c r="E46" s="10"/>
      <c r="F46" s="10"/>
      <c r="G46" s="7">
        <v>0</v>
      </c>
      <c r="H46" s="10"/>
      <c r="I46">
        <v>0</v>
      </c>
      <c r="J46"/>
    </row>
    <row r="47" spans="1:10" ht="15" customHeight="1" x14ac:dyDescent="0.15">
      <c r="A47" s="225">
        <v>46</v>
      </c>
      <c r="B47" s="225" t="s">
        <v>236</v>
      </c>
      <c r="C47" s="8">
        <v>3.9425339698791504</v>
      </c>
      <c r="D47" s="10"/>
      <c r="E47" s="10"/>
      <c r="F47" s="10"/>
      <c r="G47" s="10"/>
      <c r="H47" s="10"/>
      <c r="I47">
        <v>0.42061841487884521</v>
      </c>
      <c r="J47"/>
    </row>
    <row r="48" spans="1:10" ht="15" customHeight="1" x14ac:dyDescent="0.15">
      <c r="A48" s="226">
        <v>47</v>
      </c>
      <c r="B48" s="226" t="s">
        <v>237</v>
      </c>
      <c r="C48" s="8">
        <v>4.5322079658508301</v>
      </c>
      <c r="D48" s="10"/>
      <c r="E48" s="10"/>
      <c r="F48" s="10"/>
      <c r="G48" s="10"/>
      <c r="H48" s="10"/>
      <c r="I48">
        <v>0.4473336935043335</v>
      </c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242</v>
      </c>
      <c r="E1" t="s">
        <v>243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 t="s">
        <v>212</v>
      </c>
      <c r="AB1" t="s">
        <v>213</v>
      </c>
      <c r="AC1" t="s">
        <v>214</v>
      </c>
      <c r="AD1" t="s">
        <v>215</v>
      </c>
      <c r="AE1" t="s">
        <v>216</v>
      </c>
      <c r="AF1" t="s">
        <v>217</v>
      </c>
      <c r="AG1" t="s">
        <v>218</v>
      </c>
      <c r="AH1" t="s">
        <v>219</v>
      </c>
      <c r="AI1" t="s">
        <v>220</v>
      </c>
      <c r="AJ1" t="s">
        <v>221</v>
      </c>
      <c r="AK1" t="s">
        <v>222</v>
      </c>
      <c r="AL1" t="s">
        <v>223</v>
      </c>
      <c r="AM1" t="s">
        <v>224</v>
      </c>
      <c r="AN1" t="s">
        <v>225</v>
      </c>
      <c r="AO1" t="s">
        <v>226</v>
      </c>
      <c r="AP1" t="s">
        <v>227</v>
      </c>
      <c r="AQ1" t="s">
        <v>228</v>
      </c>
      <c r="AR1" t="s">
        <v>229</v>
      </c>
      <c r="AS1" t="s">
        <v>230</v>
      </c>
      <c r="AT1" t="s">
        <v>231</v>
      </c>
      <c r="AU1" t="s">
        <v>232</v>
      </c>
      <c r="AV1" t="s">
        <v>233</v>
      </c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191</v>
      </c>
      <c r="B2">
        <v>1.9999999552965164E-2</v>
      </c>
      <c r="C2">
        <v>9.1316495090723038E-3</v>
      </c>
      <c r="D2"/>
      <c r="E2"/>
      <c r="F2"/>
      <c r="G2"/>
      <c r="H2"/>
      <c r="I2"/>
      <c r="J2" s="112">
        <v>3.8919574581086636E-3</v>
      </c>
      <c r="K2" s="248">
        <v>6.9763921201229095E-3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192</v>
      </c>
      <c r="B3">
        <v>7.0000000298023224E-2</v>
      </c>
      <c r="C3">
        <v>4.2829588055610657E-2</v>
      </c>
      <c r="D3"/>
      <c r="E3"/>
      <c r="F3"/>
      <c r="G3"/>
      <c r="H3"/>
      <c r="I3"/>
      <c r="J3" s="249">
        <v>9.7297290340065956E-3</v>
      </c>
      <c r="K3" s="250">
        <v>1.7440684139728546E-2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193</v>
      </c>
      <c r="B4">
        <v>0.15000000596046448</v>
      </c>
      <c r="C4">
        <v>7.5000002980232239E-2</v>
      </c>
      <c r="D4"/>
      <c r="E4"/>
      <c r="F4"/>
      <c r="G4"/>
      <c r="H4"/>
      <c r="I4"/>
      <c r="J4"/>
      <c r="K4" s="15">
        <v>1.4389993157237768E-3</v>
      </c>
      <c r="L4"/>
      <c r="M4"/>
      <c r="N4"/>
      <c r="O4"/>
      <c r="P4"/>
      <c r="Q4"/>
      <c r="R4"/>
      <c r="S4"/>
      <c r="T4"/>
      <c r="U4"/>
      <c r="V4"/>
      <c r="W4" s="277">
        <v>7.3561005294322968E-2</v>
      </c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194</v>
      </c>
      <c r="B5">
        <v>0.30000001192092896</v>
      </c>
      <c r="C5">
        <v>0.19221079349517822</v>
      </c>
      <c r="D5"/>
      <c r="E5"/>
      <c r="F5"/>
      <c r="G5"/>
      <c r="H5"/>
      <c r="I5"/>
      <c r="J5"/>
      <c r="K5" s="247">
        <v>0.10778921097517014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195</v>
      </c>
      <c r="B6">
        <v>0.28999999165534973</v>
      </c>
      <c r="C6">
        <v>0.14500001072883606</v>
      </c>
      <c r="D6"/>
      <c r="E6"/>
      <c r="F6"/>
      <c r="G6"/>
      <c r="H6"/>
      <c r="I6"/>
      <c r="J6" s="255">
        <v>9.6640221774578094E-2</v>
      </c>
      <c r="K6" s="228">
        <v>4.8359774053096771E-2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196</v>
      </c>
      <c r="B7">
        <v>0.34000000357627869</v>
      </c>
      <c r="C7">
        <v>3.5420462489128113E-2</v>
      </c>
      <c r="D7" s="108">
        <v>5.3010940551757812E-2</v>
      </c>
      <c r="E7" s="237">
        <v>0.14698293805122375</v>
      </c>
      <c r="F7"/>
      <c r="G7"/>
      <c r="H7"/>
      <c r="I7"/>
      <c r="J7"/>
      <c r="K7" s="27">
        <v>2.586941234767437E-2</v>
      </c>
      <c r="L7"/>
      <c r="M7"/>
      <c r="N7"/>
      <c r="O7"/>
      <c r="P7"/>
      <c r="Q7"/>
      <c r="R7"/>
      <c r="S7"/>
      <c r="T7"/>
      <c r="U7"/>
      <c r="V7"/>
      <c r="W7" s="263">
        <v>7.8716248273849487E-2</v>
      </c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197</v>
      </c>
      <c r="B8">
        <v>0.41999998688697815</v>
      </c>
      <c r="C8">
        <v>0.20999999344348907</v>
      </c>
      <c r="D8"/>
      <c r="E8" s="150">
        <v>0.10544591397047043</v>
      </c>
      <c r="F8"/>
      <c r="G8"/>
      <c r="H8"/>
      <c r="I8"/>
      <c r="J8" s="251">
        <v>2.2558927536010742E-2</v>
      </c>
      <c r="K8" s="112">
        <v>8.1548385322093964E-2</v>
      </c>
      <c r="L8"/>
      <c r="M8"/>
      <c r="N8" s="14">
        <v>4.4676379184238613E-4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198</v>
      </c>
      <c r="B9">
        <v>0.57999998331069946</v>
      </c>
      <c r="C9">
        <v>0.28999999165534973</v>
      </c>
      <c r="D9" s="227">
        <v>6.4240910112857819E-2</v>
      </c>
      <c r="E9" s="238">
        <v>0.12406530231237411</v>
      </c>
      <c r="F9"/>
      <c r="G9"/>
      <c r="H9"/>
      <c r="I9"/>
      <c r="J9" s="18">
        <v>7.2669670917093754E-3</v>
      </c>
      <c r="K9" s="265">
        <v>6.5130725502967834E-2</v>
      </c>
      <c r="L9"/>
      <c r="M9"/>
      <c r="N9"/>
      <c r="O9"/>
      <c r="P9" s="69">
        <v>2.9296070337295532E-2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199</v>
      </c>
      <c r="B10">
        <v>0.93999999761581421</v>
      </c>
      <c r="C10">
        <v>0.4699999988079071</v>
      </c>
      <c r="D10"/>
      <c r="E10" s="18">
        <v>1.0509884916245937E-2</v>
      </c>
      <c r="F10"/>
      <c r="G10"/>
      <c r="H10"/>
      <c r="I10"/>
      <c r="J10" s="256">
        <v>0.43425476551055908</v>
      </c>
      <c r="K10" s="24">
        <v>2.5235356763005257E-2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200</v>
      </c>
      <c r="B11">
        <v>1.3400000333786011</v>
      </c>
      <c r="C11">
        <v>0.56790518760681152</v>
      </c>
      <c r="D11" s="66">
        <v>5.3912181407213211E-2</v>
      </c>
      <c r="E11" s="233">
        <v>3.2719332724809647E-2</v>
      </c>
      <c r="F11"/>
      <c r="G11" s="265">
        <v>0.14847451448440552</v>
      </c>
      <c r="H11"/>
      <c r="I11"/>
      <c r="J11" s="234">
        <v>5.3117413073778152E-2</v>
      </c>
      <c r="K11" s="258">
        <v>0.10686501115560532</v>
      </c>
      <c r="L11"/>
      <c r="M11"/>
      <c r="N11"/>
      <c r="O11"/>
      <c r="P11" s="278">
        <v>0.3770064115524292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201</v>
      </c>
      <c r="B12">
        <v>0.93000000715255737</v>
      </c>
      <c r="C12">
        <v>3.8683667778968811E-2</v>
      </c>
      <c r="D12" s="228">
        <v>0.15446561574935913</v>
      </c>
      <c r="E12" s="239">
        <v>0.17627020180225372</v>
      </c>
      <c r="F12" s="236">
        <v>7.8986220061779022E-2</v>
      </c>
      <c r="G12" s="252">
        <v>0.12479881942272186</v>
      </c>
      <c r="H12"/>
      <c r="I12" s="22">
        <v>6.8528782576322556E-3</v>
      </c>
      <c r="J12" s="280">
        <v>0.19442988932132721</v>
      </c>
      <c r="K12" s="260">
        <v>0.10778921842575073</v>
      </c>
      <c r="L12"/>
      <c r="M12"/>
      <c r="N12"/>
      <c r="O12"/>
      <c r="P12" s="69">
        <v>4.7723494470119476E-2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202</v>
      </c>
      <c r="B13">
        <v>2.2699999809265137</v>
      </c>
      <c r="C13">
        <v>0.21751601994037628</v>
      </c>
      <c r="D13" s="15">
        <v>2.3365525528788567E-2</v>
      </c>
      <c r="E13" s="22">
        <v>1.8801895901560783E-2</v>
      </c>
      <c r="F13" s="14">
        <v>4.3083392083644867E-3</v>
      </c>
      <c r="G13" s="12">
        <v>8.8493702933192253E-3</v>
      </c>
      <c r="H13"/>
      <c r="I13" s="14">
        <v>2.4919556453824043E-3</v>
      </c>
      <c r="J13" s="14">
        <v>5.5954884737730026E-3</v>
      </c>
      <c r="K13" s="15">
        <v>2.3517647758126259E-2</v>
      </c>
      <c r="L13" s="17">
        <v>3.0349712818861008E-2</v>
      </c>
      <c r="M13" s="28">
        <v>8.0341599881649017E-2</v>
      </c>
      <c r="N13" s="11">
        <v>2.0786472596228123E-3</v>
      </c>
      <c r="O13" s="16">
        <v>3.4138709306716919E-2</v>
      </c>
      <c r="P13" s="145">
        <v>0.22816012799739838</v>
      </c>
      <c r="Q13" s="307">
        <v>0.45992794632911682</v>
      </c>
      <c r="R13"/>
      <c r="S13" s="15">
        <v>2.0599108189344406E-2</v>
      </c>
      <c r="T13" s="148">
        <v>6.7076005041599274E-2</v>
      </c>
      <c r="U13" s="261">
        <v>0.15744522213935852</v>
      </c>
      <c r="V13"/>
      <c r="W13" s="20">
        <v>9.6606314182281494E-2</v>
      </c>
      <c r="X13" s="22">
        <v>1.9017687067389488E-2</v>
      </c>
      <c r="Y13"/>
      <c r="Z13"/>
      <c r="AA13"/>
      <c r="AB13" s="12">
        <v>1.0238636285066605E-2</v>
      </c>
      <c r="AC13"/>
      <c r="AD13" s="233">
        <v>5.352696031332016E-2</v>
      </c>
      <c r="AE13" s="66">
        <v>9.3222156167030334E-2</v>
      </c>
      <c r="AF13" s="19">
        <v>3.9512429386377335E-2</v>
      </c>
      <c r="AG13" s="22">
        <v>1.6256939619779587E-2</v>
      </c>
      <c r="AH13"/>
      <c r="AI13" s="233">
        <v>5.4730840027332306E-2</v>
      </c>
      <c r="AJ13"/>
      <c r="AK13"/>
      <c r="AL13"/>
      <c r="AM13" s="14">
        <v>4.2663151398301125E-3</v>
      </c>
      <c r="AN13" s="145">
        <v>0.22721078991889954</v>
      </c>
      <c r="AO13"/>
      <c r="AP13"/>
      <c r="AQ13" s="144">
        <v>0.27084770798683167</v>
      </c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203</v>
      </c>
      <c r="B14">
        <v>1.2899999618530273</v>
      </c>
      <c r="C14">
        <v>6.4499936997890472E-2</v>
      </c>
      <c r="D14" s="229">
        <v>0.49170854687690735</v>
      </c>
      <c r="E14"/>
      <c r="F14"/>
      <c r="G14" s="22">
        <v>8.8781677186489105E-3</v>
      </c>
      <c r="H14"/>
      <c r="I14" s="14">
        <v>2.6406936813145876E-3</v>
      </c>
      <c r="J14"/>
      <c r="K14" s="12">
        <v>4.6860659494996071E-3</v>
      </c>
      <c r="L14"/>
      <c r="M14" s="16">
        <v>2.0912071689963341E-2</v>
      </c>
      <c r="N14"/>
      <c r="O14" s="22">
        <v>1.0852955281734467E-2</v>
      </c>
      <c r="P14" s="287">
        <v>4.3959703296422958E-2</v>
      </c>
      <c r="Q14"/>
      <c r="R14"/>
      <c r="S14"/>
      <c r="T14"/>
      <c r="U14" s="25">
        <v>4.0161985903978348E-2</v>
      </c>
      <c r="V14" s="22">
        <v>9.4344979152083397E-3</v>
      </c>
      <c r="W14" s="18">
        <v>1.4166315086185932E-2</v>
      </c>
      <c r="X14" s="25">
        <v>4.1339073330163956E-2</v>
      </c>
      <c r="Y14" s="258">
        <v>0.10277466475963593</v>
      </c>
      <c r="Z14"/>
      <c r="AA14"/>
      <c r="AB14" s="19">
        <v>2.2255901247262955E-2</v>
      </c>
      <c r="AC14"/>
      <c r="AD14" s="293">
        <v>0.11635248363018036</v>
      </c>
      <c r="AE14" s="108">
        <v>0.20263861119747162</v>
      </c>
      <c r="AF14" s="109">
        <v>8.5888847708702087E-2</v>
      </c>
      <c r="AG14" s="23">
        <v>6.8493611179292202E-3</v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204</v>
      </c>
      <c r="B15">
        <v>0.72000002861022949</v>
      </c>
      <c r="C15">
        <v>3.5999968647956848E-2</v>
      </c>
      <c r="D15"/>
      <c r="E15"/>
      <c r="F15"/>
      <c r="G15"/>
      <c r="H15"/>
      <c r="I15" s="22">
        <v>5.549832247197628E-3</v>
      </c>
      <c r="J15" s="274">
        <v>0.2219279557466507</v>
      </c>
      <c r="K15"/>
      <c r="L15"/>
      <c r="M15" s="275">
        <v>0.23568189144134521</v>
      </c>
      <c r="N15" s="29">
        <v>3.3590361475944519E-2</v>
      </c>
      <c r="O15"/>
      <c r="P15"/>
      <c r="Q15"/>
      <c r="R15"/>
      <c r="S15" s="272">
        <v>0.18725001811981201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205</v>
      </c>
      <c r="B16">
        <v>1.8700000047683716</v>
      </c>
      <c r="C16">
        <v>2.2642012685537338E-2</v>
      </c>
      <c r="D16"/>
      <c r="E16" s="240">
        <v>0.26589569449424744</v>
      </c>
      <c r="F16" s="22">
        <v>1.3164369389414787E-2</v>
      </c>
      <c r="G16" s="18">
        <v>2.2879783064126968E-2</v>
      </c>
      <c r="H16"/>
      <c r="I16" s="23">
        <v>9.5178857445716858E-3</v>
      </c>
      <c r="J16" s="15">
        <v>1.7910512164235115E-2</v>
      </c>
      <c r="K16" s="18">
        <v>2.2242132574319839E-2</v>
      </c>
      <c r="L16" s="12">
        <v>6.3138874247670174E-3</v>
      </c>
      <c r="M16" s="76">
        <v>0.12052248418331146</v>
      </c>
      <c r="N16" s="15">
        <v>1.7791919410228729E-2</v>
      </c>
      <c r="O16" s="27">
        <v>0.14405179023742676</v>
      </c>
      <c r="P16" s="19">
        <v>3.1688906252384186E-2</v>
      </c>
      <c r="Q16"/>
      <c r="R16"/>
      <c r="S16" s="77">
        <v>0.26525434851646423</v>
      </c>
      <c r="T16" s="13">
        <v>6.8318158388137817E-2</v>
      </c>
      <c r="U16"/>
      <c r="V16"/>
      <c r="W16"/>
      <c r="X16"/>
      <c r="Y16"/>
      <c r="Z16"/>
      <c r="AA16"/>
      <c r="AB16"/>
      <c r="AC16"/>
      <c r="AD16"/>
      <c r="AE16"/>
      <c r="AF16" s="76">
        <v>0.12073241919279099</v>
      </c>
      <c r="AG16" s="287">
        <v>6.1578154563903809E-2</v>
      </c>
      <c r="AH16"/>
      <c r="AI16" s="16">
        <v>2.8972038999199867E-2</v>
      </c>
      <c r="AJ16"/>
      <c r="AK16" s="281">
        <v>0.13901130855083466</v>
      </c>
      <c r="AL16"/>
      <c r="AM16" s="11">
        <v>3.1658748048357666E-4</v>
      </c>
      <c r="AN16"/>
      <c r="AO16"/>
      <c r="AP16"/>
      <c r="AQ16" s="303">
        <v>0.49119561910629272</v>
      </c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206</v>
      </c>
      <c r="B17">
        <v>0.97000002861022949</v>
      </c>
      <c r="C17">
        <v>6.0039319097995758E-2</v>
      </c>
      <c r="D17" s="230">
        <v>0.27079465985298157</v>
      </c>
      <c r="E17" s="110">
        <v>0.28762999176979065</v>
      </c>
      <c r="F17"/>
      <c r="G17" s="65">
        <v>2.0799802616238594E-2</v>
      </c>
      <c r="H17"/>
      <c r="I17"/>
      <c r="J17" s="22">
        <v>6.681438535451889E-3</v>
      </c>
      <c r="K17" s="281">
        <v>7.1859478950500488E-2</v>
      </c>
      <c r="L17"/>
      <c r="M17" s="148">
        <v>2.9395723715424538E-2</v>
      </c>
      <c r="N17" s="22">
        <v>7.9392772167921066E-3</v>
      </c>
      <c r="O17"/>
      <c r="P17"/>
      <c r="Q17"/>
      <c r="R17"/>
      <c r="S17"/>
      <c r="T17"/>
      <c r="U17" s="282">
        <v>8.3666540682315826E-2</v>
      </c>
      <c r="V17"/>
      <c r="W17" s="288">
        <v>0.13119374215602875</v>
      </c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207</v>
      </c>
      <c r="B18">
        <v>0.98000001907348633</v>
      </c>
      <c r="C18">
        <v>1.0482892394065857E-2</v>
      </c>
      <c r="D18" s="231">
        <v>0.21538451313972473</v>
      </c>
      <c r="E18" s="241">
        <v>0.12944641709327698</v>
      </c>
      <c r="F18"/>
      <c r="G18"/>
      <c r="H18"/>
      <c r="I18"/>
      <c r="J18"/>
      <c r="K18" s="111">
        <v>0.17964868247509003</v>
      </c>
      <c r="L18"/>
      <c r="M18" s="246">
        <v>4.4093593955039978E-2</v>
      </c>
      <c r="N18"/>
      <c r="O18"/>
      <c r="P18"/>
      <c r="Q18"/>
      <c r="R18"/>
      <c r="S18" s="259">
        <v>0.2697502076625824</v>
      </c>
      <c r="T18"/>
      <c r="U18"/>
      <c r="V18"/>
      <c r="W18" s="252">
        <v>0.13119375705718994</v>
      </c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208</v>
      </c>
      <c r="B19">
        <v>0.4699999988079071</v>
      </c>
      <c r="C19">
        <v>6.3629791140556335E-2</v>
      </c>
      <c r="D19" s="20">
        <v>1.9826091825962067E-2</v>
      </c>
      <c r="E19" s="152">
        <v>0.11936711519956589</v>
      </c>
      <c r="F19"/>
      <c r="G19" s="24">
        <v>1.2479882687330246E-2</v>
      </c>
      <c r="H19"/>
      <c r="I19"/>
      <c r="J19"/>
      <c r="K19" s="13">
        <v>1.7964869737625122E-2</v>
      </c>
      <c r="L19"/>
      <c r="M19" s="74">
        <v>4.409359022974968E-2</v>
      </c>
      <c r="N19" s="14">
        <v>5.5574940051883459E-4</v>
      </c>
      <c r="O19"/>
      <c r="P19" s="285">
        <v>0.14260008931159973</v>
      </c>
      <c r="Q19"/>
      <c r="R19"/>
      <c r="S19"/>
      <c r="T19"/>
      <c r="U19" s="270">
        <v>4.9482796341180801E-2</v>
      </c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209</v>
      </c>
      <c r="B20">
        <v>0.67000001668930054</v>
      </c>
      <c r="C20">
        <v>3.3500008285045624E-2</v>
      </c>
      <c r="D20"/>
      <c r="E20"/>
      <c r="F20"/>
      <c r="G20"/>
      <c r="H20"/>
      <c r="I20"/>
      <c r="J20"/>
      <c r="K20" s="21">
        <v>1.2756061740219593E-2</v>
      </c>
      <c r="L20"/>
      <c r="M20" s="254">
        <v>5.8795444667339325E-2</v>
      </c>
      <c r="N20"/>
      <c r="O20"/>
      <c r="P20" s="238">
        <v>0.14384596049785614</v>
      </c>
      <c r="Q20"/>
      <c r="R20"/>
      <c r="S20"/>
      <c r="T20"/>
      <c r="U20" s="257">
        <v>9.6906445920467377E-2</v>
      </c>
      <c r="V20" s="266">
        <v>0.15049992501735687</v>
      </c>
      <c r="W20" s="269">
        <v>0.17369617521762848</v>
      </c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210</v>
      </c>
      <c r="B21">
        <v>0.82999998331069946</v>
      </c>
      <c r="C21">
        <v>3.3950753509998322E-2</v>
      </c>
      <c r="D21" s="232">
        <v>0.15426680445671082</v>
      </c>
      <c r="E21" s="144">
        <v>9.8888710141181946E-2</v>
      </c>
      <c r="F21"/>
      <c r="G21"/>
      <c r="H21"/>
      <c r="I21"/>
      <c r="J21"/>
      <c r="K21" s="26">
        <v>2.1557843312621117E-2</v>
      </c>
      <c r="L21"/>
      <c r="M21" s="65">
        <v>1.7954910174012184E-2</v>
      </c>
      <c r="N21"/>
      <c r="O21"/>
      <c r="P21" s="273">
        <v>6.0842711478471756E-2</v>
      </c>
      <c r="Q21"/>
      <c r="R21"/>
      <c r="S21"/>
      <c r="T21"/>
      <c r="U21" s="292">
        <v>0.20079968869686127</v>
      </c>
      <c r="V21" s="234">
        <v>3.1828571110963821E-2</v>
      </c>
      <c r="W21" s="151">
        <v>0.20990999042987823</v>
      </c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211</v>
      </c>
      <c r="B22">
        <v>0.75999999046325684</v>
      </c>
      <c r="C22">
        <v>9.0349867939949036E-2</v>
      </c>
      <c r="D22" s="233">
        <v>1.7902979627251625E-2</v>
      </c>
      <c r="E22" s="241">
        <v>0.10030952841043472</v>
      </c>
      <c r="F22"/>
      <c r="G22"/>
      <c r="H22"/>
      <c r="I22"/>
      <c r="J22"/>
      <c r="K22" s="22">
        <v>5.5645597167313099E-3</v>
      </c>
      <c r="L22"/>
      <c r="M22" s="109">
        <v>5.0867136567831039E-2</v>
      </c>
      <c r="N22"/>
      <c r="O22"/>
      <c r="P22" s="257">
        <v>0.10988610237836838</v>
      </c>
      <c r="Q22"/>
      <c r="R22"/>
      <c r="S22"/>
      <c r="T22"/>
      <c r="U22" s="252">
        <v>0.10167517513036728</v>
      </c>
      <c r="V22" s="144">
        <v>9.0171903371810913E-2</v>
      </c>
      <c r="W22" s="152">
        <v>0.19327272474765778</v>
      </c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212</v>
      </c>
      <c r="B23">
        <v>1.0900000333786011</v>
      </c>
      <c r="C23">
        <v>5.4499883204698563E-2</v>
      </c>
      <c r="D23" s="234">
        <v>4.2439788579940796E-2</v>
      </c>
      <c r="E23"/>
      <c r="F23"/>
      <c r="G23" s="15">
        <v>1.1596241965889931E-2</v>
      </c>
      <c r="H23"/>
      <c r="I23" s="23">
        <v>7.3228082619607449E-3</v>
      </c>
      <c r="J23"/>
      <c r="K23" s="23">
        <v>6.677145604044199E-3</v>
      </c>
      <c r="L23"/>
      <c r="M23" s="281">
        <v>8.1943079829216003E-2</v>
      </c>
      <c r="N23"/>
      <c r="O23"/>
      <c r="P23" s="143">
        <v>0.14133681356906891</v>
      </c>
      <c r="Q23"/>
      <c r="R23"/>
      <c r="S23"/>
      <c r="T23"/>
      <c r="U23" s="293">
        <v>9.7955577075481415E-2</v>
      </c>
      <c r="V23" s="17">
        <v>1.478747371584177E-2</v>
      </c>
      <c r="W23" s="253">
        <v>6.0952279716730118E-2</v>
      </c>
      <c r="X23" s="281">
        <v>8.1640653312206268E-2</v>
      </c>
      <c r="Y23" s="294">
        <v>0.12371505051851273</v>
      </c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 s="300">
        <v>0.36513316631317139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213</v>
      </c>
      <c r="B24">
        <v>1.1699999570846558</v>
      </c>
      <c r="C24">
        <v>8.6824849247932434E-2</v>
      </c>
      <c r="D24" s="12">
        <v>5.2412883378565311E-3</v>
      </c>
      <c r="E24" s="152">
        <v>0.29861488938331604</v>
      </c>
      <c r="F24"/>
      <c r="G24" s="20">
        <v>4.9919523298740387E-2</v>
      </c>
      <c r="H24"/>
      <c r="I24"/>
      <c r="J24"/>
      <c r="K24" s="23">
        <v>6.5471981652081013E-3</v>
      </c>
      <c r="L24" s="249">
        <v>0.16240724921226501</v>
      </c>
      <c r="M24" s="145">
        <v>0.11758289486169815</v>
      </c>
      <c r="N24"/>
      <c r="O24"/>
      <c r="P24" s="233">
        <v>2.8520015999674797E-2</v>
      </c>
      <c r="Q24"/>
      <c r="R24"/>
      <c r="S24"/>
      <c r="T24"/>
      <c r="U24" s="240">
        <v>0.16733308136463165</v>
      </c>
      <c r="V24"/>
      <c r="W24" s="261">
        <v>7.9653330147266388E-2</v>
      </c>
      <c r="X24" s="240">
        <v>0.16735562682151794</v>
      </c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214</v>
      </c>
      <c r="B25">
        <v>1.3999999761581421</v>
      </c>
      <c r="C25">
        <v>6.8231699988245964E-3</v>
      </c>
      <c r="D25" s="24">
        <v>3.966149315237999E-2</v>
      </c>
      <c r="E25" s="242">
        <v>0.37295782566070557</v>
      </c>
      <c r="F25"/>
      <c r="G25" s="17">
        <v>1.8719824030995369E-2</v>
      </c>
      <c r="H25"/>
      <c r="I25" s="23">
        <v>8.5660982877016068E-3</v>
      </c>
      <c r="J25" s="233">
        <v>3.1744297593832016E-2</v>
      </c>
      <c r="K25" s="148">
        <v>4.1484784334897995E-2</v>
      </c>
      <c r="L25"/>
      <c r="M25" s="296">
        <v>0.26456156373023987</v>
      </c>
      <c r="N25" s="12">
        <v>5.1803784444928169E-3</v>
      </c>
      <c r="O25" s="24">
        <v>3.9318375289440155E-2</v>
      </c>
      <c r="P25" s="68">
        <v>8.9125059545040131E-2</v>
      </c>
      <c r="Q25"/>
      <c r="R25"/>
      <c r="S25"/>
      <c r="T25"/>
      <c r="U25" s="64">
        <v>7.7974230051040649E-2</v>
      </c>
      <c r="V25"/>
      <c r="W25" s="270">
        <v>0.14759296178817749</v>
      </c>
      <c r="X25"/>
      <c r="Y25" s="236">
        <v>0.11701951175928116</v>
      </c>
      <c r="Z25"/>
      <c r="AA25"/>
      <c r="AB25"/>
      <c r="AC25"/>
      <c r="AD25"/>
      <c r="AE25"/>
      <c r="AF25"/>
      <c r="AG25"/>
      <c r="AH25"/>
      <c r="AI25" s="145">
        <v>0.13927043974399567</v>
      </c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215</v>
      </c>
      <c r="B26">
        <v>1.7799999713897705</v>
      </c>
      <c r="C26">
        <v>0.17619121074676514</v>
      </c>
      <c r="D26"/>
      <c r="E26"/>
      <c r="F26"/>
      <c r="G26" s="271">
        <v>0.1462671160697937</v>
      </c>
      <c r="H26"/>
      <c r="I26" s="18">
        <v>2.1417956799268723E-2</v>
      </c>
      <c r="J26"/>
      <c r="K26" s="234">
        <v>6.8998336791992188E-2</v>
      </c>
      <c r="L26"/>
      <c r="M26" s="263">
        <v>0.41342976689338684</v>
      </c>
      <c r="N26"/>
      <c r="O26"/>
      <c r="P26" s="68">
        <v>0.1114204153418541</v>
      </c>
      <c r="Q26"/>
      <c r="R26"/>
      <c r="S26"/>
      <c r="T26"/>
      <c r="U26" s="254">
        <v>0.15712811052799225</v>
      </c>
      <c r="V26"/>
      <c r="W26"/>
      <c r="X26" s="264">
        <v>0.4413256049156189</v>
      </c>
      <c r="Y26" s="245">
        <v>0.24382148683071136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216</v>
      </c>
      <c r="B27">
        <v>1.3700000047683716</v>
      </c>
      <c r="C27">
        <v>6.8499855697154999E-2</v>
      </c>
      <c r="D27" s="20">
        <v>6.0223225504159927E-2</v>
      </c>
      <c r="E27" s="11">
        <v>1.0528912534937263E-3</v>
      </c>
      <c r="F27"/>
      <c r="G27" s="66">
        <v>5.6937679648399353E-2</v>
      </c>
      <c r="H27"/>
      <c r="I27"/>
      <c r="J27"/>
      <c r="K27" s="22">
        <v>9.5281004905700684E-3</v>
      </c>
      <c r="L27"/>
      <c r="M27" s="13">
        <v>5.1197946071624756E-2</v>
      </c>
      <c r="N27"/>
      <c r="O27"/>
      <c r="P27" s="233">
        <v>3.2529626041650772E-2</v>
      </c>
      <c r="Q27"/>
      <c r="R27"/>
      <c r="S27"/>
      <c r="T27"/>
      <c r="U27" s="253">
        <v>7.8888118267059326E-2</v>
      </c>
      <c r="V27" s="109">
        <v>9.0758323669433594E-2</v>
      </c>
      <c r="W27" s="262">
        <v>6.813880056142807E-2</v>
      </c>
      <c r="X27" s="272">
        <v>0.35790756344795227</v>
      </c>
      <c r="Y27" s="289">
        <v>0.49433770775794983</v>
      </c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217</v>
      </c>
      <c r="B28">
        <v>1.6000000238418579</v>
      </c>
      <c r="C28">
        <v>4.0630914270877838E-2</v>
      </c>
      <c r="D28" s="11">
        <v>2.5730000925250351E-4</v>
      </c>
      <c r="E28" s="14">
        <v>4.5702699571847916E-3</v>
      </c>
      <c r="F28"/>
      <c r="G28" s="16">
        <v>2.3961374536156654E-2</v>
      </c>
      <c r="H28"/>
      <c r="I28" s="14">
        <v>4.1117267683148384E-3</v>
      </c>
      <c r="J28"/>
      <c r="K28" s="23">
        <v>8.8231135159730911E-3</v>
      </c>
      <c r="L28" s="15">
        <v>1.4616652391850948E-2</v>
      </c>
      <c r="M28" s="24">
        <v>4.4933129101991653E-2</v>
      </c>
      <c r="N28"/>
      <c r="O28" s="233">
        <v>3.6520734429359436E-2</v>
      </c>
      <c r="P28" s="76">
        <v>0.10267207026481628</v>
      </c>
      <c r="Q28"/>
      <c r="R28"/>
      <c r="S28"/>
      <c r="T28"/>
      <c r="U28" s="16">
        <v>2.495175413787365E-2</v>
      </c>
      <c r="V28" s="23">
        <v>9.5485718920826912E-3</v>
      </c>
      <c r="W28" s="283">
        <v>0.15743249654769897</v>
      </c>
      <c r="X28" s="262">
        <v>7.94939324259758E-2</v>
      </c>
      <c r="Y28" s="273">
        <v>0.11733155697584152</v>
      </c>
      <c r="Z28"/>
      <c r="AA28"/>
      <c r="AB28" s="17">
        <v>2.252500131726265E-2</v>
      </c>
      <c r="AC28"/>
      <c r="AD28" s="281">
        <v>0.11775931715965271</v>
      </c>
      <c r="AE28" s="27">
        <v>0.12305324524641037</v>
      </c>
      <c r="AF28" s="64">
        <v>8.6927346885204315E-2</v>
      </c>
      <c r="AG28" s="22">
        <v>1.3131174258887768E-2</v>
      </c>
      <c r="AH28"/>
      <c r="AI28" s="290">
        <v>0.308738112449646</v>
      </c>
      <c r="AJ28"/>
      <c r="AK28" s="254">
        <v>0.1401233971118927</v>
      </c>
      <c r="AL28"/>
      <c r="AM28"/>
      <c r="AN28"/>
      <c r="AO28"/>
      <c r="AP28"/>
      <c r="AQ28" s="281">
        <v>0.11788694560527802</v>
      </c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218</v>
      </c>
      <c r="B29">
        <v>0.5899999737739563</v>
      </c>
      <c r="C29">
        <v>9.2884674668312073E-2</v>
      </c>
      <c r="D29" s="26">
        <v>1.4666018076241016E-2</v>
      </c>
      <c r="E29" s="243">
        <v>5.6283582001924515E-2</v>
      </c>
      <c r="F29"/>
      <c r="G29"/>
      <c r="H29"/>
      <c r="I29"/>
      <c r="J29" s="71">
        <v>4.1116878390312195E-2</v>
      </c>
      <c r="K29" s="109">
        <v>3.9196077734231949E-2</v>
      </c>
      <c r="L29" s="108">
        <v>9.2986360192298889E-2</v>
      </c>
      <c r="M29" s="268">
        <v>9.6204191446304321E-2</v>
      </c>
      <c r="N29" s="11">
        <v>3.2478863431606442E-5</v>
      </c>
      <c r="O29"/>
      <c r="P29" s="253">
        <v>3.3186927437782288E-2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 s="107">
        <v>7.3283098638057709E-2</v>
      </c>
      <c r="AH29"/>
      <c r="AI29"/>
      <c r="AJ29"/>
      <c r="AK29"/>
      <c r="AL29"/>
      <c r="AM29" s="236">
        <v>5.0159677863121033E-2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219</v>
      </c>
      <c r="B30">
        <v>0.70999997854232788</v>
      </c>
      <c r="C30">
        <v>3.5499963909387589E-2</v>
      </c>
      <c r="D30"/>
      <c r="E30" s="244">
        <v>0.24514438211917877</v>
      </c>
      <c r="F30"/>
      <c r="G30"/>
      <c r="H30"/>
      <c r="I30"/>
      <c r="J30" s="11">
        <v>6.393356597982347E-4</v>
      </c>
      <c r="K30" s="234">
        <v>2.7619048953056335E-2</v>
      </c>
      <c r="L30" s="264">
        <v>0.17607106268405914</v>
      </c>
      <c r="M30" s="267">
        <v>0.22502617537975311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220</v>
      </c>
      <c r="B31">
        <v>1.0099999904632568</v>
      </c>
      <c r="C31">
        <v>5.0500012934207916E-2</v>
      </c>
      <c r="D31" s="235">
        <v>0.12741145491600037</v>
      </c>
      <c r="E31" s="240">
        <v>0.1444077342748642</v>
      </c>
      <c r="F31"/>
      <c r="G31"/>
      <c r="H31"/>
      <c r="I31"/>
      <c r="J31" s="16">
        <v>1.5192064456641674E-2</v>
      </c>
      <c r="K31" s="233">
        <v>2.3395974189043045E-2</v>
      </c>
      <c r="L31" s="265">
        <v>0.11295074969530106</v>
      </c>
      <c r="M31" s="20">
        <v>4.2598079890012741E-2</v>
      </c>
      <c r="N31" s="21">
        <v>1.8893022090196609E-2</v>
      </c>
      <c r="O31"/>
      <c r="P31" s="76">
        <v>6.4435981214046478E-2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 s="295">
        <v>0.41021490097045898</v>
      </c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221</v>
      </c>
      <c r="B32">
        <v>0.75</v>
      </c>
      <c r="C32">
        <v>3.7500008940696716E-2</v>
      </c>
      <c r="D32" s="236">
        <v>6.3315004110336304E-2</v>
      </c>
      <c r="E32" s="245">
        <v>0.10281267017126083</v>
      </c>
      <c r="F32"/>
      <c r="G32"/>
      <c r="H32"/>
      <c r="I32"/>
      <c r="J32" s="15">
        <v>7.1856961585581303E-3</v>
      </c>
      <c r="K32" s="17">
        <v>9.9030230194330215E-3</v>
      </c>
      <c r="L32" s="257">
        <v>0.10950155556201935</v>
      </c>
      <c r="M32" s="13">
        <v>2.7936952188611031E-2</v>
      </c>
      <c r="N32" s="22">
        <v>5.6246686726808548E-3</v>
      </c>
      <c r="O32" s="15">
        <v>7.0296875201165676E-3</v>
      </c>
      <c r="P32" s="290">
        <v>0.14346326887607574</v>
      </c>
      <c r="Q32"/>
      <c r="R32"/>
      <c r="S32" s="271">
        <v>6.2148787081241608E-2</v>
      </c>
      <c r="T32"/>
      <c r="U32"/>
      <c r="V32"/>
      <c r="W32"/>
      <c r="X32"/>
      <c r="Y32"/>
      <c r="Z32"/>
      <c r="AA32"/>
      <c r="AB32"/>
      <c r="AC32"/>
      <c r="AD32"/>
      <c r="AE32"/>
      <c r="AF32"/>
      <c r="AG32" s="284">
        <v>7.7384881675243378E-2</v>
      </c>
      <c r="AH32"/>
      <c r="AI32" s="286">
        <v>9.6193797886371613E-2</v>
      </c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222</v>
      </c>
      <c r="B33">
        <v>1.9600000381469727</v>
      </c>
      <c r="C33">
        <v>9.8000027239322662E-2</v>
      </c>
      <c r="D33"/>
      <c r="E33" s="246">
        <v>8.8358156383037567E-2</v>
      </c>
      <c r="F33"/>
      <c r="G33" s="64">
        <v>0.10849282890558243</v>
      </c>
      <c r="H33"/>
      <c r="I33"/>
      <c r="J33" s="14">
        <v>4.9916408024728298E-3</v>
      </c>
      <c r="K33" s="233">
        <v>4.7152899205684662E-2</v>
      </c>
      <c r="L33" s="77">
        <v>0.27545377612113953</v>
      </c>
      <c r="M33" s="283">
        <v>0.19166198372840881</v>
      </c>
      <c r="N33"/>
      <c r="O33" s="234">
        <v>7.8208625316619873E-2</v>
      </c>
      <c r="P33" s="25">
        <v>6.095103919506073E-2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 s="281">
        <v>0.14599764347076416</v>
      </c>
      <c r="AH33"/>
      <c r="AI33"/>
      <c r="AJ33"/>
      <c r="AK33" s="291">
        <v>0.36254501342773438</v>
      </c>
      <c r="AL33"/>
      <c r="AM33"/>
      <c r="AN33"/>
      <c r="AO33"/>
      <c r="AP33"/>
      <c r="AQ33" s="152">
        <v>0.4981863796710968</v>
      </c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223</v>
      </c>
      <c r="B34">
        <v>1.059999942779541</v>
      </c>
      <c r="C34">
        <v>5.2999947220087051E-2</v>
      </c>
      <c r="D34"/>
      <c r="E34" s="15">
        <v>9.7042266279459E-3</v>
      </c>
      <c r="F34" s="23">
        <v>5.4540424607694149E-3</v>
      </c>
      <c r="G34" s="21">
        <v>2.0681824535131454E-2</v>
      </c>
      <c r="H34"/>
      <c r="I34"/>
      <c r="J34" s="23">
        <v>5.6845527142286301E-3</v>
      </c>
      <c r="K34" s="16">
        <v>1.7118679359555244E-2</v>
      </c>
      <c r="L34" s="13">
        <v>3.9381999522447586E-2</v>
      </c>
      <c r="M34" s="246">
        <v>4.8410512506961823E-2</v>
      </c>
      <c r="N34" s="14">
        <v>2.870914526283741E-3</v>
      </c>
      <c r="O34" s="21">
        <v>2.0662389695644379E-2</v>
      </c>
      <c r="P34" s="12">
        <v>4.9233068712055683E-3</v>
      </c>
      <c r="Q34"/>
      <c r="R34"/>
      <c r="S34"/>
      <c r="T34"/>
      <c r="U34"/>
      <c r="V34"/>
      <c r="W34" s="24">
        <v>2.9894698411226273E-2</v>
      </c>
      <c r="X34"/>
      <c r="Y34"/>
      <c r="Z34"/>
      <c r="AA34"/>
      <c r="AB34"/>
      <c r="AC34"/>
      <c r="AD34"/>
      <c r="AE34" s="148">
        <v>3.1863350421190262E-2</v>
      </c>
      <c r="AF34" s="71">
        <v>7.5029760599136353E-2</v>
      </c>
      <c r="AG34" s="65">
        <v>2.2802233695983887E-2</v>
      </c>
      <c r="AH34"/>
      <c r="AI34" s="301">
        <v>0.20937846601009369</v>
      </c>
      <c r="AJ34"/>
      <c r="AK34" s="302">
        <v>0.293723464012146</v>
      </c>
      <c r="AL34"/>
      <c r="AM34" s="12">
        <v>4.762385506182909E-3</v>
      </c>
      <c r="AN34"/>
      <c r="AO34"/>
      <c r="AP34"/>
      <c r="AQ34" s="299">
        <v>0.16465318202972412</v>
      </c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224</v>
      </c>
      <c r="B35">
        <v>0.70999997854232788</v>
      </c>
      <c r="C35">
        <v>3.5499963909387589E-2</v>
      </c>
      <c r="D35"/>
      <c r="E35"/>
      <c r="F35"/>
      <c r="G35"/>
      <c r="H35"/>
      <c r="I35"/>
      <c r="J35" s="149">
        <v>4.3400436639785767E-2</v>
      </c>
      <c r="K35" s="22">
        <v>5.3584915585815907E-3</v>
      </c>
      <c r="L35" s="279">
        <v>0.28338527679443359</v>
      </c>
      <c r="M35" s="276">
        <v>0.25212660431861877</v>
      </c>
      <c r="N35" s="18">
        <v>7.9591609537601471E-3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 s="260">
        <v>8.2270011305809021E-2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225</v>
      </c>
      <c r="B36">
        <v>0.80000001192092896</v>
      </c>
      <c r="C36">
        <v>3.9999961853027344E-2</v>
      </c>
      <c r="D36"/>
      <c r="E36"/>
      <c r="F36" s="15">
        <v>7.681060116738081E-3</v>
      </c>
      <c r="G36"/>
      <c r="H36"/>
      <c r="I36"/>
      <c r="J36" s="23">
        <v>4.0842266753315926E-3</v>
      </c>
      <c r="K36"/>
      <c r="L36" s="145">
        <v>7.9781308770179749E-2</v>
      </c>
      <c r="M36"/>
      <c r="N36" s="12">
        <v>3.7192031741142273E-3</v>
      </c>
      <c r="O36"/>
      <c r="P36"/>
      <c r="Q36"/>
      <c r="R36"/>
      <c r="S36" s="262">
        <v>3.9348013699054718E-2</v>
      </c>
      <c r="T36"/>
      <c r="U36"/>
      <c r="V36"/>
      <c r="W36"/>
      <c r="X36"/>
      <c r="Y36"/>
      <c r="Z36"/>
      <c r="AA36"/>
      <c r="AB36"/>
      <c r="AC36"/>
      <c r="AD36"/>
      <c r="AE36"/>
      <c r="AF36"/>
      <c r="AG36" s="15">
        <v>8.4265433251857758E-3</v>
      </c>
      <c r="AH36"/>
      <c r="AI36"/>
      <c r="AJ36"/>
      <c r="AK36" s="298">
        <v>0.12166408449411392</v>
      </c>
      <c r="AL36"/>
      <c r="AM36" s="246">
        <v>3.6736279726028442E-2</v>
      </c>
      <c r="AN36"/>
      <c r="AO36"/>
      <c r="AP36"/>
      <c r="AQ36" s="304">
        <v>0.4585593044757843</v>
      </c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226</v>
      </c>
      <c r="B37">
        <v>0.37000000476837158</v>
      </c>
      <c r="C37">
        <v>1.8499983474612236E-2</v>
      </c>
      <c r="D37"/>
      <c r="E37"/>
      <c r="F37" s="22">
        <v>2.7659493498504162E-3</v>
      </c>
      <c r="G37" s="246">
        <v>1.7043856903910637E-2</v>
      </c>
      <c r="H37"/>
      <c r="I37"/>
      <c r="J37" s="16">
        <v>5.8833393268287182E-3</v>
      </c>
      <c r="K37" s="14">
        <v>6.3845765544101596E-4</v>
      </c>
      <c r="L37" s="297">
        <v>3.7490352988243103E-2</v>
      </c>
      <c r="M37"/>
      <c r="N37" s="11">
        <v>1.3553406461142004E-4</v>
      </c>
      <c r="O37"/>
      <c r="P37"/>
      <c r="Q37"/>
      <c r="R37"/>
      <c r="S37" s="234">
        <v>1.4169218018651009E-2</v>
      </c>
      <c r="T37"/>
      <c r="U37"/>
      <c r="V37"/>
      <c r="W37"/>
      <c r="X37"/>
      <c r="Y37"/>
      <c r="Z37"/>
      <c r="AA37"/>
      <c r="AB37"/>
      <c r="AC37"/>
      <c r="AD37"/>
      <c r="AE37"/>
      <c r="AF37"/>
      <c r="AG37" s="18">
        <v>4.5818551443517208E-3</v>
      </c>
      <c r="AH37"/>
      <c r="AI37" s="23">
        <v>2.363669453188777E-3</v>
      </c>
      <c r="AJ37"/>
      <c r="AK37" s="288">
        <v>4.994480311870575E-2</v>
      </c>
      <c r="AL37"/>
      <c r="AM37" s="24">
        <v>1.0074026882648468E-2</v>
      </c>
      <c r="AN37"/>
      <c r="AO37"/>
      <c r="AP37"/>
      <c r="AQ37" s="305">
        <v>0.20640896260738373</v>
      </c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227</v>
      </c>
      <c r="B38">
        <v>2.7200000286102295</v>
      </c>
      <c r="C38">
        <v>1.9056906700134277</v>
      </c>
      <c r="D38"/>
      <c r="E38"/>
      <c r="F38" s="11">
        <v>1.8806246807798743E-3</v>
      </c>
      <c r="G38" s="15">
        <v>2.8971154242753983E-2</v>
      </c>
      <c r="H38"/>
      <c r="I38"/>
      <c r="J38" s="11">
        <v>5.4137560073286295E-4</v>
      </c>
      <c r="K38" s="11">
        <v>9.6240377752110362E-4</v>
      </c>
      <c r="L38" s="23">
        <v>1.6785360872745514E-2</v>
      </c>
      <c r="M38" s="12">
        <v>1.2113624252378941E-2</v>
      </c>
      <c r="N38" s="11">
        <v>4.5934389345347881E-4</v>
      </c>
      <c r="O38"/>
      <c r="P38"/>
      <c r="Q38" s="12">
        <v>1.0248334147036076E-2</v>
      </c>
      <c r="R38"/>
      <c r="S38" s="11">
        <v>2.4084842298179865E-3</v>
      </c>
      <c r="T38" s="66">
        <v>0.10979703813791275</v>
      </c>
      <c r="U38"/>
      <c r="V38"/>
      <c r="W38"/>
      <c r="X38"/>
      <c r="Y38"/>
      <c r="Z38"/>
      <c r="AA38"/>
      <c r="AB38"/>
      <c r="AC38"/>
      <c r="AD38"/>
      <c r="AE38"/>
      <c r="AF38"/>
      <c r="AG38" s="12">
        <v>9.5060626044869423E-3</v>
      </c>
      <c r="AH38"/>
      <c r="AI38"/>
      <c r="AJ38"/>
      <c r="AK38"/>
      <c r="AL38"/>
      <c r="AM38" s="14">
        <v>7.8215785324573517E-3</v>
      </c>
      <c r="AN38" s="74">
        <v>0.25761392712593079</v>
      </c>
      <c r="AO38" s="67">
        <v>0.15735958516597748</v>
      </c>
      <c r="AP38" s="21">
        <v>5.2235972136259079E-2</v>
      </c>
      <c r="AQ38" s="251">
        <v>0.14560441672801971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228</v>
      </c>
      <c r="B39">
        <v>2.5</v>
      </c>
      <c r="C39">
        <v>0.12500002980232239</v>
      </c>
      <c r="D39"/>
      <c r="E39" s="13">
        <v>9.1512680053710938E-2</v>
      </c>
      <c r="F39" s="12">
        <v>9.26178228110075E-3</v>
      </c>
      <c r="G39" s="306">
        <v>0.85526162385940552</v>
      </c>
      <c r="H39"/>
      <c r="I39" s="14">
        <v>2.5586914271116257E-3</v>
      </c>
      <c r="J39" s="17">
        <v>3.3269967883825302E-2</v>
      </c>
      <c r="K39" s="26">
        <v>6.1557728797197342E-2</v>
      </c>
      <c r="L39" s="68">
        <v>0.15840432047843933</v>
      </c>
      <c r="M39" s="17">
        <v>3.4538663923740387E-2</v>
      </c>
      <c r="N39" s="12">
        <v>9.943963959813118E-3</v>
      </c>
      <c r="O39" s="26">
        <v>6.5642036497592926E-2</v>
      </c>
      <c r="P39" s="287">
        <v>8.4221169352531433E-2</v>
      </c>
      <c r="Q39"/>
      <c r="R39"/>
      <c r="S39"/>
      <c r="T39"/>
      <c r="U39" s="16">
        <v>3.8338735699653625E-2</v>
      </c>
      <c r="V39"/>
      <c r="W39" s="69">
        <v>0.12557825446128845</v>
      </c>
      <c r="X39"/>
      <c r="Y39"/>
      <c r="Z39"/>
      <c r="AA39"/>
      <c r="AB39"/>
      <c r="AC39"/>
      <c r="AD39" s="69">
        <v>0.12847895920276642</v>
      </c>
      <c r="AE39"/>
      <c r="AF39"/>
      <c r="AG39" s="22">
        <v>1.839933730661869E-2</v>
      </c>
      <c r="AH39"/>
      <c r="AI39" s="282">
        <v>0.21666178107261658</v>
      </c>
      <c r="AJ39"/>
      <c r="AK39"/>
      <c r="AL39"/>
      <c r="AM39" s="21">
        <v>4.895048588514328E-2</v>
      </c>
      <c r="AN39"/>
      <c r="AO39" s="14">
        <v>5.5910847149789333E-3</v>
      </c>
      <c r="AP39" s="281">
        <v>0.18675610423088074</v>
      </c>
      <c r="AQ39" s="258">
        <v>0.2000727504491806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229</v>
      </c>
      <c r="B40">
        <v>5.5</v>
      </c>
      <c r="C40">
        <v>0.27499973773956299</v>
      </c>
      <c r="D40"/>
      <c r="E40" s="14">
        <v>6.4947414211928844E-3</v>
      </c>
      <c r="F40"/>
      <c r="G40"/>
      <c r="H40"/>
      <c r="I40" s="11">
        <v>1.0062082437798381E-3</v>
      </c>
      <c r="J40" s="14">
        <v>9.3043176457285881E-3</v>
      </c>
      <c r="K40" s="11">
        <v>4.0067581721814349E-5</v>
      </c>
      <c r="L40" s="14">
        <v>9.7694238647818565E-3</v>
      </c>
      <c r="M40" s="14">
        <v>1.5129728242754936E-2</v>
      </c>
      <c r="N40" s="11">
        <v>1.9123779566143639E-5</v>
      </c>
      <c r="O40" s="11">
        <v>1.3362730387598276E-3</v>
      </c>
      <c r="P40" s="11">
        <v>4.4483919627964497E-3</v>
      </c>
      <c r="Q40" s="68">
        <v>0.35034048557281494</v>
      </c>
      <c r="R40"/>
      <c r="S40" s="22">
        <v>4.5122388750314713E-2</v>
      </c>
      <c r="T40"/>
      <c r="U40" s="273">
        <v>0.39719980955123901</v>
      </c>
      <c r="V40" s="14">
        <v>1.2422935105860233E-2</v>
      </c>
      <c r="W40" s="16">
        <v>8.8098570704460144E-2</v>
      </c>
      <c r="X40" s="22">
        <v>4.6657279133796692E-2</v>
      </c>
      <c r="Y40" s="20">
        <v>0.2319929301738739</v>
      </c>
      <c r="Z40" s="18">
        <v>6.3172459602355957E-2</v>
      </c>
      <c r="AA40" s="11">
        <v>1.3360976008698344E-3</v>
      </c>
      <c r="AB40" s="21">
        <v>0.1130358874797821</v>
      </c>
      <c r="AC40" s="65">
        <v>0.11495282500982285</v>
      </c>
      <c r="AD40" s="18">
        <v>6.5660521388053894E-2</v>
      </c>
      <c r="AE40" s="65">
        <v>0.1228160634636879</v>
      </c>
      <c r="AF40" s="28">
        <v>0.18974776566028595</v>
      </c>
      <c r="AG40" s="12">
        <v>2.0798334851861E-2</v>
      </c>
      <c r="AH40" s="14">
        <v>1.3373123481869698E-2</v>
      </c>
      <c r="AI40" s="65">
        <v>0.11584561318159103</v>
      </c>
      <c r="AJ40" s="26">
        <v>0.13855017721652985</v>
      </c>
      <c r="AK40" s="16">
        <v>8.8919758796691895E-2</v>
      </c>
      <c r="AL40"/>
      <c r="AM40" s="12">
        <v>2.1395087242126465E-2</v>
      </c>
      <c r="AN40" s="21">
        <v>0.10793093591928482</v>
      </c>
      <c r="AO40" s="234">
        <v>0.21681231260299683</v>
      </c>
      <c r="AP40" s="262">
        <v>0.27273449301719666</v>
      </c>
      <c r="AQ40" s="308">
        <v>1.3385360240936279</v>
      </c>
      <c r="AR40" s="111">
        <v>1</v>
      </c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230</v>
      </c>
      <c r="B41">
        <v>1.7999999523162842</v>
      </c>
      <c r="C41">
        <v>0.46849596500396729</v>
      </c>
      <c r="D41"/>
      <c r="E41" s="11">
        <v>9.4724382506683469E-5</v>
      </c>
      <c r="F41"/>
      <c r="G41" s="11">
        <v>6.0563493752852082E-4</v>
      </c>
      <c r="H41"/>
      <c r="I41" s="11">
        <v>1.5935293049551547E-4</v>
      </c>
      <c r="J41" s="11">
        <v>2.786462391668465E-5</v>
      </c>
      <c r="K41" s="11">
        <v>6.3781766220927238E-4</v>
      </c>
      <c r="L41" s="11">
        <v>9.5751865956117399E-6</v>
      </c>
      <c r="M41" s="11">
        <v>6.8583764368668199E-4</v>
      </c>
      <c r="N41" s="11">
        <v>8.3478280430426821E-6</v>
      </c>
      <c r="O41" s="11">
        <v>9.19825688470155E-5</v>
      </c>
      <c r="P41" s="11">
        <v>4.6134839067235589E-5</v>
      </c>
      <c r="Q41" s="15">
        <v>1.9269077107310295E-2</v>
      </c>
      <c r="R41" s="23">
        <v>1.1520012281835079E-2</v>
      </c>
      <c r="S41"/>
      <c r="T41" s="11">
        <v>1.7613087547942996E-3</v>
      </c>
      <c r="U41" s="11">
        <v>9.0630486374720931E-4</v>
      </c>
      <c r="V41"/>
      <c r="W41" s="14">
        <v>2.1089653018862009E-3</v>
      </c>
      <c r="X41" s="11">
        <v>5.2874907851219177E-4</v>
      </c>
      <c r="Y41" s="12">
        <v>7.0108990184962749E-3</v>
      </c>
      <c r="Z41" s="14">
        <v>2.8636371716856956E-3</v>
      </c>
      <c r="AA41" s="11">
        <v>9.7295583691447973E-4</v>
      </c>
      <c r="AB41" s="11">
        <v>1.1386600090190768E-3</v>
      </c>
      <c r="AC41" s="15">
        <v>1.7574014142155647E-2</v>
      </c>
      <c r="AD41" s="11">
        <v>1.2756094802170992E-3</v>
      </c>
      <c r="AE41"/>
      <c r="AF41" s="19">
        <v>3.3494018018245697E-2</v>
      </c>
      <c r="AG41" s="14">
        <v>2.4574138224124908E-3</v>
      </c>
      <c r="AH41" s="11">
        <v>9.0931484010070562E-4</v>
      </c>
      <c r="AI41" s="14">
        <v>2.7737477794289589E-3</v>
      </c>
      <c r="AJ41" s="17">
        <v>2.6328008621931076E-2</v>
      </c>
      <c r="AK41" s="14">
        <v>4.5367293059825897E-3</v>
      </c>
      <c r="AL41" s="69">
        <v>9.0778671205043793E-2</v>
      </c>
      <c r="AM41" s="11">
        <v>9.596633753972128E-5</v>
      </c>
      <c r="AN41" s="23">
        <v>9.4134416431188583E-3</v>
      </c>
      <c r="AO41" s="21">
        <v>3.5930104553699493E-2</v>
      </c>
      <c r="AP41" s="251">
        <v>9.4238683581352234E-2</v>
      </c>
      <c r="AQ41" s="12">
        <v>7.9457275569438934E-3</v>
      </c>
      <c r="AR41" s="150">
        <v>0.45330467820167542</v>
      </c>
      <c r="AS41" s="230">
        <v>0.5</v>
      </c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231</v>
      </c>
      <c r="B42">
        <v>10</v>
      </c>
      <c r="C42">
        <v>1.9999998807907104</v>
      </c>
      <c r="D42"/>
      <c r="E42"/>
      <c r="F42" s="12">
        <v>4.1680123656988144E-2</v>
      </c>
      <c r="G42"/>
      <c r="H42" s="14">
        <v>2.0182814449071884E-2</v>
      </c>
      <c r="I42" s="11">
        <v>4.4842608622275293E-4</v>
      </c>
      <c r="J42" s="11">
        <v>1.0531562147662044E-3</v>
      </c>
      <c r="K42" s="11">
        <v>5.9469108236953616E-4</v>
      </c>
      <c r="L42" s="11">
        <v>8.8038817048072815E-3</v>
      </c>
      <c r="M42" s="11">
        <v>7.8334342688322067E-3</v>
      </c>
      <c r="N42" s="11">
        <v>4.1805746150203049E-4</v>
      </c>
      <c r="O42" s="11">
        <v>2.075571333989501E-3</v>
      </c>
      <c r="P42" s="11">
        <v>3.0738077475689352E-4</v>
      </c>
      <c r="Q42" s="236">
        <v>0.84526568651199341</v>
      </c>
      <c r="R42"/>
      <c r="S42"/>
      <c r="T42" s="25">
        <v>0.31556317210197449</v>
      </c>
      <c r="U42" s="14">
        <v>1.0351547040045261E-2</v>
      </c>
      <c r="V42"/>
      <c r="W42" s="11">
        <v>6.8173534236848354E-4</v>
      </c>
      <c r="X42"/>
      <c r="Y42"/>
      <c r="Z42" s="12">
        <v>3.5223592072725296E-2</v>
      </c>
      <c r="AA42" s="19">
        <v>0.17294150590896606</v>
      </c>
      <c r="AB42"/>
      <c r="AC42" s="12">
        <v>3.639037162065506E-2</v>
      </c>
      <c r="AD42"/>
      <c r="AE42"/>
      <c r="AF42" s="12">
        <v>3.0671622604131699E-2</v>
      </c>
      <c r="AG42" s="11">
        <v>4.0981476195156574E-3</v>
      </c>
      <c r="AH42"/>
      <c r="AI42"/>
      <c r="AJ42" s="23">
        <v>6.5059870481491089E-2</v>
      </c>
      <c r="AK42" s="11">
        <v>9.0920859947800636E-3</v>
      </c>
      <c r="AL42"/>
      <c r="AM42" s="14">
        <v>2.216842956840992E-2</v>
      </c>
      <c r="AN42" s="16">
        <v>0.15209405124187469</v>
      </c>
      <c r="AO42" s="109">
        <v>0.65904200077056885</v>
      </c>
      <c r="AP42" s="250">
        <v>2.4869537353515625</v>
      </c>
      <c r="AQ42"/>
      <c r="AR42" s="309">
        <v>2.0710048675537109</v>
      </c>
      <c r="AS42"/>
      <c r="AT42" s="145">
        <v>1</v>
      </c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232</v>
      </c>
      <c r="B43">
        <v>40</v>
      </c>
      <c r="C43">
        <v>15.999996185302734</v>
      </c>
      <c r="D43"/>
      <c r="E43"/>
      <c r="F43"/>
      <c r="G43"/>
      <c r="H43"/>
      <c r="I43"/>
      <c r="J43"/>
      <c r="K43"/>
      <c r="L43"/>
      <c r="M43"/>
      <c r="N43" s="11">
        <v>1.9123635865980759E-5</v>
      </c>
      <c r="O43" s="11">
        <v>4.7882759827189147E-4</v>
      </c>
      <c r="P43" s="11">
        <v>4.5798162318533286E-5</v>
      </c>
      <c r="Q43" s="23">
        <v>0.20637048780918121</v>
      </c>
      <c r="R43" s="12">
        <v>0.18297509849071503</v>
      </c>
      <c r="S43" s="11">
        <v>1.2995149008929729E-3</v>
      </c>
      <c r="T43" s="12">
        <v>0.12391406297683716</v>
      </c>
      <c r="U43"/>
      <c r="V43"/>
      <c r="W43" s="11">
        <v>1.3167138968128711E-4</v>
      </c>
      <c r="X43"/>
      <c r="Y43"/>
      <c r="Z43" s="11">
        <v>2.6240670122206211E-3</v>
      </c>
      <c r="AA43" s="11">
        <v>3.0195275321602821E-2</v>
      </c>
      <c r="AB43"/>
      <c r="AC43"/>
      <c r="AD43" s="11">
        <v>6.7536025308072567E-3</v>
      </c>
      <c r="AE43"/>
      <c r="AF43" s="14">
        <v>9.6646763384342194E-2</v>
      </c>
      <c r="AG43" s="11">
        <v>1.3484147132203361E-7</v>
      </c>
      <c r="AH43" s="11">
        <v>1.92571512889117E-3</v>
      </c>
      <c r="AI43"/>
      <c r="AJ43" s="11">
        <v>9.475276805460453E-3</v>
      </c>
      <c r="AK43"/>
      <c r="AL43"/>
      <c r="AM43" s="11">
        <v>1.2367198942229152E-3</v>
      </c>
      <c r="AN43" s="11">
        <v>1.7706353217363358E-2</v>
      </c>
      <c r="AO43" s="11">
        <v>2.7358634397387505E-2</v>
      </c>
      <c r="AP43" s="25">
        <v>1.2610448598861694</v>
      </c>
      <c r="AQ43"/>
      <c r="AR43" s="15">
        <v>0.35999727249145508</v>
      </c>
      <c r="AS43" s="310">
        <v>14.890535354614258</v>
      </c>
      <c r="AT43" s="78">
        <v>6.779266357421875</v>
      </c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233</v>
      </c>
      <c r="B44">
        <v>84</v>
      </c>
      <c r="C44">
        <v>27.701629638671875</v>
      </c>
      <c r="D44"/>
      <c r="E44"/>
      <c r="F44"/>
      <c r="G44"/>
      <c r="H44" s="11">
        <v>9.6307303756475449E-3</v>
      </c>
      <c r="I44"/>
      <c r="J44" s="11">
        <v>1.0738026503531728E-5</v>
      </c>
      <c r="K44"/>
      <c r="L44"/>
      <c r="M44"/>
      <c r="N44"/>
      <c r="O44"/>
      <c r="P44"/>
      <c r="Q44" s="11">
        <v>5.7570856064558029E-2</v>
      </c>
      <c r="R44" s="11">
        <v>6.9761998951435089E-2</v>
      </c>
      <c r="S44"/>
      <c r="T44" s="11">
        <v>7.6042297296226025E-3</v>
      </c>
      <c r="U44"/>
      <c r="V44"/>
      <c r="W44"/>
      <c r="X44"/>
      <c r="Y44"/>
      <c r="Z44" s="11">
        <v>8.0037192674353719E-4</v>
      </c>
      <c r="AA44" s="11">
        <v>4.168970137834549E-2</v>
      </c>
      <c r="AB44"/>
      <c r="AC44" s="11">
        <v>2.931961789727211E-3</v>
      </c>
      <c r="AD44"/>
      <c r="AE44"/>
      <c r="AF44" s="11">
        <v>3.0395004898309708E-2</v>
      </c>
      <c r="AG44" s="11">
        <v>4.3184685637243092E-5</v>
      </c>
      <c r="AH44"/>
      <c r="AI44" s="11">
        <v>1.4677946455776691E-4</v>
      </c>
      <c r="AJ44" s="11">
        <v>2.1678595803678036E-3</v>
      </c>
      <c r="AK44"/>
      <c r="AL44"/>
      <c r="AM44"/>
      <c r="AN44"/>
      <c r="AO44"/>
      <c r="AP44"/>
      <c r="AQ44"/>
      <c r="AR44"/>
      <c r="AS44" s="18">
        <v>0.90835833549499512</v>
      </c>
      <c r="AT44" s="12">
        <v>0.26509714126586914</v>
      </c>
      <c r="AU44" s="311">
        <v>54.90216064453125</v>
      </c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234</v>
      </c>
      <c r="B45"/>
      <c r="C45">
        <v>0.475830078125</v>
      </c>
      <c r="D45"/>
      <c r="E45"/>
      <c r="F45"/>
      <c r="G45"/>
      <c r="H45"/>
      <c r="I45"/>
      <c r="J45" s="9">
        <v>5.5622984655201435E-4</v>
      </c>
      <c r="K45" s="9">
        <v>1.7964871600270271E-2</v>
      </c>
      <c r="L45"/>
      <c r="M45"/>
      <c r="N45"/>
      <c r="O45" s="9">
        <v>6.6570726630743593E-5</v>
      </c>
      <c r="P45" s="9">
        <v>1.2548808008432388E-3</v>
      </c>
      <c r="Q45" s="9">
        <v>2.5163600444793701</v>
      </c>
      <c r="R45"/>
      <c r="S45"/>
      <c r="T45" s="9">
        <v>7.3783606290817261E-2</v>
      </c>
      <c r="U45" s="9">
        <v>5.400076974183321E-3</v>
      </c>
      <c r="V45"/>
      <c r="W45"/>
      <c r="X45" s="9">
        <v>6.2758371233940125E-2</v>
      </c>
      <c r="Y45"/>
      <c r="Z45" s="9">
        <v>3.9218224585056305E-2</v>
      </c>
      <c r="AA45" s="9">
        <v>1.1924712657928467</v>
      </c>
      <c r="AB45"/>
      <c r="AC45"/>
      <c r="AD45"/>
      <c r="AE45"/>
      <c r="AF45" s="9">
        <v>5.3605195134878159E-2</v>
      </c>
      <c r="AG45"/>
      <c r="AH45" s="9">
        <v>2.5183325633406639E-2</v>
      </c>
      <c r="AI45"/>
      <c r="AJ45" s="9">
        <v>3.7596534937620163E-2</v>
      </c>
      <c r="AK45" s="9">
        <v>4.103614017367363E-2</v>
      </c>
      <c r="AL45"/>
      <c r="AM45"/>
      <c r="AN45"/>
      <c r="AO45"/>
      <c r="AP45"/>
      <c r="AQ45"/>
      <c r="AR45" s="9">
        <v>13.450927734375</v>
      </c>
      <c r="AS45" s="9">
        <v>1186.921630859375</v>
      </c>
      <c r="AT45" s="9">
        <v>12.98975944519043</v>
      </c>
      <c r="AU45" s="9">
        <v>298.91177368164062</v>
      </c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235</v>
      </c>
      <c r="B46"/>
      <c r="C46">
        <v>0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20" workbookViewId="0">
      <selection activeCell="J52" sqref="J52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2" t="s">
        <v>191</v>
      </c>
      <c r="E5">
        <v>4</v>
      </c>
      <c r="F5">
        <v>3.13</v>
      </c>
      <c r="G5">
        <v>4</v>
      </c>
      <c r="H5" s="203" t="s">
        <v>191</v>
      </c>
      <c r="J5" s="57"/>
      <c r="K5" s="58"/>
    </row>
    <row r="6" spans="1:12" ht="14" thickBot="1" x14ac:dyDescent="0.2">
      <c r="A6" s="41" t="s">
        <v>121</v>
      </c>
      <c r="D6" s="202" t="s">
        <v>192</v>
      </c>
      <c r="E6">
        <v>5</v>
      </c>
      <c r="F6">
        <v>3.13</v>
      </c>
      <c r="G6">
        <v>5</v>
      </c>
      <c r="H6" s="203" t="s">
        <v>192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2" t="s">
        <v>193</v>
      </c>
      <c r="E7">
        <v>6</v>
      </c>
      <c r="F7">
        <v>3.12</v>
      </c>
      <c r="G7">
        <v>6</v>
      </c>
      <c r="H7" s="203" t="s">
        <v>193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2" t="s">
        <v>194</v>
      </c>
      <c r="E8">
        <v>7</v>
      </c>
      <c r="F8">
        <v>3.13</v>
      </c>
      <c r="G8">
        <v>7</v>
      </c>
      <c r="H8" s="203" t="s">
        <v>194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2" t="s">
        <v>195</v>
      </c>
      <c r="E9">
        <v>8</v>
      </c>
      <c r="F9">
        <v>3.12</v>
      </c>
      <c r="G9">
        <v>8</v>
      </c>
      <c r="H9" s="203" t="s">
        <v>195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2" t="s">
        <v>196</v>
      </c>
      <c r="E10">
        <v>9</v>
      </c>
      <c r="F10">
        <v>3.12</v>
      </c>
      <c r="G10">
        <v>9</v>
      </c>
      <c r="H10" s="203" t="s">
        <v>196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2" t="s">
        <v>197</v>
      </c>
      <c r="E11">
        <v>10</v>
      </c>
      <c r="F11">
        <v>3.12</v>
      </c>
      <c r="G11">
        <v>10</v>
      </c>
      <c r="H11" s="203" t="s">
        <v>197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2" t="s">
        <v>198</v>
      </c>
      <c r="E12">
        <v>11</v>
      </c>
      <c r="F12">
        <v>3.12</v>
      </c>
      <c r="G12">
        <v>11</v>
      </c>
      <c r="H12" s="203" t="s">
        <v>198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2" t="s">
        <v>199</v>
      </c>
      <c r="E13">
        <v>12</v>
      </c>
      <c r="F13">
        <v>3.12</v>
      </c>
      <c r="G13">
        <v>12</v>
      </c>
      <c r="H13" s="203" t="s">
        <v>199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2" t="s">
        <v>200</v>
      </c>
      <c r="E14">
        <v>13</v>
      </c>
      <c r="F14">
        <v>3.12</v>
      </c>
      <c r="G14">
        <v>13</v>
      </c>
      <c r="H14" s="203" t="s">
        <v>200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2" t="s">
        <v>201</v>
      </c>
      <c r="E15">
        <v>14</v>
      </c>
      <c r="F15">
        <v>3.1</v>
      </c>
      <c r="G15">
        <v>14</v>
      </c>
      <c r="H15" s="203" t="s">
        <v>201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2" t="s">
        <v>202</v>
      </c>
      <c r="E16">
        <v>15</v>
      </c>
      <c r="F16">
        <v>3.11</v>
      </c>
      <c r="G16">
        <v>15</v>
      </c>
      <c r="H16" s="203" t="s">
        <v>202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2" t="s">
        <v>203</v>
      </c>
      <c r="E17">
        <v>16</v>
      </c>
      <c r="F17">
        <v>3.12</v>
      </c>
      <c r="G17">
        <v>16</v>
      </c>
      <c r="H17" s="203" t="s">
        <v>203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2" t="s">
        <v>204</v>
      </c>
      <c r="E18">
        <v>17</v>
      </c>
      <c r="F18">
        <v>3.1</v>
      </c>
      <c r="G18">
        <v>17</v>
      </c>
      <c r="H18" s="203" t="s">
        <v>204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2" t="s">
        <v>205</v>
      </c>
      <c r="E19">
        <v>18</v>
      </c>
      <c r="F19">
        <v>3.11</v>
      </c>
      <c r="G19">
        <v>18</v>
      </c>
      <c r="H19" s="203" t="s">
        <v>205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2" t="s">
        <v>206</v>
      </c>
      <c r="E20">
        <v>19</v>
      </c>
      <c r="F20">
        <v>3.12</v>
      </c>
      <c r="G20">
        <v>19</v>
      </c>
      <c r="H20" s="203" t="s">
        <v>206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2" t="s">
        <v>207</v>
      </c>
      <c r="E21">
        <v>20</v>
      </c>
      <c r="F21">
        <v>3.22</v>
      </c>
      <c r="G21">
        <v>20</v>
      </c>
      <c r="H21" s="203" t="s">
        <v>207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2" t="s">
        <v>208</v>
      </c>
      <c r="E22">
        <v>21</v>
      </c>
      <c r="F22">
        <v>3</v>
      </c>
      <c r="G22">
        <v>21</v>
      </c>
      <c r="H22" s="203" t="s">
        <v>208</v>
      </c>
    </row>
    <row r="23" spans="1:12" x14ac:dyDescent="0.15">
      <c r="A23" s="36" t="s">
        <v>129</v>
      </c>
      <c r="B23" s="44">
        <v>4</v>
      </c>
      <c r="C23" s="38"/>
      <c r="D23" s="202" t="s">
        <v>209</v>
      </c>
      <c r="E23">
        <v>22</v>
      </c>
      <c r="F23">
        <v>3</v>
      </c>
      <c r="G23">
        <v>22</v>
      </c>
      <c r="H23" s="203" t="s">
        <v>209</v>
      </c>
    </row>
    <row r="24" spans="1:12" x14ac:dyDescent="0.15">
      <c r="A24" s="36" t="s">
        <v>122</v>
      </c>
      <c r="B24" s="44">
        <v>4.0999999999999996</v>
      </c>
      <c r="C24" s="38"/>
      <c r="D24" s="202" t="s">
        <v>210</v>
      </c>
      <c r="E24">
        <v>23</v>
      </c>
      <c r="F24">
        <v>3.22</v>
      </c>
      <c r="G24">
        <v>23</v>
      </c>
      <c r="H24" s="203" t="s">
        <v>210</v>
      </c>
    </row>
    <row r="25" spans="1:12" x14ac:dyDescent="0.15">
      <c r="A25" s="36" t="s">
        <v>70</v>
      </c>
      <c r="B25" s="44">
        <v>4.2</v>
      </c>
      <c r="C25" s="38"/>
      <c r="D25" s="202" t="s">
        <v>211</v>
      </c>
      <c r="E25">
        <v>24</v>
      </c>
      <c r="F25">
        <v>3</v>
      </c>
      <c r="G25">
        <v>24</v>
      </c>
      <c r="H25" s="203" t="s">
        <v>211</v>
      </c>
    </row>
    <row r="26" spans="1:12" x14ac:dyDescent="0.15">
      <c r="A26" s="36" t="s">
        <v>123</v>
      </c>
      <c r="B26" s="44">
        <v>4.3</v>
      </c>
      <c r="C26" s="38"/>
      <c r="D26" s="202" t="s">
        <v>212</v>
      </c>
      <c r="E26">
        <v>25</v>
      </c>
      <c r="F26">
        <v>3.12</v>
      </c>
      <c r="G26">
        <v>25</v>
      </c>
      <c r="H26" s="203" t="s">
        <v>212</v>
      </c>
    </row>
    <row r="27" spans="1:12" x14ac:dyDescent="0.15">
      <c r="A27" s="36" t="s">
        <v>125</v>
      </c>
      <c r="B27" s="44">
        <v>6.1</v>
      </c>
      <c r="D27" s="202" t="s">
        <v>213</v>
      </c>
      <c r="E27">
        <v>26</v>
      </c>
      <c r="F27">
        <v>3.22</v>
      </c>
      <c r="G27">
        <v>26</v>
      </c>
      <c r="H27" s="203" t="s">
        <v>213</v>
      </c>
    </row>
    <row r="28" spans="1:12" x14ac:dyDescent="0.15">
      <c r="A28" s="36" t="s">
        <v>124</v>
      </c>
      <c r="B28" s="44">
        <v>6.2</v>
      </c>
      <c r="D28" s="202" t="s">
        <v>214</v>
      </c>
      <c r="E28">
        <v>27</v>
      </c>
      <c r="F28">
        <v>3</v>
      </c>
      <c r="G28">
        <v>27</v>
      </c>
      <c r="H28" s="203" t="s">
        <v>214</v>
      </c>
    </row>
    <row r="29" spans="1:12" x14ac:dyDescent="0.15">
      <c r="A29" s="36" t="s">
        <v>44</v>
      </c>
      <c r="B29" s="44">
        <v>5</v>
      </c>
      <c r="D29" s="202" t="s">
        <v>215</v>
      </c>
      <c r="E29">
        <v>28</v>
      </c>
      <c r="F29">
        <v>3</v>
      </c>
      <c r="G29">
        <v>28</v>
      </c>
      <c r="H29" s="203" t="s">
        <v>215</v>
      </c>
    </row>
    <row r="30" spans="1:12" x14ac:dyDescent="0.15">
      <c r="A30" s="36" t="s">
        <v>73</v>
      </c>
      <c r="B30" s="44">
        <v>7</v>
      </c>
      <c r="D30" s="202" t="s">
        <v>216</v>
      </c>
      <c r="E30">
        <v>29</v>
      </c>
      <c r="F30">
        <v>3.22</v>
      </c>
      <c r="G30">
        <v>29</v>
      </c>
      <c r="H30" s="203" t="s">
        <v>216</v>
      </c>
    </row>
    <row r="31" spans="1:12" x14ac:dyDescent="0.15">
      <c r="A31" s="36" t="s">
        <v>169</v>
      </c>
      <c r="B31" s="44">
        <v>3.14</v>
      </c>
      <c r="D31" s="202" t="s">
        <v>217</v>
      </c>
      <c r="E31">
        <v>30</v>
      </c>
      <c r="F31">
        <v>3</v>
      </c>
      <c r="G31">
        <v>30</v>
      </c>
      <c r="H31" s="203" t="s">
        <v>217</v>
      </c>
    </row>
    <row r="32" spans="1:12" ht="12" customHeight="1" thickBot="1" x14ac:dyDescent="0.2">
      <c r="A32" s="42" t="s">
        <v>170</v>
      </c>
      <c r="B32" s="45">
        <v>9</v>
      </c>
      <c r="D32" s="202" t="s">
        <v>218</v>
      </c>
      <c r="E32">
        <v>31</v>
      </c>
      <c r="F32">
        <v>3.2</v>
      </c>
      <c r="G32">
        <v>31</v>
      </c>
      <c r="H32" s="203" t="s">
        <v>218</v>
      </c>
    </row>
    <row r="33" spans="4:8" customFormat="1" ht="12" customHeight="1" x14ac:dyDescent="0.15">
      <c r="D33" s="202" t="s">
        <v>219</v>
      </c>
      <c r="E33">
        <v>32</v>
      </c>
      <c r="F33">
        <v>3.21</v>
      </c>
      <c r="G33">
        <v>32</v>
      </c>
      <c r="H33" s="203" t="s">
        <v>219</v>
      </c>
    </row>
    <row r="34" spans="4:8" customFormat="1" ht="12" customHeight="1" x14ac:dyDescent="0.15">
      <c r="D34" s="202" t="s">
        <v>220</v>
      </c>
      <c r="E34">
        <v>33</v>
      </c>
      <c r="F34">
        <v>3.2</v>
      </c>
      <c r="G34">
        <v>33</v>
      </c>
      <c r="H34" s="203" t="s">
        <v>220</v>
      </c>
    </row>
    <row r="35" spans="4:8" customFormat="1" x14ac:dyDescent="0.15">
      <c r="D35" s="202" t="s">
        <v>221</v>
      </c>
      <c r="E35">
        <v>34</v>
      </c>
      <c r="F35">
        <v>3.21</v>
      </c>
      <c r="G35">
        <v>34</v>
      </c>
      <c r="H35" s="203" t="s">
        <v>221</v>
      </c>
    </row>
    <row r="36" spans="4:8" customFormat="1" x14ac:dyDescent="0.15">
      <c r="D36" s="202" t="s">
        <v>222</v>
      </c>
      <c r="E36">
        <v>35</v>
      </c>
      <c r="F36">
        <v>3.2</v>
      </c>
      <c r="G36">
        <v>35</v>
      </c>
      <c r="H36" s="203" t="s">
        <v>222</v>
      </c>
    </row>
    <row r="37" spans="4:8" customFormat="1" ht="12" customHeight="1" x14ac:dyDescent="0.15">
      <c r="D37" s="202" t="s">
        <v>223</v>
      </c>
      <c r="E37">
        <v>36</v>
      </c>
      <c r="F37">
        <v>3.21</v>
      </c>
      <c r="G37">
        <v>36</v>
      </c>
      <c r="H37" s="203" t="s">
        <v>223</v>
      </c>
    </row>
    <row r="38" spans="4:8" customFormat="1" x14ac:dyDescent="0.15">
      <c r="D38" s="202" t="s">
        <v>224</v>
      </c>
      <c r="E38">
        <v>37</v>
      </c>
      <c r="F38">
        <v>3.1</v>
      </c>
      <c r="G38">
        <v>37</v>
      </c>
      <c r="H38" s="203" t="s">
        <v>224</v>
      </c>
    </row>
    <row r="39" spans="4:8" customFormat="1" x14ac:dyDescent="0.15">
      <c r="D39" s="202" t="s">
        <v>225</v>
      </c>
      <c r="E39">
        <v>38</v>
      </c>
      <c r="F39">
        <v>3.1</v>
      </c>
      <c r="G39">
        <v>38</v>
      </c>
      <c r="H39" s="203" t="s">
        <v>225</v>
      </c>
    </row>
    <row r="40" spans="4:8" customFormat="1" x14ac:dyDescent="0.15">
      <c r="D40" s="202" t="s">
        <v>226</v>
      </c>
      <c r="E40">
        <v>39</v>
      </c>
      <c r="F40">
        <v>3.21</v>
      </c>
      <c r="G40">
        <v>39</v>
      </c>
      <c r="H40" s="203" t="s">
        <v>226</v>
      </c>
    </row>
    <row r="41" spans="4:8" customFormat="1" x14ac:dyDescent="0.15">
      <c r="D41" s="202" t="s">
        <v>227</v>
      </c>
      <c r="E41">
        <v>40</v>
      </c>
      <c r="F41">
        <v>3.12</v>
      </c>
      <c r="G41">
        <v>40</v>
      </c>
      <c r="H41" s="203" t="s">
        <v>227</v>
      </c>
    </row>
    <row r="42" spans="4:8" customFormat="1" x14ac:dyDescent="0.15">
      <c r="D42" s="202" t="s">
        <v>228</v>
      </c>
      <c r="E42">
        <v>41</v>
      </c>
      <c r="F42">
        <v>3.12</v>
      </c>
      <c r="G42">
        <v>41</v>
      </c>
      <c r="H42" s="203" t="s">
        <v>228</v>
      </c>
    </row>
    <row r="43" spans="4:8" customFormat="1" x14ac:dyDescent="0.15">
      <c r="D43" s="202" t="s">
        <v>229</v>
      </c>
      <c r="E43">
        <v>42</v>
      </c>
      <c r="F43">
        <v>3</v>
      </c>
      <c r="G43">
        <v>42</v>
      </c>
      <c r="H43" s="203" t="s">
        <v>229</v>
      </c>
    </row>
    <row r="44" spans="4:8" customFormat="1" x14ac:dyDescent="0.15">
      <c r="D44" s="202" t="s">
        <v>230</v>
      </c>
      <c r="E44">
        <v>43</v>
      </c>
      <c r="F44">
        <v>3.21</v>
      </c>
      <c r="G44">
        <v>43</v>
      </c>
      <c r="H44" s="203" t="s">
        <v>230</v>
      </c>
    </row>
    <row r="45" spans="4:8" customFormat="1" x14ac:dyDescent="0.15">
      <c r="D45" s="202" t="s">
        <v>231</v>
      </c>
      <c r="E45">
        <v>44</v>
      </c>
      <c r="F45">
        <v>3.11</v>
      </c>
      <c r="G45">
        <v>44</v>
      </c>
      <c r="H45" s="203" t="s">
        <v>231</v>
      </c>
    </row>
    <row r="46" spans="4:8" customFormat="1" x14ac:dyDescent="0.15">
      <c r="D46" s="202" t="s">
        <v>232</v>
      </c>
      <c r="E46">
        <v>45</v>
      </c>
      <c r="F46">
        <v>3.11</v>
      </c>
      <c r="G46">
        <v>45</v>
      </c>
      <c r="H46" s="203" t="s">
        <v>232</v>
      </c>
    </row>
    <row r="47" spans="4:8" customFormat="1" x14ac:dyDescent="0.15">
      <c r="D47" s="202" t="s">
        <v>233</v>
      </c>
      <c r="E47">
        <v>46</v>
      </c>
      <c r="F47">
        <v>2</v>
      </c>
      <c r="G47">
        <v>46</v>
      </c>
      <c r="H47" s="203" t="s">
        <v>233</v>
      </c>
    </row>
    <row r="48" spans="4:8" customFormat="1" x14ac:dyDescent="0.15">
      <c r="D48" s="202" t="s">
        <v>234</v>
      </c>
      <c r="E48">
        <v>47</v>
      </c>
      <c r="F48">
        <v>4.0999999999999996</v>
      </c>
      <c r="G48">
        <v>47</v>
      </c>
      <c r="H48" s="203" t="s">
        <v>234</v>
      </c>
    </row>
    <row r="49" spans="4:8" customFormat="1" x14ac:dyDescent="0.15">
      <c r="D49" s="202" t="s">
        <v>235</v>
      </c>
      <c r="E49">
        <v>48</v>
      </c>
      <c r="F49">
        <v>4.3</v>
      </c>
      <c r="G49">
        <v>48</v>
      </c>
      <c r="H49" s="203" t="s">
        <v>235</v>
      </c>
    </row>
    <row r="50" spans="4:8" customFormat="1" ht="12" customHeight="1" x14ac:dyDescent="0.15">
      <c r="D50" s="202" t="s">
        <v>236</v>
      </c>
      <c r="E50">
        <v>49</v>
      </c>
      <c r="F50">
        <v>5</v>
      </c>
      <c r="G50">
        <v>49</v>
      </c>
      <c r="H50" s="203" t="s">
        <v>236</v>
      </c>
    </row>
    <row r="51" spans="4:8" customFormat="1" x14ac:dyDescent="0.15">
      <c r="D51" s="202" t="s">
        <v>237</v>
      </c>
      <c r="E51">
        <v>50</v>
      </c>
      <c r="F51">
        <v>5</v>
      </c>
      <c r="G51">
        <v>50</v>
      </c>
      <c r="H51" s="203" t="s">
        <v>237</v>
      </c>
    </row>
    <row r="52" spans="4:8" customFormat="1" ht="12" customHeight="1" x14ac:dyDescent="0.15">
      <c r="D52" s="202" t="s">
        <v>138</v>
      </c>
      <c r="E52">
        <v>51</v>
      </c>
      <c r="F52">
        <v>6.1</v>
      </c>
      <c r="G52">
        <v>51</v>
      </c>
      <c r="H52" s="203" t="s">
        <v>138</v>
      </c>
    </row>
    <row r="53" spans="4:8" customFormat="1" x14ac:dyDescent="0.15">
      <c r="D53" s="202" t="s">
        <v>45</v>
      </c>
      <c r="E53">
        <v>52</v>
      </c>
      <c r="F53">
        <v>6.2</v>
      </c>
      <c r="G53">
        <v>52</v>
      </c>
      <c r="H53" s="203" t="s">
        <v>45</v>
      </c>
    </row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4" bestFit="1" customWidth="1"/>
    <col min="2" max="2" width="3.83203125" style="83" customWidth="1"/>
    <col min="3" max="3" width="19.5" style="83" customWidth="1"/>
    <col min="4" max="4" width="39.6640625" style="83" customWidth="1"/>
    <col min="5" max="5" width="8.1640625" style="83" customWidth="1"/>
    <col min="6" max="6" width="21.664062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2" customWidth="1"/>
    <col min="17" max="17" width="2.33203125" style="83" customWidth="1"/>
    <col min="18" max="18" width="2.33203125" style="73" customWidth="1"/>
    <col min="19" max="16384" width="11.5" style="83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5" t="s">
        <v>48</v>
      </c>
      <c r="L1" s="73"/>
      <c r="M1" s="85" t="s">
        <v>119</v>
      </c>
      <c r="N1" s="73"/>
      <c r="O1" s="85" t="s">
        <v>49</v>
      </c>
      <c r="P1" s="75"/>
      <c r="Q1" s="85" t="s">
        <v>50</v>
      </c>
      <c r="R1" s="70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2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2">
        <v>0</v>
      </c>
      <c r="R4" s="114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2">
        <v>0</v>
      </c>
      <c r="R5" s="114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204" t="s">
        <v>191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0</v>
      </c>
      <c r="M6" s="83">
        <v>1</v>
      </c>
      <c r="N6" s="83">
        <v>0</v>
      </c>
      <c r="O6" s="83">
        <v>1</v>
      </c>
      <c r="P6" s="72">
        <v>0</v>
      </c>
      <c r="Q6" s="83">
        <v>0</v>
      </c>
      <c r="R6" s="73">
        <v>1</v>
      </c>
      <c r="S6"/>
      <c r="T6"/>
    </row>
    <row r="7" spans="1:23" ht="15" customHeight="1" thickBot="1" x14ac:dyDescent="0.2">
      <c r="F7" s="204" t="s">
        <v>192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2">
        <v>0</v>
      </c>
      <c r="Q7" s="83">
        <v>0</v>
      </c>
      <c r="R7" s="73">
        <v>1</v>
      </c>
      <c r="S7"/>
      <c r="T7"/>
    </row>
    <row r="8" spans="1:23" ht="15" customHeight="1" x14ac:dyDescent="0.15">
      <c r="A8" s="85" t="s">
        <v>56</v>
      </c>
      <c r="B8" s="92">
        <v>1</v>
      </c>
      <c r="C8" s="205" t="s">
        <v>233</v>
      </c>
      <c r="D8" s="87" t="s">
        <v>160</v>
      </c>
      <c r="F8" s="204" t="s">
        <v>193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2">
        <v>0</v>
      </c>
      <c r="Q8" s="83">
        <v>0</v>
      </c>
      <c r="R8" s="73">
        <v>1</v>
      </c>
      <c r="S8"/>
      <c r="T8"/>
      <c r="W8"/>
    </row>
    <row r="9" spans="1:23" ht="15" customHeight="1" x14ac:dyDescent="0.15">
      <c r="A9" s="128" t="s">
        <v>168</v>
      </c>
      <c r="B9" s="94"/>
      <c r="C9" s="82"/>
      <c r="D9" s="87" t="s">
        <v>160</v>
      </c>
      <c r="F9" s="204" t="s">
        <v>194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2">
        <v>0</v>
      </c>
      <c r="Q9" s="83">
        <v>0</v>
      </c>
      <c r="R9" s="73">
        <v>1</v>
      </c>
      <c r="S9"/>
      <c r="T9"/>
      <c r="W9"/>
    </row>
    <row r="10" spans="1:23" ht="15" customHeight="1" x14ac:dyDescent="0.15">
      <c r="B10" s="94"/>
      <c r="C10" s="82"/>
      <c r="D10" s="87" t="s">
        <v>160</v>
      </c>
      <c r="F10" s="204" t="s">
        <v>195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2">
        <v>0</v>
      </c>
      <c r="Q10" s="83">
        <v>0</v>
      </c>
      <c r="R10" s="73">
        <v>1</v>
      </c>
      <c r="S10"/>
      <c r="T10"/>
      <c r="W10"/>
    </row>
    <row r="11" spans="1:23" ht="15" customHeight="1" x14ac:dyDescent="0.15">
      <c r="A11" s="85"/>
      <c r="B11" s="94"/>
      <c r="C11" s="97"/>
      <c r="D11" s="87" t="s">
        <v>160</v>
      </c>
      <c r="F11" s="204" t="s">
        <v>196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2">
        <v>0</v>
      </c>
      <c r="Q11" s="83">
        <v>0</v>
      </c>
      <c r="R11" s="73">
        <v>1</v>
      </c>
      <c r="S11"/>
      <c r="T11"/>
      <c r="W11"/>
    </row>
    <row r="12" spans="1:23" ht="15" customHeight="1" x14ac:dyDescent="0.15">
      <c r="B12" s="94"/>
      <c r="C12" s="98"/>
      <c r="D12" s="87" t="s">
        <v>160</v>
      </c>
      <c r="F12" s="204" t="s">
        <v>197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2">
        <v>0</v>
      </c>
      <c r="Q12" s="83">
        <v>0</v>
      </c>
      <c r="R12" s="73">
        <v>1</v>
      </c>
      <c r="S12"/>
      <c r="T12"/>
      <c r="W12"/>
    </row>
    <row r="13" spans="1:23" ht="15" customHeight="1" x14ac:dyDescent="0.15">
      <c r="B13" s="94"/>
      <c r="C13" s="98"/>
      <c r="D13" s="87" t="s">
        <v>160</v>
      </c>
      <c r="F13" s="204" t="s">
        <v>198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2">
        <v>0</v>
      </c>
      <c r="Q13" s="83">
        <v>0</v>
      </c>
      <c r="R13" s="73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204" t="s">
        <v>199</v>
      </c>
      <c r="G14" s="83">
        <v>0</v>
      </c>
      <c r="H14" s="83">
        <v>0</v>
      </c>
      <c r="I14" s="83">
        <v>0</v>
      </c>
      <c r="J14" s="83">
        <v>0</v>
      </c>
      <c r="K14" s="83">
        <v>1</v>
      </c>
      <c r="L14" s="83">
        <v>0</v>
      </c>
      <c r="M14" s="83">
        <v>1</v>
      </c>
      <c r="N14" s="83">
        <v>0</v>
      </c>
      <c r="O14" s="83">
        <v>1</v>
      </c>
      <c r="P14" s="72">
        <v>0</v>
      </c>
      <c r="Q14" s="83">
        <v>0</v>
      </c>
      <c r="R14" s="73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204" t="s">
        <v>200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2">
        <v>0</v>
      </c>
      <c r="Q15" s="83">
        <v>0</v>
      </c>
      <c r="R15" s="73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204" t="s">
        <v>201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2">
        <v>0</v>
      </c>
      <c r="Q16" s="83">
        <v>0</v>
      </c>
      <c r="R16" s="73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204" t="s">
        <v>202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2">
        <v>0</v>
      </c>
      <c r="Q17" s="83">
        <v>0</v>
      </c>
      <c r="R17" s="73">
        <v>1</v>
      </c>
      <c r="S17"/>
      <c r="T17"/>
    </row>
    <row r="18" spans="1:20" ht="15" customHeight="1" thickBot="1" x14ac:dyDescent="0.2">
      <c r="B18" s="95"/>
      <c r="F18" s="204" t="s">
        <v>203</v>
      </c>
      <c r="G18" s="83">
        <v>0</v>
      </c>
      <c r="H18" s="83">
        <v>0</v>
      </c>
      <c r="I18" s="83">
        <v>0</v>
      </c>
      <c r="J18" s="83">
        <v>0</v>
      </c>
      <c r="K18" s="83">
        <v>1</v>
      </c>
      <c r="L18" s="83">
        <v>0</v>
      </c>
      <c r="M18" s="83">
        <v>1</v>
      </c>
      <c r="N18" s="83">
        <v>0</v>
      </c>
      <c r="O18" s="83">
        <v>1</v>
      </c>
      <c r="P18" s="72">
        <v>0</v>
      </c>
      <c r="Q18" s="83">
        <v>0</v>
      </c>
      <c r="R18" s="73">
        <v>1</v>
      </c>
      <c r="S18"/>
      <c r="T18"/>
    </row>
    <row r="19" spans="1:20" ht="15" customHeight="1" x14ac:dyDescent="0.15">
      <c r="A19" s="85" t="s">
        <v>57</v>
      </c>
      <c r="B19" s="92">
        <v>1</v>
      </c>
      <c r="C19" s="206" t="s">
        <v>233</v>
      </c>
      <c r="D19" s="87" t="s">
        <v>160</v>
      </c>
      <c r="F19" s="204" t="s">
        <v>204</v>
      </c>
      <c r="G19" s="83">
        <v>0</v>
      </c>
      <c r="H19" s="83">
        <v>0</v>
      </c>
      <c r="I19" s="83">
        <v>0</v>
      </c>
      <c r="J19" s="83">
        <v>0</v>
      </c>
      <c r="K19" s="83">
        <v>1</v>
      </c>
      <c r="L19" s="83">
        <v>0</v>
      </c>
      <c r="M19" s="83">
        <v>1</v>
      </c>
      <c r="N19" s="83">
        <v>0</v>
      </c>
      <c r="O19" s="83">
        <v>1</v>
      </c>
      <c r="P19" s="72">
        <v>0</v>
      </c>
      <c r="Q19" s="83">
        <v>0</v>
      </c>
      <c r="R19" s="73">
        <v>1</v>
      </c>
      <c r="S19"/>
      <c r="T19"/>
    </row>
    <row r="20" spans="1:20" ht="15" customHeight="1" x14ac:dyDescent="0.15">
      <c r="A20" s="128" t="s">
        <v>168</v>
      </c>
      <c r="B20" s="94"/>
      <c r="C20" s="82"/>
      <c r="D20" s="87" t="s">
        <v>160</v>
      </c>
      <c r="F20" s="204" t="s">
        <v>205</v>
      </c>
      <c r="G20" s="83">
        <v>0</v>
      </c>
      <c r="H20" s="83">
        <v>0</v>
      </c>
      <c r="I20" s="83">
        <v>0</v>
      </c>
      <c r="J20" s="83">
        <v>0</v>
      </c>
      <c r="K20" s="83">
        <v>1</v>
      </c>
      <c r="L20" s="83">
        <v>0</v>
      </c>
      <c r="M20" s="83">
        <v>1</v>
      </c>
      <c r="N20" s="83">
        <v>0</v>
      </c>
      <c r="O20" s="83">
        <v>1</v>
      </c>
      <c r="P20" s="72">
        <v>0</v>
      </c>
      <c r="Q20" s="83">
        <v>0</v>
      </c>
      <c r="R20" s="73">
        <v>1</v>
      </c>
      <c r="S20"/>
      <c r="T20"/>
    </row>
    <row r="21" spans="1:20" ht="15" customHeight="1" x14ac:dyDescent="0.15">
      <c r="B21" s="94"/>
      <c r="C21" s="82"/>
      <c r="D21" s="87" t="s">
        <v>160</v>
      </c>
      <c r="F21" s="204" t="s">
        <v>206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2">
        <v>0</v>
      </c>
      <c r="Q21" s="83">
        <v>0</v>
      </c>
      <c r="R21" s="73">
        <v>1</v>
      </c>
      <c r="S21"/>
      <c r="T21"/>
    </row>
    <row r="22" spans="1:20" ht="15" customHeight="1" x14ac:dyDescent="0.15">
      <c r="A22" s="83"/>
      <c r="B22" s="94"/>
      <c r="C22" s="97"/>
      <c r="D22" s="87" t="s">
        <v>160</v>
      </c>
      <c r="F22" s="204" t="s">
        <v>207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2">
        <v>0</v>
      </c>
      <c r="Q22" s="83">
        <v>0</v>
      </c>
      <c r="R22" s="73">
        <v>1</v>
      </c>
      <c r="S22"/>
      <c r="T22"/>
    </row>
    <row r="23" spans="1:20" ht="15" customHeight="1" x14ac:dyDescent="0.15">
      <c r="A23" s="83"/>
      <c r="B23" s="94"/>
      <c r="C23" s="98"/>
      <c r="D23" s="87" t="s">
        <v>160</v>
      </c>
      <c r="F23" s="204" t="s">
        <v>208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2">
        <v>0</v>
      </c>
      <c r="Q23" s="83">
        <v>0</v>
      </c>
      <c r="R23" s="73">
        <v>1</v>
      </c>
      <c r="S23"/>
      <c r="T23"/>
    </row>
    <row r="24" spans="1:20" ht="15" customHeight="1" x14ac:dyDescent="0.15">
      <c r="A24" s="83"/>
      <c r="B24" s="94"/>
      <c r="C24" s="98"/>
      <c r="D24" s="87" t="s">
        <v>160</v>
      </c>
      <c r="F24" s="204" t="s">
        <v>209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2">
        <v>0</v>
      </c>
      <c r="Q24" s="83">
        <v>0</v>
      </c>
      <c r="R24" s="73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204" t="s">
        <v>210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2">
        <v>0</v>
      </c>
      <c r="Q25" s="83">
        <v>0</v>
      </c>
      <c r="R25" s="73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204" t="s">
        <v>211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2">
        <v>0</v>
      </c>
      <c r="Q26" s="83">
        <v>0</v>
      </c>
      <c r="R26" s="73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204" t="s">
        <v>212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2">
        <v>0</v>
      </c>
      <c r="Q27" s="83">
        <v>0</v>
      </c>
      <c r="R27" s="73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204" t="s">
        <v>213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2">
        <v>0</v>
      </c>
      <c r="Q28" s="83">
        <v>0</v>
      </c>
      <c r="R28" s="73">
        <v>1</v>
      </c>
      <c r="S28"/>
      <c r="T28"/>
    </row>
    <row r="29" spans="1:20" ht="15" customHeight="1" x14ac:dyDescent="0.15">
      <c r="F29" s="204" t="s">
        <v>214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2">
        <v>0</v>
      </c>
      <c r="Q29" s="83">
        <v>0</v>
      </c>
      <c r="R29" s="73">
        <v>1</v>
      </c>
      <c r="S29"/>
      <c r="T29"/>
    </row>
    <row r="30" spans="1:20" ht="15" customHeight="1" x14ac:dyDescent="0.15">
      <c r="F30" s="204" t="s">
        <v>215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2">
        <v>0</v>
      </c>
      <c r="Q30" s="83">
        <v>0</v>
      </c>
      <c r="R30" s="73">
        <v>1</v>
      </c>
      <c r="S30"/>
      <c r="T30"/>
    </row>
    <row r="31" spans="1:20" ht="15" customHeight="1" x14ac:dyDescent="0.15">
      <c r="A31" s="129"/>
      <c r="B31" s="140" t="s">
        <v>17</v>
      </c>
      <c r="C31" s="140" t="s">
        <v>1</v>
      </c>
      <c r="D31" s="140" t="s">
        <v>161</v>
      </c>
      <c r="E31" s="141" t="s">
        <v>163</v>
      </c>
      <c r="F31" s="204" t="s">
        <v>216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2">
        <v>0</v>
      </c>
      <c r="Q31" s="83">
        <v>0</v>
      </c>
      <c r="R31" s="73">
        <v>1</v>
      </c>
      <c r="S31"/>
      <c r="T31"/>
    </row>
    <row r="32" spans="1:20" ht="15" customHeight="1" x14ac:dyDescent="0.15">
      <c r="A32" s="207" t="s">
        <v>233</v>
      </c>
      <c r="B32" s="95">
        <v>49</v>
      </c>
      <c r="C32" s="95">
        <v>84</v>
      </c>
      <c r="D32" s="95">
        <v>4116</v>
      </c>
      <c r="E32" s="131">
        <v>1</v>
      </c>
      <c r="F32" s="204" t="s">
        <v>217</v>
      </c>
      <c r="G32" s="83">
        <v>0</v>
      </c>
      <c r="H32" s="83">
        <v>0</v>
      </c>
      <c r="I32" s="83">
        <v>0</v>
      </c>
      <c r="J32" s="83">
        <v>0</v>
      </c>
      <c r="K32" s="83">
        <v>1</v>
      </c>
      <c r="L32" s="83">
        <v>0</v>
      </c>
      <c r="M32" s="83">
        <v>1</v>
      </c>
      <c r="N32" s="83">
        <v>0</v>
      </c>
      <c r="O32" s="83">
        <v>1</v>
      </c>
      <c r="P32" s="72">
        <v>0</v>
      </c>
      <c r="Q32" s="83">
        <v>0</v>
      </c>
      <c r="R32" s="73">
        <v>1</v>
      </c>
      <c r="S32"/>
      <c r="T32"/>
    </row>
    <row r="33" spans="1:20" ht="15" customHeight="1" x14ac:dyDescent="0.15">
      <c r="A33" s="130"/>
      <c r="B33" s="95"/>
      <c r="C33" s="95"/>
      <c r="D33" s="95"/>
      <c r="E33" s="131"/>
      <c r="F33" s="204" t="s">
        <v>218</v>
      </c>
      <c r="G33" s="83">
        <v>0</v>
      </c>
      <c r="H33" s="83">
        <v>0</v>
      </c>
      <c r="I33" s="83">
        <v>0</v>
      </c>
      <c r="J33" s="83">
        <v>0</v>
      </c>
      <c r="K33" s="83">
        <v>1</v>
      </c>
      <c r="L33" s="83">
        <v>0</v>
      </c>
      <c r="M33" s="83">
        <v>1</v>
      </c>
      <c r="N33" s="83">
        <v>0</v>
      </c>
      <c r="O33" s="83">
        <v>1</v>
      </c>
      <c r="P33" s="72">
        <v>0</v>
      </c>
      <c r="Q33" s="83">
        <v>0</v>
      </c>
      <c r="R33" s="73">
        <v>1</v>
      </c>
      <c r="S33"/>
      <c r="T33"/>
    </row>
    <row r="34" spans="1:20" ht="15" customHeight="1" x14ac:dyDescent="0.15">
      <c r="A34" s="132"/>
      <c r="B34" s="95"/>
      <c r="C34" s="95"/>
      <c r="D34" s="95"/>
      <c r="E34" s="131"/>
      <c r="F34" s="204" t="s">
        <v>219</v>
      </c>
      <c r="G34" s="83">
        <v>0</v>
      </c>
      <c r="H34" s="83">
        <v>0</v>
      </c>
      <c r="I34" s="83">
        <v>0</v>
      </c>
      <c r="J34" s="83">
        <v>0</v>
      </c>
      <c r="K34" s="83">
        <v>1</v>
      </c>
      <c r="L34" s="83">
        <v>0</v>
      </c>
      <c r="M34" s="83">
        <v>1</v>
      </c>
      <c r="N34" s="83">
        <v>0</v>
      </c>
      <c r="O34" s="83">
        <v>1</v>
      </c>
      <c r="P34" s="72">
        <v>0</v>
      </c>
      <c r="Q34" s="83">
        <v>0</v>
      </c>
      <c r="R34" s="73">
        <v>1</v>
      </c>
      <c r="S34"/>
      <c r="T34"/>
    </row>
    <row r="35" spans="1:20" ht="15" customHeight="1" x14ac:dyDescent="0.15">
      <c r="A35" s="133"/>
      <c r="B35" s="95"/>
      <c r="C35" s="95"/>
      <c r="D35" s="95"/>
      <c r="E35" s="131"/>
      <c r="F35" s="204" t="s">
        <v>220</v>
      </c>
      <c r="G35" s="83">
        <v>0</v>
      </c>
      <c r="H35" s="83">
        <v>0</v>
      </c>
      <c r="I35" s="83">
        <v>0</v>
      </c>
      <c r="J35" s="83">
        <v>0</v>
      </c>
      <c r="K35" s="83">
        <v>1</v>
      </c>
      <c r="L35" s="83">
        <v>0</v>
      </c>
      <c r="M35" s="83">
        <v>1</v>
      </c>
      <c r="N35" s="83">
        <v>0</v>
      </c>
      <c r="O35" s="83">
        <v>1</v>
      </c>
      <c r="P35" s="72">
        <v>0</v>
      </c>
      <c r="Q35" s="83">
        <v>0</v>
      </c>
      <c r="R35" s="73">
        <v>1</v>
      </c>
      <c r="S35"/>
      <c r="T35"/>
    </row>
    <row r="36" spans="1:20" ht="15" customHeight="1" x14ac:dyDescent="0.15">
      <c r="A36" s="134"/>
      <c r="B36" s="95"/>
      <c r="C36" s="95"/>
      <c r="D36" s="95"/>
      <c r="E36" s="131"/>
      <c r="F36" s="204" t="s">
        <v>221</v>
      </c>
      <c r="G36" s="83">
        <v>0</v>
      </c>
      <c r="H36" s="83">
        <v>0</v>
      </c>
      <c r="I36" s="83">
        <v>0</v>
      </c>
      <c r="J36" s="83">
        <v>0</v>
      </c>
      <c r="K36" s="83">
        <v>1</v>
      </c>
      <c r="L36" s="83">
        <v>0</v>
      </c>
      <c r="M36" s="83">
        <v>1</v>
      </c>
      <c r="N36" s="83">
        <v>0</v>
      </c>
      <c r="O36" s="83">
        <v>1</v>
      </c>
      <c r="P36" s="72">
        <v>0</v>
      </c>
      <c r="Q36" s="83">
        <v>0</v>
      </c>
      <c r="R36" s="73">
        <v>1</v>
      </c>
      <c r="S36"/>
      <c r="T36"/>
    </row>
    <row r="37" spans="1:20" ht="15" customHeight="1" x14ac:dyDescent="0.15">
      <c r="A37" s="134"/>
      <c r="B37" s="95"/>
      <c r="C37" s="95"/>
      <c r="D37" s="95"/>
      <c r="E37" s="131"/>
      <c r="F37" s="204" t="s">
        <v>222</v>
      </c>
      <c r="G37" s="83">
        <v>0</v>
      </c>
      <c r="H37" s="83">
        <v>0</v>
      </c>
      <c r="I37" s="83">
        <v>0</v>
      </c>
      <c r="J37" s="83">
        <v>0</v>
      </c>
      <c r="K37" s="83">
        <v>1</v>
      </c>
      <c r="L37" s="83">
        <v>0</v>
      </c>
      <c r="M37" s="83">
        <v>1</v>
      </c>
      <c r="N37" s="83">
        <v>0</v>
      </c>
      <c r="O37" s="83">
        <v>1</v>
      </c>
      <c r="P37" s="72">
        <v>0</v>
      </c>
      <c r="Q37" s="83">
        <v>0</v>
      </c>
      <c r="R37" s="73">
        <v>1</v>
      </c>
      <c r="S37"/>
      <c r="T37"/>
    </row>
    <row r="38" spans="1:20" ht="15" customHeight="1" x14ac:dyDescent="0.15">
      <c r="A38" s="135"/>
      <c r="B38" s="95"/>
      <c r="C38" s="95"/>
      <c r="D38" s="95"/>
      <c r="E38" s="131"/>
      <c r="F38" s="204" t="s">
        <v>223</v>
      </c>
      <c r="G38" s="83">
        <v>0</v>
      </c>
      <c r="H38" s="83">
        <v>0</v>
      </c>
      <c r="I38" s="83">
        <v>0</v>
      </c>
      <c r="J38" s="83">
        <v>0</v>
      </c>
      <c r="K38" s="83">
        <v>1</v>
      </c>
      <c r="L38" s="83">
        <v>0</v>
      </c>
      <c r="M38" s="83">
        <v>1</v>
      </c>
      <c r="N38" s="83">
        <v>0</v>
      </c>
      <c r="O38" s="83">
        <v>1</v>
      </c>
      <c r="P38" s="72">
        <v>0</v>
      </c>
      <c r="Q38" s="83">
        <v>0</v>
      </c>
      <c r="R38" s="73">
        <v>1</v>
      </c>
      <c r="S38"/>
      <c r="T38"/>
    </row>
    <row r="39" spans="1:20" ht="15" customHeight="1" x14ac:dyDescent="0.15">
      <c r="A39" s="135"/>
      <c r="B39" s="95"/>
      <c r="C39" s="95"/>
      <c r="D39" s="95"/>
      <c r="E39" s="131"/>
      <c r="F39" s="204" t="s">
        <v>224</v>
      </c>
      <c r="G39" s="83">
        <v>0</v>
      </c>
      <c r="H39" s="83">
        <v>0</v>
      </c>
      <c r="I39" s="83">
        <v>0</v>
      </c>
      <c r="J39" s="83">
        <v>0</v>
      </c>
      <c r="K39" s="83">
        <v>1</v>
      </c>
      <c r="L39" s="83">
        <v>0</v>
      </c>
      <c r="M39" s="83">
        <v>1</v>
      </c>
      <c r="N39" s="83">
        <v>0</v>
      </c>
      <c r="O39" s="83">
        <v>1</v>
      </c>
      <c r="P39" s="72">
        <v>0</v>
      </c>
      <c r="Q39" s="83">
        <v>0</v>
      </c>
      <c r="R39" s="73">
        <v>1</v>
      </c>
      <c r="S39"/>
      <c r="T39"/>
    </row>
    <row r="40" spans="1:20" ht="15" customHeight="1" x14ac:dyDescent="0.15">
      <c r="A40" s="135"/>
      <c r="B40" s="95"/>
      <c r="C40" s="95"/>
      <c r="D40" s="95"/>
      <c r="E40" s="131"/>
      <c r="F40" s="204" t="s">
        <v>225</v>
      </c>
      <c r="G40" s="83">
        <v>0</v>
      </c>
      <c r="H40" s="83">
        <v>0</v>
      </c>
      <c r="I40" s="83">
        <v>0</v>
      </c>
      <c r="J40" s="83">
        <v>0</v>
      </c>
      <c r="K40" s="83">
        <v>1</v>
      </c>
      <c r="L40" s="83">
        <v>0</v>
      </c>
      <c r="M40" s="83">
        <v>1</v>
      </c>
      <c r="N40" s="83">
        <v>0</v>
      </c>
      <c r="O40" s="83">
        <v>1</v>
      </c>
      <c r="P40" s="72">
        <v>0</v>
      </c>
      <c r="Q40" s="83">
        <v>0</v>
      </c>
      <c r="R40" s="73">
        <v>1</v>
      </c>
      <c r="S40"/>
      <c r="T40"/>
    </row>
    <row r="41" spans="1:20" ht="15" customHeight="1" thickBot="1" x14ac:dyDescent="0.2">
      <c r="A41" s="135"/>
      <c r="B41" s="95"/>
      <c r="C41" s="95"/>
      <c r="D41" s="96"/>
      <c r="E41" s="136"/>
      <c r="F41" s="204" t="s">
        <v>226</v>
      </c>
      <c r="G41" s="83">
        <v>0</v>
      </c>
      <c r="H41" s="83">
        <v>0</v>
      </c>
      <c r="I41" s="83">
        <v>0</v>
      </c>
      <c r="J41" s="83">
        <v>0</v>
      </c>
      <c r="K41" s="83">
        <v>1</v>
      </c>
      <c r="L41" s="83">
        <v>0</v>
      </c>
      <c r="M41" s="83">
        <v>1</v>
      </c>
      <c r="N41" s="83">
        <v>0</v>
      </c>
      <c r="O41" s="83">
        <v>1</v>
      </c>
      <c r="P41" s="72">
        <v>0</v>
      </c>
      <c r="Q41" s="83">
        <v>0</v>
      </c>
      <c r="R41" s="73">
        <v>1</v>
      </c>
      <c r="S41"/>
      <c r="T41"/>
    </row>
    <row r="42" spans="1:20" ht="15" customHeight="1" x14ac:dyDescent="0.15">
      <c r="A42" s="137"/>
      <c r="B42" s="138"/>
      <c r="C42" s="138" t="s">
        <v>162</v>
      </c>
      <c r="D42" s="138">
        <f>SUM(D32:D41)</f>
        <v>4116</v>
      </c>
      <c r="E42" s="139">
        <f>SUM(E32:E41)</f>
        <v>1</v>
      </c>
      <c r="F42" s="204" t="s">
        <v>227</v>
      </c>
      <c r="G42" s="83">
        <v>0</v>
      </c>
      <c r="H42" s="83">
        <v>0</v>
      </c>
      <c r="I42" s="83">
        <v>0</v>
      </c>
      <c r="J42" s="83">
        <v>0</v>
      </c>
      <c r="K42" s="83">
        <v>1</v>
      </c>
      <c r="L42" s="83">
        <v>0</v>
      </c>
      <c r="M42" s="83">
        <v>1</v>
      </c>
      <c r="N42" s="83">
        <v>0</v>
      </c>
      <c r="O42" s="83">
        <v>1</v>
      </c>
      <c r="P42" s="72">
        <v>0</v>
      </c>
      <c r="Q42" s="83">
        <v>0</v>
      </c>
      <c r="R42" s="73">
        <v>1</v>
      </c>
      <c r="S42"/>
      <c r="T42"/>
    </row>
    <row r="43" spans="1:20" ht="15" customHeight="1" x14ac:dyDescent="0.15">
      <c r="A43" s="83"/>
      <c r="F43" s="204" t="s">
        <v>228</v>
      </c>
      <c r="G43" s="83">
        <v>0</v>
      </c>
      <c r="H43" s="83">
        <v>0</v>
      </c>
      <c r="I43" s="83">
        <v>0</v>
      </c>
      <c r="J43" s="83">
        <v>0</v>
      </c>
      <c r="K43" s="83">
        <v>1</v>
      </c>
      <c r="L43" s="83">
        <v>0</v>
      </c>
      <c r="M43" s="83">
        <v>1</v>
      </c>
      <c r="N43" s="83">
        <v>0</v>
      </c>
      <c r="O43" s="83">
        <v>1</v>
      </c>
      <c r="P43" s="72">
        <v>0</v>
      </c>
      <c r="Q43" s="83">
        <v>0</v>
      </c>
      <c r="R43" s="73">
        <v>1</v>
      </c>
      <c r="S43"/>
      <c r="T43"/>
    </row>
    <row r="44" spans="1:20" ht="15" customHeight="1" x14ac:dyDescent="0.15">
      <c r="A44" s="83"/>
      <c r="F44" s="204" t="s">
        <v>229</v>
      </c>
      <c r="G44" s="83">
        <v>0</v>
      </c>
      <c r="H44" s="83">
        <v>0</v>
      </c>
      <c r="I44" s="83">
        <v>0</v>
      </c>
      <c r="J44" s="83">
        <v>0</v>
      </c>
      <c r="K44" s="83">
        <v>1</v>
      </c>
      <c r="L44" s="83">
        <v>0</v>
      </c>
      <c r="M44" s="83">
        <v>1</v>
      </c>
      <c r="N44" s="83">
        <v>0</v>
      </c>
      <c r="O44" s="83">
        <v>1</v>
      </c>
      <c r="P44" s="72">
        <v>0</v>
      </c>
      <c r="Q44" s="83">
        <v>0</v>
      </c>
      <c r="R44" s="73">
        <v>1</v>
      </c>
    </row>
    <row r="45" spans="1:20" ht="15" customHeight="1" x14ac:dyDescent="0.15">
      <c r="A45" s="83"/>
      <c r="F45" s="204" t="s">
        <v>230</v>
      </c>
      <c r="G45" s="83">
        <v>0</v>
      </c>
      <c r="H45" s="83">
        <v>0</v>
      </c>
      <c r="I45" s="83">
        <v>0</v>
      </c>
      <c r="J45" s="83">
        <v>0</v>
      </c>
      <c r="K45" s="83">
        <v>1</v>
      </c>
      <c r="L45" s="83">
        <v>0</v>
      </c>
      <c r="M45" s="83">
        <v>1</v>
      </c>
      <c r="N45" s="83">
        <v>0</v>
      </c>
      <c r="O45" s="83">
        <v>1</v>
      </c>
      <c r="P45" s="72">
        <v>0</v>
      </c>
      <c r="Q45" s="83">
        <v>0</v>
      </c>
      <c r="R45" s="73">
        <v>1</v>
      </c>
    </row>
    <row r="46" spans="1:20" ht="15" customHeight="1" x14ac:dyDescent="0.15">
      <c r="A46" s="83"/>
      <c r="F46" s="204" t="s">
        <v>231</v>
      </c>
      <c r="G46" s="83">
        <v>0</v>
      </c>
      <c r="H46" s="83">
        <v>0</v>
      </c>
      <c r="I46" s="83">
        <v>0</v>
      </c>
      <c r="J46" s="83">
        <v>0</v>
      </c>
      <c r="K46" s="83">
        <v>1</v>
      </c>
      <c r="L46" s="83">
        <v>0</v>
      </c>
      <c r="M46" s="83">
        <v>1</v>
      </c>
      <c r="N46" s="83">
        <v>0</v>
      </c>
      <c r="O46" s="83">
        <v>1</v>
      </c>
      <c r="P46" s="72">
        <v>0</v>
      </c>
      <c r="Q46" s="83">
        <v>0</v>
      </c>
      <c r="R46" s="73">
        <v>1</v>
      </c>
    </row>
    <row r="47" spans="1:20" ht="15" customHeight="1" x14ac:dyDescent="0.15">
      <c r="A47" s="83"/>
      <c r="F47" s="204" t="s">
        <v>232</v>
      </c>
      <c r="G47" s="83">
        <v>0</v>
      </c>
      <c r="H47" s="83">
        <v>0</v>
      </c>
      <c r="I47" s="83">
        <v>0</v>
      </c>
      <c r="J47" s="83">
        <v>0</v>
      </c>
      <c r="K47" s="83">
        <v>1</v>
      </c>
      <c r="L47" s="83">
        <v>0</v>
      </c>
      <c r="M47" s="83">
        <v>1</v>
      </c>
      <c r="N47" s="83">
        <v>0</v>
      </c>
      <c r="O47" s="83">
        <v>1</v>
      </c>
      <c r="P47" s="72">
        <v>0</v>
      </c>
      <c r="Q47" s="83">
        <v>0</v>
      </c>
      <c r="R47" s="73">
        <v>1</v>
      </c>
    </row>
    <row r="48" spans="1:20" ht="15" customHeight="1" x14ac:dyDescent="0.15">
      <c r="A48" s="83"/>
      <c r="F48" s="204" t="s">
        <v>233</v>
      </c>
      <c r="G48" s="83">
        <v>0</v>
      </c>
      <c r="H48" s="83">
        <v>0</v>
      </c>
      <c r="I48" s="83">
        <v>0</v>
      </c>
      <c r="J48" s="83">
        <v>0</v>
      </c>
      <c r="K48" s="83">
        <v>0</v>
      </c>
      <c r="L48" s="83">
        <v>0</v>
      </c>
      <c r="M48" s="83">
        <v>1</v>
      </c>
      <c r="N48" s="83">
        <v>0</v>
      </c>
      <c r="O48" s="83">
        <v>0</v>
      </c>
      <c r="P48" s="72">
        <v>0</v>
      </c>
      <c r="Q48" s="83">
        <v>0</v>
      </c>
      <c r="R48" s="73">
        <v>1</v>
      </c>
    </row>
    <row r="49" spans="6:18" s="83" customFormat="1" ht="15" customHeight="1" x14ac:dyDescent="0.15">
      <c r="F49" s="204" t="s">
        <v>234</v>
      </c>
      <c r="G49" s="83">
        <v>0</v>
      </c>
      <c r="H49" s="83">
        <v>0</v>
      </c>
      <c r="I49" s="83">
        <v>0</v>
      </c>
      <c r="J49" s="83">
        <v>0</v>
      </c>
      <c r="K49" s="83">
        <v>0</v>
      </c>
      <c r="L49" s="83">
        <v>1</v>
      </c>
      <c r="M49" s="83">
        <v>0</v>
      </c>
      <c r="N49" s="83">
        <v>1</v>
      </c>
      <c r="O49" s="83">
        <v>0</v>
      </c>
      <c r="P49" s="72">
        <v>1</v>
      </c>
      <c r="Q49" s="83">
        <v>0</v>
      </c>
      <c r="R49" s="73">
        <v>1</v>
      </c>
    </row>
    <row r="50" spans="6:18" s="83" customFormat="1" ht="15" customHeight="1" x14ac:dyDescent="0.15">
      <c r="F50" s="204" t="s">
        <v>235</v>
      </c>
      <c r="G50" s="83">
        <v>0</v>
      </c>
      <c r="H50" s="83">
        <v>0</v>
      </c>
      <c r="I50" s="83">
        <v>0</v>
      </c>
      <c r="J50" s="83">
        <v>0</v>
      </c>
      <c r="K50" s="83">
        <v>0</v>
      </c>
      <c r="L50" s="83">
        <v>1</v>
      </c>
      <c r="M50" s="83">
        <v>0</v>
      </c>
      <c r="N50" s="83">
        <v>1</v>
      </c>
      <c r="O50" s="83">
        <v>0</v>
      </c>
      <c r="P50" s="72">
        <v>1</v>
      </c>
      <c r="Q50" s="83">
        <v>0</v>
      </c>
      <c r="R50" s="73">
        <v>1</v>
      </c>
    </row>
    <row r="51" spans="6:18" s="83" customFormat="1" ht="15" customHeight="1" x14ac:dyDescent="0.15">
      <c r="F51" s="204" t="s">
        <v>236</v>
      </c>
      <c r="G51" s="83">
        <v>0</v>
      </c>
      <c r="H51" s="83">
        <v>0</v>
      </c>
      <c r="I51" s="83">
        <v>0</v>
      </c>
      <c r="J51" s="83">
        <v>0</v>
      </c>
      <c r="K51" s="83">
        <v>0</v>
      </c>
      <c r="L51" s="83">
        <v>1</v>
      </c>
      <c r="M51" s="83">
        <v>0</v>
      </c>
      <c r="N51" s="83">
        <v>0</v>
      </c>
      <c r="O51" s="83">
        <v>0</v>
      </c>
      <c r="P51" s="72">
        <v>0</v>
      </c>
      <c r="Q51" s="83">
        <v>0</v>
      </c>
      <c r="R51" s="73">
        <v>1</v>
      </c>
    </row>
    <row r="52" spans="6:18" s="83" customFormat="1" ht="15" customHeight="1" x14ac:dyDescent="0.15">
      <c r="F52" s="204" t="s">
        <v>237</v>
      </c>
      <c r="G52" s="83">
        <v>0</v>
      </c>
      <c r="H52" s="83">
        <v>0</v>
      </c>
      <c r="I52" s="83">
        <v>0</v>
      </c>
      <c r="J52" s="83">
        <v>0</v>
      </c>
      <c r="K52" s="83">
        <v>0</v>
      </c>
      <c r="L52" s="83">
        <v>1</v>
      </c>
      <c r="M52" s="83">
        <v>0</v>
      </c>
      <c r="N52" s="83">
        <v>0</v>
      </c>
      <c r="O52" s="83">
        <v>0</v>
      </c>
      <c r="P52" s="72">
        <v>0</v>
      </c>
      <c r="Q52" s="83">
        <v>0</v>
      </c>
      <c r="R52" s="73">
        <v>1</v>
      </c>
    </row>
    <row r="53" spans="6:18" s="8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C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4" customWidth="1"/>
    <col min="3" max="5" width="7.83203125" style="114" customWidth="1"/>
    <col min="6" max="8" width="8.83203125" style="6"/>
    <col min="9" max="9" width="8.5" style="6" customWidth="1"/>
    <col min="10" max="10" width="9" style="6" customWidth="1"/>
    <col min="11" max="11" width="7.5" style="6" customWidth="1"/>
    <col min="12" max="12" width="8.1640625" style="6" customWidth="1"/>
    <col min="13" max="13" width="14.5" style="6" customWidth="1"/>
    <col min="14" max="14" width="17.1640625" style="6" customWidth="1"/>
    <col min="15" max="15" width="15.1640625" style="6" customWidth="1"/>
    <col min="16" max="16" width="17.6640625" style="6" customWidth="1"/>
    <col min="17" max="18" width="13.5" style="6" customWidth="1"/>
    <col min="19" max="19" width="14.83203125" style="6" customWidth="1"/>
    <col min="20" max="20" width="13.6640625" style="6" customWidth="1"/>
    <col min="21" max="21" width="10.1640625" style="6" customWidth="1"/>
    <col min="22" max="22" width="9.6640625" style="6" customWidth="1"/>
    <col min="23" max="23" width="8.5" style="6" customWidth="1"/>
    <col min="24" max="24" width="5.1640625" style="6" customWidth="1"/>
    <col min="25" max="25" width="13.33203125" style="6" customWidth="1"/>
    <col min="26" max="26" width="11.83203125" style="6" customWidth="1"/>
    <col min="27" max="27" width="12.5" style="6" customWidth="1"/>
    <col min="28" max="28" width="9.83203125" style="6" customWidth="1"/>
    <col min="29" max="29" width="8" style="6" customWidth="1"/>
    <col min="30" max="30" width="6.83203125" style="6" customWidth="1"/>
    <col min="31" max="31" width="13.1640625" style="6" customWidth="1"/>
    <col min="32" max="32" width="11" style="6" customWidth="1"/>
    <col min="33" max="33" width="12.1640625" style="6" customWidth="1"/>
    <col min="34" max="34" width="13.5" style="6" customWidth="1"/>
    <col min="35" max="35" width="10.6640625" style="6" customWidth="1"/>
    <col min="36" max="36" width="10.83203125" style="6" customWidth="1"/>
    <col min="37" max="37" width="9.5" style="6" customWidth="1"/>
    <col min="38" max="38" width="11.5" style="6" customWidth="1"/>
    <col min="39" max="39" width="10" customWidth="1"/>
    <col min="40" max="40" width="11.1640625" customWidth="1"/>
    <col min="41" max="41" width="9.6640625" customWidth="1"/>
    <col min="42" max="42" width="11.83203125" customWidth="1"/>
    <col min="43" max="43" width="12.1640625" customWidth="1"/>
    <col min="44" max="44" width="12.33203125" customWidth="1"/>
    <col min="45" max="45" width="14.6640625" customWidth="1"/>
    <col min="46" max="46" width="13" customWidth="1"/>
    <col min="47" max="47" width="9.6640625" customWidth="1"/>
    <col min="48" max="48" width="8.1640625" customWidth="1"/>
    <col min="49" max="49" width="6.33203125" customWidth="1"/>
    <col min="50" max="50" width="6.5" customWidth="1"/>
    <col min="51" max="51" width="19.5" customWidth="1"/>
    <col min="52" max="52" width="7.6640625" customWidth="1"/>
    <col min="53" max="53" width="21.6640625" customWidth="1"/>
    <col min="54" max="54" width="9.33203125" customWidth="1"/>
    <col min="55" max="55" width="10.1640625" customWidth="1"/>
    <col min="81" max="81" width="22.1640625" bestFit="1" customWidth="1"/>
  </cols>
  <sheetData>
    <row r="1" spans="1:55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09" t="s">
        <v>191</v>
      </c>
      <c r="J1" s="209" t="s">
        <v>192</v>
      </c>
      <c r="K1" s="209" t="s">
        <v>193</v>
      </c>
      <c r="L1" s="209" t="s">
        <v>194</v>
      </c>
      <c r="M1" s="209" t="s">
        <v>195</v>
      </c>
      <c r="N1" s="209" t="s">
        <v>196</v>
      </c>
      <c r="O1" s="209" t="s">
        <v>197</v>
      </c>
      <c r="P1" s="209" t="s">
        <v>198</v>
      </c>
      <c r="Q1" s="209" t="s">
        <v>199</v>
      </c>
      <c r="R1" s="209" t="s">
        <v>200</v>
      </c>
      <c r="S1" s="209" t="s">
        <v>201</v>
      </c>
      <c r="T1" s="209" t="s">
        <v>202</v>
      </c>
      <c r="U1" s="209" t="s">
        <v>203</v>
      </c>
      <c r="V1" s="209" t="s">
        <v>204</v>
      </c>
      <c r="W1" s="209" t="s">
        <v>205</v>
      </c>
      <c r="X1" s="209" t="s">
        <v>206</v>
      </c>
      <c r="Y1" s="209" t="s">
        <v>207</v>
      </c>
      <c r="Z1" s="209" t="s">
        <v>208</v>
      </c>
      <c r="AA1" s="209" t="s">
        <v>209</v>
      </c>
      <c r="AB1" s="209" t="s">
        <v>210</v>
      </c>
      <c r="AC1" s="209" t="s">
        <v>211</v>
      </c>
      <c r="AD1" s="209" t="s">
        <v>212</v>
      </c>
      <c r="AE1" s="209" t="s">
        <v>213</v>
      </c>
      <c r="AF1" s="209" t="s">
        <v>214</v>
      </c>
      <c r="AG1" s="209" t="s">
        <v>215</v>
      </c>
      <c r="AH1" s="209" t="s">
        <v>216</v>
      </c>
      <c r="AI1" s="209" t="s">
        <v>217</v>
      </c>
      <c r="AJ1" s="209" t="s">
        <v>218</v>
      </c>
      <c r="AK1" s="209" t="s">
        <v>219</v>
      </c>
      <c r="AL1" s="209" t="s">
        <v>220</v>
      </c>
      <c r="AM1" s="209" t="s">
        <v>221</v>
      </c>
      <c r="AN1" s="209" t="s">
        <v>222</v>
      </c>
      <c r="AO1" s="209" t="s">
        <v>223</v>
      </c>
      <c r="AP1" s="209" t="s">
        <v>224</v>
      </c>
      <c r="AQ1" s="209" t="s">
        <v>225</v>
      </c>
      <c r="AR1" s="209" t="s">
        <v>226</v>
      </c>
      <c r="AS1" s="209" t="s">
        <v>227</v>
      </c>
      <c r="AT1" s="209" t="s">
        <v>228</v>
      </c>
      <c r="AU1" s="209" t="s">
        <v>229</v>
      </c>
      <c r="AV1" s="209" t="s">
        <v>230</v>
      </c>
      <c r="AW1" s="209" t="s">
        <v>231</v>
      </c>
      <c r="AX1" s="209" t="s">
        <v>232</v>
      </c>
      <c r="AY1" s="209" t="s">
        <v>233</v>
      </c>
      <c r="AZ1" s="209" t="s">
        <v>234</v>
      </c>
      <c r="BA1" s="209" t="s">
        <v>235</v>
      </c>
      <c r="BB1" s="209" t="s">
        <v>236</v>
      </c>
      <c r="BC1" s="209" t="s">
        <v>237</v>
      </c>
    </row>
    <row r="2" spans="1:55" x14ac:dyDescent="0.15">
      <c r="A2" t="s">
        <v>38</v>
      </c>
      <c r="B2" s="11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5" x14ac:dyDescent="0.15">
      <c r="A3" t="s">
        <v>40</v>
      </c>
      <c r="B3" s="11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5" x14ac:dyDescent="0.15">
      <c r="A4" t="s">
        <v>41</v>
      </c>
      <c r="B4" s="11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5" x14ac:dyDescent="0.15">
      <c r="A5" s="208" t="s">
        <v>191</v>
      </c>
      <c r="B5" s="11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5" x14ac:dyDescent="0.15">
      <c r="A6" s="208" t="s">
        <v>192</v>
      </c>
      <c r="B6" s="11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5" x14ac:dyDescent="0.15">
      <c r="A7" s="208" t="s">
        <v>193</v>
      </c>
      <c r="B7" s="11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5" x14ac:dyDescent="0.15">
      <c r="A8" s="208" t="s">
        <v>194</v>
      </c>
      <c r="B8" s="11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5" x14ac:dyDescent="0.15">
      <c r="A9" s="208" t="s">
        <v>195</v>
      </c>
      <c r="B9" s="11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5" x14ac:dyDescent="0.15">
      <c r="A10" s="208" t="s">
        <v>196</v>
      </c>
      <c r="B10" s="11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5" x14ac:dyDescent="0.15">
      <c r="A11" s="208" t="s">
        <v>197</v>
      </c>
      <c r="B11" s="11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5" x14ac:dyDescent="0.15">
      <c r="A12" s="208" t="s">
        <v>198</v>
      </c>
      <c r="B12" s="11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5" x14ac:dyDescent="0.15">
      <c r="A13" s="208" t="s">
        <v>199</v>
      </c>
      <c r="B13" s="11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5" x14ac:dyDescent="0.15">
      <c r="A14" s="208" t="s">
        <v>200</v>
      </c>
      <c r="B14" s="11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5" x14ac:dyDescent="0.15">
      <c r="A15" s="208" t="s">
        <v>201</v>
      </c>
      <c r="B15" s="11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5" x14ac:dyDescent="0.15">
      <c r="A16" s="208" t="s">
        <v>202</v>
      </c>
      <c r="B16" s="11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8" t="s">
        <v>203</v>
      </c>
      <c r="B17" s="11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8" t="s">
        <v>204</v>
      </c>
      <c r="B18" s="11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8" t="s">
        <v>205</v>
      </c>
      <c r="B19" s="11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8" t="s">
        <v>206</v>
      </c>
      <c r="B20" s="11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8" t="s">
        <v>207</v>
      </c>
      <c r="B21" s="11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8" t="s">
        <v>208</v>
      </c>
      <c r="B22" s="11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8" t="s">
        <v>209</v>
      </c>
      <c r="B23" s="11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8" t="s">
        <v>210</v>
      </c>
      <c r="B24" s="11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8" t="s">
        <v>211</v>
      </c>
      <c r="B25" s="11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8" t="s">
        <v>212</v>
      </c>
      <c r="B26" s="11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8" t="s">
        <v>213</v>
      </c>
      <c r="B27" s="11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8" t="s">
        <v>214</v>
      </c>
      <c r="B28" s="11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8" t="s">
        <v>215</v>
      </c>
      <c r="B29" s="11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8" t="s">
        <v>216</v>
      </c>
      <c r="B30" s="11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8" t="s">
        <v>217</v>
      </c>
      <c r="B31" s="11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8" t="s">
        <v>218</v>
      </c>
      <c r="B32" s="11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8" t="s">
        <v>219</v>
      </c>
      <c r="B33" s="11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8" t="s">
        <v>220</v>
      </c>
      <c r="B34" s="11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8" t="s">
        <v>221</v>
      </c>
      <c r="B35" s="11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8" t="s">
        <v>222</v>
      </c>
      <c r="B36" s="114">
        <v>0</v>
      </c>
      <c r="C36"/>
      <c r="D36"/>
    </row>
    <row r="37" spans="1:38" ht="15" customHeight="1" x14ac:dyDescent="0.15">
      <c r="A37" s="208" t="s">
        <v>223</v>
      </c>
      <c r="B37" s="114">
        <v>0</v>
      </c>
      <c r="C37"/>
      <c r="D37"/>
    </row>
    <row r="38" spans="1:38" ht="15" customHeight="1" x14ac:dyDescent="0.15">
      <c r="A38" s="208" t="s">
        <v>224</v>
      </c>
      <c r="B38" s="11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8" t="s">
        <v>225</v>
      </c>
      <c r="B39" s="114">
        <v>0</v>
      </c>
      <c r="C39"/>
      <c r="D39"/>
    </row>
    <row r="40" spans="1:38" ht="15" customHeight="1" x14ac:dyDescent="0.15">
      <c r="A40" s="208" t="s">
        <v>226</v>
      </c>
      <c r="B40" s="114">
        <v>0</v>
      </c>
      <c r="C40"/>
      <c r="D40"/>
    </row>
    <row r="41" spans="1:38" ht="15" customHeight="1" x14ac:dyDescent="0.15">
      <c r="A41" s="208" t="s">
        <v>227</v>
      </c>
      <c r="B41" s="114">
        <v>0</v>
      </c>
      <c r="C41"/>
      <c r="D41"/>
    </row>
    <row r="42" spans="1:38" ht="15" customHeight="1" x14ac:dyDescent="0.15">
      <c r="A42" s="208" t="s">
        <v>228</v>
      </c>
      <c r="B42" s="114">
        <v>0</v>
      </c>
    </row>
    <row r="43" spans="1:38" ht="15" customHeight="1" x14ac:dyDescent="0.15">
      <c r="A43" s="208" t="s">
        <v>229</v>
      </c>
      <c r="B43" s="114">
        <v>0</v>
      </c>
    </row>
    <row r="44" spans="1:38" ht="15" customHeight="1" x14ac:dyDescent="0.15">
      <c r="A44" s="208" t="s">
        <v>230</v>
      </c>
      <c r="B44" s="114">
        <v>0</v>
      </c>
    </row>
    <row r="45" spans="1:38" ht="15" customHeight="1" x14ac:dyDescent="0.15">
      <c r="A45" s="208" t="s">
        <v>231</v>
      </c>
      <c r="B45" s="114">
        <v>0</v>
      </c>
    </row>
    <row r="46" spans="1:38" ht="15" customHeight="1" x14ac:dyDescent="0.15">
      <c r="A46" s="208" t="s">
        <v>232</v>
      </c>
      <c r="B46" s="114">
        <v>0</v>
      </c>
    </row>
    <row r="47" spans="1:38" ht="15" customHeight="1" x14ac:dyDescent="0.15">
      <c r="A47" s="208" t="s">
        <v>233</v>
      </c>
      <c r="B47" s="114">
        <v>0</v>
      </c>
    </row>
    <row r="48" spans="1:38" ht="15" customHeight="1" x14ac:dyDescent="0.15">
      <c r="A48" s="208" t="s">
        <v>234</v>
      </c>
      <c r="B48" s="114">
        <v>0</v>
      </c>
    </row>
    <row r="49" spans="1:38" ht="15" customHeight="1" x14ac:dyDescent="0.15">
      <c r="A49" s="208" t="s">
        <v>235</v>
      </c>
      <c r="B49" s="114">
        <v>0</v>
      </c>
    </row>
    <row r="50" spans="1:38" ht="15" customHeight="1" x14ac:dyDescent="0.15">
      <c r="A50" s="208" t="s">
        <v>236</v>
      </c>
      <c r="B50" s="114">
        <v>0</v>
      </c>
    </row>
    <row r="51" spans="1:38" ht="15" customHeight="1" x14ac:dyDescent="0.15">
      <c r="A51" s="208" t="s">
        <v>237</v>
      </c>
      <c r="B51" s="114">
        <v>0</v>
      </c>
    </row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2022-10-24T04:42:30Z</dcterms:modified>
</cp:coreProperties>
</file>