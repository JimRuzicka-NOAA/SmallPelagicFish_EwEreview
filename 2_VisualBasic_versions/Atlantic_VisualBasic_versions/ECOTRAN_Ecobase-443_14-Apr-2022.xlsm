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7F658BEC-2CEC-544E-BC38-991C95424063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Main!$C$2:$N$42</definedName>
    <definedName name="matDetritus">Detritus!$C$2:$E$42</definedName>
    <definedName name="matDiet">Diets!$B$2:$AH$37</definedName>
    <definedName name="matDiscards">Discards!$C$2:$H$36</definedName>
    <definedName name="matFishery">Fishing!$C$2:$H$36</definedName>
    <definedName name="matFishing">Fishing!#REF!</definedName>
    <definedName name="matMort">Mortalities!$A$1:$AR$36</definedName>
    <definedName name="matOut">MainOutputs!$A$2:$I$42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<sst xmlns="http://schemas.openxmlformats.org/spreadsheetml/2006/main" count="1102" uniqueCount="243">
  <si>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</si>
  <si>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</si>
  <si>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</si>
  <si>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</si>
  <si>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</si>
  <si>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</si>
  <si>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</si>
  <si>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</si>
  <si>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</si>
  <si>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</si>
  <si>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</si>
  <si>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</si>
  <si>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</si>
  <si>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</si>
  <si>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</si>
  <si>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</si>
  <si>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</si>
  <si>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</si>
  <si>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</si>
  <si>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</si>
  <si>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</si>
  <si>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</si>
  <si>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</si>
  <si>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</si>
  <si>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</si>
  <si>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</si>
  <si>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</si>
  <si>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</si>
  <si>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</si>
  <si>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</si>
  <si>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</si>
  <si>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</si>
  <si>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</si>
  <si>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</si>
  <si>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</si>
  <si>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</si>
  <si>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</si>
  <si>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</si>
  <si>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</si>
  <si>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</si>
  <si>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</si>
  <si>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</si>
  <si>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</si>
  <si>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</si>
  <si>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</si>
  <si>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</si>
  <si>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</si>
  <si>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</si>
  <si>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</si>
  <si>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</si>
  <si>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</si>
  <si>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</si>
  <si>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</si>
  <si>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</si>
  <si>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</si>
  <si>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</si>
  <si>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</si>
  <si>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</si>
  <si>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</si>
  <si>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</si>
  <si>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</si>
  <si>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</si>
  <si>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</si>
  <si>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</si>
  <si>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</si>
  <si>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</si>
  <si>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</si>
  <si>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</si>
  <si>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</si>
  <si>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</si>
  <si>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</si>
  <si>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</si>
  <si>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</si>
  <si>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</si>
  <si>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</si>
  <si>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</si>
  <si>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</si>
  <si>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</si>
  <si>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</si>
  <si>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</si>
  <si>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</si>
  <si>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</si>
  <si>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</si>
  <si>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</si>
  <si>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</si>
  <si>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</si>
  <si>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</si>
  <si>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</si>
  <si>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</si>
  <si>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</si>
  <si>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</si>
  <si>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</si>
  <si>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</si>
  <si>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</si>
  <si>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</si>
  <si>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</si>
  <si>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</si>
  <si>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</si>
  <si>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</si>
  <si>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</si>
  <si>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</si>
  <si>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</si>
  <si>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</si>
  <si>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</si>
  <si>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</si>
  <si>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</si>
  <si>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</si>
  <si>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</si>
  <si>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</si>
  <si>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</si>
  <si>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</si>
  <si>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</si>
  <si>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</si>
  <si>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</si>
  <si>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</si>
  <si>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</si>
  <si>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</si>
  <si>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</si>
  <si>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</si>
  <si>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</si>
  <si>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</si>
  <si>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</si>
  <si>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</si>
  <si>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</si>
  <si>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</si>
  <si>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</si>
  <si>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</si>
  <si>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</si>
  <si>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</si>
  <si>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</si>
  <si>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</si>
  <si>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</si>
  <si>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</si>
  <si>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</si>
  <si>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</si>
  <si>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</si>
  <si>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</si>
  <si>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</si>
  <si>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</si>
  <si>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</si>
  <si>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</si>
  <si>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</si>
  <si>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</si>
  <si>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</si>
  <si>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</si>
  <si>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</si>
  <si>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</si>
  <si>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</si>
  <si>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</si>
  <si>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</si>
  <si>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</si>
  <si>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</si>
  <si>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</si>
  <si>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</si>
  <si>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</si>
  <si>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</si>
  <si>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</si>
  <si>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</si>
  <si>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</si>
  <si>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</si>
  <si>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</si>
  <si>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</si>
  <si>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</si>
  <si>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</si>
  <si>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</si>
  <si>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</si>
  <si>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</si>
  <si>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</si>
  <si>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</si>
  <si>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</si>
  <si>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</si>
  <si>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</si>
  <si>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</si>
  <si>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</si>
  <si>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</si>
  <si>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</si>
  <si>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</si>
  <si>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</si>
  <si>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</si>
  <si>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</si>
  <si>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</si>
  <si>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</si>
  <si>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</si>
  <si>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</si>
  <si>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</si>
  <si>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West scotland DeepSea</t>
  </si>
  <si>
    <t>U.K. of Great Britain and Northern Ireland</t>
  </si>
  <si>
    <t>BOX(-10.8396400978841 54.6168216471678,-6.50824771188412 60.1918811539004)</t>
  </si>
  <si>
    <t>open ocean</t>
  </si>
  <si>
    <t>WetWeight</t>
  </si>
  <si>
    <t>; 14/04/2009 16:57:54; 16/04/2009 14:25:52; 20/04/2009 12:29:15; 20/04/2009 12:46:46; 20/04/2009 16:07:54; 20/04/2009 18:07:12; 20/04/2009 18:52:00; 21/04/2009 15:14:21; 21/04/2009 17:53:38; 27/04/2009 17:00:58; 27/04/2009 18:16:12; 27/04/2009 20:51:28; 01/05/2009 10:56:12; 01/05/2009 12:18:43; 01/05/2009 15:45:33</t>
  </si>
  <si>
    <t>Howell K.L.,Heymans J.J.,Gordon J.D.M.,Duncan J.,Ayers M.,Jones E.G.(2009). DEEPFISH Project: Applying an ecosystem approach to the sustainable management of deep-water fisheries. Part 1: Development of an Ecopath with Ecosim model. Scottish Association for Marine Science Report</t>
  </si>
  <si>
    <t>Cetaceans</t>
  </si>
  <si>
    <t>Shallow sharks</t>
  </si>
  <si>
    <t>Intermediate sharks</t>
  </si>
  <si>
    <t>Deep sharks</t>
  </si>
  <si>
    <t>Large demersals</t>
  </si>
  <si>
    <t>Skates and rays</t>
  </si>
  <si>
    <t>Coryphanoides L</t>
  </si>
  <si>
    <t>Coryphanoides S</t>
  </si>
  <si>
    <t>Monkfish</t>
  </si>
  <si>
    <t>Orange roughy</t>
  </si>
  <si>
    <t>Argentine</t>
  </si>
  <si>
    <t>Blue whiting</t>
  </si>
  <si>
    <t>Black scabbard fish</t>
  </si>
  <si>
    <t>Blue ling</t>
  </si>
  <si>
    <t>Ling</t>
  </si>
  <si>
    <t>Greater forkbeard</t>
  </si>
  <si>
    <t>Bairds smoothhead</t>
  </si>
  <si>
    <t>Bulls eye black cardinalfish</t>
  </si>
  <si>
    <t>Kaups arrowtooth eel</t>
  </si>
  <si>
    <t>Megrim L. whiffiagonis</t>
  </si>
  <si>
    <t>Mesopelagic fish</t>
  </si>
  <si>
    <t>Benthopelagic fish</t>
  </si>
  <si>
    <t>Benthic teleosts</t>
  </si>
  <si>
    <t>Chimeras</t>
  </si>
  <si>
    <t>Cephalopods</t>
  </si>
  <si>
    <t>Prawns and shrimp</t>
  </si>
  <si>
    <t>Gelatinous plankton</t>
  </si>
  <si>
    <t>Large zooplankton</t>
  </si>
  <si>
    <t>Small zooplankton</t>
  </si>
  <si>
    <t>Polychaetes</t>
  </si>
  <si>
    <t>Echinoderms</t>
  </si>
  <si>
    <t>Other benthic inverts</t>
  </si>
  <si>
    <t>Phytoplankton</t>
  </si>
  <si>
    <t>Detritus</t>
  </si>
  <si>
    <t>detritus_TerminalBenthic</t>
  </si>
  <si>
    <t>Demersal Trawlers</t>
  </si>
  <si>
    <t>Orange Roughy Trawl fishery</t>
  </si>
  <si>
    <t>Longline</t>
  </si>
  <si>
    <t>Pelagic trawl fishery</t>
  </si>
  <si>
    <t>Gill/tangle net fishery</t>
  </si>
  <si>
    <t>Traps</t>
  </si>
  <si>
    <t>Import</t>
  </si>
  <si>
    <t>export</t>
  </si>
  <si>
    <t>sum</t>
  </si>
  <si>
    <t>TOTAL</t>
  </si>
  <si>
    <t>F Demersal Trawlers</t>
  </si>
  <si>
    <t>F Orange Roughy Trawl fishery</t>
  </si>
  <si>
    <t>F Longline</t>
  </si>
  <si>
    <t>F Pelagic trawl fishery</t>
  </si>
  <si>
    <t>F Gill/tangle net fishery</t>
  </si>
  <si>
    <t>F Traps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</si>
</sst>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30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FFB6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FF25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FF97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FFF2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F7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FDFF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FA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54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" fillId="0" borderId="0" xfId="0" applyFont="1" applyAlignment="1">
      <alignment horizontal="center"/>
    </xf>
    <xf numFmtId="0" fontId="0" fillId="36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 applyAlignment="1">
      <alignment horizontal="center"/>
    </xf>
    <xf numFmtId="0" fontId="0" fillId="39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7" borderId="3" xfId="0" applyNumberFormat="1" applyFont="1" applyFill="1" applyBorder="1"/>
    <xf numFmtId="0" fontId="0" fillId="37" borderId="2" xfId="0" applyFont="1" applyFill="1" applyBorder="1"/>
    <xf numFmtId="0" fontId="0" fillId="37" borderId="3" xfId="0" applyFont="1" applyFill="1" applyBorder="1"/>
    <xf numFmtId="0" fontId="0" fillId="3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0" borderId="0" xfId="0" applyFill="1"/>
    <xf numFmtId="0" fontId="0" fillId="41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2" borderId="0" xfId="0" applyFill="1"/>
    <xf numFmtId="0" fontId="0" fillId="43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25" borderId="0" xfId="0" applyFill="1"/>
    <xf numFmtId="0" fontId="0" fillId="129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71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2" t="s">
        <v>171</v>
      </c>
      <c r="C53" s="106">
        <v>443</v>
      </c>
      <c r="D53" s="106"/>
    </row>
    <row r="54" spans="2:4" x14ac:dyDescent="0.15">
      <c r="B54" s="172" t="s">
        <v>172</v>
      </c>
      <c r="C54" s="172" t="s">
        <v>185</v>
      </c>
      <c r="D54" s="106"/>
    </row>
    <row r="55" spans="2:4" x14ac:dyDescent="0.15">
      <c r="B55" s="172" t="s">
        <v>173</v>
      </c>
      <c r="C55" s="172" t="s">
        <v>186</v>
      </c>
      <c r="D55" s="106"/>
    </row>
    <row r="56" spans="2:4" x14ac:dyDescent="0.15">
      <c r="B56" s="172" t="s">
        <v>174</v>
      </c>
      <c r="C56" s="106">
        <v>75539</v>
      </c>
      <c r="D56" s="106"/>
    </row>
    <row r="57" spans="2:4" x14ac:dyDescent="0.15">
      <c r="B57" s="172" t="s">
        <v>175</v>
      </c>
      <c r="C57" s="172" t="s">
        <v>187</v>
      </c>
      <c r="D57" s="106"/>
    </row>
    <row r="58" spans="2:4" x14ac:dyDescent="0.15">
      <c r="B58" s="172" t="s">
        <v>176</v>
      </c>
      <c r="C58" s="172" t="s">
        <v>188</v>
      </c>
      <c r="D58" s="106"/>
    </row>
    <row r="59" spans="2:4" x14ac:dyDescent="0.15">
      <c r="B59" s="172" t="s">
        <v>177</v>
      </c>
      <c r="C59" s="172" t="s">
        <v>189</v>
      </c>
      <c r="D59" s="106"/>
    </row>
    <row r="60" spans="2:4" x14ac:dyDescent="0.15">
      <c r="B60" s="172" t="s">
        <v>178</v>
      </c>
      <c r="C60" s="172" t="s">
        <v>190</v>
      </c>
      <c r="D60" s="106"/>
    </row>
    <row r="61" spans="2:4" x14ac:dyDescent="0.15">
      <c r="B61" s="172" t="s">
        <v>179</v>
      </c>
      <c r="C61" s="106">
        <v>34</v>
      </c>
      <c r="D61" s="106"/>
    </row>
    <row r="62" spans="2:4" x14ac:dyDescent="0.15">
      <c r="B62" s="172" t="s">
        <v>180</v>
      </c>
      <c r="C62" s="106">
        <v>6</v>
      </c>
      <c r="D62" s="106"/>
    </row>
    <row r="63" spans="2:4" x14ac:dyDescent="0.15">
      <c r="B63" s="172" t="s">
        <v>181</v>
      </c>
      <c r="C63" s="106">
        <v>1974</v>
      </c>
      <c r="D63" s="106"/>
    </row>
    <row r="64" spans="2:4" x14ac:dyDescent="0.15">
      <c r="B64" s="172" t="s">
        <v>182</v>
      </c>
      <c r="C64" s="106">
        <v>1</v>
      </c>
      <c r="D64" s="106"/>
    </row>
    <row r="65" spans="2:4" x14ac:dyDescent="0.15">
      <c r="B65" s="172" t="s">
        <v>183</v>
      </c>
      <c r="C65" s="172" t="s">
        <v>191</v>
      </c>
      <c r="D65" s="106"/>
    </row>
    <row r="66" spans="2:4" x14ac:dyDescent="0.15">
      <c r="B66" s="172" t="s">
        <v>184</v>
      </c>
      <c r="D66" s="106"/>
    </row>
    <row r="67" spans="2:4" x14ac:dyDescent="0.15">
      <c r="B67" s="106"/>
      <c r="C67" s="106"/>
      <c r="D67" s="106"/>
    </row>
    <row r="68" spans="2:4" x14ac:dyDescent="0.15">
      <c r="B68" s="106"/>
      <c r="C68" s="106"/>
      <c r="D68" s="106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80" customWidth="1"/>
    <col min="2" max="3" width="3.33203125" style="80" customWidth="1"/>
    <col min="4" max="4" width="14.33203125" style="80" customWidth="1"/>
    <col min="5" max="5" width="25" style="80" bestFit="1" customWidth="1"/>
    <col min="6" max="6" width="2.33203125" style="80" bestFit="1" customWidth="1"/>
    <col min="7" max="7" width="12.83203125" style="80" bestFit="1" customWidth="1"/>
    <col min="8" max="8" width="5.83203125" style="80" customWidth="1"/>
    <col min="9" max="9" width="10.83203125" style="80" customWidth="1"/>
    <col min="10" max="10" width="14.5" style="80" customWidth="1"/>
    <col min="11" max="11" width="12.83203125" style="80" customWidth="1"/>
    <col min="12" max="12" width="2.33203125" style="80" customWidth="1"/>
    <col min="13" max="13" width="3.83203125" style="80" customWidth="1"/>
    <col min="14" max="14" width="2.33203125" style="80" customWidth="1"/>
    <col min="16" max="25" width="8.83203125" style="80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0"/>
  </cols>
  <sheetData>
    <row r="1" spans="1:46" s="97" customFormat="1" ht="15" customHeight="1" x14ac:dyDescent="0.15">
      <c r="A1" s="76" t="s">
        <v>18</v>
      </c>
      <c r="C1" s="77" t="s">
        <v>8</v>
      </c>
      <c r="D1" s="76" t="s">
        <v>23</v>
      </c>
      <c r="E1" s="76" t="s">
        <v>0</v>
      </c>
      <c r="F1" s="76" t="s">
        <v>7</v>
      </c>
      <c r="G1" s="78" t="s">
        <v>13</v>
      </c>
      <c r="H1" s="76" t="s">
        <v>1</v>
      </c>
      <c r="I1" s="76" t="s">
        <v>2</v>
      </c>
      <c r="J1" s="76" t="s">
        <v>14</v>
      </c>
      <c r="K1" s="76" t="s">
        <v>3</v>
      </c>
      <c r="L1" s="76" t="s">
        <v>4</v>
      </c>
      <c r="M1" s="76" t="s">
        <v>5</v>
      </c>
      <c r="N1" s="76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7">
        <v>1</v>
      </c>
      <c r="D2"/>
      <c r="E2" s="173" t="s">
        <v>192</v>
      </c>
      <c r="F2" s="80">
        <v>0</v>
      </c>
      <c r="G2" s="80">
        <v>0.02</v>
      </c>
      <c r="H2" s="80">
        <v>7.4999999999999997E-2</v>
      </c>
      <c r="I2" s="6">
        <v>6.7750000000000004</v>
      </c>
      <c r="J2" s="6">
        <v>8.3998389999999992E-3</v>
      </c>
      <c r="K2" s="6">
        <v>1.10701108E-2</v>
      </c>
      <c r="L2" s="6">
        <v>0</v>
      </c>
      <c r="M2" s="80">
        <v>0.2</v>
      </c>
      <c r="N2" s="80">
        <v>0</v>
      </c>
    </row>
    <row r="3" spans="1:46" ht="15" customHeight="1" x14ac:dyDescent="0.15">
      <c r="A3" s="1" t="s">
        <v>9</v>
      </c>
      <c r="B3" s="4">
        <v>33</v>
      </c>
      <c r="C3" s="80">
        <v>2</v>
      </c>
      <c r="D3"/>
      <c r="E3" s="173" t="s">
        <v>193</v>
      </c>
      <c r="F3" s="80">
        <v>0</v>
      </c>
      <c r="G3" s="80">
        <v>1.2999999999999999E-2</v>
      </c>
      <c r="H3" s="80">
        <v>0.3</v>
      </c>
      <c r="I3" s="80">
        <v>3.05</v>
      </c>
      <c r="J3" s="80">
        <v>1.42094144E-3</v>
      </c>
      <c r="K3" s="80">
        <v>9.8360660000000003E-2</v>
      </c>
      <c r="L3" s="80">
        <v>0</v>
      </c>
      <c r="M3" s="80">
        <v>0.2</v>
      </c>
      <c r="N3" s="80">
        <v>0</v>
      </c>
    </row>
    <row r="4" spans="1:46" ht="15" customHeight="1" x14ac:dyDescent="0.15">
      <c r="A4" s="1" t="s">
        <v>10</v>
      </c>
      <c r="B4" s="4">
        <v>2</v>
      </c>
      <c r="C4" s="80">
        <v>3</v>
      </c>
      <c r="D4"/>
      <c r="E4" s="173" t="s">
        <v>194</v>
      </c>
      <c r="F4" s="80">
        <v>0</v>
      </c>
      <c r="G4" s="80">
        <v>0.7</v>
      </c>
      <c r="H4" s="80">
        <v>0.14000000000000001</v>
      </c>
      <c r="I4" s="80">
        <v>1.8</v>
      </c>
      <c r="J4" s="80">
        <v>8.3963759999999994E-5</v>
      </c>
      <c r="K4" s="80">
        <v>7.7777780000000005E-2</v>
      </c>
      <c r="L4" s="80">
        <v>0</v>
      </c>
      <c r="M4" s="80">
        <v>0.2</v>
      </c>
      <c r="N4" s="80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6</v>
      </c>
      <c r="C5" s="80">
        <v>4</v>
      </c>
      <c r="D5"/>
      <c r="E5" s="173" t="s">
        <v>195</v>
      </c>
      <c r="F5" s="80">
        <v>0</v>
      </c>
      <c r="G5" s="80">
        <v>1.9E-2</v>
      </c>
      <c r="H5" s="80">
        <v>0.17</v>
      </c>
      <c r="I5" s="80">
        <v>1.84</v>
      </c>
      <c r="J5" s="80">
        <v>1.39882555E-3</v>
      </c>
      <c r="K5" s="80">
        <v>9.2391304699999996E-2</v>
      </c>
      <c r="L5" s="80">
        <v>0</v>
      </c>
      <c r="M5" s="80">
        <v>0.2</v>
      </c>
      <c r="N5" s="80">
        <v>0</v>
      </c>
      <c r="P5" s="71"/>
      <c r="Q5" s="71"/>
      <c r="R5" s="71"/>
    </row>
    <row r="6" spans="1:46" ht="15" customHeight="1" thickBot="1" x14ac:dyDescent="0.2">
      <c r="B6" s="1"/>
      <c r="C6" s="80">
        <v>5</v>
      </c>
      <c r="D6"/>
      <c r="E6" s="173" t="s">
        <v>196</v>
      </c>
      <c r="F6" s="80">
        <v>0</v>
      </c>
      <c r="G6" s="80">
        <v>0.15</v>
      </c>
      <c r="H6" s="80">
        <v>0.19</v>
      </c>
      <c r="I6" s="80">
        <v>2.0099999999999998</v>
      </c>
      <c r="J6" s="80">
        <v>0.70519100000000001</v>
      </c>
      <c r="K6" s="80">
        <v>9.45273638E-2</v>
      </c>
      <c r="L6" s="80">
        <v>0</v>
      </c>
      <c r="M6" s="80">
        <v>0.2</v>
      </c>
      <c r="N6" s="80">
        <v>0</v>
      </c>
      <c r="P6" s="71"/>
      <c r="Q6" s="71"/>
      <c r="R6" s="71"/>
      <c r="W6" s="36" t="s">
        <v>31</v>
      </c>
      <c r="X6" s="52">
        <f>MAX(MainOutputs!G:G)</f>
        <v>0.95011156797409058</v>
      </c>
    </row>
    <row r="7" spans="1:46" ht="15" customHeight="1" x14ac:dyDescent="0.15">
      <c r="A7" s="2" t="s">
        <v>27</v>
      </c>
      <c r="B7" s="80">
        <f ca="1">COUNTIF(OFFSET(cornerDiets,1,1,NumLiving+NumDead+1,NumLiving+NumDead),"&gt;0")+NumLiving+NumDead+1</f>
        <v>328</v>
      </c>
      <c r="C7" s="80">
        <v>6</v>
      </c>
      <c r="D7"/>
      <c r="E7" s="173" t="s">
        <v>197</v>
      </c>
      <c r="F7" s="80">
        <v>0</v>
      </c>
      <c r="G7" s="80">
        <v>1.2999999999999999E-2</v>
      </c>
      <c r="H7" s="80">
        <v>0.2</v>
      </c>
      <c r="I7" s="80">
        <v>1.62</v>
      </c>
      <c r="J7" s="80">
        <v>2.8636877000000002E-4</v>
      </c>
      <c r="K7" s="80">
        <v>0.123456791</v>
      </c>
      <c r="L7" s="80">
        <v>0</v>
      </c>
      <c r="M7" s="80">
        <v>0.2</v>
      </c>
      <c r="N7" s="80">
        <v>0</v>
      </c>
      <c r="P7" s="71"/>
      <c r="Q7" s="71"/>
      <c r="R7" s="71"/>
    </row>
    <row r="8" spans="1:46" ht="15" customHeight="1" x14ac:dyDescent="0.15">
      <c r="A8" s="2" t="s">
        <v>28</v>
      </c>
      <c r="B8" s="80">
        <f ca="1">COUNTIF(OFFSET(cornerFishing,1,2,NumLiving+NumDead,NumGears),"&gt;0")+NumDead*COUNTIF(OFFSET(cornerDiscards,1,2,NumLiving+NumDead,NumGears),"&gt;0")+NumLiving+NumDead+1</f>
        <v>101</v>
      </c>
      <c r="C8" s="80">
        <v>7</v>
      </c>
      <c r="D8"/>
      <c r="E8" s="173" t="s">
        <v>198</v>
      </c>
      <c r="F8" s="80">
        <v>0</v>
      </c>
      <c r="G8" s="80">
        <v>1.3</v>
      </c>
      <c r="H8" s="80">
        <v>0.15</v>
      </c>
      <c r="I8" s="80">
        <v>1.2</v>
      </c>
      <c r="J8" s="80">
        <v>0.18696874399999999</v>
      </c>
      <c r="K8" s="80">
        <v>0.125</v>
      </c>
      <c r="L8" s="80">
        <v>0</v>
      </c>
      <c r="M8" s="80">
        <v>0.2</v>
      </c>
      <c r="N8" s="80">
        <v>0</v>
      </c>
      <c r="P8" s="71"/>
      <c r="Q8" s="71"/>
      <c r="R8" s="71"/>
    </row>
    <row r="9" spans="1:46" ht="15" customHeight="1" x14ac:dyDescent="0.15">
      <c r="B9" s="1"/>
      <c r="C9" s="80">
        <v>8</v>
      </c>
      <c r="D9"/>
      <c r="E9" s="173" t="s">
        <v>199</v>
      </c>
      <c r="F9" s="80">
        <v>0</v>
      </c>
      <c r="G9" s="80">
        <v>2.6225708399999999E-2</v>
      </c>
      <c r="H9" s="80">
        <v>3</v>
      </c>
      <c r="I9" s="80">
        <v>9.5824584999999995</v>
      </c>
      <c r="J9" s="80">
        <v>0.19168344100000001</v>
      </c>
      <c r="K9" s="80">
        <v>0.31307205599999999</v>
      </c>
      <c r="L9" s="80">
        <v>0</v>
      </c>
      <c r="M9" s="80">
        <v>0.2</v>
      </c>
      <c r="N9" s="80">
        <v>0</v>
      </c>
      <c r="P9" s="71"/>
      <c r="Q9" s="71"/>
      <c r="R9" s="71"/>
    </row>
    <row r="10" spans="1:46" ht="15" customHeight="1" x14ac:dyDescent="0.15">
      <c r="B10" s="1"/>
      <c r="C10" s="80">
        <v>9</v>
      </c>
      <c r="D10"/>
      <c r="E10" s="173" t="s">
        <v>200</v>
      </c>
      <c r="F10" s="80">
        <v>0</v>
      </c>
      <c r="G10" s="80">
        <v>0.2</v>
      </c>
      <c r="H10" s="80">
        <v>0.3</v>
      </c>
      <c r="I10" s="80">
        <v>1.3</v>
      </c>
      <c r="J10" s="80">
        <v>5.91543176E-5</v>
      </c>
      <c r="K10" s="80">
        <v>0.23076924700000001</v>
      </c>
      <c r="L10" s="80">
        <v>0</v>
      </c>
      <c r="M10" s="80">
        <v>0.2</v>
      </c>
      <c r="N10" s="80">
        <v>0</v>
      </c>
    </row>
    <row r="11" spans="1:46" ht="15" customHeight="1" x14ac:dyDescent="0.15">
      <c r="C11" s="80">
        <v>10</v>
      </c>
      <c r="D11"/>
      <c r="E11" s="173" t="s">
        <v>201</v>
      </c>
      <c r="F11" s="80">
        <v>0</v>
      </c>
      <c r="G11" s="80">
        <v>0.1</v>
      </c>
      <c r="H11" s="80">
        <v>0.05</v>
      </c>
      <c r="I11" s="80">
        <v>2.9</v>
      </c>
      <c r="J11" s="80">
        <v>0.22421164800000001</v>
      </c>
      <c r="K11" s="80">
        <v>1.7241380000000001E-2</v>
      </c>
      <c r="L11" s="80">
        <v>0</v>
      </c>
      <c r="M11" s="80">
        <v>0.2</v>
      </c>
      <c r="N11" s="80">
        <v>0</v>
      </c>
    </row>
    <row r="12" spans="1:46" ht="15" customHeight="1" x14ac:dyDescent="0.15">
      <c r="C12" s="80">
        <v>11</v>
      </c>
      <c r="D12"/>
      <c r="E12" s="173" t="s">
        <v>202</v>
      </c>
      <c r="F12" s="80">
        <v>0</v>
      </c>
      <c r="G12" s="80">
        <v>3.9735870000000002</v>
      </c>
      <c r="H12" s="80">
        <v>0.28000000000000003</v>
      </c>
      <c r="I12" s="80">
        <v>10.17</v>
      </c>
      <c r="J12" s="80">
        <v>0.95</v>
      </c>
      <c r="K12" s="80">
        <v>2.75319573E-2</v>
      </c>
      <c r="L12" s="80">
        <v>0</v>
      </c>
      <c r="M12" s="80">
        <v>0.2</v>
      </c>
      <c r="N12" s="80">
        <v>0</v>
      </c>
    </row>
    <row r="13" spans="1:46" ht="15" customHeight="1" x14ac:dyDescent="0.15">
      <c r="C13" s="80">
        <v>12</v>
      </c>
      <c r="D13"/>
      <c r="E13" s="173" t="s">
        <v>203</v>
      </c>
      <c r="F13" s="80">
        <v>0</v>
      </c>
      <c r="G13" s="80">
        <v>7</v>
      </c>
      <c r="H13" s="80">
        <v>0.45</v>
      </c>
      <c r="I13" s="80">
        <v>4.5</v>
      </c>
      <c r="J13" s="80">
        <v>0.69808614300000005</v>
      </c>
      <c r="K13" s="80">
        <v>0.1</v>
      </c>
      <c r="L13" s="80">
        <v>0</v>
      </c>
      <c r="M13" s="80">
        <v>0.2</v>
      </c>
      <c r="N13" s="80">
        <v>0</v>
      </c>
    </row>
    <row r="14" spans="1:46" ht="15" customHeight="1" x14ac:dyDescent="0.15">
      <c r="C14" s="80">
        <v>13</v>
      </c>
      <c r="D14"/>
      <c r="E14" s="173" t="s">
        <v>204</v>
      </c>
      <c r="F14" s="80">
        <v>0</v>
      </c>
      <c r="G14" s="80">
        <v>0.6</v>
      </c>
      <c r="H14" s="80">
        <v>0.17</v>
      </c>
      <c r="I14" s="80">
        <v>2.2000000000000002</v>
      </c>
      <c r="J14" s="80">
        <v>1.3431135799999999E-5</v>
      </c>
      <c r="K14" s="80">
        <v>7.7272729999999998E-2</v>
      </c>
      <c r="L14" s="80">
        <v>0</v>
      </c>
      <c r="M14" s="80">
        <v>0.2</v>
      </c>
      <c r="N14" s="80">
        <v>0</v>
      </c>
    </row>
    <row r="15" spans="1:46" ht="15" customHeight="1" x14ac:dyDescent="0.15">
      <c r="C15" s="80">
        <v>14</v>
      </c>
      <c r="D15"/>
      <c r="E15" s="173" t="s">
        <v>205</v>
      </c>
      <c r="F15" s="80">
        <v>0</v>
      </c>
      <c r="G15" s="80">
        <v>1.1595329000000001</v>
      </c>
      <c r="H15" s="80">
        <v>0.2</v>
      </c>
      <c r="I15" s="80">
        <v>1.6</v>
      </c>
      <c r="J15" s="80">
        <v>0.95</v>
      </c>
      <c r="K15" s="80">
        <v>0.125</v>
      </c>
      <c r="L15" s="80">
        <v>0</v>
      </c>
      <c r="M15" s="80">
        <v>0.2</v>
      </c>
      <c r="N15" s="80">
        <v>0</v>
      </c>
    </row>
    <row r="16" spans="1:46" ht="15" customHeight="1" x14ac:dyDescent="0.15">
      <c r="C16" s="80">
        <v>15</v>
      </c>
      <c r="D16"/>
      <c r="E16" s="173" t="s">
        <v>206</v>
      </c>
      <c r="F16" s="80">
        <v>0</v>
      </c>
      <c r="G16" s="80">
        <v>0.64584299999999994</v>
      </c>
      <c r="H16" s="80">
        <v>0.25</v>
      </c>
      <c r="I16" s="80">
        <v>1.8</v>
      </c>
      <c r="J16" s="80">
        <v>0.95</v>
      </c>
      <c r="K16" s="80">
        <v>0.13888890000000001</v>
      </c>
      <c r="L16" s="80">
        <v>0</v>
      </c>
      <c r="M16" s="80">
        <v>0.2</v>
      </c>
      <c r="N16" s="80">
        <v>0</v>
      </c>
    </row>
    <row r="17" spans="1:22" ht="15" customHeight="1" x14ac:dyDescent="0.15">
      <c r="C17" s="80">
        <v>16</v>
      </c>
      <c r="D17"/>
      <c r="E17" s="173" t="s">
        <v>207</v>
      </c>
      <c r="F17" s="80">
        <v>0</v>
      </c>
      <c r="G17" s="80">
        <v>0.1</v>
      </c>
      <c r="H17" s="80">
        <v>0.23</v>
      </c>
      <c r="I17" s="80">
        <v>2.1</v>
      </c>
      <c r="J17" s="80">
        <v>0.29034626499999999</v>
      </c>
      <c r="K17" s="80">
        <v>0.109523818</v>
      </c>
      <c r="L17" s="80">
        <v>0</v>
      </c>
      <c r="M17" s="80">
        <v>0.2</v>
      </c>
      <c r="N17" s="80">
        <v>0</v>
      </c>
      <c r="V17" s="1" t="s">
        <v>30</v>
      </c>
    </row>
    <row r="18" spans="1:22" ht="15" customHeight="1" x14ac:dyDescent="0.15">
      <c r="C18" s="80">
        <v>17</v>
      </c>
      <c r="D18"/>
      <c r="E18" s="173" t="s">
        <v>208</v>
      </c>
      <c r="F18" s="80">
        <v>0</v>
      </c>
      <c r="G18" s="80">
        <v>1.2</v>
      </c>
      <c r="H18" s="80">
        <v>0.13</v>
      </c>
      <c r="I18" s="80">
        <v>1.8</v>
      </c>
      <c r="J18" s="80">
        <v>0.52501213599999996</v>
      </c>
      <c r="K18" s="80">
        <v>7.2222220000000004E-2</v>
      </c>
      <c r="L18" s="80">
        <v>0</v>
      </c>
      <c r="M18" s="80">
        <v>0.2</v>
      </c>
      <c r="N18" s="80">
        <v>0</v>
      </c>
      <c r="V18" s="1"/>
    </row>
    <row r="19" spans="1:22" ht="15" customHeight="1" x14ac:dyDescent="0.15">
      <c r="C19" s="80">
        <v>18</v>
      </c>
      <c r="D19"/>
      <c r="E19" s="173" t="s">
        <v>209</v>
      </c>
      <c r="F19" s="80">
        <v>0</v>
      </c>
      <c r="G19" s="80">
        <v>4.0000000000000001E-3</v>
      </c>
      <c r="H19" s="80">
        <v>7.0000000000000007E-2</v>
      </c>
      <c r="I19" s="80">
        <v>2.4</v>
      </c>
      <c r="J19" s="80">
        <v>1.6171172300000002E-2</v>
      </c>
      <c r="K19" s="80">
        <v>2.91666649E-2</v>
      </c>
      <c r="L19" s="80">
        <v>0</v>
      </c>
      <c r="M19" s="80">
        <v>0.2</v>
      </c>
      <c r="N19" s="80">
        <v>0</v>
      </c>
    </row>
    <row r="20" spans="1:22" ht="15" customHeight="1" thickBot="1" x14ac:dyDescent="0.2">
      <c r="C20" s="80">
        <v>19</v>
      </c>
      <c r="D20"/>
      <c r="E20" s="173" t="s">
        <v>210</v>
      </c>
      <c r="F20" s="80">
        <v>0</v>
      </c>
      <c r="G20" s="80">
        <v>1.82662952</v>
      </c>
      <c r="H20" s="80">
        <v>0.56999999999999995</v>
      </c>
      <c r="I20" s="80">
        <v>1.7</v>
      </c>
      <c r="J20" s="80">
        <v>0.95</v>
      </c>
      <c r="K20" s="80">
        <v>0.33529409999999998</v>
      </c>
      <c r="L20" s="80">
        <v>0</v>
      </c>
      <c r="M20" s="80">
        <v>0.2</v>
      </c>
      <c r="N20" s="80">
        <v>0</v>
      </c>
    </row>
    <row r="21" spans="1:22" ht="15" customHeight="1" thickBot="1" x14ac:dyDescent="0.2">
      <c r="A21" s="47" t="s">
        <v>137</v>
      </c>
      <c r="B21" s="98"/>
      <c r="C21" s="80">
        <v>20</v>
      </c>
      <c r="D21"/>
      <c r="E21" s="173" t="s">
        <v>211</v>
      </c>
      <c r="F21" s="80">
        <v>0</v>
      </c>
      <c r="G21" s="80">
        <v>1.2E-2</v>
      </c>
      <c r="H21" s="80">
        <v>0.21</v>
      </c>
      <c r="I21" s="80">
        <v>2.8</v>
      </c>
      <c r="J21" s="80">
        <v>9.4148339999999997E-2</v>
      </c>
      <c r="K21" s="80">
        <v>7.49999955E-2</v>
      </c>
      <c r="L21" s="80">
        <v>0</v>
      </c>
      <c r="M21" s="80">
        <v>0.2</v>
      </c>
      <c r="N21" s="80">
        <v>0</v>
      </c>
    </row>
    <row r="22" spans="1:22" ht="15" customHeight="1" x14ac:dyDescent="0.15">
      <c r="A22" s="99" t="s">
        <v>58</v>
      </c>
      <c r="B22" s="100">
        <v>0</v>
      </c>
      <c r="C22" s="80">
        <v>21</v>
      </c>
      <c r="D22"/>
      <c r="E22" s="173" t="s">
        <v>212</v>
      </c>
      <c r="F22" s="80">
        <v>0</v>
      </c>
      <c r="G22" s="80">
        <v>22.430070000000001</v>
      </c>
      <c r="H22" s="80">
        <v>0.97</v>
      </c>
      <c r="I22" s="80">
        <v>6</v>
      </c>
      <c r="J22" s="80">
        <v>0.95</v>
      </c>
      <c r="K22" s="80">
        <v>0.16166667600000001</v>
      </c>
      <c r="L22" s="80">
        <v>0</v>
      </c>
      <c r="M22" s="80">
        <v>0.2</v>
      </c>
      <c r="N22" s="80">
        <v>0</v>
      </c>
    </row>
    <row r="23" spans="1:22" ht="15" customHeight="1" x14ac:dyDescent="0.15">
      <c r="A23" s="99" t="s">
        <v>59</v>
      </c>
      <c r="B23" s="100">
        <v>1</v>
      </c>
      <c r="C23" s="80">
        <v>22</v>
      </c>
      <c r="D23"/>
      <c r="E23" s="173" t="s">
        <v>213</v>
      </c>
      <c r="F23" s="80">
        <v>0</v>
      </c>
      <c r="G23" s="80">
        <v>1.5071998799999999</v>
      </c>
      <c r="H23" s="80">
        <v>0.27</v>
      </c>
      <c r="I23" s="80">
        <v>3.53</v>
      </c>
      <c r="J23" s="80">
        <v>0.95</v>
      </c>
      <c r="K23" s="80">
        <v>7.6487260000000001E-2</v>
      </c>
      <c r="L23" s="80">
        <v>0</v>
      </c>
      <c r="M23" s="80">
        <v>0.2</v>
      </c>
      <c r="N23" s="80">
        <v>0</v>
      </c>
    </row>
    <row r="24" spans="1:22" ht="15" customHeight="1" x14ac:dyDescent="0.15">
      <c r="A24" s="99" t="s">
        <v>60</v>
      </c>
      <c r="B24" s="100">
        <v>2</v>
      </c>
      <c r="C24" s="80">
        <v>23</v>
      </c>
      <c r="D24"/>
      <c r="E24" s="173" t="s">
        <v>214</v>
      </c>
      <c r="F24" s="80">
        <v>0</v>
      </c>
      <c r="G24" s="80">
        <v>0.11047215000000001</v>
      </c>
      <c r="H24" s="80">
        <v>0.31</v>
      </c>
      <c r="I24" s="80">
        <v>4.08</v>
      </c>
      <c r="J24" s="80">
        <v>0.95</v>
      </c>
      <c r="K24" s="80">
        <v>7.5980395100000001E-2</v>
      </c>
      <c r="L24" s="80">
        <v>0</v>
      </c>
      <c r="M24" s="80">
        <v>0.2</v>
      </c>
      <c r="N24" s="80">
        <v>0</v>
      </c>
    </row>
    <row r="25" spans="1:22" ht="15" customHeight="1" thickBot="1" x14ac:dyDescent="0.2">
      <c r="A25" s="101" t="s">
        <v>44</v>
      </c>
      <c r="B25" s="102">
        <v>3</v>
      </c>
      <c r="C25" s="80">
        <v>24</v>
      </c>
      <c r="D25"/>
      <c r="E25" s="173" t="s">
        <v>215</v>
      </c>
      <c r="F25" s="80">
        <v>0</v>
      </c>
      <c r="G25" s="80">
        <v>0.109342806</v>
      </c>
      <c r="H25" s="80">
        <v>0.22</v>
      </c>
      <c r="I25" s="80">
        <v>3.7</v>
      </c>
      <c r="J25" s="80">
        <v>0.95</v>
      </c>
      <c r="K25" s="80">
        <v>5.9459459999999999E-2</v>
      </c>
      <c r="L25" s="80">
        <v>0</v>
      </c>
      <c r="M25" s="80">
        <v>0.2</v>
      </c>
      <c r="N25" s="80">
        <v>0</v>
      </c>
    </row>
    <row r="26" spans="1:22" ht="15" customHeight="1" x14ac:dyDescent="0.15">
      <c r="A26" s="103" t="s">
        <v>140</v>
      </c>
      <c r="C26" s="80">
        <v>25</v>
      </c>
      <c r="D26"/>
      <c r="E26" s="173" t="s">
        <v>216</v>
      </c>
      <c r="F26" s="80">
        <v>0</v>
      </c>
      <c r="G26" s="80">
        <v>1.1978014699999999</v>
      </c>
      <c r="H26" s="80">
        <v>2.5</v>
      </c>
      <c r="I26" s="80">
        <v>9</v>
      </c>
      <c r="J26" s="80">
        <v>0.95</v>
      </c>
      <c r="K26" s="80">
        <v>0.27777780000000002</v>
      </c>
      <c r="L26" s="80">
        <v>0</v>
      </c>
      <c r="M26" s="80">
        <v>0.2</v>
      </c>
      <c r="N26" s="80">
        <v>0</v>
      </c>
    </row>
    <row r="27" spans="1:22" ht="15" customHeight="1" x14ac:dyDescent="0.15">
      <c r="C27" s="80">
        <v>26</v>
      </c>
      <c r="D27"/>
      <c r="E27" s="173" t="s">
        <v>217</v>
      </c>
      <c r="F27" s="80">
        <v>0</v>
      </c>
      <c r="G27" s="80">
        <v>4.4214690000000001</v>
      </c>
      <c r="H27" s="80">
        <v>2.5</v>
      </c>
      <c r="I27" s="80">
        <v>8</v>
      </c>
      <c r="J27" s="80">
        <v>0.95</v>
      </c>
      <c r="K27" s="80">
        <v>0.3125</v>
      </c>
      <c r="L27" s="80">
        <v>0</v>
      </c>
      <c r="M27" s="80">
        <v>0.2</v>
      </c>
      <c r="N27" s="80">
        <v>0</v>
      </c>
    </row>
    <row r="28" spans="1:22" ht="15" customHeight="1" x14ac:dyDescent="0.15">
      <c r="C28" s="80">
        <v>27</v>
      </c>
      <c r="D28"/>
      <c r="E28" s="173" t="s">
        <v>218</v>
      </c>
      <c r="F28" s="80">
        <v>0</v>
      </c>
      <c r="G28" s="80">
        <v>12.608443299999999</v>
      </c>
      <c r="H28" s="80">
        <v>2.8580000000000001</v>
      </c>
      <c r="I28" s="80">
        <v>6.3511114099999997</v>
      </c>
      <c r="J28" s="80">
        <v>0.95</v>
      </c>
      <c r="K28" s="80">
        <v>0.45</v>
      </c>
      <c r="L28" s="80">
        <v>0</v>
      </c>
      <c r="M28" s="80">
        <v>0.2</v>
      </c>
      <c r="N28" s="80">
        <v>0</v>
      </c>
    </row>
    <row r="29" spans="1:22" customFormat="1" ht="15" customHeight="1" x14ac:dyDescent="0.15">
      <c r="C29" s="80">
        <v>28</v>
      </c>
      <c r="E29" s="173" t="s">
        <v>219</v>
      </c>
      <c r="F29" s="80">
        <v>0</v>
      </c>
      <c r="G29" s="80">
        <v>56.301074999999997</v>
      </c>
      <c r="H29" s="80">
        <v>2.9790000000000001</v>
      </c>
      <c r="I29" s="80">
        <v>9.93</v>
      </c>
      <c r="J29" s="80">
        <v>0.95</v>
      </c>
      <c r="K29" s="80">
        <v>0.3</v>
      </c>
      <c r="L29" s="80">
        <v>0</v>
      </c>
      <c r="M29" s="80">
        <v>0.2</v>
      </c>
      <c r="N29" s="80">
        <v>0</v>
      </c>
    </row>
    <row r="30" spans="1:22" customFormat="1" ht="15" customHeight="1" x14ac:dyDescent="0.15">
      <c r="C30" s="80">
        <v>29</v>
      </c>
      <c r="E30" s="173" t="s">
        <v>220</v>
      </c>
      <c r="F30" s="80">
        <v>0</v>
      </c>
      <c r="G30" s="80">
        <v>47.858960000000003</v>
      </c>
      <c r="H30" s="80">
        <v>9.1999999999999993</v>
      </c>
      <c r="I30" s="80">
        <v>30</v>
      </c>
      <c r="J30" s="80">
        <v>0.95</v>
      </c>
      <c r="K30" s="80">
        <v>0.30666667199999997</v>
      </c>
      <c r="L30" s="80">
        <v>0</v>
      </c>
      <c r="M30" s="80">
        <v>0.2</v>
      </c>
      <c r="N30" s="80">
        <v>0</v>
      </c>
    </row>
    <row r="31" spans="1:22" customFormat="1" ht="15" customHeight="1" x14ac:dyDescent="0.15">
      <c r="C31" s="80">
        <v>30</v>
      </c>
      <c r="E31" s="173" t="s">
        <v>221</v>
      </c>
      <c r="F31" s="80">
        <v>0</v>
      </c>
      <c r="G31" s="80">
        <v>10.199999999999999</v>
      </c>
      <c r="H31" s="80">
        <v>2.2799999999999998</v>
      </c>
      <c r="I31" s="80">
        <v>11.4</v>
      </c>
      <c r="J31" s="80">
        <v>0.71080136299999996</v>
      </c>
      <c r="K31" s="80">
        <v>0.2</v>
      </c>
      <c r="L31" s="80">
        <v>0</v>
      </c>
      <c r="M31" s="80">
        <v>0.2</v>
      </c>
      <c r="N31" s="80">
        <v>0</v>
      </c>
    </row>
    <row r="32" spans="1:22" customFormat="1" ht="15" customHeight="1" x14ac:dyDescent="0.15">
      <c r="C32" s="80">
        <v>31</v>
      </c>
      <c r="E32" s="173" t="s">
        <v>222</v>
      </c>
      <c r="F32" s="80">
        <v>0</v>
      </c>
      <c r="G32" s="80">
        <v>3.12</v>
      </c>
      <c r="H32" s="80">
        <v>2</v>
      </c>
      <c r="I32" s="80">
        <v>8</v>
      </c>
      <c r="J32" s="80">
        <v>0.33211058399999999</v>
      </c>
      <c r="K32" s="80">
        <v>0.25</v>
      </c>
      <c r="L32" s="80">
        <v>0</v>
      </c>
      <c r="M32" s="80">
        <v>0.2</v>
      </c>
      <c r="N32" s="80">
        <v>0</v>
      </c>
    </row>
    <row r="33" spans="3:14" customFormat="1" ht="15" customHeight="1" x14ac:dyDescent="0.15">
      <c r="C33" s="80">
        <v>32</v>
      </c>
      <c r="E33" s="173" t="s">
        <v>223</v>
      </c>
      <c r="F33" s="80">
        <v>0</v>
      </c>
      <c r="G33" s="80">
        <v>6.86</v>
      </c>
      <c r="H33" s="80">
        <v>3</v>
      </c>
      <c r="I33" s="80">
        <v>10</v>
      </c>
      <c r="J33" s="80">
        <v>0.85882060000000005</v>
      </c>
      <c r="K33" s="80">
        <v>0.3</v>
      </c>
      <c r="L33" s="80">
        <v>0</v>
      </c>
      <c r="M33" s="80">
        <v>0.2</v>
      </c>
      <c r="N33" s="80">
        <v>0</v>
      </c>
    </row>
    <row r="34" spans="3:14" customFormat="1" ht="15" customHeight="1" x14ac:dyDescent="0.15">
      <c r="C34" s="80">
        <v>33</v>
      </c>
      <c r="E34" s="173" t="s">
        <v>224</v>
      </c>
      <c r="F34" s="80">
        <v>1</v>
      </c>
      <c r="G34" s="80">
        <v>41.76</v>
      </c>
      <c r="H34" s="80">
        <v>70</v>
      </c>
      <c r="I34" s="80">
        <v>0</v>
      </c>
      <c r="J34" s="80">
        <v>0.54833883000000005</v>
      </c>
      <c r="K34" s="80">
        <v>0</v>
      </c>
      <c r="L34" s="80">
        <v>0</v>
      </c>
      <c r="M34" s="80">
        <v>0</v>
      </c>
      <c r="N34" s="80">
        <v>0</v>
      </c>
    </row>
    <row r="35" spans="3:14" customFormat="1" ht="15" customHeight="1" x14ac:dyDescent="0.15">
      <c r="C35" s="80">
        <v>34</v>
      </c>
      <c r="E35" s="173" t="s">
        <v>225</v>
      </c>
      <c r="F35" s="80">
        <v>2</v>
      </c>
      <c r="G35" s="80">
        <v>50</v>
      </c>
      <c r="H35" s="80">
        <v>0</v>
      </c>
      <c r="I35" s="80">
        <v>0</v>
      </c>
      <c r="J35" s="80">
        <v>0</v>
      </c>
      <c r="K35" s="80">
        <v>0</v>
      </c>
      <c r="L35" s="80">
        <v>0</v>
      </c>
      <c r="M35" s="80">
        <v>0</v>
      </c>
      <c r="N35" s="80">
        <v>0</v>
      </c>
    </row>
    <row r="36" spans="3:14" customFormat="1" ht="15" customHeight="1" x14ac:dyDescent="0.15">
      <c r="C36" s="80">
        <v>35</v>
      </c>
      <c r="E36" s="173" t="s">
        <v>226</v>
      </c>
      <c r="F36" s="80">
        <v>2</v>
      </c>
      <c r="G36" s="80">
        <v>5</v>
      </c>
      <c r="H36" s="80">
        <v>0</v>
      </c>
      <c r="I36" s="80">
        <v>0</v>
      </c>
      <c r="J36" s="80">
        <v>0</v>
      </c>
      <c r="K36" s="80">
        <v>0</v>
      </c>
      <c r="L36" s="80">
        <v>0</v>
      </c>
      <c r="M36" s="80">
        <v>0</v>
      </c>
      <c r="N36" s="80">
        <v>0</v>
      </c>
    </row>
    <row r="37" spans="3:14" customFormat="1" ht="15" customHeight="1" x14ac:dyDescent="0.15">
      <c r="C37" s="80">
        <v>36</v>
      </c>
      <c r="E37" s="173" t="s">
        <v>227</v>
      </c>
      <c r="F37" s="80">
        <v>3</v>
      </c>
      <c r="G37" s="80">
        <v>0</v>
      </c>
      <c r="H37" s="80">
        <v>0</v>
      </c>
      <c r="I37" s="80">
        <v>0</v>
      </c>
      <c r="J37" s="80">
        <v>0</v>
      </c>
      <c r="K37" s="80">
        <v>0</v>
      </c>
      <c r="L37" s="80">
        <v>0</v>
      </c>
      <c r="M37" s="80">
        <v>0</v>
      </c>
      <c r="N37" s="80">
        <v>0</v>
      </c>
    </row>
    <row r="38" spans="3:14" customFormat="1" ht="15" customHeight="1" x14ac:dyDescent="0.15">
      <c r="C38" s="80">
        <v>37</v>
      </c>
      <c r="E38" s="173" t="s">
        <v>228</v>
      </c>
      <c r="F38" s="80">
        <v>3</v>
      </c>
      <c r="G38" s="80">
        <v>0</v>
      </c>
      <c r="H38" s="80">
        <v>0</v>
      </c>
      <c r="I38" s="80">
        <v>0</v>
      </c>
      <c r="J38" s="80">
        <v>0</v>
      </c>
      <c r="K38" s="80">
        <v>0</v>
      </c>
      <c r="L38" s="80">
        <v>0</v>
      </c>
      <c r="M38" s="80">
        <v>0</v>
      </c>
      <c r="N38" s="80">
        <v>0</v>
      </c>
    </row>
    <row r="39" spans="3:14" customFormat="1" ht="15" customHeight="1" x14ac:dyDescent="0.15">
      <c r="C39" s="80">
        <v>38</v>
      </c>
      <c r="E39" s="173" t="s">
        <v>229</v>
      </c>
      <c r="F39" s="80">
        <v>3</v>
      </c>
      <c r="G39" s="80">
        <v>0</v>
      </c>
      <c r="H39" s="80">
        <v>0</v>
      </c>
      <c r="I39" s="80">
        <v>0</v>
      </c>
      <c r="J39" s="80">
        <v>0</v>
      </c>
      <c r="K39" s="80">
        <v>0</v>
      </c>
      <c r="L39" s="80">
        <v>0</v>
      </c>
      <c r="M39" s="80">
        <v>0</v>
      </c>
      <c r="N39" s="80">
        <v>0</v>
      </c>
    </row>
    <row r="40" spans="3:14" customFormat="1" ht="15" customHeight="1" x14ac:dyDescent="0.15">
      <c r="C40" s="80">
        <v>39</v>
      </c>
      <c r="E40" s="173" t="s">
        <v>230</v>
      </c>
      <c r="F40" s="80">
        <v>3</v>
      </c>
      <c r="G40" s="80">
        <v>0</v>
      </c>
      <c r="H40" s="80">
        <v>0</v>
      </c>
      <c r="I40" s="80">
        <v>0</v>
      </c>
      <c r="J40" s="80">
        <v>0</v>
      </c>
      <c r="K40" s="80">
        <v>0</v>
      </c>
      <c r="L40" s="80">
        <v>0</v>
      </c>
      <c r="M40" s="80">
        <v>0</v>
      </c>
      <c r="N40" s="80">
        <v>0</v>
      </c>
    </row>
    <row r="41" spans="3:14" customFormat="1" ht="15" customHeight="1" x14ac:dyDescent="0.15">
      <c r="C41" s="80">
        <v>40</v>
      </c>
      <c r="E41" s="173" t="s">
        <v>231</v>
      </c>
      <c r="F41" s="80">
        <v>3</v>
      </c>
      <c r="G41" s="80">
        <v>0</v>
      </c>
      <c r="H41" s="80">
        <v>0</v>
      </c>
      <c r="I41" s="80">
        <v>0</v>
      </c>
      <c r="J41" s="80">
        <v>0</v>
      </c>
      <c r="K41" s="80">
        <v>0</v>
      </c>
      <c r="L41" s="80">
        <v>0</v>
      </c>
      <c r="M41" s="80">
        <v>0</v>
      </c>
      <c r="N41" s="80">
        <v>0</v>
      </c>
    </row>
    <row r="42" spans="3:14" customFormat="1" ht="15" customHeight="1" x14ac:dyDescent="0.15">
      <c r="C42" s="80">
        <v>41</v>
      </c>
      <c r="E42" s="173" t="s">
        <v>232</v>
      </c>
      <c r="F42" s="80">
        <v>3</v>
      </c>
      <c r="G42" s="80">
        <v>0</v>
      </c>
      <c r="H42" s="80">
        <v>0</v>
      </c>
      <c r="I42" s="80">
        <v>0</v>
      </c>
      <c r="J42" s="80">
        <v>0</v>
      </c>
      <c r="K42" s="80">
        <v>0</v>
      </c>
      <c r="L42" s="80">
        <v>0</v>
      </c>
      <c r="M42" s="80">
        <v>0</v>
      </c>
      <c r="N42" s="80">
        <v>0</v>
      </c>
    </row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J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3.83203125" style="139" bestFit="1" customWidth="1"/>
    <col min="2" max="3" width="15.5" style="139" bestFit="1" customWidth="1"/>
    <col min="4" max="4" width="15.83203125" style="139" bestFit="1" customWidth="1"/>
    <col min="5" max="5" width="15.5" style="139" bestFit="1" customWidth="1"/>
    <col min="6" max="7" width="15.83203125" style="139" bestFit="1" customWidth="1"/>
    <col min="8" max="8" width="14.83203125" style="139" bestFit="1" customWidth="1"/>
    <col min="9" max="9" width="13.83203125" style="139" bestFit="1" customWidth="1"/>
    <col min="10" max="10" width="15.5" style="139" bestFit="1" customWidth="1"/>
    <col min="11" max="12" width="15.83203125" style="139" bestFit="1" customWidth="1"/>
    <col min="13" max="13" width="5.83203125" style="139" bestFit="1" customWidth="1"/>
    <col min="14" max="14" width="14.83203125" style="139" bestFit="1" customWidth="1"/>
    <col min="15" max="15" width="15.5" style="139" bestFit="1" customWidth="1"/>
    <col min="16" max="16" width="15.83203125" style="139" bestFit="1" customWidth="1"/>
    <col min="17" max="18" width="14.83203125" style="139" bestFit="1" customWidth="1"/>
    <col min="19" max="20" width="15.83203125" style="139" bestFit="1" customWidth="1"/>
    <col min="21" max="21" width="14.83203125" style="139" bestFit="1" customWidth="1"/>
    <col min="22" max="22" width="4.83203125" style="139" bestFit="1" customWidth="1"/>
    <col min="23" max="24" width="14.83203125" style="139" bestFit="1" customWidth="1"/>
    <col min="25" max="25" width="15.5" style="139" bestFit="1" customWidth="1"/>
    <col min="26" max="26" width="4.83203125" style="139" bestFit="1" customWidth="1"/>
    <col min="27" max="27" width="5.83203125" style="139" bestFit="1" customWidth="1"/>
    <col min="28" max="28" width="3.83203125" style="139" bestFit="1" customWidth="1"/>
    <col min="29" max="29" width="4.83203125" style="139" bestFit="1" customWidth="1"/>
    <col min="30" max="30" width="2.33203125" style="139" customWidth="1"/>
    <col min="31" max="31" width="5.83203125" style="139" customWidth="1"/>
    <col min="32" max="33" width="4.83203125" style="139" customWidth="1"/>
    <col min="34" max="36" width="2.33203125" style="139" customWidth="1"/>
    <col min="37" max="16384" width="8.83203125" style="139"/>
  </cols>
  <sheetData>
    <row r="1" spans="1:36" x14ac:dyDescent="0.15">
      <c r="A1" s="138" t="s">
        <v>19</v>
      </c>
      <c r="B1" s="175" t="s">
        <v>192</v>
      </c>
      <c r="C1" s="175" t="s">
        <v>193</v>
      </c>
      <c r="D1" s="175" t="s">
        <v>194</v>
      </c>
      <c r="E1" s="175" t="s">
        <v>195</v>
      </c>
      <c r="F1" s="175" t="s">
        <v>196</v>
      </c>
      <c r="G1" s="175" t="s">
        <v>197</v>
      </c>
      <c r="H1" s="175" t="s">
        <v>198</v>
      </c>
      <c r="I1" s="175" t="s">
        <v>199</v>
      </c>
      <c r="J1" s="175" t="s">
        <v>200</v>
      </c>
      <c r="K1" s="175" t="s">
        <v>201</v>
      </c>
      <c r="L1" s="175" t="s">
        <v>202</v>
      </c>
      <c r="M1" s="175" t="s">
        <v>203</v>
      </c>
      <c r="N1" s="175" t="s">
        <v>204</v>
      </c>
      <c r="O1" s="175" t="s">
        <v>205</v>
      </c>
      <c r="P1" s="175" t="s">
        <v>206</v>
      </c>
      <c r="Q1" s="175" t="s">
        <v>207</v>
      </c>
      <c r="R1" s="175" t="s">
        <v>208</v>
      </c>
      <c r="S1" s="175" t="s">
        <v>209</v>
      </c>
      <c r="T1" s="175" t="s">
        <v>210</v>
      </c>
      <c r="U1" s="175" t="s">
        <v>211</v>
      </c>
      <c r="V1" s="175" t="s">
        <v>212</v>
      </c>
      <c r="W1" s="175" t="s">
        <v>213</v>
      </c>
      <c r="X1" s="175" t="s">
        <v>214</v>
      </c>
      <c r="Y1" s="175" t="s">
        <v>215</v>
      </c>
      <c r="Z1" s="175" t="s">
        <v>216</v>
      </c>
      <c r="AA1" s="175" t="s">
        <v>217</v>
      </c>
      <c r="AB1" s="175" t="s">
        <v>218</v>
      </c>
      <c r="AC1" s="175" t="s">
        <v>219</v>
      </c>
      <c r="AD1" s="175" t="s">
        <v>220</v>
      </c>
      <c r="AE1" s="175" t="s">
        <v>221</v>
      </c>
      <c r="AF1" s="175" t="s">
        <v>222</v>
      </c>
      <c r="AG1" s="175" t="s">
        <v>223</v>
      </c>
      <c r="AH1" s="175" t="s">
        <v>224</v>
      </c>
      <c r="AI1" s="175" t="s">
        <v>225</v>
      </c>
      <c r="AJ1" s="175" t="s">
        <v>226</v>
      </c>
    </row>
    <row r="2" spans="1:36" customFormat="1" x14ac:dyDescent="0.15">
      <c r="A2" s="174" t="s">
        <v>192</v>
      </c>
      <c r="B2" s="139">
        <v>0</v>
      </c>
      <c r="C2" s="139">
        <v>0</v>
      </c>
      <c r="D2" s="139">
        <v>9.9996438532317691E-6</v>
      </c>
      <c r="E2" s="139">
        <v>0</v>
      </c>
      <c r="F2" s="139">
        <v>0</v>
      </c>
      <c r="G2" s="139">
        <v>0</v>
      </c>
      <c r="H2" s="139">
        <v>0</v>
      </c>
      <c r="I2" s="139">
        <v>0</v>
      </c>
      <c r="J2" s="139">
        <v>0</v>
      </c>
      <c r="K2" s="139">
        <v>0</v>
      </c>
      <c r="L2" s="139">
        <v>0</v>
      </c>
      <c r="M2" s="139">
        <v>0</v>
      </c>
      <c r="N2" s="139">
        <v>0</v>
      </c>
      <c r="O2" s="139">
        <v>0</v>
      </c>
      <c r="P2" s="139">
        <v>0</v>
      </c>
      <c r="Q2" s="139">
        <v>0</v>
      </c>
      <c r="R2" s="139">
        <v>0</v>
      </c>
      <c r="S2" s="139">
        <v>0</v>
      </c>
      <c r="T2" s="139">
        <v>0</v>
      </c>
      <c r="U2" s="139">
        <v>0</v>
      </c>
      <c r="V2" s="139">
        <v>0</v>
      </c>
      <c r="W2" s="139">
        <v>0</v>
      </c>
      <c r="X2" s="139">
        <v>0</v>
      </c>
      <c r="Y2" s="139">
        <v>0</v>
      </c>
      <c r="Z2" s="139">
        <v>0</v>
      </c>
      <c r="AA2" s="139">
        <v>0</v>
      </c>
      <c r="AB2" s="139">
        <v>0</v>
      </c>
      <c r="AC2" s="139">
        <v>0</v>
      </c>
      <c r="AD2" s="139">
        <v>0</v>
      </c>
      <c r="AE2" s="139">
        <v>0</v>
      </c>
      <c r="AF2" s="139">
        <v>0</v>
      </c>
      <c r="AG2" s="139">
        <v>0</v>
      </c>
      <c r="AH2" s="139">
        <v>0</v>
      </c>
      <c r="AI2" s="139">
        <v>0</v>
      </c>
      <c r="AJ2" s="139">
        <v>0</v>
      </c>
    </row>
    <row r="3" spans="1:36" customFormat="1" x14ac:dyDescent="0.15">
      <c r="A3" s="174" t="s">
        <v>193</v>
      </c>
      <c r="B3" s="139">
        <v>3.4000242975985462E-5</v>
      </c>
      <c r="C3" s="139">
        <v>9.9999481588696663E-7</v>
      </c>
      <c r="D3" s="139">
        <v>0</v>
      </c>
      <c r="E3" s="139">
        <v>0</v>
      </c>
      <c r="F3" s="139">
        <v>1.0004914889987294E-6</v>
      </c>
      <c r="G3" s="139">
        <v>0</v>
      </c>
      <c r="H3" s="139">
        <v>0</v>
      </c>
      <c r="I3" s="139">
        <v>0</v>
      </c>
      <c r="J3" s="139">
        <v>9.9997714081006593E-7</v>
      </c>
      <c r="K3" s="139">
        <v>0</v>
      </c>
      <c r="L3" s="139">
        <v>0</v>
      </c>
      <c r="M3" s="139">
        <v>0</v>
      </c>
      <c r="N3" s="139">
        <v>0</v>
      </c>
      <c r="O3" s="139">
        <v>9.9899353936648937E-8</v>
      </c>
      <c r="P3" s="139">
        <v>9.9994836192087224E-8</v>
      </c>
      <c r="Q3" s="139">
        <v>0</v>
      </c>
      <c r="R3" s="139">
        <v>0</v>
      </c>
      <c r="S3" s="139">
        <v>0</v>
      </c>
      <c r="T3" s="139">
        <v>0</v>
      </c>
      <c r="U3" s="139">
        <v>0</v>
      </c>
      <c r="V3" s="139">
        <v>0</v>
      </c>
      <c r="W3" s="139">
        <v>0</v>
      </c>
      <c r="X3" s="139">
        <v>0</v>
      </c>
      <c r="Y3" s="139">
        <v>0</v>
      </c>
      <c r="Z3" s="139">
        <v>0</v>
      </c>
      <c r="AA3" s="139">
        <v>0</v>
      </c>
      <c r="AB3" s="139">
        <v>0</v>
      </c>
      <c r="AC3" s="139">
        <v>0</v>
      </c>
      <c r="AD3" s="139">
        <v>0</v>
      </c>
      <c r="AE3" s="139">
        <v>0</v>
      </c>
      <c r="AF3" s="139">
        <v>0</v>
      </c>
      <c r="AG3" s="139">
        <v>0</v>
      </c>
      <c r="AH3" s="139">
        <v>0</v>
      </c>
      <c r="AI3" s="139">
        <v>0</v>
      </c>
      <c r="AJ3" s="139">
        <v>0</v>
      </c>
    </row>
    <row r="4" spans="1:36" customFormat="1" x14ac:dyDescent="0.15">
      <c r="A4" s="174" t="s">
        <v>194</v>
      </c>
      <c r="B4" s="139">
        <v>3.4000242975985462E-5</v>
      </c>
      <c r="C4" s="139">
        <v>0</v>
      </c>
      <c r="D4" s="139">
        <v>9.9996438532317678E-7</v>
      </c>
      <c r="E4" s="139">
        <v>0</v>
      </c>
      <c r="F4" s="139">
        <v>0</v>
      </c>
      <c r="G4" s="139">
        <v>0</v>
      </c>
      <c r="H4" s="139">
        <v>0</v>
      </c>
      <c r="I4" s="139">
        <v>0</v>
      </c>
      <c r="J4" s="139">
        <v>9.9997714081006593E-7</v>
      </c>
      <c r="K4" s="139">
        <v>0</v>
      </c>
      <c r="L4" s="139">
        <v>0</v>
      </c>
      <c r="M4" s="139">
        <v>0</v>
      </c>
      <c r="N4" s="139">
        <v>0</v>
      </c>
      <c r="O4" s="139">
        <v>9.9899348236648464E-7</v>
      </c>
      <c r="P4" s="139">
        <v>9.9994836192087224E-8</v>
      </c>
      <c r="Q4" s="139">
        <v>0</v>
      </c>
      <c r="R4" s="139">
        <v>0</v>
      </c>
      <c r="S4" s="139">
        <v>0</v>
      </c>
      <c r="T4" s="139">
        <v>0</v>
      </c>
      <c r="U4" s="139">
        <v>0</v>
      </c>
      <c r="V4" s="139">
        <v>0</v>
      </c>
      <c r="W4" s="139">
        <v>0</v>
      </c>
      <c r="X4" s="139">
        <v>0</v>
      </c>
      <c r="Y4" s="139">
        <v>0</v>
      </c>
      <c r="Z4" s="139">
        <v>0</v>
      </c>
      <c r="AA4" s="139">
        <v>0</v>
      </c>
      <c r="AB4" s="139">
        <v>0</v>
      </c>
      <c r="AC4" s="139">
        <v>0</v>
      </c>
      <c r="AD4" s="139">
        <v>0</v>
      </c>
      <c r="AE4" s="139">
        <v>0</v>
      </c>
      <c r="AF4" s="139">
        <v>0</v>
      </c>
      <c r="AG4" s="139">
        <v>0</v>
      </c>
      <c r="AH4" s="139">
        <v>0</v>
      </c>
      <c r="AI4" s="139">
        <v>0</v>
      </c>
      <c r="AJ4" s="139">
        <v>0</v>
      </c>
    </row>
    <row r="5" spans="1:36" customFormat="1" x14ac:dyDescent="0.15">
      <c r="A5" s="174" t="s">
        <v>195</v>
      </c>
      <c r="B5" s="139">
        <v>3.3000238346293551E-5</v>
      </c>
      <c r="C5" s="139">
        <v>0</v>
      </c>
      <c r="D5" s="139">
        <v>0</v>
      </c>
      <c r="E5" s="139">
        <v>9.9939125316296029E-7</v>
      </c>
      <c r="F5" s="139">
        <v>0</v>
      </c>
      <c r="G5" s="139">
        <v>0</v>
      </c>
      <c r="H5" s="139">
        <v>0</v>
      </c>
      <c r="I5" s="139">
        <v>0</v>
      </c>
      <c r="J5" s="139">
        <v>0</v>
      </c>
      <c r="K5" s="139">
        <v>0</v>
      </c>
      <c r="L5" s="139">
        <v>0</v>
      </c>
      <c r="M5" s="139">
        <v>0</v>
      </c>
      <c r="N5" s="139">
        <v>0</v>
      </c>
      <c r="O5" s="139">
        <v>0</v>
      </c>
      <c r="P5" s="139">
        <v>0</v>
      </c>
      <c r="Q5" s="139">
        <v>0</v>
      </c>
      <c r="R5" s="139">
        <v>0</v>
      </c>
      <c r="S5" s="139">
        <v>0</v>
      </c>
      <c r="T5" s="139">
        <v>0</v>
      </c>
      <c r="U5" s="139">
        <v>0</v>
      </c>
      <c r="V5" s="139">
        <v>0</v>
      </c>
      <c r="W5" s="139">
        <v>0</v>
      </c>
      <c r="X5" s="139">
        <v>0</v>
      </c>
      <c r="Y5" s="139">
        <v>0</v>
      </c>
      <c r="Z5" s="139">
        <v>0</v>
      </c>
      <c r="AA5" s="139">
        <v>0</v>
      </c>
      <c r="AB5" s="139">
        <v>0</v>
      </c>
      <c r="AC5" s="139">
        <v>0</v>
      </c>
      <c r="AD5" s="139">
        <v>0</v>
      </c>
      <c r="AE5" s="139">
        <v>0</v>
      </c>
      <c r="AF5" s="139">
        <v>0</v>
      </c>
      <c r="AG5" s="139">
        <v>0</v>
      </c>
      <c r="AH5" s="139">
        <v>0</v>
      </c>
      <c r="AI5" s="139">
        <v>0</v>
      </c>
      <c r="AJ5" s="139">
        <v>0</v>
      </c>
    </row>
    <row r="6" spans="1:36" customFormat="1" x14ac:dyDescent="0.15">
      <c r="A6" s="174" t="s">
        <v>196</v>
      </c>
      <c r="B6" s="139">
        <v>8.0000582292287757E-3</v>
      </c>
      <c r="C6" s="139">
        <v>0</v>
      </c>
      <c r="D6" s="139">
        <v>7.9997158825722038E-3</v>
      </c>
      <c r="E6" s="139">
        <v>0</v>
      </c>
      <c r="F6" s="139">
        <v>2.1010321248969867E-2</v>
      </c>
      <c r="G6" s="139">
        <v>0</v>
      </c>
      <c r="H6" s="139">
        <v>0</v>
      </c>
      <c r="I6" s="139">
        <v>0</v>
      </c>
      <c r="J6" s="139">
        <v>9.9997714081006602E-3</v>
      </c>
      <c r="K6" s="139">
        <v>0</v>
      </c>
      <c r="L6" s="139">
        <v>0</v>
      </c>
      <c r="M6" s="139">
        <v>0</v>
      </c>
      <c r="N6" s="139">
        <v>0</v>
      </c>
      <c r="O6" s="139">
        <v>0</v>
      </c>
      <c r="P6" s="139">
        <v>9.9994836192087224E-8</v>
      </c>
      <c r="Q6" s="139">
        <v>0</v>
      </c>
      <c r="R6" s="139">
        <v>0</v>
      </c>
      <c r="S6" s="139">
        <v>0</v>
      </c>
      <c r="T6" s="139">
        <v>0</v>
      </c>
      <c r="U6" s="139">
        <v>0</v>
      </c>
      <c r="V6" s="139">
        <v>0</v>
      </c>
      <c r="W6" s="139">
        <v>0</v>
      </c>
      <c r="X6" s="139">
        <v>0</v>
      </c>
      <c r="Y6" s="139">
        <v>0</v>
      </c>
      <c r="Z6" s="139">
        <v>0</v>
      </c>
      <c r="AA6" s="139">
        <v>0</v>
      </c>
      <c r="AB6" s="139">
        <v>0</v>
      </c>
      <c r="AC6" s="139">
        <v>0</v>
      </c>
      <c r="AD6" s="139">
        <v>0</v>
      </c>
      <c r="AE6" s="139">
        <v>0</v>
      </c>
      <c r="AF6" s="139">
        <v>0</v>
      </c>
      <c r="AG6" s="139">
        <v>0</v>
      </c>
      <c r="AH6" s="139">
        <v>0</v>
      </c>
      <c r="AI6" s="139">
        <v>0</v>
      </c>
      <c r="AJ6" s="139">
        <v>0</v>
      </c>
    </row>
    <row r="7" spans="1:36" customFormat="1" x14ac:dyDescent="0.15">
      <c r="A7" s="174" t="s">
        <v>197</v>
      </c>
      <c r="B7" s="139">
        <v>0</v>
      </c>
      <c r="C7" s="139">
        <v>0</v>
      </c>
      <c r="D7" s="139">
        <v>9.999644853215254E-8</v>
      </c>
      <c r="E7" s="139">
        <v>9.9939125316296029E-7</v>
      </c>
      <c r="F7" s="139">
        <v>0</v>
      </c>
      <c r="G7" s="139">
        <v>9.9933285100955025E-7</v>
      </c>
      <c r="H7" s="139">
        <v>0</v>
      </c>
      <c r="I7" s="139">
        <v>0</v>
      </c>
      <c r="J7" s="139">
        <v>9.9997714081006593E-7</v>
      </c>
      <c r="K7" s="139">
        <v>0</v>
      </c>
      <c r="L7" s="139">
        <v>0</v>
      </c>
      <c r="M7" s="139">
        <v>0</v>
      </c>
      <c r="N7" s="139">
        <v>0</v>
      </c>
      <c r="O7" s="139">
        <v>9.9899353936648937E-8</v>
      </c>
      <c r="P7" s="139">
        <v>9.9994836192087224E-8</v>
      </c>
      <c r="Q7" s="139">
        <v>0</v>
      </c>
      <c r="R7" s="139">
        <v>0</v>
      </c>
      <c r="S7" s="139">
        <v>0</v>
      </c>
      <c r="T7" s="139">
        <v>0</v>
      </c>
      <c r="U7" s="139">
        <v>0</v>
      </c>
      <c r="V7" s="139">
        <v>0</v>
      </c>
      <c r="W7" s="139">
        <v>0</v>
      </c>
      <c r="X7" s="139">
        <v>0</v>
      </c>
      <c r="Y7" s="139">
        <v>0</v>
      </c>
      <c r="Z7" s="139">
        <v>0</v>
      </c>
      <c r="AA7" s="139">
        <v>0</v>
      </c>
      <c r="AB7" s="139">
        <v>0</v>
      </c>
      <c r="AC7" s="139">
        <v>0</v>
      </c>
      <c r="AD7" s="139">
        <v>0</v>
      </c>
      <c r="AE7" s="139">
        <v>0</v>
      </c>
      <c r="AF7" s="139">
        <v>0</v>
      </c>
      <c r="AG7" s="139">
        <v>0</v>
      </c>
      <c r="AH7" s="139">
        <v>0</v>
      </c>
      <c r="AI7" s="139">
        <v>0</v>
      </c>
      <c r="AJ7" s="139">
        <v>0</v>
      </c>
    </row>
    <row r="8" spans="1:36" customFormat="1" x14ac:dyDescent="0.15">
      <c r="A8" s="174" t="s">
        <v>198</v>
      </c>
      <c r="B8" s="139">
        <v>0</v>
      </c>
      <c r="C8" s="139">
        <v>0</v>
      </c>
      <c r="D8" s="139">
        <v>4.999821856617041E-3</v>
      </c>
      <c r="E8" s="139">
        <v>0</v>
      </c>
      <c r="F8" s="139">
        <v>0</v>
      </c>
      <c r="G8" s="139">
        <v>0</v>
      </c>
      <c r="H8" s="139">
        <v>0</v>
      </c>
      <c r="I8" s="139">
        <v>0</v>
      </c>
      <c r="J8" s="139">
        <v>0</v>
      </c>
      <c r="K8" s="139">
        <v>0</v>
      </c>
      <c r="L8" s="139">
        <v>0</v>
      </c>
      <c r="M8" s="139">
        <v>0</v>
      </c>
      <c r="N8" s="139">
        <v>0</v>
      </c>
      <c r="O8" s="139">
        <v>9.9899348236648471E-3</v>
      </c>
      <c r="P8" s="139">
        <v>9.9994826192594602E-3</v>
      </c>
      <c r="Q8" s="139">
        <v>0</v>
      </c>
      <c r="R8" s="139">
        <v>0</v>
      </c>
      <c r="S8" s="139">
        <v>0</v>
      </c>
      <c r="T8" s="139">
        <v>0</v>
      </c>
      <c r="U8" s="139">
        <v>0</v>
      </c>
      <c r="V8" s="139">
        <v>0</v>
      </c>
      <c r="W8" s="139">
        <v>0</v>
      </c>
      <c r="X8" s="139">
        <v>0</v>
      </c>
      <c r="Y8" s="139">
        <v>0</v>
      </c>
      <c r="Z8" s="139">
        <v>0</v>
      </c>
      <c r="AA8" s="139">
        <v>0</v>
      </c>
      <c r="AB8" s="139">
        <v>0</v>
      </c>
      <c r="AC8" s="139">
        <v>0</v>
      </c>
      <c r="AD8" s="139">
        <v>0</v>
      </c>
      <c r="AE8" s="139">
        <v>0</v>
      </c>
      <c r="AF8" s="139">
        <v>0</v>
      </c>
      <c r="AG8" s="139">
        <v>0</v>
      </c>
      <c r="AH8" s="139">
        <v>0</v>
      </c>
      <c r="AI8" s="139">
        <v>0</v>
      </c>
      <c r="AJ8" s="139">
        <v>0</v>
      </c>
    </row>
    <row r="9" spans="1:36" customFormat="1" x14ac:dyDescent="0.15">
      <c r="A9" s="174" t="s">
        <v>199</v>
      </c>
      <c r="B9" s="139">
        <v>0</v>
      </c>
      <c r="C9" s="139">
        <v>9.9999481588696663E-7</v>
      </c>
      <c r="D9" s="139">
        <v>9.9996438532317678E-7</v>
      </c>
      <c r="E9" s="139">
        <v>9.9939125316296029E-7</v>
      </c>
      <c r="F9" s="139">
        <v>0</v>
      </c>
      <c r="G9" s="139">
        <v>0</v>
      </c>
      <c r="H9" s="139">
        <v>0</v>
      </c>
      <c r="I9" s="139">
        <v>0</v>
      </c>
      <c r="J9" s="139">
        <v>9.9997714081006593E-7</v>
      </c>
      <c r="K9" s="139">
        <v>0</v>
      </c>
      <c r="L9" s="139">
        <v>0</v>
      </c>
      <c r="M9" s="139">
        <v>0</v>
      </c>
      <c r="N9" s="139">
        <v>0</v>
      </c>
      <c r="O9" s="139">
        <v>4.9949674118324235E-3</v>
      </c>
      <c r="P9" s="139">
        <v>4.9997413096297301E-3</v>
      </c>
      <c r="Q9" s="139">
        <v>0</v>
      </c>
      <c r="R9" s="139">
        <v>0</v>
      </c>
      <c r="S9" s="139">
        <v>0</v>
      </c>
      <c r="T9" s="139">
        <v>0</v>
      </c>
      <c r="U9" s="139">
        <v>0</v>
      </c>
      <c r="V9" s="139">
        <v>0</v>
      </c>
      <c r="W9" s="139">
        <v>0</v>
      </c>
      <c r="X9" s="139">
        <v>0</v>
      </c>
      <c r="Y9" s="139">
        <v>0</v>
      </c>
      <c r="Z9" s="139">
        <v>0</v>
      </c>
      <c r="AA9" s="139">
        <v>0</v>
      </c>
      <c r="AB9" s="139">
        <v>0</v>
      </c>
      <c r="AC9" s="139">
        <v>0</v>
      </c>
      <c r="AD9" s="139">
        <v>0</v>
      </c>
      <c r="AE9" s="139">
        <v>0</v>
      </c>
      <c r="AF9" s="139">
        <v>0</v>
      </c>
      <c r="AG9" s="139">
        <v>0</v>
      </c>
      <c r="AH9" s="139">
        <v>0</v>
      </c>
      <c r="AI9" s="139">
        <v>0</v>
      </c>
      <c r="AJ9" s="139">
        <v>0</v>
      </c>
    </row>
    <row r="10" spans="1:36" customFormat="1" x14ac:dyDescent="0.15">
      <c r="A10" s="174" t="s">
        <v>200</v>
      </c>
      <c r="B10" s="139">
        <v>0</v>
      </c>
      <c r="C10" s="139">
        <v>9.9999481588696663E-7</v>
      </c>
      <c r="D10" s="139">
        <v>9.9996438532317678E-7</v>
      </c>
      <c r="E10" s="139">
        <v>0</v>
      </c>
      <c r="F10" s="139">
        <v>0</v>
      </c>
      <c r="G10" s="139">
        <v>0</v>
      </c>
      <c r="H10" s="139">
        <v>0</v>
      </c>
      <c r="I10" s="139">
        <v>0</v>
      </c>
      <c r="J10" s="139">
        <v>9.9997714081006593E-7</v>
      </c>
      <c r="K10" s="139">
        <v>0</v>
      </c>
      <c r="L10" s="139">
        <v>0</v>
      </c>
      <c r="M10" s="139">
        <v>0</v>
      </c>
      <c r="N10" s="139">
        <v>0</v>
      </c>
      <c r="O10" s="139">
        <v>9.9899348236648464E-7</v>
      </c>
      <c r="P10" s="139">
        <v>9.9994836192087224E-8</v>
      </c>
      <c r="Q10" s="139">
        <v>0</v>
      </c>
      <c r="R10" s="139">
        <v>0</v>
      </c>
      <c r="S10" s="139">
        <v>0</v>
      </c>
      <c r="T10" s="139">
        <v>0</v>
      </c>
      <c r="U10" s="139">
        <v>0</v>
      </c>
      <c r="V10" s="139">
        <v>0</v>
      </c>
      <c r="W10" s="139">
        <v>0</v>
      </c>
      <c r="X10" s="139">
        <v>0</v>
      </c>
      <c r="Y10" s="139">
        <v>0</v>
      </c>
      <c r="Z10" s="139">
        <v>0</v>
      </c>
      <c r="AA10" s="139">
        <v>0</v>
      </c>
      <c r="AB10" s="139">
        <v>0</v>
      </c>
      <c r="AC10" s="139">
        <v>0</v>
      </c>
      <c r="AD10" s="139">
        <v>0</v>
      </c>
      <c r="AE10" s="139">
        <v>0</v>
      </c>
      <c r="AF10" s="139">
        <v>0</v>
      </c>
      <c r="AG10" s="139">
        <v>0</v>
      </c>
      <c r="AH10" s="139">
        <v>0</v>
      </c>
      <c r="AI10" s="139">
        <v>0</v>
      </c>
      <c r="AJ10" s="139">
        <v>0</v>
      </c>
    </row>
    <row r="11" spans="1:36" customFormat="1" x14ac:dyDescent="0.15">
      <c r="A11" s="174" t="s">
        <v>201</v>
      </c>
      <c r="B11" s="139">
        <v>0</v>
      </c>
      <c r="C11" s="139">
        <v>0</v>
      </c>
      <c r="D11" s="139">
        <v>9.9996438532317678E-7</v>
      </c>
      <c r="E11" s="139">
        <v>3.1980522702503816E-2</v>
      </c>
      <c r="F11" s="139">
        <v>0</v>
      </c>
      <c r="G11" s="139">
        <v>0</v>
      </c>
      <c r="H11" s="139">
        <v>0</v>
      </c>
      <c r="I11" s="139">
        <v>0</v>
      </c>
      <c r="J11" s="139">
        <v>9.9997714081006593E-7</v>
      </c>
      <c r="K11" s="139">
        <v>0</v>
      </c>
      <c r="L11" s="139">
        <v>0</v>
      </c>
      <c r="M11" s="139">
        <v>0</v>
      </c>
      <c r="N11" s="139">
        <v>0</v>
      </c>
      <c r="O11" s="139">
        <v>9.9899348236648464E-7</v>
      </c>
      <c r="P11" s="139">
        <v>0</v>
      </c>
      <c r="Q11" s="139">
        <v>0</v>
      </c>
      <c r="R11" s="139">
        <v>0</v>
      </c>
      <c r="S11" s="139">
        <v>0</v>
      </c>
      <c r="T11" s="139">
        <v>0</v>
      </c>
      <c r="U11" s="139">
        <v>0</v>
      </c>
      <c r="V11" s="139">
        <v>0</v>
      </c>
      <c r="W11" s="139">
        <v>0</v>
      </c>
      <c r="X11" s="139">
        <v>0</v>
      </c>
      <c r="Y11" s="139">
        <v>0</v>
      </c>
      <c r="Z11" s="139">
        <v>0</v>
      </c>
      <c r="AA11" s="139">
        <v>0</v>
      </c>
      <c r="AB11" s="139">
        <v>0</v>
      </c>
      <c r="AC11" s="139">
        <v>0</v>
      </c>
      <c r="AD11" s="139">
        <v>0</v>
      </c>
      <c r="AE11" s="139">
        <v>0</v>
      </c>
      <c r="AF11" s="139">
        <v>0</v>
      </c>
      <c r="AG11" s="139">
        <v>0</v>
      </c>
      <c r="AH11" s="139">
        <v>0</v>
      </c>
      <c r="AI11" s="139">
        <v>0</v>
      </c>
      <c r="AJ11" s="139">
        <v>0</v>
      </c>
    </row>
    <row r="12" spans="1:36" customFormat="1" x14ac:dyDescent="0.15">
      <c r="A12" s="174" t="s">
        <v>202</v>
      </c>
      <c r="B12" s="139">
        <v>0</v>
      </c>
      <c r="C12" s="139">
        <v>0</v>
      </c>
      <c r="D12" s="139">
        <v>0</v>
      </c>
      <c r="E12" s="139">
        <v>1.2992086891415965E-2</v>
      </c>
      <c r="F12" s="139">
        <v>3.001474476997911E-4</v>
      </c>
      <c r="G12" s="139">
        <v>0</v>
      </c>
      <c r="H12" s="139">
        <v>0</v>
      </c>
      <c r="I12" s="139">
        <v>0</v>
      </c>
      <c r="J12" s="139">
        <v>0</v>
      </c>
      <c r="K12" s="139">
        <v>0</v>
      </c>
      <c r="L12" s="139">
        <v>0</v>
      </c>
      <c r="M12" s="139">
        <v>0</v>
      </c>
      <c r="N12" s="139">
        <v>0</v>
      </c>
      <c r="O12" s="139">
        <v>0.56942628594889633</v>
      </c>
      <c r="P12" s="139">
        <v>0</v>
      </c>
      <c r="Q12" s="139">
        <v>0</v>
      </c>
      <c r="R12" s="139">
        <v>0</v>
      </c>
      <c r="S12" s="139">
        <v>0</v>
      </c>
      <c r="T12" s="139">
        <v>0</v>
      </c>
      <c r="U12" s="139">
        <v>0</v>
      </c>
      <c r="V12" s="139">
        <v>0</v>
      </c>
      <c r="W12" s="139">
        <v>0</v>
      </c>
      <c r="X12" s="139">
        <v>0</v>
      </c>
      <c r="Y12" s="139">
        <v>0</v>
      </c>
      <c r="Z12" s="139">
        <v>0</v>
      </c>
      <c r="AA12" s="139">
        <v>0</v>
      </c>
      <c r="AB12" s="139">
        <v>0</v>
      </c>
      <c r="AC12" s="139">
        <v>0</v>
      </c>
      <c r="AD12" s="139">
        <v>0</v>
      </c>
      <c r="AE12" s="139">
        <v>0</v>
      </c>
      <c r="AF12" s="139">
        <v>0</v>
      </c>
      <c r="AG12" s="139">
        <v>0</v>
      </c>
      <c r="AH12" s="139">
        <v>0</v>
      </c>
      <c r="AI12" s="139">
        <v>0</v>
      </c>
      <c r="AJ12" s="139">
        <v>0</v>
      </c>
    </row>
    <row r="13" spans="1:36" customFormat="1" x14ac:dyDescent="0.15">
      <c r="A13" s="174" t="s">
        <v>203</v>
      </c>
      <c r="B13" s="139">
        <v>0.64500457852711846</v>
      </c>
      <c r="C13" s="139">
        <v>0.19999896317739332</v>
      </c>
      <c r="D13" s="139">
        <v>5.0998184451468809E-2</v>
      </c>
      <c r="E13" s="139">
        <v>1.000495800526742E-2</v>
      </c>
      <c r="F13" s="139">
        <v>0.74136417342462591</v>
      </c>
      <c r="G13" s="139">
        <v>0</v>
      </c>
      <c r="H13" s="139">
        <v>0</v>
      </c>
      <c r="I13" s="139">
        <v>0</v>
      </c>
      <c r="J13" s="139">
        <v>4.999946703400112E-2</v>
      </c>
      <c r="K13" s="139">
        <v>0</v>
      </c>
      <c r="L13" s="139">
        <v>0</v>
      </c>
      <c r="M13" s="139">
        <v>0.01</v>
      </c>
      <c r="N13" s="139">
        <v>0.43999795464742486</v>
      </c>
      <c r="O13" s="139">
        <v>0.30669102528651293</v>
      </c>
      <c r="P13" s="139">
        <v>0</v>
      </c>
      <c r="Q13" s="139">
        <v>0</v>
      </c>
      <c r="R13" s="139">
        <v>0</v>
      </c>
      <c r="S13" s="139">
        <v>0</v>
      </c>
      <c r="T13" s="139">
        <v>9.9980003589282135E-3</v>
      </c>
      <c r="U13" s="139">
        <v>0.11326737121743452</v>
      </c>
      <c r="V13" s="139">
        <v>0</v>
      </c>
      <c r="W13" s="139">
        <v>0</v>
      </c>
      <c r="X13" s="139">
        <v>0.58006554197679272</v>
      </c>
      <c r="Y13" s="139">
        <v>0</v>
      </c>
      <c r="Z13" s="139">
        <v>0</v>
      </c>
      <c r="AA13" s="139">
        <v>0</v>
      </c>
      <c r="AB13" s="139">
        <v>0</v>
      </c>
      <c r="AC13" s="139">
        <v>0</v>
      </c>
      <c r="AD13" s="139">
        <v>0</v>
      </c>
      <c r="AE13" s="139">
        <v>0</v>
      </c>
      <c r="AF13" s="139">
        <v>0</v>
      </c>
      <c r="AG13" s="139">
        <v>0</v>
      </c>
      <c r="AH13" s="139">
        <v>0</v>
      </c>
      <c r="AI13" s="139">
        <v>0</v>
      </c>
      <c r="AJ13" s="139">
        <v>0</v>
      </c>
    </row>
    <row r="14" spans="1:36" customFormat="1" x14ac:dyDescent="0.15">
      <c r="A14" s="174" t="s">
        <v>204</v>
      </c>
      <c r="B14" s="139">
        <v>0</v>
      </c>
      <c r="C14" s="139">
        <v>0</v>
      </c>
      <c r="D14" s="139">
        <v>9.9996438532317678E-7</v>
      </c>
      <c r="E14" s="139">
        <v>0</v>
      </c>
      <c r="F14" s="139">
        <v>0</v>
      </c>
      <c r="G14" s="139">
        <v>0</v>
      </c>
      <c r="H14" s="139">
        <v>0</v>
      </c>
      <c r="I14" s="139">
        <v>0</v>
      </c>
      <c r="J14" s="139">
        <v>0</v>
      </c>
      <c r="K14" s="139">
        <v>0</v>
      </c>
      <c r="L14" s="139">
        <v>0</v>
      </c>
      <c r="M14" s="139">
        <v>0</v>
      </c>
      <c r="N14" s="139">
        <v>0</v>
      </c>
      <c r="O14" s="139">
        <v>0</v>
      </c>
      <c r="P14" s="139">
        <v>0</v>
      </c>
      <c r="Q14" s="139">
        <v>0</v>
      </c>
      <c r="R14" s="139">
        <v>0</v>
      </c>
      <c r="S14" s="139">
        <v>0</v>
      </c>
      <c r="T14" s="139">
        <v>0</v>
      </c>
      <c r="U14" s="139">
        <v>0</v>
      </c>
      <c r="V14" s="139">
        <v>0</v>
      </c>
      <c r="W14" s="139">
        <v>0</v>
      </c>
      <c r="X14" s="139">
        <v>0</v>
      </c>
      <c r="Y14" s="139">
        <v>0</v>
      </c>
      <c r="Z14" s="139">
        <v>0</v>
      </c>
      <c r="AA14" s="139">
        <v>0</v>
      </c>
      <c r="AB14" s="139">
        <v>0</v>
      </c>
      <c r="AC14" s="139">
        <v>0</v>
      </c>
      <c r="AD14" s="139">
        <v>0</v>
      </c>
      <c r="AE14" s="139">
        <v>0</v>
      </c>
      <c r="AF14" s="139">
        <v>0</v>
      </c>
      <c r="AG14" s="139">
        <v>0</v>
      </c>
      <c r="AH14" s="139">
        <v>0</v>
      </c>
      <c r="AI14" s="139">
        <v>0</v>
      </c>
      <c r="AJ14" s="139">
        <v>0</v>
      </c>
    </row>
    <row r="15" spans="1:36" customFormat="1" x14ac:dyDescent="0.15">
      <c r="A15" s="174" t="s">
        <v>205</v>
      </c>
      <c r="B15" s="139">
        <v>0</v>
      </c>
      <c r="C15" s="139">
        <v>9.9999476988696601E-8</v>
      </c>
      <c r="D15" s="139">
        <v>0</v>
      </c>
      <c r="E15" s="139">
        <v>0</v>
      </c>
      <c r="F15" s="139">
        <v>0</v>
      </c>
      <c r="G15" s="139">
        <v>0</v>
      </c>
      <c r="H15" s="139">
        <v>0</v>
      </c>
      <c r="I15" s="139">
        <v>0</v>
      </c>
      <c r="J15" s="139">
        <v>9.9997714081006593E-7</v>
      </c>
      <c r="K15" s="139">
        <v>0</v>
      </c>
      <c r="L15" s="139">
        <v>0</v>
      </c>
      <c r="M15" s="139">
        <v>0</v>
      </c>
      <c r="N15" s="139">
        <v>0</v>
      </c>
      <c r="O15" s="139">
        <v>9.9899348236648464E-7</v>
      </c>
      <c r="P15" s="139">
        <v>9.9994836192087224E-8</v>
      </c>
      <c r="Q15" s="139">
        <v>0</v>
      </c>
      <c r="R15" s="139">
        <v>0</v>
      </c>
      <c r="S15" s="139">
        <v>0</v>
      </c>
      <c r="T15" s="139">
        <v>0</v>
      </c>
      <c r="U15" s="139">
        <v>0</v>
      </c>
      <c r="V15" s="139">
        <v>0</v>
      </c>
      <c r="W15" s="139">
        <v>0</v>
      </c>
      <c r="X15" s="139">
        <v>0</v>
      </c>
      <c r="Y15" s="139">
        <v>0</v>
      </c>
      <c r="Z15" s="139">
        <v>0</v>
      </c>
      <c r="AA15" s="139">
        <v>0</v>
      </c>
      <c r="AB15" s="139">
        <v>0</v>
      </c>
      <c r="AC15" s="139">
        <v>0</v>
      </c>
      <c r="AD15" s="139">
        <v>0</v>
      </c>
      <c r="AE15" s="139">
        <v>0</v>
      </c>
      <c r="AF15" s="139">
        <v>0</v>
      </c>
      <c r="AG15" s="139">
        <v>0</v>
      </c>
      <c r="AH15" s="139">
        <v>0</v>
      </c>
      <c r="AI15" s="139">
        <v>0</v>
      </c>
      <c r="AJ15" s="139">
        <v>0</v>
      </c>
    </row>
    <row r="16" spans="1:36" customFormat="1" x14ac:dyDescent="0.15">
      <c r="A16" s="174" t="s">
        <v>206</v>
      </c>
      <c r="B16" s="139">
        <v>0</v>
      </c>
      <c r="C16" s="139">
        <v>0</v>
      </c>
      <c r="D16" s="139">
        <v>0</v>
      </c>
      <c r="E16" s="139">
        <v>0</v>
      </c>
      <c r="F16" s="139">
        <v>0</v>
      </c>
      <c r="G16" s="139">
        <v>0</v>
      </c>
      <c r="H16" s="139">
        <v>0</v>
      </c>
      <c r="I16" s="139">
        <v>0</v>
      </c>
      <c r="J16" s="139">
        <v>9.9997714081006593E-7</v>
      </c>
      <c r="K16" s="139">
        <v>0</v>
      </c>
      <c r="L16" s="139">
        <v>0</v>
      </c>
      <c r="M16" s="139">
        <v>0</v>
      </c>
      <c r="N16" s="139">
        <v>0</v>
      </c>
      <c r="O16" s="139">
        <v>0</v>
      </c>
      <c r="P16" s="139">
        <v>0</v>
      </c>
      <c r="Q16" s="139">
        <v>0</v>
      </c>
      <c r="R16" s="139">
        <v>0</v>
      </c>
      <c r="S16" s="139">
        <v>0</v>
      </c>
      <c r="T16" s="139">
        <v>0</v>
      </c>
      <c r="U16" s="139">
        <v>0</v>
      </c>
      <c r="V16" s="139">
        <v>0</v>
      </c>
      <c r="W16" s="139">
        <v>0</v>
      </c>
      <c r="X16" s="139">
        <v>0</v>
      </c>
      <c r="Y16" s="139">
        <v>0</v>
      </c>
      <c r="Z16" s="139">
        <v>0</v>
      </c>
      <c r="AA16" s="139">
        <v>0</v>
      </c>
      <c r="AB16" s="139">
        <v>0</v>
      </c>
      <c r="AC16" s="139">
        <v>0</v>
      </c>
      <c r="AD16" s="139">
        <v>0</v>
      </c>
      <c r="AE16" s="139">
        <v>0</v>
      </c>
      <c r="AF16" s="139">
        <v>0</v>
      </c>
      <c r="AG16" s="139">
        <v>0</v>
      </c>
      <c r="AH16" s="139">
        <v>0</v>
      </c>
      <c r="AI16" s="139">
        <v>0</v>
      </c>
      <c r="AJ16" s="139">
        <v>0</v>
      </c>
    </row>
    <row r="17" spans="1:36" customFormat="1" x14ac:dyDescent="0.15">
      <c r="A17" s="174" t="s">
        <v>207</v>
      </c>
      <c r="B17" s="139">
        <v>0</v>
      </c>
      <c r="C17" s="139">
        <v>0.1669991196531232</v>
      </c>
      <c r="D17" s="139">
        <v>9.9996438532317678E-7</v>
      </c>
      <c r="E17" s="139">
        <v>0</v>
      </c>
      <c r="F17" s="139">
        <v>0</v>
      </c>
      <c r="G17" s="139">
        <v>0</v>
      </c>
      <c r="H17" s="139">
        <v>0</v>
      </c>
      <c r="I17" s="139">
        <v>0</v>
      </c>
      <c r="J17" s="139">
        <v>9.9997714081006593E-7</v>
      </c>
      <c r="K17" s="139">
        <v>0</v>
      </c>
      <c r="L17" s="139">
        <v>0</v>
      </c>
      <c r="M17" s="139">
        <v>0</v>
      </c>
      <c r="N17" s="139">
        <v>0</v>
      </c>
      <c r="O17" s="139">
        <v>9.9899348236648464E-7</v>
      </c>
      <c r="P17" s="139">
        <v>9.9994836192087224E-8</v>
      </c>
      <c r="Q17" s="139">
        <v>0</v>
      </c>
      <c r="R17" s="139">
        <v>0</v>
      </c>
      <c r="S17" s="139">
        <v>0</v>
      </c>
      <c r="T17" s="139">
        <v>0</v>
      </c>
      <c r="U17" s="139">
        <v>0</v>
      </c>
      <c r="V17" s="139">
        <v>0</v>
      </c>
      <c r="W17" s="139">
        <v>0</v>
      </c>
      <c r="X17" s="139">
        <v>0</v>
      </c>
      <c r="Y17" s="139">
        <v>0</v>
      </c>
      <c r="Z17" s="139">
        <v>0</v>
      </c>
      <c r="AA17" s="139">
        <v>0</v>
      </c>
      <c r="AB17" s="139">
        <v>0</v>
      </c>
      <c r="AC17" s="139">
        <v>0</v>
      </c>
      <c r="AD17" s="139">
        <v>0</v>
      </c>
      <c r="AE17" s="139">
        <v>0</v>
      </c>
      <c r="AF17" s="139">
        <v>0</v>
      </c>
      <c r="AG17" s="139">
        <v>0</v>
      </c>
      <c r="AH17" s="139">
        <v>0</v>
      </c>
      <c r="AI17" s="139">
        <v>0</v>
      </c>
      <c r="AJ17" s="139">
        <v>0</v>
      </c>
    </row>
    <row r="18" spans="1:36" customFormat="1" x14ac:dyDescent="0.15">
      <c r="A18" s="174" t="s">
        <v>208</v>
      </c>
      <c r="B18" s="139">
        <v>0</v>
      </c>
      <c r="C18" s="139">
        <v>0</v>
      </c>
      <c r="D18" s="139">
        <v>6.4997686545981731E-2</v>
      </c>
      <c r="E18" s="139">
        <v>0</v>
      </c>
      <c r="F18" s="139">
        <v>0</v>
      </c>
      <c r="G18" s="139">
        <v>0</v>
      </c>
      <c r="H18" s="139">
        <v>0</v>
      </c>
      <c r="I18" s="139">
        <v>0</v>
      </c>
      <c r="J18" s="139">
        <v>9.9997714081006593E-7</v>
      </c>
      <c r="K18" s="139">
        <v>0</v>
      </c>
      <c r="L18" s="139">
        <v>0</v>
      </c>
      <c r="M18" s="139">
        <v>0</v>
      </c>
      <c r="N18" s="139">
        <v>9.9999530601695175E-7</v>
      </c>
      <c r="O18" s="139">
        <v>9.9899348236648464E-7</v>
      </c>
      <c r="P18" s="139">
        <v>0</v>
      </c>
      <c r="Q18" s="139">
        <v>0</v>
      </c>
      <c r="R18" s="139">
        <v>0</v>
      </c>
      <c r="S18" s="139">
        <v>0</v>
      </c>
      <c r="T18" s="139">
        <v>0</v>
      </c>
      <c r="U18" s="139">
        <v>0</v>
      </c>
      <c r="V18" s="139">
        <v>0</v>
      </c>
      <c r="W18" s="139">
        <v>0</v>
      </c>
      <c r="X18" s="139">
        <v>0</v>
      </c>
      <c r="Y18" s="139">
        <v>0</v>
      </c>
      <c r="Z18" s="139">
        <v>0</v>
      </c>
      <c r="AA18" s="139">
        <v>0</v>
      </c>
      <c r="AB18" s="139">
        <v>0</v>
      </c>
      <c r="AC18" s="139">
        <v>0</v>
      </c>
      <c r="AD18" s="139">
        <v>0</v>
      </c>
      <c r="AE18" s="139">
        <v>0</v>
      </c>
      <c r="AF18" s="139">
        <v>0</v>
      </c>
      <c r="AG18" s="139">
        <v>0</v>
      </c>
      <c r="AH18" s="139">
        <v>0</v>
      </c>
      <c r="AI18" s="139">
        <v>0</v>
      </c>
      <c r="AJ18" s="139">
        <v>0</v>
      </c>
    </row>
    <row r="19" spans="1:36" customFormat="1" x14ac:dyDescent="0.15">
      <c r="A19" s="174" t="s">
        <v>209</v>
      </c>
      <c r="B19" s="139">
        <v>0</v>
      </c>
      <c r="C19" s="139">
        <v>9.9999481588696663E-7</v>
      </c>
      <c r="D19" s="139">
        <v>9.9996438532317678E-7</v>
      </c>
      <c r="E19" s="139">
        <v>9.9939125316296029E-7</v>
      </c>
      <c r="F19" s="139">
        <v>0</v>
      </c>
      <c r="G19" s="139">
        <v>0</v>
      </c>
      <c r="H19" s="139">
        <v>0</v>
      </c>
      <c r="I19" s="139">
        <v>0</v>
      </c>
      <c r="J19" s="139">
        <v>0</v>
      </c>
      <c r="K19" s="139">
        <v>0</v>
      </c>
      <c r="L19" s="139">
        <v>0</v>
      </c>
      <c r="M19" s="139">
        <v>0</v>
      </c>
      <c r="N19" s="139">
        <v>9.9999530601695175E-7</v>
      </c>
      <c r="O19" s="139">
        <v>9.9899348236648464E-7</v>
      </c>
      <c r="P19" s="139">
        <v>0</v>
      </c>
      <c r="Q19" s="139">
        <v>0</v>
      </c>
      <c r="R19" s="139">
        <v>0</v>
      </c>
      <c r="S19" s="139">
        <v>0</v>
      </c>
      <c r="T19" s="139">
        <v>0</v>
      </c>
      <c r="U19" s="139">
        <v>0</v>
      </c>
      <c r="V19" s="139">
        <v>0</v>
      </c>
      <c r="W19" s="139">
        <v>0</v>
      </c>
      <c r="X19" s="139">
        <v>0</v>
      </c>
      <c r="Y19" s="139">
        <v>0</v>
      </c>
      <c r="Z19" s="139">
        <v>0</v>
      </c>
      <c r="AA19" s="139">
        <v>0</v>
      </c>
      <c r="AB19" s="139">
        <v>0</v>
      </c>
      <c r="AC19" s="139">
        <v>0</v>
      </c>
      <c r="AD19" s="139">
        <v>0</v>
      </c>
      <c r="AE19" s="139">
        <v>0</v>
      </c>
      <c r="AF19" s="139">
        <v>0</v>
      </c>
      <c r="AG19" s="139">
        <v>0</v>
      </c>
      <c r="AH19" s="139">
        <v>0</v>
      </c>
      <c r="AI19" s="139">
        <v>0</v>
      </c>
      <c r="AJ19" s="139">
        <v>0</v>
      </c>
    </row>
    <row r="20" spans="1:36" customFormat="1" x14ac:dyDescent="0.15">
      <c r="A20" s="174" t="s">
        <v>210</v>
      </c>
      <c r="B20" s="139">
        <v>0</v>
      </c>
      <c r="C20" s="139">
        <v>9.9999481588696663E-7</v>
      </c>
      <c r="D20" s="139">
        <v>9.9996438532317678E-7</v>
      </c>
      <c r="E20" s="139">
        <v>9.9939125316296029E-7</v>
      </c>
      <c r="F20" s="139">
        <v>0</v>
      </c>
      <c r="G20" s="139">
        <v>0</v>
      </c>
      <c r="H20" s="139">
        <v>0.17297270802018314</v>
      </c>
      <c r="I20" s="139">
        <v>0</v>
      </c>
      <c r="J20" s="139">
        <v>9.9997714081006593E-7</v>
      </c>
      <c r="K20" s="139">
        <v>0</v>
      </c>
      <c r="L20" s="139">
        <v>0</v>
      </c>
      <c r="M20" s="139">
        <v>0</v>
      </c>
      <c r="N20" s="139">
        <v>9.9999530601695175E-7</v>
      </c>
      <c r="O20" s="139">
        <v>9.9899353936648937E-8</v>
      </c>
      <c r="P20" s="139">
        <v>0</v>
      </c>
      <c r="Q20" s="139">
        <v>0</v>
      </c>
      <c r="R20" s="139">
        <v>0</v>
      </c>
      <c r="S20" s="139">
        <v>0</v>
      </c>
      <c r="T20" s="139">
        <v>0</v>
      </c>
      <c r="U20" s="139">
        <v>0</v>
      </c>
      <c r="V20" s="139">
        <v>0</v>
      </c>
      <c r="W20" s="139">
        <v>0.12865066692733981</v>
      </c>
      <c r="X20" s="139">
        <v>0</v>
      </c>
      <c r="Y20" s="139">
        <v>8.5999996492440806E-2</v>
      </c>
      <c r="Z20" s="139">
        <v>0</v>
      </c>
      <c r="AA20" s="139">
        <v>0</v>
      </c>
      <c r="AB20" s="139">
        <v>0</v>
      </c>
      <c r="AC20" s="139">
        <v>0</v>
      </c>
      <c r="AD20" s="139">
        <v>0</v>
      </c>
      <c r="AE20" s="139">
        <v>0</v>
      </c>
      <c r="AF20" s="139">
        <v>0</v>
      </c>
      <c r="AG20" s="139">
        <v>0</v>
      </c>
      <c r="AH20" s="139">
        <v>0</v>
      </c>
      <c r="AI20" s="139">
        <v>0</v>
      </c>
      <c r="AJ20" s="139">
        <v>0</v>
      </c>
    </row>
    <row r="21" spans="1:36" customFormat="1" x14ac:dyDescent="0.15">
      <c r="A21" s="174" t="s">
        <v>211</v>
      </c>
      <c r="B21" s="139">
        <v>0</v>
      </c>
      <c r="C21" s="139">
        <v>9.9999476988696601E-8</v>
      </c>
      <c r="D21" s="139">
        <v>9.9996438532317678E-7</v>
      </c>
      <c r="E21" s="139">
        <v>0</v>
      </c>
      <c r="F21" s="139">
        <v>2.4011794955835098E-4</v>
      </c>
      <c r="G21" s="139">
        <v>0</v>
      </c>
      <c r="H21" s="139">
        <v>0</v>
      </c>
      <c r="I21" s="139">
        <v>0</v>
      </c>
      <c r="J21" s="139">
        <v>9.9997714081006593E-7</v>
      </c>
      <c r="K21" s="139">
        <v>0</v>
      </c>
      <c r="L21" s="139">
        <v>0</v>
      </c>
      <c r="M21" s="139">
        <v>0</v>
      </c>
      <c r="N21" s="139">
        <v>0</v>
      </c>
      <c r="O21" s="139">
        <v>9.9899353936648937E-8</v>
      </c>
      <c r="P21" s="139">
        <v>9.9994926187520794E-5</v>
      </c>
      <c r="Q21" s="139">
        <v>0</v>
      </c>
      <c r="R21" s="139">
        <v>0</v>
      </c>
      <c r="S21" s="139">
        <v>0</v>
      </c>
      <c r="T21" s="139">
        <v>0</v>
      </c>
      <c r="U21" s="139">
        <v>1.3956006299323772E-3</v>
      </c>
      <c r="V21" s="139">
        <v>0</v>
      </c>
      <c r="W21" s="139">
        <v>0</v>
      </c>
      <c r="X21" s="139">
        <v>0</v>
      </c>
      <c r="Y21" s="139">
        <v>0</v>
      </c>
      <c r="Z21" s="139">
        <v>0</v>
      </c>
      <c r="AA21" s="139">
        <v>0</v>
      </c>
      <c r="AB21" s="139">
        <v>0</v>
      </c>
      <c r="AC21" s="139">
        <v>0</v>
      </c>
      <c r="AD21" s="139">
        <v>0</v>
      </c>
      <c r="AE21" s="139">
        <v>0</v>
      </c>
      <c r="AF21" s="139">
        <v>0</v>
      </c>
      <c r="AG21" s="139">
        <v>0</v>
      </c>
      <c r="AH21" s="139">
        <v>0</v>
      </c>
      <c r="AI21" s="139">
        <v>0</v>
      </c>
      <c r="AJ21" s="139">
        <v>0</v>
      </c>
    </row>
    <row r="22" spans="1:36" customFormat="1" x14ac:dyDescent="0.15">
      <c r="A22" s="174" t="s">
        <v>212</v>
      </c>
      <c r="B22" s="139">
        <v>0</v>
      </c>
      <c r="C22" s="139">
        <v>0.16299915558957559</v>
      </c>
      <c r="D22" s="139">
        <v>0.15399745669119205</v>
      </c>
      <c r="E22" s="139">
        <v>0.44622112703492689</v>
      </c>
      <c r="F22" s="139">
        <v>5.0024570849316139E-3</v>
      </c>
      <c r="G22" s="139">
        <v>0</v>
      </c>
      <c r="H22" s="139">
        <v>0.30095251511026083</v>
      </c>
      <c r="I22" s="139">
        <v>0.2387612302178827</v>
      </c>
      <c r="J22" s="139">
        <v>0</v>
      </c>
      <c r="K22" s="139">
        <v>0.3337548820136082</v>
      </c>
      <c r="L22" s="139">
        <v>0.26691457298813598</v>
      </c>
      <c r="M22" s="139">
        <v>2.5000000000000001E-2</v>
      </c>
      <c r="N22" s="139">
        <v>0</v>
      </c>
      <c r="O22" s="139">
        <v>0</v>
      </c>
      <c r="P22" s="139">
        <v>4.9997463093760401E-2</v>
      </c>
      <c r="Q22" s="139">
        <v>0</v>
      </c>
      <c r="R22" s="139">
        <v>0</v>
      </c>
      <c r="S22" s="139">
        <v>0.31607588607211612</v>
      </c>
      <c r="T22" s="139">
        <v>5.3989201938212356E-2</v>
      </c>
      <c r="U22" s="139">
        <v>0</v>
      </c>
      <c r="V22" s="139">
        <v>0.05</v>
      </c>
      <c r="W22" s="139">
        <v>0</v>
      </c>
      <c r="X22" s="139">
        <v>0</v>
      </c>
      <c r="Y22" s="139">
        <v>0</v>
      </c>
      <c r="Z22" s="139">
        <v>0.12000000000000001</v>
      </c>
      <c r="AA22" s="139">
        <v>0</v>
      </c>
      <c r="AB22" s="139">
        <v>0</v>
      </c>
      <c r="AC22" s="139">
        <v>0</v>
      </c>
      <c r="AD22" s="139">
        <v>0</v>
      </c>
      <c r="AE22" s="139">
        <v>0</v>
      </c>
      <c r="AF22" s="139">
        <v>0</v>
      </c>
      <c r="AG22" s="139">
        <v>0</v>
      </c>
      <c r="AH22" s="139">
        <v>0</v>
      </c>
      <c r="AI22" s="139">
        <v>0</v>
      </c>
      <c r="AJ22" s="139">
        <v>0</v>
      </c>
    </row>
    <row r="23" spans="1:36" customFormat="1" x14ac:dyDescent="0.15">
      <c r="A23" s="174" t="s">
        <v>213</v>
      </c>
      <c r="B23" s="139">
        <v>9.9960818508570155E-3</v>
      </c>
      <c r="C23" s="139">
        <v>9.9999481588696662E-2</v>
      </c>
      <c r="D23" s="139">
        <v>9.9998348500774051E-3</v>
      </c>
      <c r="E23" s="139">
        <v>8.8945827534478286E-2</v>
      </c>
      <c r="F23" s="139">
        <v>1.0001723140098825E-2</v>
      </c>
      <c r="G23" s="139">
        <v>0</v>
      </c>
      <c r="H23" s="139">
        <v>0</v>
      </c>
      <c r="I23" s="139">
        <v>0</v>
      </c>
      <c r="J23" s="139">
        <v>9.999893406800223E-3</v>
      </c>
      <c r="K23" s="139">
        <v>4.9993832763165054E-2</v>
      </c>
      <c r="L23" s="139">
        <v>0</v>
      </c>
      <c r="M23" s="139">
        <v>0</v>
      </c>
      <c r="N23" s="139">
        <v>9.999983060118697E-3</v>
      </c>
      <c r="O23" s="139">
        <v>9.9899348236648471E-3</v>
      </c>
      <c r="P23" s="139">
        <v>0.1999898523750416</v>
      </c>
      <c r="Q23" s="139">
        <v>1.7982016970010003E-2</v>
      </c>
      <c r="R23" s="139">
        <v>5.0014787898345599E-3</v>
      </c>
      <c r="S23" s="139">
        <v>0</v>
      </c>
      <c r="T23" s="139">
        <v>0</v>
      </c>
      <c r="U23" s="139">
        <v>0.26569545564523761</v>
      </c>
      <c r="V23" s="139">
        <v>0</v>
      </c>
      <c r="W23" s="139">
        <v>1.0000454190627976E-2</v>
      </c>
      <c r="X23" s="139">
        <v>1.0000130021080526E-2</v>
      </c>
      <c r="Y23" s="139">
        <v>0</v>
      </c>
      <c r="Z23" s="139">
        <v>0</v>
      </c>
      <c r="AA23" s="139">
        <v>0</v>
      </c>
      <c r="AB23" s="139">
        <v>0</v>
      </c>
      <c r="AC23" s="139">
        <v>0</v>
      </c>
      <c r="AD23" s="139">
        <v>0</v>
      </c>
      <c r="AE23" s="139">
        <v>0</v>
      </c>
      <c r="AF23" s="139">
        <v>0</v>
      </c>
      <c r="AG23" s="139">
        <v>0</v>
      </c>
      <c r="AH23" s="139">
        <v>0</v>
      </c>
      <c r="AI23" s="139">
        <v>0</v>
      </c>
      <c r="AJ23" s="139">
        <v>0</v>
      </c>
    </row>
    <row r="24" spans="1:36" customFormat="1" x14ac:dyDescent="0.15">
      <c r="A24" s="174" t="s">
        <v>214</v>
      </c>
      <c r="B24" s="139">
        <v>0</v>
      </c>
      <c r="C24" s="139">
        <v>0</v>
      </c>
      <c r="D24" s="139">
        <v>9.9996438532317698E-9</v>
      </c>
      <c r="E24" s="139">
        <v>0</v>
      </c>
      <c r="F24" s="139">
        <v>8.0039313418916166E-2</v>
      </c>
      <c r="G24" s="139">
        <v>0</v>
      </c>
      <c r="H24" s="139">
        <v>0</v>
      </c>
      <c r="I24" s="139">
        <v>0</v>
      </c>
      <c r="J24" s="139">
        <v>2.5999406761049993E-2</v>
      </c>
      <c r="K24" s="139">
        <v>0</v>
      </c>
      <c r="L24" s="139">
        <v>0</v>
      </c>
      <c r="M24" s="139">
        <v>0</v>
      </c>
      <c r="N24" s="139">
        <v>0</v>
      </c>
      <c r="O24" s="139">
        <v>0</v>
      </c>
      <c r="P24" s="139">
        <v>0</v>
      </c>
      <c r="Q24" s="139">
        <v>0</v>
      </c>
      <c r="R24" s="139">
        <v>0</v>
      </c>
      <c r="S24" s="139">
        <v>0</v>
      </c>
      <c r="T24" s="139">
        <v>0</v>
      </c>
      <c r="U24" s="139">
        <v>4.8992158658030305E-2</v>
      </c>
      <c r="V24" s="139">
        <v>0</v>
      </c>
      <c r="W24" s="139">
        <v>0</v>
      </c>
      <c r="X24" s="139">
        <v>0</v>
      </c>
      <c r="Y24" s="139">
        <v>0</v>
      </c>
      <c r="Z24" s="139">
        <v>0</v>
      </c>
      <c r="AA24" s="139">
        <v>0</v>
      </c>
      <c r="AB24" s="139">
        <v>0</v>
      </c>
      <c r="AC24" s="139">
        <v>0</v>
      </c>
      <c r="AD24" s="139">
        <v>0</v>
      </c>
      <c r="AE24" s="139">
        <v>0</v>
      </c>
      <c r="AF24" s="139">
        <v>0</v>
      </c>
      <c r="AG24" s="139">
        <v>0</v>
      </c>
      <c r="AH24" s="139">
        <v>0</v>
      </c>
      <c r="AI24" s="139">
        <v>0</v>
      </c>
      <c r="AJ24" s="139">
        <v>0</v>
      </c>
    </row>
    <row r="25" spans="1:36" customFormat="1" x14ac:dyDescent="0.15">
      <c r="A25" s="174" t="s">
        <v>215</v>
      </c>
      <c r="B25" s="139">
        <v>0</v>
      </c>
      <c r="C25" s="139">
        <v>0</v>
      </c>
      <c r="D25" s="139">
        <v>9.9998348500774051E-3</v>
      </c>
      <c r="E25" s="139">
        <v>9.9939129418328831E-8</v>
      </c>
      <c r="F25" s="139">
        <v>0</v>
      </c>
      <c r="G25" s="139">
        <v>9.9967353975189785E-2</v>
      </c>
      <c r="H25" s="139">
        <v>0</v>
      </c>
      <c r="I25" s="139">
        <v>0</v>
      </c>
      <c r="J25" s="139">
        <v>2.4999430320232462E-2</v>
      </c>
      <c r="K25" s="139">
        <v>0</v>
      </c>
      <c r="L25" s="139">
        <v>0</v>
      </c>
      <c r="M25" s="139">
        <v>0</v>
      </c>
      <c r="N25" s="139">
        <v>0</v>
      </c>
      <c r="O25" s="139">
        <v>9.9899353936648937E-8</v>
      </c>
      <c r="P25" s="139">
        <v>9.9994836192087224E-8</v>
      </c>
      <c r="Q25" s="139">
        <v>0</v>
      </c>
      <c r="R25" s="139">
        <v>0</v>
      </c>
      <c r="S25" s="139">
        <v>0</v>
      </c>
      <c r="T25" s="139">
        <v>0</v>
      </c>
      <c r="U25" s="139">
        <v>4.8992158658030305E-2</v>
      </c>
      <c r="V25" s="139">
        <v>0</v>
      </c>
      <c r="W25" s="139">
        <v>0</v>
      </c>
      <c r="X25" s="139">
        <v>0</v>
      </c>
      <c r="Y25" s="139">
        <v>0</v>
      </c>
      <c r="Z25" s="139">
        <v>0</v>
      </c>
      <c r="AA25" s="139">
        <v>0</v>
      </c>
      <c r="AB25" s="139">
        <v>0</v>
      </c>
      <c r="AC25" s="139">
        <v>0</v>
      </c>
      <c r="AD25" s="139">
        <v>0</v>
      </c>
      <c r="AE25" s="139">
        <v>0</v>
      </c>
      <c r="AF25" s="139">
        <v>0</v>
      </c>
      <c r="AG25" s="139">
        <v>0</v>
      </c>
      <c r="AH25" s="139">
        <v>0</v>
      </c>
      <c r="AI25" s="139">
        <v>0</v>
      </c>
      <c r="AJ25" s="139">
        <v>0</v>
      </c>
    </row>
    <row r="26" spans="1:36" customFormat="1" x14ac:dyDescent="0.15">
      <c r="A26" s="174" t="s">
        <v>216</v>
      </c>
      <c r="B26" s="139">
        <v>5.0000358534795647E-3</v>
      </c>
      <c r="C26" s="139">
        <v>0.1399992722241753</v>
      </c>
      <c r="D26" s="139">
        <v>0.68998860465534095</v>
      </c>
      <c r="E26" s="139">
        <v>0.14391234445744952</v>
      </c>
      <c r="F26" s="139">
        <v>7.0034405830186755E-3</v>
      </c>
      <c r="G26" s="139">
        <v>0</v>
      </c>
      <c r="H26" s="139">
        <v>0.11768041414889474</v>
      </c>
      <c r="I26" s="139">
        <v>0</v>
      </c>
      <c r="J26" s="139">
        <v>3.9999083632423958E-2</v>
      </c>
      <c r="K26" s="139">
        <v>6.595156421817075E-2</v>
      </c>
      <c r="L26" s="139">
        <v>0</v>
      </c>
      <c r="M26" s="139">
        <v>1E-3</v>
      </c>
      <c r="N26" s="139">
        <v>0.54799907169450468</v>
      </c>
      <c r="O26" s="139">
        <v>4.7951691053591587E-2</v>
      </c>
      <c r="P26" s="139">
        <v>4.7997520272257677E-2</v>
      </c>
      <c r="Q26" s="139">
        <v>6.7932069131148839E-2</v>
      </c>
      <c r="R26" s="139">
        <v>1.1991558650381769E-2</v>
      </c>
      <c r="S26" s="139">
        <v>6.0014400755465432E-3</v>
      </c>
      <c r="T26" s="139">
        <v>5.6988602045890818E-2</v>
      </c>
      <c r="U26" s="139">
        <v>2.7995519233160173E-3</v>
      </c>
      <c r="V26" s="139">
        <v>0</v>
      </c>
      <c r="W26" s="139">
        <v>9.0004087715651777E-3</v>
      </c>
      <c r="X26" s="139">
        <v>0.10001130834093036</v>
      </c>
      <c r="Y26" s="139">
        <v>0</v>
      </c>
      <c r="Z26" s="139">
        <v>5.000000000000001E-2</v>
      </c>
      <c r="AA26" s="139">
        <v>0</v>
      </c>
      <c r="AB26" s="139">
        <v>0</v>
      </c>
      <c r="AC26" s="139">
        <v>0</v>
      </c>
      <c r="AD26" s="139">
        <v>0</v>
      </c>
      <c r="AE26" s="139">
        <v>0</v>
      </c>
      <c r="AF26" s="139">
        <v>0</v>
      </c>
      <c r="AG26" s="139">
        <v>0</v>
      </c>
      <c r="AH26" s="139">
        <v>0</v>
      </c>
      <c r="AI26" s="139">
        <v>0</v>
      </c>
      <c r="AJ26" s="139">
        <v>0</v>
      </c>
    </row>
    <row r="27" spans="1:36" customFormat="1" x14ac:dyDescent="0.15">
      <c r="A27" s="174" t="s">
        <v>217</v>
      </c>
      <c r="B27" s="139">
        <v>2.0000145273189485E-3</v>
      </c>
      <c r="C27" s="139">
        <v>0.19999896317739332</v>
      </c>
      <c r="D27" s="139">
        <v>5.9997864119374095E-3</v>
      </c>
      <c r="E27" s="139">
        <v>0.26583809735324665</v>
      </c>
      <c r="F27" s="139">
        <v>3.1015235438836542E-2</v>
      </c>
      <c r="G27" s="139">
        <v>0</v>
      </c>
      <c r="H27" s="139">
        <v>0.31000988602016399</v>
      </c>
      <c r="I27" s="139">
        <v>0.42257744306763101</v>
      </c>
      <c r="J27" s="139">
        <v>6.999840385666198E-3</v>
      </c>
      <c r="K27" s="139">
        <v>0.38871452219500602</v>
      </c>
      <c r="L27" s="139">
        <v>3.9987205048784384E-3</v>
      </c>
      <c r="M27" s="139">
        <v>0.17</v>
      </c>
      <c r="N27" s="139">
        <v>1.9999906120339033E-3</v>
      </c>
      <c r="O27" s="139">
        <v>3.9959743294659721E-3</v>
      </c>
      <c r="P27" s="139">
        <v>0.28098574258693343</v>
      </c>
      <c r="Q27" s="139">
        <v>0.66833169145203764</v>
      </c>
      <c r="R27" s="139">
        <v>9.593246880293585E-2</v>
      </c>
      <c r="S27" s="139">
        <v>0.64915577139495095</v>
      </c>
      <c r="T27" s="139">
        <v>9.9980007689282294E-2</v>
      </c>
      <c r="U27" s="139">
        <v>0.25171149382027957</v>
      </c>
      <c r="V27" s="139">
        <v>0</v>
      </c>
      <c r="W27" s="139">
        <v>0.35732598767438217</v>
      </c>
      <c r="X27" s="139">
        <v>6.0006784304549108E-4</v>
      </c>
      <c r="Y27" s="139">
        <v>2.6999997311580239E-2</v>
      </c>
      <c r="Z27" s="139">
        <v>9.0000000000000011E-2</v>
      </c>
      <c r="AA27" s="139">
        <v>0.01</v>
      </c>
      <c r="AB27" s="139">
        <v>0</v>
      </c>
      <c r="AC27" s="139">
        <v>0</v>
      </c>
      <c r="AD27" s="139">
        <v>0</v>
      </c>
      <c r="AE27" s="139">
        <v>0</v>
      </c>
      <c r="AF27" s="139">
        <v>0</v>
      </c>
      <c r="AG27" s="139">
        <v>0</v>
      </c>
      <c r="AH27" s="139">
        <v>0</v>
      </c>
      <c r="AI27" s="139">
        <v>0</v>
      </c>
      <c r="AJ27" s="139">
        <v>0</v>
      </c>
    </row>
    <row r="28" spans="1:36" customFormat="1" x14ac:dyDescent="0.15">
      <c r="A28" s="174" t="s">
        <v>218</v>
      </c>
      <c r="B28" s="139">
        <v>0</v>
      </c>
      <c r="C28" s="139">
        <v>3.9999793035478673E-3</v>
      </c>
      <c r="D28" s="139">
        <v>0</v>
      </c>
      <c r="E28" s="139">
        <v>0</v>
      </c>
      <c r="F28" s="139">
        <v>0</v>
      </c>
      <c r="G28" s="139">
        <v>0</v>
      </c>
      <c r="H28" s="139">
        <v>1.1998106914694785E-2</v>
      </c>
      <c r="I28" s="139">
        <v>0</v>
      </c>
      <c r="J28" s="139">
        <v>0</v>
      </c>
      <c r="K28" s="139">
        <v>4.9963306528879861E-3</v>
      </c>
      <c r="L28" s="139">
        <v>0.3888755696119281</v>
      </c>
      <c r="M28" s="139">
        <v>0</v>
      </c>
      <c r="N28" s="139">
        <v>0</v>
      </c>
      <c r="O28" s="139">
        <v>0</v>
      </c>
      <c r="P28" s="139">
        <v>0</v>
      </c>
      <c r="Q28" s="139">
        <v>0</v>
      </c>
      <c r="R28" s="139">
        <v>0.69920673481887141</v>
      </c>
      <c r="S28" s="139">
        <v>2.0004801018488443E-3</v>
      </c>
      <c r="T28" s="139">
        <v>0</v>
      </c>
      <c r="U28" s="139">
        <v>0</v>
      </c>
      <c r="V28" s="139">
        <v>0</v>
      </c>
      <c r="W28" s="139">
        <v>0</v>
      </c>
      <c r="X28" s="139">
        <v>5.0005650170413165E-3</v>
      </c>
      <c r="Y28" s="139">
        <v>0</v>
      </c>
      <c r="Z28" s="139">
        <v>9.0000000000000011E-2</v>
      </c>
      <c r="AA28" s="139">
        <v>0</v>
      </c>
      <c r="AB28" s="139">
        <v>0.2</v>
      </c>
      <c r="AC28" s="139">
        <v>0</v>
      </c>
      <c r="AD28" s="139">
        <v>0</v>
      </c>
      <c r="AE28" s="139">
        <v>0</v>
      </c>
      <c r="AF28" s="139">
        <v>0</v>
      </c>
      <c r="AG28" s="139">
        <v>0</v>
      </c>
      <c r="AH28" s="139">
        <v>0</v>
      </c>
      <c r="AI28" s="139">
        <v>0</v>
      </c>
      <c r="AJ28" s="139">
        <v>0</v>
      </c>
    </row>
    <row r="29" spans="1:36" customFormat="1" x14ac:dyDescent="0.15">
      <c r="A29" s="174" t="s">
        <v>219</v>
      </c>
      <c r="B29" s="139">
        <v>0.190925163351369</v>
      </c>
      <c r="C29" s="139">
        <v>1.5999917154191468E-2</v>
      </c>
      <c r="D29" s="139">
        <v>9.9996448532152548E-4</v>
      </c>
      <c r="E29" s="139">
        <v>9.9939125316296043E-5</v>
      </c>
      <c r="F29" s="139">
        <v>1.3006389196955912E-2</v>
      </c>
      <c r="G29" s="139">
        <v>4.1971976443478429E-2</v>
      </c>
      <c r="H29" s="139">
        <v>1.3997791400477249E-2</v>
      </c>
      <c r="I29" s="139">
        <v>4.3956042194505614E-2</v>
      </c>
      <c r="J29" s="139">
        <v>0</v>
      </c>
      <c r="K29" s="139">
        <v>3.9970649222610512E-3</v>
      </c>
      <c r="L29" s="139">
        <v>0.2589171500783789</v>
      </c>
      <c r="M29" s="139">
        <v>0.28499999999999998</v>
      </c>
      <c r="N29" s="139">
        <v>0</v>
      </c>
      <c r="O29" s="139">
        <v>4.695269387122479E-2</v>
      </c>
      <c r="P29" s="139">
        <v>9.4995179878144755E-4</v>
      </c>
      <c r="Q29" s="139">
        <v>0</v>
      </c>
      <c r="R29" s="139">
        <v>1.6988042863467227E-2</v>
      </c>
      <c r="S29" s="139">
        <v>7.001680691470941E-3</v>
      </c>
      <c r="T29" s="139">
        <v>8.9982003230353914E-4</v>
      </c>
      <c r="U29" s="139">
        <v>5.5991038466320343E-2</v>
      </c>
      <c r="V29" s="139">
        <v>0.7</v>
      </c>
      <c r="W29" s="139">
        <v>4.3001953019700292E-2</v>
      </c>
      <c r="X29" s="139">
        <v>1.0001130034082633E-2</v>
      </c>
      <c r="Y29" s="139">
        <v>2.9999995946200252E-3</v>
      </c>
      <c r="Z29" s="139">
        <v>0.39000000000000007</v>
      </c>
      <c r="AA29" s="139">
        <v>9.7000000000000003E-2</v>
      </c>
      <c r="AB29" s="139">
        <v>0.4</v>
      </c>
      <c r="AC29" s="139">
        <v>0.01</v>
      </c>
      <c r="AD29" s="139">
        <v>0</v>
      </c>
      <c r="AE29" s="139">
        <v>0</v>
      </c>
      <c r="AF29" s="139">
        <v>0</v>
      </c>
      <c r="AG29" s="139">
        <v>0</v>
      </c>
      <c r="AH29" s="139">
        <v>0</v>
      </c>
      <c r="AI29" s="139">
        <v>0</v>
      </c>
      <c r="AJ29" s="139">
        <v>0</v>
      </c>
    </row>
    <row r="30" spans="1:36" customFormat="1" x14ac:dyDescent="0.15">
      <c r="A30" s="174" t="s">
        <v>220</v>
      </c>
      <c r="B30" s="139">
        <v>6.900049398033066E-2</v>
      </c>
      <c r="C30" s="139">
        <v>0</v>
      </c>
      <c r="D30" s="139">
        <v>0</v>
      </c>
      <c r="E30" s="139">
        <v>0</v>
      </c>
      <c r="F30" s="139">
        <v>0</v>
      </c>
      <c r="G30" s="139">
        <v>3.3977314135238805E-4</v>
      </c>
      <c r="H30" s="139">
        <v>7.3988325973951179E-3</v>
      </c>
      <c r="I30" s="139">
        <v>0.10189809726453579</v>
      </c>
      <c r="J30" s="139">
        <v>0</v>
      </c>
      <c r="K30" s="139">
        <v>1.0991927536341235E-5</v>
      </c>
      <c r="L30" s="139">
        <v>3.1989763039027517E-4</v>
      </c>
      <c r="M30" s="139">
        <v>5.0000000000000001E-3</v>
      </c>
      <c r="N30" s="139">
        <v>0</v>
      </c>
      <c r="O30" s="139">
        <v>0</v>
      </c>
      <c r="P30" s="139">
        <v>0</v>
      </c>
      <c r="Q30" s="139">
        <v>0</v>
      </c>
      <c r="R30" s="139">
        <v>1.9985931050626425E-3</v>
      </c>
      <c r="S30" s="139">
        <v>4.7011281428447889E-4</v>
      </c>
      <c r="T30" s="139">
        <v>0</v>
      </c>
      <c r="U30" s="139">
        <v>0</v>
      </c>
      <c r="V30" s="139">
        <v>0.25</v>
      </c>
      <c r="W30" s="139">
        <v>6.2002815981893444E-2</v>
      </c>
      <c r="X30" s="139">
        <v>3.0003392102273904E-4</v>
      </c>
      <c r="Y30" s="139">
        <v>9.9999991154000889E-8</v>
      </c>
      <c r="Z30" s="139">
        <v>8.0000000000000016E-2</v>
      </c>
      <c r="AA30" s="139">
        <v>0</v>
      </c>
      <c r="AB30" s="139">
        <v>0.2</v>
      </c>
      <c r="AC30" s="139">
        <v>0.63</v>
      </c>
      <c r="AD30" s="139">
        <v>0</v>
      </c>
      <c r="AE30" s="139">
        <v>1.0999999999999999E-2</v>
      </c>
      <c r="AF30" s="139">
        <v>0</v>
      </c>
      <c r="AG30" s="139">
        <v>0.2</v>
      </c>
      <c r="AH30" s="139">
        <v>0</v>
      </c>
      <c r="AI30" s="139">
        <v>0</v>
      </c>
      <c r="AJ30" s="139">
        <v>0</v>
      </c>
    </row>
    <row r="31" spans="1:36" customFormat="1" x14ac:dyDescent="0.15">
      <c r="A31" s="174" t="s">
        <v>221</v>
      </c>
      <c r="B31" s="139">
        <v>0</v>
      </c>
      <c r="C31" s="139">
        <v>0</v>
      </c>
      <c r="D31" s="139">
        <v>0</v>
      </c>
      <c r="E31" s="139">
        <v>0</v>
      </c>
      <c r="F31" s="139">
        <v>1.0001723140098825E-2</v>
      </c>
      <c r="G31" s="139">
        <v>0.31489716502184784</v>
      </c>
      <c r="H31" s="139">
        <v>1.8997002614933409E-2</v>
      </c>
      <c r="I31" s="139">
        <v>0.17582416837802248</v>
      </c>
      <c r="J31" s="139">
        <v>0</v>
      </c>
      <c r="K31" s="139">
        <v>5.9955970734298122E-4</v>
      </c>
      <c r="L31" s="139">
        <v>7.9974409097568769E-2</v>
      </c>
      <c r="M31" s="139">
        <v>0</v>
      </c>
      <c r="N31" s="139">
        <v>0</v>
      </c>
      <c r="O31" s="139">
        <v>0</v>
      </c>
      <c r="P31" s="139">
        <v>0.14999238928128117</v>
      </c>
      <c r="Q31" s="139">
        <v>5.9940055133366702E-3</v>
      </c>
      <c r="R31" s="139">
        <v>8.4940208415591148E-2</v>
      </c>
      <c r="S31" s="139">
        <v>1.0002400559244219E-3</v>
      </c>
      <c r="T31" s="139">
        <v>2.9994001076784642E-4</v>
      </c>
      <c r="U31" s="139">
        <v>1.3983971823357755E-2</v>
      </c>
      <c r="V31" s="139">
        <v>0</v>
      </c>
      <c r="W31" s="139">
        <v>4.9002225534077078E-2</v>
      </c>
      <c r="X31" s="139">
        <v>6.0006780204495805E-2</v>
      </c>
      <c r="Y31" s="139">
        <v>1.1999998338480101E-2</v>
      </c>
      <c r="Z31" s="139">
        <v>9.0000000000000011E-2</v>
      </c>
      <c r="AA31" s="139">
        <v>0.06</v>
      </c>
      <c r="AB31" s="139">
        <v>0</v>
      </c>
      <c r="AC31" s="139">
        <v>0</v>
      </c>
      <c r="AD31" s="139">
        <v>0</v>
      </c>
      <c r="AE31" s="139">
        <v>1.6E-2</v>
      </c>
      <c r="AF31" s="139">
        <v>0.03</v>
      </c>
      <c r="AG31" s="139">
        <v>0.1</v>
      </c>
      <c r="AH31" s="139">
        <v>0</v>
      </c>
      <c r="AI31" s="139">
        <v>0</v>
      </c>
      <c r="AJ31" s="139">
        <v>0</v>
      </c>
    </row>
    <row r="32" spans="1:36" customFormat="1" x14ac:dyDescent="0.15">
      <c r="A32" s="174" t="s">
        <v>222</v>
      </c>
      <c r="B32" s="139">
        <v>0</v>
      </c>
      <c r="C32" s="139">
        <v>0</v>
      </c>
      <c r="D32" s="139">
        <v>0</v>
      </c>
      <c r="E32" s="139">
        <v>0</v>
      </c>
      <c r="F32" s="139">
        <v>0</v>
      </c>
      <c r="G32" s="139">
        <v>0</v>
      </c>
      <c r="H32" s="139">
        <v>0</v>
      </c>
      <c r="I32" s="139">
        <v>0</v>
      </c>
      <c r="J32" s="139">
        <v>0</v>
      </c>
      <c r="K32" s="139">
        <v>0</v>
      </c>
      <c r="L32" s="139">
        <v>0</v>
      </c>
      <c r="M32" s="139">
        <v>0</v>
      </c>
      <c r="N32" s="139">
        <v>0</v>
      </c>
      <c r="O32" s="139">
        <v>0</v>
      </c>
      <c r="P32" s="139">
        <v>0.15499213559065722</v>
      </c>
      <c r="Q32" s="139">
        <v>0</v>
      </c>
      <c r="R32" s="139">
        <v>1.399015217556863E-2</v>
      </c>
      <c r="S32" s="139">
        <v>2.9006958721808368E-4</v>
      </c>
      <c r="T32" s="139">
        <v>0</v>
      </c>
      <c r="U32" s="139">
        <v>0</v>
      </c>
      <c r="V32" s="139">
        <v>0</v>
      </c>
      <c r="W32" s="139">
        <v>1.1000499609690772E-2</v>
      </c>
      <c r="X32" s="139">
        <v>0.11401288238854203</v>
      </c>
      <c r="Y32" s="139">
        <v>1.1999998338480101E-2</v>
      </c>
      <c r="Z32" s="139">
        <v>0</v>
      </c>
      <c r="AA32" s="139">
        <v>0</v>
      </c>
      <c r="AB32" s="139">
        <v>0</v>
      </c>
      <c r="AC32" s="139">
        <v>0</v>
      </c>
      <c r="AD32" s="139">
        <v>0</v>
      </c>
      <c r="AE32" s="139">
        <v>0</v>
      </c>
      <c r="AF32" s="139">
        <v>7.0000000000000007E-2</v>
      </c>
      <c r="AG32" s="139">
        <v>0</v>
      </c>
      <c r="AH32" s="139">
        <v>0</v>
      </c>
      <c r="AI32" s="139">
        <v>0</v>
      </c>
      <c r="AJ32" s="139">
        <v>0</v>
      </c>
    </row>
    <row r="33" spans="1:36" customFormat="1" x14ac:dyDescent="0.15">
      <c r="A33" s="174" t="s">
        <v>223</v>
      </c>
      <c r="B33" s="139">
        <v>6.997257295599911E-2</v>
      </c>
      <c r="C33" s="139">
        <v>9.9999481588696655E-3</v>
      </c>
      <c r="D33" s="139">
        <v>0</v>
      </c>
      <c r="E33" s="139">
        <v>0</v>
      </c>
      <c r="F33" s="139">
        <v>8.1013957434800485E-2</v>
      </c>
      <c r="G33" s="139">
        <v>0.54282273208528053</v>
      </c>
      <c r="H33" s="139">
        <v>4.5992743172996675E-2</v>
      </c>
      <c r="I33" s="139">
        <v>1.6983018877422457E-2</v>
      </c>
      <c r="J33" s="139">
        <v>1.9999545616171477E-3</v>
      </c>
      <c r="K33" s="139">
        <v>0.15198125160002174</v>
      </c>
      <c r="L33" s="139">
        <v>9.9968008871960997E-4</v>
      </c>
      <c r="M33" s="139">
        <v>0</v>
      </c>
      <c r="N33" s="139">
        <v>0</v>
      </c>
      <c r="O33" s="139">
        <v>0</v>
      </c>
      <c r="P33" s="139">
        <v>9.9994926187520802E-2</v>
      </c>
      <c r="Q33" s="139">
        <v>0.23976021693346683</v>
      </c>
      <c r="R33" s="139">
        <v>6.995076237828679E-2</v>
      </c>
      <c r="S33" s="139">
        <v>1.8004319206639679E-2</v>
      </c>
      <c r="T33" s="139">
        <v>1.5996800574285139E-2</v>
      </c>
      <c r="U33" s="139">
        <v>0.19717119915806114</v>
      </c>
      <c r="V33" s="139">
        <v>0</v>
      </c>
      <c r="W33" s="139">
        <v>0.33001498829072318</v>
      </c>
      <c r="X33" s="139">
        <v>0.12000156025296631</v>
      </c>
      <c r="Y33" s="139">
        <v>0.85999990992440756</v>
      </c>
      <c r="Z33" s="139">
        <v>9.0000000000000011E-2</v>
      </c>
      <c r="AA33" s="139">
        <v>0.05</v>
      </c>
      <c r="AB33" s="139">
        <v>0</v>
      </c>
      <c r="AC33" s="139">
        <v>0</v>
      </c>
      <c r="AD33" s="139">
        <v>0</v>
      </c>
      <c r="AE33" s="139">
        <v>1.0999999999999999E-2</v>
      </c>
      <c r="AF33" s="139">
        <v>0.3</v>
      </c>
      <c r="AG33" s="139">
        <v>0.05</v>
      </c>
      <c r="AH33" s="139">
        <v>0</v>
      </c>
      <c r="AI33" s="139">
        <v>0</v>
      </c>
      <c r="AJ33" s="139">
        <v>0</v>
      </c>
    </row>
    <row r="34" spans="1:36" customFormat="1" x14ac:dyDescent="0.15">
      <c r="A34" s="174" t="s">
        <v>224</v>
      </c>
      <c r="B34" s="139">
        <v>0</v>
      </c>
      <c r="C34" s="139">
        <v>0</v>
      </c>
      <c r="D34" s="139">
        <v>0</v>
      </c>
      <c r="E34" s="139">
        <v>0</v>
      </c>
      <c r="F34" s="139">
        <v>0</v>
      </c>
      <c r="G34" s="139">
        <v>0</v>
      </c>
      <c r="H34" s="139">
        <v>0</v>
      </c>
      <c r="I34" s="139">
        <v>0</v>
      </c>
      <c r="J34" s="139">
        <v>0</v>
      </c>
      <c r="K34" s="139">
        <v>0</v>
      </c>
      <c r="L34" s="139">
        <v>0</v>
      </c>
      <c r="M34" s="139">
        <v>0</v>
      </c>
      <c r="N34" s="139">
        <v>0</v>
      </c>
      <c r="O34" s="139">
        <v>0</v>
      </c>
      <c r="P34" s="139">
        <v>0</v>
      </c>
      <c r="Q34" s="139">
        <v>0</v>
      </c>
      <c r="R34" s="139">
        <v>0</v>
      </c>
      <c r="S34" s="139">
        <v>0</v>
      </c>
      <c r="T34" s="139">
        <v>0</v>
      </c>
      <c r="U34" s="139">
        <v>0</v>
      </c>
      <c r="V34" s="139">
        <v>0</v>
      </c>
      <c r="W34" s="139">
        <v>0</v>
      </c>
      <c r="X34" s="139">
        <v>0</v>
      </c>
      <c r="Y34" s="139">
        <v>0</v>
      </c>
      <c r="Z34" s="139">
        <v>0</v>
      </c>
      <c r="AA34" s="139">
        <v>0.47899999999999998</v>
      </c>
      <c r="AB34" s="139">
        <v>0.2</v>
      </c>
      <c r="AC34" s="139">
        <v>0.24</v>
      </c>
      <c r="AD34" s="139">
        <v>1</v>
      </c>
      <c r="AE34" s="139">
        <v>0</v>
      </c>
      <c r="AF34" s="139">
        <v>0</v>
      </c>
      <c r="AG34" s="139">
        <v>0</v>
      </c>
      <c r="AH34" s="139">
        <v>0</v>
      </c>
      <c r="AI34" s="139">
        <v>0</v>
      </c>
      <c r="AJ34" s="139">
        <v>0</v>
      </c>
    </row>
    <row r="35" spans="1:36" customFormat="1" x14ac:dyDescent="0.15">
      <c r="A35" s="174" t="s">
        <v>225</v>
      </c>
      <c r="B35" s="139">
        <v>0</v>
      </c>
      <c r="C35" s="139">
        <v>0</v>
      </c>
      <c r="D35" s="139">
        <v>0</v>
      </c>
      <c r="E35" s="139">
        <v>0</v>
      </c>
      <c r="F35" s="139">
        <v>0</v>
      </c>
      <c r="G35" s="139">
        <v>0</v>
      </c>
      <c r="H35" s="139">
        <v>0</v>
      </c>
      <c r="I35" s="139">
        <v>0</v>
      </c>
      <c r="J35" s="139">
        <v>0</v>
      </c>
      <c r="K35" s="139">
        <v>0</v>
      </c>
      <c r="L35" s="139">
        <v>0</v>
      </c>
      <c r="M35" s="139">
        <v>0</v>
      </c>
      <c r="N35" s="139">
        <v>0</v>
      </c>
      <c r="O35" s="139">
        <v>0</v>
      </c>
      <c r="P35" s="139">
        <v>0</v>
      </c>
      <c r="Q35" s="139">
        <v>0</v>
      </c>
      <c r="R35" s="139">
        <v>0</v>
      </c>
      <c r="S35" s="139">
        <v>0</v>
      </c>
      <c r="T35" s="139">
        <v>0</v>
      </c>
      <c r="U35" s="139">
        <v>0</v>
      </c>
      <c r="V35" s="139">
        <v>0</v>
      </c>
      <c r="W35" s="139">
        <v>0</v>
      </c>
      <c r="X35" s="139">
        <v>0</v>
      </c>
      <c r="Y35" s="139">
        <v>0</v>
      </c>
      <c r="Z35" s="139">
        <v>0</v>
      </c>
      <c r="AA35" s="139">
        <v>0.30399999999999999</v>
      </c>
      <c r="AB35" s="139">
        <v>0</v>
      </c>
      <c r="AC35" s="139">
        <v>0.12</v>
      </c>
      <c r="AD35" s="139">
        <v>0</v>
      </c>
      <c r="AE35" s="139">
        <v>0.96199999999999997</v>
      </c>
      <c r="AF35" s="139">
        <v>0.6</v>
      </c>
      <c r="AG35" s="139">
        <v>0.65</v>
      </c>
      <c r="AH35" s="139">
        <v>0</v>
      </c>
      <c r="AI35" s="139">
        <v>0</v>
      </c>
      <c r="AJ35" s="139">
        <v>0</v>
      </c>
    </row>
    <row r="36" spans="1:36" customFormat="1" x14ac:dyDescent="0.15">
      <c r="A36" s="174" t="s">
        <v>226</v>
      </c>
      <c r="B36" s="139">
        <v>0</v>
      </c>
      <c r="C36" s="139">
        <v>0</v>
      </c>
      <c r="D36" s="139">
        <v>0</v>
      </c>
      <c r="E36" s="139">
        <v>0</v>
      </c>
      <c r="F36" s="139">
        <v>0</v>
      </c>
      <c r="G36" s="139">
        <v>0</v>
      </c>
      <c r="H36" s="139">
        <v>0</v>
      </c>
      <c r="I36" s="139">
        <v>0</v>
      </c>
      <c r="J36" s="139">
        <v>0</v>
      </c>
      <c r="K36" s="139">
        <v>0</v>
      </c>
      <c r="L36" s="139">
        <v>0</v>
      </c>
      <c r="M36" s="139">
        <v>0</v>
      </c>
      <c r="N36" s="139">
        <v>0</v>
      </c>
      <c r="O36" s="139">
        <v>0</v>
      </c>
      <c r="P36" s="139">
        <v>0</v>
      </c>
      <c r="Q36" s="139">
        <v>0</v>
      </c>
      <c r="R36" s="139">
        <v>0</v>
      </c>
      <c r="S36" s="139">
        <v>0</v>
      </c>
      <c r="T36" s="139">
        <v>0</v>
      </c>
      <c r="U36" s="139">
        <v>0</v>
      </c>
      <c r="V36" s="139">
        <v>0</v>
      </c>
      <c r="W36" s="139">
        <v>0</v>
      </c>
      <c r="X36" s="139">
        <v>0</v>
      </c>
      <c r="Y36" s="139">
        <v>0</v>
      </c>
      <c r="Z36" s="139">
        <v>0</v>
      </c>
      <c r="AA36" s="139">
        <v>0</v>
      </c>
      <c r="AB36" s="139">
        <v>0</v>
      </c>
      <c r="AC36" s="139">
        <v>0</v>
      </c>
      <c r="AD36" s="139">
        <v>0</v>
      </c>
      <c r="AE36" s="139">
        <v>0</v>
      </c>
      <c r="AF36" s="139">
        <v>0</v>
      </c>
      <c r="AG36" s="139">
        <v>0</v>
      </c>
      <c r="AH36" s="139">
        <v>0</v>
      </c>
      <c r="AI36" s="139">
        <v>0</v>
      </c>
      <c r="AJ36" s="139">
        <v>0</v>
      </c>
    </row>
    <row r="37" spans="1:36" customFormat="1" x14ac:dyDescent="0.15">
      <c r="A37" s="174" t="s">
        <v>233</v>
      </c>
      <c r="B37" s="139">
        <v>0</v>
      </c>
      <c r="C37" s="139">
        <v>0</v>
      </c>
      <c r="D37" s="139">
        <v>0</v>
      </c>
      <c r="E37" s="139">
        <v>0</v>
      </c>
      <c r="F37" s="139">
        <v>0</v>
      </c>
      <c r="G37" s="139">
        <v>0</v>
      </c>
      <c r="H37" s="139">
        <v>0</v>
      </c>
      <c r="I37" s="139">
        <v>0</v>
      </c>
      <c r="J37" s="139">
        <v>0.82999115276441848</v>
      </c>
      <c r="K37" s="139">
        <v>0</v>
      </c>
      <c r="L37" s="139">
        <v>0</v>
      </c>
      <c r="M37" s="139">
        <v>0.504</v>
      </c>
      <c r="N37" s="139">
        <v>0</v>
      </c>
      <c r="O37" s="139">
        <v>0</v>
      </c>
      <c r="P37" s="139">
        <v>0</v>
      </c>
      <c r="Q37" s="139">
        <v>0</v>
      </c>
      <c r="R37" s="139">
        <v>0</v>
      </c>
      <c r="S37" s="139">
        <v>0</v>
      </c>
      <c r="T37" s="139">
        <v>0.76184762735032985</v>
      </c>
      <c r="U37" s="139">
        <v>0</v>
      </c>
      <c r="V37" s="139">
        <v>0</v>
      </c>
      <c r="W37" s="139">
        <v>0</v>
      </c>
      <c r="X37" s="139">
        <v>0</v>
      </c>
      <c r="Y37" s="139">
        <v>0</v>
      </c>
      <c r="Z37" s="139">
        <v>0</v>
      </c>
      <c r="AA37" s="139">
        <v>0</v>
      </c>
      <c r="AB37" s="139">
        <v>0</v>
      </c>
      <c r="AC37" s="139">
        <v>0</v>
      </c>
      <c r="AD37" s="139">
        <v>0</v>
      </c>
      <c r="AE37" s="139">
        <v>0</v>
      </c>
      <c r="AF37" s="139">
        <v>0</v>
      </c>
      <c r="AG37" s="139">
        <v>0</v>
      </c>
      <c r="AH37" s="139">
        <v>0</v>
      </c>
      <c r="AI37" s="139">
        <v>0</v>
      </c>
      <c r="AJ37" s="139">
        <v>0</v>
      </c>
    </row>
    <row r="38" spans="1:36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8" activePane="bottomRight" state="frozen"/>
      <selection pane="topRight" activeCell="C1" sqref="C1"/>
      <selection pane="bottomLeft" activeCell="A2" sqref="A2"/>
      <selection pane="bottomRight" activeCell="H45" sqref="H45"/>
    </sheetView>
  </sheetViews>
  <sheetFormatPr baseColWidth="10" defaultColWidth="8.83203125" defaultRowHeight="13" x14ac:dyDescent="0.15"/>
  <cols>
    <col min="1" max="1" width="3.33203125" customWidth="1"/>
    <col min="2" max="2" width="25" customWidth="1"/>
    <col min="3" max="4" width="20.1640625" style="108" customWidth="1"/>
    <col min="5" max="6" width="20.1640625" style="107" customWidth="1"/>
    <col min="7" max="8" width="8.83203125" style="108"/>
  </cols>
  <sheetData>
    <row r="1" spans="1:8" ht="70" x14ac:dyDescent="0.15">
      <c r="A1" s="5" t="s">
        <v>20</v>
      </c>
      <c r="B1" s="1" t="s">
        <v>0</v>
      </c>
      <c r="C1" s="177" t="s">
        <v>225</v>
      </c>
      <c r="D1" s="177" t="s">
        <v>226</v>
      </c>
      <c r="E1" s="177" t="s">
        <v>234</v>
      </c>
      <c r="F1" s="177" t="s">
        <v>235</v>
      </c>
      <c r="G1"/>
      <c r="H1"/>
    </row>
    <row r="2" spans="1:8" x14ac:dyDescent="0.15">
      <c r="A2">
        <v>1</v>
      </c>
      <c r="B2" s="176" t="s">
        <v>192</v>
      </c>
      <c r="C2" s="108">
        <v>1</v>
      </c>
      <c r="D2" s="108">
        <v>0</v>
      </c>
      <c r="E2" s="107">
        <v>0</v>
      </c>
      <c r="F2" s="107">
        <v>1</v>
      </c>
      <c r="G2"/>
      <c r="H2"/>
    </row>
    <row r="3" spans="1:8" x14ac:dyDescent="0.15">
      <c r="A3">
        <v>2</v>
      </c>
      <c r="B3" s="176" t="s">
        <v>193</v>
      </c>
      <c r="C3" s="108">
        <v>1</v>
      </c>
      <c r="D3" s="108">
        <v>0</v>
      </c>
      <c r="E3" s="107">
        <v>0</v>
      </c>
      <c r="F3" s="107">
        <v>1</v>
      </c>
      <c r="G3"/>
      <c r="H3"/>
    </row>
    <row r="4" spans="1:8" x14ac:dyDescent="0.15">
      <c r="A4">
        <v>3</v>
      </c>
      <c r="B4" s="176" t="s">
        <v>194</v>
      </c>
      <c r="C4" s="108">
        <v>1</v>
      </c>
      <c r="D4" s="108">
        <v>0</v>
      </c>
      <c r="E4" s="107">
        <v>0</v>
      </c>
      <c r="F4" s="107">
        <v>1</v>
      </c>
      <c r="G4"/>
      <c r="H4"/>
    </row>
    <row r="5" spans="1:8" x14ac:dyDescent="0.15">
      <c r="A5">
        <v>4</v>
      </c>
      <c r="B5" s="176" t="s">
        <v>195</v>
      </c>
      <c r="C5" s="108">
        <v>1</v>
      </c>
      <c r="D5" s="108">
        <v>0</v>
      </c>
      <c r="E5" s="107">
        <v>0</v>
      </c>
      <c r="F5" s="107">
        <v>1</v>
      </c>
      <c r="G5"/>
      <c r="H5"/>
    </row>
    <row r="6" spans="1:8" x14ac:dyDescent="0.15">
      <c r="A6">
        <v>5</v>
      </c>
      <c r="B6" s="176" t="s">
        <v>196</v>
      </c>
      <c r="C6" s="108">
        <v>1</v>
      </c>
      <c r="D6" s="108">
        <v>0</v>
      </c>
      <c r="E6" s="107">
        <v>0</v>
      </c>
      <c r="F6" s="107">
        <v>1</v>
      </c>
      <c r="G6"/>
      <c r="H6"/>
    </row>
    <row r="7" spans="1:8" x14ac:dyDescent="0.15">
      <c r="A7">
        <v>6</v>
      </c>
      <c r="B7" s="176" t="s">
        <v>197</v>
      </c>
      <c r="C7" s="108">
        <v>1</v>
      </c>
      <c r="D7" s="108">
        <v>0</v>
      </c>
      <c r="E7" s="107">
        <v>0</v>
      </c>
      <c r="F7" s="107">
        <v>1</v>
      </c>
      <c r="G7"/>
      <c r="H7"/>
    </row>
    <row r="8" spans="1:8" x14ac:dyDescent="0.15">
      <c r="A8">
        <v>7</v>
      </c>
      <c r="B8" s="176" t="s">
        <v>198</v>
      </c>
      <c r="C8" s="108">
        <v>1</v>
      </c>
      <c r="D8" s="108">
        <v>0</v>
      </c>
      <c r="E8" s="107">
        <v>0</v>
      </c>
      <c r="F8" s="107">
        <v>1</v>
      </c>
      <c r="G8"/>
      <c r="H8"/>
    </row>
    <row r="9" spans="1:8" x14ac:dyDescent="0.15">
      <c r="A9">
        <v>8</v>
      </c>
      <c r="B9" s="176" t="s">
        <v>199</v>
      </c>
      <c r="C9" s="108">
        <v>1</v>
      </c>
      <c r="D9" s="108">
        <v>0</v>
      </c>
      <c r="E9" s="107">
        <v>0</v>
      </c>
      <c r="F9" s="107">
        <v>1</v>
      </c>
      <c r="G9"/>
      <c r="H9"/>
    </row>
    <row r="10" spans="1:8" x14ac:dyDescent="0.15">
      <c r="A10">
        <v>9</v>
      </c>
      <c r="B10" s="176" t="s">
        <v>200</v>
      </c>
      <c r="C10" s="108">
        <v>1</v>
      </c>
      <c r="D10" s="108">
        <v>0</v>
      </c>
      <c r="E10" s="107">
        <v>0</v>
      </c>
      <c r="F10" s="107">
        <v>1</v>
      </c>
      <c r="G10"/>
      <c r="H10"/>
    </row>
    <row r="11" spans="1:8" x14ac:dyDescent="0.15">
      <c r="A11">
        <v>10</v>
      </c>
      <c r="B11" s="176" t="s">
        <v>201</v>
      </c>
      <c r="C11" s="108">
        <v>1</v>
      </c>
      <c r="D11" s="108">
        <v>0</v>
      </c>
      <c r="E11" s="107">
        <v>0</v>
      </c>
      <c r="F11" s="107">
        <v>1</v>
      </c>
      <c r="G11"/>
      <c r="H11"/>
    </row>
    <row r="12" spans="1:8" x14ac:dyDescent="0.15">
      <c r="A12">
        <v>11</v>
      </c>
      <c r="B12" s="176" t="s">
        <v>202</v>
      </c>
      <c r="C12" s="108">
        <v>1</v>
      </c>
      <c r="D12" s="108">
        <v>0</v>
      </c>
      <c r="E12" s="107">
        <v>0</v>
      </c>
      <c r="F12" s="107">
        <v>1</v>
      </c>
      <c r="G12"/>
      <c r="H12"/>
    </row>
    <row r="13" spans="1:8" x14ac:dyDescent="0.15">
      <c r="A13">
        <v>12</v>
      </c>
      <c r="B13" s="176" t="s">
        <v>203</v>
      </c>
      <c r="C13" s="108">
        <v>1</v>
      </c>
      <c r="D13" s="108">
        <v>0</v>
      </c>
      <c r="E13" s="107">
        <v>0</v>
      </c>
      <c r="F13" s="107">
        <v>1</v>
      </c>
      <c r="G13"/>
      <c r="H13"/>
    </row>
    <row r="14" spans="1:8" x14ac:dyDescent="0.15">
      <c r="A14">
        <v>13</v>
      </c>
      <c r="B14" s="176" t="s">
        <v>204</v>
      </c>
      <c r="C14" s="108">
        <v>1</v>
      </c>
      <c r="D14" s="108">
        <v>0</v>
      </c>
      <c r="E14" s="107">
        <v>0</v>
      </c>
      <c r="F14" s="107">
        <v>1</v>
      </c>
      <c r="G14"/>
      <c r="H14"/>
    </row>
    <row r="15" spans="1:8" x14ac:dyDescent="0.15">
      <c r="A15">
        <v>14</v>
      </c>
      <c r="B15" s="176" t="s">
        <v>205</v>
      </c>
      <c r="C15" s="108">
        <v>1</v>
      </c>
      <c r="D15" s="108">
        <v>0</v>
      </c>
      <c r="E15" s="107">
        <v>0</v>
      </c>
      <c r="F15" s="107">
        <v>1</v>
      </c>
      <c r="G15"/>
      <c r="H15"/>
    </row>
    <row r="16" spans="1:8" x14ac:dyDescent="0.15">
      <c r="A16">
        <v>15</v>
      </c>
      <c r="B16" s="176" t="s">
        <v>206</v>
      </c>
      <c r="C16" s="108">
        <v>1</v>
      </c>
      <c r="D16" s="108">
        <v>0</v>
      </c>
      <c r="E16" s="107">
        <v>0</v>
      </c>
      <c r="F16" s="107">
        <v>1</v>
      </c>
      <c r="G16"/>
      <c r="H16"/>
    </row>
    <row r="17" spans="1:8" ht="15" customHeight="1" x14ac:dyDescent="0.15">
      <c r="A17">
        <v>16</v>
      </c>
      <c r="B17" s="176" t="s">
        <v>207</v>
      </c>
      <c r="C17" s="108">
        <v>1</v>
      </c>
      <c r="D17" s="108">
        <v>0</v>
      </c>
      <c r="E17" s="107">
        <v>0</v>
      </c>
      <c r="F17" s="107">
        <v>1</v>
      </c>
      <c r="G17"/>
      <c r="H17"/>
    </row>
    <row r="18" spans="1:8" ht="15" customHeight="1" x14ac:dyDescent="0.15">
      <c r="A18">
        <v>17</v>
      </c>
      <c r="B18" s="176" t="s">
        <v>208</v>
      </c>
      <c r="C18" s="108">
        <v>1</v>
      </c>
      <c r="D18" s="108">
        <v>0</v>
      </c>
      <c r="E18" s="107">
        <v>0</v>
      </c>
      <c r="F18" s="107">
        <v>1</v>
      </c>
      <c r="G18"/>
      <c r="H18"/>
    </row>
    <row r="19" spans="1:8" ht="15" customHeight="1" x14ac:dyDescent="0.15">
      <c r="A19">
        <v>18</v>
      </c>
      <c r="B19" s="176" t="s">
        <v>209</v>
      </c>
      <c r="C19" s="108">
        <v>1</v>
      </c>
      <c r="D19" s="108">
        <v>0</v>
      </c>
      <c r="E19" s="107">
        <v>0</v>
      </c>
      <c r="F19" s="107">
        <v>1</v>
      </c>
      <c r="G19"/>
      <c r="H19"/>
    </row>
    <row r="20" spans="1:8" ht="15" customHeight="1" x14ac:dyDescent="0.15">
      <c r="A20">
        <v>19</v>
      </c>
      <c r="B20" s="176" t="s">
        <v>210</v>
      </c>
      <c r="C20" s="108">
        <v>1</v>
      </c>
      <c r="D20" s="108">
        <v>0</v>
      </c>
      <c r="E20" s="107">
        <v>0</v>
      </c>
      <c r="F20" s="107">
        <v>1</v>
      </c>
      <c r="G20"/>
      <c r="H20"/>
    </row>
    <row r="21" spans="1:8" ht="15" customHeight="1" x14ac:dyDescent="0.15">
      <c r="A21">
        <v>20</v>
      </c>
      <c r="B21" s="176" t="s">
        <v>211</v>
      </c>
      <c r="C21" s="108">
        <v>1</v>
      </c>
      <c r="D21" s="108">
        <v>0</v>
      </c>
      <c r="E21" s="107">
        <v>0</v>
      </c>
      <c r="F21" s="107">
        <v>1</v>
      </c>
      <c r="G21"/>
      <c r="H21"/>
    </row>
    <row r="22" spans="1:8" ht="15" customHeight="1" x14ac:dyDescent="0.15">
      <c r="A22">
        <v>21</v>
      </c>
      <c r="B22" s="176" t="s">
        <v>212</v>
      </c>
      <c r="C22" s="108">
        <v>1</v>
      </c>
      <c r="D22" s="108">
        <v>0</v>
      </c>
      <c r="E22" s="107">
        <v>0</v>
      </c>
      <c r="F22" s="107">
        <v>1</v>
      </c>
      <c r="G22"/>
      <c r="H22"/>
    </row>
    <row r="23" spans="1:8" ht="15" customHeight="1" x14ac:dyDescent="0.15">
      <c r="A23">
        <v>22</v>
      </c>
      <c r="B23" s="176" t="s">
        <v>213</v>
      </c>
      <c r="C23" s="108">
        <v>1</v>
      </c>
      <c r="D23" s="108">
        <v>0</v>
      </c>
      <c r="E23" s="107">
        <v>0</v>
      </c>
      <c r="F23" s="107">
        <v>1</v>
      </c>
      <c r="G23"/>
      <c r="H23"/>
    </row>
    <row r="24" spans="1:8" ht="15" customHeight="1" x14ac:dyDescent="0.15">
      <c r="A24">
        <v>23</v>
      </c>
      <c r="B24" s="176" t="s">
        <v>214</v>
      </c>
      <c r="C24" s="108">
        <v>1</v>
      </c>
      <c r="D24" s="108">
        <v>0</v>
      </c>
      <c r="E24" s="107">
        <v>0</v>
      </c>
      <c r="F24" s="107">
        <v>1</v>
      </c>
      <c r="G24"/>
      <c r="H24"/>
    </row>
    <row r="25" spans="1:8" ht="15" customHeight="1" x14ac:dyDescent="0.15">
      <c r="A25">
        <v>24</v>
      </c>
      <c r="B25" s="176" t="s">
        <v>215</v>
      </c>
      <c r="C25" s="108">
        <v>1</v>
      </c>
      <c r="D25" s="108">
        <v>0</v>
      </c>
      <c r="E25" s="107">
        <v>0</v>
      </c>
      <c r="F25" s="107">
        <v>1</v>
      </c>
      <c r="G25"/>
      <c r="H25"/>
    </row>
    <row r="26" spans="1:8" ht="15" customHeight="1" x14ac:dyDescent="0.15">
      <c r="A26">
        <v>25</v>
      </c>
      <c r="B26" s="176" t="s">
        <v>216</v>
      </c>
      <c r="C26" s="108">
        <v>1</v>
      </c>
      <c r="D26" s="108">
        <v>0</v>
      </c>
      <c r="E26" s="107">
        <v>0</v>
      </c>
      <c r="F26" s="107">
        <v>1</v>
      </c>
      <c r="G26"/>
      <c r="H26"/>
    </row>
    <row r="27" spans="1:8" ht="15" customHeight="1" x14ac:dyDescent="0.15">
      <c r="A27">
        <v>26</v>
      </c>
      <c r="B27" s="176" t="s">
        <v>217</v>
      </c>
      <c r="C27" s="108">
        <v>1</v>
      </c>
      <c r="D27" s="108">
        <v>0</v>
      </c>
      <c r="E27" s="107">
        <v>0</v>
      </c>
      <c r="F27" s="107">
        <v>1</v>
      </c>
      <c r="G27"/>
      <c r="H27"/>
    </row>
    <row r="28" spans="1:8" ht="15" customHeight="1" x14ac:dyDescent="0.15">
      <c r="A28">
        <v>27</v>
      </c>
      <c r="B28" s="176" t="s">
        <v>218</v>
      </c>
      <c r="C28" s="108">
        <v>1</v>
      </c>
      <c r="D28" s="108">
        <v>0</v>
      </c>
      <c r="E28" s="107">
        <v>0</v>
      </c>
      <c r="F28" s="107">
        <v>1</v>
      </c>
      <c r="G28"/>
      <c r="H28"/>
    </row>
    <row r="29" spans="1:8" ht="15" customHeight="1" x14ac:dyDescent="0.15">
      <c r="A29">
        <v>28</v>
      </c>
      <c r="B29" s="176" t="s">
        <v>219</v>
      </c>
      <c r="C29" s="108">
        <v>1</v>
      </c>
      <c r="D29" s="108">
        <v>0</v>
      </c>
      <c r="E29" s="107">
        <v>0</v>
      </c>
      <c r="F29" s="107">
        <v>1</v>
      </c>
      <c r="G29"/>
      <c r="H29"/>
    </row>
    <row r="30" spans="1:8" ht="15" customHeight="1" x14ac:dyDescent="0.15">
      <c r="A30">
        <v>29</v>
      </c>
      <c r="B30" s="176" t="s">
        <v>220</v>
      </c>
      <c r="C30" s="108">
        <v>1</v>
      </c>
      <c r="D30" s="108">
        <v>0</v>
      </c>
      <c r="E30" s="107">
        <v>0</v>
      </c>
      <c r="F30" s="107">
        <v>1</v>
      </c>
      <c r="G30"/>
      <c r="H30"/>
    </row>
    <row r="31" spans="1:8" ht="15" customHeight="1" x14ac:dyDescent="0.15">
      <c r="A31">
        <v>30</v>
      </c>
      <c r="B31" s="176" t="s">
        <v>221</v>
      </c>
      <c r="C31" s="108">
        <v>1</v>
      </c>
      <c r="D31" s="108">
        <v>0</v>
      </c>
      <c r="E31" s="107">
        <v>0</v>
      </c>
      <c r="F31" s="107">
        <v>1</v>
      </c>
      <c r="G31"/>
      <c r="H31"/>
    </row>
    <row r="32" spans="1:8" ht="15" customHeight="1" x14ac:dyDescent="0.15">
      <c r="A32">
        <v>31</v>
      </c>
      <c r="B32" s="176" t="s">
        <v>222</v>
      </c>
      <c r="C32" s="108">
        <v>1</v>
      </c>
      <c r="D32" s="108">
        <v>0</v>
      </c>
      <c r="E32" s="107">
        <v>0</v>
      </c>
      <c r="F32" s="107">
        <v>1</v>
      </c>
    </row>
    <row r="33" spans="1:8" ht="15" customHeight="1" x14ac:dyDescent="0.15">
      <c r="A33">
        <v>32</v>
      </c>
      <c r="B33" s="176" t="s">
        <v>223</v>
      </c>
      <c r="C33" s="108">
        <v>1</v>
      </c>
      <c r="D33" s="108">
        <v>0</v>
      </c>
      <c r="E33" s="107">
        <v>0</v>
      </c>
      <c r="F33" s="107">
        <v>1</v>
      </c>
    </row>
    <row r="34" spans="1:8" ht="15" customHeight="1" x14ac:dyDescent="0.15">
      <c r="A34">
        <v>33</v>
      </c>
      <c r="B34" s="176" t="s">
        <v>224</v>
      </c>
      <c r="C34" s="108">
        <v>1</v>
      </c>
      <c r="D34" s="108">
        <v>0</v>
      </c>
      <c r="E34" s="107">
        <v>0</v>
      </c>
      <c r="F34" s="107">
        <v>1</v>
      </c>
    </row>
    <row r="35" spans="1:8" ht="15" customHeight="1" x14ac:dyDescent="0.15">
      <c r="A35">
        <v>34</v>
      </c>
      <c r="B35" s="176" t="s">
        <v>225</v>
      </c>
      <c r="C35" s="108">
        <v>0</v>
      </c>
      <c r="D35" s="108">
        <v>1</v>
      </c>
      <c r="E35" s="107">
        <v>0</v>
      </c>
      <c r="F35" s="107">
        <v>1</v>
      </c>
    </row>
    <row r="36" spans="1:8" ht="15" customHeight="1" x14ac:dyDescent="0.15">
      <c r="A36">
        <v>35</v>
      </c>
      <c r="B36" s="176" t="s">
        <v>226</v>
      </c>
      <c r="C36" s="108">
        <v>0</v>
      </c>
      <c r="D36" s="108">
        <v>0</v>
      </c>
      <c r="E36" s="108">
        <v>1</v>
      </c>
      <c r="F36" s="108">
        <v>1</v>
      </c>
      <c r="G36"/>
      <c r="H36"/>
    </row>
    <row r="37" spans="1:8" ht="15" customHeight="1" x14ac:dyDescent="0.15">
      <c r="A37">
        <v>36</v>
      </c>
      <c r="B37" s="176" t="s">
        <v>227</v>
      </c>
      <c r="C37" s="108">
        <v>0</v>
      </c>
      <c r="D37" s="108">
        <v>1</v>
      </c>
      <c r="E37" s="108">
        <v>0</v>
      </c>
      <c r="F37" s="108">
        <v>1</v>
      </c>
      <c r="G37"/>
      <c r="H37"/>
    </row>
    <row r="38" spans="1:8" ht="15" customHeight="1" x14ac:dyDescent="0.15">
      <c r="A38">
        <v>37</v>
      </c>
      <c r="B38" s="176" t="s">
        <v>228</v>
      </c>
      <c r="C38" s="108">
        <v>0</v>
      </c>
      <c r="D38" s="108">
        <v>1</v>
      </c>
      <c r="E38" s="108">
        <v>0</v>
      </c>
      <c r="F38" s="108">
        <v>1</v>
      </c>
      <c r="G38"/>
      <c r="H38"/>
    </row>
    <row r="39" spans="1:8" ht="15" customHeight="1" x14ac:dyDescent="0.15">
      <c r="A39">
        <v>38</v>
      </c>
      <c r="B39" s="176" t="s">
        <v>229</v>
      </c>
      <c r="C39" s="108">
        <v>0</v>
      </c>
      <c r="D39" s="108">
        <v>1</v>
      </c>
      <c r="E39" s="108">
        <v>0</v>
      </c>
      <c r="F39" s="108">
        <v>1</v>
      </c>
      <c r="G39"/>
      <c r="H39"/>
    </row>
    <row r="40" spans="1:8" ht="15" customHeight="1" x14ac:dyDescent="0.15">
      <c r="A40">
        <v>39</v>
      </c>
      <c r="B40" s="176" t="s">
        <v>230</v>
      </c>
      <c r="C40" s="108">
        <v>0</v>
      </c>
      <c r="D40" s="108">
        <v>1</v>
      </c>
      <c r="E40" s="108">
        <v>0</v>
      </c>
      <c r="F40" s="108">
        <v>1</v>
      </c>
      <c r="G40"/>
      <c r="H40"/>
    </row>
    <row r="41" spans="1:8" ht="15" customHeight="1" x14ac:dyDescent="0.15">
      <c r="A41">
        <v>40</v>
      </c>
      <c r="B41" s="176" t="s">
        <v>231</v>
      </c>
      <c r="C41" s="108">
        <v>0</v>
      </c>
      <c r="D41" s="108">
        <v>1</v>
      </c>
      <c r="E41" s="108">
        <v>0</v>
      </c>
      <c r="F41" s="108">
        <v>1</v>
      </c>
      <c r="G41"/>
      <c r="H41"/>
    </row>
    <row r="42" spans="1:8" ht="15" customHeight="1" x14ac:dyDescent="0.15">
      <c r="A42">
        <v>41</v>
      </c>
      <c r="B42" s="176" t="s">
        <v>232</v>
      </c>
      <c r="C42" s="108">
        <v>0</v>
      </c>
      <c r="D42" s="108">
        <v>1</v>
      </c>
      <c r="E42" s="108">
        <v>0</v>
      </c>
      <c r="F42" s="108">
        <v>1</v>
      </c>
      <c r="G42"/>
      <c r="H42"/>
    </row>
    <row r="43" spans="1:8" ht="15" customHeight="1" x14ac:dyDescent="0.15">
      <c r="C43"/>
      <c r="D43"/>
      <c r="E43" s="108"/>
      <c r="F43" s="108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8"/>
      <c r="F46" s="108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I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3.83203125" bestFit="1" customWidth="1"/>
    <col min="3" max="3" width="11.83203125" bestFit="1" customWidth="1"/>
    <col min="4" max="4" width="5.83203125" bestFit="1" customWidth="1"/>
    <col min="5" max="5" width="12.83203125" bestFit="1" customWidth="1"/>
    <col min="6" max="6" width="6.83203125" customWidth="1"/>
    <col min="7" max="8" width="5.83203125" customWidth="1"/>
    <col min="9" max="9" width="12.83203125" customWidth="1"/>
  </cols>
  <sheetData>
    <row r="1" spans="1:9" s="109" customFormat="1" ht="112" x14ac:dyDescent="0.15">
      <c r="A1" s="5" t="s">
        <v>21</v>
      </c>
      <c r="B1" s="3" t="s">
        <v>0</v>
      </c>
      <c r="C1" s="179" t="s">
        <v>227</v>
      </c>
      <c r="D1" s="179" t="s">
        <v>228</v>
      </c>
      <c r="E1" s="179" t="s">
        <v>229</v>
      </c>
      <c r="F1" s="179" t="s">
        <v>230</v>
      </c>
      <c r="G1" s="179" t="s">
        <v>231</v>
      </c>
      <c r="H1" s="179" t="s">
        <v>232</v>
      </c>
      <c r="I1" s="179" t="s">
        <v>236</v>
      </c>
    </row>
    <row r="2" spans="1:9" ht="15" customHeight="1" x14ac:dyDescent="0.15">
      <c r="A2">
        <v>1</v>
      </c>
      <c r="B2" s="178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ht="15" customHeight="1" x14ac:dyDescent="0.15">
      <c r="A3">
        <v>2</v>
      </c>
      <c r="B3" s="178" t="s">
        <v>193</v>
      </c>
      <c r="C3">
        <v>1E-8</v>
      </c>
      <c r="D3">
        <v>0</v>
      </c>
      <c r="E3">
        <v>0</v>
      </c>
      <c r="F3">
        <v>0</v>
      </c>
      <c r="G3">
        <v>0</v>
      </c>
      <c r="H3">
        <v>0</v>
      </c>
      <c r="I3">
        <v>1E-8</v>
      </c>
    </row>
    <row r="4" spans="1:9" ht="15" customHeight="1" x14ac:dyDescent="0.15">
      <c r="A4">
        <v>3</v>
      </c>
      <c r="B4" s="178" t="s">
        <v>194</v>
      </c>
      <c r="C4">
        <v>1E-8</v>
      </c>
      <c r="D4">
        <v>0</v>
      </c>
      <c r="E4">
        <v>0</v>
      </c>
      <c r="F4">
        <v>0</v>
      </c>
      <c r="G4">
        <v>9.9999999999999995E-8</v>
      </c>
      <c r="H4">
        <v>0</v>
      </c>
      <c r="I4">
        <v>1.0999999999999999E-7</v>
      </c>
    </row>
    <row r="5" spans="1:9" ht="15" customHeight="1" x14ac:dyDescent="0.15">
      <c r="A5">
        <v>4</v>
      </c>
      <c r="B5" s="178" t="s">
        <v>195</v>
      </c>
      <c r="C5">
        <v>1E-8</v>
      </c>
      <c r="D5">
        <v>0</v>
      </c>
      <c r="E5">
        <v>0</v>
      </c>
      <c r="F5">
        <v>0</v>
      </c>
      <c r="G5">
        <v>0</v>
      </c>
      <c r="H5">
        <v>0</v>
      </c>
      <c r="I5">
        <v>1E-8</v>
      </c>
    </row>
    <row r="6" spans="1:9" ht="15" customHeight="1" x14ac:dyDescent="0.15">
      <c r="A6">
        <v>5</v>
      </c>
      <c r="B6" s="178" t="s">
        <v>196</v>
      </c>
      <c r="C6">
        <v>0</v>
      </c>
      <c r="D6">
        <v>0</v>
      </c>
      <c r="E6">
        <v>9.9999999999999995E-8</v>
      </c>
      <c r="F6">
        <v>0</v>
      </c>
      <c r="G6">
        <v>0</v>
      </c>
      <c r="H6">
        <v>0</v>
      </c>
      <c r="I6">
        <v>9.9999999999999995E-8</v>
      </c>
    </row>
    <row r="7" spans="1:9" ht="15" customHeight="1" x14ac:dyDescent="0.15">
      <c r="A7">
        <v>6</v>
      </c>
      <c r="B7" s="178" t="s">
        <v>197</v>
      </c>
      <c r="C7">
        <v>1.0000000000000001E-9</v>
      </c>
      <c r="D7">
        <v>0</v>
      </c>
      <c r="E7">
        <v>0</v>
      </c>
      <c r="F7">
        <v>0</v>
      </c>
      <c r="G7">
        <v>0</v>
      </c>
      <c r="H7">
        <v>0</v>
      </c>
      <c r="I7">
        <v>1.0000000000000001E-9</v>
      </c>
    </row>
    <row r="8" spans="1:9" ht="15" customHeight="1" x14ac:dyDescent="0.15">
      <c r="A8">
        <v>7</v>
      </c>
      <c r="B8" s="178" t="s">
        <v>198</v>
      </c>
      <c r="C8">
        <v>1.0000000000000001E-9</v>
      </c>
      <c r="D8">
        <v>0</v>
      </c>
      <c r="E8">
        <v>0</v>
      </c>
      <c r="F8">
        <v>0</v>
      </c>
      <c r="G8">
        <v>0</v>
      </c>
      <c r="H8">
        <v>0</v>
      </c>
      <c r="I8">
        <v>1.0000000000000001E-9</v>
      </c>
    </row>
    <row r="9" spans="1:9" ht="15" customHeight="1" x14ac:dyDescent="0.15">
      <c r="A9">
        <v>8</v>
      </c>
      <c r="B9" s="178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ht="15" customHeight="1" x14ac:dyDescent="0.15">
      <c r="A10">
        <v>9</v>
      </c>
      <c r="B10" s="178" t="s">
        <v>200</v>
      </c>
      <c r="C10">
        <v>1E-8</v>
      </c>
      <c r="D10">
        <v>0</v>
      </c>
      <c r="E10">
        <v>0</v>
      </c>
      <c r="F10">
        <v>0</v>
      </c>
      <c r="G10">
        <v>1E-8</v>
      </c>
      <c r="H10">
        <v>0</v>
      </c>
      <c r="I10">
        <v>2E-8</v>
      </c>
    </row>
    <row r="11" spans="1:9" ht="15" customHeight="1" x14ac:dyDescent="0.15">
      <c r="A11">
        <v>10</v>
      </c>
      <c r="B11" s="178" t="s">
        <v>201</v>
      </c>
      <c r="C11">
        <v>0</v>
      </c>
      <c r="D11">
        <v>9.9999999999999995E-8</v>
      </c>
      <c r="E11">
        <v>0</v>
      </c>
      <c r="F11">
        <v>0</v>
      </c>
      <c r="G11">
        <v>0</v>
      </c>
      <c r="H11">
        <v>0</v>
      </c>
      <c r="I11">
        <v>9.9999999999999995E-8</v>
      </c>
    </row>
    <row r="12" spans="1:9" ht="15" customHeight="1" x14ac:dyDescent="0.15">
      <c r="A12">
        <v>11</v>
      </c>
      <c r="B12" s="178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ht="15" customHeight="1" x14ac:dyDescent="0.15">
      <c r="A13">
        <v>12</v>
      </c>
      <c r="B13" s="178" t="s">
        <v>203</v>
      </c>
      <c r="C13">
        <v>0</v>
      </c>
      <c r="D13">
        <v>0</v>
      </c>
      <c r="E13">
        <v>0</v>
      </c>
      <c r="F13">
        <v>2.7799999999999998E-2</v>
      </c>
      <c r="G13">
        <v>0</v>
      </c>
      <c r="H13">
        <v>0</v>
      </c>
      <c r="I13">
        <v>2.7799999999999998E-2</v>
      </c>
    </row>
    <row r="14" spans="1:9" ht="15" customHeight="1" x14ac:dyDescent="0.15">
      <c r="A14">
        <v>13</v>
      </c>
      <c r="B14" s="178" t="s">
        <v>204</v>
      </c>
      <c r="C14">
        <v>9.9999999999999995E-8</v>
      </c>
      <c r="D14">
        <v>0</v>
      </c>
      <c r="E14">
        <v>0</v>
      </c>
      <c r="F14">
        <v>0</v>
      </c>
      <c r="G14">
        <v>0</v>
      </c>
      <c r="H14">
        <v>0</v>
      </c>
      <c r="I14">
        <v>9.9999999999999995E-8</v>
      </c>
    </row>
    <row r="15" spans="1:9" ht="15" customHeight="1" x14ac:dyDescent="0.15">
      <c r="A15">
        <v>14</v>
      </c>
      <c r="B15" s="178" t="s">
        <v>205</v>
      </c>
      <c r="C15">
        <v>0.215</v>
      </c>
      <c r="D15">
        <v>0</v>
      </c>
      <c r="E15">
        <v>5.3090000000000004E-3</v>
      </c>
      <c r="F15">
        <v>0</v>
      </c>
      <c r="G15">
        <v>0</v>
      </c>
      <c r="H15">
        <v>0</v>
      </c>
      <c r="I15">
        <v>0.220309</v>
      </c>
    </row>
    <row r="16" spans="1:9" ht="15" customHeight="1" x14ac:dyDescent="0.15">
      <c r="A16">
        <v>15</v>
      </c>
      <c r="B16" s="178" t="s">
        <v>206</v>
      </c>
      <c r="C16">
        <v>0.103900783</v>
      </c>
      <c r="D16">
        <v>0</v>
      </c>
      <c r="E16">
        <v>4.94866744E-2</v>
      </c>
      <c r="F16">
        <v>0</v>
      </c>
      <c r="G16">
        <v>0</v>
      </c>
      <c r="H16">
        <v>0</v>
      </c>
      <c r="I16">
        <v>0.15338745739999998</v>
      </c>
    </row>
    <row r="17" spans="1:9" ht="15" customHeight="1" x14ac:dyDescent="0.15">
      <c r="A17">
        <v>16</v>
      </c>
      <c r="B17" s="178" t="s">
        <v>207</v>
      </c>
      <c r="C17">
        <v>5.295E-5</v>
      </c>
      <c r="D17">
        <v>0</v>
      </c>
      <c r="E17">
        <v>0</v>
      </c>
      <c r="F17">
        <v>0</v>
      </c>
      <c r="G17">
        <v>0</v>
      </c>
      <c r="H17">
        <v>0</v>
      </c>
      <c r="I17">
        <v>5.295E-5</v>
      </c>
    </row>
    <row r="18" spans="1:9" ht="15" customHeight="1" x14ac:dyDescent="0.15">
      <c r="A18">
        <v>17</v>
      </c>
      <c r="B18" s="178" t="s">
        <v>208</v>
      </c>
      <c r="C18">
        <v>1E-8</v>
      </c>
      <c r="D18">
        <v>0</v>
      </c>
      <c r="E18">
        <v>0</v>
      </c>
      <c r="F18">
        <v>0</v>
      </c>
      <c r="G18">
        <v>0</v>
      </c>
      <c r="H18">
        <v>0</v>
      </c>
      <c r="I18">
        <v>1E-8</v>
      </c>
    </row>
    <row r="19" spans="1:9" ht="15" customHeight="1" x14ac:dyDescent="0.15">
      <c r="A19">
        <v>18</v>
      </c>
      <c r="B19" s="178" t="s">
        <v>209</v>
      </c>
      <c r="C19">
        <v>1E-8</v>
      </c>
      <c r="D19">
        <v>0</v>
      </c>
      <c r="E19">
        <v>0</v>
      </c>
      <c r="F19">
        <v>0</v>
      </c>
      <c r="G19">
        <v>0</v>
      </c>
      <c r="H19">
        <v>0</v>
      </c>
      <c r="I19">
        <v>1E-8</v>
      </c>
    </row>
    <row r="20" spans="1:9" ht="15" customHeight="1" x14ac:dyDescent="0.15">
      <c r="A20">
        <v>19</v>
      </c>
      <c r="B20" s="178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ht="15" customHeight="1" x14ac:dyDescent="0.15">
      <c r="A21">
        <v>20</v>
      </c>
      <c r="B21" s="178" t="s">
        <v>211</v>
      </c>
      <c r="C21">
        <v>1E-8</v>
      </c>
      <c r="D21">
        <v>0</v>
      </c>
      <c r="E21">
        <v>0</v>
      </c>
      <c r="F21">
        <v>0</v>
      </c>
      <c r="G21">
        <v>0</v>
      </c>
      <c r="H21">
        <v>0</v>
      </c>
      <c r="I21">
        <v>1E-8</v>
      </c>
    </row>
    <row r="22" spans="1:9" ht="15" customHeight="1" x14ac:dyDescent="0.15">
      <c r="A22">
        <v>21</v>
      </c>
      <c r="B22" s="178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ht="15" customHeight="1" x14ac:dyDescent="0.15">
      <c r="A23">
        <v>22</v>
      </c>
      <c r="B23" s="178" t="s">
        <v>213</v>
      </c>
      <c r="C23">
        <v>1E-8</v>
      </c>
      <c r="D23">
        <v>0</v>
      </c>
      <c r="E23">
        <v>0</v>
      </c>
      <c r="F23">
        <v>0</v>
      </c>
      <c r="G23">
        <v>0</v>
      </c>
      <c r="H23">
        <v>0</v>
      </c>
      <c r="I23">
        <v>1E-8</v>
      </c>
    </row>
    <row r="24" spans="1:9" ht="15" customHeight="1" x14ac:dyDescent="0.15">
      <c r="A24">
        <v>23</v>
      </c>
      <c r="B24" s="178" t="s">
        <v>214</v>
      </c>
      <c r="C24">
        <v>1.0000000000000001E-9</v>
      </c>
      <c r="D24">
        <v>0</v>
      </c>
      <c r="E24">
        <v>0</v>
      </c>
      <c r="F24">
        <v>0</v>
      </c>
      <c r="G24">
        <v>0</v>
      </c>
      <c r="H24">
        <v>0</v>
      </c>
      <c r="I24">
        <v>1.0000000000000001E-9</v>
      </c>
    </row>
    <row r="25" spans="1:9" ht="15" customHeight="1" x14ac:dyDescent="0.15">
      <c r="A25">
        <v>24</v>
      </c>
      <c r="B25" s="178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ht="15" customHeight="1" x14ac:dyDescent="0.15">
      <c r="A26">
        <v>25</v>
      </c>
      <c r="B26" s="178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ht="15" customHeight="1" x14ac:dyDescent="0.15">
      <c r="A27">
        <v>26</v>
      </c>
      <c r="B27" s="178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ht="15" customHeight="1" x14ac:dyDescent="0.15">
      <c r="A28">
        <v>27</v>
      </c>
      <c r="B28" s="178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ht="15" customHeight="1" x14ac:dyDescent="0.15">
      <c r="A29">
        <v>28</v>
      </c>
      <c r="B29" s="178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ht="15" customHeight="1" x14ac:dyDescent="0.15">
      <c r="A30">
        <v>29</v>
      </c>
      <c r="B30" s="178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ht="15" customHeight="1" x14ac:dyDescent="0.15">
      <c r="A31">
        <v>30</v>
      </c>
      <c r="B31" s="178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ht="15" customHeight="1" x14ac:dyDescent="0.15">
      <c r="A32">
        <v>31</v>
      </c>
      <c r="B32" s="178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ht="15" customHeight="1" x14ac:dyDescent="0.15">
      <c r="A33">
        <v>32</v>
      </c>
      <c r="B33" s="178" t="s">
        <v>223</v>
      </c>
      <c r="C33">
        <v>1.0000000000000001E-9</v>
      </c>
      <c r="D33">
        <v>0</v>
      </c>
      <c r="E33">
        <v>0</v>
      </c>
      <c r="F33">
        <v>0</v>
      </c>
      <c r="G33">
        <v>1.0000000000000001E-9</v>
      </c>
      <c r="H33">
        <v>1E-8</v>
      </c>
      <c r="I33">
        <v>1.2E-8</v>
      </c>
    </row>
    <row r="34" spans="1:9" ht="15" customHeight="1" x14ac:dyDescent="0.15">
      <c r="A34">
        <v>33</v>
      </c>
      <c r="B34" s="178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ht="15" customHeight="1" x14ac:dyDescent="0.15">
      <c r="A35">
        <v>34</v>
      </c>
      <c r="B35" s="178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</row>
    <row r="36" spans="1:9" ht="15" customHeight="1" x14ac:dyDescent="0.15">
      <c r="A36">
        <v>35</v>
      </c>
      <c r="B36" s="178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ht="15" customHeight="1" x14ac:dyDescent="0.15"/>
    <row r="38" spans="1:9" ht="15" customHeight="1" x14ac:dyDescent="0.15"/>
    <row r="39" spans="1:9" ht="15" customHeight="1" x14ac:dyDescent="0.15"/>
    <row r="40" spans="1:9" ht="15" customHeight="1" x14ac:dyDescent="0.15"/>
    <row r="41" spans="1:9" ht="15" customHeight="1" x14ac:dyDescent="0.15"/>
    <row r="42" spans="1:9" ht="15" customHeight="1" x14ac:dyDescent="0.15"/>
    <row r="43" spans="1:9" ht="15" customHeight="1" x14ac:dyDescent="0.15"/>
    <row r="44" spans="1:9" ht="15" customHeight="1" x14ac:dyDescent="0.15"/>
    <row r="45" spans="1:9" ht="15" customHeight="1" x14ac:dyDescent="0.15"/>
    <row r="46" spans="1:9" ht="15" customHeight="1" x14ac:dyDescent="0.15"/>
    <row r="47" spans="1:9" ht="15" customHeight="1" x14ac:dyDescent="0.15"/>
    <row r="48" spans="1:9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I3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3.83203125" bestFit="1" customWidth="1"/>
    <col min="3" max="5" width="5.83203125" bestFit="1" customWidth="1"/>
    <col min="6" max="6" width="7.83203125" customWidth="1"/>
    <col min="7" max="7" width="5.83203125" customWidth="1"/>
    <col min="8" max="8" width="2.33203125" customWidth="1"/>
    <col min="9" max="9" width="10.83203125" customWidth="1"/>
  </cols>
  <sheetData>
    <row r="1" spans="1:9" s="109" customFormat="1" ht="112" x14ac:dyDescent="0.15">
      <c r="A1" s="5" t="s">
        <v>22</v>
      </c>
      <c r="B1" s="3" t="s">
        <v>0</v>
      </c>
      <c r="C1" s="181" t="s">
        <v>227</v>
      </c>
      <c r="D1" s="181" t="s">
        <v>228</v>
      </c>
      <c r="E1" s="181" t="s">
        <v>229</v>
      </c>
      <c r="F1" s="181" t="s">
        <v>230</v>
      </c>
      <c r="G1" s="181" t="s">
        <v>231</v>
      </c>
      <c r="H1" s="181" t="s">
        <v>232</v>
      </c>
      <c r="I1" s="181" t="s">
        <v>236</v>
      </c>
    </row>
    <row r="2" spans="1:9" x14ac:dyDescent="0.15">
      <c r="A2">
        <v>1</v>
      </c>
      <c r="B2" s="180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15">
      <c r="A3">
        <v>2</v>
      </c>
      <c r="B3" s="180" t="s">
        <v>193</v>
      </c>
      <c r="C3">
        <v>1E-8</v>
      </c>
      <c r="D3">
        <v>0</v>
      </c>
      <c r="E3">
        <v>1E-8</v>
      </c>
      <c r="F3">
        <v>0</v>
      </c>
      <c r="G3">
        <v>0</v>
      </c>
      <c r="H3">
        <v>0</v>
      </c>
      <c r="I3">
        <v>2E-8</v>
      </c>
    </row>
    <row r="4" spans="1:9" x14ac:dyDescent="0.15">
      <c r="A4">
        <v>3</v>
      </c>
      <c r="B4" s="180" t="s">
        <v>194</v>
      </c>
      <c r="C4">
        <v>1E-8</v>
      </c>
      <c r="D4">
        <v>0</v>
      </c>
      <c r="E4">
        <v>1E-8</v>
      </c>
      <c r="F4">
        <v>0</v>
      </c>
      <c r="G4">
        <v>0</v>
      </c>
      <c r="H4">
        <v>0</v>
      </c>
      <c r="I4">
        <v>2E-8</v>
      </c>
    </row>
    <row r="5" spans="1:9" x14ac:dyDescent="0.15">
      <c r="A5">
        <v>4</v>
      </c>
      <c r="B5" s="180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15">
      <c r="A6">
        <v>5</v>
      </c>
      <c r="B6" s="180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15">
      <c r="A7">
        <v>6</v>
      </c>
      <c r="B7" s="180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15">
      <c r="A8">
        <v>7</v>
      </c>
      <c r="B8" s="180" t="s">
        <v>198</v>
      </c>
      <c r="C8">
        <v>1E-8</v>
      </c>
      <c r="D8">
        <v>0</v>
      </c>
      <c r="E8">
        <v>0</v>
      </c>
      <c r="F8">
        <v>0</v>
      </c>
      <c r="G8">
        <v>0</v>
      </c>
      <c r="H8">
        <v>0</v>
      </c>
      <c r="I8">
        <v>1E-8</v>
      </c>
    </row>
    <row r="9" spans="1:9" x14ac:dyDescent="0.15">
      <c r="A9">
        <v>8</v>
      </c>
      <c r="B9" s="180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15">
      <c r="A10">
        <v>9</v>
      </c>
      <c r="B10" s="180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15">
      <c r="A11">
        <v>10</v>
      </c>
      <c r="B11" s="180" t="s">
        <v>201</v>
      </c>
      <c r="C11">
        <v>0</v>
      </c>
      <c r="D11">
        <v>9.9999999999999995E-8</v>
      </c>
      <c r="E11">
        <v>0</v>
      </c>
      <c r="F11">
        <v>0</v>
      </c>
      <c r="G11">
        <v>0</v>
      </c>
      <c r="H11">
        <v>0</v>
      </c>
      <c r="I11">
        <v>9.9999999999999995E-8</v>
      </c>
    </row>
    <row r="12" spans="1:9" x14ac:dyDescent="0.15">
      <c r="A12">
        <v>11</v>
      </c>
      <c r="B12" s="180" t="s">
        <v>202</v>
      </c>
      <c r="C12">
        <v>1E-8</v>
      </c>
      <c r="D12">
        <v>0</v>
      </c>
      <c r="E12">
        <v>0</v>
      </c>
      <c r="F12">
        <v>9.9999999999999995E-8</v>
      </c>
      <c r="G12">
        <v>0</v>
      </c>
      <c r="H12">
        <v>0</v>
      </c>
      <c r="I12">
        <v>1.0999999999999999E-7</v>
      </c>
    </row>
    <row r="13" spans="1:9" x14ac:dyDescent="0.15">
      <c r="A13">
        <v>12</v>
      </c>
      <c r="B13" s="180" t="s">
        <v>203</v>
      </c>
      <c r="C13">
        <v>1E-8</v>
      </c>
      <c r="D13">
        <v>0</v>
      </c>
      <c r="E13">
        <v>0</v>
      </c>
      <c r="F13">
        <v>1.363E-2</v>
      </c>
      <c r="G13">
        <v>0</v>
      </c>
      <c r="H13">
        <v>0</v>
      </c>
      <c r="I13">
        <v>1.363001E-2</v>
      </c>
    </row>
    <row r="14" spans="1:9" x14ac:dyDescent="0.15">
      <c r="A14">
        <v>13</v>
      </c>
      <c r="B14" s="180" t="s">
        <v>204</v>
      </c>
      <c r="C14">
        <v>1E-8</v>
      </c>
      <c r="D14">
        <v>0</v>
      </c>
      <c r="E14">
        <v>0</v>
      </c>
      <c r="F14">
        <v>0</v>
      </c>
      <c r="G14">
        <v>0</v>
      </c>
      <c r="H14">
        <v>0</v>
      </c>
      <c r="I14">
        <v>1E-8</v>
      </c>
    </row>
    <row r="15" spans="1:9" x14ac:dyDescent="0.15">
      <c r="A15">
        <v>14</v>
      </c>
      <c r="B15" s="180" t="s">
        <v>205</v>
      </c>
      <c r="C15">
        <v>1E-8</v>
      </c>
      <c r="D15">
        <v>0</v>
      </c>
      <c r="E15">
        <v>0</v>
      </c>
      <c r="F15">
        <v>0</v>
      </c>
      <c r="G15">
        <v>0</v>
      </c>
      <c r="H15">
        <v>0</v>
      </c>
      <c r="I15">
        <v>1E-8</v>
      </c>
    </row>
    <row r="16" spans="1:9" x14ac:dyDescent="0.15">
      <c r="A16">
        <v>15</v>
      </c>
      <c r="B16" s="180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15">
      <c r="A17">
        <v>16</v>
      </c>
      <c r="B17" s="180" t="s">
        <v>207</v>
      </c>
      <c r="C17">
        <v>1E-8</v>
      </c>
      <c r="D17">
        <v>0</v>
      </c>
      <c r="E17">
        <v>0</v>
      </c>
      <c r="F17">
        <v>0</v>
      </c>
      <c r="G17">
        <v>0</v>
      </c>
      <c r="H17">
        <v>0</v>
      </c>
      <c r="I17">
        <v>1E-8</v>
      </c>
    </row>
    <row r="18" spans="1:9" x14ac:dyDescent="0.15">
      <c r="A18">
        <v>17</v>
      </c>
      <c r="B18" s="180" t="s">
        <v>208</v>
      </c>
      <c r="C18">
        <v>1E-8</v>
      </c>
      <c r="D18">
        <v>0</v>
      </c>
      <c r="E18">
        <v>0</v>
      </c>
      <c r="F18">
        <v>0</v>
      </c>
      <c r="G18">
        <v>0</v>
      </c>
      <c r="H18">
        <v>0</v>
      </c>
      <c r="I18">
        <v>1E-8</v>
      </c>
    </row>
    <row r="19" spans="1:9" x14ac:dyDescent="0.15">
      <c r="A19">
        <v>18</v>
      </c>
      <c r="B19" s="180" t="s">
        <v>209</v>
      </c>
      <c r="C19">
        <v>1E-8</v>
      </c>
      <c r="D19">
        <v>0</v>
      </c>
      <c r="E19">
        <v>0</v>
      </c>
      <c r="F19">
        <v>0</v>
      </c>
      <c r="G19">
        <v>0</v>
      </c>
      <c r="H19">
        <v>0</v>
      </c>
      <c r="I19">
        <v>1E-8</v>
      </c>
    </row>
    <row r="20" spans="1:9" x14ac:dyDescent="0.15">
      <c r="A20">
        <v>19</v>
      </c>
      <c r="B20" s="180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15">
      <c r="A21">
        <v>20</v>
      </c>
      <c r="B21" s="180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15">
      <c r="A22">
        <v>21</v>
      </c>
      <c r="B22" s="180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15">
      <c r="A23">
        <v>22</v>
      </c>
      <c r="B23" s="180" t="s">
        <v>213</v>
      </c>
      <c r="C23">
        <v>1E-8</v>
      </c>
      <c r="D23">
        <v>0</v>
      </c>
      <c r="E23">
        <v>0</v>
      </c>
      <c r="F23">
        <v>0</v>
      </c>
      <c r="G23">
        <v>0</v>
      </c>
      <c r="H23">
        <v>0</v>
      </c>
      <c r="I23">
        <v>1E-8</v>
      </c>
    </row>
    <row r="24" spans="1:9" x14ac:dyDescent="0.15">
      <c r="A24">
        <v>23</v>
      </c>
      <c r="B24" s="180" t="s">
        <v>214</v>
      </c>
      <c r="C24">
        <v>1E-8</v>
      </c>
      <c r="D24">
        <v>0</v>
      </c>
      <c r="E24">
        <v>1E-8</v>
      </c>
      <c r="F24">
        <v>0</v>
      </c>
      <c r="G24">
        <v>0</v>
      </c>
      <c r="H24">
        <v>0</v>
      </c>
      <c r="I24">
        <v>2E-8</v>
      </c>
    </row>
    <row r="25" spans="1:9" x14ac:dyDescent="0.15">
      <c r="A25">
        <v>24</v>
      </c>
      <c r="B25" s="180" t="s">
        <v>215</v>
      </c>
      <c r="C25">
        <v>1E-8</v>
      </c>
      <c r="D25">
        <v>0</v>
      </c>
      <c r="E25">
        <v>0</v>
      </c>
      <c r="F25">
        <v>0</v>
      </c>
      <c r="G25">
        <v>1E-8</v>
      </c>
      <c r="H25">
        <v>0</v>
      </c>
      <c r="I25">
        <v>2E-8</v>
      </c>
    </row>
    <row r="26" spans="1:9" x14ac:dyDescent="0.15">
      <c r="A26">
        <v>25</v>
      </c>
      <c r="B26" s="180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15">
      <c r="A27">
        <v>26</v>
      </c>
      <c r="B27" s="180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15">
      <c r="A28">
        <v>27</v>
      </c>
      <c r="B28" s="180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15">
      <c r="A29">
        <v>28</v>
      </c>
      <c r="B29" s="180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15">
      <c r="A30">
        <v>29</v>
      </c>
      <c r="B30" s="180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15">
      <c r="A31">
        <v>30</v>
      </c>
      <c r="B31" s="180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15">
      <c r="A32">
        <v>31</v>
      </c>
      <c r="B32" s="180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15">
      <c r="A33">
        <v>32</v>
      </c>
      <c r="B33" s="180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15">
      <c r="A34">
        <v>33</v>
      </c>
      <c r="B34" s="180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x14ac:dyDescent="0.15">
      <c r="A35">
        <v>34</v>
      </c>
      <c r="B35" s="180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</row>
    <row r="36" spans="1:9" x14ac:dyDescent="0.15">
      <c r="A36">
        <v>35</v>
      </c>
      <c r="B36" s="180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3.83203125" bestFit="1" customWidth="1"/>
    <col min="6" max="6" width="4.83203125" bestFit="1" customWidth="1"/>
    <col min="7" max="9" width="3.83203125" bestFit="1" customWidth="1"/>
    <col min="10" max="11" width="4.83203125" style="108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0" customFormat="1" ht="14" thickBot="1" x14ac:dyDescent="0.2">
      <c r="D1" s="111" t="s">
        <v>8</v>
      </c>
      <c r="E1" s="111" t="s">
        <v>0</v>
      </c>
      <c r="F1" s="112" t="s">
        <v>99</v>
      </c>
      <c r="G1" s="113" t="s">
        <v>84</v>
      </c>
      <c r="H1" s="113" t="s">
        <v>85</v>
      </c>
      <c r="I1" s="113" t="s">
        <v>86</v>
      </c>
      <c r="J1" s="113" t="s">
        <v>87</v>
      </c>
      <c r="K1" s="113" t="s">
        <v>88</v>
      </c>
      <c r="L1" s="114" t="s">
        <v>89</v>
      </c>
      <c r="M1" s="114" t="s">
        <v>93</v>
      </c>
      <c r="N1" s="114" t="s">
        <v>92</v>
      </c>
      <c r="O1" s="114" t="s">
        <v>90</v>
      </c>
      <c r="P1" s="114" t="s">
        <v>91</v>
      </c>
      <c r="Q1" s="115" t="s">
        <v>94</v>
      </c>
      <c r="R1" s="115" t="s">
        <v>95</v>
      </c>
      <c r="S1" s="115" t="s">
        <v>96</v>
      </c>
      <c r="T1" s="115" t="s">
        <v>97</v>
      </c>
      <c r="U1" s="115" t="s">
        <v>98</v>
      </c>
      <c r="V1" s="113" t="s">
        <v>100</v>
      </c>
      <c r="W1" s="113" t="s">
        <v>101</v>
      </c>
      <c r="X1" s="113" t="s">
        <v>102</v>
      </c>
      <c r="Y1" s="113" t="s">
        <v>134</v>
      </c>
      <c r="Z1" s="114" t="s">
        <v>103</v>
      </c>
      <c r="AA1" s="114" t="s">
        <v>104</v>
      </c>
      <c r="AB1" s="114" t="s">
        <v>105</v>
      </c>
      <c r="AC1" s="116" t="s">
        <v>135</v>
      </c>
      <c r="AD1" s="115" t="s">
        <v>106</v>
      </c>
      <c r="AE1" s="115" t="s">
        <v>107</v>
      </c>
      <c r="AF1" s="115" t="s">
        <v>108</v>
      </c>
      <c r="AG1" s="115" t="s">
        <v>136</v>
      </c>
      <c r="AH1" s="113" t="s">
        <v>109</v>
      </c>
      <c r="AI1" s="113" t="s">
        <v>111</v>
      </c>
      <c r="AJ1" s="113" t="s">
        <v>110</v>
      </c>
      <c r="AK1" s="114" t="s">
        <v>115</v>
      </c>
      <c r="AL1" s="114" t="s">
        <v>116</v>
      </c>
      <c r="AM1" s="114" t="s">
        <v>117</v>
      </c>
      <c r="AN1" s="115" t="s">
        <v>112</v>
      </c>
      <c r="AO1" s="115" t="s">
        <v>113</v>
      </c>
      <c r="AP1" s="115" t="s">
        <v>114</v>
      </c>
    </row>
    <row r="2" spans="1:42" x14ac:dyDescent="0.15">
      <c r="A2" s="117" t="s">
        <v>74</v>
      </c>
      <c r="B2" s="118">
        <v>1</v>
      </c>
      <c r="D2">
        <v>1</v>
      </c>
      <c r="E2" s="182" t="s">
        <v>192</v>
      </c>
      <c r="F2">
        <v>0.98</v>
      </c>
      <c r="G2">
        <v>0.8</v>
      </c>
      <c r="H2">
        <v>0.8</v>
      </c>
      <c r="I2">
        <v>0.8</v>
      </c>
      <c r="J2" s="108">
        <v>0.25</v>
      </c>
      <c r="K2" s="108">
        <v>0.05</v>
      </c>
    </row>
    <row r="3" spans="1:42" x14ac:dyDescent="0.15">
      <c r="A3" s="117" t="s">
        <v>75</v>
      </c>
      <c r="B3" s="119">
        <v>1</v>
      </c>
      <c r="D3">
        <v>2</v>
      </c>
      <c r="E3" s="182" t="s">
        <v>193</v>
      </c>
      <c r="F3">
        <v>0.98</v>
      </c>
      <c r="G3">
        <v>0.8</v>
      </c>
      <c r="H3">
        <v>0.8</v>
      </c>
      <c r="I3">
        <v>0.8</v>
      </c>
      <c r="J3" s="108">
        <v>0.25</v>
      </c>
      <c r="K3" s="108">
        <v>0.05</v>
      </c>
    </row>
    <row r="4" spans="1:42" x14ac:dyDescent="0.15">
      <c r="A4" s="117" t="s">
        <v>76</v>
      </c>
      <c r="B4" s="119">
        <v>1</v>
      </c>
      <c r="D4">
        <v>3</v>
      </c>
      <c r="E4" s="182" t="s">
        <v>194</v>
      </c>
      <c r="F4">
        <v>0.98</v>
      </c>
      <c r="G4">
        <v>0.8</v>
      </c>
      <c r="H4">
        <v>0.8</v>
      </c>
      <c r="I4">
        <v>0.8</v>
      </c>
      <c r="J4" s="108">
        <v>0.25</v>
      </c>
      <c r="K4" s="108">
        <v>0.05</v>
      </c>
    </row>
    <row r="5" spans="1:42" x14ac:dyDescent="0.15">
      <c r="A5" s="117" t="s">
        <v>77</v>
      </c>
      <c r="B5" s="119">
        <v>1</v>
      </c>
      <c r="D5">
        <v>4</v>
      </c>
      <c r="E5" s="182" t="s">
        <v>195</v>
      </c>
      <c r="F5">
        <v>0.98</v>
      </c>
      <c r="G5">
        <v>0.8</v>
      </c>
      <c r="H5">
        <v>0.8</v>
      </c>
      <c r="I5">
        <v>0.8</v>
      </c>
      <c r="J5" s="108">
        <v>0.25</v>
      </c>
      <c r="K5" s="108">
        <v>0.05</v>
      </c>
    </row>
    <row r="6" spans="1:42" x14ac:dyDescent="0.15">
      <c r="A6" s="117" t="s">
        <v>78</v>
      </c>
      <c r="B6" s="119">
        <v>1</v>
      </c>
      <c r="D6">
        <v>5</v>
      </c>
      <c r="E6" s="182" t="s">
        <v>196</v>
      </c>
      <c r="F6">
        <v>0.98</v>
      </c>
      <c r="G6">
        <v>0.8</v>
      </c>
      <c r="H6">
        <v>0.8</v>
      </c>
      <c r="I6">
        <v>0.8</v>
      </c>
      <c r="J6" s="108">
        <v>0.25</v>
      </c>
      <c r="K6" s="108">
        <v>0.05</v>
      </c>
    </row>
    <row r="7" spans="1:42" x14ac:dyDescent="0.15">
      <c r="A7" s="117" t="s">
        <v>79</v>
      </c>
      <c r="B7" s="119">
        <v>1</v>
      </c>
      <c r="D7">
        <v>6</v>
      </c>
      <c r="E7" s="182" t="s">
        <v>197</v>
      </c>
      <c r="F7">
        <v>0.98</v>
      </c>
      <c r="G7">
        <v>0.8</v>
      </c>
      <c r="H7">
        <v>0.8</v>
      </c>
      <c r="I7">
        <v>0.8</v>
      </c>
      <c r="J7" s="108">
        <v>0.25</v>
      </c>
      <c r="K7" s="108">
        <v>0.05</v>
      </c>
    </row>
    <row r="8" spans="1:42" x14ac:dyDescent="0.15">
      <c r="A8" s="117" t="s">
        <v>80</v>
      </c>
      <c r="B8" s="119">
        <v>1</v>
      </c>
      <c r="D8">
        <v>7</v>
      </c>
      <c r="E8" s="182" t="s">
        <v>198</v>
      </c>
      <c r="F8">
        <v>0.98</v>
      </c>
      <c r="G8">
        <v>0.8</v>
      </c>
      <c r="H8">
        <v>0.8</v>
      </c>
      <c r="I8">
        <v>0.8</v>
      </c>
      <c r="J8" s="108">
        <v>0.25</v>
      </c>
      <c r="K8" s="108">
        <v>0.05</v>
      </c>
    </row>
    <row r="9" spans="1:42" x14ac:dyDescent="0.15">
      <c r="A9" s="117" t="s">
        <v>81</v>
      </c>
      <c r="B9" s="119">
        <v>0.1</v>
      </c>
      <c r="C9" s="61" t="s">
        <v>150</v>
      </c>
      <c r="D9">
        <v>8</v>
      </c>
      <c r="E9" s="182" t="s">
        <v>199</v>
      </c>
      <c r="F9">
        <v>0.98</v>
      </c>
      <c r="G9">
        <v>0.8</v>
      </c>
      <c r="H9">
        <v>0.8</v>
      </c>
      <c r="I9">
        <v>0.8</v>
      </c>
      <c r="J9" s="108">
        <v>0.25</v>
      </c>
      <c r="K9" s="108">
        <v>0.05</v>
      </c>
    </row>
    <row r="10" spans="1:42" ht="14" thickBot="1" x14ac:dyDescent="0.2">
      <c r="A10" s="117" t="s">
        <v>149</v>
      </c>
      <c r="B10" s="120">
        <f>1/3</f>
        <v>0.33333333333333331</v>
      </c>
      <c r="C10" s="61" t="s">
        <v>150</v>
      </c>
      <c r="D10">
        <v>9</v>
      </c>
      <c r="E10" s="182" t="s">
        <v>200</v>
      </c>
      <c r="F10">
        <v>0.98</v>
      </c>
      <c r="G10">
        <v>0.8</v>
      </c>
      <c r="H10">
        <v>0.8</v>
      </c>
      <c r="I10">
        <v>0.8</v>
      </c>
      <c r="J10" s="108">
        <v>0.25</v>
      </c>
      <c r="K10" s="108">
        <v>0.05</v>
      </c>
    </row>
    <row r="11" spans="1:42" x14ac:dyDescent="0.15">
      <c r="D11">
        <v>10</v>
      </c>
      <c r="E11" s="182" t="s">
        <v>201</v>
      </c>
      <c r="F11">
        <v>0.98</v>
      </c>
      <c r="G11">
        <v>0.8</v>
      </c>
      <c r="H11">
        <v>0.8</v>
      </c>
      <c r="I11">
        <v>0.8</v>
      </c>
      <c r="J11" s="108">
        <v>0.25</v>
      </c>
      <c r="K11" s="108">
        <v>0.05</v>
      </c>
    </row>
    <row r="12" spans="1:42" x14ac:dyDescent="0.15">
      <c r="D12">
        <v>11</v>
      </c>
      <c r="E12" s="182" t="s">
        <v>202</v>
      </c>
      <c r="F12">
        <v>0.98</v>
      </c>
      <c r="G12">
        <v>0.8</v>
      </c>
      <c r="H12">
        <v>0.8</v>
      </c>
      <c r="I12">
        <v>0.8</v>
      </c>
      <c r="J12" s="108">
        <v>0.25</v>
      </c>
      <c r="K12" s="108">
        <v>0.05</v>
      </c>
    </row>
    <row r="13" spans="1:42" x14ac:dyDescent="0.15">
      <c r="D13">
        <v>12</v>
      </c>
      <c r="E13" s="182" t="s">
        <v>203</v>
      </c>
      <c r="F13">
        <v>0.98</v>
      </c>
      <c r="G13">
        <v>0.8</v>
      </c>
      <c r="H13">
        <v>0.8</v>
      </c>
      <c r="I13">
        <v>0.8</v>
      </c>
      <c r="J13" s="108">
        <v>0.25</v>
      </c>
      <c r="K13" s="108">
        <v>0.05</v>
      </c>
    </row>
    <row r="14" spans="1:42" x14ac:dyDescent="0.15">
      <c r="D14">
        <v>13</v>
      </c>
      <c r="E14" s="182" t="s">
        <v>204</v>
      </c>
      <c r="F14">
        <v>0.98</v>
      </c>
      <c r="G14">
        <v>0.8</v>
      </c>
      <c r="H14">
        <v>0.8</v>
      </c>
      <c r="I14">
        <v>0.8</v>
      </c>
      <c r="J14" s="108">
        <v>0.25</v>
      </c>
      <c r="K14" s="108">
        <v>0.05</v>
      </c>
    </row>
    <row r="15" spans="1:42" x14ac:dyDescent="0.15">
      <c r="D15">
        <v>14</v>
      </c>
      <c r="E15" s="182" t="s">
        <v>205</v>
      </c>
      <c r="F15">
        <v>0.98</v>
      </c>
      <c r="G15">
        <v>0.8</v>
      </c>
      <c r="H15">
        <v>0.8</v>
      </c>
      <c r="I15">
        <v>0.8</v>
      </c>
      <c r="J15" s="108">
        <v>0.25</v>
      </c>
      <c r="K15" s="108">
        <v>0.05</v>
      </c>
    </row>
    <row r="16" spans="1:42" x14ac:dyDescent="0.15">
      <c r="D16">
        <v>15</v>
      </c>
      <c r="E16" s="182" t="s">
        <v>206</v>
      </c>
      <c r="F16">
        <v>0.98</v>
      </c>
      <c r="G16">
        <v>0.8</v>
      </c>
      <c r="H16">
        <v>0.8</v>
      </c>
      <c r="I16">
        <v>0.8</v>
      </c>
      <c r="J16" s="108">
        <v>0.25</v>
      </c>
      <c r="K16" s="108">
        <v>0.05</v>
      </c>
    </row>
    <row r="17" spans="4:33" ht="15" customHeight="1" x14ac:dyDescent="0.15">
      <c r="D17">
        <v>16</v>
      </c>
      <c r="E17" s="182" t="s">
        <v>207</v>
      </c>
      <c r="F17">
        <v>0.98</v>
      </c>
      <c r="G17">
        <v>0.8</v>
      </c>
      <c r="H17">
        <v>0.8</v>
      </c>
      <c r="I17">
        <v>0.8</v>
      </c>
      <c r="J17" s="108">
        <v>0.25</v>
      </c>
      <c r="K17" s="108">
        <v>0.05</v>
      </c>
    </row>
    <row r="18" spans="4:33" ht="15" customHeight="1" x14ac:dyDescent="0.15">
      <c r="D18">
        <v>17</v>
      </c>
      <c r="E18" s="182" t="s">
        <v>208</v>
      </c>
      <c r="F18">
        <v>0.98</v>
      </c>
      <c r="G18">
        <v>0.8</v>
      </c>
      <c r="H18">
        <v>0.8</v>
      </c>
      <c r="I18">
        <v>0.8</v>
      </c>
      <c r="J18" s="108">
        <v>0.25</v>
      </c>
      <c r="K18" s="108">
        <v>0.05</v>
      </c>
    </row>
    <row r="19" spans="4:33" ht="15" customHeight="1" x14ac:dyDescent="0.15">
      <c r="D19">
        <v>18</v>
      </c>
      <c r="E19" s="182" t="s">
        <v>209</v>
      </c>
      <c r="F19">
        <v>0.98</v>
      </c>
      <c r="G19">
        <v>0.8</v>
      </c>
      <c r="H19">
        <v>0.8</v>
      </c>
      <c r="I19">
        <v>0.8</v>
      </c>
      <c r="J19" s="108">
        <v>0.25</v>
      </c>
      <c r="K19" s="108">
        <v>0.05</v>
      </c>
    </row>
    <row r="20" spans="4:33" ht="15" customHeight="1" x14ac:dyDescent="0.15">
      <c r="D20">
        <v>19</v>
      </c>
      <c r="E20" s="182" t="s">
        <v>210</v>
      </c>
      <c r="F20">
        <v>0.98</v>
      </c>
      <c r="G20">
        <v>0.8</v>
      </c>
      <c r="H20">
        <v>0.8</v>
      </c>
      <c r="I20">
        <v>0.8</v>
      </c>
      <c r="J20" s="108">
        <v>0.25</v>
      </c>
      <c r="K20" s="108">
        <v>0.05</v>
      </c>
    </row>
    <row r="21" spans="4:33" ht="15" customHeight="1" x14ac:dyDescent="0.15">
      <c r="D21">
        <v>20</v>
      </c>
      <c r="E21" s="182" t="s">
        <v>211</v>
      </c>
      <c r="F21">
        <v>0.98</v>
      </c>
      <c r="G21">
        <v>0.8</v>
      </c>
      <c r="H21">
        <v>0.8</v>
      </c>
      <c r="I21">
        <v>0.8</v>
      </c>
      <c r="J21" s="108">
        <v>0.25</v>
      </c>
      <c r="K21" s="108">
        <v>0.05</v>
      </c>
    </row>
    <row r="22" spans="4:33" ht="15" customHeight="1" x14ac:dyDescent="0.15">
      <c r="D22">
        <v>21</v>
      </c>
      <c r="E22" s="182" t="s">
        <v>212</v>
      </c>
      <c r="F22">
        <v>0.98</v>
      </c>
      <c r="G22">
        <v>0.8</v>
      </c>
      <c r="H22">
        <v>0.8</v>
      </c>
      <c r="I22">
        <v>0.8</v>
      </c>
      <c r="J22" s="108">
        <v>0.25</v>
      </c>
      <c r="K22" s="108">
        <v>0.05</v>
      </c>
    </row>
    <row r="23" spans="4:33" ht="15" customHeight="1" x14ac:dyDescent="0.15">
      <c r="D23">
        <v>22</v>
      </c>
      <c r="E23" s="182" t="s">
        <v>213</v>
      </c>
      <c r="F23">
        <v>0.98</v>
      </c>
      <c r="G23">
        <v>0.8</v>
      </c>
      <c r="H23">
        <v>0.8</v>
      </c>
      <c r="I23">
        <v>0.8</v>
      </c>
      <c r="J23" s="108">
        <v>0.25</v>
      </c>
      <c r="K23" s="108">
        <v>0.05</v>
      </c>
    </row>
    <row r="24" spans="4:33" ht="15" customHeight="1" x14ac:dyDescent="0.15">
      <c r="D24">
        <v>23</v>
      </c>
      <c r="E24" s="182" t="s">
        <v>214</v>
      </c>
      <c r="F24">
        <v>0.98</v>
      </c>
      <c r="G24">
        <v>0.8</v>
      </c>
      <c r="H24">
        <v>0.8</v>
      </c>
      <c r="I24">
        <v>0.8</v>
      </c>
      <c r="J24" s="108">
        <v>0.25</v>
      </c>
      <c r="K24" s="108">
        <v>0.05</v>
      </c>
    </row>
    <row r="25" spans="4:33" ht="15" customHeight="1" x14ac:dyDescent="0.15">
      <c r="D25">
        <v>24</v>
      </c>
      <c r="E25" s="182" t="s">
        <v>215</v>
      </c>
      <c r="F25">
        <v>0.98</v>
      </c>
      <c r="G25">
        <v>0.8</v>
      </c>
      <c r="H25">
        <v>0.8</v>
      </c>
      <c r="I25">
        <v>0.8</v>
      </c>
      <c r="J25" s="108">
        <v>0.25</v>
      </c>
      <c r="K25" s="108">
        <v>0.05</v>
      </c>
    </row>
    <row r="26" spans="4:33" ht="15" customHeight="1" x14ac:dyDescent="0.15">
      <c r="D26">
        <v>25</v>
      </c>
      <c r="E26" s="182" t="s">
        <v>216</v>
      </c>
      <c r="F26">
        <v>0.98</v>
      </c>
      <c r="G26">
        <v>0.8</v>
      </c>
      <c r="H26">
        <v>0.8</v>
      </c>
      <c r="I26">
        <v>0.8</v>
      </c>
      <c r="J26" s="108">
        <v>0.25</v>
      </c>
      <c r="K26" s="108">
        <v>0.05</v>
      </c>
    </row>
    <row r="27" spans="4:33" ht="15" customHeight="1" x14ac:dyDescent="0.15">
      <c r="D27">
        <v>26</v>
      </c>
      <c r="E27" s="182" t="s">
        <v>217</v>
      </c>
      <c r="F27">
        <v>0.98</v>
      </c>
      <c r="G27">
        <v>0.8</v>
      </c>
      <c r="H27">
        <v>0.8</v>
      </c>
      <c r="I27">
        <v>0.8</v>
      </c>
      <c r="J27" s="108">
        <v>0.25</v>
      </c>
      <c r="K27" s="108">
        <v>0.05</v>
      </c>
    </row>
    <row r="28" spans="4:33" ht="15" customHeight="1" x14ac:dyDescent="0.15">
      <c r="D28">
        <v>27</v>
      </c>
      <c r="E28" s="182" t="s">
        <v>218</v>
      </c>
      <c r="F28">
        <v>0.98</v>
      </c>
      <c r="G28">
        <v>0.8</v>
      </c>
      <c r="H28">
        <v>0.8</v>
      </c>
      <c r="I28">
        <v>0.8</v>
      </c>
      <c r="J28" s="108">
        <v>0.25</v>
      </c>
      <c r="K28" s="108">
        <v>0.05</v>
      </c>
    </row>
    <row r="29" spans="4:33" ht="15" customHeight="1" x14ac:dyDescent="0.15">
      <c r="D29">
        <v>28</v>
      </c>
      <c r="E29" s="182" t="s">
        <v>219</v>
      </c>
      <c r="F29">
        <v>0.98</v>
      </c>
      <c r="G29">
        <v>0.8</v>
      </c>
      <c r="H29">
        <v>0.8</v>
      </c>
      <c r="I29">
        <v>0.8</v>
      </c>
      <c r="J29" s="108">
        <v>0.25</v>
      </c>
      <c r="K29" s="108">
        <v>0.05</v>
      </c>
      <c r="Y29"/>
      <c r="AC29"/>
      <c r="AG29"/>
    </row>
    <row r="30" spans="4:33" ht="15" customHeight="1" x14ac:dyDescent="0.15">
      <c r="D30">
        <v>29</v>
      </c>
      <c r="E30" s="182" t="s">
        <v>220</v>
      </c>
      <c r="F30">
        <v>0.98</v>
      </c>
      <c r="G30">
        <v>0.8</v>
      </c>
      <c r="H30">
        <v>0.8</v>
      </c>
      <c r="I30">
        <v>0.8</v>
      </c>
      <c r="J30" s="108">
        <v>0.25</v>
      </c>
      <c r="K30" s="108">
        <v>0.05</v>
      </c>
      <c r="Y30"/>
      <c r="AC30"/>
      <c r="AG30"/>
    </row>
    <row r="31" spans="4:33" ht="15" customHeight="1" x14ac:dyDescent="0.15">
      <c r="D31">
        <v>30</v>
      </c>
      <c r="E31" s="182" t="s">
        <v>221</v>
      </c>
      <c r="F31">
        <v>0.98</v>
      </c>
      <c r="G31">
        <v>0.8</v>
      </c>
      <c r="H31">
        <v>0.8</v>
      </c>
      <c r="I31">
        <v>0.8</v>
      </c>
      <c r="J31" s="108">
        <v>0.25</v>
      </c>
      <c r="K31" s="108">
        <v>0.05</v>
      </c>
      <c r="Y31"/>
      <c r="AC31"/>
      <c r="AG31"/>
    </row>
    <row r="32" spans="4:33" ht="15" customHeight="1" x14ac:dyDescent="0.15">
      <c r="D32">
        <v>31</v>
      </c>
      <c r="E32" s="182" t="s">
        <v>222</v>
      </c>
      <c r="F32">
        <v>0.98</v>
      </c>
      <c r="G32">
        <v>0.8</v>
      </c>
      <c r="H32">
        <v>0.8</v>
      </c>
      <c r="I32">
        <v>0.8</v>
      </c>
      <c r="J32" s="108">
        <v>0.25</v>
      </c>
      <c r="K32" s="108">
        <v>0.05</v>
      </c>
      <c r="Y32"/>
      <c r="AC32"/>
      <c r="AG32"/>
    </row>
    <row r="33" spans="4:33" ht="15" customHeight="1" x14ac:dyDescent="0.15">
      <c r="D33">
        <v>32</v>
      </c>
      <c r="E33" s="182" t="s">
        <v>223</v>
      </c>
      <c r="F33">
        <v>0.98</v>
      </c>
      <c r="G33">
        <v>0.8</v>
      </c>
      <c r="H33">
        <v>0.8</v>
      </c>
      <c r="I33">
        <v>0.8</v>
      </c>
      <c r="J33" s="108">
        <v>0.25</v>
      </c>
      <c r="K33" s="108">
        <v>0.05</v>
      </c>
      <c r="Y33"/>
      <c r="AC33"/>
      <c r="AG33"/>
    </row>
    <row r="34" spans="4:33" ht="15" customHeight="1" x14ac:dyDescent="0.15">
      <c r="D34">
        <v>33</v>
      </c>
      <c r="E34" s="182" t="s">
        <v>224</v>
      </c>
      <c r="F34">
        <v>0.98</v>
      </c>
      <c r="G34">
        <v>0.8</v>
      </c>
      <c r="H34">
        <v>0.8</v>
      </c>
      <c r="I34">
        <v>0</v>
      </c>
      <c r="J34" s="108">
        <v>0</v>
      </c>
      <c r="K34" s="108">
        <v>0</v>
      </c>
      <c r="Y34"/>
      <c r="AC34"/>
      <c r="AG34"/>
    </row>
    <row r="35" spans="4:33" ht="15" customHeight="1" x14ac:dyDescent="0.15">
      <c r="D35">
        <v>34</v>
      </c>
      <c r="E35" s="182" t="s">
        <v>225</v>
      </c>
      <c r="F35">
        <v>0.98</v>
      </c>
      <c r="G35">
        <v>0.8</v>
      </c>
      <c r="H35">
        <v>0</v>
      </c>
      <c r="I35">
        <v>0</v>
      </c>
      <c r="J35" s="108">
        <v>0</v>
      </c>
      <c r="K35" s="108">
        <v>0</v>
      </c>
      <c r="Y35"/>
      <c r="AC35"/>
      <c r="AG35"/>
    </row>
    <row r="36" spans="4:33" ht="15" customHeight="1" x14ac:dyDescent="0.15">
      <c r="D36">
        <v>35</v>
      </c>
      <c r="E36" s="182" t="s">
        <v>226</v>
      </c>
      <c r="F36">
        <v>0.98</v>
      </c>
      <c r="G36">
        <v>0.8</v>
      </c>
      <c r="H36">
        <v>0</v>
      </c>
      <c r="I36">
        <v>0</v>
      </c>
      <c r="J36" s="108">
        <v>0</v>
      </c>
      <c r="K36" s="108">
        <v>0</v>
      </c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J37"/>
  <sheetViews>
    <sheetView workbookViewId="0">
      <selection activeCell="A3" sqref="A3"/>
    </sheetView>
  </sheetViews>
  <sheetFormatPr baseColWidth="10" defaultRowHeight="13" x14ac:dyDescent="0.15"/>
  <cols>
    <col min="1" max="1" width="23.83203125" style="106" bestFit="1" customWidth="1"/>
    <col min="2" max="33" width="3.83203125" style="106" customWidth="1"/>
    <col min="34" max="36" width="2.33203125" style="106" customWidth="1"/>
    <col min="37" max="16384" width="10.83203125" style="106"/>
  </cols>
  <sheetData>
    <row r="1" spans="1:36" x14ac:dyDescent="0.15">
      <c r="A1" s="63" t="s">
        <v>118</v>
      </c>
      <c r="B1" s="184" t="s">
        <v>192</v>
      </c>
      <c r="C1" s="184" t="s">
        <v>193</v>
      </c>
      <c r="D1" s="184" t="s">
        <v>194</v>
      </c>
      <c r="E1" s="184" t="s">
        <v>195</v>
      </c>
      <c r="F1" s="184" t="s">
        <v>196</v>
      </c>
      <c r="G1" s="184" t="s">
        <v>197</v>
      </c>
      <c r="H1" s="184" t="s">
        <v>198</v>
      </c>
      <c r="I1" s="184" t="s">
        <v>199</v>
      </c>
      <c r="J1" s="184" t="s">
        <v>200</v>
      </c>
      <c r="K1" s="184" t="s">
        <v>201</v>
      </c>
      <c r="L1" s="184" t="s">
        <v>202</v>
      </c>
      <c r="M1" s="184" t="s">
        <v>203</v>
      </c>
      <c r="N1" s="184" t="s">
        <v>204</v>
      </c>
      <c r="O1" s="184" t="s">
        <v>205</v>
      </c>
      <c r="P1" s="184" t="s">
        <v>206</v>
      </c>
      <c r="Q1" s="184" t="s">
        <v>207</v>
      </c>
      <c r="R1" s="184" t="s">
        <v>208</v>
      </c>
      <c r="S1" s="184" t="s">
        <v>209</v>
      </c>
      <c r="T1" s="184" t="s">
        <v>210</v>
      </c>
      <c r="U1" s="184" t="s">
        <v>211</v>
      </c>
      <c r="V1" s="184" t="s">
        <v>212</v>
      </c>
      <c r="W1" s="184" t="s">
        <v>213</v>
      </c>
      <c r="X1" s="184" t="s">
        <v>214</v>
      </c>
      <c r="Y1" s="184" t="s">
        <v>215</v>
      </c>
      <c r="Z1" s="184" t="s">
        <v>216</v>
      </c>
      <c r="AA1" s="184" t="s">
        <v>217</v>
      </c>
      <c r="AB1" s="184" t="s">
        <v>218</v>
      </c>
      <c r="AC1" s="184" t="s">
        <v>219</v>
      </c>
      <c r="AD1" s="184" t="s">
        <v>220</v>
      </c>
      <c r="AE1" s="184" t="s">
        <v>221</v>
      </c>
      <c r="AF1" s="184" t="s">
        <v>222</v>
      </c>
      <c r="AG1" s="184" t="s">
        <v>223</v>
      </c>
      <c r="AH1" s="184" t="s">
        <v>224</v>
      </c>
      <c r="AI1" s="184" t="s">
        <v>225</v>
      </c>
      <c r="AJ1" s="184" t="s">
        <v>226</v>
      </c>
    </row>
    <row r="2" spans="1:36" customFormat="1" x14ac:dyDescent="0.15">
      <c r="A2" s="183" t="s">
        <v>192</v>
      </c>
      <c r="B2" s="106">
        <v>0</v>
      </c>
      <c r="C2" s="106">
        <v>0</v>
      </c>
      <c r="D2" s="106">
        <v>0.8</v>
      </c>
      <c r="E2" s="106">
        <v>0</v>
      </c>
      <c r="F2" s="106">
        <v>0</v>
      </c>
      <c r="G2" s="106">
        <v>0</v>
      </c>
      <c r="H2" s="106">
        <v>0</v>
      </c>
      <c r="I2" s="106">
        <v>0</v>
      </c>
      <c r="J2" s="106">
        <v>0</v>
      </c>
      <c r="K2" s="106">
        <v>0</v>
      </c>
      <c r="L2" s="106">
        <v>0</v>
      </c>
      <c r="M2" s="106">
        <v>0</v>
      </c>
      <c r="N2" s="106">
        <v>0</v>
      </c>
      <c r="O2" s="106">
        <v>0</v>
      </c>
      <c r="P2" s="106">
        <v>0</v>
      </c>
      <c r="Q2" s="106">
        <v>0</v>
      </c>
      <c r="R2" s="106">
        <v>0</v>
      </c>
      <c r="S2" s="106">
        <v>0</v>
      </c>
      <c r="T2" s="106">
        <v>0</v>
      </c>
      <c r="U2" s="106">
        <v>0</v>
      </c>
      <c r="V2" s="106">
        <v>0</v>
      </c>
      <c r="W2" s="106">
        <v>0</v>
      </c>
      <c r="X2" s="106">
        <v>0</v>
      </c>
      <c r="Y2" s="106">
        <v>0</v>
      </c>
      <c r="Z2" s="106">
        <v>0</v>
      </c>
      <c r="AA2" s="106">
        <v>0</v>
      </c>
      <c r="AB2" s="106">
        <v>0</v>
      </c>
      <c r="AC2" s="106">
        <v>0</v>
      </c>
      <c r="AD2" s="106">
        <v>0</v>
      </c>
      <c r="AE2" s="106">
        <v>0</v>
      </c>
      <c r="AF2" s="106">
        <v>0</v>
      </c>
      <c r="AG2" s="106">
        <v>0</v>
      </c>
      <c r="AH2" s="106">
        <v>0</v>
      </c>
      <c r="AI2" s="106">
        <v>0</v>
      </c>
      <c r="AJ2" s="106">
        <v>0</v>
      </c>
    </row>
    <row r="3" spans="1:36" customFormat="1" x14ac:dyDescent="0.15">
      <c r="A3" s="183" t="s">
        <v>193</v>
      </c>
      <c r="B3" s="106">
        <v>0.8</v>
      </c>
      <c r="C3" s="106">
        <v>0.8</v>
      </c>
      <c r="D3" s="106">
        <v>0</v>
      </c>
      <c r="E3" s="106">
        <v>0</v>
      </c>
      <c r="F3" s="106">
        <v>0.8</v>
      </c>
      <c r="G3" s="106">
        <v>0</v>
      </c>
      <c r="H3" s="106">
        <v>0</v>
      </c>
      <c r="I3" s="106">
        <v>0</v>
      </c>
      <c r="J3" s="106">
        <v>0.8</v>
      </c>
      <c r="K3" s="106">
        <v>0</v>
      </c>
      <c r="L3" s="106">
        <v>0</v>
      </c>
      <c r="M3" s="106">
        <v>0</v>
      </c>
      <c r="N3" s="106">
        <v>0</v>
      </c>
      <c r="O3" s="106">
        <v>0.8</v>
      </c>
      <c r="P3" s="106">
        <v>0.8</v>
      </c>
      <c r="Q3" s="106">
        <v>0</v>
      </c>
      <c r="R3" s="106">
        <v>0</v>
      </c>
      <c r="S3" s="106">
        <v>0</v>
      </c>
      <c r="T3" s="106">
        <v>0</v>
      </c>
      <c r="U3" s="106">
        <v>0</v>
      </c>
      <c r="V3" s="106">
        <v>0</v>
      </c>
      <c r="W3" s="106">
        <v>0</v>
      </c>
      <c r="X3" s="106">
        <v>0</v>
      </c>
      <c r="Y3" s="106">
        <v>0</v>
      </c>
      <c r="Z3" s="106">
        <v>0</v>
      </c>
      <c r="AA3" s="106">
        <v>0</v>
      </c>
      <c r="AB3" s="106">
        <v>0</v>
      </c>
      <c r="AC3" s="106">
        <v>0</v>
      </c>
      <c r="AD3" s="106">
        <v>0</v>
      </c>
      <c r="AE3" s="106">
        <v>0</v>
      </c>
      <c r="AF3" s="106">
        <v>0</v>
      </c>
      <c r="AG3" s="106">
        <v>0</v>
      </c>
      <c r="AH3" s="106">
        <v>0</v>
      </c>
      <c r="AI3" s="106">
        <v>0</v>
      </c>
      <c r="AJ3" s="106">
        <v>0</v>
      </c>
    </row>
    <row r="4" spans="1:36" customFormat="1" x14ac:dyDescent="0.15">
      <c r="A4" s="183" t="s">
        <v>194</v>
      </c>
      <c r="B4" s="106">
        <v>0.8</v>
      </c>
      <c r="C4" s="106">
        <v>0</v>
      </c>
      <c r="D4" s="106">
        <v>0.8</v>
      </c>
      <c r="E4" s="106">
        <v>0</v>
      </c>
      <c r="F4" s="106">
        <v>0</v>
      </c>
      <c r="G4" s="106">
        <v>0</v>
      </c>
      <c r="H4" s="106">
        <v>0</v>
      </c>
      <c r="I4" s="106">
        <v>0</v>
      </c>
      <c r="J4" s="106">
        <v>0.8</v>
      </c>
      <c r="K4" s="106">
        <v>0</v>
      </c>
      <c r="L4" s="106">
        <v>0</v>
      </c>
      <c r="M4" s="106">
        <v>0</v>
      </c>
      <c r="N4" s="106">
        <v>0</v>
      </c>
      <c r="O4" s="106">
        <v>0.8</v>
      </c>
      <c r="P4" s="106">
        <v>0.8</v>
      </c>
      <c r="Q4" s="106">
        <v>0</v>
      </c>
      <c r="R4" s="106">
        <v>0</v>
      </c>
      <c r="S4" s="106">
        <v>0</v>
      </c>
      <c r="T4" s="106">
        <v>0</v>
      </c>
      <c r="U4" s="106">
        <v>0</v>
      </c>
      <c r="V4" s="106">
        <v>0</v>
      </c>
      <c r="W4" s="106">
        <v>0</v>
      </c>
      <c r="X4" s="106">
        <v>0</v>
      </c>
      <c r="Y4" s="106">
        <v>0</v>
      </c>
      <c r="Z4" s="106">
        <v>0</v>
      </c>
      <c r="AA4" s="106">
        <v>0</v>
      </c>
      <c r="AB4" s="106">
        <v>0</v>
      </c>
      <c r="AC4" s="106">
        <v>0</v>
      </c>
      <c r="AD4" s="106">
        <v>0</v>
      </c>
      <c r="AE4" s="106">
        <v>0</v>
      </c>
      <c r="AF4" s="106">
        <v>0</v>
      </c>
      <c r="AG4" s="106">
        <v>0</v>
      </c>
      <c r="AH4" s="106">
        <v>0</v>
      </c>
      <c r="AI4" s="106">
        <v>0</v>
      </c>
      <c r="AJ4" s="106">
        <v>0</v>
      </c>
    </row>
    <row r="5" spans="1:36" customFormat="1" x14ac:dyDescent="0.15">
      <c r="A5" s="183" t="s">
        <v>195</v>
      </c>
      <c r="B5" s="106">
        <v>0.8</v>
      </c>
      <c r="C5" s="106">
        <v>0</v>
      </c>
      <c r="D5" s="106">
        <v>0</v>
      </c>
      <c r="E5" s="106">
        <v>0.8</v>
      </c>
      <c r="F5" s="106">
        <v>0</v>
      </c>
      <c r="G5" s="106">
        <v>0</v>
      </c>
      <c r="H5" s="106">
        <v>0</v>
      </c>
      <c r="I5" s="106">
        <v>0</v>
      </c>
      <c r="J5" s="106">
        <v>0</v>
      </c>
      <c r="K5" s="106">
        <v>0</v>
      </c>
      <c r="L5" s="106">
        <v>0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  <c r="R5" s="106">
        <v>0</v>
      </c>
      <c r="S5" s="106">
        <v>0</v>
      </c>
      <c r="T5" s="106">
        <v>0</v>
      </c>
      <c r="U5" s="106">
        <v>0</v>
      </c>
      <c r="V5" s="106">
        <v>0</v>
      </c>
      <c r="W5" s="106">
        <v>0</v>
      </c>
      <c r="X5" s="106">
        <v>0</v>
      </c>
      <c r="Y5" s="106">
        <v>0</v>
      </c>
      <c r="Z5" s="106">
        <v>0</v>
      </c>
      <c r="AA5" s="106">
        <v>0</v>
      </c>
      <c r="AB5" s="106">
        <v>0</v>
      </c>
      <c r="AC5" s="106">
        <v>0</v>
      </c>
      <c r="AD5" s="106">
        <v>0</v>
      </c>
      <c r="AE5" s="106">
        <v>0</v>
      </c>
      <c r="AF5" s="106">
        <v>0</v>
      </c>
      <c r="AG5" s="106">
        <v>0</v>
      </c>
      <c r="AH5" s="106">
        <v>0</v>
      </c>
      <c r="AI5" s="106">
        <v>0</v>
      </c>
      <c r="AJ5" s="106">
        <v>0</v>
      </c>
    </row>
    <row r="6" spans="1:36" customFormat="1" x14ac:dyDescent="0.15">
      <c r="A6" s="183" t="s">
        <v>196</v>
      </c>
      <c r="B6" s="106">
        <v>0.8</v>
      </c>
      <c r="C6" s="106">
        <v>0</v>
      </c>
      <c r="D6" s="106">
        <v>0.8</v>
      </c>
      <c r="E6" s="106">
        <v>0</v>
      </c>
      <c r="F6" s="106">
        <v>0.8</v>
      </c>
      <c r="G6" s="106">
        <v>0</v>
      </c>
      <c r="H6" s="106">
        <v>0</v>
      </c>
      <c r="I6" s="106">
        <v>0</v>
      </c>
      <c r="J6" s="106">
        <v>0.8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0.8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</row>
    <row r="7" spans="1:36" customFormat="1" x14ac:dyDescent="0.15">
      <c r="A7" s="183" t="s">
        <v>197</v>
      </c>
      <c r="B7" s="106">
        <v>0</v>
      </c>
      <c r="C7" s="106">
        <v>0</v>
      </c>
      <c r="D7" s="106">
        <v>0.8</v>
      </c>
      <c r="E7" s="106">
        <v>0.8</v>
      </c>
      <c r="F7" s="106">
        <v>0</v>
      </c>
      <c r="G7" s="106">
        <v>0.8</v>
      </c>
      <c r="H7" s="106">
        <v>0</v>
      </c>
      <c r="I7" s="106">
        <v>0</v>
      </c>
      <c r="J7" s="106">
        <v>0.8</v>
      </c>
      <c r="K7" s="106">
        <v>0</v>
      </c>
      <c r="L7" s="106">
        <v>0</v>
      </c>
      <c r="M7" s="106">
        <v>0</v>
      </c>
      <c r="N7" s="106">
        <v>0</v>
      </c>
      <c r="O7" s="106">
        <v>0.8</v>
      </c>
      <c r="P7" s="106">
        <v>0.8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</row>
    <row r="8" spans="1:36" customFormat="1" x14ac:dyDescent="0.15">
      <c r="A8" s="183" t="s">
        <v>198</v>
      </c>
      <c r="B8" s="106">
        <v>0</v>
      </c>
      <c r="C8" s="106">
        <v>0</v>
      </c>
      <c r="D8" s="106">
        <v>0.8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0.8</v>
      </c>
      <c r="P8" s="106">
        <v>0.8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</row>
    <row r="9" spans="1:36" customFormat="1" x14ac:dyDescent="0.15">
      <c r="A9" s="183" t="s">
        <v>199</v>
      </c>
      <c r="B9" s="106">
        <v>0</v>
      </c>
      <c r="C9" s="106">
        <v>0.8</v>
      </c>
      <c r="D9" s="106">
        <v>0.8</v>
      </c>
      <c r="E9" s="106">
        <v>0.8</v>
      </c>
      <c r="F9" s="106">
        <v>0</v>
      </c>
      <c r="G9" s="106">
        <v>0</v>
      </c>
      <c r="H9" s="106">
        <v>0</v>
      </c>
      <c r="I9" s="106">
        <v>0</v>
      </c>
      <c r="J9" s="106">
        <v>0.8</v>
      </c>
      <c r="K9" s="106">
        <v>0</v>
      </c>
      <c r="L9" s="106">
        <v>0</v>
      </c>
      <c r="M9" s="106">
        <v>0</v>
      </c>
      <c r="N9" s="106">
        <v>0</v>
      </c>
      <c r="O9" s="106">
        <v>0.8</v>
      </c>
      <c r="P9" s="106">
        <v>0.8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</row>
    <row r="10" spans="1:36" customFormat="1" x14ac:dyDescent="0.15">
      <c r="A10" s="183" t="s">
        <v>200</v>
      </c>
      <c r="B10" s="106">
        <v>0</v>
      </c>
      <c r="C10" s="106">
        <v>0.8</v>
      </c>
      <c r="D10" s="106">
        <v>0.8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0.8</v>
      </c>
      <c r="K10" s="106">
        <v>0</v>
      </c>
      <c r="L10" s="106">
        <v>0</v>
      </c>
      <c r="M10" s="106">
        <v>0</v>
      </c>
      <c r="N10" s="106">
        <v>0</v>
      </c>
      <c r="O10" s="106">
        <v>0.8</v>
      </c>
      <c r="P10" s="106">
        <v>0.8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</row>
    <row r="11" spans="1:36" customFormat="1" x14ac:dyDescent="0.15">
      <c r="A11" s="183" t="s">
        <v>201</v>
      </c>
      <c r="B11" s="106">
        <v>0</v>
      </c>
      <c r="C11" s="106">
        <v>0</v>
      </c>
      <c r="D11" s="106">
        <v>0.8</v>
      </c>
      <c r="E11" s="106">
        <v>0.8</v>
      </c>
      <c r="F11" s="106">
        <v>0</v>
      </c>
      <c r="G11" s="106">
        <v>0</v>
      </c>
      <c r="H11" s="106">
        <v>0</v>
      </c>
      <c r="I11" s="106">
        <v>0</v>
      </c>
      <c r="J11" s="106">
        <v>0.8</v>
      </c>
      <c r="K11" s="106">
        <v>0</v>
      </c>
      <c r="L11" s="106">
        <v>0</v>
      </c>
      <c r="M11" s="106">
        <v>0</v>
      </c>
      <c r="N11" s="106">
        <v>0</v>
      </c>
      <c r="O11" s="106">
        <v>0.8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</row>
    <row r="12" spans="1:36" customFormat="1" x14ac:dyDescent="0.15">
      <c r="A12" s="183" t="s">
        <v>202</v>
      </c>
      <c r="B12" s="106">
        <v>0</v>
      </c>
      <c r="C12" s="106">
        <v>0</v>
      </c>
      <c r="D12" s="106">
        <v>0</v>
      </c>
      <c r="E12" s="106">
        <v>0.8</v>
      </c>
      <c r="F12" s="106">
        <v>0.8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0.8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</row>
    <row r="13" spans="1:36" customFormat="1" x14ac:dyDescent="0.15">
      <c r="A13" s="183" t="s">
        <v>203</v>
      </c>
      <c r="B13" s="106">
        <v>0.8</v>
      </c>
      <c r="C13" s="106">
        <v>0.8</v>
      </c>
      <c r="D13" s="106">
        <v>0.8</v>
      </c>
      <c r="E13" s="106">
        <v>0.8</v>
      </c>
      <c r="F13" s="106">
        <v>0.8</v>
      </c>
      <c r="G13" s="106">
        <v>0</v>
      </c>
      <c r="H13" s="106">
        <v>0</v>
      </c>
      <c r="I13" s="106">
        <v>0</v>
      </c>
      <c r="J13" s="106">
        <v>0.8</v>
      </c>
      <c r="K13" s="106">
        <v>0</v>
      </c>
      <c r="L13" s="106">
        <v>0</v>
      </c>
      <c r="M13" s="106">
        <v>0.8</v>
      </c>
      <c r="N13" s="106">
        <v>0.8</v>
      </c>
      <c r="O13" s="106">
        <v>0.8</v>
      </c>
      <c r="P13" s="106">
        <v>0</v>
      </c>
      <c r="Q13" s="106">
        <v>0</v>
      </c>
      <c r="R13" s="106">
        <v>0</v>
      </c>
      <c r="S13" s="106">
        <v>0</v>
      </c>
      <c r="T13" s="106">
        <v>0.8</v>
      </c>
      <c r="U13" s="106">
        <v>0.8</v>
      </c>
      <c r="V13" s="106">
        <v>0</v>
      </c>
      <c r="W13" s="106">
        <v>0</v>
      </c>
      <c r="X13" s="106">
        <v>0.8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</row>
    <row r="14" spans="1:36" customFormat="1" x14ac:dyDescent="0.15">
      <c r="A14" s="183" t="s">
        <v>204</v>
      </c>
      <c r="B14" s="106">
        <v>0</v>
      </c>
      <c r="C14" s="106">
        <v>0</v>
      </c>
      <c r="D14" s="106">
        <v>0.8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</row>
    <row r="15" spans="1:36" customFormat="1" x14ac:dyDescent="0.15">
      <c r="A15" s="183" t="s">
        <v>205</v>
      </c>
      <c r="B15" s="106">
        <v>0</v>
      </c>
      <c r="C15" s="106">
        <v>0.8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0.8</v>
      </c>
      <c r="K15" s="106">
        <v>0</v>
      </c>
      <c r="L15" s="106">
        <v>0</v>
      </c>
      <c r="M15" s="106">
        <v>0</v>
      </c>
      <c r="N15" s="106">
        <v>0</v>
      </c>
      <c r="O15" s="106">
        <v>0.8</v>
      </c>
      <c r="P15" s="106">
        <v>0.8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</row>
    <row r="16" spans="1:36" customFormat="1" x14ac:dyDescent="0.15">
      <c r="A16" s="183" t="s">
        <v>206</v>
      </c>
      <c r="B16" s="106">
        <v>0</v>
      </c>
      <c r="C16" s="106">
        <v>0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0.8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</row>
    <row r="17" spans="1:36" customFormat="1" x14ac:dyDescent="0.15">
      <c r="A17" s="183" t="s">
        <v>207</v>
      </c>
      <c r="B17" s="106">
        <v>0</v>
      </c>
      <c r="C17" s="106">
        <v>0.8</v>
      </c>
      <c r="D17" s="106">
        <v>0.8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0.8</v>
      </c>
      <c r="K17" s="106">
        <v>0</v>
      </c>
      <c r="L17" s="106">
        <v>0</v>
      </c>
      <c r="M17" s="106">
        <v>0</v>
      </c>
      <c r="N17" s="106">
        <v>0</v>
      </c>
      <c r="O17" s="106">
        <v>0.8</v>
      </c>
      <c r="P17" s="106">
        <v>0.8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</row>
    <row r="18" spans="1:36" customFormat="1" x14ac:dyDescent="0.15">
      <c r="A18" s="183" t="s">
        <v>208</v>
      </c>
      <c r="B18" s="106">
        <v>0</v>
      </c>
      <c r="C18" s="106">
        <v>0</v>
      </c>
      <c r="D18" s="106">
        <v>0.8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0.8</v>
      </c>
      <c r="K18" s="106">
        <v>0</v>
      </c>
      <c r="L18" s="106">
        <v>0</v>
      </c>
      <c r="M18" s="106">
        <v>0</v>
      </c>
      <c r="N18" s="106">
        <v>0.8</v>
      </c>
      <c r="O18" s="106">
        <v>0.8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</row>
    <row r="19" spans="1:36" customFormat="1" x14ac:dyDescent="0.15">
      <c r="A19" s="183" t="s">
        <v>209</v>
      </c>
      <c r="B19" s="106">
        <v>0</v>
      </c>
      <c r="C19" s="106">
        <v>0.8</v>
      </c>
      <c r="D19" s="106">
        <v>0.8</v>
      </c>
      <c r="E19" s="106">
        <v>0.8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0.8</v>
      </c>
      <c r="O19" s="106">
        <v>0.8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</row>
    <row r="20" spans="1:36" customFormat="1" x14ac:dyDescent="0.15">
      <c r="A20" s="183" t="s">
        <v>210</v>
      </c>
      <c r="B20" s="106">
        <v>0</v>
      </c>
      <c r="C20" s="106">
        <v>0.8</v>
      </c>
      <c r="D20" s="106">
        <v>0.8</v>
      </c>
      <c r="E20" s="106">
        <v>0.8</v>
      </c>
      <c r="F20" s="106">
        <v>0</v>
      </c>
      <c r="G20" s="106">
        <v>0</v>
      </c>
      <c r="H20" s="106">
        <v>0.8</v>
      </c>
      <c r="I20" s="106">
        <v>0</v>
      </c>
      <c r="J20" s="106">
        <v>0.8</v>
      </c>
      <c r="K20" s="106">
        <v>0</v>
      </c>
      <c r="L20" s="106">
        <v>0</v>
      </c>
      <c r="M20" s="106">
        <v>0</v>
      </c>
      <c r="N20" s="106">
        <v>0.8</v>
      </c>
      <c r="O20" s="106">
        <v>0.8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0.8</v>
      </c>
      <c r="X20" s="106">
        <v>0</v>
      </c>
      <c r="Y20" s="106">
        <v>0.8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</row>
    <row r="21" spans="1:36" customFormat="1" x14ac:dyDescent="0.15">
      <c r="A21" s="183" t="s">
        <v>211</v>
      </c>
      <c r="B21" s="106">
        <v>0</v>
      </c>
      <c r="C21" s="106">
        <v>0.8</v>
      </c>
      <c r="D21" s="106">
        <v>0.8</v>
      </c>
      <c r="E21" s="106">
        <v>0</v>
      </c>
      <c r="F21" s="106">
        <v>0.8</v>
      </c>
      <c r="G21" s="106">
        <v>0</v>
      </c>
      <c r="H21" s="106">
        <v>0</v>
      </c>
      <c r="I21" s="106">
        <v>0</v>
      </c>
      <c r="J21" s="106">
        <v>0.8</v>
      </c>
      <c r="K21" s="106">
        <v>0</v>
      </c>
      <c r="L21" s="106">
        <v>0</v>
      </c>
      <c r="M21" s="106">
        <v>0</v>
      </c>
      <c r="N21" s="106">
        <v>0</v>
      </c>
      <c r="O21" s="106">
        <v>0.8</v>
      </c>
      <c r="P21" s="106">
        <v>0.8</v>
      </c>
      <c r="Q21" s="106">
        <v>0</v>
      </c>
      <c r="R21" s="106">
        <v>0</v>
      </c>
      <c r="S21" s="106">
        <v>0</v>
      </c>
      <c r="T21" s="106">
        <v>0</v>
      </c>
      <c r="U21" s="106">
        <v>0.8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</row>
    <row r="22" spans="1:36" customFormat="1" x14ac:dyDescent="0.15">
      <c r="A22" s="183" t="s">
        <v>212</v>
      </c>
      <c r="B22" s="106">
        <v>0</v>
      </c>
      <c r="C22" s="106">
        <v>0.8</v>
      </c>
      <c r="D22" s="106">
        <v>0.8</v>
      </c>
      <c r="E22" s="106">
        <v>0.8</v>
      </c>
      <c r="F22" s="106">
        <v>0.8</v>
      </c>
      <c r="G22" s="106">
        <v>0</v>
      </c>
      <c r="H22" s="106">
        <v>0.8</v>
      </c>
      <c r="I22" s="106">
        <v>0.8</v>
      </c>
      <c r="J22" s="106">
        <v>0</v>
      </c>
      <c r="K22" s="106">
        <v>0.8</v>
      </c>
      <c r="L22" s="106">
        <v>0.8</v>
      </c>
      <c r="M22" s="106">
        <v>0.8</v>
      </c>
      <c r="N22" s="106">
        <v>0</v>
      </c>
      <c r="O22" s="106">
        <v>0</v>
      </c>
      <c r="P22" s="106">
        <v>0.8</v>
      </c>
      <c r="Q22" s="106">
        <v>0</v>
      </c>
      <c r="R22" s="106">
        <v>0</v>
      </c>
      <c r="S22" s="106">
        <v>0.8</v>
      </c>
      <c r="T22" s="106">
        <v>0.8</v>
      </c>
      <c r="U22" s="106">
        <v>0</v>
      </c>
      <c r="V22" s="106">
        <v>0.8</v>
      </c>
      <c r="W22" s="106">
        <v>0</v>
      </c>
      <c r="X22" s="106">
        <v>0</v>
      </c>
      <c r="Y22" s="106">
        <v>0</v>
      </c>
      <c r="Z22" s="106">
        <v>0.8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</row>
    <row r="23" spans="1:36" customFormat="1" x14ac:dyDescent="0.15">
      <c r="A23" s="183" t="s">
        <v>213</v>
      </c>
      <c r="B23" s="106">
        <v>0.8</v>
      </c>
      <c r="C23" s="106">
        <v>0.8</v>
      </c>
      <c r="D23" s="106">
        <v>0.8</v>
      </c>
      <c r="E23" s="106">
        <v>0.8</v>
      </c>
      <c r="F23" s="106">
        <v>0.8</v>
      </c>
      <c r="G23" s="106">
        <v>0</v>
      </c>
      <c r="H23" s="106">
        <v>0</v>
      </c>
      <c r="I23" s="106">
        <v>0</v>
      </c>
      <c r="J23" s="106">
        <v>0.8</v>
      </c>
      <c r="K23" s="106">
        <v>0.8</v>
      </c>
      <c r="L23" s="106">
        <v>0</v>
      </c>
      <c r="M23" s="106">
        <v>0</v>
      </c>
      <c r="N23" s="106">
        <v>0.8</v>
      </c>
      <c r="O23" s="106">
        <v>0.8</v>
      </c>
      <c r="P23" s="106">
        <v>0.8</v>
      </c>
      <c r="Q23" s="106">
        <v>0.8</v>
      </c>
      <c r="R23" s="106">
        <v>0.8</v>
      </c>
      <c r="S23" s="106">
        <v>0</v>
      </c>
      <c r="T23" s="106">
        <v>0</v>
      </c>
      <c r="U23" s="106">
        <v>0.8</v>
      </c>
      <c r="V23" s="106">
        <v>0</v>
      </c>
      <c r="W23" s="106">
        <v>0.8</v>
      </c>
      <c r="X23" s="106">
        <v>0.8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</row>
    <row r="24" spans="1:36" customFormat="1" x14ac:dyDescent="0.15">
      <c r="A24" s="183" t="s">
        <v>214</v>
      </c>
      <c r="B24" s="106">
        <v>0</v>
      </c>
      <c r="C24" s="106">
        <v>0</v>
      </c>
      <c r="D24" s="106">
        <v>0.8</v>
      </c>
      <c r="E24" s="106">
        <v>0</v>
      </c>
      <c r="F24" s="106">
        <v>0.8</v>
      </c>
      <c r="G24" s="106">
        <v>0</v>
      </c>
      <c r="H24" s="106">
        <v>0</v>
      </c>
      <c r="I24" s="106">
        <v>0</v>
      </c>
      <c r="J24" s="106">
        <v>0.8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0.8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</row>
    <row r="25" spans="1:36" customFormat="1" x14ac:dyDescent="0.15">
      <c r="A25" s="183" t="s">
        <v>215</v>
      </c>
      <c r="B25" s="106">
        <v>0</v>
      </c>
      <c r="C25" s="106">
        <v>0</v>
      </c>
      <c r="D25" s="106">
        <v>0.8</v>
      </c>
      <c r="E25" s="106">
        <v>0.8</v>
      </c>
      <c r="F25" s="106">
        <v>0</v>
      </c>
      <c r="G25" s="106">
        <v>0.8</v>
      </c>
      <c r="H25" s="106">
        <v>0</v>
      </c>
      <c r="I25" s="106">
        <v>0</v>
      </c>
      <c r="J25" s="106">
        <v>0.8</v>
      </c>
      <c r="K25" s="106">
        <v>0</v>
      </c>
      <c r="L25" s="106">
        <v>0</v>
      </c>
      <c r="M25" s="106">
        <v>0</v>
      </c>
      <c r="N25" s="106">
        <v>0</v>
      </c>
      <c r="O25" s="106">
        <v>0.8</v>
      </c>
      <c r="P25" s="106">
        <v>0.8</v>
      </c>
      <c r="Q25" s="106">
        <v>0</v>
      </c>
      <c r="R25" s="106">
        <v>0</v>
      </c>
      <c r="S25" s="106">
        <v>0</v>
      </c>
      <c r="T25" s="106">
        <v>0</v>
      </c>
      <c r="U25" s="106">
        <v>0.8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</row>
    <row r="26" spans="1:36" customFormat="1" x14ac:dyDescent="0.15">
      <c r="A26" s="183" t="s">
        <v>216</v>
      </c>
      <c r="B26" s="106">
        <v>0.8</v>
      </c>
      <c r="C26" s="106">
        <v>0.8</v>
      </c>
      <c r="D26" s="106">
        <v>0.8</v>
      </c>
      <c r="E26" s="106">
        <v>0.8</v>
      </c>
      <c r="F26" s="106">
        <v>0.8</v>
      </c>
      <c r="G26" s="106">
        <v>0</v>
      </c>
      <c r="H26" s="106">
        <v>0.8</v>
      </c>
      <c r="I26" s="106">
        <v>0</v>
      </c>
      <c r="J26" s="106">
        <v>0.8</v>
      </c>
      <c r="K26" s="106">
        <v>0.8</v>
      </c>
      <c r="L26" s="106">
        <v>0</v>
      </c>
      <c r="M26" s="106">
        <v>0.8</v>
      </c>
      <c r="N26" s="106">
        <v>0.8</v>
      </c>
      <c r="O26" s="106">
        <v>0.8</v>
      </c>
      <c r="P26" s="106">
        <v>0.8</v>
      </c>
      <c r="Q26" s="106">
        <v>0.8</v>
      </c>
      <c r="R26" s="106">
        <v>0.8</v>
      </c>
      <c r="S26" s="106">
        <v>0.8</v>
      </c>
      <c r="T26" s="106">
        <v>0.8</v>
      </c>
      <c r="U26" s="106">
        <v>0.8</v>
      </c>
      <c r="V26" s="106">
        <v>0</v>
      </c>
      <c r="W26" s="106">
        <v>0.8</v>
      </c>
      <c r="X26" s="106">
        <v>0.8</v>
      </c>
      <c r="Y26" s="106">
        <v>0</v>
      </c>
      <c r="Z26" s="106">
        <v>0.8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</row>
    <row r="27" spans="1:36" customFormat="1" x14ac:dyDescent="0.15">
      <c r="A27" s="183" t="s">
        <v>217</v>
      </c>
      <c r="B27" s="106">
        <v>0.8</v>
      </c>
      <c r="C27" s="106">
        <v>0.8</v>
      </c>
      <c r="D27" s="106">
        <v>0.8</v>
      </c>
      <c r="E27" s="106">
        <v>0.8</v>
      </c>
      <c r="F27" s="106">
        <v>0.8</v>
      </c>
      <c r="G27" s="106">
        <v>0</v>
      </c>
      <c r="H27" s="106">
        <v>0.8</v>
      </c>
      <c r="I27" s="106">
        <v>0.8</v>
      </c>
      <c r="J27" s="106">
        <v>0.8</v>
      </c>
      <c r="K27" s="106">
        <v>0.8</v>
      </c>
      <c r="L27" s="106">
        <v>0.8</v>
      </c>
      <c r="M27" s="106">
        <v>0.8</v>
      </c>
      <c r="N27" s="106">
        <v>0.8</v>
      </c>
      <c r="O27" s="106">
        <v>0.8</v>
      </c>
      <c r="P27" s="106">
        <v>0.8</v>
      </c>
      <c r="Q27" s="106">
        <v>0.8</v>
      </c>
      <c r="R27" s="106">
        <v>0.8</v>
      </c>
      <c r="S27" s="106">
        <v>0.8</v>
      </c>
      <c r="T27" s="106">
        <v>0.8</v>
      </c>
      <c r="U27" s="106">
        <v>0.8</v>
      </c>
      <c r="V27" s="106">
        <v>0</v>
      </c>
      <c r="W27" s="106">
        <v>0.8</v>
      </c>
      <c r="X27" s="106">
        <v>0.8</v>
      </c>
      <c r="Y27" s="106">
        <v>0.8</v>
      </c>
      <c r="Z27" s="106">
        <v>0.8</v>
      </c>
      <c r="AA27" s="106">
        <v>0.8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</row>
    <row r="28" spans="1:36" customFormat="1" x14ac:dyDescent="0.15">
      <c r="A28" s="183" t="s">
        <v>218</v>
      </c>
      <c r="B28" s="106">
        <v>0</v>
      </c>
      <c r="C28" s="106">
        <v>0.8</v>
      </c>
      <c r="D28" s="106">
        <v>0</v>
      </c>
      <c r="E28" s="106">
        <v>0</v>
      </c>
      <c r="F28" s="106">
        <v>0</v>
      </c>
      <c r="G28" s="106">
        <v>0</v>
      </c>
      <c r="H28" s="106">
        <v>0.8</v>
      </c>
      <c r="I28" s="106">
        <v>0</v>
      </c>
      <c r="J28" s="106">
        <v>0</v>
      </c>
      <c r="K28" s="106">
        <v>0.8</v>
      </c>
      <c r="L28" s="106">
        <v>0.8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0.8</v>
      </c>
      <c r="S28" s="106">
        <v>0.8</v>
      </c>
      <c r="T28" s="106">
        <v>0</v>
      </c>
      <c r="U28" s="106">
        <v>0</v>
      </c>
      <c r="V28" s="106">
        <v>0</v>
      </c>
      <c r="W28" s="106">
        <v>0</v>
      </c>
      <c r="X28" s="106">
        <v>0.8</v>
      </c>
      <c r="Y28" s="106">
        <v>0</v>
      </c>
      <c r="Z28" s="106">
        <v>0.8</v>
      </c>
      <c r="AA28" s="106">
        <v>0</v>
      </c>
      <c r="AB28" s="106">
        <v>0.8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</row>
    <row r="29" spans="1:36" customFormat="1" x14ac:dyDescent="0.15">
      <c r="A29" s="183" t="s">
        <v>219</v>
      </c>
      <c r="B29" s="106">
        <v>0.8</v>
      </c>
      <c r="C29" s="106">
        <v>0.8</v>
      </c>
      <c r="D29" s="106">
        <v>0.8</v>
      </c>
      <c r="E29" s="106">
        <v>0.8</v>
      </c>
      <c r="F29" s="106">
        <v>0.8</v>
      </c>
      <c r="G29" s="106">
        <v>0.8</v>
      </c>
      <c r="H29" s="106">
        <v>0.8</v>
      </c>
      <c r="I29" s="106">
        <v>0.8</v>
      </c>
      <c r="J29" s="106">
        <v>0</v>
      </c>
      <c r="K29" s="106">
        <v>0.8</v>
      </c>
      <c r="L29" s="106">
        <v>0.8</v>
      </c>
      <c r="M29" s="106">
        <v>0.8</v>
      </c>
      <c r="N29" s="106">
        <v>0</v>
      </c>
      <c r="O29" s="106">
        <v>0.8</v>
      </c>
      <c r="P29" s="106">
        <v>0.8</v>
      </c>
      <c r="Q29" s="106">
        <v>0</v>
      </c>
      <c r="R29" s="106">
        <v>0.8</v>
      </c>
      <c r="S29" s="106">
        <v>0.8</v>
      </c>
      <c r="T29" s="106">
        <v>0.8</v>
      </c>
      <c r="U29" s="106">
        <v>0.8</v>
      </c>
      <c r="V29" s="106">
        <v>0.8</v>
      </c>
      <c r="W29" s="106">
        <v>0.8</v>
      </c>
      <c r="X29" s="106">
        <v>0.8</v>
      </c>
      <c r="Y29" s="106">
        <v>0.8</v>
      </c>
      <c r="Z29" s="106">
        <v>0.8</v>
      </c>
      <c r="AA29" s="106">
        <v>0.8</v>
      </c>
      <c r="AB29" s="106">
        <v>0.8</v>
      </c>
      <c r="AC29" s="106">
        <v>0.8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</row>
    <row r="30" spans="1:36" customFormat="1" x14ac:dyDescent="0.15">
      <c r="A30" s="183" t="s">
        <v>220</v>
      </c>
      <c r="B30" s="106">
        <v>0.8</v>
      </c>
      <c r="C30" s="106">
        <v>0</v>
      </c>
      <c r="D30" s="106">
        <v>0</v>
      </c>
      <c r="E30" s="106">
        <v>0</v>
      </c>
      <c r="F30" s="106">
        <v>0</v>
      </c>
      <c r="G30" s="106">
        <v>0.8</v>
      </c>
      <c r="H30" s="106">
        <v>0.8</v>
      </c>
      <c r="I30" s="106">
        <v>0.8</v>
      </c>
      <c r="J30" s="106">
        <v>0</v>
      </c>
      <c r="K30" s="106">
        <v>0.8</v>
      </c>
      <c r="L30" s="106">
        <v>0.8</v>
      </c>
      <c r="M30" s="106">
        <v>0.8</v>
      </c>
      <c r="N30" s="106">
        <v>0</v>
      </c>
      <c r="O30" s="106">
        <v>0</v>
      </c>
      <c r="P30" s="106">
        <v>0</v>
      </c>
      <c r="Q30" s="106">
        <v>0</v>
      </c>
      <c r="R30" s="106">
        <v>0.8</v>
      </c>
      <c r="S30" s="106">
        <v>0.8</v>
      </c>
      <c r="T30" s="106">
        <v>0</v>
      </c>
      <c r="U30" s="106">
        <v>0</v>
      </c>
      <c r="V30" s="106">
        <v>0.8</v>
      </c>
      <c r="W30" s="106">
        <v>0.8</v>
      </c>
      <c r="X30" s="106">
        <v>0.8</v>
      </c>
      <c r="Y30" s="106">
        <v>0.8</v>
      </c>
      <c r="Z30" s="106">
        <v>0.8</v>
      </c>
      <c r="AA30" s="106">
        <v>0</v>
      </c>
      <c r="AB30" s="106">
        <v>0.8</v>
      </c>
      <c r="AC30" s="106">
        <v>0.8</v>
      </c>
      <c r="AD30" s="106">
        <v>0</v>
      </c>
      <c r="AE30" s="106">
        <v>0.8</v>
      </c>
      <c r="AF30" s="106">
        <v>0</v>
      </c>
      <c r="AG30" s="106">
        <v>0.8</v>
      </c>
      <c r="AH30" s="106">
        <v>0</v>
      </c>
      <c r="AI30" s="106">
        <v>0</v>
      </c>
      <c r="AJ30" s="106">
        <v>0</v>
      </c>
    </row>
    <row r="31" spans="1:36" customFormat="1" x14ac:dyDescent="0.15">
      <c r="A31" s="183" t="s">
        <v>221</v>
      </c>
      <c r="B31" s="106">
        <v>0</v>
      </c>
      <c r="C31" s="106">
        <v>0</v>
      </c>
      <c r="D31" s="106">
        <v>0</v>
      </c>
      <c r="E31" s="106">
        <v>0</v>
      </c>
      <c r="F31" s="106">
        <v>0.8</v>
      </c>
      <c r="G31" s="106">
        <v>0.8</v>
      </c>
      <c r="H31" s="106">
        <v>0.8</v>
      </c>
      <c r="I31" s="106">
        <v>0.8</v>
      </c>
      <c r="J31" s="106">
        <v>0</v>
      </c>
      <c r="K31" s="106">
        <v>0.8</v>
      </c>
      <c r="L31" s="106">
        <v>0.8</v>
      </c>
      <c r="M31" s="106">
        <v>0</v>
      </c>
      <c r="N31" s="106">
        <v>0</v>
      </c>
      <c r="O31" s="106">
        <v>0</v>
      </c>
      <c r="P31" s="106">
        <v>0.8</v>
      </c>
      <c r="Q31" s="106">
        <v>0.8</v>
      </c>
      <c r="R31" s="106">
        <v>0.8</v>
      </c>
      <c r="S31" s="106">
        <v>0.8</v>
      </c>
      <c r="T31" s="106">
        <v>0.8</v>
      </c>
      <c r="U31" s="106">
        <v>0.8</v>
      </c>
      <c r="V31" s="106">
        <v>0</v>
      </c>
      <c r="W31" s="106">
        <v>0.8</v>
      </c>
      <c r="X31" s="106">
        <v>0.8</v>
      </c>
      <c r="Y31" s="106">
        <v>0.8</v>
      </c>
      <c r="Z31" s="106">
        <v>0.8</v>
      </c>
      <c r="AA31" s="106">
        <v>0.8</v>
      </c>
      <c r="AB31" s="106">
        <v>0</v>
      </c>
      <c r="AC31" s="106">
        <v>0</v>
      </c>
      <c r="AD31" s="106">
        <v>0</v>
      </c>
      <c r="AE31" s="106">
        <v>0.8</v>
      </c>
      <c r="AF31" s="106">
        <v>0.8</v>
      </c>
      <c r="AG31" s="106">
        <v>0.8</v>
      </c>
      <c r="AH31" s="106">
        <v>0</v>
      </c>
      <c r="AI31" s="106">
        <v>0</v>
      </c>
      <c r="AJ31" s="106">
        <v>0</v>
      </c>
    </row>
    <row r="32" spans="1:36" customFormat="1" x14ac:dyDescent="0.15">
      <c r="A32" s="183" t="s">
        <v>222</v>
      </c>
      <c r="B32" s="106">
        <v>0</v>
      </c>
      <c r="C32" s="106">
        <v>0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0.8</v>
      </c>
      <c r="Q32" s="106">
        <v>0</v>
      </c>
      <c r="R32" s="106">
        <v>0.8</v>
      </c>
      <c r="S32" s="106">
        <v>0.8</v>
      </c>
      <c r="T32" s="106">
        <v>0</v>
      </c>
      <c r="U32" s="106">
        <v>0</v>
      </c>
      <c r="V32" s="106">
        <v>0</v>
      </c>
      <c r="W32" s="106">
        <v>0.8</v>
      </c>
      <c r="X32" s="106">
        <v>0.8</v>
      </c>
      <c r="Y32" s="106">
        <v>0.8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0.8</v>
      </c>
      <c r="AG32" s="106">
        <v>0</v>
      </c>
      <c r="AH32" s="106">
        <v>0</v>
      </c>
      <c r="AI32" s="106">
        <v>0</v>
      </c>
      <c r="AJ32" s="106">
        <v>0</v>
      </c>
    </row>
    <row r="33" spans="1:36" x14ac:dyDescent="0.15">
      <c r="A33" s="183" t="s">
        <v>223</v>
      </c>
      <c r="B33" s="106">
        <v>0.8</v>
      </c>
      <c r="C33" s="106">
        <v>0.8</v>
      </c>
      <c r="D33" s="106">
        <v>0</v>
      </c>
      <c r="E33" s="106">
        <v>0</v>
      </c>
      <c r="F33" s="106">
        <v>0.8</v>
      </c>
      <c r="G33" s="106">
        <v>0.8</v>
      </c>
      <c r="H33" s="106">
        <v>0.8</v>
      </c>
      <c r="I33" s="106">
        <v>0.8</v>
      </c>
      <c r="J33" s="106">
        <v>0.8</v>
      </c>
      <c r="K33" s="106">
        <v>0.8</v>
      </c>
      <c r="L33" s="106">
        <v>0.8</v>
      </c>
      <c r="M33" s="106">
        <v>0</v>
      </c>
      <c r="N33" s="106">
        <v>0</v>
      </c>
      <c r="O33" s="106">
        <v>0</v>
      </c>
      <c r="P33" s="106">
        <v>0.8</v>
      </c>
      <c r="Q33" s="106">
        <v>0.8</v>
      </c>
      <c r="R33" s="106">
        <v>0.8</v>
      </c>
      <c r="S33" s="106">
        <v>0.8</v>
      </c>
      <c r="T33" s="106">
        <v>0.8</v>
      </c>
      <c r="U33" s="106">
        <v>0.8</v>
      </c>
      <c r="V33" s="106">
        <v>0</v>
      </c>
      <c r="W33" s="106">
        <v>0.8</v>
      </c>
      <c r="X33" s="106">
        <v>0.8</v>
      </c>
      <c r="Y33" s="106">
        <v>0.8</v>
      </c>
      <c r="Z33" s="106">
        <v>0.8</v>
      </c>
      <c r="AA33" s="106">
        <v>0.8</v>
      </c>
      <c r="AB33" s="106">
        <v>0</v>
      </c>
      <c r="AC33" s="106">
        <v>0</v>
      </c>
      <c r="AD33" s="106">
        <v>0</v>
      </c>
      <c r="AE33" s="106">
        <v>0.8</v>
      </c>
      <c r="AF33" s="106">
        <v>0.8</v>
      </c>
      <c r="AG33" s="106">
        <v>0.8</v>
      </c>
      <c r="AH33" s="106">
        <v>0</v>
      </c>
      <c r="AI33" s="106">
        <v>0</v>
      </c>
      <c r="AJ33" s="106">
        <v>0</v>
      </c>
    </row>
    <row r="34" spans="1:36" x14ac:dyDescent="0.15">
      <c r="A34" s="183" t="s">
        <v>224</v>
      </c>
      <c r="B34" s="106">
        <v>0</v>
      </c>
      <c r="C34" s="106">
        <v>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0.8</v>
      </c>
      <c r="AB34" s="106">
        <v>0.8</v>
      </c>
      <c r="AC34" s="106">
        <v>0.8</v>
      </c>
      <c r="AD34" s="106">
        <v>0.8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</row>
    <row r="35" spans="1:36" x14ac:dyDescent="0.15">
      <c r="A35" s="183" t="s">
        <v>225</v>
      </c>
      <c r="B35" s="106">
        <v>0</v>
      </c>
      <c r="C35" s="106">
        <v>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0.8</v>
      </c>
      <c r="AB35" s="106">
        <v>0</v>
      </c>
      <c r="AC35" s="106">
        <v>0.8</v>
      </c>
      <c r="AD35" s="106">
        <v>0</v>
      </c>
      <c r="AE35" s="106">
        <v>0.8</v>
      </c>
      <c r="AF35" s="106">
        <v>0.8</v>
      </c>
      <c r="AG35" s="106">
        <v>0.8</v>
      </c>
      <c r="AH35" s="106">
        <v>0</v>
      </c>
      <c r="AI35" s="106">
        <v>0</v>
      </c>
      <c r="AJ35" s="106">
        <v>0</v>
      </c>
    </row>
    <row r="36" spans="1:36" x14ac:dyDescent="0.15">
      <c r="A36" s="183" t="s">
        <v>226</v>
      </c>
      <c r="B36" s="106">
        <v>0</v>
      </c>
      <c r="C36" s="106">
        <v>0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</row>
    <row r="37" spans="1:36" x14ac:dyDescent="0.15">
      <c r="A37" s="183" t="s">
        <v>233</v>
      </c>
      <c r="B37" s="106">
        <v>0</v>
      </c>
      <c r="C37" s="106">
        <v>0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0.8</v>
      </c>
      <c r="K37" s="106">
        <v>0</v>
      </c>
      <c r="L37" s="106">
        <v>0</v>
      </c>
      <c r="M37" s="106">
        <v>0.8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0.8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J37"/>
  <sheetViews>
    <sheetView workbookViewId="0">
      <selection activeCell="A3" sqref="A3"/>
    </sheetView>
  </sheetViews>
  <sheetFormatPr baseColWidth="10" defaultRowHeight="13" x14ac:dyDescent="0.15"/>
  <cols>
    <col min="1" max="1" width="23.83203125" style="106" bestFit="1" customWidth="1"/>
    <col min="2" max="36" width="2.33203125" style="106" customWidth="1"/>
    <col min="37" max="16384" width="10.83203125" style="106"/>
  </cols>
  <sheetData>
    <row r="1" spans="1:36" x14ac:dyDescent="0.15">
      <c r="A1" s="63" t="s">
        <v>139</v>
      </c>
      <c r="B1" s="186" t="s">
        <v>192</v>
      </c>
      <c r="C1" s="186" t="s">
        <v>193</v>
      </c>
      <c r="D1" s="186" t="s">
        <v>194</v>
      </c>
      <c r="E1" s="186" t="s">
        <v>195</v>
      </c>
      <c r="F1" s="186" t="s">
        <v>196</v>
      </c>
      <c r="G1" s="186" t="s">
        <v>197</v>
      </c>
      <c r="H1" s="186" t="s">
        <v>198</v>
      </c>
      <c r="I1" s="186" t="s">
        <v>199</v>
      </c>
      <c r="J1" s="186" t="s">
        <v>200</v>
      </c>
      <c r="K1" s="186" t="s">
        <v>201</v>
      </c>
      <c r="L1" s="186" t="s">
        <v>202</v>
      </c>
      <c r="M1" s="186" t="s">
        <v>203</v>
      </c>
      <c r="N1" s="186" t="s">
        <v>204</v>
      </c>
      <c r="O1" s="186" t="s">
        <v>205</v>
      </c>
      <c r="P1" s="186" t="s">
        <v>206</v>
      </c>
      <c r="Q1" s="186" t="s">
        <v>207</v>
      </c>
      <c r="R1" s="186" t="s">
        <v>208</v>
      </c>
      <c r="S1" s="186" t="s">
        <v>209</v>
      </c>
      <c r="T1" s="186" t="s">
        <v>210</v>
      </c>
      <c r="U1" s="186" t="s">
        <v>211</v>
      </c>
      <c r="V1" s="186" t="s">
        <v>212</v>
      </c>
      <c r="W1" s="186" t="s">
        <v>213</v>
      </c>
      <c r="X1" s="186" t="s">
        <v>214</v>
      </c>
      <c r="Y1" s="186" t="s">
        <v>215</v>
      </c>
      <c r="Z1" s="186" t="s">
        <v>216</v>
      </c>
      <c r="AA1" s="186" t="s">
        <v>217</v>
      </c>
      <c r="AB1" s="186" t="s">
        <v>218</v>
      </c>
      <c r="AC1" s="186" t="s">
        <v>219</v>
      </c>
      <c r="AD1" s="186" t="s">
        <v>220</v>
      </c>
      <c r="AE1" s="186" t="s">
        <v>221</v>
      </c>
      <c r="AF1" s="186" t="s">
        <v>222</v>
      </c>
      <c r="AG1" s="186" t="s">
        <v>223</v>
      </c>
      <c r="AH1" s="186" t="s">
        <v>224</v>
      </c>
      <c r="AI1" s="186" t="s">
        <v>225</v>
      </c>
      <c r="AJ1" s="186" t="s">
        <v>226</v>
      </c>
    </row>
    <row r="2" spans="1:36" customFormat="1" x14ac:dyDescent="0.15">
      <c r="A2" s="185" t="s">
        <v>192</v>
      </c>
      <c r="B2" s="106">
        <v>0</v>
      </c>
      <c r="C2" s="106">
        <v>0</v>
      </c>
      <c r="D2" s="106">
        <v>1</v>
      </c>
      <c r="E2" s="106">
        <v>0</v>
      </c>
      <c r="F2" s="106">
        <v>0</v>
      </c>
      <c r="G2" s="106">
        <v>0</v>
      </c>
      <c r="H2" s="106">
        <v>0</v>
      </c>
      <c r="I2" s="106">
        <v>0</v>
      </c>
      <c r="J2" s="106">
        <v>0</v>
      </c>
      <c r="K2" s="106">
        <v>0</v>
      </c>
      <c r="L2" s="106">
        <v>0</v>
      </c>
      <c r="M2" s="106">
        <v>0</v>
      </c>
      <c r="N2" s="106">
        <v>0</v>
      </c>
      <c r="O2" s="106">
        <v>0</v>
      </c>
      <c r="P2" s="106">
        <v>0</v>
      </c>
      <c r="Q2" s="106">
        <v>0</v>
      </c>
      <c r="R2" s="106">
        <v>0</v>
      </c>
      <c r="S2" s="106">
        <v>0</v>
      </c>
      <c r="T2" s="106">
        <v>0</v>
      </c>
      <c r="U2" s="106">
        <v>0</v>
      </c>
      <c r="V2" s="106">
        <v>0</v>
      </c>
      <c r="W2" s="106">
        <v>0</v>
      </c>
      <c r="X2" s="106">
        <v>0</v>
      </c>
      <c r="Y2" s="106">
        <v>0</v>
      </c>
      <c r="Z2" s="106">
        <v>0</v>
      </c>
      <c r="AA2" s="106">
        <v>0</v>
      </c>
      <c r="AB2" s="106">
        <v>0</v>
      </c>
      <c r="AC2" s="106">
        <v>0</v>
      </c>
      <c r="AD2" s="106">
        <v>0</v>
      </c>
      <c r="AE2" s="106">
        <v>0</v>
      </c>
      <c r="AF2" s="106">
        <v>0</v>
      </c>
      <c r="AG2" s="106">
        <v>0</v>
      </c>
      <c r="AH2" s="106">
        <v>0</v>
      </c>
      <c r="AI2" s="106">
        <v>0</v>
      </c>
      <c r="AJ2" s="106">
        <v>0</v>
      </c>
    </row>
    <row r="3" spans="1:36" customFormat="1" x14ac:dyDescent="0.15">
      <c r="A3" s="185" t="s">
        <v>193</v>
      </c>
      <c r="B3" s="106">
        <v>1</v>
      </c>
      <c r="C3" s="106">
        <v>1</v>
      </c>
      <c r="D3" s="106">
        <v>0</v>
      </c>
      <c r="E3" s="106">
        <v>0</v>
      </c>
      <c r="F3" s="106">
        <v>1</v>
      </c>
      <c r="G3" s="106">
        <v>0</v>
      </c>
      <c r="H3" s="106">
        <v>0</v>
      </c>
      <c r="I3" s="106">
        <v>0</v>
      </c>
      <c r="J3" s="106">
        <v>1</v>
      </c>
      <c r="K3" s="106">
        <v>0</v>
      </c>
      <c r="L3" s="106">
        <v>0</v>
      </c>
      <c r="M3" s="106">
        <v>0</v>
      </c>
      <c r="N3" s="106">
        <v>0</v>
      </c>
      <c r="O3" s="106">
        <v>1</v>
      </c>
      <c r="P3" s="106">
        <v>1</v>
      </c>
      <c r="Q3" s="106">
        <v>0</v>
      </c>
      <c r="R3" s="106">
        <v>0</v>
      </c>
      <c r="S3" s="106">
        <v>0</v>
      </c>
      <c r="T3" s="106">
        <v>0</v>
      </c>
      <c r="U3" s="106">
        <v>0</v>
      </c>
      <c r="V3" s="106">
        <v>0</v>
      </c>
      <c r="W3" s="106">
        <v>0</v>
      </c>
      <c r="X3" s="106">
        <v>0</v>
      </c>
      <c r="Y3" s="106">
        <v>0</v>
      </c>
      <c r="Z3" s="106">
        <v>0</v>
      </c>
      <c r="AA3" s="106">
        <v>0</v>
      </c>
      <c r="AB3" s="106">
        <v>0</v>
      </c>
      <c r="AC3" s="106">
        <v>0</v>
      </c>
      <c r="AD3" s="106">
        <v>0</v>
      </c>
      <c r="AE3" s="106">
        <v>0</v>
      </c>
      <c r="AF3" s="106">
        <v>0</v>
      </c>
      <c r="AG3" s="106">
        <v>0</v>
      </c>
      <c r="AH3" s="106">
        <v>0</v>
      </c>
      <c r="AI3" s="106">
        <v>0</v>
      </c>
      <c r="AJ3" s="106">
        <v>0</v>
      </c>
    </row>
    <row r="4" spans="1:36" customFormat="1" x14ac:dyDescent="0.15">
      <c r="A4" s="185" t="s">
        <v>194</v>
      </c>
      <c r="B4" s="106">
        <v>1</v>
      </c>
      <c r="C4" s="106">
        <v>0</v>
      </c>
      <c r="D4" s="106">
        <v>1</v>
      </c>
      <c r="E4" s="106">
        <v>0</v>
      </c>
      <c r="F4" s="106">
        <v>0</v>
      </c>
      <c r="G4" s="106">
        <v>0</v>
      </c>
      <c r="H4" s="106">
        <v>0</v>
      </c>
      <c r="I4" s="106">
        <v>0</v>
      </c>
      <c r="J4" s="106">
        <v>1</v>
      </c>
      <c r="K4" s="106">
        <v>0</v>
      </c>
      <c r="L4" s="106">
        <v>0</v>
      </c>
      <c r="M4" s="106">
        <v>0</v>
      </c>
      <c r="N4" s="106">
        <v>0</v>
      </c>
      <c r="O4" s="106">
        <v>1</v>
      </c>
      <c r="P4" s="106">
        <v>1</v>
      </c>
      <c r="Q4" s="106">
        <v>0</v>
      </c>
      <c r="R4" s="106">
        <v>0</v>
      </c>
      <c r="S4" s="106">
        <v>0</v>
      </c>
      <c r="T4" s="106">
        <v>0</v>
      </c>
      <c r="U4" s="106">
        <v>0</v>
      </c>
      <c r="V4" s="106">
        <v>0</v>
      </c>
      <c r="W4" s="106">
        <v>0</v>
      </c>
      <c r="X4" s="106">
        <v>0</v>
      </c>
      <c r="Y4" s="106">
        <v>0</v>
      </c>
      <c r="Z4" s="106">
        <v>0</v>
      </c>
      <c r="AA4" s="106">
        <v>0</v>
      </c>
      <c r="AB4" s="106">
        <v>0</v>
      </c>
      <c r="AC4" s="106">
        <v>0</v>
      </c>
      <c r="AD4" s="106">
        <v>0</v>
      </c>
      <c r="AE4" s="106">
        <v>0</v>
      </c>
      <c r="AF4" s="106">
        <v>0</v>
      </c>
      <c r="AG4" s="106">
        <v>0</v>
      </c>
      <c r="AH4" s="106">
        <v>0</v>
      </c>
      <c r="AI4" s="106">
        <v>0</v>
      </c>
      <c r="AJ4" s="106">
        <v>0</v>
      </c>
    </row>
    <row r="5" spans="1:36" customFormat="1" x14ac:dyDescent="0.15">
      <c r="A5" s="185" t="s">
        <v>195</v>
      </c>
      <c r="B5" s="106">
        <v>1</v>
      </c>
      <c r="C5" s="106">
        <v>0</v>
      </c>
      <c r="D5" s="106">
        <v>0</v>
      </c>
      <c r="E5" s="106">
        <v>1</v>
      </c>
      <c r="F5" s="106">
        <v>0</v>
      </c>
      <c r="G5" s="106">
        <v>0</v>
      </c>
      <c r="H5" s="106">
        <v>0</v>
      </c>
      <c r="I5" s="106">
        <v>0</v>
      </c>
      <c r="J5" s="106">
        <v>0</v>
      </c>
      <c r="K5" s="106">
        <v>0</v>
      </c>
      <c r="L5" s="106">
        <v>0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  <c r="R5" s="106">
        <v>0</v>
      </c>
      <c r="S5" s="106">
        <v>0</v>
      </c>
      <c r="T5" s="106">
        <v>0</v>
      </c>
      <c r="U5" s="106">
        <v>0</v>
      </c>
      <c r="V5" s="106">
        <v>0</v>
      </c>
      <c r="W5" s="106">
        <v>0</v>
      </c>
      <c r="X5" s="106">
        <v>0</v>
      </c>
      <c r="Y5" s="106">
        <v>0</v>
      </c>
      <c r="Z5" s="106">
        <v>0</v>
      </c>
      <c r="AA5" s="106">
        <v>0</v>
      </c>
      <c r="AB5" s="106">
        <v>0</v>
      </c>
      <c r="AC5" s="106">
        <v>0</v>
      </c>
      <c r="AD5" s="106">
        <v>0</v>
      </c>
      <c r="AE5" s="106">
        <v>0</v>
      </c>
      <c r="AF5" s="106">
        <v>0</v>
      </c>
      <c r="AG5" s="106">
        <v>0</v>
      </c>
      <c r="AH5" s="106">
        <v>0</v>
      </c>
      <c r="AI5" s="106">
        <v>0</v>
      </c>
      <c r="AJ5" s="106">
        <v>0</v>
      </c>
    </row>
    <row r="6" spans="1:36" customFormat="1" x14ac:dyDescent="0.15">
      <c r="A6" s="185" t="s">
        <v>196</v>
      </c>
      <c r="B6" s="106">
        <v>1</v>
      </c>
      <c r="C6" s="106">
        <v>0</v>
      </c>
      <c r="D6" s="106">
        <v>1</v>
      </c>
      <c r="E6" s="106">
        <v>0</v>
      </c>
      <c r="F6" s="106">
        <v>1</v>
      </c>
      <c r="G6" s="106">
        <v>0</v>
      </c>
      <c r="H6" s="106">
        <v>0</v>
      </c>
      <c r="I6" s="106">
        <v>0</v>
      </c>
      <c r="J6" s="106">
        <v>1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1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</row>
    <row r="7" spans="1:36" customFormat="1" x14ac:dyDescent="0.15">
      <c r="A7" s="185" t="s">
        <v>197</v>
      </c>
      <c r="B7" s="106">
        <v>0</v>
      </c>
      <c r="C7" s="106">
        <v>0</v>
      </c>
      <c r="D7" s="106">
        <v>1</v>
      </c>
      <c r="E7" s="106">
        <v>1</v>
      </c>
      <c r="F7" s="106">
        <v>0</v>
      </c>
      <c r="G7" s="106">
        <v>1</v>
      </c>
      <c r="H7" s="106">
        <v>0</v>
      </c>
      <c r="I7" s="106">
        <v>0</v>
      </c>
      <c r="J7" s="106">
        <v>1</v>
      </c>
      <c r="K7" s="106">
        <v>0</v>
      </c>
      <c r="L7" s="106">
        <v>0</v>
      </c>
      <c r="M7" s="106">
        <v>0</v>
      </c>
      <c r="N7" s="106">
        <v>0</v>
      </c>
      <c r="O7" s="106">
        <v>1</v>
      </c>
      <c r="P7" s="106">
        <v>1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</row>
    <row r="8" spans="1:36" customFormat="1" x14ac:dyDescent="0.15">
      <c r="A8" s="185" t="s">
        <v>198</v>
      </c>
      <c r="B8" s="106">
        <v>0</v>
      </c>
      <c r="C8" s="106">
        <v>0</v>
      </c>
      <c r="D8" s="106">
        <v>1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1</v>
      </c>
      <c r="P8" s="106">
        <v>1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</row>
    <row r="9" spans="1:36" customFormat="1" x14ac:dyDescent="0.15">
      <c r="A9" s="185" t="s">
        <v>199</v>
      </c>
      <c r="B9" s="106">
        <v>0</v>
      </c>
      <c r="C9" s="106">
        <v>1</v>
      </c>
      <c r="D9" s="106">
        <v>1</v>
      </c>
      <c r="E9" s="106">
        <v>1</v>
      </c>
      <c r="F9" s="106">
        <v>0</v>
      </c>
      <c r="G9" s="106">
        <v>0</v>
      </c>
      <c r="H9" s="106">
        <v>0</v>
      </c>
      <c r="I9" s="106">
        <v>0</v>
      </c>
      <c r="J9" s="106">
        <v>1</v>
      </c>
      <c r="K9" s="106">
        <v>0</v>
      </c>
      <c r="L9" s="106">
        <v>0</v>
      </c>
      <c r="M9" s="106">
        <v>0</v>
      </c>
      <c r="N9" s="106">
        <v>0</v>
      </c>
      <c r="O9" s="106">
        <v>1</v>
      </c>
      <c r="P9" s="106">
        <v>1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</row>
    <row r="10" spans="1:36" customFormat="1" x14ac:dyDescent="0.15">
      <c r="A10" s="185" t="s">
        <v>200</v>
      </c>
      <c r="B10" s="106">
        <v>0</v>
      </c>
      <c r="C10" s="106">
        <v>1</v>
      </c>
      <c r="D10" s="106">
        <v>1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1</v>
      </c>
      <c r="K10" s="106">
        <v>0</v>
      </c>
      <c r="L10" s="106">
        <v>0</v>
      </c>
      <c r="M10" s="106">
        <v>0</v>
      </c>
      <c r="N10" s="106">
        <v>0</v>
      </c>
      <c r="O10" s="106">
        <v>1</v>
      </c>
      <c r="P10" s="106">
        <v>1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</row>
    <row r="11" spans="1:36" customFormat="1" x14ac:dyDescent="0.15">
      <c r="A11" s="185" t="s">
        <v>201</v>
      </c>
      <c r="B11" s="106">
        <v>0</v>
      </c>
      <c r="C11" s="106">
        <v>0</v>
      </c>
      <c r="D11" s="106">
        <v>1</v>
      </c>
      <c r="E11" s="106">
        <v>1</v>
      </c>
      <c r="F11" s="106">
        <v>0</v>
      </c>
      <c r="G11" s="106">
        <v>0</v>
      </c>
      <c r="H11" s="106">
        <v>0</v>
      </c>
      <c r="I11" s="106">
        <v>0</v>
      </c>
      <c r="J11" s="106">
        <v>1</v>
      </c>
      <c r="K11" s="106">
        <v>0</v>
      </c>
      <c r="L11" s="106">
        <v>0</v>
      </c>
      <c r="M11" s="106">
        <v>0</v>
      </c>
      <c r="N11" s="106">
        <v>0</v>
      </c>
      <c r="O11" s="106">
        <v>1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</row>
    <row r="12" spans="1:36" customFormat="1" x14ac:dyDescent="0.15">
      <c r="A12" s="185" t="s">
        <v>202</v>
      </c>
      <c r="B12" s="106">
        <v>0</v>
      </c>
      <c r="C12" s="106">
        <v>0</v>
      </c>
      <c r="D12" s="106">
        <v>0</v>
      </c>
      <c r="E12" s="106">
        <v>1</v>
      </c>
      <c r="F12" s="106">
        <v>1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1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</row>
    <row r="13" spans="1:36" customFormat="1" x14ac:dyDescent="0.15">
      <c r="A13" s="185" t="s">
        <v>203</v>
      </c>
      <c r="B13" s="106">
        <v>1</v>
      </c>
      <c r="C13" s="106">
        <v>1</v>
      </c>
      <c r="D13" s="106">
        <v>1</v>
      </c>
      <c r="E13" s="106">
        <v>1</v>
      </c>
      <c r="F13" s="106">
        <v>1</v>
      </c>
      <c r="G13" s="106">
        <v>0</v>
      </c>
      <c r="H13" s="106">
        <v>0</v>
      </c>
      <c r="I13" s="106">
        <v>0</v>
      </c>
      <c r="J13" s="106">
        <v>1</v>
      </c>
      <c r="K13" s="106">
        <v>0</v>
      </c>
      <c r="L13" s="106">
        <v>0</v>
      </c>
      <c r="M13" s="106">
        <v>1</v>
      </c>
      <c r="N13" s="106">
        <v>1</v>
      </c>
      <c r="O13" s="106">
        <v>1</v>
      </c>
      <c r="P13" s="106">
        <v>0</v>
      </c>
      <c r="Q13" s="106">
        <v>0</v>
      </c>
      <c r="R13" s="106">
        <v>0</v>
      </c>
      <c r="S13" s="106">
        <v>0</v>
      </c>
      <c r="T13" s="106">
        <v>1</v>
      </c>
      <c r="U13" s="106">
        <v>1</v>
      </c>
      <c r="V13" s="106">
        <v>0</v>
      </c>
      <c r="W13" s="106">
        <v>0</v>
      </c>
      <c r="X13" s="106">
        <v>1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</row>
    <row r="14" spans="1:36" customFormat="1" x14ac:dyDescent="0.15">
      <c r="A14" s="185" t="s">
        <v>204</v>
      </c>
      <c r="B14" s="106">
        <v>0</v>
      </c>
      <c r="C14" s="106">
        <v>0</v>
      </c>
      <c r="D14" s="106">
        <v>1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</row>
    <row r="15" spans="1:36" customFormat="1" x14ac:dyDescent="0.15">
      <c r="A15" s="185" t="s">
        <v>205</v>
      </c>
      <c r="B15" s="106">
        <v>0</v>
      </c>
      <c r="C15" s="106">
        <v>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1</v>
      </c>
      <c r="K15" s="106">
        <v>0</v>
      </c>
      <c r="L15" s="106">
        <v>0</v>
      </c>
      <c r="M15" s="106">
        <v>0</v>
      </c>
      <c r="N15" s="106">
        <v>0</v>
      </c>
      <c r="O15" s="106">
        <v>1</v>
      </c>
      <c r="P15" s="106">
        <v>1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</row>
    <row r="16" spans="1:36" customFormat="1" x14ac:dyDescent="0.15">
      <c r="A16" s="185" t="s">
        <v>206</v>
      </c>
      <c r="B16" s="106">
        <v>0</v>
      </c>
      <c r="C16" s="106">
        <v>0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1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</row>
    <row r="17" spans="1:36" customFormat="1" x14ac:dyDescent="0.15">
      <c r="A17" s="185" t="s">
        <v>207</v>
      </c>
      <c r="B17" s="106">
        <v>0</v>
      </c>
      <c r="C17" s="106">
        <v>1</v>
      </c>
      <c r="D17" s="106">
        <v>1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1</v>
      </c>
      <c r="K17" s="106">
        <v>0</v>
      </c>
      <c r="L17" s="106">
        <v>0</v>
      </c>
      <c r="M17" s="106">
        <v>0</v>
      </c>
      <c r="N17" s="106">
        <v>0</v>
      </c>
      <c r="O17" s="106">
        <v>1</v>
      </c>
      <c r="P17" s="106">
        <v>1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</row>
    <row r="18" spans="1:36" customFormat="1" x14ac:dyDescent="0.15">
      <c r="A18" s="185" t="s">
        <v>208</v>
      </c>
      <c r="B18" s="106">
        <v>0</v>
      </c>
      <c r="C18" s="106">
        <v>0</v>
      </c>
      <c r="D18" s="106">
        <v>1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1</v>
      </c>
      <c r="K18" s="106">
        <v>0</v>
      </c>
      <c r="L18" s="106">
        <v>0</v>
      </c>
      <c r="M18" s="106">
        <v>0</v>
      </c>
      <c r="N18" s="106">
        <v>1</v>
      </c>
      <c r="O18" s="106">
        <v>1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</row>
    <row r="19" spans="1:36" customFormat="1" x14ac:dyDescent="0.15">
      <c r="A19" s="185" t="s">
        <v>209</v>
      </c>
      <c r="B19" s="106">
        <v>0</v>
      </c>
      <c r="C19" s="106">
        <v>1</v>
      </c>
      <c r="D19" s="106">
        <v>1</v>
      </c>
      <c r="E19" s="106">
        <v>1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1</v>
      </c>
      <c r="O19" s="106">
        <v>1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</row>
    <row r="20" spans="1:36" customFormat="1" x14ac:dyDescent="0.15">
      <c r="A20" s="185" t="s">
        <v>210</v>
      </c>
      <c r="B20" s="106">
        <v>0</v>
      </c>
      <c r="C20" s="106">
        <v>1</v>
      </c>
      <c r="D20" s="106">
        <v>1</v>
      </c>
      <c r="E20" s="106">
        <v>1</v>
      </c>
      <c r="F20" s="106">
        <v>0</v>
      </c>
      <c r="G20" s="106">
        <v>0</v>
      </c>
      <c r="H20" s="106">
        <v>1</v>
      </c>
      <c r="I20" s="106">
        <v>0</v>
      </c>
      <c r="J20" s="106">
        <v>1</v>
      </c>
      <c r="K20" s="106">
        <v>0</v>
      </c>
      <c r="L20" s="106">
        <v>0</v>
      </c>
      <c r="M20" s="106">
        <v>0</v>
      </c>
      <c r="N20" s="106">
        <v>1</v>
      </c>
      <c r="O20" s="106">
        <v>1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1</v>
      </c>
      <c r="X20" s="106">
        <v>0</v>
      </c>
      <c r="Y20" s="106">
        <v>1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</row>
    <row r="21" spans="1:36" customFormat="1" x14ac:dyDescent="0.15">
      <c r="A21" s="185" t="s">
        <v>211</v>
      </c>
      <c r="B21" s="106">
        <v>0</v>
      </c>
      <c r="C21" s="106">
        <v>1</v>
      </c>
      <c r="D21" s="106">
        <v>1</v>
      </c>
      <c r="E21" s="106">
        <v>0</v>
      </c>
      <c r="F21" s="106">
        <v>1</v>
      </c>
      <c r="G21" s="106">
        <v>0</v>
      </c>
      <c r="H21" s="106">
        <v>0</v>
      </c>
      <c r="I21" s="106">
        <v>0</v>
      </c>
      <c r="J21" s="106">
        <v>1</v>
      </c>
      <c r="K21" s="106">
        <v>0</v>
      </c>
      <c r="L21" s="106">
        <v>0</v>
      </c>
      <c r="M21" s="106">
        <v>0</v>
      </c>
      <c r="N21" s="106">
        <v>0</v>
      </c>
      <c r="O21" s="106">
        <v>1</v>
      </c>
      <c r="P21" s="106">
        <v>1</v>
      </c>
      <c r="Q21" s="106">
        <v>0</v>
      </c>
      <c r="R21" s="106">
        <v>0</v>
      </c>
      <c r="S21" s="106">
        <v>0</v>
      </c>
      <c r="T21" s="106">
        <v>0</v>
      </c>
      <c r="U21" s="106">
        <v>1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</row>
    <row r="22" spans="1:36" customFormat="1" x14ac:dyDescent="0.15">
      <c r="A22" s="185" t="s">
        <v>212</v>
      </c>
      <c r="B22" s="106">
        <v>0</v>
      </c>
      <c r="C22" s="106">
        <v>1</v>
      </c>
      <c r="D22" s="106">
        <v>1</v>
      </c>
      <c r="E22" s="106">
        <v>1</v>
      </c>
      <c r="F22" s="106">
        <v>1</v>
      </c>
      <c r="G22" s="106">
        <v>0</v>
      </c>
      <c r="H22" s="106">
        <v>1</v>
      </c>
      <c r="I22" s="106">
        <v>1</v>
      </c>
      <c r="J22" s="106">
        <v>0</v>
      </c>
      <c r="K22" s="106">
        <v>1</v>
      </c>
      <c r="L22" s="106">
        <v>1</v>
      </c>
      <c r="M22" s="106">
        <v>1</v>
      </c>
      <c r="N22" s="106">
        <v>0</v>
      </c>
      <c r="O22" s="106">
        <v>0</v>
      </c>
      <c r="P22" s="106">
        <v>1</v>
      </c>
      <c r="Q22" s="106">
        <v>0</v>
      </c>
      <c r="R22" s="106">
        <v>0</v>
      </c>
      <c r="S22" s="106">
        <v>1</v>
      </c>
      <c r="T22" s="106">
        <v>1</v>
      </c>
      <c r="U22" s="106">
        <v>0</v>
      </c>
      <c r="V22" s="106">
        <v>1</v>
      </c>
      <c r="W22" s="106">
        <v>0</v>
      </c>
      <c r="X22" s="106">
        <v>0</v>
      </c>
      <c r="Y22" s="106">
        <v>0</v>
      </c>
      <c r="Z22" s="106">
        <v>1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</row>
    <row r="23" spans="1:36" customFormat="1" x14ac:dyDescent="0.15">
      <c r="A23" s="185" t="s">
        <v>213</v>
      </c>
      <c r="B23" s="106">
        <v>1</v>
      </c>
      <c r="C23" s="106">
        <v>1</v>
      </c>
      <c r="D23" s="106">
        <v>1</v>
      </c>
      <c r="E23" s="106">
        <v>1</v>
      </c>
      <c r="F23" s="106">
        <v>1</v>
      </c>
      <c r="G23" s="106">
        <v>0</v>
      </c>
      <c r="H23" s="106">
        <v>0</v>
      </c>
      <c r="I23" s="106">
        <v>0</v>
      </c>
      <c r="J23" s="106">
        <v>1</v>
      </c>
      <c r="K23" s="106">
        <v>1</v>
      </c>
      <c r="L23" s="106">
        <v>0</v>
      </c>
      <c r="M23" s="106">
        <v>0</v>
      </c>
      <c r="N23" s="106">
        <v>1</v>
      </c>
      <c r="O23" s="106">
        <v>1</v>
      </c>
      <c r="P23" s="106">
        <v>1</v>
      </c>
      <c r="Q23" s="106">
        <v>1</v>
      </c>
      <c r="R23" s="106">
        <v>1</v>
      </c>
      <c r="S23" s="106">
        <v>0</v>
      </c>
      <c r="T23" s="106">
        <v>0</v>
      </c>
      <c r="U23" s="106">
        <v>1</v>
      </c>
      <c r="V23" s="106">
        <v>0</v>
      </c>
      <c r="W23" s="106">
        <v>1</v>
      </c>
      <c r="X23" s="106">
        <v>1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</row>
    <row r="24" spans="1:36" customFormat="1" x14ac:dyDescent="0.15">
      <c r="A24" s="185" t="s">
        <v>214</v>
      </c>
      <c r="B24" s="106">
        <v>0</v>
      </c>
      <c r="C24" s="106">
        <v>0</v>
      </c>
      <c r="D24" s="106">
        <v>1</v>
      </c>
      <c r="E24" s="106">
        <v>0</v>
      </c>
      <c r="F24" s="106">
        <v>1</v>
      </c>
      <c r="G24" s="106">
        <v>0</v>
      </c>
      <c r="H24" s="106">
        <v>0</v>
      </c>
      <c r="I24" s="106">
        <v>0</v>
      </c>
      <c r="J24" s="106">
        <v>1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1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</row>
    <row r="25" spans="1:36" customFormat="1" x14ac:dyDescent="0.15">
      <c r="A25" s="185" t="s">
        <v>215</v>
      </c>
      <c r="B25" s="106">
        <v>0</v>
      </c>
      <c r="C25" s="106">
        <v>0</v>
      </c>
      <c r="D25" s="106">
        <v>1</v>
      </c>
      <c r="E25" s="106">
        <v>1</v>
      </c>
      <c r="F25" s="106">
        <v>0</v>
      </c>
      <c r="G25" s="106">
        <v>1</v>
      </c>
      <c r="H25" s="106">
        <v>0</v>
      </c>
      <c r="I25" s="106">
        <v>0</v>
      </c>
      <c r="J25" s="106">
        <v>1</v>
      </c>
      <c r="K25" s="106">
        <v>0</v>
      </c>
      <c r="L25" s="106">
        <v>0</v>
      </c>
      <c r="M25" s="106">
        <v>0</v>
      </c>
      <c r="N25" s="106">
        <v>0</v>
      </c>
      <c r="O25" s="106">
        <v>1</v>
      </c>
      <c r="P25" s="106">
        <v>1</v>
      </c>
      <c r="Q25" s="106">
        <v>0</v>
      </c>
      <c r="R25" s="106">
        <v>0</v>
      </c>
      <c r="S25" s="106">
        <v>0</v>
      </c>
      <c r="T25" s="106">
        <v>0</v>
      </c>
      <c r="U25" s="106">
        <v>1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</row>
    <row r="26" spans="1:36" customFormat="1" x14ac:dyDescent="0.15">
      <c r="A26" s="185" t="s">
        <v>216</v>
      </c>
      <c r="B26" s="106">
        <v>1</v>
      </c>
      <c r="C26" s="106">
        <v>1</v>
      </c>
      <c r="D26" s="106">
        <v>1</v>
      </c>
      <c r="E26" s="106">
        <v>1</v>
      </c>
      <c r="F26" s="106">
        <v>1</v>
      </c>
      <c r="G26" s="106">
        <v>0</v>
      </c>
      <c r="H26" s="106">
        <v>1</v>
      </c>
      <c r="I26" s="106">
        <v>0</v>
      </c>
      <c r="J26" s="106">
        <v>1</v>
      </c>
      <c r="K26" s="106">
        <v>1</v>
      </c>
      <c r="L26" s="106">
        <v>0</v>
      </c>
      <c r="M26" s="106">
        <v>1</v>
      </c>
      <c r="N26" s="106">
        <v>1</v>
      </c>
      <c r="O26" s="106">
        <v>1</v>
      </c>
      <c r="P26" s="106">
        <v>1</v>
      </c>
      <c r="Q26" s="106">
        <v>1</v>
      </c>
      <c r="R26" s="106">
        <v>1</v>
      </c>
      <c r="S26" s="106">
        <v>1</v>
      </c>
      <c r="T26" s="106">
        <v>1</v>
      </c>
      <c r="U26" s="106">
        <v>1</v>
      </c>
      <c r="V26" s="106">
        <v>0</v>
      </c>
      <c r="W26" s="106">
        <v>1</v>
      </c>
      <c r="X26" s="106">
        <v>1</v>
      </c>
      <c r="Y26" s="106">
        <v>0</v>
      </c>
      <c r="Z26" s="106">
        <v>1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</row>
    <row r="27" spans="1:36" customFormat="1" x14ac:dyDescent="0.15">
      <c r="A27" s="185" t="s">
        <v>217</v>
      </c>
      <c r="B27" s="106">
        <v>1</v>
      </c>
      <c r="C27" s="106">
        <v>1</v>
      </c>
      <c r="D27" s="106">
        <v>1</v>
      </c>
      <c r="E27" s="106">
        <v>1</v>
      </c>
      <c r="F27" s="106">
        <v>1</v>
      </c>
      <c r="G27" s="106">
        <v>0</v>
      </c>
      <c r="H27" s="106">
        <v>1</v>
      </c>
      <c r="I27" s="106">
        <v>1</v>
      </c>
      <c r="J27" s="106">
        <v>1</v>
      </c>
      <c r="K27" s="106">
        <v>1</v>
      </c>
      <c r="L27" s="106">
        <v>1</v>
      </c>
      <c r="M27" s="106">
        <v>1</v>
      </c>
      <c r="N27" s="106">
        <v>1</v>
      </c>
      <c r="O27" s="106">
        <v>1</v>
      </c>
      <c r="P27" s="106">
        <v>1</v>
      </c>
      <c r="Q27" s="106">
        <v>1</v>
      </c>
      <c r="R27" s="106">
        <v>1</v>
      </c>
      <c r="S27" s="106">
        <v>1</v>
      </c>
      <c r="T27" s="106">
        <v>1</v>
      </c>
      <c r="U27" s="106">
        <v>1</v>
      </c>
      <c r="V27" s="106">
        <v>0</v>
      </c>
      <c r="W27" s="106">
        <v>1</v>
      </c>
      <c r="X27" s="106">
        <v>1</v>
      </c>
      <c r="Y27" s="106">
        <v>1</v>
      </c>
      <c r="Z27" s="106">
        <v>1</v>
      </c>
      <c r="AA27" s="106">
        <v>1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</row>
    <row r="28" spans="1:36" customFormat="1" x14ac:dyDescent="0.15">
      <c r="A28" s="185" t="s">
        <v>218</v>
      </c>
      <c r="B28" s="106">
        <v>0</v>
      </c>
      <c r="C28" s="106">
        <v>1</v>
      </c>
      <c r="D28" s="106">
        <v>0</v>
      </c>
      <c r="E28" s="106">
        <v>0</v>
      </c>
      <c r="F28" s="106">
        <v>0</v>
      </c>
      <c r="G28" s="106">
        <v>0</v>
      </c>
      <c r="H28" s="106">
        <v>1</v>
      </c>
      <c r="I28" s="106">
        <v>0</v>
      </c>
      <c r="J28" s="106">
        <v>0</v>
      </c>
      <c r="K28" s="106">
        <v>1</v>
      </c>
      <c r="L28" s="106">
        <v>1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1</v>
      </c>
      <c r="S28" s="106">
        <v>1</v>
      </c>
      <c r="T28" s="106">
        <v>0</v>
      </c>
      <c r="U28" s="106">
        <v>0</v>
      </c>
      <c r="V28" s="106">
        <v>0</v>
      </c>
      <c r="W28" s="106">
        <v>0</v>
      </c>
      <c r="X28" s="106">
        <v>1</v>
      </c>
      <c r="Y28" s="106">
        <v>0</v>
      </c>
      <c r="Z28" s="106">
        <v>1</v>
      </c>
      <c r="AA28" s="106">
        <v>0</v>
      </c>
      <c r="AB28" s="106">
        <v>1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</row>
    <row r="29" spans="1:36" customFormat="1" x14ac:dyDescent="0.15">
      <c r="A29" s="185" t="s">
        <v>219</v>
      </c>
      <c r="B29" s="106">
        <v>1</v>
      </c>
      <c r="C29" s="106">
        <v>1</v>
      </c>
      <c r="D29" s="106">
        <v>1</v>
      </c>
      <c r="E29" s="106">
        <v>1</v>
      </c>
      <c r="F29" s="106">
        <v>1</v>
      </c>
      <c r="G29" s="106">
        <v>1</v>
      </c>
      <c r="H29" s="106">
        <v>1</v>
      </c>
      <c r="I29" s="106">
        <v>1</v>
      </c>
      <c r="J29" s="106">
        <v>0</v>
      </c>
      <c r="K29" s="106">
        <v>1</v>
      </c>
      <c r="L29" s="106">
        <v>1</v>
      </c>
      <c r="M29" s="106">
        <v>1</v>
      </c>
      <c r="N29" s="106">
        <v>0</v>
      </c>
      <c r="O29" s="106">
        <v>1</v>
      </c>
      <c r="P29" s="106">
        <v>1</v>
      </c>
      <c r="Q29" s="106">
        <v>0</v>
      </c>
      <c r="R29" s="106">
        <v>1</v>
      </c>
      <c r="S29" s="106">
        <v>1</v>
      </c>
      <c r="T29" s="106">
        <v>1</v>
      </c>
      <c r="U29" s="106">
        <v>1</v>
      </c>
      <c r="V29" s="106">
        <v>1</v>
      </c>
      <c r="W29" s="106">
        <v>1</v>
      </c>
      <c r="X29" s="106">
        <v>1</v>
      </c>
      <c r="Y29" s="106">
        <v>1</v>
      </c>
      <c r="Z29" s="106">
        <v>1</v>
      </c>
      <c r="AA29" s="106">
        <v>1</v>
      </c>
      <c r="AB29" s="106">
        <v>1</v>
      </c>
      <c r="AC29" s="106">
        <v>1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</row>
    <row r="30" spans="1:36" customFormat="1" x14ac:dyDescent="0.15">
      <c r="A30" s="185" t="s">
        <v>220</v>
      </c>
      <c r="B30" s="106">
        <v>1</v>
      </c>
      <c r="C30" s="106">
        <v>0</v>
      </c>
      <c r="D30" s="106">
        <v>0</v>
      </c>
      <c r="E30" s="106">
        <v>0</v>
      </c>
      <c r="F30" s="106">
        <v>0</v>
      </c>
      <c r="G30" s="106">
        <v>1</v>
      </c>
      <c r="H30" s="106">
        <v>1</v>
      </c>
      <c r="I30" s="106">
        <v>1</v>
      </c>
      <c r="J30" s="106">
        <v>0</v>
      </c>
      <c r="K30" s="106">
        <v>1</v>
      </c>
      <c r="L30" s="106">
        <v>1</v>
      </c>
      <c r="M30" s="106">
        <v>1</v>
      </c>
      <c r="N30" s="106">
        <v>0</v>
      </c>
      <c r="O30" s="106">
        <v>0</v>
      </c>
      <c r="P30" s="106">
        <v>0</v>
      </c>
      <c r="Q30" s="106">
        <v>0</v>
      </c>
      <c r="R30" s="106">
        <v>1</v>
      </c>
      <c r="S30" s="106">
        <v>1</v>
      </c>
      <c r="T30" s="106">
        <v>0</v>
      </c>
      <c r="U30" s="106">
        <v>0</v>
      </c>
      <c r="V30" s="106">
        <v>1</v>
      </c>
      <c r="W30" s="106">
        <v>1</v>
      </c>
      <c r="X30" s="106">
        <v>1</v>
      </c>
      <c r="Y30" s="106">
        <v>1</v>
      </c>
      <c r="Z30" s="106">
        <v>1</v>
      </c>
      <c r="AA30" s="106">
        <v>0</v>
      </c>
      <c r="AB30" s="106">
        <v>1</v>
      </c>
      <c r="AC30" s="106">
        <v>1</v>
      </c>
      <c r="AD30" s="106">
        <v>0</v>
      </c>
      <c r="AE30" s="106">
        <v>1</v>
      </c>
      <c r="AF30" s="106">
        <v>0</v>
      </c>
      <c r="AG30" s="106">
        <v>1</v>
      </c>
      <c r="AH30" s="106">
        <v>0</v>
      </c>
      <c r="AI30" s="106">
        <v>0</v>
      </c>
      <c r="AJ30" s="106">
        <v>0</v>
      </c>
    </row>
    <row r="31" spans="1:36" customFormat="1" x14ac:dyDescent="0.15">
      <c r="A31" s="185" t="s">
        <v>221</v>
      </c>
      <c r="B31" s="106">
        <v>0</v>
      </c>
      <c r="C31" s="106">
        <v>0</v>
      </c>
      <c r="D31" s="106">
        <v>0</v>
      </c>
      <c r="E31" s="106">
        <v>0</v>
      </c>
      <c r="F31" s="106">
        <v>1</v>
      </c>
      <c r="G31" s="106">
        <v>1</v>
      </c>
      <c r="H31" s="106">
        <v>1</v>
      </c>
      <c r="I31" s="106">
        <v>1</v>
      </c>
      <c r="J31" s="106">
        <v>0</v>
      </c>
      <c r="K31" s="106">
        <v>1</v>
      </c>
      <c r="L31" s="106">
        <v>1</v>
      </c>
      <c r="M31" s="106">
        <v>0</v>
      </c>
      <c r="N31" s="106">
        <v>0</v>
      </c>
      <c r="O31" s="106">
        <v>0</v>
      </c>
      <c r="P31" s="106">
        <v>1</v>
      </c>
      <c r="Q31" s="106">
        <v>1</v>
      </c>
      <c r="R31" s="106">
        <v>1</v>
      </c>
      <c r="S31" s="106">
        <v>1</v>
      </c>
      <c r="T31" s="106">
        <v>1</v>
      </c>
      <c r="U31" s="106">
        <v>1</v>
      </c>
      <c r="V31" s="106">
        <v>0</v>
      </c>
      <c r="W31" s="106">
        <v>1</v>
      </c>
      <c r="X31" s="106">
        <v>1</v>
      </c>
      <c r="Y31" s="106">
        <v>1</v>
      </c>
      <c r="Z31" s="106">
        <v>1</v>
      </c>
      <c r="AA31" s="106">
        <v>1</v>
      </c>
      <c r="AB31" s="106">
        <v>0</v>
      </c>
      <c r="AC31" s="106">
        <v>0</v>
      </c>
      <c r="AD31" s="106">
        <v>0</v>
      </c>
      <c r="AE31" s="106">
        <v>1</v>
      </c>
      <c r="AF31" s="106">
        <v>1</v>
      </c>
      <c r="AG31" s="106">
        <v>1</v>
      </c>
      <c r="AH31" s="106">
        <v>0</v>
      </c>
      <c r="AI31" s="106">
        <v>0</v>
      </c>
      <c r="AJ31" s="106">
        <v>0</v>
      </c>
    </row>
    <row r="32" spans="1:36" x14ac:dyDescent="0.15">
      <c r="A32" s="185" t="s">
        <v>222</v>
      </c>
      <c r="B32" s="106">
        <v>0</v>
      </c>
      <c r="C32" s="106">
        <v>0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1</v>
      </c>
      <c r="Q32" s="106">
        <v>0</v>
      </c>
      <c r="R32" s="106">
        <v>1</v>
      </c>
      <c r="S32" s="106">
        <v>1</v>
      </c>
      <c r="T32" s="106">
        <v>0</v>
      </c>
      <c r="U32" s="106">
        <v>0</v>
      </c>
      <c r="V32" s="106">
        <v>0</v>
      </c>
      <c r="W32" s="106">
        <v>1</v>
      </c>
      <c r="X32" s="106">
        <v>1</v>
      </c>
      <c r="Y32" s="106">
        <v>1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1</v>
      </c>
      <c r="AG32" s="106">
        <v>0</v>
      </c>
      <c r="AH32" s="106">
        <v>0</v>
      </c>
      <c r="AI32" s="106">
        <v>0</v>
      </c>
      <c r="AJ32" s="106">
        <v>0</v>
      </c>
    </row>
    <row r="33" spans="1:36" x14ac:dyDescent="0.15">
      <c r="A33" s="185" t="s">
        <v>223</v>
      </c>
      <c r="B33" s="106">
        <v>1</v>
      </c>
      <c r="C33" s="106">
        <v>1</v>
      </c>
      <c r="D33" s="106">
        <v>0</v>
      </c>
      <c r="E33" s="106">
        <v>0</v>
      </c>
      <c r="F33" s="106">
        <v>1</v>
      </c>
      <c r="G33" s="106">
        <v>1</v>
      </c>
      <c r="H33" s="106">
        <v>1</v>
      </c>
      <c r="I33" s="106">
        <v>1</v>
      </c>
      <c r="J33" s="106">
        <v>1</v>
      </c>
      <c r="K33" s="106">
        <v>1</v>
      </c>
      <c r="L33" s="106">
        <v>1</v>
      </c>
      <c r="M33" s="106">
        <v>0</v>
      </c>
      <c r="N33" s="106">
        <v>0</v>
      </c>
      <c r="O33" s="106">
        <v>0</v>
      </c>
      <c r="P33" s="106">
        <v>1</v>
      </c>
      <c r="Q33" s="106">
        <v>1</v>
      </c>
      <c r="R33" s="106">
        <v>1</v>
      </c>
      <c r="S33" s="106">
        <v>1</v>
      </c>
      <c r="T33" s="106">
        <v>1</v>
      </c>
      <c r="U33" s="106">
        <v>1</v>
      </c>
      <c r="V33" s="106">
        <v>0</v>
      </c>
      <c r="W33" s="106">
        <v>1</v>
      </c>
      <c r="X33" s="106">
        <v>1</v>
      </c>
      <c r="Y33" s="106">
        <v>1</v>
      </c>
      <c r="Z33" s="106">
        <v>1</v>
      </c>
      <c r="AA33" s="106">
        <v>1</v>
      </c>
      <c r="AB33" s="106">
        <v>0</v>
      </c>
      <c r="AC33" s="106">
        <v>0</v>
      </c>
      <c r="AD33" s="106">
        <v>0</v>
      </c>
      <c r="AE33" s="106">
        <v>1</v>
      </c>
      <c r="AF33" s="106">
        <v>1</v>
      </c>
      <c r="AG33" s="106">
        <v>1</v>
      </c>
      <c r="AH33" s="106">
        <v>0</v>
      </c>
      <c r="AI33" s="106">
        <v>0</v>
      </c>
      <c r="AJ33" s="106">
        <v>0</v>
      </c>
    </row>
    <row r="34" spans="1:36" x14ac:dyDescent="0.15">
      <c r="A34" s="185" t="s">
        <v>224</v>
      </c>
      <c r="B34" s="106">
        <v>0</v>
      </c>
      <c r="C34" s="106">
        <v>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1</v>
      </c>
      <c r="AB34" s="106">
        <v>1</v>
      </c>
      <c r="AC34" s="106">
        <v>1</v>
      </c>
      <c r="AD34" s="106">
        <v>1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</row>
    <row r="35" spans="1:36" x14ac:dyDescent="0.15">
      <c r="A35" s="185" t="s">
        <v>225</v>
      </c>
      <c r="B35" s="106">
        <v>0</v>
      </c>
      <c r="C35" s="106">
        <v>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1</v>
      </c>
      <c r="AB35" s="106">
        <v>0</v>
      </c>
      <c r="AC35" s="106">
        <v>1</v>
      </c>
      <c r="AD35" s="106">
        <v>0</v>
      </c>
      <c r="AE35" s="106">
        <v>1</v>
      </c>
      <c r="AF35" s="106">
        <v>1</v>
      </c>
      <c r="AG35" s="106">
        <v>1</v>
      </c>
      <c r="AH35" s="106">
        <v>0</v>
      </c>
      <c r="AI35" s="106">
        <v>0</v>
      </c>
      <c r="AJ35" s="106">
        <v>0</v>
      </c>
    </row>
    <row r="36" spans="1:36" x14ac:dyDescent="0.15">
      <c r="A36" s="185" t="s">
        <v>226</v>
      </c>
      <c r="B36" s="106">
        <v>0</v>
      </c>
      <c r="C36" s="106">
        <v>0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</row>
    <row r="37" spans="1:36" x14ac:dyDescent="0.15">
      <c r="A37" s="185" t="s">
        <v>233</v>
      </c>
      <c r="B37" s="106">
        <v>0</v>
      </c>
      <c r="C37" s="106">
        <v>0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1</v>
      </c>
      <c r="K37" s="106">
        <v>0</v>
      </c>
      <c r="L37" s="106">
        <v>0</v>
      </c>
      <c r="M37" s="106">
        <v>1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1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H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3.83203125" bestFit="1" customWidth="1"/>
    <col min="3" max="4" width="3.83203125" bestFit="1" customWidth="1"/>
    <col min="5" max="8" width="3.83203125" customWidth="1"/>
  </cols>
  <sheetData>
    <row r="1" spans="1:8" ht="112" x14ac:dyDescent="0.15">
      <c r="A1" s="5" t="s">
        <v>83</v>
      </c>
      <c r="B1" s="3" t="s">
        <v>0</v>
      </c>
      <c r="C1" s="188" t="s">
        <v>227</v>
      </c>
      <c r="D1" s="188" t="s">
        <v>228</v>
      </c>
      <c r="E1" s="188" t="s">
        <v>229</v>
      </c>
      <c r="F1" s="188" t="s">
        <v>230</v>
      </c>
      <c r="G1" s="188" t="s">
        <v>231</v>
      </c>
      <c r="H1" s="188" t="s">
        <v>232</v>
      </c>
    </row>
    <row r="2" spans="1:8" x14ac:dyDescent="0.15">
      <c r="A2">
        <v>1</v>
      </c>
      <c r="B2" s="187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15">
      <c r="A3">
        <v>2</v>
      </c>
      <c r="B3" s="187" t="s">
        <v>193</v>
      </c>
      <c r="C3">
        <v>0.8</v>
      </c>
      <c r="D3">
        <v>0</v>
      </c>
      <c r="E3">
        <v>0.8</v>
      </c>
      <c r="F3">
        <v>0</v>
      </c>
      <c r="G3">
        <v>0</v>
      </c>
      <c r="H3">
        <v>0</v>
      </c>
    </row>
    <row r="4" spans="1:8" x14ac:dyDescent="0.15">
      <c r="A4">
        <v>3</v>
      </c>
      <c r="B4" s="187" t="s">
        <v>194</v>
      </c>
      <c r="C4">
        <v>0.8</v>
      </c>
      <c r="D4">
        <v>0</v>
      </c>
      <c r="E4">
        <v>0.8</v>
      </c>
      <c r="F4">
        <v>0</v>
      </c>
      <c r="G4">
        <v>0.8</v>
      </c>
      <c r="H4">
        <v>0</v>
      </c>
    </row>
    <row r="5" spans="1:8" x14ac:dyDescent="0.15">
      <c r="A5">
        <v>4</v>
      </c>
      <c r="B5" s="187" t="s">
        <v>195</v>
      </c>
      <c r="C5">
        <v>0.8</v>
      </c>
      <c r="D5">
        <v>0</v>
      </c>
      <c r="E5">
        <v>0</v>
      </c>
      <c r="F5">
        <v>0</v>
      </c>
      <c r="G5">
        <v>0</v>
      </c>
      <c r="H5">
        <v>0</v>
      </c>
    </row>
    <row r="6" spans="1:8" x14ac:dyDescent="0.15">
      <c r="A6">
        <v>5</v>
      </c>
      <c r="B6" s="187" t="s">
        <v>196</v>
      </c>
      <c r="C6">
        <v>0</v>
      </c>
      <c r="D6">
        <v>0</v>
      </c>
      <c r="E6">
        <v>0.8</v>
      </c>
      <c r="F6">
        <v>0</v>
      </c>
      <c r="G6">
        <v>0</v>
      </c>
      <c r="H6">
        <v>0</v>
      </c>
    </row>
    <row r="7" spans="1:8" x14ac:dyDescent="0.15">
      <c r="A7">
        <v>6</v>
      </c>
      <c r="B7" s="187" t="s">
        <v>197</v>
      </c>
      <c r="C7">
        <v>0.8</v>
      </c>
      <c r="D7">
        <v>0</v>
      </c>
      <c r="E7">
        <v>0</v>
      </c>
      <c r="F7">
        <v>0</v>
      </c>
      <c r="G7">
        <v>0</v>
      </c>
      <c r="H7">
        <v>0</v>
      </c>
    </row>
    <row r="8" spans="1:8" x14ac:dyDescent="0.15">
      <c r="A8">
        <v>7</v>
      </c>
      <c r="B8" s="187" t="s">
        <v>198</v>
      </c>
      <c r="C8">
        <v>0.8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15">
      <c r="A9">
        <v>8</v>
      </c>
      <c r="B9" s="187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15">
      <c r="A10">
        <v>9</v>
      </c>
      <c r="B10" s="187" t="s">
        <v>200</v>
      </c>
      <c r="C10">
        <v>0.8</v>
      </c>
      <c r="D10">
        <v>0</v>
      </c>
      <c r="E10">
        <v>0</v>
      </c>
      <c r="F10">
        <v>0</v>
      </c>
      <c r="G10">
        <v>0.8</v>
      </c>
      <c r="H10">
        <v>0</v>
      </c>
    </row>
    <row r="11" spans="1:8" x14ac:dyDescent="0.15">
      <c r="A11">
        <v>10</v>
      </c>
      <c r="B11" s="187" t="s">
        <v>201</v>
      </c>
      <c r="C11">
        <v>0</v>
      </c>
      <c r="D11">
        <v>0.8</v>
      </c>
      <c r="E11">
        <v>0</v>
      </c>
      <c r="F11">
        <v>0</v>
      </c>
      <c r="G11">
        <v>0</v>
      </c>
      <c r="H11">
        <v>0</v>
      </c>
    </row>
    <row r="12" spans="1:8" x14ac:dyDescent="0.15">
      <c r="A12">
        <v>11</v>
      </c>
      <c r="B12" s="187" t="s">
        <v>202</v>
      </c>
      <c r="C12">
        <v>0.8</v>
      </c>
      <c r="D12">
        <v>0</v>
      </c>
      <c r="E12">
        <v>0</v>
      </c>
      <c r="F12">
        <v>0.8</v>
      </c>
      <c r="G12">
        <v>0</v>
      </c>
      <c r="H12">
        <v>0</v>
      </c>
    </row>
    <row r="13" spans="1:8" x14ac:dyDescent="0.15">
      <c r="A13">
        <v>12</v>
      </c>
      <c r="B13" s="187" t="s">
        <v>203</v>
      </c>
      <c r="C13">
        <v>0.8</v>
      </c>
      <c r="D13">
        <v>0</v>
      </c>
      <c r="E13">
        <v>0</v>
      </c>
      <c r="F13">
        <v>0.8</v>
      </c>
      <c r="G13">
        <v>0</v>
      </c>
      <c r="H13">
        <v>0</v>
      </c>
    </row>
    <row r="14" spans="1:8" x14ac:dyDescent="0.15">
      <c r="A14">
        <v>13</v>
      </c>
      <c r="B14" s="187" t="s">
        <v>204</v>
      </c>
      <c r="C14">
        <v>0.8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15">
      <c r="A15">
        <v>14</v>
      </c>
      <c r="B15" s="187" t="s">
        <v>205</v>
      </c>
      <c r="C15">
        <v>0.8</v>
      </c>
      <c r="D15">
        <v>0</v>
      </c>
      <c r="E15">
        <v>0.8</v>
      </c>
      <c r="F15">
        <v>0</v>
      </c>
      <c r="G15">
        <v>0</v>
      </c>
      <c r="H15">
        <v>0</v>
      </c>
    </row>
    <row r="16" spans="1:8" x14ac:dyDescent="0.15">
      <c r="A16">
        <v>15</v>
      </c>
      <c r="B16" s="187" t="s">
        <v>206</v>
      </c>
      <c r="C16">
        <v>0.8</v>
      </c>
      <c r="D16">
        <v>0</v>
      </c>
      <c r="E16">
        <v>0.8</v>
      </c>
      <c r="F16">
        <v>0</v>
      </c>
      <c r="G16">
        <v>0</v>
      </c>
      <c r="H16">
        <v>0</v>
      </c>
    </row>
    <row r="17" spans="1:8" x14ac:dyDescent="0.15">
      <c r="A17">
        <v>16</v>
      </c>
      <c r="B17" s="187" t="s">
        <v>207</v>
      </c>
      <c r="C17">
        <v>0.8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x14ac:dyDescent="0.15">
      <c r="A18">
        <v>17</v>
      </c>
      <c r="B18" s="187" t="s">
        <v>208</v>
      </c>
      <c r="C18">
        <v>0.8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x14ac:dyDescent="0.15">
      <c r="A19">
        <v>18</v>
      </c>
      <c r="B19" s="187" t="s">
        <v>209</v>
      </c>
      <c r="C19">
        <v>0.8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x14ac:dyDescent="0.15">
      <c r="A20">
        <v>19</v>
      </c>
      <c r="B20" s="187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 x14ac:dyDescent="0.15">
      <c r="A21">
        <v>20</v>
      </c>
      <c r="B21" s="187" t="s">
        <v>211</v>
      </c>
      <c r="C21">
        <v>0.8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15">
      <c r="A22">
        <v>21</v>
      </c>
      <c r="B22" s="187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</row>
    <row r="23" spans="1:8" x14ac:dyDescent="0.15">
      <c r="A23">
        <v>22</v>
      </c>
      <c r="B23" s="187" t="s">
        <v>213</v>
      </c>
      <c r="C23">
        <v>0.8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x14ac:dyDescent="0.15">
      <c r="A24">
        <v>23</v>
      </c>
      <c r="B24" s="187" t="s">
        <v>214</v>
      </c>
      <c r="C24">
        <v>0.8</v>
      </c>
      <c r="D24">
        <v>0</v>
      </c>
      <c r="E24">
        <v>0.8</v>
      </c>
      <c r="F24">
        <v>0</v>
      </c>
      <c r="G24">
        <v>0</v>
      </c>
      <c r="H24">
        <v>0</v>
      </c>
    </row>
    <row r="25" spans="1:8" x14ac:dyDescent="0.15">
      <c r="A25">
        <v>24</v>
      </c>
      <c r="B25" s="187" t="s">
        <v>215</v>
      </c>
      <c r="C25">
        <v>0.8</v>
      </c>
      <c r="D25">
        <v>0</v>
      </c>
      <c r="E25">
        <v>0</v>
      </c>
      <c r="F25">
        <v>0</v>
      </c>
      <c r="G25">
        <v>0.8</v>
      </c>
      <c r="H25">
        <v>0</v>
      </c>
    </row>
    <row r="26" spans="1:8" x14ac:dyDescent="0.15">
      <c r="A26">
        <v>25</v>
      </c>
      <c r="B26" s="187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15">
      <c r="A27">
        <v>26</v>
      </c>
      <c r="B27" s="187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15">
      <c r="A28">
        <v>27</v>
      </c>
      <c r="B28" s="187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x14ac:dyDescent="0.15">
      <c r="A29">
        <v>28</v>
      </c>
      <c r="B29" s="187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15">
      <c r="A30">
        <v>29</v>
      </c>
      <c r="B30" s="187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x14ac:dyDescent="0.15">
      <c r="A31">
        <v>30</v>
      </c>
      <c r="B31" s="187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x14ac:dyDescent="0.15">
      <c r="A32">
        <v>31</v>
      </c>
      <c r="B32" s="187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x14ac:dyDescent="0.15">
      <c r="A33">
        <v>32</v>
      </c>
      <c r="B33" s="187" t="s">
        <v>223</v>
      </c>
      <c r="C33">
        <v>0.8</v>
      </c>
      <c r="D33">
        <v>0</v>
      </c>
      <c r="E33">
        <v>0</v>
      </c>
      <c r="F33">
        <v>0</v>
      </c>
      <c r="G33">
        <v>0.8</v>
      </c>
      <c r="H33">
        <v>0.8</v>
      </c>
    </row>
    <row r="34" spans="1:8" x14ac:dyDescent="0.15">
      <c r="A34">
        <v>33</v>
      </c>
      <c r="B34" s="187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15">
      <c r="A35">
        <v>34</v>
      </c>
      <c r="B35" s="187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15">
      <c r="A36">
        <v>35</v>
      </c>
      <c r="B36" s="187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H36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3.83203125" bestFit="1" customWidth="1"/>
    <col min="3" max="4" width="3.83203125" bestFit="1" customWidth="1"/>
    <col min="5" max="8" width="3.83203125" customWidth="1"/>
  </cols>
  <sheetData>
    <row r="1" spans="1:8" ht="112" x14ac:dyDescent="0.15">
      <c r="A1" s="5" t="s">
        <v>82</v>
      </c>
      <c r="B1" s="3" t="s">
        <v>0</v>
      </c>
      <c r="C1" s="190" t="s">
        <v>227</v>
      </c>
      <c r="D1" s="190" t="s">
        <v>228</v>
      </c>
      <c r="E1" s="190" t="s">
        <v>229</v>
      </c>
      <c r="F1" s="190" t="s">
        <v>230</v>
      </c>
      <c r="G1" s="190" t="s">
        <v>231</v>
      </c>
      <c r="H1" s="190" t="s">
        <v>232</v>
      </c>
    </row>
    <row r="2" spans="1:8" x14ac:dyDescent="0.15">
      <c r="A2">
        <v>1</v>
      </c>
      <c r="B2" s="189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15">
      <c r="A3">
        <v>2</v>
      </c>
      <c r="B3" s="189" t="s">
        <v>193</v>
      </c>
      <c r="C3">
        <v>0.8</v>
      </c>
      <c r="D3">
        <v>0</v>
      </c>
      <c r="E3">
        <v>0.8</v>
      </c>
      <c r="F3">
        <v>0</v>
      </c>
      <c r="G3">
        <v>0</v>
      </c>
      <c r="H3">
        <v>0</v>
      </c>
    </row>
    <row r="4" spans="1:8" x14ac:dyDescent="0.15">
      <c r="A4">
        <v>3</v>
      </c>
      <c r="B4" s="189" t="s">
        <v>194</v>
      </c>
      <c r="C4">
        <v>0.8</v>
      </c>
      <c r="D4">
        <v>0</v>
      </c>
      <c r="E4">
        <v>0.8</v>
      </c>
      <c r="F4">
        <v>0</v>
      </c>
      <c r="G4">
        <v>0.8</v>
      </c>
      <c r="H4">
        <v>0</v>
      </c>
    </row>
    <row r="5" spans="1:8" x14ac:dyDescent="0.15">
      <c r="A5">
        <v>4</v>
      </c>
      <c r="B5" s="189" t="s">
        <v>195</v>
      </c>
      <c r="C5">
        <v>0.8</v>
      </c>
      <c r="D5">
        <v>0</v>
      </c>
      <c r="E5">
        <v>0</v>
      </c>
      <c r="F5">
        <v>0</v>
      </c>
      <c r="G5">
        <v>0</v>
      </c>
      <c r="H5">
        <v>0</v>
      </c>
    </row>
    <row r="6" spans="1:8" x14ac:dyDescent="0.15">
      <c r="A6">
        <v>5</v>
      </c>
      <c r="B6" s="189" t="s">
        <v>196</v>
      </c>
      <c r="C6">
        <v>0</v>
      </c>
      <c r="D6">
        <v>0</v>
      </c>
      <c r="E6">
        <v>0.8</v>
      </c>
      <c r="F6">
        <v>0</v>
      </c>
      <c r="G6">
        <v>0</v>
      </c>
      <c r="H6">
        <v>0</v>
      </c>
    </row>
    <row r="7" spans="1:8" x14ac:dyDescent="0.15">
      <c r="A7">
        <v>6</v>
      </c>
      <c r="B7" s="189" t="s">
        <v>197</v>
      </c>
      <c r="C7">
        <v>0.8</v>
      </c>
      <c r="D7">
        <v>0</v>
      </c>
      <c r="E7">
        <v>0</v>
      </c>
      <c r="F7">
        <v>0</v>
      </c>
      <c r="G7">
        <v>0</v>
      </c>
      <c r="H7">
        <v>0</v>
      </c>
    </row>
    <row r="8" spans="1:8" x14ac:dyDescent="0.15">
      <c r="A8">
        <v>7</v>
      </c>
      <c r="B8" s="189" t="s">
        <v>198</v>
      </c>
      <c r="C8">
        <v>0.8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15">
      <c r="A9">
        <v>8</v>
      </c>
      <c r="B9" s="189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15">
      <c r="A10">
        <v>9</v>
      </c>
      <c r="B10" s="189" t="s">
        <v>200</v>
      </c>
      <c r="C10">
        <v>0.8</v>
      </c>
      <c r="D10">
        <v>0</v>
      </c>
      <c r="E10">
        <v>0</v>
      </c>
      <c r="F10">
        <v>0</v>
      </c>
      <c r="G10">
        <v>0.8</v>
      </c>
      <c r="H10">
        <v>0</v>
      </c>
    </row>
    <row r="11" spans="1:8" x14ac:dyDescent="0.15">
      <c r="A11">
        <v>10</v>
      </c>
      <c r="B11" s="189" t="s">
        <v>201</v>
      </c>
      <c r="C11">
        <v>0</v>
      </c>
      <c r="D11">
        <v>0.8</v>
      </c>
      <c r="E11">
        <v>0</v>
      </c>
      <c r="F11">
        <v>0</v>
      </c>
      <c r="G11">
        <v>0</v>
      </c>
      <c r="H11">
        <v>0</v>
      </c>
    </row>
    <row r="12" spans="1:8" x14ac:dyDescent="0.15">
      <c r="A12">
        <v>11</v>
      </c>
      <c r="B12" s="189" t="s">
        <v>202</v>
      </c>
      <c r="C12">
        <v>0.8</v>
      </c>
      <c r="D12">
        <v>0</v>
      </c>
      <c r="E12">
        <v>0</v>
      </c>
      <c r="F12">
        <v>0.8</v>
      </c>
      <c r="G12">
        <v>0</v>
      </c>
      <c r="H12">
        <v>0</v>
      </c>
    </row>
    <row r="13" spans="1:8" x14ac:dyDescent="0.15">
      <c r="A13">
        <v>12</v>
      </c>
      <c r="B13" s="189" t="s">
        <v>203</v>
      </c>
      <c r="C13">
        <v>0.8</v>
      </c>
      <c r="D13">
        <v>0</v>
      </c>
      <c r="E13">
        <v>0</v>
      </c>
      <c r="F13">
        <v>0.8</v>
      </c>
      <c r="G13">
        <v>0</v>
      </c>
      <c r="H13">
        <v>0</v>
      </c>
    </row>
    <row r="14" spans="1:8" x14ac:dyDescent="0.15">
      <c r="A14">
        <v>13</v>
      </c>
      <c r="B14" s="189" t="s">
        <v>204</v>
      </c>
      <c r="C14">
        <v>0.8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15">
      <c r="A15">
        <v>14</v>
      </c>
      <c r="B15" s="189" t="s">
        <v>205</v>
      </c>
      <c r="C15">
        <v>0.8</v>
      </c>
      <c r="D15">
        <v>0</v>
      </c>
      <c r="E15">
        <v>0.8</v>
      </c>
      <c r="F15">
        <v>0</v>
      </c>
      <c r="G15">
        <v>0</v>
      </c>
      <c r="H15">
        <v>0</v>
      </c>
    </row>
    <row r="16" spans="1:8" x14ac:dyDescent="0.15">
      <c r="A16">
        <v>15</v>
      </c>
      <c r="B16" s="189" t="s">
        <v>206</v>
      </c>
      <c r="C16">
        <v>0.8</v>
      </c>
      <c r="D16">
        <v>0</v>
      </c>
      <c r="E16">
        <v>0.8</v>
      </c>
      <c r="F16">
        <v>0</v>
      </c>
      <c r="G16">
        <v>0</v>
      </c>
      <c r="H16">
        <v>0</v>
      </c>
    </row>
    <row r="17" spans="1:8" x14ac:dyDescent="0.15">
      <c r="A17">
        <v>16</v>
      </c>
      <c r="B17" s="189" t="s">
        <v>207</v>
      </c>
      <c r="C17">
        <v>0.8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x14ac:dyDescent="0.15">
      <c r="A18">
        <v>17</v>
      </c>
      <c r="B18" s="189" t="s">
        <v>208</v>
      </c>
      <c r="C18">
        <v>0.8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x14ac:dyDescent="0.15">
      <c r="A19">
        <v>18</v>
      </c>
      <c r="B19" s="189" t="s">
        <v>209</v>
      </c>
      <c r="C19">
        <v>0.8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x14ac:dyDescent="0.15">
      <c r="A20">
        <v>19</v>
      </c>
      <c r="B20" s="189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 x14ac:dyDescent="0.15">
      <c r="A21">
        <v>20</v>
      </c>
      <c r="B21" s="189" t="s">
        <v>211</v>
      </c>
      <c r="C21">
        <v>0.8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15">
      <c r="A22">
        <v>21</v>
      </c>
      <c r="B22" s="189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</row>
    <row r="23" spans="1:8" x14ac:dyDescent="0.15">
      <c r="A23">
        <v>22</v>
      </c>
      <c r="B23" s="189" t="s">
        <v>213</v>
      </c>
      <c r="C23">
        <v>0.8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x14ac:dyDescent="0.15">
      <c r="A24">
        <v>23</v>
      </c>
      <c r="B24" s="189" t="s">
        <v>214</v>
      </c>
      <c r="C24">
        <v>0.8</v>
      </c>
      <c r="D24">
        <v>0</v>
      </c>
      <c r="E24">
        <v>0.8</v>
      </c>
      <c r="F24">
        <v>0</v>
      </c>
      <c r="G24">
        <v>0</v>
      </c>
      <c r="H24">
        <v>0</v>
      </c>
    </row>
    <row r="25" spans="1:8" x14ac:dyDescent="0.15">
      <c r="A25">
        <v>24</v>
      </c>
      <c r="B25" s="189" t="s">
        <v>215</v>
      </c>
      <c r="C25">
        <v>0.8</v>
      </c>
      <c r="D25">
        <v>0</v>
      </c>
      <c r="E25">
        <v>0</v>
      </c>
      <c r="F25">
        <v>0</v>
      </c>
      <c r="G25">
        <v>0.8</v>
      </c>
      <c r="H25">
        <v>0</v>
      </c>
    </row>
    <row r="26" spans="1:8" x14ac:dyDescent="0.15">
      <c r="A26">
        <v>25</v>
      </c>
      <c r="B26" s="189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15">
      <c r="A27">
        <v>26</v>
      </c>
      <c r="B27" s="189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15">
      <c r="A28">
        <v>27</v>
      </c>
      <c r="B28" s="189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x14ac:dyDescent="0.15">
      <c r="A29">
        <v>28</v>
      </c>
      <c r="B29" s="189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15">
      <c r="A30">
        <v>29</v>
      </c>
      <c r="B30" s="189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x14ac:dyDescent="0.15">
      <c r="A31">
        <v>30</v>
      </c>
      <c r="B31" s="189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x14ac:dyDescent="0.15">
      <c r="A32">
        <v>31</v>
      </c>
      <c r="B32" s="189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x14ac:dyDescent="0.15">
      <c r="A33">
        <v>32</v>
      </c>
      <c r="B33" s="189" t="s">
        <v>223</v>
      </c>
      <c r="C33">
        <v>0.8</v>
      </c>
      <c r="D33">
        <v>0</v>
      </c>
      <c r="E33">
        <v>0</v>
      </c>
      <c r="F33">
        <v>0</v>
      </c>
      <c r="G33">
        <v>0.8</v>
      </c>
      <c r="H33">
        <v>0.8</v>
      </c>
    </row>
    <row r="34" spans="1:8" x14ac:dyDescent="0.15">
      <c r="A34">
        <v>33</v>
      </c>
      <c r="B34" s="189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15">
      <c r="A35">
        <v>34</v>
      </c>
      <c r="B35" s="189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15">
      <c r="A36">
        <v>35</v>
      </c>
      <c r="B36" s="189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80"/>
    <col min="2" max="2" width="41.83203125" style="80" bestFit="1" customWidth="1"/>
    <col min="3" max="3" width="9.33203125" style="80" bestFit="1" customWidth="1"/>
    <col min="4" max="4" width="13" style="80" bestFit="1" customWidth="1"/>
    <col min="5" max="6" width="9.33203125" style="80" bestFit="1" customWidth="1"/>
    <col min="7" max="7" width="9.33203125" style="96" bestFit="1" customWidth="1"/>
    <col min="8" max="8" width="9.33203125" style="80" bestFit="1" customWidth="1"/>
    <col min="9" max="9" width="11" style="80" customWidth="1"/>
    <col min="10" max="10" width="8.83203125" style="80"/>
    <col min="15" max="16384" width="8.83203125" style="80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2">
        <v>1</v>
      </c>
      <c r="B2" s="142" t="s">
        <v>192</v>
      </c>
      <c r="C2" s="8">
        <v>4.1947364807128906</v>
      </c>
      <c r="D2" s="9">
        <v>1.9999999552965164E-2</v>
      </c>
      <c r="E2" s="9">
        <v>7.5000002980232239E-2</v>
      </c>
      <c r="F2" s="9">
        <v>6.7750000953674316</v>
      </c>
      <c r="G2" s="9">
        <v>8.3997007459402084E-3</v>
      </c>
      <c r="H2" s="9">
        <v>1.1070110835134983E-2</v>
      </c>
      <c r="I2">
        <v>0</v>
      </c>
      <c r="J2"/>
    </row>
    <row r="3" spans="1:10" ht="15" customHeight="1" x14ac:dyDescent="0.15">
      <c r="A3" s="143">
        <v>2</v>
      </c>
      <c r="B3" s="143" t="s">
        <v>193</v>
      </c>
      <c r="C3" s="8">
        <v>4.2734665870666504</v>
      </c>
      <c r="D3" s="9">
        <v>1.3000000268220901E-2</v>
      </c>
      <c r="E3" s="9">
        <v>0.30000001192092896</v>
      </c>
      <c r="F3" s="9">
        <v>3.0499999523162842</v>
      </c>
      <c r="G3" s="9">
        <v>1.4204895123839378E-3</v>
      </c>
      <c r="H3" s="9">
        <v>9.8360657691955566E-2</v>
      </c>
      <c r="I3">
        <v>2.9999998929497451E-8</v>
      </c>
      <c r="J3"/>
    </row>
    <row r="4" spans="1:10" ht="15" customHeight="1" x14ac:dyDescent="0.15">
      <c r="A4" s="144">
        <v>3</v>
      </c>
      <c r="B4" s="144" t="s">
        <v>194</v>
      </c>
      <c r="C4" s="8">
        <v>4.6863203048706055</v>
      </c>
      <c r="D4" s="9">
        <v>0.69999998807907104</v>
      </c>
      <c r="E4" s="9">
        <v>0.14000000059604645</v>
      </c>
      <c r="F4" s="9">
        <v>1.7999999523162842</v>
      </c>
      <c r="G4" s="9">
        <v>8.3945036749355495E-5</v>
      </c>
      <c r="H4" s="9">
        <v>7.7777780592441559E-2</v>
      </c>
      <c r="I4">
        <v>1.3000000365082087E-7</v>
      </c>
      <c r="J4"/>
    </row>
    <row r="5" spans="1:10" ht="15" customHeight="1" x14ac:dyDescent="0.15">
      <c r="A5" s="145">
        <v>4</v>
      </c>
      <c r="B5" s="145" t="s">
        <v>195</v>
      </c>
      <c r="C5" s="8">
        <v>4.2495646476745605</v>
      </c>
      <c r="D5" s="9">
        <v>1.8999999389052391E-2</v>
      </c>
      <c r="E5" s="9">
        <v>0.17000000178813934</v>
      </c>
      <c r="F5" s="9">
        <v>1.8400000333786011</v>
      </c>
      <c r="G5" s="9">
        <v>1.3982881791889668E-3</v>
      </c>
      <c r="H5" s="9">
        <v>9.2391304671764374E-2</v>
      </c>
      <c r="I5">
        <v>9.9999999392252903E-9</v>
      </c>
      <c r="J5"/>
    </row>
    <row r="6" spans="1:10" ht="15" customHeight="1" x14ac:dyDescent="0.15">
      <c r="A6" s="146">
        <v>5</v>
      </c>
      <c r="B6" s="146" t="s">
        <v>196</v>
      </c>
      <c r="C6" s="8">
        <v>4.4633884429931641</v>
      </c>
      <c r="D6" s="9">
        <v>0.15000000596046448</v>
      </c>
      <c r="E6" s="9">
        <v>0.18999999761581421</v>
      </c>
      <c r="F6" s="9">
        <v>2.0099999904632568</v>
      </c>
      <c r="G6" s="9">
        <v>0.70520758628845215</v>
      </c>
      <c r="H6" s="9">
        <v>9.4527363777160645E-2</v>
      </c>
      <c r="I6">
        <v>1.0000000116860974E-7</v>
      </c>
      <c r="J6"/>
    </row>
    <row r="7" spans="1:10" ht="15" customHeight="1" x14ac:dyDescent="0.15">
      <c r="A7" s="147">
        <v>6</v>
      </c>
      <c r="B7" s="147" t="s">
        <v>197</v>
      </c>
      <c r="C7" s="8">
        <v>3.3937742710113525</v>
      </c>
      <c r="D7" s="9">
        <v>1.3000000268220901E-2</v>
      </c>
      <c r="E7" s="9">
        <v>0.20000000298023224</v>
      </c>
      <c r="F7" s="9">
        <v>1.6200000047683716</v>
      </c>
      <c r="G7" s="9">
        <v>2.8636865317821503E-4</v>
      </c>
      <c r="H7" s="9">
        <v>0.12345679104328156</v>
      </c>
      <c r="I7">
        <v>9.9999997171806854E-10</v>
      </c>
      <c r="J7"/>
    </row>
    <row r="8" spans="1:10" ht="15" customHeight="1" x14ac:dyDescent="0.15">
      <c r="A8" s="148">
        <v>7</v>
      </c>
      <c r="B8" s="148" t="s">
        <v>198</v>
      </c>
      <c r="C8" s="8">
        <v>4.1394691467285156</v>
      </c>
      <c r="D8" s="9">
        <v>1.2999999523162842</v>
      </c>
      <c r="E8" s="9">
        <v>0.15000000596046448</v>
      </c>
      <c r="F8" s="9">
        <v>1.2000000476837158</v>
      </c>
      <c r="G8" s="9">
        <v>0.18696519732475281</v>
      </c>
      <c r="H8" s="9">
        <v>0.125</v>
      </c>
      <c r="I8">
        <v>1.1000000021965661E-8</v>
      </c>
      <c r="J8"/>
    </row>
    <row r="9" spans="1:10" ht="15" customHeight="1" x14ac:dyDescent="0.15">
      <c r="A9" s="149">
        <v>8</v>
      </c>
      <c r="B9" s="149" t="s">
        <v>199</v>
      </c>
      <c r="C9" s="8">
        <v>3.5357785224914551</v>
      </c>
      <c r="D9" s="9">
        <v>2.6225708425045013E-2</v>
      </c>
      <c r="E9" s="9">
        <v>3</v>
      </c>
      <c r="F9" s="9">
        <v>9.58245849609375</v>
      </c>
      <c r="G9" s="9">
        <v>0.1916796863079071</v>
      </c>
      <c r="H9" s="9">
        <v>0.31307205557823181</v>
      </c>
      <c r="I9">
        <v>0</v>
      </c>
      <c r="J9"/>
    </row>
    <row r="10" spans="1:10" ht="15" customHeight="1" x14ac:dyDescent="0.15">
      <c r="A10" s="150">
        <v>9</v>
      </c>
      <c r="B10" s="150" t="s">
        <v>200</v>
      </c>
      <c r="C10" s="8">
        <v>4.6701622009277344</v>
      </c>
      <c r="D10" s="9">
        <v>0.20000000298023224</v>
      </c>
      <c r="E10" s="9">
        <v>0.30000001192092896</v>
      </c>
      <c r="F10" s="9">
        <v>1.2999999523162842</v>
      </c>
      <c r="G10" s="9">
        <v>5.915382644161582E-5</v>
      </c>
      <c r="H10" s="9">
        <v>0.23076924681663513</v>
      </c>
      <c r="I10">
        <v>1.9999999878450581E-8</v>
      </c>
      <c r="J10"/>
    </row>
    <row r="11" spans="1:10" ht="15" customHeight="1" x14ac:dyDescent="0.15">
      <c r="A11" s="151">
        <v>10</v>
      </c>
      <c r="B11" s="151" t="s">
        <v>201</v>
      </c>
      <c r="C11" s="8">
        <v>3.8844013214111328</v>
      </c>
      <c r="D11" s="9">
        <v>0.10000000149011612</v>
      </c>
      <c r="E11" s="9">
        <v>5.000000074505806E-2</v>
      </c>
      <c r="F11" s="9">
        <v>2.9000000953674316</v>
      </c>
      <c r="G11" s="9">
        <v>0.22432245314121246</v>
      </c>
      <c r="H11" s="9">
        <v>1.7241379246115685E-2</v>
      </c>
      <c r="I11">
        <v>2.0000000233721948E-7</v>
      </c>
      <c r="J11"/>
    </row>
    <row r="12" spans="1:10" ht="15" customHeight="1" x14ac:dyDescent="0.15">
      <c r="A12" s="152">
        <v>11</v>
      </c>
      <c r="B12" s="152" t="s">
        <v>202</v>
      </c>
      <c r="C12" s="8">
        <v>4.095069408416748</v>
      </c>
      <c r="D12" s="9">
        <v>3.9735870361328125</v>
      </c>
      <c r="E12" s="9">
        <v>0.2800000011920929</v>
      </c>
      <c r="F12" s="9">
        <v>10.170000076293945</v>
      </c>
      <c r="G12" s="9">
        <v>0.95000022649765015</v>
      </c>
      <c r="H12" s="9">
        <v>2.7531957253813744E-2</v>
      </c>
      <c r="I12">
        <v>1.1000000199601345E-7</v>
      </c>
      <c r="J12"/>
    </row>
    <row r="13" spans="1:10" ht="15" customHeight="1" x14ac:dyDescent="0.15">
      <c r="A13" s="153">
        <v>12</v>
      </c>
      <c r="B13" s="153" t="s">
        <v>203</v>
      </c>
      <c r="C13" s="8">
        <v>3.5513291358947754</v>
      </c>
      <c r="D13" s="9">
        <v>7</v>
      </c>
      <c r="E13" s="9">
        <v>0.44999998807907104</v>
      </c>
      <c r="F13" s="9">
        <v>4.5</v>
      </c>
      <c r="G13" s="9">
        <v>0.69808781147003174</v>
      </c>
      <c r="H13" s="9">
        <v>9.9999994039535522E-2</v>
      </c>
      <c r="I13">
        <v>4.1430007666349411E-2</v>
      </c>
      <c r="J13"/>
    </row>
    <row r="14" spans="1:10" ht="15" customHeight="1" x14ac:dyDescent="0.15">
      <c r="A14" s="154">
        <v>13</v>
      </c>
      <c r="B14" s="154" t="s">
        <v>204</v>
      </c>
      <c r="C14" s="8">
        <v>4.6328916549682617</v>
      </c>
      <c r="D14" s="9">
        <v>0.60000002384185791</v>
      </c>
      <c r="E14" s="9">
        <v>0.17000000178813934</v>
      </c>
      <c r="F14" s="9">
        <v>2.2000000476837158</v>
      </c>
      <c r="G14" s="9">
        <v>1.3430931176117156E-5</v>
      </c>
      <c r="H14" s="9">
        <v>7.7272728085517883E-2</v>
      </c>
      <c r="I14">
        <v>1.1000000199601345E-7</v>
      </c>
      <c r="J14"/>
    </row>
    <row r="15" spans="1:10" ht="15" customHeight="1" x14ac:dyDescent="0.15">
      <c r="A15" s="155">
        <v>14</v>
      </c>
      <c r="B15" s="155" t="s">
        <v>205</v>
      </c>
      <c r="C15" s="8">
        <v>4.8266472816467285</v>
      </c>
      <c r="D15" s="9">
        <v>1.159532904624939</v>
      </c>
      <c r="E15" s="9">
        <v>0.20000000298023224</v>
      </c>
      <c r="F15" s="9">
        <v>1.6000000238418579</v>
      </c>
      <c r="G15" s="9">
        <v>0.94999998807907104</v>
      </c>
      <c r="H15" s="9">
        <v>0.125</v>
      </c>
      <c r="I15">
        <v>0.22030901908874512</v>
      </c>
      <c r="J15"/>
    </row>
    <row r="16" spans="1:10" ht="15" customHeight="1" x14ac:dyDescent="0.15">
      <c r="A16" s="156">
        <v>15</v>
      </c>
      <c r="B16" s="156" t="s">
        <v>206</v>
      </c>
      <c r="C16" s="8">
        <v>3.7132899761199951</v>
      </c>
      <c r="D16" s="9">
        <v>0.6458430290222168</v>
      </c>
      <c r="E16" s="9">
        <v>0.25</v>
      </c>
      <c r="F16" s="9">
        <v>1.7999999523162842</v>
      </c>
      <c r="G16" s="9">
        <v>0.94999998807907104</v>
      </c>
      <c r="H16" s="9">
        <v>0.1388888955116272</v>
      </c>
      <c r="I16">
        <v>0.15338745713233948</v>
      </c>
      <c r="J16"/>
    </row>
    <row r="17" spans="1:10" ht="15" customHeight="1" x14ac:dyDescent="0.15">
      <c r="A17" s="157">
        <v>16</v>
      </c>
      <c r="B17" s="157" t="s">
        <v>207</v>
      </c>
      <c r="C17" s="8">
        <v>3.4365367889404297</v>
      </c>
      <c r="D17" s="9">
        <v>0.10000000149011612</v>
      </c>
      <c r="E17" s="9">
        <v>0.23000000417232513</v>
      </c>
      <c r="F17" s="9">
        <v>2.0999999046325684</v>
      </c>
      <c r="G17" s="9">
        <v>0.29034626483917236</v>
      </c>
      <c r="H17" s="9">
        <v>0.10952381789684296</v>
      </c>
      <c r="I17">
        <v>5.2960000175517052E-5</v>
      </c>
      <c r="J17"/>
    </row>
    <row r="18" spans="1:10" ht="15" customHeight="1" x14ac:dyDescent="0.15">
      <c r="A18" s="158">
        <v>17</v>
      </c>
      <c r="B18" s="158" t="s">
        <v>208</v>
      </c>
      <c r="C18" s="8">
        <v>4.0310020446777344</v>
      </c>
      <c r="D18" s="9">
        <v>1.2000000476837158</v>
      </c>
      <c r="E18" s="9">
        <v>0.12999999523162842</v>
      </c>
      <c r="F18" s="9">
        <v>1.7999999523162842</v>
      </c>
      <c r="G18" s="9">
        <v>0.52500343322753906</v>
      </c>
      <c r="H18" s="9">
        <v>7.2222217917442322E-2</v>
      </c>
      <c r="I18">
        <v>1.9999999878450581E-8</v>
      </c>
      <c r="J18"/>
    </row>
    <row r="19" spans="1:10" ht="15" customHeight="1" x14ac:dyDescent="0.15">
      <c r="A19" s="159">
        <v>18</v>
      </c>
      <c r="B19" s="159" t="s">
        <v>209</v>
      </c>
      <c r="C19" s="8">
        <v>3.7049107551574707</v>
      </c>
      <c r="D19" s="9">
        <v>4.0000001899898052E-3</v>
      </c>
      <c r="E19" s="9">
        <v>7.0000000298023224E-2</v>
      </c>
      <c r="F19" s="9">
        <v>2.4000000953674316</v>
      </c>
      <c r="G19" s="9">
        <v>1.6171151772141457E-2</v>
      </c>
      <c r="H19" s="9">
        <v>2.9166664928197861E-2</v>
      </c>
      <c r="I19">
        <v>1.9999999878450581E-8</v>
      </c>
      <c r="J19"/>
    </row>
    <row r="20" spans="1:10" ht="15" customHeight="1" x14ac:dyDescent="0.15">
      <c r="A20" s="160">
        <v>19</v>
      </c>
      <c r="B20" s="160" t="s">
        <v>210</v>
      </c>
      <c r="C20" s="8">
        <v>3.9748232364654541</v>
      </c>
      <c r="D20" s="9">
        <v>1.8266295194625854</v>
      </c>
      <c r="E20" s="9">
        <v>0.56999999284744263</v>
      </c>
      <c r="F20" s="9">
        <v>1.7000000476837158</v>
      </c>
      <c r="G20" s="9">
        <v>0.9499889612197876</v>
      </c>
      <c r="H20" s="9">
        <v>0.33529409766197205</v>
      </c>
      <c r="I20">
        <v>0</v>
      </c>
      <c r="J20"/>
    </row>
    <row r="21" spans="1:10" ht="15" customHeight="1" x14ac:dyDescent="0.15">
      <c r="A21" s="161">
        <v>20</v>
      </c>
      <c r="B21" s="161" t="s">
        <v>211</v>
      </c>
      <c r="C21" s="8">
        <v>3.9646918773651123</v>
      </c>
      <c r="D21" s="9">
        <v>1.2000000104308128E-2</v>
      </c>
      <c r="E21" s="9">
        <v>0.20999999344348907</v>
      </c>
      <c r="F21" s="9">
        <v>2.7999999523162842</v>
      </c>
      <c r="G21" s="9">
        <v>9.4147957861423492E-2</v>
      </c>
      <c r="H21" s="9">
        <v>7.4999995529651642E-2</v>
      </c>
      <c r="I21">
        <v>9.9999999392252903E-9</v>
      </c>
      <c r="J21"/>
    </row>
    <row r="22" spans="1:10" ht="15" customHeight="1" x14ac:dyDescent="0.15">
      <c r="A22" s="162">
        <v>21</v>
      </c>
      <c r="B22" s="162" t="s">
        <v>212</v>
      </c>
      <c r="C22" s="8">
        <v>3.5289740562438965</v>
      </c>
      <c r="D22" s="9">
        <v>22.430070877075195</v>
      </c>
      <c r="E22" s="9">
        <v>0.97000002861022949</v>
      </c>
      <c r="F22" s="9">
        <v>6</v>
      </c>
      <c r="G22" s="9">
        <v>0.94999617338180542</v>
      </c>
      <c r="H22" s="9">
        <v>0.16166667640209198</v>
      </c>
      <c r="I22">
        <v>0</v>
      </c>
      <c r="J22"/>
    </row>
    <row r="23" spans="1:10" ht="15" customHeight="1" x14ac:dyDescent="0.15">
      <c r="A23" s="163">
        <v>22</v>
      </c>
      <c r="B23" s="163" t="s">
        <v>213</v>
      </c>
      <c r="C23" s="8">
        <v>3.552581787109375</v>
      </c>
      <c r="D23" s="9">
        <v>1.5071998834609985</v>
      </c>
      <c r="E23" s="9">
        <v>0.27000001072883606</v>
      </c>
      <c r="F23" s="9">
        <v>3.5299999713897705</v>
      </c>
      <c r="G23" s="9">
        <v>0.94998013973236084</v>
      </c>
      <c r="H23" s="9">
        <v>7.6487258076667786E-2</v>
      </c>
      <c r="I23">
        <v>1.9999999878450581E-8</v>
      </c>
      <c r="J23"/>
    </row>
    <row r="24" spans="1:10" ht="15" customHeight="1" x14ac:dyDescent="0.15">
      <c r="A24" s="164">
        <v>23</v>
      </c>
      <c r="B24" s="164" t="s">
        <v>214</v>
      </c>
      <c r="C24" s="8">
        <v>4.2093820571899414</v>
      </c>
      <c r="D24" s="9">
        <v>0.11047215014696121</v>
      </c>
      <c r="E24" s="9">
        <v>0.31000000238418579</v>
      </c>
      <c r="F24" s="9">
        <v>4.0799999237060547</v>
      </c>
      <c r="G24" s="9">
        <v>0.95011156797409058</v>
      </c>
      <c r="H24" s="9">
        <v>7.5980395078659058E-2</v>
      </c>
      <c r="I24">
        <v>2.0999999961190952E-8</v>
      </c>
      <c r="J24"/>
    </row>
    <row r="25" spans="1:10" ht="15" customHeight="1" x14ac:dyDescent="0.15">
      <c r="A25" s="165">
        <v>24</v>
      </c>
      <c r="B25" s="165" t="s">
        <v>215</v>
      </c>
      <c r="C25" s="8">
        <v>3.507831335067749</v>
      </c>
      <c r="D25" s="9">
        <v>0.10934280604124069</v>
      </c>
      <c r="E25" s="9">
        <v>0.2199999988079071</v>
      </c>
      <c r="F25" s="9">
        <v>3.7000000476837158</v>
      </c>
      <c r="G25" s="9">
        <v>0.94994896650314331</v>
      </c>
      <c r="H25" s="9">
        <v>5.9459459036588669E-2</v>
      </c>
      <c r="I25">
        <v>1.9999999878450581E-8</v>
      </c>
      <c r="J25"/>
    </row>
    <row r="26" spans="1:10" ht="15" customHeight="1" x14ac:dyDescent="0.15">
      <c r="A26" s="166">
        <v>25</v>
      </c>
      <c r="B26" s="166" t="s">
        <v>216</v>
      </c>
      <c r="C26" s="8">
        <v>3.7046940326690674</v>
      </c>
      <c r="D26" s="9">
        <v>1.1978014707565308</v>
      </c>
      <c r="E26" s="9">
        <v>2.5</v>
      </c>
      <c r="F26" s="9">
        <v>9</v>
      </c>
      <c r="G26" s="9">
        <v>0.94998782873153687</v>
      </c>
      <c r="H26" s="9">
        <v>0.27777779102325439</v>
      </c>
      <c r="I26">
        <v>0</v>
      </c>
      <c r="J26"/>
    </row>
    <row r="27" spans="1:10" ht="15" customHeight="1" x14ac:dyDescent="0.15">
      <c r="A27" s="167">
        <v>26</v>
      </c>
      <c r="B27" s="167" t="s">
        <v>217</v>
      </c>
      <c r="C27" s="8">
        <v>2.3039600849151611</v>
      </c>
      <c r="D27" s="9">
        <v>4.4214692115783691</v>
      </c>
      <c r="E27" s="9">
        <v>2.5</v>
      </c>
      <c r="F27" s="9">
        <v>8</v>
      </c>
      <c r="G27" s="9">
        <v>0.95000416040420532</v>
      </c>
      <c r="H27" s="9">
        <v>0.3125</v>
      </c>
      <c r="I27">
        <v>0</v>
      </c>
      <c r="J27"/>
    </row>
    <row r="28" spans="1:10" ht="15" customHeight="1" x14ac:dyDescent="0.15">
      <c r="A28" s="168">
        <v>27</v>
      </c>
      <c r="B28" s="168" t="s">
        <v>218</v>
      </c>
      <c r="C28" s="8">
        <v>3.3232324123382568</v>
      </c>
      <c r="D28" s="9">
        <v>12.608443260192871</v>
      </c>
      <c r="E28" s="9">
        <v>2.8580000400543213</v>
      </c>
      <c r="F28" s="9">
        <v>6.3511114120483398</v>
      </c>
      <c r="G28" s="9">
        <v>0.95001226663589478</v>
      </c>
      <c r="H28" s="9">
        <v>0.44999998807907104</v>
      </c>
      <c r="I28">
        <v>0</v>
      </c>
      <c r="J28"/>
    </row>
    <row r="29" spans="1:10" ht="15" customHeight="1" x14ac:dyDescent="0.15">
      <c r="A29" s="169">
        <v>28</v>
      </c>
      <c r="B29" s="169" t="s">
        <v>219</v>
      </c>
      <c r="C29" s="8">
        <v>2.6464645862579346</v>
      </c>
      <c r="D29" s="9">
        <v>56.301074981689453</v>
      </c>
      <c r="E29" s="9">
        <v>2.9790000915527344</v>
      </c>
      <c r="F29" s="9">
        <v>9.9300003051757812</v>
      </c>
      <c r="G29" s="9">
        <v>0.95000004768371582</v>
      </c>
      <c r="H29" s="9">
        <v>0.30000001192092896</v>
      </c>
      <c r="I29">
        <v>0</v>
      </c>
      <c r="J29"/>
    </row>
    <row r="30" spans="1:10" ht="15" customHeight="1" x14ac:dyDescent="0.15">
      <c r="A30" s="170">
        <v>29</v>
      </c>
      <c r="B30" s="170" t="s">
        <v>220</v>
      </c>
      <c r="C30" s="8">
        <v>2</v>
      </c>
      <c r="D30" s="9">
        <v>47.858959197998047</v>
      </c>
      <c r="E30" s="9">
        <v>9.1999998092651367</v>
      </c>
      <c r="F30" s="9">
        <v>30</v>
      </c>
      <c r="G30" s="9">
        <v>0.94999998807907104</v>
      </c>
      <c r="H30" s="9">
        <v>0.30666667222976685</v>
      </c>
      <c r="I30">
        <v>0</v>
      </c>
      <c r="J30"/>
    </row>
    <row r="31" spans="1:10" ht="15" customHeight="1" x14ac:dyDescent="0.15">
      <c r="A31" s="171">
        <v>30</v>
      </c>
      <c r="B31" s="171" t="s">
        <v>221</v>
      </c>
      <c r="C31" s="8">
        <v>2.0427865982055664</v>
      </c>
      <c r="D31" s="9">
        <v>10.199999809265137</v>
      </c>
      <c r="E31" s="9">
        <v>2.2799999713897705</v>
      </c>
      <c r="F31" s="9">
        <v>11.399999618530273</v>
      </c>
      <c r="G31" s="9">
        <v>0.7108035683631897</v>
      </c>
      <c r="H31" s="9">
        <v>0.20000000298023224</v>
      </c>
      <c r="I31">
        <v>0</v>
      </c>
      <c r="J31"/>
    </row>
    <row r="32" spans="1:10" ht="15" customHeight="1" x14ac:dyDescent="0.15">
      <c r="A32" s="199">
        <v>31</v>
      </c>
      <c r="B32" s="199" t="s">
        <v>222</v>
      </c>
      <c r="C32" s="8">
        <v>2.5517861843109131</v>
      </c>
      <c r="D32" s="9">
        <v>3.119999885559082</v>
      </c>
      <c r="E32" s="9">
        <v>2</v>
      </c>
      <c r="F32" s="9">
        <v>8</v>
      </c>
      <c r="G32" s="9">
        <v>0.33211109042167664</v>
      </c>
      <c r="H32" s="9">
        <v>0.25</v>
      </c>
      <c r="I32">
        <v>0</v>
      </c>
      <c r="J32"/>
    </row>
    <row r="33" spans="1:10" ht="15" customHeight="1" x14ac:dyDescent="0.15">
      <c r="A33" s="200">
        <v>32</v>
      </c>
      <c r="B33" s="200" t="s">
        <v>223</v>
      </c>
      <c r="C33" s="8">
        <v>2.3729250431060791</v>
      </c>
      <c r="D33" s="9">
        <v>6.8600001335144043</v>
      </c>
      <c r="E33" s="9">
        <v>3</v>
      </c>
      <c r="F33" s="9">
        <v>10</v>
      </c>
      <c r="G33" s="9">
        <v>0.85882538557052612</v>
      </c>
      <c r="H33" s="9">
        <v>0.30000001192092896</v>
      </c>
      <c r="I33">
        <v>1.2000000104706032E-8</v>
      </c>
      <c r="J33"/>
    </row>
    <row r="34" spans="1:10" ht="15" customHeight="1" x14ac:dyDescent="0.15">
      <c r="A34" s="201">
        <v>33</v>
      </c>
      <c r="B34" s="201" t="s">
        <v>224</v>
      </c>
      <c r="C34" s="8">
        <v>1</v>
      </c>
      <c r="D34" s="9">
        <v>41.759998321533203</v>
      </c>
      <c r="E34" s="9">
        <v>70</v>
      </c>
      <c r="F34" s="10"/>
      <c r="G34" s="9">
        <v>0.54833883047103882</v>
      </c>
      <c r="H34" s="10"/>
      <c r="I34">
        <v>0</v>
      </c>
      <c r="J34"/>
    </row>
    <row r="35" spans="1:10" ht="15" customHeight="1" x14ac:dyDescent="0.15">
      <c r="A35" s="202">
        <v>34</v>
      </c>
      <c r="B35" s="202" t="s">
        <v>225</v>
      </c>
      <c r="C35" s="8">
        <v>1</v>
      </c>
      <c r="D35" s="9">
        <v>50</v>
      </c>
      <c r="E35" s="10"/>
      <c r="F35" s="10"/>
      <c r="G35" s="7">
        <v>0.13249778747558594</v>
      </c>
      <c r="H35" s="10"/>
      <c r="I35">
        <v>0</v>
      </c>
      <c r="J35"/>
    </row>
    <row r="36" spans="1:10" ht="15" customHeight="1" x14ac:dyDescent="0.15">
      <c r="A36" s="203">
        <v>35</v>
      </c>
      <c r="B36" s="203" t="s">
        <v>226</v>
      </c>
      <c r="C36" s="8">
        <v>1</v>
      </c>
      <c r="D36" s="9">
        <v>5</v>
      </c>
      <c r="E36" s="10"/>
      <c r="F36" s="10"/>
      <c r="G36" s="7">
        <v>0</v>
      </c>
      <c r="H36" s="10"/>
      <c r="I36">
        <v>0</v>
      </c>
      <c r="J36"/>
    </row>
    <row r="37" spans="1:10" ht="15" customHeight="1" x14ac:dyDescent="0.15">
      <c r="A37" s="204">
        <v>36</v>
      </c>
      <c r="B37" s="204" t="s">
        <v>227</v>
      </c>
      <c r="C37" s="8">
        <v>5.4637346267700195</v>
      </c>
      <c r="D37" s="10"/>
      <c r="E37" s="10"/>
      <c r="F37" s="10"/>
      <c r="G37" s="10"/>
      <c r="H37" s="10"/>
      <c r="I37">
        <v>0.31895405054092407</v>
      </c>
      <c r="J37"/>
    </row>
    <row r="38" spans="1:10" ht="15" customHeight="1" x14ac:dyDescent="0.15">
      <c r="A38" s="205">
        <v>37</v>
      </c>
      <c r="B38" s="205" t="s">
        <v>228</v>
      </c>
      <c r="C38" s="8">
        <v>4.8844013214111328</v>
      </c>
      <c r="D38" s="10"/>
      <c r="E38" s="10"/>
      <c r="F38" s="10"/>
      <c r="G38" s="10"/>
      <c r="H38" s="10"/>
      <c r="I38">
        <v>2.0000000233721948E-7</v>
      </c>
      <c r="J38"/>
    </row>
    <row r="39" spans="1:10" ht="15" customHeight="1" x14ac:dyDescent="0.15">
      <c r="A39" s="206">
        <v>38</v>
      </c>
      <c r="B39" s="206" t="s">
        <v>229</v>
      </c>
      <c r="C39" s="8">
        <v>4.8211617469787598</v>
      </c>
      <c r="D39" s="10"/>
      <c r="E39" s="10"/>
      <c r="F39" s="10"/>
      <c r="G39" s="10"/>
      <c r="H39" s="10"/>
      <c r="I39">
        <v>5.4795805364847183E-2</v>
      </c>
      <c r="J39"/>
    </row>
    <row r="40" spans="1:10" ht="15" customHeight="1" x14ac:dyDescent="0.15">
      <c r="A40" s="207">
        <v>39</v>
      </c>
      <c r="B40" s="207" t="s">
        <v>230</v>
      </c>
      <c r="C40" s="8">
        <v>4.5513300895690918</v>
      </c>
      <c r="D40" s="10"/>
      <c r="E40" s="10"/>
      <c r="F40" s="10"/>
      <c r="G40" s="10"/>
      <c r="H40" s="10"/>
      <c r="I40">
        <v>4.1430100798606873E-2</v>
      </c>
      <c r="J40"/>
    </row>
    <row r="41" spans="1:10" ht="15" customHeight="1" x14ac:dyDescent="0.15">
      <c r="A41" s="208">
        <v>40</v>
      </c>
      <c r="B41" s="208" t="s">
        <v>231</v>
      </c>
      <c r="C41" s="8">
        <v>5.5684700012207031</v>
      </c>
      <c r="D41" s="10"/>
      <c r="E41" s="10"/>
      <c r="F41" s="10"/>
      <c r="G41" s="10"/>
      <c r="H41" s="10"/>
      <c r="I41">
        <v>1.2099999935344385E-7</v>
      </c>
      <c r="J41"/>
    </row>
    <row r="42" spans="1:10" ht="15" customHeight="1" x14ac:dyDescent="0.15">
      <c r="A42" s="209">
        <v>41</v>
      </c>
      <c r="B42" s="209" t="s">
        <v>232</v>
      </c>
      <c r="C42" s="8">
        <v>3.3729250431060791</v>
      </c>
      <c r="D42" s="10"/>
      <c r="E42" s="10"/>
      <c r="F42" s="10"/>
      <c r="G42" s="10"/>
      <c r="H42" s="10"/>
      <c r="I42">
        <v>9.9999999392252903E-9</v>
      </c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0" bestFit="1" customWidth="1"/>
    <col min="2" max="4" width="9.5" style="80" bestFit="1" customWidth="1"/>
    <col min="5" max="7" width="9" style="80" bestFit="1" customWidth="1"/>
    <col min="8" max="16" width="12.6640625" style="80" bestFit="1" customWidth="1"/>
    <col min="17" max="17" width="12.33203125" style="80" bestFit="1" customWidth="1"/>
    <col min="18" max="18" width="8.83203125" style="80"/>
    <col min="19" max="21" width="9.33203125" style="80" bestFit="1" customWidth="1"/>
    <col min="22" max="23" width="8.83203125" style="80"/>
    <col min="24" max="24" width="9.33203125" style="80" bestFit="1" customWidth="1"/>
    <col min="25" max="27" width="8.83203125" style="80"/>
    <col min="28" max="58" width="9" style="80" bestFit="1" customWidth="1"/>
    <col min="59" max="59" width="12.33203125" style="80" bestFit="1" customWidth="1"/>
    <col min="60" max="60" width="9" style="80" bestFit="1" customWidth="1"/>
    <col min="61" max="61" width="11.33203125" style="80" bestFit="1" customWidth="1"/>
    <col min="62" max="77" width="9" style="80" bestFit="1" customWidth="1"/>
    <col min="78" max="78" width="12.33203125" style="80" bestFit="1" customWidth="1"/>
    <col min="79" max="79" width="9" style="80" bestFit="1" customWidth="1"/>
    <col min="80" max="80" width="12.33203125" style="80" bestFit="1" customWidth="1"/>
    <col min="81" max="107" width="9" style="80" bestFit="1" customWidth="1"/>
    <col min="108" max="108" width="11.33203125" style="80" bestFit="1" customWidth="1"/>
    <col min="109" max="124" width="9" style="80" bestFit="1" customWidth="1"/>
    <col min="125" max="125" width="10.33203125" style="80" bestFit="1" customWidth="1"/>
    <col min="126" max="129" width="9.33203125" style="80" bestFit="1" customWidth="1"/>
    <col min="130" max="130" width="9" style="80" bestFit="1" customWidth="1"/>
    <col min="131" max="134" width="9.33203125" style="80" bestFit="1" customWidth="1"/>
    <col min="135" max="165" width="9" style="80" bestFit="1" customWidth="1"/>
    <col min="166" max="166" width="12.33203125" style="80" bestFit="1" customWidth="1"/>
    <col min="167" max="170" width="9" style="80" bestFit="1" customWidth="1"/>
    <col min="171" max="176" width="8.83203125" style="80"/>
    <col min="177" max="177" width="13.83203125" style="80" bestFit="1" customWidth="1"/>
    <col min="178" max="16384" width="8.83203125" style="80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237</v>
      </c>
      <c r="E1" t="s">
        <v>238</v>
      </c>
      <c r="F1" t="s">
        <v>239</v>
      </c>
      <c r="G1" t="s">
        <v>240</v>
      </c>
      <c r="H1" t="s">
        <v>241</v>
      </c>
      <c r="I1" t="s">
        <v>242</v>
      </c>
      <c r="J1" t="s">
        <v>192</v>
      </c>
      <c r="K1" t="s">
        <v>193</v>
      </c>
      <c r="L1" t="s">
        <v>194</v>
      </c>
      <c r="M1" t="s">
        <v>195</v>
      </c>
      <c r="N1" t="s">
        <v>196</v>
      </c>
      <c r="O1" t="s">
        <v>197</v>
      </c>
      <c r="P1" t="s">
        <v>198</v>
      </c>
      <c r="Q1" t="s">
        <v>199</v>
      </c>
      <c r="R1" t="s">
        <v>200</v>
      </c>
      <c r="S1" t="s">
        <v>201</v>
      </c>
      <c r="T1" t="s">
        <v>202</v>
      </c>
      <c r="U1" t="s">
        <v>203</v>
      </c>
      <c r="V1" t="s">
        <v>204</v>
      </c>
      <c r="W1" t="s">
        <v>205</v>
      </c>
      <c r="X1" t="s">
        <v>206</v>
      </c>
      <c r="Y1" t="s">
        <v>207</v>
      </c>
      <c r="Z1" t="s">
        <v>208</v>
      </c>
      <c r="AA1" t="s">
        <v>209</v>
      </c>
      <c r="AB1" t="s">
        <v>210</v>
      </c>
      <c r="AC1" t="s">
        <v>211</v>
      </c>
      <c r="AD1" t="s">
        <v>212</v>
      </c>
      <c r="AE1" t="s">
        <v>213</v>
      </c>
      <c r="AF1" t="s">
        <v>214</v>
      </c>
      <c r="AG1" t="s">
        <v>215</v>
      </c>
      <c r="AH1" t="s">
        <v>216</v>
      </c>
      <c r="AI1" t="s">
        <v>217</v>
      </c>
      <c r="AJ1" t="s">
        <v>218</v>
      </c>
      <c r="AK1" t="s">
        <v>219</v>
      </c>
      <c r="AL1" t="s">
        <v>220</v>
      </c>
      <c r="AM1" t="s">
        <v>221</v>
      </c>
      <c r="AN1" t="s">
        <v>222</v>
      </c>
      <c r="AO1" t="s">
        <v>223</v>
      </c>
      <c r="AP1" t="s">
        <v>224</v>
      </c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7.5000002980232239E-2</v>
      </c>
      <c r="C2">
        <v>7.4370026588439941E-2</v>
      </c>
      <c r="D2"/>
      <c r="E2"/>
      <c r="F2"/>
      <c r="G2"/>
      <c r="H2"/>
      <c r="I2"/>
      <c r="J2"/>
      <c r="K2"/>
      <c r="L2" s="22">
        <v>6.2997755594551563E-4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0.30000001192092896</v>
      </c>
      <c r="C3">
        <v>0.2995738685131073</v>
      </c>
      <c r="D3" s="11">
        <v>1.5384614471258828E-6</v>
      </c>
      <c r="E3"/>
      <c r="F3" s="11">
        <v>7.6923072356294142E-7</v>
      </c>
      <c r="G3"/>
      <c r="H3"/>
      <c r="I3"/>
      <c r="J3" s="14">
        <v>3.5438715713098645E-4</v>
      </c>
      <c r="K3" s="11">
        <v>3.049983888558927E-6</v>
      </c>
      <c r="L3"/>
      <c r="M3"/>
      <c r="N3" s="11">
        <v>2.3203705495689064E-5</v>
      </c>
      <c r="O3"/>
      <c r="P3"/>
      <c r="Q3"/>
      <c r="R3" s="11">
        <v>1.999954110942781E-5</v>
      </c>
      <c r="S3"/>
      <c r="T3"/>
      <c r="U3"/>
      <c r="V3"/>
      <c r="W3" s="11">
        <v>1.4256808753998484E-5</v>
      </c>
      <c r="X3" s="11">
        <v>8.9419791038380936E-6</v>
      </c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0.14000000059604645</v>
      </c>
      <c r="C4">
        <v>0.1399882435798645</v>
      </c>
      <c r="D4" s="11">
        <v>2.8571429666612858E-8</v>
      </c>
      <c r="E4"/>
      <c r="F4" s="11">
        <v>1.4285714833306429E-8</v>
      </c>
      <c r="G4"/>
      <c r="H4" s="11">
        <v>1.4285714655670745E-7</v>
      </c>
      <c r="I4"/>
      <c r="J4" s="11">
        <v>6.5814761001092847E-6</v>
      </c>
      <c r="K4"/>
      <c r="L4" s="11">
        <v>1.7999358306042268E-6</v>
      </c>
      <c r="M4"/>
      <c r="N4"/>
      <c r="O4"/>
      <c r="P4"/>
      <c r="Q4"/>
      <c r="R4" s="11">
        <v>3.714200715876359E-7</v>
      </c>
      <c r="S4"/>
      <c r="T4"/>
      <c r="U4"/>
      <c r="V4"/>
      <c r="W4" s="11">
        <v>2.6476932362129446E-6</v>
      </c>
      <c r="X4" s="11">
        <v>1.6606533392860001E-7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0.17000000178813934</v>
      </c>
      <c r="C5">
        <v>0.16976229846477509</v>
      </c>
      <c r="D5" s="11">
        <v>5.2631583002948901E-7</v>
      </c>
      <c r="E5"/>
      <c r="F5"/>
      <c r="G5"/>
      <c r="H5"/>
      <c r="I5"/>
      <c r="J5" s="14">
        <v>2.3534380306955427E-4</v>
      </c>
      <c r="K5"/>
      <c r="L5"/>
      <c r="M5" s="11">
        <v>1.838879825299955E-6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0.18999999761581421</v>
      </c>
      <c r="C6">
        <v>5.601055920124054E-2</v>
      </c>
      <c r="D6"/>
      <c r="E6"/>
      <c r="F6" s="11">
        <v>6.6666666498349514E-7</v>
      </c>
      <c r="G6"/>
      <c r="H6"/>
      <c r="I6"/>
      <c r="J6" s="13">
        <v>7.2267190553247929E-3</v>
      </c>
      <c r="K6"/>
      <c r="L6" s="222">
        <v>6.7197605967521667E-2</v>
      </c>
      <c r="M6"/>
      <c r="N6" s="75">
        <v>4.2230743914842606E-2</v>
      </c>
      <c r="O6"/>
      <c r="P6"/>
      <c r="Q6"/>
      <c r="R6" s="68">
        <v>1.7332937568426132E-2</v>
      </c>
      <c r="S6"/>
      <c r="T6"/>
      <c r="U6"/>
      <c r="V6"/>
      <c r="W6"/>
      <c r="X6" s="11">
        <v>7.7497156780736987E-7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0.20000000298023224</v>
      </c>
      <c r="C7">
        <v>0.19994272291660309</v>
      </c>
      <c r="D7" s="11">
        <v>7.6923072356294142E-8</v>
      </c>
      <c r="E7"/>
      <c r="F7"/>
      <c r="G7"/>
      <c r="H7"/>
      <c r="I7"/>
      <c r="J7"/>
      <c r="K7"/>
      <c r="L7" s="11">
        <v>9.6919620773405768E-6</v>
      </c>
      <c r="M7" s="11">
        <v>2.6875934509007493E-6</v>
      </c>
      <c r="N7"/>
      <c r="O7" s="11">
        <v>1.6189192137971986E-6</v>
      </c>
      <c r="P7"/>
      <c r="Q7"/>
      <c r="R7" s="11">
        <v>1.999954110942781E-5</v>
      </c>
      <c r="S7"/>
      <c r="T7"/>
      <c r="U7"/>
      <c r="V7"/>
      <c r="W7" s="11">
        <v>1.4256808753998484E-5</v>
      </c>
      <c r="X7" s="11">
        <v>8.9419791038380936E-6</v>
      </c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0.15000000596046448</v>
      </c>
      <c r="C8">
        <v>0.12195522338151932</v>
      </c>
      <c r="D8" s="11">
        <v>8.4615390250064593E-9</v>
      </c>
      <c r="E8"/>
      <c r="F8"/>
      <c r="G8"/>
      <c r="H8"/>
      <c r="I8"/>
      <c r="J8"/>
      <c r="K8"/>
      <c r="L8" s="25">
        <v>4.8459814861416817E-3</v>
      </c>
      <c r="M8"/>
      <c r="N8"/>
      <c r="O8"/>
      <c r="P8"/>
      <c r="Q8"/>
      <c r="R8"/>
      <c r="S8"/>
      <c r="T8"/>
      <c r="U8"/>
      <c r="V8"/>
      <c r="W8" s="73">
        <v>1.4256809838116169E-2</v>
      </c>
      <c r="X8" s="66">
        <v>8.9419791474938393E-3</v>
      </c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3</v>
      </c>
      <c r="C9">
        <v>2.4249608516693115</v>
      </c>
      <c r="D9"/>
      <c r="E9"/>
      <c r="F9"/>
      <c r="G9"/>
      <c r="H9"/>
      <c r="I9"/>
      <c r="J9"/>
      <c r="K9" s="11">
        <v>1.5118672536118538E-6</v>
      </c>
      <c r="L9" s="11">
        <v>4.8042747948784381E-5</v>
      </c>
      <c r="M9" s="11">
        <v>1.3322314771357924E-6</v>
      </c>
      <c r="N9"/>
      <c r="O9"/>
      <c r="P9"/>
      <c r="Q9"/>
      <c r="R9" s="11">
        <v>9.9137087090639398E-6</v>
      </c>
      <c r="S9"/>
      <c r="T9"/>
      <c r="U9"/>
      <c r="V9"/>
      <c r="W9" s="221">
        <v>0.35335275530815125</v>
      </c>
      <c r="X9" s="217">
        <v>0.22162552177906036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0.30000001192092896</v>
      </c>
      <c r="C10">
        <v>0.29998227953910828</v>
      </c>
      <c r="D10" s="11">
        <v>5.0000000584304871E-8</v>
      </c>
      <c r="E10"/>
      <c r="F10"/>
      <c r="G10"/>
      <c r="H10" s="11">
        <v>5.0000000584304871E-8</v>
      </c>
      <c r="I10"/>
      <c r="J10"/>
      <c r="K10" s="11">
        <v>1.9824895503006701E-7</v>
      </c>
      <c r="L10" s="11">
        <v>6.2997751228976995E-6</v>
      </c>
      <c r="M10"/>
      <c r="N10"/>
      <c r="O10"/>
      <c r="P10"/>
      <c r="Q10"/>
      <c r="R10" s="11">
        <v>1.2999702221350162E-6</v>
      </c>
      <c r="S10"/>
      <c r="T10"/>
      <c r="U10"/>
      <c r="V10"/>
      <c r="W10" s="11">
        <v>9.2669260993716307E-6</v>
      </c>
      <c r="X10" s="11">
        <v>5.812286758555274E-7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5.000000074505806E-2</v>
      </c>
      <c r="C11">
        <v>3.8783878087997437E-2</v>
      </c>
      <c r="D11"/>
      <c r="E11" s="11">
        <v>1.9999999949504854E-6</v>
      </c>
      <c r="F11"/>
      <c r="G11"/>
      <c r="H11"/>
      <c r="I11"/>
      <c r="J11"/>
      <c r="K11"/>
      <c r="L11" s="11">
        <v>1.2599550245795399E-5</v>
      </c>
      <c r="M11" s="213">
        <v>1.1180389672517776E-2</v>
      </c>
      <c r="N11"/>
      <c r="O11"/>
      <c r="P11"/>
      <c r="Q11"/>
      <c r="R11" s="11">
        <v>2.5999404442700325E-6</v>
      </c>
      <c r="S11"/>
      <c r="T11"/>
      <c r="U11"/>
      <c r="V11"/>
      <c r="W11" s="11">
        <v>1.8533852198743261E-5</v>
      </c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0.2800000011920929</v>
      </c>
      <c r="C12">
        <v>1.3999937102198601E-2</v>
      </c>
      <c r="D12" s="11">
        <v>2.5166178030389119E-9</v>
      </c>
      <c r="E12"/>
      <c r="F12"/>
      <c r="G12" s="11">
        <v>2.5166178474478329E-8</v>
      </c>
      <c r="H12"/>
      <c r="I12"/>
      <c r="J12"/>
      <c r="K12"/>
      <c r="L12"/>
      <c r="M12" s="11">
        <v>1.1430562153691426E-4</v>
      </c>
      <c r="N12" s="11">
        <v>2.2773996533942409E-5</v>
      </c>
      <c r="O12"/>
      <c r="P12"/>
      <c r="Q12"/>
      <c r="R12"/>
      <c r="S12"/>
      <c r="T12"/>
      <c r="U12"/>
      <c r="V12"/>
      <c r="W12" s="236">
        <v>0.26586294174194336</v>
      </c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0.44999998807907104</v>
      </c>
      <c r="C13">
        <v>0.13586048781871796</v>
      </c>
      <c r="D13" s="11">
        <v>1.4285713723083404E-9</v>
      </c>
      <c r="E13"/>
      <c r="F13"/>
      <c r="G13" s="17">
        <v>5.9185712598264217E-3</v>
      </c>
      <c r="H13"/>
      <c r="I13"/>
      <c r="J13" s="24">
        <v>1.2485445477068424E-2</v>
      </c>
      <c r="K13" s="14">
        <v>1.1328512337058783E-3</v>
      </c>
      <c r="L13" s="21">
        <v>9.1796731576323509E-3</v>
      </c>
      <c r="M13" s="11">
        <v>4.9967617087531835E-5</v>
      </c>
      <c r="N13" s="70">
        <v>3.1931616365909576E-2</v>
      </c>
      <c r="O13"/>
      <c r="P13"/>
      <c r="Q13"/>
      <c r="R13" s="12">
        <v>1.8571231048554182E-3</v>
      </c>
      <c r="S13"/>
      <c r="T13"/>
      <c r="U13" s="137">
        <v>4.4999998062849045E-2</v>
      </c>
      <c r="V13" s="233">
        <v>8.2971043884754181E-2</v>
      </c>
      <c r="W13" s="232">
        <v>8.1284180283546448E-2</v>
      </c>
      <c r="X13"/>
      <c r="Y13"/>
      <c r="Z13"/>
      <c r="AA13"/>
      <c r="AB13" s="15">
        <v>4.4352132827043533E-3</v>
      </c>
      <c r="AC13" s="14">
        <v>5.4368335986509919E-4</v>
      </c>
      <c r="AD13"/>
      <c r="AE13"/>
      <c r="AF13" s="230">
        <v>3.7350118160247803E-2</v>
      </c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0.17000000178813934</v>
      </c>
      <c r="C14">
        <v>0.16999772191047668</v>
      </c>
      <c r="D14" s="11">
        <v>1.8333332718611928E-7</v>
      </c>
      <c r="E14"/>
      <c r="F14"/>
      <c r="G14"/>
      <c r="H14"/>
      <c r="I14"/>
      <c r="J14"/>
      <c r="K14"/>
      <c r="L14" s="11">
        <v>2.0999250409658998E-6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0.20000000298023224</v>
      </c>
      <c r="C15">
        <v>1.0000002570450306E-2</v>
      </c>
      <c r="D15" s="210">
        <v>0.18541949987411499</v>
      </c>
      <c r="E15"/>
      <c r="F15" s="211">
        <v>4.5785680413246155E-3</v>
      </c>
      <c r="G15"/>
      <c r="H15"/>
      <c r="I15"/>
      <c r="J15"/>
      <c r="K15" s="11">
        <v>3.4194622688943355E-9</v>
      </c>
      <c r="L15"/>
      <c r="M15"/>
      <c r="N15"/>
      <c r="O15"/>
      <c r="P15"/>
      <c r="Q15"/>
      <c r="R15" s="11">
        <v>2.2422308632030763E-7</v>
      </c>
      <c r="S15"/>
      <c r="T15"/>
      <c r="U15"/>
      <c r="V15"/>
      <c r="W15" s="11">
        <v>1.5983895309545915E-6</v>
      </c>
      <c r="X15" s="11">
        <v>1.0025220831266779E-7</v>
      </c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0.25</v>
      </c>
      <c r="C16">
        <v>1.2500002980232239E-2</v>
      </c>
      <c r="D16" s="136">
        <v>0.16087621450424194</v>
      </c>
      <c r="E16"/>
      <c r="F16" s="212">
        <v>7.6623380184173584E-2</v>
      </c>
      <c r="G16"/>
      <c r="H16"/>
      <c r="I16"/>
      <c r="J16"/>
      <c r="K16"/>
      <c r="L16"/>
      <c r="M16"/>
      <c r="N16"/>
      <c r="O16"/>
      <c r="P16"/>
      <c r="Q16"/>
      <c r="R16" s="11">
        <v>4.0256537658933667E-7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0.23000000417232513</v>
      </c>
      <c r="C17">
        <v>0.1632203608751297</v>
      </c>
      <c r="D17" s="14">
        <v>5.2959995809942484E-4</v>
      </c>
      <c r="E17"/>
      <c r="F17"/>
      <c r="G17"/>
      <c r="H17"/>
      <c r="I17"/>
      <c r="J17"/>
      <c r="K17" s="219">
        <v>6.6215150058269501E-2</v>
      </c>
      <c r="L17" s="11">
        <v>1.2599550245795399E-5</v>
      </c>
      <c r="M17"/>
      <c r="N17"/>
      <c r="O17"/>
      <c r="P17"/>
      <c r="Q17"/>
      <c r="R17" s="11">
        <v>2.5999404442700325E-6</v>
      </c>
      <c r="S17"/>
      <c r="T17"/>
      <c r="U17"/>
      <c r="V17"/>
      <c r="W17" s="11">
        <v>1.8533852198743261E-5</v>
      </c>
      <c r="X17" s="11">
        <v>1.1624573517110548E-6</v>
      </c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0.12999999523162842</v>
      </c>
      <c r="C18">
        <v>6.1749551445245743E-2</v>
      </c>
      <c r="D18" s="11">
        <v>1.6666666269316011E-8</v>
      </c>
      <c r="E18"/>
      <c r="F18"/>
      <c r="G18"/>
      <c r="H18"/>
      <c r="I18"/>
      <c r="J18"/>
      <c r="K18"/>
      <c r="L18" s="228">
        <v>6.8247564136981964E-2</v>
      </c>
      <c r="M18"/>
      <c r="N18"/>
      <c r="O18"/>
      <c r="P18"/>
      <c r="Q18"/>
      <c r="R18" s="11">
        <v>2.1666168947831466E-7</v>
      </c>
      <c r="S18"/>
      <c r="T18"/>
      <c r="U18"/>
      <c r="V18" s="11">
        <v>1.0999948472090182E-6</v>
      </c>
      <c r="W18" s="11">
        <v>1.5444876453329925E-6</v>
      </c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7.0000000298023224E-2</v>
      </c>
      <c r="C19">
        <v>6.8868018686771393E-2</v>
      </c>
      <c r="D19" s="11">
        <v>4.9999998736893758E-6</v>
      </c>
      <c r="E19"/>
      <c r="F19"/>
      <c r="G19"/>
      <c r="H19"/>
      <c r="I19"/>
      <c r="J19"/>
      <c r="K19" s="11">
        <v>9.9124472399125807E-6</v>
      </c>
      <c r="L19" s="12">
        <v>3.1498874886892736E-4</v>
      </c>
      <c r="M19" s="11">
        <v>8.73467797646299E-6</v>
      </c>
      <c r="N19"/>
      <c r="O19"/>
      <c r="P19"/>
      <c r="Q19"/>
      <c r="R19"/>
      <c r="S19"/>
      <c r="T19"/>
      <c r="U19"/>
      <c r="V19" s="12">
        <v>3.2999846735037863E-4</v>
      </c>
      <c r="W19" s="23">
        <v>4.6334628132171929E-4</v>
      </c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0.56999999284744263</v>
      </c>
      <c r="C20">
        <v>2.8506292030215263E-2</v>
      </c>
      <c r="D20"/>
      <c r="E20"/>
      <c r="F20"/>
      <c r="G20"/>
      <c r="H20"/>
      <c r="I20"/>
      <c r="J20"/>
      <c r="K20" s="11">
        <v>2.1706531683207686E-8</v>
      </c>
      <c r="L20" s="11">
        <v>6.8977044520579511E-7</v>
      </c>
      <c r="M20" s="11">
        <v>1.9127423200870908E-8</v>
      </c>
      <c r="N20"/>
      <c r="O20"/>
      <c r="P20" s="231">
        <v>0.14772422611713409</v>
      </c>
      <c r="Q20"/>
      <c r="R20" s="11">
        <v>1.4233539502583881E-7</v>
      </c>
      <c r="S20"/>
      <c r="T20"/>
      <c r="U20"/>
      <c r="V20" s="11">
        <v>7.2263907213709899E-7</v>
      </c>
      <c r="W20" s="11">
        <v>1.0146475659666976E-7</v>
      </c>
      <c r="X20"/>
      <c r="Y20"/>
      <c r="Z20"/>
      <c r="AA20"/>
      <c r="AB20"/>
      <c r="AC20"/>
      <c r="AD20"/>
      <c r="AE20" s="234">
        <v>0.37472021579742432</v>
      </c>
      <c r="AF20"/>
      <c r="AG20" s="224">
        <v>1.9047582522034645E-2</v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0.20999999344348907</v>
      </c>
      <c r="C21">
        <v>0.19022892415523529</v>
      </c>
      <c r="D21" s="11">
        <v>8.3333333122936892E-7</v>
      </c>
      <c r="E21"/>
      <c r="F21"/>
      <c r="G21"/>
      <c r="H21"/>
      <c r="I21"/>
      <c r="J21"/>
      <c r="K21" s="11">
        <v>3.3041490610230539E-7</v>
      </c>
      <c r="L21" s="11">
        <v>1.0499625204829499E-4</v>
      </c>
      <c r="M21"/>
      <c r="N21" s="140">
        <v>6.0329637490212917E-3</v>
      </c>
      <c r="O21"/>
      <c r="P21"/>
      <c r="Q21"/>
      <c r="R21" s="11">
        <v>2.1666170141543262E-5</v>
      </c>
      <c r="S21"/>
      <c r="T21"/>
      <c r="U21"/>
      <c r="V21"/>
      <c r="W21" s="11">
        <v>1.5444877135450952E-5</v>
      </c>
      <c r="X21" s="29">
        <v>9.687153622508049E-3</v>
      </c>
      <c r="Y21"/>
      <c r="Z21"/>
      <c r="AA21"/>
      <c r="AB21"/>
      <c r="AC21" s="19">
        <v>3.907681442797184E-3</v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0.97000002861022949</v>
      </c>
      <c r="C22">
        <v>4.8503711819648743E-2</v>
      </c>
      <c r="D22"/>
      <c r="E22"/>
      <c r="F22"/>
      <c r="G22"/>
      <c r="H22"/>
      <c r="I22"/>
      <c r="J22"/>
      <c r="K22" s="11">
        <v>2.8813624521717429E-4</v>
      </c>
      <c r="L22" s="15">
        <v>8.6507434025406837E-3</v>
      </c>
      <c r="M22" s="11">
        <v>6.9548998726531863E-4</v>
      </c>
      <c r="N22" s="11">
        <v>6.7241919168736786E-5</v>
      </c>
      <c r="O22"/>
      <c r="P22" s="64">
        <v>2.0931094884872437E-2</v>
      </c>
      <c r="Q22" s="14">
        <v>2.6750834658741951E-3</v>
      </c>
      <c r="R22"/>
      <c r="S22" s="12">
        <v>4.3151406571269035E-3</v>
      </c>
      <c r="T22" s="247">
        <v>0.48088952898979187</v>
      </c>
      <c r="U22" s="28">
        <v>3.510911762714386E-2</v>
      </c>
      <c r="V22"/>
      <c r="W22"/>
      <c r="X22" s="14">
        <v>2.591294702142477E-3</v>
      </c>
      <c r="Y22"/>
      <c r="Z22"/>
      <c r="AA22" s="11">
        <v>1.3527950795833021E-4</v>
      </c>
      <c r="AB22" s="22">
        <v>7.4743879958987236E-3</v>
      </c>
      <c r="AC22"/>
      <c r="AD22" s="243">
        <v>0.30000001192092896</v>
      </c>
      <c r="AE22"/>
      <c r="AF22"/>
      <c r="AG22"/>
      <c r="AH22" s="66">
        <v>5.767371878027916E-2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0.27000001072883606</v>
      </c>
      <c r="C23">
        <v>1.3505362905561924E-2</v>
      </c>
      <c r="D23" s="11">
        <v>1.3269639609347905E-8</v>
      </c>
      <c r="E23"/>
      <c r="F23"/>
      <c r="G23"/>
      <c r="H23"/>
      <c r="I23"/>
      <c r="J23" s="12">
        <v>8.9866586495190859E-4</v>
      </c>
      <c r="K23" s="15">
        <v>2.6306924410164356E-3</v>
      </c>
      <c r="L23" s="25">
        <v>8.3597349002957344E-3</v>
      </c>
      <c r="M23" s="22">
        <v>2.0631279330700636E-3</v>
      </c>
      <c r="N23" s="22">
        <v>2.0007430575788021E-3</v>
      </c>
      <c r="O23"/>
      <c r="P23"/>
      <c r="Q23"/>
      <c r="R23" s="23">
        <v>1.7250347882509232E-3</v>
      </c>
      <c r="S23" s="28">
        <v>9.6193021163344383E-3</v>
      </c>
      <c r="T23"/>
      <c r="U23"/>
      <c r="V23" s="224">
        <v>8.7579479441046715E-3</v>
      </c>
      <c r="W23" s="225">
        <v>1.229687687009573E-2</v>
      </c>
      <c r="X23" s="229">
        <v>0.15425404906272888</v>
      </c>
      <c r="Y23" s="15">
        <v>2.505456330254674E-3</v>
      </c>
      <c r="Z23" s="24">
        <v>7.16772535815835E-3</v>
      </c>
      <c r="AA23"/>
      <c r="AB23"/>
      <c r="AC23" s="64">
        <v>5.9231473132967949E-3</v>
      </c>
      <c r="AD23"/>
      <c r="AE23" s="227">
        <v>3.5301603376865387E-2</v>
      </c>
      <c r="AF23" s="18">
        <v>2.9905273113399744E-3</v>
      </c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0.31000000238418579</v>
      </c>
      <c r="C24">
        <v>1.5465414151549339E-2</v>
      </c>
      <c r="D24" s="11">
        <v>9.9572609713050042E-8</v>
      </c>
      <c r="E24"/>
      <c r="F24" s="11">
        <v>9.0520551054851239E-8</v>
      </c>
      <c r="G24"/>
      <c r="H24"/>
      <c r="I24"/>
      <c r="J24"/>
      <c r="K24"/>
      <c r="L24" s="11">
        <v>1.1405182931412128E-7</v>
      </c>
      <c r="M24"/>
      <c r="N24" s="226">
        <v>0.2184428870677948</v>
      </c>
      <c r="O24"/>
      <c r="P24"/>
      <c r="Q24"/>
      <c r="R24" s="220">
        <v>6.1190497130155563E-2</v>
      </c>
      <c r="S24"/>
      <c r="T24"/>
      <c r="U24"/>
      <c r="V24"/>
      <c r="W24"/>
      <c r="X24"/>
      <c r="Y24"/>
      <c r="Z24"/>
      <c r="AA24"/>
      <c r="AB24"/>
      <c r="AC24" s="214">
        <v>1.4900919049978256E-2</v>
      </c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0.2199999988079071</v>
      </c>
      <c r="C25">
        <v>1.1011227034032345E-2</v>
      </c>
      <c r="D25" s="11">
        <v>9.1455490291991737E-8</v>
      </c>
      <c r="E25"/>
      <c r="F25"/>
      <c r="G25"/>
      <c r="H25" s="11">
        <v>9.1455490291991737E-8</v>
      </c>
      <c r="I25"/>
      <c r="J25"/>
      <c r="K25"/>
      <c r="L25" s="223">
        <v>0.11523201316595078</v>
      </c>
      <c r="M25" s="11">
        <v>3.1953376833371294E-8</v>
      </c>
      <c r="N25"/>
      <c r="O25" s="216">
        <v>1.9254237413406372E-2</v>
      </c>
      <c r="P25"/>
      <c r="Q25"/>
      <c r="R25" s="218">
        <v>5.9444710612297058E-2</v>
      </c>
      <c r="S25"/>
      <c r="T25"/>
      <c r="U25"/>
      <c r="V25"/>
      <c r="W25" s="11">
        <v>1.695022547210101E-6</v>
      </c>
      <c r="X25" s="11">
        <v>1.0631310942699201E-6</v>
      </c>
      <c r="Y25"/>
      <c r="Z25"/>
      <c r="AA25"/>
      <c r="AB25"/>
      <c r="AC25" s="215">
        <v>1.5054821968078613E-2</v>
      </c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2.5</v>
      </c>
      <c r="C26">
        <v>0.12503042817115784</v>
      </c>
      <c r="D26"/>
      <c r="E26"/>
      <c r="F26"/>
      <c r="G26"/>
      <c r="H26"/>
      <c r="I26"/>
      <c r="J26" s="11">
        <v>5.6562363170087337E-4</v>
      </c>
      <c r="K26" s="14">
        <v>4.6342997811734676E-3</v>
      </c>
      <c r="L26" s="104">
        <v>0.72581779956817627</v>
      </c>
      <c r="M26" s="14">
        <v>4.2003416456282139E-3</v>
      </c>
      <c r="N26" s="11">
        <v>1.762844156473875E-3</v>
      </c>
      <c r="O26"/>
      <c r="P26" s="141">
        <v>0.1532653272151947</v>
      </c>
      <c r="Q26"/>
      <c r="R26" s="12">
        <v>8.6823748424649239E-3</v>
      </c>
      <c r="S26" s="23">
        <v>1.5967549756169319E-2</v>
      </c>
      <c r="T26"/>
      <c r="U26" s="15">
        <v>2.6298182085156441E-2</v>
      </c>
      <c r="V26" s="235">
        <v>0.60390543937683105</v>
      </c>
      <c r="W26" s="140">
        <v>7.427147775888443E-2</v>
      </c>
      <c r="X26" s="21">
        <v>4.6583641320466995E-2</v>
      </c>
      <c r="Y26" s="12">
        <v>1.1909931898117065E-2</v>
      </c>
      <c r="Z26" s="22">
        <v>2.1624423563480377E-2</v>
      </c>
      <c r="AA26" s="11">
        <v>4.8099645937327296E-5</v>
      </c>
      <c r="AB26" s="66">
        <v>0.14774152636528015</v>
      </c>
      <c r="AC26" s="11">
        <v>7.853133138269186E-5</v>
      </c>
      <c r="AD26"/>
      <c r="AE26" s="16">
        <v>3.997817263007164E-2</v>
      </c>
      <c r="AF26" s="16">
        <v>3.7633728235960007E-2</v>
      </c>
      <c r="AG26"/>
      <c r="AH26" s="232">
        <v>0.44999998807907104</v>
      </c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2.5</v>
      </c>
      <c r="C27">
        <v>0.12498959898948669</v>
      </c>
      <c r="D27"/>
      <c r="E27"/>
      <c r="F27"/>
      <c r="G27"/>
      <c r="H27"/>
      <c r="I27"/>
      <c r="J27" s="11">
        <v>6.1292288592085242E-5</v>
      </c>
      <c r="K27" s="11">
        <v>1.7935120267793536E-3</v>
      </c>
      <c r="L27" s="11">
        <v>1.7097778618335724E-3</v>
      </c>
      <c r="M27" s="11">
        <v>2.1019482519477606E-3</v>
      </c>
      <c r="N27" s="11">
        <v>2.1149292588233948E-3</v>
      </c>
      <c r="O27"/>
      <c r="P27" s="20">
        <v>0.10937889665365219</v>
      </c>
      <c r="Q27" s="15">
        <v>2.4018388241529465E-2</v>
      </c>
      <c r="R27" s="11">
        <v>4.1161847184412181E-4</v>
      </c>
      <c r="S27" s="15">
        <v>2.5495421141386032E-2</v>
      </c>
      <c r="T27" s="17">
        <v>3.6547541618347168E-2</v>
      </c>
      <c r="U27" s="242">
        <v>1.2111358642578125</v>
      </c>
      <c r="V27" s="11">
        <v>5.9708382468670607E-4</v>
      </c>
      <c r="W27" s="11">
        <v>1.676714513450861E-3</v>
      </c>
      <c r="X27" s="140">
        <v>7.3878347873687744E-2</v>
      </c>
      <c r="Y27" s="18">
        <v>3.174276277422905E-2</v>
      </c>
      <c r="Z27" s="21">
        <v>4.6865448355674744E-2</v>
      </c>
      <c r="AA27" s="11">
        <v>1.4094627695158124E-3</v>
      </c>
      <c r="AB27" s="24">
        <v>7.0217594504356384E-2</v>
      </c>
      <c r="AC27" s="11">
        <v>1.9128271378576756E-3</v>
      </c>
      <c r="AD27"/>
      <c r="AE27" s="105">
        <v>0.42997536063194275</v>
      </c>
      <c r="AF27" s="11">
        <v>6.1171158449724317E-5</v>
      </c>
      <c r="AG27" s="14">
        <v>2.4705240502953529E-3</v>
      </c>
      <c r="AH27" s="216">
        <v>0.21943368017673492</v>
      </c>
      <c r="AI27" s="25">
        <v>7.9999998211860657E-2</v>
      </c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2.8580000400543213</v>
      </c>
      <c r="C28">
        <v>0.14286494255065918</v>
      </c>
      <c r="D28"/>
      <c r="E28"/>
      <c r="F28"/>
      <c r="G28"/>
      <c r="H28"/>
      <c r="I28"/>
      <c r="J28"/>
      <c r="K28" s="11">
        <v>1.2578806490637362E-5</v>
      </c>
      <c r="L28"/>
      <c r="M28"/>
      <c r="N28"/>
      <c r="O28"/>
      <c r="P28" s="11">
        <v>1.4844851102679968E-3</v>
      </c>
      <c r="Q28"/>
      <c r="R28"/>
      <c r="S28" s="11">
        <v>1.1491790792206302E-4</v>
      </c>
      <c r="T28" s="248">
        <v>1.2463870048522949</v>
      </c>
      <c r="U28"/>
      <c r="V28"/>
      <c r="W28"/>
      <c r="X28"/>
      <c r="Y28"/>
      <c r="Z28" s="65">
        <v>0.11978374421596527</v>
      </c>
      <c r="AA28" s="11">
        <v>1.5231548786687199E-6</v>
      </c>
      <c r="AB28"/>
      <c r="AC28"/>
      <c r="AD28"/>
      <c r="AE28"/>
      <c r="AF28" s="11">
        <v>1.7876009223982692E-4</v>
      </c>
      <c r="AG28"/>
      <c r="AH28" s="24">
        <v>7.6949961483478546E-2</v>
      </c>
      <c r="AI28"/>
      <c r="AJ28" s="249">
        <v>1.2702223062515259</v>
      </c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2.9790000915527344</v>
      </c>
      <c r="C29">
        <v>0.14894986152648926</v>
      </c>
      <c r="D29"/>
      <c r="E29"/>
      <c r="F29"/>
      <c r="G29"/>
      <c r="H29"/>
      <c r="I29"/>
      <c r="J29" s="11">
        <v>4.595002974383533E-4</v>
      </c>
      <c r="K29" s="11">
        <v>1.1267931768088602E-5</v>
      </c>
      <c r="L29" s="11">
        <v>2.2378884750651196E-5</v>
      </c>
      <c r="M29" s="11">
        <v>6.2056926708464744E-8</v>
      </c>
      <c r="N29" s="11">
        <v>6.9651003286708146E-5</v>
      </c>
      <c r="O29" s="11">
        <v>1.5700054063927382E-5</v>
      </c>
      <c r="P29" s="11">
        <v>3.8785324431955814E-4</v>
      </c>
      <c r="Q29" s="11">
        <v>1.9620319653768092E-4</v>
      </c>
      <c r="R29"/>
      <c r="S29" s="11">
        <v>2.0588398911058903E-5</v>
      </c>
      <c r="T29" s="67">
        <v>0.18584369122982025</v>
      </c>
      <c r="U29" s="246">
        <v>0.15945520997047424</v>
      </c>
      <c r="V29"/>
      <c r="W29" s="11">
        <v>1.5472013037651777E-3</v>
      </c>
      <c r="X29" s="11">
        <v>1.9614821212599054E-5</v>
      </c>
      <c r="Y29"/>
      <c r="Z29" s="11">
        <v>6.5174908377230167E-4</v>
      </c>
      <c r="AA29" s="11">
        <v>1.1938695934077259E-6</v>
      </c>
      <c r="AB29" s="11">
        <v>4.9629325076239184E-5</v>
      </c>
      <c r="AC29" s="11">
        <v>3.3414973586332053E-5</v>
      </c>
      <c r="AD29" s="251">
        <v>1.6732593774795532</v>
      </c>
      <c r="AE29" s="14">
        <v>4.0636570192873478E-3</v>
      </c>
      <c r="AF29" s="11">
        <v>8.0065488873515278E-5</v>
      </c>
      <c r="AG29" s="11">
        <v>2.1557401851168834E-5</v>
      </c>
      <c r="AH29" s="26">
        <v>7.4675008654594421E-2</v>
      </c>
      <c r="AI29" s="21">
        <v>6.0941293835639954E-2</v>
      </c>
      <c r="AJ29" s="250">
        <v>0.56892430782318115</v>
      </c>
      <c r="AK29" s="224">
        <v>9.9300004541873932E-2</v>
      </c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9.1999998092651367</v>
      </c>
      <c r="C30">
        <v>0.46000009775161743</v>
      </c>
      <c r="D30"/>
      <c r="E30"/>
      <c r="F30"/>
      <c r="G30"/>
      <c r="H30"/>
      <c r="I30"/>
      <c r="J30" s="11">
        <v>1.9535666797310114E-4</v>
      </c>
      <c r="K30"/>
      <c r="L30"/>
      <c r="M30"/>
      <c r="N30"/>
      <c r="O30" s="11">
        <v>1.4951478988223244E-7</v>
      </c>
      <c r="P30" s="11">
        <v>2.4117069551721215E-4</v>
      </c>
      <c r="Q30" s="11">
        <v>5.350655410438776E-4</v>
      </c>
      <c r="R30"/>
      <c r="S30" s="11">
        <v>6.660527418489437E-8</v>
      </c>
      <c r="T30" s="11">
        <v>2.7011672500520945E-4</v>
      </c>
      <c r="U30" s="11">
        <v>3.2909198198467493E-3</v>
      </c>
      <c r="V30"/>
      <c r="W30"/>
      <c r="X30"/>
      <c r="Y30"/>
      <c r="Z30" s="11">
        <v>9.0201727289240807E-5</v>
      </c>
      <c r="AA30" s="11">
        <v>9.4299650754692266E-8</v>
      </c>
      <c r="AB30"/>
      <c r="AC30"/>
      <c r="AD30" s="27">
        <v>0.70300543308258057</v>
      </c>
      <c r="AE30" s="11">
        <v>6.8927686661481857E-3</v>
      </c>
      <c r="AF30" s="11">
        <v>2.8256611130927922E-6</v>
      </c>
      <c r="AG30" s="9">
        <v>8.4533463562408429E-10</v>
      </c>
      <c r="AH30" s="14">
        <v>1.8019970506429672E-2</v>
      </c>
      <c r="AI30"/>
      <c r="AJ30" s="13">
        <v>0.33464008569717407</v>
      </c>
      <c r="AK30" s="252">
        <v>7.3594141006469727</v>
      </c>
      <c r="AL30"/>
      <c r="AM30" s="14">
        <v>2.6726027950644493E-2</v>
      </c>
      <c r="AN30"/>
      <c r="AO30" s="25">
        <v>0.28667569160461426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2.2799999713897705</v>
      </c>
      <c r="C31">
        <v>0.65936785936355591</v>
      </c>
      <c r="D31"/>
      <c r="E31"/>
      <c r="F31"/>
      <c r="G31"/>
      <c r="H31"/>
      <c r="I31"/>
      <c r="J31"/>
      <c r="K31"/>
      <c r="L31"/>
      <c r="M31"/>
      <c r="N31" s="11">
        <v>2.9563918360508978E-4</v>
      </c>
      <c r="O31" s="11">
        <v>6.5017008455470204E-4</v>
      </c>
      <c r="P31" s="14">
        <v>2.9054239857941866E-3</v>
      </c>
      <c r="Q31" s="14">
        <v>4.3319417163729668E-3</v>
      </c>
      <c r="R31"/>
      <c r="S31" s="11">
        <v>1.7046306311385706E-5</v>
      </c>
      <c r="T31" s="240">
        <v>0.31685060262680054</v>
      </c>
      <c r="U31"/>
      <c r="V31"/>
      <c r="W31"/>
      <c r="X31" s="22">
        <v>1.7094977200031281E-2</v>
      </c>
      <c r="Y31" s="11">
        <v>1.2340598914306611E-4</v>
      </c>
      <c r="Z31" s="22">
        <v>1.7987338826060295E-2</v>
      </c>
      <c r="AA31" s="11">
        <v>9.4140256123864674E-7</v>
      </c>
      <c r="AB31" s="11">
        <v>9.1313209850341082E-5</v>
      </c>
      <c r="AC31" s="11">
        <v>4.6064847992965952E-5</v>
      </c>
      <c r="AD31"/>
      <c r="AE31" s="18">
        <v>2.556002140045166E-2</v>
      </c>
      <c r="AF31" s="14">
        <v>2.6516311336308718E-3</v>
      </c>
      <c r="AG31" s="11">
        <v>4.7596273361705244E-4</v>
      </c>
      <c r="AH31" s="65">
        <v>9.511953592300415E-2</v>
      </c>
      <c r="AI31" s="68">
        <v>0.20806913077831268</v>
      </c>
      <c r="AJ31"/>
      <c r="AK31"/>
      <c r="AL31"/>
      <c r="AM31" s="239">
        <v>0.18240000307559967</v>
      </c>
      <c r="AN31" s="25">
        <v>7.3411762714385986E-2</v>
      </c>
      <c r="AO31" s="244">
        <v>0.67254906892776489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2</v>
      </c>
      <c r="C32">
        <v>1.335777759552002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 s="140">
        <v>5.7750340551137924E-2</v>
      </c>
      <c r="Y32"/>
      <c r="Z32" s="12">
        <v>9.6854902803897858E-3</v>
      </c>
      <c r="AA32" s="11">
        <v>8.9252188217869843E-7</v>
      </c>
      <c r="AB32"/>
      <c r="AC32"/>
      <c r="AD32"/>
      <c r="AE32" s="15">
        <v>1.8758729100227356E-2</v>
      </c>
      <c r="AF32" s="22">
        <v>1.6470709815621376E-2</v>
      </c>
      <c r="AG32" s="11">
        <v>1.5560319880023599E-3</v>
      </c>
      <c r="AH32"/>
      <c r="AI32"/>
      <c r="AJ32"/>
      <c r="AK32"/>
      <c r="AL32"/>
      <c r="AM32"/>
      <c r="AN32" s="237">
        <v>0.56000000238418579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3</v>
      </c>
      <c r="C33">
        <v>0.42352384328842163</v>
      </c>
      <c r="D33" s="9">
        <v>1.4577258844461483E-10</v>
      </c>
      <c r="E33"/>
      <c r="F33"/>
      <c r="G33"/>
      <c r="H33" s="9">
        <v>1.4577258844461483E-10</v>
      </c>
      <c r="I33" s="9">
        <v>1.4577259399572995E-9</v>
      </c>
      <c r="J33" s="11">
        <v>1.3821113388985395E-3</v>
      </c>
      <c r="K33" s="11">
        <v>5.7798533816821873E-5</v>
      </c>
      <c r="L33"/>
      <c r="M33"/>
      <c r="N33" s="14">
        <v>3.5605987068265676E-3</v>
      </c>
      <c r="O33" s="11">
        <v>1.6664499416947365E-3</v>
      </c>
      <c r="P33" s="12">
        <v>1.0458990931510925E-2</v>
      </c>
      <c r="Q33" s="11">
        <v>6.2214978970587254E-4</v>
      </c>
      <c r="R33" s="11">
        <v>7.5800016929861158E-5</v>
      </c>
      <c r="S33" s="14">
        <v>6.4248638227581978E-3</v>
      </c>
      <c r="T33" s="14">
        <v>5.8889877982437611E-3</v>
      </c>
      <c r="U33"/>
      <c r="V33"/>
      <c r="W33"/>
      <c r="X33" s="23">
        <v>1.6945457085967064E-2</v>
      </c>
      <c r="Y33" s="14">
        <v>7.3395981453359127E-3</v>
      </c>
      <c r="Z33" s="22">
        <v>2.2025313228368759E-2</v>
      </c>
      <c r="AA33" s="11">
        <v>2.5195549824275076E-5</v>
      </c>
      <c r="AB33" s="14">
        <v>7.2411643341183662E-3</v>
      </c>
      <c r="AC33" s="11">
        <v>9.6573639893904328E-4</v>
      </c>
      <c r="AD33"/>
      <c r="AE33" s="238">
        <v>0.25594997406005859</v>
      </c>
      <c r="AF33" s="14">
        <v>7.8845284879207611E-3</v>
      </c>
      <c r="AG33" s="19">
        <v>5.0718478858470917E-2</v>
      </c>
      <c r="AH33" s="29">
        <v>0.14143137633800507</v>
      </c>
      <c r="AI33" s="238">
        <v>0.25781160593032837</v>
      </c>
      <c r="AJ33"/>
      <c r="AK33"/>
      <c r="AL33"/>
      <c r="AM33" s="67">
        <v>0.18645478785037994</v>
      </c>
      <c r="AN33" s="245">
        <v>1.0915451049804688</v>
      </c>
      <c r="AO33" s="241">
        <v>0.5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70</v>
      </c>
      <c r="C34">
        <v>31.616281509399414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 s="23">
        <v>0.40572485327720642</v>
      </c>
      <c r="AJ34" s="23">
        <v>0.38351356983184814</v>
      </c>
      <c r="AK34" s="225">
        <v>3.2130444049835205</v>
      </c>
      <c r="AL34" s="253">
        <v>34.381439208984375</v>
      </c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/>
      <c r="C35">
        <v>0.13249778747558594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 s="9">
        <v>10.753012657165527</v>
      </c>
      <c r="AJ35"/>
      <c r="AK35" s="9">
        <v>67.088363647460938</v>
      </c>
      <c r="AL35"/>
      <c r="AM35" s="9">
        <v>111.86135864257812</v>
      </c>
      <c r="AN35" s="9">
        <v>14.97599983215332</v>
      </c>
      <c r="AO35" s="9">
        <v>44.590000152587891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/>
      <c r="C36">
        <v>0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3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1" t="s">
        <v>192</v>
      </c>
      <c r="E5">
        <v>4</v>
      </c>
      <c r="F5">
        <v>3.13</v>
      </c>
      <c r="G5">
        <v>4</v>
      </c>
      <c r="H5" s="192" t="s">
        <v>192</v>
      </c>
      <c r="J5" s="57"/>
      <c r="K5" s="58"/>
    </row>
    <row r="6" spans="1:12" ht="14" thickBot="1" x14ac:dyDescent="0.2">
      <c r="A6" s="41" t="s">
        <v>121</v>
      </c>
      <c r="D6" s="191" t="s">
        <v>193</v>
      </c>
      <c r="E6">
        <v>5</v>
      </c>
      <c r="F6">
        <v>3.12</v>
      </c>
      <c r="G6">
        <v>5</v>
      </c>
      <c r="H6" s="192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1" t="s">
        <v>194</v>
      </c>
      <c r="E7">
        <v>6</v>
      </c>
      <c r="F7">
        <v>3.12</v>
      </c>
      <c r="G7">
        <v>6</v>
      </c>
      <c r="H7" s="192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1" t="s">
        <v>195</v>
      </c>
      <c r="E8">
        <v>7</v>
      </c>
      <c r="F8">
        <v>3.12</v>
      </c>
      <c r="G8">
        <v>7</v>
      </c>
      <c r="H8" s="192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1" t="s">
        <v>196</v>
      </c>
      <c r="E9">
        <v>8</v>
      </c>
      <c r="F9">
        <v>3.2</v>
      </c>
      <c r="G9">
        <v>8</v>
      </c>
      <c r="H9" s="192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1" t="s">
        <v>197</v>
      </c>
      <c r="E10">
        <v>9</v>
      </c>
      <c r="F10">
        <v>3.22</v>
      </c>
      <c r="G10">
        <v>9</v>
      </c>
      <c r="H10" s="192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1" t="s">
        <v>198</v>
      </c>
      <c r="E11">
        <v>10</v>
      </c>
      <c r="F11">
        <v>3.12</v>
      </c>
      <c r="G11">
        <v>10</v>
      </c>
      <c r="H11" s="192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1" t="s">
        <v>199</v>
      </c>
      <c r="E12">
        <v>11</v>
      </c>
      <c r="F12">
        <v>3.12</v>
      </c>
      <c r="G12">
        <v>11</v>
      </c>
      <c r="H12" s="192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1" t="s">
        <v>200</v>
      </c>
      <c r="E13">
        <v>12</v>
      </c>
      <c r="F13">
        <v>3.22</v>
      </c>
      <c r="G13">
        <v>12</v>
      </c>
      <c r="H13" s="192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1" t="s">
        <v>201</v>
      </c>
      <c r="E14">
        <v>13</v>
      </c>
      <c r="F14">
        <v>3.22</v>
      </c>
      <c r="G14">
        <v>13</v>
      </c>
      <c r="H14" s="192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1" t="s">
        <v>202</v>
      </c>
      <c r="E15">
        <v>14</v>
      </c>
      <c r="F15">
        <v>3.12</v>
      </c>
      <c r="G15">
        <v>14</v>
      </c>
      <c r="H15" s="192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1" t="s">
        <v>203</v>
      </c>
      <c r="E16">
        <v>15</v>
      </c>
      <c r="F16">
        <v>3.12</v>
      </c>
      <c r="G16">
        <v>15</v>
      </c>
      <c r="H16" s="192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1" t="s">
        <v>204</v>
      </c>
      <c r="E17">
        <v>16</v>
      </c>
      <c r="F17">
        <v>3.12</v>
      </c>
      <c r="G17">
        <v>16</v>
      </c>
      <c r="H17" s="192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1" t="s">
        <v>205</v>
      </c>
      <c r="E18">
        <v>17</v>
      </c>
      <c r="F18">
        <v>3.22</v>
      </c>
      <c r="G18">
        <v>17</v>
      </c>
      <c r="H18" s="192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1" t="s">
        <v>206</v>
      </c>
      <c r="E19">
        <v>18</v>
      </c>
      <c r="F19">
        <v>3.22</v>
      </c>
      <c r="G19">
        <v>18</v>
      </c>
      <c r="H19" s="192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1" t="s">
        <v>207</v>
      </c>
      <c r="E20">
        <v>19</v>
      </c>
      <c r="F20">
        <v>3.22</v>
      </c>
      <c r="G20">
        <v>19</v>
      </c>
      <c r="H20" s="192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1" t="s">
        <v>208</v>
      </c>
      <c r="E21">
        <v>20</v>
      </c>
      <c r="F21">
        <v>3.12</v>
      </c>
      <c r="G21">
        <v>20</v>
      </c>
      <c r="H21" s="192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1" t="s">
        <v>209</v>
      </c>
      <c r="E22">
        <v>21</v>
      </c>
      <c r="F22">
        <v>3.22</v>
      </c>
      <c r="G22">
        <v>21</v>
      </c>
      <c r="H22" s="192" t="s">
        <v>209</v>
      </c>
    </row>
    <row r="23" spans="1:12" x14ac:dyDescent="0.15">
      <c r="A23" s="36" t="s">
        <v>129</v>
      </c>
      <c r="B23" s="44">
        <v>4</v>
      </c>
      <c r="C23" s="38"/>
      <c r="D23" s="191" t="s">
        <v>210</v>
      </c>
      <c r="E23">
        <v>22</v>
      </c>
      <c r="F23">
        <v>3.22</v>
      </c>
      <c r="G23">
        <v>22</v>
      </c>
      <c r="H23" s="192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1" t="s">
        <v>211</v>
      </c>
      <c r="E24">
        <v>23</v>
      </c>
      <c r="F24">
        <v>3.22</v>
      </c>
      <c r="G24">
        <v>23</v>
      </c>
      <c r="H24" s="192" t="s">
        <v>211</v>
      </c>
    </row>
    <row r="25" spans="1:12" x14ac:dyDescent="0.15">
      <c r="A25" s="36" t="s">
        <v>70</v>
      </c>
      <c r="B25" s="44">
        <v>4.2</v>
      </c>
      <c r="C25" s="38"/>
      <c r="D25" s="191" t="s">
        <v>212</v>
      </c>
      <c r="E25">
        <v>24</v>
      </c>
      <c r="F25">
        <v>3.12</v>
      </c>
      <c r="G25">
        <v>24</v>
      </c>
      <c r="H25" s="192" t="s">
        <v>212</v>
      </c>
    </row>
    <row r="26" spans="1:12" x14ac:dyDescent="0.15">
      <c r="A26" s="36" t="s">
        <v>123</v>
      </c>
      <c r="B26" s="44">
        <v>4.3</v>
      </c>
      <c r="C26" s="38"/>
      <c r="D26" s="191" t="s">
        <v>213</v>
      </c>
      <c r="E26">
        <v>25</v>
      </c>
      <c r="F26">
        <v>3.22</v>
      </c>
      <c r="G26">
        <v>25</v>
      </c>
      <c r="H26" s="192" t="s">
        <v>213</v>
      </c>
    </row>
    <row r="27" spans="1:12" x14ac:dyDescent="0.15">
      <c r="A27" s="36" t="s">
        <v>125</v>
      </c>
      <c r="B27" s="44">
        <v>6.1</v>
      </c>
      <c r="D27" s="191" t="s">
        <v>214</v>
      </c>
      <c r="E27">
        <v>26</v>
      </c>
      <c r="F27">
        <v>3.22</v>
      </c>
      <c r="G27">
        <v>26</v>
      </c>
      <c r="H27" s="192" t="s">
        <v>214</v>
      </c>
    </row>
    <row r="28" spans="1:12" x14ac:dyDescent="0.15">
      <c r="A28" s="36" t="s">
        <v>124</v>
      </c>
      <c r="B28" s="44">
        <v>6.2</v>
      </c>
      <c r="D28" s="191" t="s">
        <v>215</v>
      </c>
      <c r="E28">
        <v>27</v>
      </c>
      <c r="F28">
        <v>3.22</v>
      </c>
      <c r="G28">
        <v>27</v>
      </c>
      <c r="H28" s="192" t="s">
        <v>215</v>
      </c>
    </row>
    <row r="29" spans="1:12" x14ac:dyDescent="0.15">
      <c r="A29" s="36" t="s">
        <v>44</v>
      </c>
      <c r="B29" s="44">
        <v>5</v>
      </c>
      <c r="D29" s="191" t="s">
        <v>216</v>
      </c>
      <c r="E29">
        <v>28</v>
      </c>
      <c r="F29">
        <v>3.12</v>
      </c>
      <c r="G29">
        <v>28</v>
      </c>
      <c r="H29" s="192" t="s">
        <v>216</v>
      </c>
    </row>
    <row r="30" spans="1:12" x14ac:dyDescent="0.15">
      <c r="A30" s="36" t="s">
        <v>73</v>
      </c>
      <c r="B30" s="44">
        <v>7</v>
      </c>
      <c r="D30" s="191" t="s">
        <v>217</v>
      </c>
      <c r="E30">
        <v>29</v>
      </c>
      <c r="F30">
        <v>3</v>
      </c>
      <c r="G30">
        <v>29</v>
      </c>
      <c r="H30" s="192" t="s">
        <v>217</v>
      </c>
    </row>
    <row r="31" spans="1:12" x14ac:dyDescent="0.15">
      <c r="A31" s="36" t="s">
        <v>169</v>
      </c>
      <c r="B31" s="44">
        <v>3.14</v>
      </c>
      <c r="D31" s="191" t="s">
        <v>218</v>
      </c>
      <c r="E31">
        <v>30</v>
      </c>
      <c r="F31">
        <v>3.11</v>
      </c>
      <c r="G31">
        <v>30</v>
      </c>
      <c r="H31" s="192" t="s">
        <v>218</v>
      </c>
    </row>
    <row r="32" spans="1:12" ht="12" customHeight="1" thickBot="1" x14ac:dyDescent="0.2">
      <c r="A32" s="42" t="s">
        <v>170</v>
      </c>
      <c r="B32" s="45">
        <v>9</v>
      </c>
      <c r="D32" s="191" t="s">
        <v>219</v>
      </c>
      <c r="E32">
        <v>31</v>
      </c>
      <c r="F32">
        <v>3.11</v>
      </c>
      <c r="G32">
        <v>31</v>
      </c>
      <c r="H32" s="192" t="s">
        <v>219</v>
      </c>
    </row>
    <row r="33" spans="4:8" customFormat="1" ht="12" customHeight="1" x14ac:dyDescent="0.15">
      <c r="D33" s="191" t="s">
        <v>220</v>
      </c>
      <c r="E33">
        <v>32</v>
      </c>
      <c r="F33">
        <v>3.11</v>
      </c>
      <c r="G33">
        <v>32</v>
      </c>
      <c r="H33" s="192" t="s">
        <v>220</v>
      </c>
    </row>
    <row r="34" spans="4:8" customFormat="1" ht="12" customHeight="1" x14ac:dyDescent="0.15">
      <c r="D34" s="191" t="s">
        <v>221</v>
      </c>
      <c r="E34">
        <v>33</v>
      </c>
      <c r="F34">
        <v>3.21</v>
      </c>
      <c r="G34">
        <v>33</v>
      </c>
      <c r="H34" s="192" t="s">
        <v>221</v>
      </c>
    </row>
    <row r="35" spans="4:8" customFormat="1" x14ac:dyDescent="0.15">
      <c r="D35" s="191" t="s">
        <v>222</v>
      </c>
      <c r="E35">
        <v>34</v>
      </c>
      <c r="F35">
        <v>3.21</v>
      </c>
      <c r="G35">
        <v>34</v>
      </c>
      <c r="H35" s="192" t="s">
        <v>222</v>
      </c>
    </row>
    <row r="36" spans="4:8" customFormat="1" x14ac:dyDescent="0.15">
      <c r="D36" s="191" t="s">
        <v>223</v>
      </c>
      <c r="E36">
        <v>35</v>
      </c>
      <c r="F36">
        <v>3.21</v>
      </c>
      <c r="G36">
        <v>35</v>
      </c>
      <c r="H36" s="192" t="s">
        <v>223</v>
      </c>
    </row>
    <row r="37" spans="4:8" customFormat="1" ht="12" customHeight="1" x14ac:dyDescent="0.15">
      <c r="D37" s="191" t="s">
        <v>224</v>
      </c>
      <c r="E37">
        <v>36</v>
      </c>
      <c r="F37">
        <v>2</v>
      </c>
      <c r="G37">
        <v>36</v>
      </c>
      <c r="H37" s="192" t="s">
        <v>224</v>
      </c>
    </row>
    <row r="38" spans="4:8" customFormat="1" x14ac:dyDescent="0.15">
      <c r="D38" s="191" t="s">
        <v>225</v>
      </c>
      <c r="E38">
        <v>37</v>
      </c>
      <c r="F38">
        <v>4.0999999999999996</v>
      </c>
      <c r="G38">
        <v>37</v>
      </c>
      <c r="H38" s="192" t="s">
        <v>225</v>
      </c>
    </row>
    <row r="39" spans="4:8" customFormat="1" x14ac:dyDescent="0.15">
      <c r="D39" s="191" t="s">
        <v>226</v>
      </c>
      <c r="E39">
        <v>38</v>
      </c>
      <c r="F39">
        <v>4.3</v>
      </c>
      <c r="G39">
        <v>38</v>
      </c>
      <c r="H39" s="192" t="s">
        <v>226</v>
      </c>
    </row>
    <row r="40" spans="4:8" customFormat="1" x14ac:dyDescent="0.15">
      <c r="D40" s="191" t="s">
        <v>227</v>
      </c>
      <c r="E40">
        <v>39</v>
      </c>
      <c r="F40">
        <v>5</v>
      </c>
      <c r="G40">
        <v>39</v>
      </c>
      <c r="H40" s="192" t="s">
        <v>227</v>
      </c>
    </row>
    <row r="41" spans="4:8" customFormat="1" x14ac:dyDescent="0.15">
      <c r="D41" s="191" t="s">
        <v>228</v>
      </c>
      <c r="E41">
        <v>40</v>
      </c>
      <c r="F41">
        <v>5</v>
      </c>
      <c r="G41">
        <v>40</v>
      </c>
      <c r="H41" s="192" t="s">
        <v>228</v>
      </c>
    </row>
    <row r="42" spans="4:8" customFormat="1" x14ac:dyDescent="0.15">
      <c r="D42" s="191" t="s">
        <v>229</v>
      </c>
      <c r="E42">
        <v>41</v>
      </c>
      <c r="F42">
        <v>5</v>
      </c>
      <c r="G42">
        <v>41</v>
      </c>
      <c r="H42" s="192" t="s">
        <v>229</v>
      </c>
    </row>
    <row r="43" spans="4:8" customFormat="1" x14ac:dyDescent="0.15">
      <c r="D43" s="191" t="s">
        <v>230</v>
      </c>
      <c r="E43">
        <v>42</v>
      </c>
      <c r="F43">
        <v>5</v>
      </c>
      <c r="G43">
        <v>42</v>
      </c>
      <c r="H43" s="192" t="s">
        <v>230</v>
      </c>
    </row>
    <row r="44" spans="4:8" customFormat="1" x14ac:dyDescent="0.15">
      <c r="D44" s="191" t="s">
        <v>231</v>
      </c>
      <c r="E44">
        <v>43</v>
      </c>
      <c r="F44">
        <v>5</v>
      </c>
      <c r="G44">
        <v>43</v>
      </c>
      <c r="H44" s="192" t="s">
        <v>231</v>
      </c>
    </row>
    <row r="45" spans="4:8" customFormat="1" x14ac:dyDescent="0.15">
      <c r="D45" s="191" t="s">
        <v>232</v>
      </c>
      <c r="E45">
        <v>44</v>
      </c>
      <c r="F45">
        <v>5</v>
      </c>
      <c r="G45">
        <v>44</v>
      </c>
      <c r="H45" s="192" t="s">
        <v>232</v>
      </c>
    </row>
    <row r="46" spans="4:8" customFormat="1" x14ac:dyDescent="0.15">
      <c r="D46" s="191" t="s">
        <v>138</v>
      </c>
      <c r="E46">
        <v>45</v>
      </c>
      <c r="F46">
        <v>6.1</v>
      </c>
      <c r="G46">
        <v>45</v>
      </c>
      <c r="H46" s="192" t="s">
        <v>138</v>
      </c>
    </row>
    <row r="47" spans="4:8" customFormat="1" x14ac:dyDescent="0.15">
      <c r="D47" s="191" t="s">
        <v>45</v>
      </c>
      <c r="E47">
        <v>46</v>
      </c>
      <c r="F47">
        <v>6.2</v>
      </c>
      <c r="G47">
        <v>46</v>
      </c>
      <c r="H47" s="192" t="s">
        <v>45</v>
      </c>
    </row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1" bestFit="1" customWidth="1"/>
    <col min="2" max="2" width="5.83203125" style="80" customWidth="1"/>
    <col min="3" max="3" width="13.1640625" style="80" customWidth="1"/>
    <col min="4" max="4" width="39.6640625" style="80" customWidth="1"/>
    <col min="5" max="5" width="8.1640625" style="80" customWidth="1"/>
    <col min="6" max="6" width="25" style="80" bestFit="1" customWidth="1"/>
    <col min="7" max="9" width="2.33203125" style="80" customWidth="1"/>
    <col min="10" max="10" width="2.33203125" style="80" bestFit="1" customWidth="1"/>
    <col min="11" max="15" width="2.33203125" style="80" customWidth="1"/>
    <col min="16" max="16" width="2.33203125" style="71" customWidth="1"/>
    <col min="17" max="17" width="2.33203125" style="80" customWidth="1"/>
    <col min="18" max="18" width="2.33203125" style="72" customWidth="1"/>
    <col min="19" max="16384" width="11.5" style="80"/>
  </cols>
  <sheetData>
    <row r="1" spans="1:23" ht="15" customHeight="1" thickBot="1" x14ac:dyDescent="0.2">
      <c r="F1" s="1"/>
      <c r="G1" s="69" t="s">
        <v>46</v>
      </c>
      <c r="H1" s="69" t="s">
        <v>47</v>
      </c>
      <c r="I1" s="69" t="s">
        <v>120</v>
      </c>
      <c r="J1" s="69" t="s">
        <v>132</v>
      </c>
      <c r="K1" s="82" t="s">
        <v>48</v>
      </c>
      <c r="L1" s="72"/>
      <c r="M1" s="82" t="s">
        <v>119</v>
      </c>
      <c r="N1" s="72"/>
      <c r="O1" s="82" t="s">
        <v>49</v>
      </c>
      <c r="P1" s="74"/>
      <c r="Q1" s="82" t="s">
        <v>50</v>
      </c>
      <c r="R1" s="69" t="s">
        <v>154</v>
      </c>
    </row>
    <row r="2" spans="1:23" ht="15" customHeight="1" x14ac:dyDescent="0.15">
      <c r="A2" s="82" t="s">
        <v>51</v>
      </c>
      <c r="B2" s="83">
        <v>0.5</v>
      </c>
      <c r="C2" s="81" t="s">
        <v>52</v>
      </c>
      <c r="D2" s="84"/>
      <c r="F2" s="1"/>
      <c r="G2" s="85"/>
      <c r="H2" s="85"/>
      <c r="I2" s="85" t="s">
        <v>133</v>
      </c>
      <c r="J2" s="85" t="s">
        <v>133</v>
      </c>
      <c r="K2" s="85" t="s">
        <v>52</v>
      </c>
      <c r="L2" s="85" t="s">
        <v>53</v>
      </c>
      <c r="M2" s="85" t="s">
        <v>52</v>
      </c>
      <c r="N2" s="85" t="s">
        <v>53</v>
      </c>
      <c r="O2" s="85" t="s">
        <v>52</v>
      </c>
      <c r="P2" s="86" t="s">
        <v>53</v>
      </c>
      <c r="Q2" s="85"/>
      <c r="R2" s="87" t="s">
        <v>155</v>
      </c>
    </row>
    <row r="3" spans="1:23" ht="15" customHeight="1" thickBot="1" x14ac:dyDescent="0.2">
      <c r="A3" s="82" t="s">
        <v>54</v>
      </c>
      <c r="B3" s="88">
        <v>0.5</v>
      </c>
      <c r="C3" s="81" t="s">
        <v>53</v>
      </c>
      <c r="D3" s="84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5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5">
        <v>0</v>
      </c>
      <c r="R4" s="107">
        <v>0</v>
      </c>
    </row>
    <row r="5" spans="1:23" ht="15" customHeight="1" x14ac:dyDescent="0.15">
      <c r="A5" s="82" t="s">
        <v>55</v>
      </c>
      <c r="B5" s="89">
        <v>0.5</v>
      </c>
      <c r="C5" s="81" t="s">
        <v>52</v>
      </c>
      <c r="D5" s="84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5">
        <v>0</v>
      </c>
      <c r="R5" s="107">
        <v>0</v>
      </c>
    </row>
    <row r="6" spans="1:23" ht="15" customHeight="1" thickBot="1" x14ac:dyDescent="0.2">
      <c r="A6" s="82"/>
      <c r="B6" s="90">
        <v>0.5</v>
      </c>
      <c r="C6" s="81" t="s">
        <v>53</v>
      </c>
      <c r="D6" s="84"/>
      <c r="F6" s="193" t="s">
        <v>192</v>
      </c>
      <c r="G6" s="80">
        <v>0</v>
      </c>
      <c r="H6" s="80">
        <v>0</v>
      </c>
      <c r="I6" s="80">
        <v>0</v>
      </c>
      <c r="J6" s="80">
        <v>0</v>
      </c>
      <c r="K6" s="80">
        <v>1</v>
      </c>
      <c r="L6" s="80">
        <v>0</v>
      </c>
      <c r="M6" s="80">
        <v>1</v>
      </c>
      <c r="N6" s="80">
        <v>0</v>
      </c>
      <c r="O6" s="80">
        <v>1</v>
      </c>
      <c r="P6" s="71">
        <v>0</v>
      </c>
      <c r="Q6" s="80">
        <v>0</v>
      </c>
      <c r="R6" s="72">
        <v>1</v>
      </c>
      <c r="S6"/>
      <c r="T6"/>
    </row>
    <row r="7" spans="1:23" ht="15" customHeight="1" thickBot="1" x14ac:dyDescent="0.2">
      <c r="F7" s="193" t="s">
        <v>193</v>
      </c>
      <c r="G7" s="80">
        <v>0</v>
      </c>
      <c r="H7" s="80">
        <v>0</v>
      </c>
      <c r="I7" s="80">
        <v>0</v>
      </c>
      <c r="J7" s="80">
        <v>0</v>
      </c>
      <c r="K7" s="80">
        <v>1</v>
      </c>
      <c r="L7" s="80">
        <v>0</v>
      </c>
      <c r="M7" s="80">
        <v>1</v>
      </c>
      <c r="N7" s="80">
        <v>0</v>
      </c>
      <c r="O7" s="80">
        <v>1</v>
      </c>
      <c r="P7" s="71">
        <v>0</v>
      </c>
      <c r="Q7" s="80">
        <v>0</v>
      </c>
      <c r="R7" s="72">
        <v>1</v>
      </c>
      <c r="S7"/>
      <c r="T7"/>
    </row>
    <row r="8" spans="1:23" ht="15" customHeight="1" x14ac:dyDescent="0.15">
      <c r="A8" s="82" t="s">
        <v>56</v>
      </c>
      <c r="B8" s="89">
        <v>1</v>
      </c>
      <c r="C8" s="194" t="s">
        <v>224</v>
      </c>
      <c r="D8" s="84" t="s">
        <v>160</v>
      </c>
      <c r="F8" s="193" t="s">
        <v>194</v>
      </c>
      <c r="G8" s="80">
        <v>0</v>
      </c>
      <c r="H8" s="80">
        <v>0</v>
      </c>
      <c r="I8" s="80">
        <v>0</v>
      </c>
      <c r="J8" s="80">
        <v>0</v>
      </c>
      <c r="K8" s="80">
        <v>1</v>
      </c>
      <c r="L8" s="80">
        <v>0</v>
      </c>
      <c r="M8" s="80">
        <v>1</v>
      </c>
      <c r="N8" s="80">
        <v>0</v>
      </c>
      <c r="O8" s="80">
        <v>1</v>
      </c>
      <c r="P8" s="71">
        <v>0</v>
      </c>
      <c r="Q8" s="80">
        <v>0</v>
      </c>
      <c r="R8" s="72">
        <v>1</v>
      </c>
      <c r="S8"/>
      <c r="T8"/>
      <c r="W8"/>
    </row>
    <row r="9" spans="1:23" ht="15" customHeight="1" x14ac:dyDescent="0.15">
      <c r="A9" s="121" t="s">
        <v>168</v>
      </c>
      <c r="B9" s="91"/>
      <c r="C9" s="79"/>
      <c r="D9" s="84" t="s">
        <v>160</v>
      </c>
      <c r="F9" s="193" t="s">
        <v>195</v>
      </c>
      <c r="G9" s="80">
        <v>0</v>
      </c>
      <c r="H9" s="80">
        <v>0</v>
      </c>
      <c r="I9" s="80">
        <v>0</v>
      </c>
      <c r="J9" s="80">
        <v>0</v>
      </c>
      <c r="K9" s="80">
        <v>1</v>
      </c>
      <c r="L9" s="80">
        <v>0</v>
      </c>
      <c r="M9" s="80">
        <v>1</v>
      </c>
      <c r="N9" s="80">
        <v>0</v>
      </c>
      <c r="O9" s="80">
        <v>1</v>
      </c>
      <c r="P9" s="71">
        <v>0</v>
      </c>
      <c r="Q9" s="80">
        <v>0</v>
      </c>
      <c r="R9" s="72">
        <v>1</v>
      </c>
      <c r="S9"/>
      <c r="T9"/>
      <c r="W9"/>
    </row>
    <row r="10" spans="1:23" ht="15" customHeight="1" x14ac:dyDescent="0.15">
      <c r="B10" s="91"/>
      <c r="C10" s="79"/>
      <c r="D10" s="84" t="s">
        <v>160</v>
      </c>
      <c r="F10" s="193" t="s">
        <v>196</v>
      </c>
      <c r="G10" s="80">
        <v>0</v>
      </c>
      <c r="H10" s="80">
        <v>0</v>
      </c>
      <c r="I10" s="80">
        <v>0</v>
      </c>
      <c r="J10" s="80">
        <v>0</v>
      </c>
      <c r="K10" s="80">
        <v>1</v>
      </c>
      <c r="L10" s="80">
        <v>0</v>
      </c>
      <c r="M10" s="80">
        <v>1</v>
      </c>
      <c r="N10" s="80">
        <v>0</v>
      </c>
      <c r="O10" s="80">
        <v>1</v>
      </c>
      <c r="P10" s="71">
        <v>0</v>
      </c>
      <c r="Q10" s="80">
        <v>0</v>
      </c>
      <c r="R10" s="72">
        <v>1</v>
      </c>
      <c r="S10"/>
      <c r="T10"/>
      <c r="W10"/>
    </row>
    <row r="11" spans="1:23" ht="15" customHeight="1" x14ac:dyDescent="0.15">
      <c r="A11" s="82"/>
      <c r="B11" s="91"/>
      <c r="C11" s="94"/>
      <c r="D11" s="84" t="s">
        <v>160</v>
      </c>
      <c r="F11" s="193" t="s">
        <v>197</v>
      </c>
      <c r="G11" s="80">
        <v>0</v>
      </c>
      <c r="H11" s="80">
        <v>0</v>
      </c>
      <c r="I11" s="80">
        <v>0</v>
      </c>
      <c r="J11" s="80">
        <v>0</v>
      </c>
      <c r="K11" s="80">
        <v>1</v>
      </c>
      <c r="L11" s="80">
        <v>0</v>
      </c>
      <c r="M11" s="80">
        <v>1</v>
      </c>
      <c r="N11" s="80">
        <v>0</v>
      </c>
      <c r="O11" s="80">
        <v>1</v>
      </c>
      <c r="P11" s="71">
        <v>0</v>
      </c>
      <c r="Q11" s="80">
        <v>0</v>
      </c>
      <c r="R11" s="72">
        <v>1</v>
      </c>
      <c r="S11"/>
      <c r="T11"/>
      <c r="W11"/>
    </row>
    <row r="12" spans="1:23" ht="15" customHeight="1" x14ac:dyDescent="0.15">
      <c r="B12" s="91"/>
      <c r="C12" s="95"/>
      <c r="D12" s="84" t="s">
        <v>160</v>
      </c>
      <c r="F12" s="193" t="s">
        <v>198</v>
      </c>
      <c r="G12" s="80">
        <v>0</v>
      </c>
      <c r="H12" s="80">
        <v>0</v>
      </c>
      <c r="I12" s="80">
        <v>0</v>
      </c>
      <c r="J12" s="80">
        <v>0</v>
      </c>
      <c r="K12" s="80">
        <v>1</v>
      </c>
      <c r="L12" s="80">
        <v>0</v>
      </c>
      <c r="M12" s="80">
        <v>1</v>
      </c>
      <c r="N12" s="80">
        <v>0</v>
      </c>
      <c r="O12" s="80">
        <v>1</v>
      </c>
      <c r="P12" s="71">
        <v>0</v>
      </c>
      <c r="Q12" s="80">
        <v>0</v>
      </c>
      <c r="R12" s="72">
        <v>1</v>
      </c>
      <c r="S12"/>
      <c r="T12"/>
      <c r="W12"/>
    </row>
    <row r="13" spans="1:23" ht="15" customHeight="1" x14ac:dyDescent="0.15">
      <c r="B13" s="91"/>
      <c r="C13" s="95"/>
      <c r="D13" s="84" t="s">
        <v>160</v>
      </c>
      <c r="F13" s="193" t="s">
        <v>199</v>
      </c>
      <c r="G13" s="80">
        <v>0</v>
      </c>
      <c r="H13" s="80">
        <v>0</v>
      </c>
      <c r="I13" s="80">
        <v>0</v>
      </c>
      <c r="J13" s="80">
        <v>0</v>
      </c>
      <c r="K13" s="80">
        <v>1</v>
      </c>
      <c r="L13" s="80">
        <v>0</v>
      </c>
      <c r="M13" s="80">
        <v>1</v>
      </c>
      <c r="N13" s="80">
        <v>0</v>
      </c>
      <c r="O13" s="80">
        <v>1</v>
      </c>
      <c r="P13" s="71">
        <v>0</v>
      </c>
      <c r="Q13" s="80">
        <v>0</v>
      </c>
      <c r="R13" s="72">
        <v>1</v>
      </c>
      <c r="S13"/>
      <c r="T13"/>
      <c r="W13"/>
    </row>
    <row r="14" spans="1:23" ht="15" customHeight="1" x14ac:dyDescent="0.15">
      <c r="B14" s="91"/>
      <c r="C14" s="79"/>
      <c r="D14" s="84" t="s">
        <v>160</v>
      </c>
      <c r="F14" s="193" t="s">
        <v>200</v>
      </c>
      <c r="G14" s="80">
        <v>0</v>
      </c>
      <c r="H14" s="80">
        <v>0</v>
      </c>
      <c r="I14" s="80">
        <v>0</v>
      </c>
      <c r="J14" s="80">
        <v>0</v>
      </c>
      <c r="K14" s="80">
        <v>1</v>
      </c>
      <c r="L14" s="80">
        <v>0</v>
      </c>
      <c r="M14" s="80">
        <v>1</v>
      </c>
      <c r="N14" s="80">
        <v>0</v>
      </c>
      <c r="O14" s="80">
        <v>1</v>
      </c>
      <c r="P14" s="71">
        <v>0</v>
      </c>
      <c r="Q14" s="80">
        <v>0</v>
      </c>
      <c r="R14" s="72">
        <v>1</v>
      </c>
      <c r="S14"/>
      <c r="T14"/>
      <c r="W14"/>
    </row>
    <row r="15" spans="1:23" ht="15" customHeight="1" x14ac:dyDescent="0.15">
      <c r="B15" s="91"/>
      <c r="C15" s="79"/>
      <c r="D15" s="84" t="s">
        <v>160</v>
      </c>
      <c r="F15" s="193" t="s">
        <v>201</v>
      </c>
      <c r="G15" s="80">
        <v>0</v>
      </c>
      <c r="H15" s="80">
        <v>0</v>
      </c>
      <c r="I15" s="80">
        <v>0</v>
      </c>
      <c r="J15" s="80">
        <v>0</v>
      </c>
      <c r="K15" s="80">
        <v>1</v>
      </c>
      <c r="L15" s="80">
        <v>0</v>
      </c>
      <c r="M15" s="80">
        <v>1</v>
      </c>
      <c r="N15" s="80">
        <v>0</v>
      </c>
      <c r="O15" s="80">
        <v>1</v>
      </c>
      <c r="P15" s="71">
        <v>0</v>
      </c>
      <c r="Q15" s="80">
        <v>0</v>
      </c>
      <c r="R15" s="72">
        <v>1</v>
      </c>
      <c r="S15"/>
      <c r="T15"/>
      <c r="W15"/>
    </row>
    <row r="16" spans="1:23" ht="15" customHeight="1" x14ac:dyDescent="0.15">
      <c r="B16" s="91"/>
      <c r="C16" s="79"/>
      <c r="D16" s="84" t="s">
        <v>160</v>
      </c>
      <c r="F16" s="193" t="s">
        <v>202</v>
      </c>
      <c r="G16" s="80">
        <v>0</v>
      </c>
      <c r="H16" s="80">
        <v>0</v>
      </c>
      <c r="I16" s="80">
        <v>0</v>
      </c>
      <c r="J16" s="80">
        <v>0</v>
      </c>
      <c r="K16" s="80">
        <v>1</v>
      </c>
      <c r="L16" s="80">
        <v>0</v>
      </c>
      <c r="M16" s="80">
        <v>1</v>
      </c>
      <c r="N16" s="80">
        <v>0</v>
      </c>
      <c r="O16" s="80">
        <v>1</v>
      </c>
      <c r="P16" s="71">
        <v>0</v>
      </c>
      <c r="Q16" s="80">
        <v>0</v>
      </c>
      <c r="R16" s="72">
        <v>1</v>
      </c>
      <c r="S16"/>
      <c r="T16"/>
    </row>
    <row r="17" spans="1:20" ht="15" customHeight="1" thickBot="1" x14ac:dyDescent="0.2">
      <c r="B17" s="90"/>
      <c r="C17" s="79"/>
      <c r="D17" s="84" t="s">
        <v>160</v>
      </c>
      <c r="F17" s="193" t="s">
        <v>203</v>
      </c>
      <c r="G17" s="80">
        <v>0</v>
      </c>
      <c r="H17" s="80">
        <v>0</v>
      </c>
      <c r="I17" s="80">
        <v>0</v>
      </c>
      <c r="J17" s="80">
        <v>0</v>
      </c>
      <c r="K17" s="80">
        <v>1</v>
      </c>
      <c r="L17" s="80">
        <v>0</v>
      </c>
      <c r="M17" s="80">
        <v>1</v>
      </c>
      <c r="N17" s="80">
        <v>0</v>
      </c>
      <c r="O17" s="80">
        <v>1</v>
      </c>
      <c r="P17" s="71">
        <v>0</v>
      </c>
      <c r="Q17" s="80">
        <v>0</v>
      </c>
      <c r="R17" s="72">
        <v>1</v>
      </c>
      <c r="S17"/>
      <c r="T17"/>
    </row>
    <row r="18" spans="1:20" ht="15" customHeight="1" thickBot="1" x14ac:dyDescent="0.2">
      <c r="B18" s="92"/>
      <c r="F18" s="193" t="s">
        <v>204</v>
      </c>
      <c r="G18" s="80">
        <v>0</v>
      </c>
      <c r="H18" s="80">
        <v>0</v>
      </c>
      <c r="I18" s="80">
        <v>0</v>
      </c>
      <c r="J18" s="80">
        <v>0</v>
      </c>
      <c r="K18" s="80">
        <v>1</v>
      </c>
      <c r="L18" s="80">
        <v>0</v>
      </c>
      <c r="M18" s="80">
        <v>1</v>
      </c>
      <c r="N18" s="80">
        <v>0</v>
      </c>
      <c r="O18" s="80">
        <v>1</v>
      </c>
      <c r="P18" s="71">
        <v>0</v>
      </c>
      <c r="Q18" s="80">
        <v>0</v>
      </c>
      <c r="R18" s="72">
        <v>1</v>
      </c>
      <c r="S18"/>
      <c r="T18"/>
    </row>
    <row r="19" spans="1:20" ht="15" customHeight="1" x14ac:dyDescent="0.15">
      <c r="A19" s="82" t="s">
        <v>57</v>
      </c>
      <c r="B19" s="89">
        <v>1</v>
      </c>
      <c r="C19" s="195" t="s">
        <v>224</v>
      </c>
      <c r="D19" s="84" t="s">
        <v>160</v>
      </c>
      <c r="F19" s="193" t="s">
        <v>205</v>
      </c>
      <c r="G19" s="80">
        <v>0</v>
      </c>
      <c r="H19" s="80">
        <v>0</v>
      </c>
      <c r="I19" s="80">
        <v>0</v>
      </c>
      <c r="J19" s="80">
        <v>0</v>
      </c>
      <c r="K19" s="80">
        <v>1</v>
      </c>
      <c r="L19" s="80">
        <v>0</v>
      </c>
      <c r="M19" s="80">
        <v>1</v>
      </c>
      <c r="N19" s="80">
        <v>0</v>
      </c>
      <c r="O19" s="80">
        <v>1</v>
      </c>
      <c r="P19" s="71">
        <v>0</v>
      </c>
      <c r="Q19" s="80">
        <v>0</v>
      </c>
      <c r="R19" s="72">
        <v>1</v>
      </c>
      <c r="S19"/>
      <c r="T19"/>
    </row>
    <row r="20" spans="1:20" ht="15" customHeight="1" x14ac:dyDescent="0.15">
      <c r="A20" s="121" t="s">
        <v>168</v>
      </c>
      <c r="B20" s="91"/>
      <c r="C20" s="79"/>
      <c r="D20" s="84" t="s">
        <v>160</v>
      </c>
      <c r="F20" s="193" t="s">
        <v>206</v>
      </c>
      <c r="G20" s="80">
        <v>0</v>
      </c>
      <c r="H20" s="80">
        <v>0</v>
      </c>
      <c r="I20" s="80">
        <v>0</v>
      </c>
      <c r="J20" s="80">
        <v>0</v>
      </c>
      <c r="K20" s="80">
        <v>1</v>
      </c>
      <c r="L20" s="80">
        <v>0</v>
      </c>
      <c r="M20" s="80">
        <v>1</v>
      </c>
      <c r="N20" s="80">
        <v>0</v>
      </c>
      <c r="O20" s="80">
        <v>1</v>
      </c>
      <c r="P20" s="71">
        <v>0</v>
      </c>
      <c r="Q20" s="80">
        <v>0</v>
      </c>
      <c r="R20" s="72">
        <v>1</v>
      </c>
      <c r="S20"/>
      <c r="T20"/>
    </row>
    <row r="21" spans="1:20" ht="15" customHeight="1" x14ac:dyDescent="0.15">
      <c r="B21" s="91"/>
      <c r="C21" s="79"/>
      <c r="D21" s="84" t="s">
        <v>160</v>
      </c>
      <c r="F21" s="193" t="s">
        <v>207</v>
      </c>
      <c r="G21" s="80">
        <v>0</v>
      </c>
      <c r="H21" s="80">
        <v>0</v>
      </c>
      <c r="I21" s="80">
        <v>0</v>
      </c>
      <c r="J21" s="80">
        <v>0</v>
      </c>
      <c r="K21" s="80">
        <v>1</v>
      </c>
      <c r="L21" s="80">
        <v>0</v>
      </c>
      <c r="M21" s="80">
        <v>1</v>
      </c>
      <c r="N21" s="80">
        <v>0</v>
      </c>
      <c r="O21" s="80">
        <v>1</v>
      </c>
      <c r="P21" s="71">
        <v>0</v>
      </c>
      <c r="Q21" s="80">
        <v>0</v>
      </c>
      <c r="R21" s="72">
        <v>1</v>
      </c>
      <c r="S21"/>
      <c r="T21"/>
    </row>
    <row r="22" spans="1:20" ht="15" customHeight="1" x14ac:dyDescent="0.15">
      <c r="A22" s="80"/>
      <c r="B22" s="91"/>
      <c r="C22" s="94"/>
      <c r="D22" s="84" t="s">
        <v>160</v>
      </c>
      <c r="F22" s="193" t="s">
        <v>208</v>
      </c>
      <c r="G22" s="80">
        <v>0</v>
      </c>
      <c r="H22" s="80">
        <v>0</v>
      </c>
      <c r="I22" s="80">
        <v>0</v>
      </c>
      <c r="J22" s="80">
        <v>0</v>
      </c>
      <c r="K22" s="80">
        <v>1</v>
      </c>
      <c r="L22" s="80">
        <v>0</v>
      </c>
      <c r="M22" s="80">
        <v>1</v>
      </c>
      <c r="N22" s="80">
        <v>0</v>
      </c>
      <c r="O22" s="80">
        <v>1</v>
      </c>
      <c r="P22" s="71">
        <v>0</v>
      </c>
      <c r="Q22" s="80">
        <v>0</v>
      </c>
      <c r="R22" s="72">
        <v>1</v>
      </c>
      <c r="S22"/>
      <c r="T22"/>
    </row>
    <row r="23" spans="1:20" ht="15" customHeight="1" x14ac:dyDescent="0.15">
      <c r="A23" s="80"/>
      <c r="B23" s="91"/>
      <c r="C23" s="95"/>
      <c r="D23" s="84" t="s">
        <v>160</v>
      </c>
      <c r="F23" s="193" t="s">
        <v>209</v>
      </c>
      <c r="G23" s="80">
        <v>0</v>
      </c>
      <c r="H23" s="80">
        <v>0</v>
      </c>
      <c r="I23" s="80">
        <v>0</v>
      </c>
      <c r="J23" s="80">
        <v>0</v>
      </c>
      <c r="K23" s="80">
        <v>1</v>
      </c>
      <c r="L23" s="80">
        <v>0</v>
      </c>
      <c r="M23" s="80">
        <v>1</v>
      </c>
      <c r="N23" s="80">
        <v>0</v>
      </c>
      <c r="O23" s="80">
        <v>1</v>
      </c>
      <c r="P23" s="71">
        <v>0</v>
      </c>
      <c r="Q23" s="80">
        <v>0</v>
      </c>
      <c r="R23" s="72">
        <v>1</v>
      </c>
      <c r="S23"/>
      <c r="T23"/>
    </row>
    <row r="24" spans="1:20" ht="15" customHeight="1" x14ac:dyDescent="0.15">
      <c r="A24" s="80"/>
      <c r="B24" s="91"/>
      <c r="C24" s="95"/>
      <c r="D24" s="84" t="s">
        <v>160</v>
      </c>
      <c r="F24" s="193" t="s">
        <v>210</v>
      </c>
      <c r="G24" s="80">
        <v>0</v>
      </c>
      <c r="H24" s="80">
        <v>0</v>
      </c>
      <c r="I24" s="80">
        <v>0</v>
      </c>
      <c r="J24" s="80">
        <v>0</v>
      </c>
      <c r="K24" s="80">
        <v>1</v>
      </c>
      <c r="L24" s="80">
        <v>0</v>
      </c>
      <c r="M24" s="80">
        <v>1</v>
      </c>
      <c r="N24" s="80">
        <v>0</v>
      </c>
      <c r="O24" s="80">
        <v>1</v>
      </c>
      <c r="P24" s="71">
        <v>0</v>
      </c>
      <c r="Q24" s="80">
        <v>0</v>
      </c>
      <c r="R24" s="72">
        <v>1</v>
      </c>
      <c r="S24"/>
      <c r="T24"/>
    </row>
    <row r="25" spans="1:20" ht="15" customHeight="1" x14ac:dyDescent="0.15">
      <c r="A25" s="80"/>
      <c r="B25" s="91"/>
      <c r="C25" s="79"/>
      <c r="D25" s="84" t="s">
        <v>160</v>
      </c>
      <c r="F25" s="193" t="s">
        <v>211</v>
      </c>
      <c r="G25" s="80">
        <v>0</v>
      </c>
      <c r="H25" s="80">
        <v>0</v>
      </c>
      <c r="I25" s="80">
        <v>0</v>
      </c>
      <c r="J25" s="80">
        <v>0</v>
      </c>
      <c r="K25" s="80">
        <v>1</v>
      </c>
      <c r="L25" s="80">
        <v>0</v>
      </c>
      <c r="M25" s="80">
        <v>1</v>
      </c>
      <c r="N25" s="80">
        <v>0</v>
      </c>
      <c r="O25" s="80">
        <v>1</v>
      </c>
      <c r="P25" s="71">
        <v>0</v>
      </c>
      <c r="Q25" s="80">
        <v>0</v>
      </c>
      <c r="R25" s="72">
        <v>1</v>
      </c>
      <c r="S25"/>
      <c r="T25"/>
    </row>
    <row r="26" spans="1:20" ht="15" customHeight="1" x14ac:dyDescent="0.15">
      <c r="B26" s="91"/>
      <c r="C26" s="79"/>
      <c r="D26" s="84" t="s">
        <v>160</v>
      </c>
      <c r="F26" s="193" t="s">
        <v>212</v>
      </c>
      <c r="G26" s="80">
        <v>0</v>
      </c>
      <c r="H26" s="80">
        <v>0</v>
      </c>
      <c r="I26" s="80">
        <v>0</v>
      </c>
      <c r="J26" s="80">
        <v>0</v>
      </c>
      <c r="K26" s="80">
        <v>1</v>
      </c>
      <c r="L26" s="80">
        <v>0</v>
      </c>
      <c r="M26" s="80">
        <v>1</v>
      </c>
      <c r="N26" s="80">
        <v>0</v>
      </c>
      <c r="O26" s="80">
        <v>1</v>
      </c>
      <c r="P26" s="71">
        <v>0</v>
      </c>
      <c r="Q26" s="80">
        <v>0</v>
      </c>
      <c r="R26" s="72">
        <v>1</v>
      </c>
      <c r="S26"/>
      <c r="T26"/>
    </row>
    <row r="27" spans="1:20" ht="15" customHeight="1" x14ac:dyDescent="0.15">
      <c r="B27" s="91"/>
      <c r="C27" s="79"/>
      <c r="D27" s="84" t="s">
        <v>160</v>
      </c>
      <c r="F27" s="193" t="s">
        <v>213</v>
      </c>
      <c r="G27" s="80">
        <v>0</v>
      </c>
      <c r="H27" s="80">
        <v>0</v>
      </c>
      <c r="I27" s="80">
        <v>0</v>
      </c>
      <c r="J27" s="80">
        <v>0</v>
      </c>
      <c r="K27" s="80">
        <v>1</v>
      </c>
      <c r="L27" s="80">
        <v>0</v>
      </c>
      <c r="M27" s="80">
        <v>1</v>
      </c>
      <c r="N27" s="80">
        <v>0</v>
      </c>
      <c r="O27" s="80">
        <v>1</v>
      </c>
      <c r="P27" s="71">
        <v>0</v>
      </c>
      <c r="Q27" s="80">
        <v>0</v>
      </c>
      <c r="R27" s="72">
        <v>1</v>
      </c>
      <c r="S27"/>
      <c r="T27"/>
    </row>
    <row r="28" spans="1:20" ht="15" customHeight="1" thickBot="1" x14ac:dyDescent="0.2">
      <c r="B28" s="90"/>
      <c r="C28" s="79"/>
      <c r="D28" s="84" t="s">
        <v>160</v>
      </c>
      <c r="F28" s="193" t="s">
        <v>214</v>
      </c>
      <c r="G28" s="80">
        <v>0</v>
      </c>
      <c r="H28" s="80">
        <v>0</v>
      </c>
      <c r="I28" s="80">
        <v>0</v>
      </c>
      <c r="J28" s="80">
        <v>0</v>
      </c>
      <c r="K28" s="80">
        <v>1</v>
      </c>
      <c r="L28" s="80">
        <v>0</v>
      </c>
      <c r="M28" s="80">
        <v>1</v>
      </c>
      <c r="N28" s="80">
        <v>0</v>
      </c>
      <c r="O28" s="80">
        <v>1</v>
      </c>
      <c r="P28" s="71">
        <v>0</v>
      </c>
      <c r="Q28" s="80">
        <v>0</v>
      </c>
      <c r="R28" s="72">
        <v>1</v>
      </c>
      <c r="S28"/>
      <c r="T28"/>
    </row>
    <row r="29" spans="1:20" ht="15" customHeight="1" x14ac:dyDescent="0.15">
      <c r="F29" s="193" t="s">
        <v>215</v>
      </c>
      <c r="G29" s="80">
        <v>0</v>
      </c>
      <c r="H29" s="80">
        <v>0</v>
      </c>
      <c r="I29" s="80">
        <v>0</v>
      </c>
      <c r="J29" s="80">
        <v>0</v>
      </c>
      <c r="K29" s="80">
        <v>1</v>
      </c>
      <c r="L29" s="80">
        <v>0</v>
      </c>
      <c r="M29" s="80">
        <v>1</v>
      </c>
      <c r="N29" s="80">
        <v>0</v>
      </c>
      <c r="O29" s="80">
        <v>1</v>
      </c>
      <c r="P29" s="71">
        <v>0</v>
      </c>
      <c r="Q29" s="80">
        <v>0</v>
      </c>
      <c r="R29" s="72">
        <v>1</v>
      </c>
      <c r="S29"/>
      <c r="T29"/>
    </row>
    <row r="30" spans="1:20" ht="15" customHeight="1" x14ac:dyDescent="0.15">
      <c r="F30" s="193" t="s">
        <v>216</v>
      </c>
      <c r="G30" s="80">
        <v>0</v>
      </c>
      <c r="H30" s="80">
        <v>0</v>
      </c>
      <c r="I30" s="80">
        <v>0</v>
      </c>
      <c r="J30" s="80">
        <v>0</v>
      </c>
      <c r="K30" s="80">
        <v>1</v>
      </c>
      <c r="L30" s="80">
        <v>0</v>
      </c>
      <c r="M30" s="80">
        <v>1</v>
      </c>
      <c r="N30" s="80">
        <v>0</v>
      </c>
      <c r="O30" s="80">
        <v>1</v>
      </c>
      <c r="P30" s="71">
        <v>0</v>
      </c>
      <c r="Q30" s="80">
        <v>0</v>
      </c>
      <c r="R30" s="72">
        <v>1</v>
      </c>
      <c r="S30"/>
      <c r="T30"/>
    </row>
    <row r="31" spans="1:20" ht="15" customHeight="1" x14ac:dyDescent="0.15">
      <c r="A31" s="122"/>
      <c r="B31" s="133" t="s">
        <v>17</v>
      </c>
      <c r="C31" s="133" t="s">
        <v>1</v>
      </c>
      <c r="D31" s="133" t="s">
        <v>161</v>
      </c>
      <c r="E31" s="134" t="s">
        <v>163</v>
      </c>
      <c r="F31" s="193" t="s">
        <v>217</v>
      </c>
      <c r="G31" s="80">
        <v>0</v>
      </c>
      <c r="H31" s="80">
        <v>0</v>
      </c>
      <c r="I31" s="80">
        <v>0</v>
      </c>
      <c r="J31" s="80">
        <v>0</v>
      </c>
      <c r="K31" s="80">
        <v>1</v>
      </c>
      <c r="L31" s="80">
        <v>0</v>
      </c>
      <c r="M31" s="80">
        <v>1</v>
      </c>
      <c r="N31" s="80">
        <v>0</v>
      </c>
      <c r="O31" s="80">
        <v>1</v>
      </c>
      <c r="P31" s="71">
        <v>0</v>
      </c>
      <c r="Q31" s="80">
        <v>0</v>
      </c>
      <c r="R31" s="72">
        <v>1</v>
      </c>
      <c r="S31"/>
      <c r="T31"/>
    </row>
    <row r="32" spans="1:20" ht="15" customHeight="1" x14ac:dyDescent="0.15">
      <c r="A32" s="196" t="s">
        <v>224</v>
      </c>
      <c r="B32" s="92">
        <v>41.76</v>
      </c>
      <c r="C32" s="92">
        <v>70</v>
      </c>
      <c r="D32" s="92">
        <v>2923.2</v>
      </c>
      <c r="E32" s="124">
        <v>1</v>
      </c>
      <c r="F32" s="193" t="s">
        <v>218</v>
      </c>
      <c r="G32" s="80">
        <v>0</v>
      </c>
      <c r="H32" s="80">
        <v>0</v>
      </c>
      <c r="I32" s="80">
        <v>0</v>
      </c>
      <c r="J32" s="80">
        <v>0</v>
      </c>
      <c r="K32" s="80">
        <v>1</v>
      </c>
      <c r="L32" s="80">
        <v>0</v>
      </c>
      <c r="M32" s="80">
        <v>1</v>
      </c>
      <c r="N32" s="80">
        <v>0</v>
      </c>
      <c r="O32" s="80">
        <v>1</v>
      </c>
      <c r="P32" s="71">
        <v>0</v>
      </c>
      <c r="Q32" s="80">
        <v>0</v>
      </c>
      <c r="R32" s="72">
        <v>1</v>
      </c>
      <c r="S32"/>
      <c r="T32"/>
    </row>
    <row r="33" spans="1:20" ht="15" customHeight="1" x14ac:dyDescent="0.15">
      <c r="A33" s="123"/>
      <c r="B33" s="92"/>
      <c r="C33" s="92"/>
      <c r="D33" s="92"/>
      <c r="E33" s="124"/>
      <c r="F33" s="193" t="s">
        <v>219</v>
      </c>
      <c r="G33" s="80">
        <v>0</v>
      </c>
      <c r="H33" s="80">
        <v>0</v>
      </c>
      <c r="I33" s="80">
        <v>0</v>
      </c>
      <c r="J33" s="80">
        <v>0</v>
      </c>
      <c r="K33" s="80">
        <v>1</v>
      </c>
      <c r="L33" s="80">
        <v>0</v>
      </c>
      <c r="M33" s="80">
        <v>1</v>
      </c>
      <c r="N33" s="80">
        <v>0</v>
      </c>
      <c r="O33" s="80">
        <v>1</v>
      </c>
      <c r="P33" s="71">
        <v>0</v>
      </c>
      <c r="Q33" s="80">
        <v>0</v>
      </c>
      <c r="R33" s="72">
        <v>1</v>
      </c>
      <c r="S33"/>
      <c r="T33"/>
    </row>
    <row r="34" spans="1:20" ht="15" customHeight="1" x14ac:dyDescent="0.15">
      <c r="A34" s="125"/>
      <c r="B34" s="92"/>
      <c r="C34" s="92"/>
      <c r="D34" s="92"/>
      <c r="E34" s="124"/>
      <c r="F34" s="193" t="s">
        <v>220</v>
      </c>
      <c r="G34" s="80">
        <v>0</v>
      </c>
      <c r="H34" s="80">
        <v>0</v>
      </c>
      <c r="I34" s="80">
        <v>0</v>
      </c>
      <c r="J34" s="80">
        <v>0</v>
      </c>
      <c r="K34" s="80">
        <v>1</v>
      </c>
      <c r="L34" s="80">
        <v>0</v>
      </c>
      <c r="M34" s="80">
        <v>1</v>
      </c>
      <c r="N34" s="80">
        <v>0</v>
      </c>
      <c r="O34" s="80">
        <v>1</v>
      </c>
      <c r="P34" s="71">
        <v>0</v>
      </c>
      <c r="Q34" s="80">
        <v>0</v>
      </c>
      <c r="R34" s="72">
        <v>1</v>
      </c>
      <c r="S34"/>
      <c r="T34"/>
    </row>
    <row r="35" spans="1:20" ht="15" customHeight="1" x14ac:dyDescent="0.15">
      <c r="A35" s="126"/>
      <c r="B35" s="92"/>
      <c r="C35" s="92"/>
      <c r="D35" s="92"/>
      <c r="E35" s="124"/>
      <c r="F35" s="193" t="s">
        <v>221</v>
      </c>
      <c r="G35" s="80">
        <v>0</v>
      </c>
      <c r="H35" s="80">
        <v>0</v>
      </c>
      <c r="I35" s="80">
        <v>0</v>
      </c>
      <c r="J35" s="80">
        <v>0</v>
      </c>
      <c r="K35" s="80">
        <v>1</v>
      </c>
      <c r="L35" s="80">
        <v>0</v>
      </c>
      <c r="M35" s="80">
        <v>1</v>
      </c>
      <c r="N35" s="80">
        <v>0</v>
      </c>
      <c r="O35" s="80">
        <v>1</v>
      </c>
      <c r="P35" s="71">
        <v>0</v>
      </c>
      <c r="Q35" s="80">
        <v>0</v>
      </c>
      <c r="R35" s="72">
        <v>1</v>
      </c>
      <c r="S35"/>
      <c r="T35"/>
    </row>
    <row r="36" spans="1:20" ht="15" customHeight="1" x14ac:dyDescent="0.15">
      <c r="A36" s="127"/>
      <c r="B36" s="92"/>
      <c r="C36" s="92"/>
      <c r="D36" s="92"/>
      <c r="E36" s="124"/>
      <c r="F36" s="193" t="s">
        <v>222</v>
      </c>
      <c r="G36" s="80">
        <v>0</v>
      </c>
      <c r="H36" s="80">
        <v>0</v>
      </c>
      <c r="I36" s="80">
        <v>0</v>
      </c>
      <c r="J36" s="80">
        <v>0</v>
      </c>
      <c r="K36" s="80">
        <v>1</v>
      </c>
      <c r="L36" s="80">
        <v>0</v>
      </c>
      <c r="M36" s="80">
        <v>1</v>
      </c>
      <c r="N36" s="80">
        <v>0</v>
      </c>
      <c r="O36" s="80">
        <v>1</v>
      </c>
      <c r="P36" s="71">
        <v>0</v>
      </c>
      <c r="Q36" s="80">
        <v>0</v>
      </c>
      <c r="R36" s="72">
        <v>1</v>
      </c>
      <c r="S36"/>
      <c r="T36"/>
    </row>
    <row r="37" spans="1:20" ht="15" customHeight="1" x14ac:dyDescent="0.15">
      <c r="A37" s="127"/>
      <c r="B37" s="92"/>
      <c r="C37" s="92"/>
      <c r="D37" s="92"/>
      <c r="E37" s="124"/>
      <c r="F37" s="193" t="s">
        <v>223</v>
      </c>
      <c r="G37" s="80">
        <v>0</v>
      </c>
      <c r="H37" s="80">
        <v>0</v>
      </c>
      <c r="I37" s="80">
        <v>0</v>
      </c>
      <c r="J37" s="80">
        <v>0</v>
      </c>
      <c r="K37" s="80">
        <v>1</v>
      </c>
      <c r="L37" s="80">
        <v>0</v>
      </c>
      <c r="M37" s="80">
        <v>1</v>
      </c>
      <c r="N37" s="80">
        <v>0</v>
      </c>
      <c r="O37" s="80">
        <v>1</v>
      </c>
      <c r="P37" s="71">
        <v>0</v>
      </c>
      <c r="Q37" s="80">
        <v>0</v>
      </c>
      <c r="R37" s="72">
        <v>1</v>
      </c>
      <c r="S37"/>
      <c r="T37"/>
    </row>
    <row r="38" spans="1:20" ht="15" customHeight="1" x14ac:dyDescent="0.15">
      <c r="A38" s="128"/>
      <c r="B38" s="92"/>
      <c r="C38" s="92"/>
      <c r="D38" s="92"/>
      <c r="E38" s="124"/>
      <c r="F38" s="193" t="s">
        <v>224</v>
      </c>
      <c r="G38" s="80">
        <v>0</v>
      </c>
      <c r="H38" s="80">
        <v>0</v>
      </c>
      <c r="I38" s="80">
        <v>0</v>
      </c>
      <c r="J38" s="80">
        <v>0</v>
      </c>
      <c r="K38" s="80">
        <v>0</v>
      </c>
      <c r="L38" s="80">
        <v>0</v>
      </c>
      <c r="M38" s="80">
        <v>1</v>
      </c>
      <c r="N38" s="80">
        <v>0</v>
      </c>
      <c r="O38" s="80">
        <v>0</v>
      </c>
      <c r="P38" s="71">
        <v>0</v>
      </c>
      <c r="Q38" s="80">
        <v>0</v>
      </c>
      <c r="R38" s="72">
        <v>1</v>
      </c>
      <c r="S38"/>
      <c r="T38"/>
    </row>
    <row r="39" spans="1:20" ht="15" customHeight="1" x14ac:dyDescent="0.15">
      <c r="A39" s="128"/>
      <c r="B39" s="92"/>
      <c r="C39" s="92"/>
      <c r="D39" s="92"/>
      <c r="E39" s="124"/>
      <c r="F39" s="193" t="s">
        <v>225</v>
      </c>
      <c r="G39" s="80">
        <v>0</v>
      </c>
      <c r="H39" s="80">
        <v>0</v>
      </c>
      <c r="I39" s="80">
        <v>0</v>
      </c>
      <c r="J39" s="80">
        <v>0</v>
      </c>
      <c r="K39" s="80">
        <v>0</v>
      </c>
      <c r="L39" s="80">
        <v>1</v>
      </c>
      <c r="M39" s="80">
        <v>0</v>
      </c>
      <c r="N39" s="80">
        <v>1</v>
      </c>
      <c r="O39" s="80">
        <v>0</v>
      </c>
      <c r="P39" s="71">
        <v>1</v>
      </c>
      <c r="Q39" s="80">
        <v>0</v>
      </c>
      <c r="R39" s="72">
        <v>1</v>
      </c>
      <c r="S39"/>
      <c r="T39"/>
    </row>
    <row r="40" spans="1:20" ht="15" customHeight="1" x14ac:dyDescent="0.15">
      <c r="A40" s="128"/>
      <c r="B40" s="92"/>
      <c r="C40" s="92"/>
      <c r="D40" s="92"/>
      <c r="E40" s="124"/>
      <c r="F40" s="193" t="s">
        <v>226</v>
      </c>
      <c r="G40" s="80">
        <v>0</v>
      </c>
      <c r="H40" s="80">
        <v>0</v>
      </c>
      <c r="I40" s="80">
        <v>0</v>
      </c>
      <c r="J40" s="80">
        <v>0</v>
      </c>
      <c r="K40" s="80">
        <v>0</v>
      </c>
      <c r="L40" s="80">
        <v>1</v>
      </c>
      <c r="M40" s="80">
        <v>0</v>
      </c>
      <c r="N40" s="80">
        <v>1</v>
      </c>
      <c r="O40" s="80">
        <v>0</v>
      </c>
      <c r="P40" s="71">
        <v>1</v>
      </c>
      <c r="Q40" s="80">
        <v>0</v>
      </c>
      <c r="R40" s="72">
        <v>1</v>
      </c>
      <c r="S40"/>
      <c r="T40"/>
    </row>
    <row r="41" spans="1:20" ht="15" customHeight="1" thickBot="1" x14ac:dyDescent="0.2">
      <c r="A41" s="128"/>
      <c r="B41" s="92"/>
      <c r="C41" s="92"/>
      <c r="D41" s="93"/>
      <c r="E41" s="129"/>
      <c r="F41" s="193" t="s">
        <v>227</v>
      </c>
      <c r="G41" s="80">
        <v>0</v>
      </c>
      <c r="H41" s="80">
        <v>0</v>
      </c>
      <c r="I41" s="80">
        <v>0</v>
      </c>
      <c r="J41" s="80">
        <v>0</v>
      </c>
      <c r="K41" s="80">
        <v>0</v>
      </c>
      <c r="L41" s="80">
        <v>1</v>
      </c>
      <c r="M41" s="80">
        <v>0</v>
      </c>
      <c r="N41" s="80">
        <v>0</v>
      </c>
      <c r="O41" s="80">
        <v>0</v>
      </c>
      <c r="P41" s="71">
        <v>0</v>
      </c>
      <c r="Q41" s="80">
        <v>0</v>
      </c>
      <c r="R41" s="72">
        <v>1</v>
      </c>
      <c r="S41"/>
      <c r="T41"/>
    </row>
    <row r="42" spans="1:20" ht="15" customHeight="1" x14ac:dyDescent="0.15">
      <c r="A42" s="130"/>
      <c r="B42" s="131"/>
      <c r="C42" s="131" t="s">
        <v>162</v>
      </c>
      <c r="D42" s="131">
        <f>SUM(D32:D41)</f>
        <v>2923.2</v>
      </c>
      <c r="E42" s="132">
        <f>SUM(E32:E41)</f>
        <v>1</v>
      </c>
      <c r="F42" s="193" t="s">
        <v>228</v>
      </c>
      <c r="G42" s="80">
        <v>0</v>
      </c>
      <c r="H42" s="80">
        <v>0</v>
      </c>
      <c r="I42" s="80">
        <v>0</v>
      </c>
      <c r="J42" s="80">
        <v>0</v>
      </c>
      <c r="K42" s="80">
        <v>0</v>
      </c>
      <c r="L42" s="80">
        <v>1</v>
      </c>
      <c r="M42" s="80">
        <v>0</v>
      </c>
      <c r="N42" s="80">
        <v>0</v>
      </c>
      <c r="O42" s="80">
        <v>0</v>
      </c>
      <c r="P42" s="71">
        <v>0</v>
      </c>
      <c r="Q42" s="80">
        <v>0</v>
      </c>
      <c r="R42" s="72">
        <v>1</v>
      </c>
      <c r="S42"/>
      <c r="T42"/>
    </row>
    <row r="43" spans="1:20" ht="15" customHeight="1" x14ac:dyDescent="0.15">
      <c r="A43" s="80"/>
      <c r="F43" s="193" t="s">
        <v>229</v>
      </c>
      <c r="G43" s="80">
        <v>0</v>
      </c>
      <c r="H43" s="80">
        <v>0</v>
      </c>
      <c r="I43" s="80">
        <v>0</v>
      </c>
      <c r="J43" s="80">
        <v>0</v>
      </c>
      <c r="K43" s="80">
        <v>0</v>
      </c>
      <c r="L43" s="80">
        <v>1</v>
      </c>
      <c r="M43" s="80">
        <v>0</v>
      </c>
      <c r="N43" s="80">
        <v>0</v>
      </c>
      <c r="O43" s="80">
        <v>0</v>
      </c>
      <c r="P43" s="71">
        <v>0</v>
      </c>
      <c r="Q43" s="80">
        <v>0</v>
      </c>
      <c r="R43" s="72">
        <v>1</v>
      </c>
      <c r="S43"/>
      <c r="T43"/>
    </row>
    <row r="44" spans="1:20" ht="15" customHeight="1" x14ac:dyDescent="0.15">
      <c r="A44" s="80"/>
      <c r="F44" s="193" t="s">
        <v>230</v>
      </c>
      <c r="G44" s="80">
        <v>0</v>
      </c>
      <c r="H44" s="80">
        <v>0</v>
      </c>
      <c r="I44" s="80">
        <v>0</v>
      </c>
      <c r="J44" s="80">
        <v>0</v>
      </c>
      <c r="K44" s="80">
        <v>0</v>
      </c>
      <c r="L44" s="80">
        <v>1</v>
      </c>
      <c r="M44" s="80">
        <v>0</v>
      </c>
      <c r="N44" s="80">
        <v>0</v>
      </c>
      <c r="O44" s="80">
        <v>0</v>
      </c>
      <c r="P44" s="71">
        <v>0</v>
      </c>
      <c r="Q44" s="80">
        <v>0</v>
      </c>
      <c r="R44" s="72">
        <v>1</v>
      </c>
    </row>
    <row r="45" spans="1:20" ht="15" customHeight="1" x14ac:dyDescent="0.15">
      <c r="A45" s="80"/>
      <c r="F45" s="193" t="s">
        <v>231</v>
      </c>
      <c r="G45" s="80">
        <v>0</v>
      </c>
      <c r="H45" s="80">
        <v>0</v>
      </c>
      <c r="I45" s="80">
        <v>0</v>
      </c>
      <c r="J45" s="80">
        <v>0</v>
      </c>
      <c r="K45" s="80">
        <v>0</v>
      </c>
      <c r="L45" s="80">
        <v>1</v>
      </c>
      <c r="M45" s="80">
        <v>0</v>
      </c>
      <c r="N45" s="80">
        <v>0</v>
      </c>
      <c r="O45" s="80">
        <v>0</v>
      </c>
      <c r="P45" s="71">
        <v>0</v>
      </c>
      <c r="Q45" s="80">
        <v>0</v>
      </c>
      <c r="R45" s="72">
        <v>1</v>
      </c>
    </row>
    <row r="46" spans="1:20" ht="15" customHeight="1" x14ac:dyDescent="0.15">
      <c r="A46" s="80"/>
      <c r="F46" s="193" t="s">
        <v>232</v>
      </c>
      <c r="G46" s="80">
        <v>0</v>
      </c>
      <c r="H46" s="80">
        <v>0</v>
      </c>
      <c r="I46" s="80">
        <v>0</v>
      </c>
      <c r="J46" s="80">
        <v>0</v>
      </c>
      <c r="K46" s="80">
        <v>0</v>
      </c>
      <c r="L46" s="80">
        <v>1</v>
      </c>
      <c r="M46" s="80">
        <v>0</v>
      </c>
      <c r="N46" s="80">
        <v>0</v>
      </c>
      <c r="O46" s="80">
        <v>0</v>
      </c>
      <c r="P46" s="71">
        <v>0</v>
      </c>
      <c r="Q46" s="80">
        <v>0</v>
      </c>
      <c r="R46" s="72">
        <v>1</v>
      </c>
    </row>
    <row r="47" spans="1:20" ht="15" customHeight="1" x14ac:dyDescent="0.15">
      <c r="A47" s="80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0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0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0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0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0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0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0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0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0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0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0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0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0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0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0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0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0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0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0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0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0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0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0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0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0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0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0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0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0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0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0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0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0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0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0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0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0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0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0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0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0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0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0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0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0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0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0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0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0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0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0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0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0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0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0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0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0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0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0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0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0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0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0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0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0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0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0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0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0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0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0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0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0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0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0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0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0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0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0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0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0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0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0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0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0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0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0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0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0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0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0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0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0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0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0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0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0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0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0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0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0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0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0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0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0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0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0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0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0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0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0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0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0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0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0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0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0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0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0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0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W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5" bestFit="1" customWidth="1"/>
    <col min="2" max="2" width="2.33203125" style="107" customWidth="1"/>
    <col min="3" max="5" width="7.83203125" style="107" customWidth="1"/>
    <col min="6" max="8" width="8.83203125" style="6"/>
    <col min="9" max="9" width="10.1640625" style="6" customWidth="1"/>
    <col min="10" max="10" width="13.83203125" style="6" customWidth="1"/>
    <col min="11" max="11" width="17.5" style="6" customWidth="1"/>
    <col min="12" max="12" width="11.6640625" style="6" customWidth="1"/>
    <col min="13" max="13" width="15" style="6" customWidth="1"/>
    <col min="14" max="14" width="14.83203125" style="6" customWidth="1"/>
    <col min="15" max="15" width="15.1640625" style="6" customWidth="1"/>
    <col min="16" max="16" width="15.5" style="6" customWidth="1"/>
    <col min="17" max="17" width="8.6640625" style="6" customWidth="1"/>
    <col min="18" max="18" width="13.5" style="6" customWidth="1"/>
    <col min="19" max="19" width="9.1640625" style="6" customWidth="1"/>
    <col min="20" max="20" width="11.33203125" style="6" customWidth="1"/>
    <col min="21" max="21" width="17.5" style="6" customWidth="1"/>
    <col min="22" max="22" width="8.5" style="6" customWidth="1"/>
    <col min="23" max="23" width="4.6640625" style="6" customWidth="1"/>
    <col min="24" max="24" width="15.5" style="6" customWidth="1"/>
    <col min="25" max="25" width="17.33203125" style="6" customWidth="1"/>
    <col min="26" max="26" width="23.83203125" style="6" customWidth="1"/>
    <col min="27" max="27" width="18.6640625" style="6" customWidth="1"/>
    <col min="28" max="28" width="19.5" style="6" customWidth="1"/>
    <col min="29" max="29" width="15.1640625" style="6" customWidth="1"/>
    <col min="30" max="30" width="16.5" style="6" customWidth="1"/>
    <col min="31" max="31" width="14.6640625" style="6" customWidth="1"/>
    <col min="32" max="32" width="9.1640625" style="6" customWidth="1"/>
    <col min="33" max="33" width="12" style="6" customWidth="1"/>
    <col min="34" max="34" width="17.1640625" style="6" customWidth="1"/>
    <col min="35" max="35" width="17.6640625" style="6" customWidth="1"/>
    <col min="36" max="37" width="16.5" style="6" customWidth="1"/>
    <col min="38" max="38" width="11.5" style="6" customWidth="1"/>
    <col min="39" max="39" width="12.1640625" customWidth="1"/>
    <col min="40" max="40" width="18.33203125" customWidth="1"/>
    <col min="41" max="41" width="13.1640625" customWidth="1"/>
    <col min="42" max="42" width="7.6640625" customWidth="1"/>
    <col min="43" max="43" width="21.6640625" customWidth="1"/>
    <col min="44" max="44" width="16.5" customWidth="1"/>
    <col min="45" max="45" width="25" customWidth="1"/>
    <col min="46" max="46" width="8.1640625" customWidth="1"/>
    <col min="47" max="47" width="17.83203125" customWidth="1"/>
    <col min="48" max="48" width="18.6640625" customWidth="1"/>
    <col min="49" max="49" width="5.83203125" customWidth="1"/>
    <col min="81" max="81" width="22.1640625" bestFit="1" customWidth="1"/>
  </cols>
  <sheetData>
    <row r="1" spans="1:49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198" t="s">
        <v>192</v>
      </c>
      <c r="J1" s="198" t="s">
        <v>193</v>
      </c>
      <c r="K1" s="198" t="s">
        <v>194</v>
      </c>
      <c r="L1" s="198" t="s">
        <v>195</v>
      </c>
      <c r="M1" s="198" t="s">
        <v>196</v>
      </c>
      <c r="N1" s="198" t="s">
        <v>197</v>
      </c>
      <c r="O1" s="198" t="s">
        <v>198</v>
      </c>
      <c r="P1" s="198" t="s">
        <v>199</v>
      </c>
      <c r="Q1" s="198" t="s">
        <v>200</v>
      </c>
      <c r="R1" s="198" t="s">
        <v>201</v>
      </c>
      <c r="S1" s="198" t="s">
        <v>202</v>
      </c>
      <c r="T1" s="198" t="s">
        <v>203</v>
      </c>
      <c r="U1" s="198" t="s">
        <v>204</v>
      </c>
      <c r="V1" s="198" t="s">
        <v>205</v>
      </c>
      <c r="W1" s="198" t="s">
        <v>206</v>
      </c>
      <c r="X1" s="198" t="s">
        <v>207</v>
      </c>
      <c r="Y1" s="198" t="s">
        <v>208</v>
      </c>
      <c r="Z1" s="198" t="s">
        <v>209</v>
      </c>
      <c r="AA1" s="198" t="s">
        <v>210</v>
      </c>
      <c r="AB1" s="198" t="s">
        <v>211</v>
      </c>
      <c r="AC1" s="198" t="s">
        <v>212</v>
      </c>
      <c r="AD1" s="198" t="s">
        <v>213</v>
      </c>
      <c r="AE1" s="198" t="s">
        <v>214</v>
      </c>
      <c r="AF1" s="198" t="s">
        <v>215</v>
      </c>
      <c r="AG1" s="198" t="s">
        <v>216</v>
      </c>
      <c r="AH1" s="198" t="s">
        <v>217</v>
      </c>
      <c r="AI1" s="198" t="s">
        <v>218</v>
      </c>
      <c r="AJ1" s="198" t="s">
        <v>219</v>
      </c>
      <c r="AK1" s="198" t="s">
        <v>220</v>
      </c>
      <c r="AL1" s="198" t="s">
        <v>221</v>
      </c>
      <c r="AM1" s="198" t="s">
        <v>222</v>
      </c>
      <c r="AN1" s="198" t="s">
        <v>223</v>
      </c>
      <c r="AO1" s="198" t="s">
        <v>224</v>
      </c>
      <c r="AP1" s="198" t="s">
        <v>225</v>
      </c>
      <c r="AQ1" s="198" t="s">
        <v>226</v>
      </c>
      <c r="AR1" s="198" t="s">
        <v>227</v>
      </c>
      <c r="AS1" s="198" t="s">
        <v>228</v>
      </c>
      <c r="AT1" s="198" t="s">
        <v>229</v>
      </c>
      <c r="AU1" s="198" t="s">
        <v>230</v>
      </c>
      <c r="AV1" s="198" t="s">
        <v>231</v>
      </c>
      <c r="AW1" s="198" t="s">
        <v>232</v>
      </c>
    </row>
    <row r="2" spans="1:49" x14ac:dyDescent="0.15">
      <c r="A2" t="s">
        <v>38</v>
      </c>
      <c r="B2" s="107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9" x14ac:dyDescent="0.15">
      <c r="A3" t="s">
        <v>40</v>
      </c>
      <c r="B3" s="107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9" x14ac:dyDescent="0.15">
      <c r="A4" t="s">
        <v>41</v>
      </c>
      <c r="B4" s="107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9" x14ac:dyDescent="0.15">
      <c r="A5" s="197" t="s">
        <v>192</v>
      </c>
      <c r="B5" s="107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9" x14ac:dyDescent="0.15">
      <c r="A6" s="197" t="s">
        <v>193</v>
      </c>
      <c r="B6" s="107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9" x14ac:dyDescent="0.15">
      <c r="A7" s="197" t="s">
        <v>194</v>
      </c>
      <c r="B7" s="107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9" x14ac:dyDescent="0.15">
      <c r="A8" s="197" t="s">
        <v>195</v>
      </c>
      <c r="B8" s="107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9" x14ac:dyDescent="0.15">
      <c r="A9" s="197" t="s">
        <v>196</v>
      </c>
      <c r="B9" s="107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9" x14ac:dyDescent="0.15">
      <c r="A10" s="197" t="s">
        <v>197</v>
      </c>
      <c r="B10" s="107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9" x14ac:dyDescent="0.15">
      <c r="A11" s="197" t="s">
        <v>198</v>
      </c>
      <c r="B11" s="107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9" x14ac:dyDescent="0.15">
      <c r="A12" s="197" t="s">
        <v>199</v>
      </c>
      <c r="B12" s="107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9" x14ac:dyDescent="0.15">
      <c r="A13" s="197" t="s">
        <v>200</v>
      </c>
      <c r="B13" s="107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9" x14ac:dyDescent="0.15">
      <c r="A14" s="197" t="s">
        <v>201</v>
      </c>
      <c r="B14" s="107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9" x14ac:dyDescent="0.15">
      <c r="A15" s="197" t="s">
        <v>202</v>
      </c>
      <c r="B15" s="107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9" x14ac:dyDescent="0.15">
      <c r="A16" s="197" t="s">
        <v>203</v>
      </c>
      <c r="B16" s="107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7" t="s">
        <v>204</v>
      </c>
      <c r="B17" s="107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7" t="s">
        <v>205</v>
      </c>
      <c r="B18" s="107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7" t="s">
        <v>206</v>
      </c>
      <c r="B19" s="107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7" t="s">
        <v>207</v>
      </c>
      <c r="B20" s="107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7" t="s">
        <v>208</v>
      </c>
      <c r="B21" s="107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7" t="s">
        <v>209</v>
      </c>
      <c r="B22" s="107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7" t="s">
        <v>210</v>
      </c>
      <c r="B23" s="107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7" t="s">
        <v>211</v>
      </c>
      <c r="B24" s="107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7" t="s">
        <v>212</v>
      </c>
      <c r="B25" s="107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7" t="s">
        <v>213</v>
      </c>
      <c r="B26" s="107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7" t="s">
        <v>214</v>
      </c>
      <c r="B27" s="107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7" t="s">
        <v>215</v>
      </c>
      <c r="B28" s="107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7" t="s">
        <v>216</v>
      </c>
      <c r="B29" s="107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7" t="s">
        <v>217</v>
      </c>
      <c r="B30" s="107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7" t="s">
        <v>218</v>
      </c>
      <c r="B31" s="107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7" t="s">
        <v>219</v>
      </c>
      <c r="B32" s="107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7" t="s">
        <v>220</v>
      </c>
      <c r="B33" s="107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7" t="s">
        <v>221</v>
      </c>
      <c r="B34" s="107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7" t="s">
        <v>222</v>
      </c>
      <c r="B35" s="107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7" t="s">
        <v>223</v>
      </c>
      <c r="B36" s="107">
        <v>0</v>
      </c>
      <c r="C36"/>
      <c r="D36"/>
    </row>
    <row r="37" spans="1:38" ht="15" customHeight="1" x14ac:dyDescent="0.15">
      <c r="A37" s="197" t="s">
        <v>224</v>
      </c>
      <c r="B37" s="107">
        <v>0</v>
      </c>
      <c r="C37"/>
      <c r="D37"/>
    </row>
    <row r="38" spans="1:38" ht="15" customHeight="1" x14ac:dyDescent="0.15">
      <c r="A38" s="197" t="s">
        <v>225</v>
      </c>
      <c r="B38" s="107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7" t="s">
        <v>226</v>
      </c>
      <c r="B39" s="107">
        <v>0</v>
      </c>
      <c r="C39"/>
      <c r="D39"/>
    </row>
    <row r="40" spans="1:38" ht="15" customHeight="1" x14ac:dyDescent="0.15">
      <c r="A40" s="197" t="s">
        <v>227</v>
      </c>
      <c r="B40" s="107">
        <v>0</v>
      </c>
      <c r="C40"/>
      <c r="D40"/>
    </row>
    <row r="41" spans="1:38" ht="15" customHeight="1" x14ac:dyDescent="0.15">
      <c r="A41" s="197" t="s">
        <v>228</v>
      </c>
      <c r="B41" s="107">
        <v>0</v>
      </c>
      <c r="C41"/>
      <c r="D41"/>
    </row>
    <row r="42" spans="1:38" ht="15" customHeight="1" x14ac:dyDescent="0.15">
      <c r="A42" s="197" t="s">
        <v>229</v>
      </c>
      <c r="B42" s="107">
        <v>0</v>
      </c>
    </row>
    <row r="43" spans="1:38" ht="15" customHeight="1" x14ac:dyDescent="0.15">
      <c r="A43" s="197" t="s">
        <v>230</v>
      </c>
      <c r="B43" s="107">
        <v>0</v>
      </c>
    </row>
    <row r="44" spans="1:38" ht="15" customHeight="1" x14ac:dyDescent="0.15">
      <c r="A44" s="197" t="s">
        <v>231</v>
      </c>
      <c r="B44" s="107">
        <v>0</v>
      </c>
    </row>
    <row r="45" spans="1:38" ht="15" customHeight="1" x14ac:dyDescent="0.15">
      <c r="A45" s="197" t="s">
        <v>232</v>
      </c>
      <c r="B45" s="107">
        <v>0</v>
      </c>
    </row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2022-10-24T04:28:11Z</dcterms:modified>
</cp:coreProperties>
</file>