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0C344928-1CBE-2647-9A6D-9338F355A839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Main!$C$2:$N$33</definedName>
    <definedName name="matDetritus">Detritus!$C$2:$E$33</definedName>
    <definedName name="matDiet">Diets!$B$2:$AD$33</definedName>
    <definedName name="matDiscards">Discards!$C$2:$C$32</definedName>
    <definedName name="matFishery">Fishing!$C$2:$C$32</definedName>
    <definedName name="matFishing">Fishing!#REF!</definedName>
    <definedName name="matMort">Mortalities!$A$1:$AI$32</definedName>
    <definedName name="matOut">MainOutputs!$A$2:$I$33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<sst xmlns="http://schemas.openxmlformats.org/spreadsheetml/2006/main" count="953" uniqueCount="229">
  <si>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</si>
  <si>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</si>
  <si>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</si>
  <si>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</si>
  <si>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</si>
  <si>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</si>
  <si>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</si>
  <si>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</si>
  <si>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</si>
  <si>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</si>
  <si>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</si>
  <si>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</si>
  <si>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</si>
  <si>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</si>
  <si>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</si>
  <si>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</si>
  <si>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</si>
  <si>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</si>
  <si>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</si>
  <si>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</si>
  <si>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</si>
  <si>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</si>
  <si>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</si>
  <si>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</si>
  <si>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</si>
  <si>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</si>
  <si>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</si>
  <si>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</si>
  <si>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</si>
  <si>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</si>
  <si>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</si>
  <si>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</si>
  <si>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</si>
  <si>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</si>
  <si>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</si>
  <si>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</si>
  <si>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</si>
  <si>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</si>
  <si>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</si>
  <si>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</si>
  <si>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</si>
  <si>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</si>
  <si>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</si>
  <si>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</si>
  <si>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</si>
  <si>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</si>
  <si>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</si>
  <si>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</si>
  <si>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</si>
  <si>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</si>
  <si>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</si>
  <si>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</si>
  <si>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</si>
  <si>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</si>
  <si>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</si>
  <si>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</si>
  <si>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</si>
  <si>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</si>
  <si>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</si>
  <si>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</si>
  <si>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</si>
  <si>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</si>
  <si>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</si>
  <si>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</si>
  <si>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</si>
  <si>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</si>
  <si>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</si>
  <si>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</si>
  <si>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</si>
  <si>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</si>
  <si>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</si>
  <si>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</si>
  <si>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</si>
  <si>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</si>
  <si>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</si>
  <si>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</si>
  <si>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</si>
  <si>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</si>
  <si>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</si>
  <si>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</si>
  <si>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</si>
  <si>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</si>
  <si>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</si>
  <si>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</si>
  <si>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</si>
  <si>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</si>
  <si>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</si>
  <si>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</si>
  <si>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</si>
  <si>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</si>
  <si>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</si>
  <si>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</si>
  <si>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</si>
  <si>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</si>
  <si>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</si>
  <si>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</si>
  <si>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</si>
  <si>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</si>
  <si>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</si>
  <si>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</si>
  <si>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</si>
  <si>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</si>
  <si>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</si>
  <si>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</si>
  <si>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</si>
  <si>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</si>
  <si>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</si>
  <si>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</si>
  <si>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</si>
  <si>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</si>
  <si>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</si>
  <si>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</si>
  <si>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</si>
  <si>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</si>
  <si>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</si>
  <si>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</si>
  <si>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</si>
  <si>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</si>
  <si>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</si>
  <si>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</si>
  <si>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</si>
  <si>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</si>
  <si>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</si>
  <si>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</si>
  <si>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</si>
  <si>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</si>
  <si>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</si>
  <si>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</si>
  <si>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</si>
  <si>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</si>
  <si>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</si>
  <si>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</si>
  <si>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</si>
  <si>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</si>
  <si>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</si>
  <si>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</si>
  <si>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</si>
  <si>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</si>
  <si>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</si>
  <si>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</si>
  <si>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</si>
  <si>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</si>
  <si>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</si>
  <si>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</si>
  <si>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</si>
  <si>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</si>
  <si>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</si>
  <si>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</si>
  <si>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</si>
  <si>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</si>
  <si>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</si>
  <si>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</si>
  <si>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</si>
  <si>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</si>
  <si>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</si>
  <si>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</si>
  <si>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</si>
  <si>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</si>
  <si>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</si>
  <si>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</si>
  <si>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</si>
  <si>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</si>
  <si>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</si>
  <si>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</si>
  <si>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</si>
  <si>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</si>
  <si>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</si>
  <si>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</si>
  <si>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</si>
  <si>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</si>
  <si>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</si>
  <si>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</si>
  <si>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</si>
  <si>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</si>
  <si>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</si>
  <si>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</si>
  <si>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</si>
  <si>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</si>
  <si>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</si>
  <si>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</si>
  <si>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</si>
  <si>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</si>
  <si>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</si>
  <si>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</si>
  <si>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</si>
  <si>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Southern Gulf of St. Lawrence</t>
  </si>
  <si>
    <t>Canada</t>
  </si>
  <si>
    <t>BOX(-65.8428738870491 45.7072608373205,-60.1894587129131 48.8662389925447)</t>
  </si>
  <si>
    <t>continental shelf</t>
  </si>
  <si>
    <t>WetWeight</t>
  </si>
  <si>
    <t>; 2003-04-22 11:32:56</t>
  </si>
  <si>
    <t>Savenkoff C.,Bourdages H.,Swain D.P.,Despatie S.-P.,Hanson M.J.,Méthot R.,Morissette L.,Hammill M.O.(2004). Input data and parameter estimates for ecosystem models of the southern Gulf of St. Lawrence (mid-1980s and mid-1990s) Canadian Technical Report of Fisheries and Aquatic Sciences</t>
  </si>
  <si>
    <t>Whales and porpoises</t>
  </si>
  <si>
    <t>Harp seals</t>
  </si>
  <si>
    <t>Hooded seals</t>
  </si>
  <si>
    <t>Grey seals</t>
  </si>
  <si>
    <t>Harbour seals</t>
  </si>
  <si>
    <t>Seabirds</t>
  </si>
  <si>
    <t>Cod &amp;gt; 35 cm</t>
  </si>
  <si>
    <t>Cod &amp;lt;= 35 cm</t>
  </si>
  <si>
    <t>Greenland halibut</t>
  </si>
  <si>
    <t>American plaice &amp;lt;= 35 cm</t>
  </si>
  <si>
    <t>American plaice &amp;gt; 35 cm</t>
  </si>
  <si>
    <t>Flounders</t>
  </si>
  <si>
    <t>Skates</t>
  </si>
  <si>
    <t>Redfish</t>
  </si>
  <si>
    <t>Large demersal feeders</t>
  </si>
  <si>
    <t>Small demersal feeders</t>
  </si>
  <si>
    <t>Capelin</t>
  </si>
  <si>
    <t>Large pelagic feeders</t>
  </si>
  <si>
    <t>Piscivorous small pelagics</t>
  </si>
  <si>
    <t>Planktivorous small pelagics</t>
  </si>
  <si>
    <t>Shrimp</t>
  </si>
  <si>
    <t>Large crustaceans</t>
  </si>
  <si>
    <t>Echinoderms</t>
  </si>
  <si>
    <t>Molluscs</t>
  </si>
  <si>
    <t>Polychaetes</t>
  </si>
  <si>
    <t>Other benthic invertebrates</t>
  </si>
  <si>
    <t>Large zooplankton</t>
  </si>
  <si>
    <t>Small zoplankton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</si>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</sst>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2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87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48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6" t="s">
        <v>171</v>
      </c>
      <c r="C53" s="109">
        <v>145</v>
      </c>
      <c r="D53" s="109"/>
    </row>
    <row r="54" spans="2:4" x14ac:dyDescent="0.15">
      <c r="B54" s="176" t="s">
        <v>172</v>
      </c>
      <c r="C54" s="176" t="s">
        <v>185</v>
      </c>
      <c r="D54" s="109"/>
    </row>
    <row r="55" spans="2:4" x14ac:dyDescent="0.15">
      <c r="B55" s="176" t="s">
        <v>173</v>
      </c>
      <c r="C55" s="176" t="s">
        <v>186</v>
      </c>
      <c r="D55" s="109"/>
    </row>
    <row r="56" spans="2:4" x14ac:dyDescent="0.15">
      <c r="B56" s="176" t="s">
        <v>174</v>
      </c>
      <c r="C56" s="109">
        <v>64075</v>
      </c>
      <c r="D56" s="109"/>
    </row>
    <row r="57" spans="2:4" x14ac:dyDescent="0.15">
      <c r="B57" s="176" t="s">
        <v>175</v>
      </c>
      <c r="C57" s="176" t="s">
        <v>187</v>
      </c>
      <c r="D57" s="109"/>
    </row>
    <row r="58" spans="2:4" x14ac:dyDescent="0.15">
      <c r="B58" s="176" t="s">
        <v>176</v>
      </c>
      <c r="C58" s="176" t="s">
        <v>188</v>
      </c>
      <c r="D58" s="109"/>
    </row>
    <row r="59" spans="2:4" x14ac:dyDescent="0.15">
      <c r="B59" s="176" t="s">
        <v>177</v>
      </c>
      <c r="C59" s="176" t="s">
        <v>189</v>
      </c>
      <c r="D59" s="109"/>
    </row>
    <row r="60" spans="2:4" x14ac:dyDescent="0.15">
      <c r="B60" s="176" t="s">
        <v>178</v>
      </c>
      <c r="C60" s="176" t="s">
        <v>190</v>
      </c>
      <c r="D60" s="109"/>
    </row>
    <row r="61" spans="2:4" x14ac:dyDescent="0.15">
      <c r="B61" s="176" t="s">
        <v>179</v>
      </c>
      <c r="C61" s="109">
        <v>30</v>
      </c>
      <c r="D61" s="109"/>
    </row>
    <row r="62" spans="2:4" x14ac:dyDescent="0.15">
      <c r="B62" s="176" t="s">
        <v>180</v>
      </c>
      <c r="C62" s="109">
        <v>1</v>
      </c>
      <c r="D62" s="109"/>
    </row>
    <row r="63" spans="2:4" x14ac:dyDescent="0.15">
      <c r="B63" s="176" t="s">
        <v>181</v>
      </c>
      <c r="C63" s="109">
        <v>1980</v>
      </c>
      <c r="D63" s="109"/>
    </row>
    <row r="64" spans="2:4" x14ac:dyDescent="0.15">
      <c r="B64" s="176" t="s">
        <v>182</v>
      </c>
      <c r="C64" s="109">
        <v>1</v>
      </c>
      <c r="D64" s="109"/>
    </row>
    <row r="65" spans="2:4" x14ac:dyDescent="0.15">
      <c r="B65" s="176" t="s">
        <v>183</v>
      </c>
      <c r="C65" s="176" t="s">
        <v>191</v>
      </c>
      <c r="D65" s="109"/>
    </row>
    <row r="66" spans="2:4" x14ac:dyDescent="0.15">
      <c r="B66" s="176" t="s">
        <v>184</v>
      </c>
      <c r="D66" s="109"/>
    </row>
    <row r="67" spans="2:4" x14ac:dyDescent="0.15">
      <c r="B67" s="109"/>
      <c r="C67" s="109"/>
      <c r="D67" s="109"/>
    </row>
    <row r="68" spans="2:4" x14ac:dyDescent="0.15">
      <c r="B68" s="109"/>
      <c r="C68" s="109"/>
      <c r="D68" s="10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4.83203125" style="83" bestFit="1" customWidth="1"/>
    <col min="6" max="6" width="2.33203125" style="83" bestFit="1" customWidth="1"/>
    <col min="7" max="7" width="12.83203125" style="83" bestFit="1" customWidth="1"/>
    <col min="8" max="8" width="6.83203125" style="83" customWidth="1"/>
    <col min="9" max="9" width="5.83203125" style="83" customWidth="1"/>
    <col min="10" max="11" width="11.83203125" style="83" customWidth="1"/>
    <col min="12" max="12" width="2.33203125" style="83" customWidth="1"/>
    <col min="13" max="13" width="5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77" t="s">
        <v>192</v>
      </c>
      <c r="F2" s="83">
        <v>0</v>
      </c>
      <c r="G2" s="83">
        <v>0.02</v>
      </c>
      <c r="H2" s="83">
        <v>8.8999999999999996E-2</v>
      </c>
      <c r="I2" s="6">
        <v>10</v>
      </c>
      <c r="J2" s="6">
        <v>0.22471909200000001</v>
      </c>
      <c r="K2" s="6">
        <v>8.8999999999999999E-3</v>
      </c>
      <c r="L2" s="6">
        <v>0</v>
      </c>
      <c r="M2" s="83">
        <v>0.28899999999999998</v>
      </c>
      <c r="N2" s="83">
        <v>0</v>
      </c>
    </row>
    <row r="3" spans="1:46" ht="15" customHeight="1" x14ac:dyDescent="0.15">
      <c r="A3" s="1" t="s">
        <v>9</v>
      </c>
      <c r="B3" s="4">
        <v>29</v>
      </c>
      <c r="C3" s="83">
        <v>2</v>
      </c>
      <c r="D3"/>
      <c r="E3" s="177" t="s">
        <v>193</v>
      </c>
      <c r="F3" s="83">
        <v>0</v>
      </c>
      <c r="G3" s="83">
        <v>0.23</v>
      </c>
      <c r="H3" s="83">
        <v>3.3000000000000002E-2</v>
      </c>
      <c r="I3" s="83">
        <v>3.31</v>
      </c>
      <c r="J3" s="83">
        <v>9.2226610000000001E-2</v>
      </c>
      <c r="K3" s="83">
        <v>9.9697889999999997E-3</v>
      </c>
      <c r="L3" s="83">
        <v>0</v>
      </c>
      <c r="M3" s="83">
        <v>0.27200000000000002</v>
      </c>
      <c r="N3" s="83">
        <v>0</v>
      </c>
    </row>
    <row r="4" spans="1:46" ht="15" customHeight="1" x14ac:dyDescent="0.15">
      <c r="A4" s="1" t="s">
        <v>10</v>
      </c>
      <c r="B4" s="4">
        <v>2</v>
      </c>
      <c r="C4" s="83">
        <v>3</v>
      </c>
      <c r="D4"/>
      <c r="E4" s="177" t="s">
        <v>194</v>
      </c>
      <c r="F4" s="83">
        <v>0</v>
      </c>
      <c r="G4" s="83">
        <v>3.0000000000000001E-3</v>
      </c>
      <c r="H4" s="83">
        <v>0.08</v>
      </c>
      <c r="I4" s="83">
        <v>9.5500000000000007</v>
      </c>
      <c r="J4" s="83">
        <v>0</v>
      </c>
      <c r="K4" s="83">
        <v>8.3769629999999994E-3</v>
      </c>
      <c r="L4" s="83">
        <v>0</v>
      </c>
      <c r="M4" s="83">
        <v>0.29599999999999999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3">
        <v>4</v>
      </c>
      <c r="D5"/>
      <c r="E5" s="177" t="s">
        <v>195</v>
      </c>
      <c r="F5" s="83">
        <v>0</v>
      </c>
      <c r="G5" s="83">
        <v>0.03</v>
      </c>
      <c r="H5" s="83">
        <v>6.8000000000000005E-2</v>
      </c>
      <c r="I5" s="83">
        <v>7.13</v>
      </c>
      <c r="J5" s="83">
        <v>0.34313723400000001</v>
      </c>
      <c r="K5" s="83">
        <v>9.5371669999999992E-3</v>
      </c>
      <c r="L5" s="83">
        <v>0</v>
      </c>
      <c r="M5" s="83">
        <v>0.28599999999999998</v>
      </c>
      <c r="N5" s="83">
        <v>0</v>
      </c>
      <c r="P5" s="72"/>
      <c r="Q5" s="72"/>
      <c r="R5" s="72"/>
    </row>
    <row r="6" spans="1:46" ht="15" customHeight="1" thickBot="1" x14ac:dyDescent="0.2">
      <c r="B6" s="1"/>
      <c r="C6" s="83">
        <v>5</v>
      </c>
      <c r="D6"/>
      <c r="E6" s="177" t="s">
        <v>196</v>
      </c>
      <c r="F6" s="83">
        <v>0</v>
      </c>
      <c r="G6" s="83">
        <v>1.1999999999999999E-3</v>
      </c>
      <c r="H6" s="83">
        <v>5.0999999999999997E-2</v>
      </c>
      <c r="I6" s="83">
        <v>5.21</v>
      </c>
      <c r="J6" s="83">
        <v>0</v>
      </c>
      <c r="K6" s="83">
        <v>9.7888669999999997E-3</v>
      </c>
      <c r="L6" s="83">
        <v>0</v>
      </c>
      <c r="M6" s="83">
        <v>0.29099999999999998</v>
      </c>
      <c r="N6" s="83">
        <v>0</v>
      </c>
      <c r="P6" s="72"/>
      <c r="Q6" s="72"/>
      <c r="R6" s="72"/>
      <c r="W6" s="35" t="s">
        <v>31</v>
      </c>
      <c r="X6" s="51">
        <f>MAX(MainOutputs!G:G)</f>
        <v>0.94999998807907104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266</v>
      </c>
      <c r="C7" s="83">
        <v>6</v>
      </c>
      <c r="D7"/>
      <c r="E7" s="177" t="s">
        <v>197</v>
      </c>
      <c r="F7" s="83">
        <v>0</v>
      </c>
      <c r="G7" s="83">
        <v>4.0000000000000001E-3</v>
      </c>
      <c r="H7" s="83">
        <v>0.39</v>
      </c>
      <c r="I7" s="83">
        <v>45.25</v>
      </c>
      <c r="J7" s="83">
        <v>0.1923077</v>
      </c>
      <c r="K7" s="83">
        <v>8.6187840000000009E-3</v>
      </c>
      <c r="L7" s="83">
        <v>0</v>
      </c>
      <c r="M7" s="83">
        <v>0.29499999999999998</v>
      </c>
      <c r="N7" s="83">
        <v>0</v>
      </c>
      <c r="P7" s="72"/>
      <c r="Q7" s="72"/>
      <c r="R7" s="72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50</v>
      </c>
      <c r="C8" s="83">
        <v>7</v>
      </c>
      <c r="D8"/>
      <c r="E8" s="177" t="s">
        <v>198</v>
      </c>
      <c r="F8" s="83">
        <v>0</v>
      </c>
      <c r="G8" s="83">
        <v>5.25</v>
      </c>
      <c r="H8" s="83">
        <v>0.55300000000000005</v>
      </c>
      <c r="I8" s="83">
        <v>2.36</v>
      </c>
      <c r="J8" s="83">
        <v>0.31667885200000001</v>
      </c>
      <c r="K8" s="83">
        <v>0.23432202599999999</v>
      </c>
      <c r="L8" s="83">
        <v>0</v>
      </c>
      <c r="M8" s="83">
        <v>0.23499999999999999</v>
      </c>
      <c r="N8" s="83">
        <v>0</v>
      </c>
      <c r="P8" s="72"/>
      <c r="Q8" s="72"/>
      <c r="R8" s="72"/>
    </row>
    <row r="9" spans="1:46" ht="15" customHeight="1" x14ac:dyDescent="0.15">
      <c r="B9" s="1"/>
      <c r="C9" s="83">
        <v>8</v>
      </c>
      <c r="D9"/>
      <c r="E9" s="177" t="s">
        <v>199</v>
      </c>
      <c r="F9" s="83">
        <v>0</v>
      </c>
      <c r="G9" s="83">
        <v>1.25</v>
      </c>
      <c r="H9" s="83">
        <v>0.58899999999999997</v>
      </c>
      <c r="I9" s="83">
        <v>3.08</v>
      </c>
      <c r="J9" s="83">
        <v>0.88265550000000004</v>
      </c>
      <c r="K9" s="83">
        <v>0.191233769</v>
      </c>
      <c r="L9" s="83">
        <v>0</v>
      </c>
      <c r="M9" s="83">
        <v>0.21299999999999999</v>
      </c>
      <c r="N9" s="83">
        <v>0</v>
      </c>
      <c r="P9" s="72"/>
      <c r="Q9" s="72"/>
      <c r="R9" s="72"/>
    </row>
    <row r="10" spans="1:46" ht="15" customHeight="1" x14ac:dyDescent="0.15">
      <c r="B10" s="1"/>
      <c r="C10" s="83">
        <v>9</v>
      </c>
      <c r="D10"/>
      <c r="E10" s="177" t="s">
        <v>200</v>
      </c>
      <c r="F10" s="83">
        <v>0</v>
      </c>
      <c r="G10" s="83">
        <v>1.18205007E-2</v>
      </c>
      <c r="H10" s="83">
        <v>0.96299999999999997</v>
      </c>
      <c r="I10" s="83">
        <v>4.25</v>
      </c>
      <c r="J10" s="83">
        <v>0.95</v>
      </c>
      <c r="K10" s="83">
        <v>0.226588234</v>
      </c>
      <c r="L10" s="83">
        <v>0</v>
      </c>
      <c r="M10" s="83">
        <v>0.20599999999999999</v>
      </c>
      <c r="N10" s="83">
        <v>0</v>
      </c>
    </row>
    <row r="11" spans="1:46" ht="15" customHeight="1" x14ac:dyDescent="0.15">
      <c r="C11" s="83">
        <v>10</v>
      </c>
      <c r="D11"/>
      <c r="E11" s="177" t="s">
        <v>201</v>
      </c>
      <c r="F11" s="83">
        <v>0</v>
      </c>
      <c r="G11" s="83">
        <v>4.8</v>
      </c>
      <c r="H11" s="83">
        <v>0.5</v>
      </c>
      <c r="I11" s="83">
        <v>2.4500000000000002</v>
      </c>
      <c r="J11" s="83">
        <v>0.2154829</v>
      </c>
      <c r="K11" s="83">
        <v>0.20408162499999999</v>
      </c>
      <c r="L11" s="83">
        <v>0</v>
      </c>
      <c r="M11" s="83">
        <v>0.156</v>
      </c>
      <c r="N11" s="83">
        <v>0</v>
      </c>
    </row>
    <row r="12" spans="1:46" ht="15" customHeight="1" x14ac:dyDescent="0.15">
      <c r="C12" s="83">
        <v>11</v>
      </c>
      <c r="D12"/>
      <c r="E12" s="177" t="s">
        <v>202</v>
      </c>
      <c r="F12" s="83">
        <v>0</v>
      </c>
      <c r="G12" s="83">
        <v>0.55000000000000004</v>
      </c>
      <c r="H12" s="83">
        <v>0.49299999999999999</v>
      </c>
      <c r="I12" s="83">
        <v>2.4300000000000002</v>
      </c>
      <c r="J12" s="83">
        <v>0.53935366900000004</v>
      </c>
      <c r="K12" s="83">
        <v>0.202880651</v>
      </c>
      <c r="L12" s="83">
        <v>0</v>
      </c>
      <c r="M12" s="83">
        <v>0.23100000000000001</v>
      </c>
      <c r="N12" s="83">
        <v>0</v>
      </c>
    </row>
    <row r="13" spans="1:46" ht="15" customHeight="1" x14ac:dyDescent="0.15">
      <c r="C13" s="83">
        <v>12</v>
      </c>
      <c r="D13"/>
      <c r="E13" s="177" t="s">
        <v>203</v>
      </c>
      <c r="F13" s="83">
        <v>0</v>
      </c>
      <c r="G13" s="83">
        <v>2.0870461499999999</v>
      </c>
      <c r="H13" s="83">
        <v>0.28599999999999998</v>
      </c>
      <c r="I13" s="83">
        <v>1.47</v>
      </c>
      <c r="J13" s="83">
        <v>0.88</v>
      </c>
      <c r="K13" s="83">
        <v>0.19455783099999999</v>
      </c>
      <c r="L13" s="83">
        <v>0</v>
      </c>
      <c r="M13" s="83">
        <v>0.245</v>
      </c>
      <c r="N13" s="83">
        <v>0</v>
      </c>
    </row>
    <row r="14" spans="1:46" ht="15" customHeight="1" x14ac:dyDescent="0.15">
      <c r="C14" s="83">
        <v>13</v>
      </c>
      <c r="D14"/>
      <c r="E14" s="177" t="s">
        <v>204</v>
      </c>
      <c r="F14" s="83">
        <v>0</v>
      </c>
      <c r="G14" s="83">
        <v>0.08</v>
      </c>
      <c r="H14" s="83">
        <v>0.27900000000000003</v>
      </c>
      <c r="I14" s="83">
        <v>1.38</v>
      </c>
      <c r="J14" s="83">
        <v>0.71026860000000003</v>
      </c>
      <c r="K14" s="83">
        <v>0.20217391800000001</v>
      </c>
      <c r="L14" s="83">
        <v>0</v>
      </c>
      <c r="M14" s="83">
        <v>0.249</v>
      </c>
      <c r="N14" s="83">
        <v>0</v>
      </c>
    </row>
    <row r="15" spans="1:46" ht="15" customHeight="1" x14ac:dyDescent="0.15">
      <c r="C15" s="83">
        <v>14</v>
      </c>
      <c r="D15"/>
      <c r="E15" s="177" t="s">
        <v>205</v>
      </c>
      <c r="F15" s="83">
        <v>0</v>
      </c>
      <c r="G15" s="83">
        <v>0.03</v>
      </c>
      <c r="H15" s="83">
        <v>0.34399999999999997</v>
      </c>
      <c r="I15" s="83">
        <v>1.73</v>
      </c>
      <c r="J15" s="83">
        <v>0.88181240000000005</v>
      </c>
      <c r="K15" s="83">
        <v>0.198843941</v>
      </c>
      <c r="L15" s="83">
        <v>0</v>
      </c>
      <c r="M15" s="83">
        <v>0.20200000000000001</v>
      </c>
      <c r="N15" s="83">
        <v>0</v>
      </c>
    </row>
    <row r="16" spans="1:46" ht="15" customHeight="1" x14ac:dyDescent="0.15">
      <c r="C16" s="83">
        <v>15</v>
      </c>
      <c r="D16"/>
      <c r="E16" s="177" t="s">
        <v>206</v>
      </c>
      <c r="F16" s="83">
        <v>0</v>
      </c>
      <c r="G16" s="83">
        <v>0.34</v>
      </c>
      <c r="H16" s="83">
        <v>0.44800000000000001</v>
      </c>
      <c r="I16" s="83">
        <v>1.6</v>
      </c>
      <c r="J16" s="83">
        <v>0.68020499999999995</v>
      </c>
      <c r="K16" s="83">
        <v>0.28000000000000003</v>
      </c>
      <c r="L16" s="83">
        <v>0</v>
      </c>
      <c r="M16" s="83">
        <v>0.23300000000000001</v>
      </c>
      <c r="N16" s="83">
        <v>0</v>
      </c>
    </row>
    <row r="17" spans="1:22" ht="15" customHeight="1" x14ac:dyDescent="0.15">
      <c r="C17" s="83">
        <v>16</v>
      </c>
      <c r="D17"/>
      <c r="E17" s="177" t="s">
        <v>207</v>
      </c>
      <c r="F17" s="83">
        <v>0</v>
      </c>
      <c r="G17" s="83">
        <v>1.7360002999999999</v>
      </c>
      <c r="H17" s="83">
        <v>0.318</v>
      </c>
      <c r="I17" s="83">
        <v>1.0900000000000001</v>
      </c>
      <c r="J17" s="83">
        <v>0.95</v>
      </c>
      <c r="K17" s="83">
        <v>0.29174309999999998</v>
      </c>
      <c r="L17" s="83">
        <v>0</v>
      </c>
      <c r="M17" s="83">
        <v>0.20599999999999999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77" t="s">
        <v>208</v>
      </c>
      <c r="F18" s="83">
        <v>0</v>
      </c>
      <c r="G18" s="83">
        <v>0.71672659999999999</v>
      </c>
      <c r="H18" s="83">
        <v>0.86599999999999999</v>
      </c>
      <c r="I18" s="83">
        <v>5.43</v>
      </c>
      <c r="J18" s="83">
        <v>0.94</v>
      </c>
      <c r="K18" s="83">
        <v>0.15948435699999999</v>
      </c>
      <c r="L18" s="83">
        <v>0</v>
      </c>
      <c r="M18" s="83">
        <v>0.218</v>
      </c>
      <c r="N18" s="83">
        <v>0</v>
      </c>
      <c r="V18" s="1"/>
    </row>
    <row r="19" spans="1:22" ht="15" customHeight="1" x14ac:dyDescent="0.15">
      <c r="C19" s="83">
        <v>18</v>
      </c>
      <c r="D19"/>
      <c r="E19" s="177" t="s">
        <v>209</v>
      </c>
      <c r="F19" s="83">
        <v>0</v>
      </c>
      <c r="G19" s="83">
        <v>0.03</v>
      </c>
      <c r="H19" s="83">
        <v>0.38700000000000001</v>
      </c>
      <c r="I19" s="83">
        <v>2.34</v>
      </c>
      <c r="J19" s="83">
        <v>0.80431085800000002</v>
      </c>
      <c r="K19" s="83">
        <v>0.16538462000000001</v>
      </c>
      <c r="L19" s="83">
        <v>0</v>
      </c>
      <c r="M19" s="83">
        <v>0.215</v>
      </c>
      <c r="N19" s="83">
        <v>0</v>
      </c>
    </row>
    <row r="20" spans="1:22" ht="15" customHeight="1" thickBot="1" x14ac:dyDescent="0.2">
      <c r="C20" s="83">
        <v>19</v>
      </c>
      <c r="D20"/>
      <c r="E20" s="177" t="s">
        <v>210</v>
      </c>
      <c r="F20" s="83">
        <v>0</v>
      </c>
      <c r="G20" s="83">
        <v>4.93</v>
      </c>
      <c r="H20" s="83">
        <v>0.316</v>
      </c>
      <c r="I20" s="83">
        <v>2.0099999999999998</v>
      </c>
      <c r="J20" s="83">
        <v>0.67128710000000003</v>
      </c>
      <c r="K20" s="83">
        <v>0.157213941</v>
      </c>
      <c r="L20" s="83">
        <v>0</v>
      </c>
      <c r="M20" s="83">
        <v>0.15</v>
      </c>
      <c r="N20" s="83">
        <v>0</v>
      </c>
    </row>
    <row r="21" spans="1:22" ht="15" customHeight="1" thickBot="1" x14ac:dyDescent="0.2">
      <c r="A21" s="46" t="s">
        <v>137</v>
      </c>
      <c r="B21" s="101"/>
      <c r="C21" s="83">
        <v>20</v>
      </c>
      <c r="D21"/>
      <c r="E21" s="177" t="s">
        <v>211</v>
      </c>
      <c r="F21" s="83">
        <v>0</v>
      </c>
      <c r="G21" s="83">
        <v>9.75</v>
      </c>
      <c r="H21" s="83">
        <v>0.54300000000000004</v>
      </c>
      <c r="I21" s="83">
        <v>3.13</v>
      </c>
      <c r="J21" s="83">
        <v>0.68018263599999995</v>
      </c>
      <c r="K21" s="83">
        <v>0.173482418</v>
      </c>
      <c r="L21" s="83">
        <v>0</v>
      </c>
      <c r="M21" s="83">
        <v>0.184</v>
      </c>
      <c r="N21" s="83">
        <v>0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77" t="s">
        <v>212</v>
      </c>
      <c r="F22" s="83">
        <v>0</v>
      </c>
      <c r="G22" s="83">
        <v>0.55890910000000005</v>
      </c>
      <c r="H22" s="83">
        <v>3.5779999999999998</v>
      </c>
      <c r="I22" s="83">
        <v>16.04</v>
      </c>
      <c r="J22" s="83">
        <v>0.92</v>
      </c>
      <c r="K22" s="83">
        <v>0.22306732800000001</v>
      </c>
      <c r="L22" s="83">
        <v>0</v>
      </c>
      <c r="M22" s="83">
        <v>0.19500000000000001</v>
      </c>
      <c r="N22" s="83">
        <v>0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77" t="s">
        <v>213</v>
      </c>
      <c r="F23" s="83">
        <v>0</v>
      </c>
      <c r="G23" s="83">
        <v>4.1707463300000001</v>
      </c>
      <c r="H23" s="83">
        <v>0.35699999999999998</v>
      </c>
      <c r="I23" s="83">
        <v>1.27</v>
      </c>
      <c r="J23" s="83">
        <v>0.95</v>
      </c>
      <c r="K23" s="83">
        <v>0.28110235900000002</v>
      </c>
      <c r="L23" s="83">
        <v>0</v>
      </c>
      <c r="M23" s="83">
        <v>0.224</v>
      </c>
      <c r="N23" s="83">
        <v>0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77" t="s">
        <v>214</v>
      </c>
      <c r="F24" s="83">
        <v>0</v>
      </c>
      <c r="G24" s="83">
        <v>112.3</v>
      </c>
      <c r="H24" s="83">
        <v>0.36699999999999999</v>
      </c>
      <c r="I24" s="83">
        <v>1.68</v>
      </c>
      <c r="J24" s="83">
        <v>7.8359739999999997E-2</v>
      </c>
      <c r="K24" s="83">
        <v>0.21845239999999999</v>
      </c>
      <c r="L24" s="83">
        <v>0</v>
      </c>
      <c r="M24" s="83">
        <v>0.25700000000000001</v>
      </c>
      <c r="N24" s="83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77" t="s">
        <v>215</v>
      </c>
      <c r="F25" s="83">
        <v>0</v>
      </c>
      <c r="G25" s="83">
        <v>42.1</v>
      </c>
      <c r="H25" s="83">
        <v>0.72299999999999998</v>
      </c>
      <c r="I25" s="83">
        <v>2.65</v>
      </c>
      <c r="J25" s="83">
        <v>0.157437667</v>
      </c>
      <c r="K25" s="83">
        <v>0.27283020000000002</v>
      </c>
      <c r="L25" s="83">
        <v>0</v>
      </c>
      <c r="M25" s="83">
        <v>0.27300000000000002</v>
      </c>
      <c r="N25" s="83">
        <v>0</v>
      </c>
    </row>
    <row r="26" spans="1:22" ht="15" customHeight="1" x14ac:dyDescent="0.15">
      <c r="A26" s="106" t="s">
        <v>140</v>
      </c>
      <c r="C26" s="83">
        <v>25</v>
      </c>
      <c r="D26"/>
      <c r="E26" s="177" t="s">
        <v>216</v>
      </c>
      <c r="F26" s="83">
        <v>0</v>
      </c>
      <c r="G26" s="83">
        <v>10.5</v>
      </c>
      <c r="H26" s="83">
        <v>2.0539999999999998</v>
      </c>
      <c r="I26" s="83">
        <v>8.11</v>
      </c>
      <c r="J26" s="83">
        <v>0.91650949999999998</v>
      </c>
      <c r="K26" s="83">
        <v>0.253267556</v>
      </c>
      <c r="L26" s="83">
        <v>0</v>
      </c>
      <c r="M26" s="83">
        <v>0.20799999999999999</v>
      </c>
      <c r="N26" s="83">
        <v>0</v>
      </c>
    </row>
    <row r="27" spans="1:22" ht="15" customHeight="1" x14ac:dyDescent="0.15">
      <c r="C27" s="83">
        <v>26</v>
      </c>
      <c r="D27"/>
      <c r="E27" s="177" t="s">
        <v>217</v>
      </c>
      <c r="F27" s="83">
        <v>0</v>
      </c>
      <c r="G27" s="83">
        <v>7.8</v>
      </c>
      <c r="H27" s="83">
        <v>1.298</v>
      </c>
      <c r="I27" s="83">
        <v>7.61</v>
      </c>
      <c r="J27" s="83">
        <v>0.80310559999999998</v>
      </c>
      <c r="K27" s="83">
        <v>0.170565039</v>
      </c>
      <c r="L27" s="83">
        <v>0</v>
      </c>
      <c r="M27" s="83">
        <v>0.182</v>
      </c>
      <c r="N27" s="83">
        <v>0</v>
      </c>
    </row>
    <row r="28" spans="1:22" ht="15" customHeight="1" x14ac:dyDescent="0.15">
      <c r="C28" s="83">
        <v>27</v>
      </c>
      <c r="D28"/>
      <c r="E28" s="177" t="s">
        <v>218</v>
      </c>
      <c r="F28" s="83">
        <v>0</v>
      </c>
      <c r="G28" s="83">
        <v>5.75</v>
      </c>
      <c r="H28" s="83">
        <v>5.4790000000000001</v>
      </c>
      <c r="I28" s="83">
        <v>34.729999999999997</v>
      </c>
      <c r="J28" s="83">
        <v>0.90943706000000002</v>
      </c>
      <c r="K28" s="83">
        <v>0.15775986</v>
      </c>
      <c r="L28" s="83">
        <v>0</v>
      </c>
      <c r="M28" s="83">
        <v>0.29299999999999998</v>
      </c>
      <c r="N28" s="83">
        <v>0</v>
      </c>
    </row>
    <row r="29" spans="1:22" customFormat="1" ht="15" customHeight="1" x14ac:dyDescent="0.15">
      <c r="C29" s="83">
        <v>28</v>
      </c>
      <c r="E29" s="177" t="s">
        <v>219</v>
      </c>
      <c r="F29" s="83">
        <v>0</v>
      </c>
      <c r="G29" s="83">
        <v>50</v>
      </c>
      <c r="H29" s="83">
        <v>5.3239999999999998</v>
      </c>
      <c r="I29" s="83">
        <v>17.079999999999998</v>
      </c>
      <c r="J29" s="83">
        <v>0.828986</v>
      </c>
      <c r="K29" s="83">
        <v>0.31170958300000001</v>
      </c>
      <c r="L29" s="83">
        <v>0</v>
      </c>
      <c r="M29" s="83">
        <v>0.39900000000000002</v>
      </c>
      <c r="N29" s="83">
        <v>0</v>
      </c>
    </row>
    <row r="30" spans="1:22" customFormat="1" ht="15" customHeight="1" x14ac:dyDescent="0.15">
      <c r="C30" s="83">
        <v>29</v>
      </c>
      <c r="E30" s="177" t="s">
        <v>220</v>
      </c>
      <c r="F30" s="83">
        <v>1</v>
      </c>
      <c r="G30" s="83">
        <v>18.04</v>
      </c>
      <c r="H30" s="83">
        <v>97.796000000000006</v>
      </c>
      <c r="I30" s="83">
        <v>0</v>
      </c>
      <c r="J30" s="83">
        <v>0.37757740000000001</v>
      </c>
      <c r="K30" s="83">
        <v>0</v>
      </c>
      <c r="L30" s="83">
        <v>0</v>
      </c>
      <c r="M30" s="83">
        <v>0</v>
      </c>
      <c r="N30" s="83">
        <v>0</v>
      </c>
    </row>
    <row r="31" spans="1:22" customFormat="1" ht="15" customHeight="1" x14ac:dyDescent="0.15">
      <c r="C31" s="83">
        <v>30</v>
      </c>
      <c r="E31" s="177" t="s">
        <v>221</v>
      </c>
      <c r="F31" s="83">
        <v>2</v>
      </c>
      <c r="G31" s="83">
        <v>93.01</v>
      </c>
      <c r="H31" s="83">
        <v>0</v>
      </c>
      <c r="I31" s="83">
        <v>0</v>
      </c>
      <c r="J31" s="83">
        <v>0</v>
      </c>
      <c r="K31" s="83">
        <v>0</v>
      </c>
      <c r="L31" s="83">
        <v>0</v>
      </c>
      <c r="M31" s="83">
        <v>0</v>
      </c>
      <c r="N31" s="83">
        <v>0</v>
      </c>
    </row>
    <row r="32" spans="1:22" customFormat="1" ht="15" customHeight="1" x14ac:dyDescent="0.15">
      <c r="C32" s="83">
        <v>31</v>
      </c>
      <c r="E32" s="177" t="s">
        <v>222</v>
      </c>
      <c r="F32" s="83">
        <v>2</v>
      </c>
      <c r="G32" s="83">
        <v>5</v>
      </c>
      <c r="H32" s="83">
        <v>0</v>
      </c>
      <c r="I32" s="83">
        <v>0</v>
      </c>
      <c r="J32" s="83">
        <v>0</v>
      </c>
      <c r="K32" s="83">
        <v>0</v>
      </c>
      <c r="L32" s="83">
        <v>0</v>
      </c>
      <c r="M32" s="83">
        <v>0</v>
      </c>
      <c r="N32" s="83">
        <v>0</v>
      </c>
    </row>
    <row r="33" spans="3:14" customFormat="1" ht="15" customHeight="1" x14ac:dyDescent="0.15">
      <c r="C33" s="83">
        <v>32</v>
      </c>
      <c r="E33" s="177" t="s">
        <v>223</v>
      </c>
      <c r="F33" s="83">
        <v>3</v>
      </c>
      <c r="G33" s="83">
        <v>0</v>
      </c>
      <c r="H33" s="83">
        <v>0</v>
      </c>
      <c r="I33" s="83">
        <v>0</v>
      </c>
      <c r="J33" s="83">
        <v>0</v>
      </c>
      <c r="K33" s="83">
        <v>0</v>
      </c>
      <c r="L33" s="83">
        <v>0</v>
      </c>
      <c r="M33" s="83">
        <v>0</v>
      </c>
      <c r="N33" s="83">
        <v>0</v>
      </c>
    </row>
    <row r="34" spans="3:14" customFormat="1" ht="15" customHeight="1" x14ac:dyDescent="0.15"/>
    <row r="35" spans="3:14" customFormat="1" ht="15" customHeight="1" x14ac:dyDescent="0.15"/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4.83203125" style="143" bestFit="1" customWidth="1"/>
    <col min="2" max="3" width="14.83203125" style="143" bestFit="1" customWidth="1"/>
    <col min="4" max="4" width="13.83203125" style="143" bestFit="1" customWidth="1"/>
    <col min="5" max="5" width="14.83203125" style="143" bestFit="1" customWidth="1"/>
    <col min="6" max="6" width="5.83203125" style="143" bestFit="1" customWidth="1"/>
    <col min="7" max="10" width="14.83203125" style="143" bestFit="1" customWidth="1"/>
    <col min="11" max="11" width="5.83203125" style="143" bestFit="1" customWidth="1"/>
    <col min="12" max="12" width="14.83203125" style="143" bestFit="1" customWidth="1"/>
    <col min="13" max="13" width="5.83203125" style="143" bestFit="1" customWidth="1"/>
    <col min="14" max="14" width="15.83203125" style="143" bestFit="1" customWidth="1"/>
    <col min="15" max="16" width="14.83203125" style="143" bestFit="1" customWidth="1"/>
    <col min="17" max="17" width="5.83203125" style="143" bestFit="1" customWidth="1"/>
    <col min="18" max="18" width="4.83203125" style="143" bestFit="1" customWidth="1"/>
    <col min="19" max="19" width="14.83203125" style="143" bestFit="1" customWidth="1"/>
    <col min="20" max="20" width="5.83203125" style="143" bestFit="1" customWidth="1"/>
    <col min="21" max="21" width="14.83203125" style="143" bestFit="1" customWidth="1"/>
    <col min="22" max="23" width="13.83203125" style="143" bestFit="1" customWidth="1"/>
    <col min="24" max="24" width="2.33203125" style="143" bestFit="1" customWidth="1"/>
    <col min="25" max="25" width="3.83203125" style="143" bestFit="1" customWidth="1"/>
    <col min="26" max="26" width="12.83203125" style="143" bestFit="1" customWidth="1"/>
    <col min="27" max="27" width="2.33203125" style="143" bestFit="1" customWidth="1"/>
    <col min="28" max="28" width="5.83203125" style="143" bestFit="1" customWidth="1"/>
    <col min="29" max="29" width="12.83203125" style="143" bestFit="1" customWidth="1"/>
    <col min="30" max="32" width="2.33203125" style="143" customWidth="1"/>
    <col min="33" max="16384" width="8.83203125" style="143"/>
  </cols>
  <sheetData>
    <row r="1" spans="1:34" x14ac:dyDescent="0.15">
      <c r="A1" s="142" t="s">
        <v>19</v>
      </c>
      <c r="B1" s="179" t="s">
        <v>192</v>
      </c>
      <c r="C1" s="179" t="s">
        <v>193</v>
      </c>
      <c r="D1" s="179" t="s">
        <v>194</v>
      </c>
      <c r="E1" s="179" t="s">
        <v>195</v>
      </c>
      <c r="F1" s="179" t="s">
        <v>196</v>
      </c>
      <c r="G1" s="179" t="s">
        <v>197</v>
      </c>
      <c r="H1" s="179" t="s">
        <v>198</v>
      </c>
      <c r="I1" s="179" t="s">
        <v>199</v>
      </c>
      <c r="J1" s="179" t="s">
        <v>200</v>
      </c>
      <c r="K1" s="179" t="s">
        <v>201</v>
      </c>
      <c r="L1" s="179" t="s">
        <v>202</v>
      </c>
      <c r="M1" s="179" t="s">
        <v>203</v>
      </c>
      <c r="N1" s="179" t="s">
        <v>204</v>
      </c>
      <c r="O1" s="179" t="s">
        <v>205</v>
      </c>
      <c r="P1" s="179" t="s">
        <v>206</v>
      </c>
      <c r="Q1" s="179" t="s">
        <v>207</v>
      </c>
      <c r="R1" s="179" t="s">
        <v>208</v>
      </c>
      <c r="S1" s="179" t="s">
        <v>209</v>
      </c>
      <c r="T1" s="179" t="s">
        <v>210</v>
      </c>
      <c r="U1" s="179" t="s">
        <v>211</v>
      </c>
      <c r="V1" s="179" t="s">
        <v>212</v>
      </c>
      <c r="W1" s="179" t="s">
        <v>213</v>
      </c>
      <c r="X1" s="179" t="s">
        <v>214</v>
      </c>
      <c r="Y1" s="179" t="s">
        <v>215</v>
      </c>
      <c r="Z1" s="179" t="s">
        <v>216</v>
      </c>
      <c r="AA1" s="179" t="s">
        <v>217</v>
      </c>
      <c r="AB1" s="179" t="s">
        <v>218</v>
      </c>
      <c r="AC1" s="179" t="s">
        <v>219</v>
      </c>
      <c r="AD1" s="179" t="s">
        <v>220</v>
      </c>
      <c r="AE1" s="179" t="s">
        <v>221</v>
      </c>
      <c r="AF1" s="179" t="s">
        <v>222</v>
      </c>
      <c r="AG1"/>
      <c r="AH1"/>
    </row>
    <row r="2" spans="1:34" customFormat="1" x14ac:dyDescent="0.15">
      <c r="A2" s="178" t="s">
        <v>192</v>
      </c>
      <c r="B2" s="143">
        <v>0</v>
      </c>
      <c r="C2" s="143">
        <v>0</v>
      </c>
      <c r="D2" s="143">
        <v>0</v>
      </c>
      <c r="E2" s="143">
        <v>0</v>
      </c>
      <c r="F2" s="143">
        <v>0</v>
      </c>
      <c r="G2" s="143">
        <v>0</v>
      </c>
      <c r="H2" s="143">
        <v>0</v>
      </c>
      <c r="I2" s="143">
        <v>0</v>
      </c>
      <c r="J2" s="143">
        <v>0</v>
      </c>
      <c r="K2" s="143">
        <v>0</v>
      </c>
      <c r="L2" s="143">
        <v>0</v>
      </c>
      <c r="M2" s="143">
        <v>0</v>
      </c>
      <c r="N2" s="143">
        <v>0</v>
      </c>
      <c r="O2" s="143">
        <v>0</v>
      </c>
      <c r="P2" s="143">
        <v>0</v>
      </c>
      <c r="Q2" s="143">
        <v>0</v>
      </c>
      <c r="R2" s="143">
        <v>0</v>
      </c>
      <c r="S2" s="143">
        <v>0</v>
      </c>
      <c r="T2" s="143">
        <v>0</v>
      </c>
      <c r="U2" s="143">
        <v>0</v>
      </c>
      <c r="V2" s="143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3">
        <v>0</v>
      </c>
      <c r="AD2" s="143">
        <v>0</v>
      </c>
      <c r="AE2" s="143">
        <v>0</v>
      </c>
      <c r="AF2" s="143">
        <v>0</v>
      </c>
    </row>
    <row r="3" spans="1:34" customFormat="1" x14ac:dyDescent="0.15">
      <c r="A3" s="178" t="s">
        <v>193</v>
      </c>
      <c r="B3" s="143">
        <v>0</v>
      </c>
      <c r="C3" s="143">
        <v>0</v>
      </c>
      <c r="D3" s="143">
        <v>0</v>
      </c>
      <c r="E3" s="143">
        <v>0</v>
      </c>
      <c r="F3" s="143">
        <v>0</v>
      </c>
      <c r="G3" s="143">
        <v>0</v>
      </c>
      <c r="H3" s="143">
        <v>0</v>
      </c>
      <c r="I3" s="143">
        <v>0</v>
      </c>
      <c r="J3" s="143">
        <v>0</v>
      </c>
      <c r="K3" s="143">
        <v>0</v>
      </c>
      <c r="L3" s="143">
        <v>0</v>
      </c>
      <c r="M3" s="143">
        <v>0</v>
      </c>
      <c r="N3" s="143">
        <v>0</v>
      </c>
      <c r="O3" s="143">
        <v>0</v>
      </c>
      <c r="P3" s="143">
        <v>0</v>
      </c>
      <c r="Q3" s="143">
        <v>0</v>
      </c>
      <c r="R3" s="143">
        <v>0</v>
      </c>
      <c r="S3" s="143">
        <v>0</v>
      </c>
      <c r="T3" s="143">
        <v>0</v>
      </c>
      <c r="U3" s="143">
        <v>0</v>
      </c>
      <c r="V3" s="143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3">
        <v>0</v>
      </c>
      <c r="AD3" s="143">
        <v>0</v>
      </c>
      <c r="AE3" s="143">
        <v>0</v>
      </c>
      <c r="AF3" s="143">
        <v>0</v>
      </c>
    </row>
    <row r="4" spans="1:34" customFormat="1" x14ac:dyDescent="0.15">
      <c r="A4" s="178" t="s">
        <v>194</v>
      </c>
      <c r="B4" s="143">
        <v>0</v>
      </c>
      <c r="C4" s="143">
        <v>0</v>
      </c>
      <c r="D4" s="143">
        <v>0</v>
      </c>
      <c r="E4" s="143">
        <v>0</v>
      </c>
      <c r="F4" s="143">
        <v>0</v>
      </c>
      <c r="G4" s="143">
        <v>0</v>
      </c>
      <c r="H4" s="143">
        <v>0</v>
      </c>
      <c r="I4" s="143">
        <v>0</v>
      </c>
      <c r="J4" s="143">
        <v>0</v>
      </c>
      <c r="K4" s="143">
        <v>0</v>
      </c>
      <c r="L4" s="143">
        <v>0</v>
      </c>
      <c r="M4" s="143">
        <v>0</v>
      </c>
      <c r="N4" s="143">
        <v>0</v>
      </c>
      <c r="O4" s="143">
        <v>0</v>
      </c>
      <c r="P4" s="143">
        <v>0</v>
      </c>
      <c r="Q4" s="143">
        <v>0</v>
      </c>
      <c r="R4" s="143">
        <v>0</v>
      </c>
      <c r="S4" s="143">
        <v>0</v>
      </c>
      <c r="T4" s="143">
        <v>0</v>
      </c>
      <c r="U4" s="143">
        <v>0</v>
      </c>
      <c r="V4" s="143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3">
        <v>0</v>
      </c>
      <c r="AD4" s="143">
        <v>0</v>
      </c>
      <c r="AE4" s="143">
        <v>0</v>
      </c>
      <c r="AF4" s="143">
        <v>0</v>
      </c>
    </row>
    <row r="5" spans="1:34" customFormat="1" x14ac:dyDescent="0.15">
      <c r="A5" s="178" t="s">
        <v>195</v>
      </c>
      <c r="B5" s="143">
        <v>0</v>
      </c>
      <c r="C5" s="143">
        <v>0</v>
      </c>
      <c r="D5" s="143">
        <v>0</v>
      </c>
      <c r="E5" s="143">
        <v>0</v>
      </c>
      <c r="F5" s="143">
        <v>0</v>
      </c>
      <c r="G5" s="143">
        <v>0</v>
      </c>
      <c r="H5" s="143">
        <v>0</v>
      </c>
      <c r="I5" s="143">
        <v>0</v>
      </c>
      <c r="J5" s="143">
        <v>0</v>
      </c>
      <c r="K5" s="143">
        <v>0</v>
      </c>
      <c r="L5" s="143">
        <v>0</v>
      </c>
      <c r="M5" s="143">
        <v>0</v>
      </c>
      <c r="N5" s="143">
        <v>0</v>
      </c>
      <c r="O5" s="143">
        <v>0</v>
      </c>
      <c r="P5" s="143">
        <v>0</v>
      </c>
      <c r="Q5" s="143">
        <v>0</v>
      </c>
      <c r="R5" s="143">
        <v>0</v>
      </c>
      <c r="S5" s="143">
        <v>0</v>
      </c>
      <c r="T5" s="143">
        <v>0</v>
      </c>
      <c r="U5" s="143">
        <v>0</v>
      </c>
      <c r="V5" s="143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3">
        <v>0</v>
      </c>
      <c r="AD5" s="143">
        <v>0</v>
      </c>
      <c r="AE5" s="143">
        <v>0</v>
      </c>
      <c r="AF5" s="143">
        <v>0</v>
      </c>
    </row>
    <row r="6" spans="1:34" customFormat="1" x14ac:dyDescent="0.15">
      <c r="A6" s="178" t="s">
        <v>196</v>
      </c>
      <c r="B6" s="143">
        <v>0</v>
      </c>
      <c r="C6" s="143">
        <v>0</v>
      </c>
      <c r="D6" s="143">
        <v>0</v>
      </c>
      <c r="E6" s="143">
        <v>0</v>
      </c>
      <c r="F6" s="143">
        <v>0</v>
      </c>
      <c r="G6" s="143">
        <v>0</v>
      </c>
      <c r="H6" s="143">
        <v>0</v>
      </c>
      <c r="I6" s="143">
        <v>0</v>
      </c>
      <c r="J6" s="143">
        <v>0</v>
      </c>
      <c r="K6" s="143">
        <v>0</v>
      </c>
      <c r="L6" s="143">
        <v>0</v>
      </c>
      <c r="M6" s="143">
        <v>0</v>
      </c>
      <c r="N6" s="143">
        <v>0</v>
      </c>
      <c r="O6" s="143">
        <v>0</v>
      </c>
      <c r="P6" s="143">
        <v>0</v>
      </c>
      <c r="Q6" s="143">
        <v>0</v>
      </c>
      <c r="R6" s="143">
        <v>0</v>
      </c>
      <c r="S6" s="143">
        <v>0</v>
      </c>
      <c r="T6" s="143">
        <v>0</v>
      </c>
      <c r="U6" s="143">
        <v>0</v>
      </c>
      <c r="V6" s="143">
        <v>0</v>
      </c>
      <c r="W6" s="143">
        <v>0</v>
      </c>
      <c r="X6" s="143">
        <v>0</v>
      </c>
      <c r="Y6" s="143">
        <v>0</v>
      </c>
      <c r="Z6" s="143">
        <v>0</v>
      </c>
      <c r="AA6" s="143">
        <v>0</v>
      </c>
      <c r="AB6" s="143">
        <v>0</v>
      </c>
      <c r="AC6" s="143">
        <v>0</v>
      </c>
      <c r="AD6" s="143">
        <v>0</v>
      </c>
      <c r="AE6" s="143">
        <v>0</v>
      </c>
      <c r="AF6" s="143">
        <v>0</v>
      </c>
    </row>
    <row r="7" spans="1:34" customFormat="1" x14ac:dyDescent="0.15">
      <c r="A7" s="178" t="s">
        <v>197</v>
      </c>
      <c r="B7" s="143">
        <v>0</v>
      </c>
      <c r="C7" s="143">
        <v>0</v>
      </c>
      <c r="D7" s="143">
        <v>0</v>
      </c>
      <c r="E7" s="143">
        <v>0</v>
      </c>
      <c r="F7" s="143">
        <v>0</v>
      </c>
      <c r="G7" s="143">
        <v>0</v>
      </c>
      <c r="H7" s="143">
        <v>0</v>
      </c>
      <c r="I7" s="143">
        <v>0</v>
      </c>
      <c r="J7" s="143">
        <v>0</v>
      </c>
      <c r="K7" s="143">
        <v>0</v>
      </c>
      <c r="L7" s="143">
        <v>0</v>
      </c>
      <c r="M7" s="143">
        <v>0</v>
      </c>
      <c r="N7" s="143">
        <v>0</v>
      </c>
      <c r="O7" s="143">
        <v>0</v>
      </c>
      <c r="P7" s="143">
        <v>0</v>
      </c>
      <c r="Q7" s="143">
        <v>0</v>
      </c>
      <c r="R7" s="143">
        <v>0</v>
      </c>
      <c r="S7" s="143">
        <v>0</v>
      </c>
      <c r="T7" s="143">
        <v>0</v>
      </c>
      <c r="U7" s="143">
        <v>0</v>
      </c>
      <c r="V7" s="143">
        <v>0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  <c r="AD7" s="143">
        <v>0</v>
      </c>
      <c r="AE7" s="143">
        <v>0</v>
      </c>
      <c r="AF7" s="143">
        <v>0</v>
      </c>
    </row>
    <row r="8" spans="1:34" customFormat="1" x14ac:dyDescent="0.15">
      <c r="A8" s="178" t="s">
        <v>198</v>
      </c>
      <c r="B8" s="143">
        <v>0</v>
      </c>
      <c r="C8" s="143">
        <v>3.8038037806506504E-2</v>
      </c>
      <c r="D8" s="143">
        <v>0.17182818122337665</v>
      </c>
      <c r="E8" s="143">
        <v>0.16916917457158165</v>
      </c>
      <c r="F8" s="143">
        <v>2.1000000000000001E-2</v>
      </c>
      <c r="G8" s="143">
        <v>0</v>
      </c>
      <c r="H8" s="143">
        <v>0</v>
      </c>
      <c r="I8" s="143">
        <v>0</v>
      </c>
      <c r="J8" s="143">
        <v>0</v>
      </c>
      <c r="K8" s="143">
        <v>0</v>
      </c>
      <c r="L8" s="143">
        <v>0</v>
      </c>
      <c r="M8" s="143">
        <v>0</v>
      </c>
      <c r="N8" s="143">
        <v>0</v>
      </c>
      <c r="O8" s="143">
        <v>0</v>
      </c>
      <c r="P8" s="143">
        <v>0</v>
      </c>
      <c r="Q8" s="143">
        <v>0</v>
      </c>
      <c r="R8" s="143">
        <v>0</v>
      </c>
      <c r="S8" s="143">
        <v>0</v>
      </c>
      <c r="T8" s="143">
        <v>0</v>
      </c>
      <c r="U8" s="143">
        <v>0</v>
      </c>
      <c r="V8" s="143">
        <v>0</v>
      </c>
      <c r="W8" s="143">
        <v>0</v>
      </c>
      <c r="X8" s="143">
        <v>0</v>
      </c>
      <c r="Y8" s="143">
        <v>0</v>
      </c>
      <c r="Z8" s="143">
        <v>0</v>
      </c>
      <c r="AA8" s="143">
        <v>0</v>
      </c>
      <c r="AB8" s="143">
        <v>0</v>
      </c>
      <c r="AC8" s="143">
        <v>0</v>
      </c>
      <c r="AD8" s="143">
        <v>0</v>
      </c>
      <c r="AE8" s="143">
        <v>0</v>
      </c>
      <c r="AF8" s="143">
        <v>0</v>
      </c>
    </row>
    <row r="9" spans="1:34" customFormat="1" x14ac:dyDescent="0.15">
      <c r="A9" s="178" t="s">
        <v>199</v>
      </c>
      <c r="B9" s="143">
        <v>1.2012012277177178E-2</v>
      </c>
      <c r="C9" s="143">
        <v>0.10410410929149151</v>
      </c>
      <c r="D9" s="143">
        <v>0.1588411482064935</v>
      </c>
      <c r="E9" s="143">
        <v>0.15215215241349353</v>
      </c>
      <c r="F9" s="143">
        <v>6.3E-2</v>
      </c>
      <c r="G9" s="143">
        <v>2.0020020060060061E-3</v>
      </c>
      <c r="H9" s="143">
        <v>2.6973027742617381E-2</v>
      </c>
      <c r="I9" s="143">
        <v>0</v>
      </c>
      <c r="J9" s="143">
        <v>0</v>
      </c>
      <c r="K9" s="143">
        <v>0</v>
      </c>
      <c r="L9" s="143">
        <v>0</v>
      </c>
      <c r="M9" s="143">
        <v>0</v>
      </c>
      <c r="N9" s="143">
        <v>5.6943059153826144E-2</v>
      </c>
      <c r="O9" s="143">
        <v>3.0030029972972971E-3</v>
      </c>
      <c r="P9" s="143">
        <v>3.1936128306786431E-2</v>
      </c>
      <c r="Q9" s="143">
        <v>9.0999999999999984E-2</v>
      </c>
      <c r="R9" s="143">
        <v>0</v>
      </c>
      <c r="S9" s="143">
        <v>2.0020020726726753E-3</v>
      </c>
      <c r="T9" s="143">
        <v>0</v>
      </c>
      <c r="U9" s="143">
        <v>0</v>
      </c>
      <c r="V9" s="143">
        <v>0</v>
      </c>
      <c r="W9" s="143">
        <v>0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  <c r="AD9" s="143">
        <v>0</v>
      </c>
      <c r="AE9" s="143">
        <v>0</v>
      </c>
      <c r="AF9" s="143">
        <v>0</v>
      </c>
    </row>
    <row r="10" spans="1:34" customFormat="1" x14ac:dyDescent="0.15">
      <c r="A10" s="178" t="s">
        <v>200</v>
      </c>
      <c r="B10" s="143">
        <v>0</v>
      </c>
      <c r="C10" s="143">
        <v>0</v>
      </c>
      <c r="D10" s="143">
        <v>1.2987013016883119E-2</v>
      </c>
      <c r="E10" s="143">
        <v>2.0020022285986011E-3</v>
      </c>
      <c r="F10" s="143">
        <v>0</v>
      </c>
      <c r="G10" s="143">
        <v>5.0050050150150151E-3</v>
      </c>
      <c r="H10" s="143">
        <v>0</v>
      </c>
      <c r="I10" s="143">
        <v>0</v>
      </c>
      <c r="J10" s="143">
        <v>1.0010010940940937E-3</v>
      </c>
      <c r="K10" s="143">
        <v>0</v>
      </c>
      <c r="L10" s="143">
        <v>0</v>
      </c>
      <c r="M10" s="143">
        <v>0</v>
      </c>
      <c r="N10" s="143">
        <v>0</v>
      </c>
      <c r="O10" s="143">
        <v>0</v>
      </c>
      <c r="P10" s="143">
        <v>5.9880241137724574E-3</v>
      </c>
      <c r="Q10" s="143">
        <v>0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</row>
    <row r="11" spans="1:34" customFormat="1" x14ac:dyDescent="0.15">
      <c r="A11" s="178" t="s">
        <v>201</v>
      </c>
      <c r="B11" s="143">
        <v>0</v>
      </c>
      <c r="C11" s="143">
        <v>8.0080080224224238E-3</v>
      </c>
      <c r="D11" s="143">
        <v>0</v>
      </c>
      <c r="E11" s="143">
        <v>4.50450484184685E-2</v>
      </c>
      <c r="F11" s="143">
        <v>0</v>
      </c>
      <c r="G11" s="143">
        <v>5.0050050150150151E-3</v>
      </c>
      <c r="H11" s="143">
        <v>4.9950047478921067E-3</v>
      </c>
      <c r="I11" s="143">
        <v>0</v>
      </c>
      <c r="J11" s="143">
        <v>1.0010010940940937E-3</v>
      </c>
      <c r="K11" s="143">
        <v>0</v>
      </c>
      <c r="L11" s="143">
        <v>0</v>
      </c>
      <c r="M11" s="143">
        <v>0</v>
      </c>
      <c r="N11" s="143">
        <v>9.9900108515484413E-4</v>
      </c>
      <c r="O11" s="143">
        <v>0</v>
      </c>
      <c r="P11" s="143">
        <v>5.9880241137724574E-3</v>
      </c>
      <c r="Q11" s="143">
        <v>0.22999999999999995</v>
      </c>
      <c r="R11" s="143">
        <v>0</v>
      </c>
      <c r="S11" s="143">
        <v>0</v>
      </c>
      <c r="T11" s="143">
        <v>0</v>
      </c>
      <c r="U11" s="143">
        <v>0</v>
      </c>
      <c r="V11" s="143">
        <v>0</v>
      </c>
      <c r="W11" s="143">
        <v>0</v>
      </c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3">
        <v>0</v>
      </c>
      <c r="AD11" s="143">
        <v>0</v>
      </c>
      <c r="AE11" s="143">
        <v>0</v>
      </c>
      <c r="AF11" s="143">
        <v>0</v>
      </c>
    </row>
    <row r="12" spans="1:34" customFormat="1" x14ac:dyDescent="0.15">
      <c r="A12" s="178" t="s">
        <v>202</v>
      </c>
      <c r="B12" s="143">
        <v>0</v>
      </c>
      <c r="C12" s="143">
        <v>8.0080080224224238E-3</v>
      </c>
      <c r="D12" s="143">
        <v>0</v>
      </c>
      <c r="E12" s="143">
        <v>4.6046045127767762E-2</v>
      </c>
      <c r="F12" s="143">
        <v>0</v>
      </c>
      <c r="G12" s="143">
        <v>0</v>
      </c>
      <c r="H12" s="143">
        <v>0</v>
      </c>
      <c r="I12" s="143">
        <v>0</v>
      </c>
      <c r="J12" s="143">
        <v>0</v>
      </c>
      <c r="K12" s="143">
        <v>0</v>
      </c>
      <c r="L12" s="143">
        <v>0</v>
      </c>
      <c r="M12" s="143">
        <v>0</v>
      </c>
      <c r="N12" s="143">
        <v>0</v>
      </c>
      <c r="O12" s="143">
        <v>0</v>
      </c>
      <c r="P12" s="143">
        <v>0</v>
      </c>
      <c r="Q12" s="143">
        <v>0</v>
      </c>
      <c r="R12" s="143">
        <v>0</v>
      </c>
      <c r="S12" s="143">
        <v>0</v>
      </c>
      <c r="T12" s="143">
        <v>0</v>
      </c>
      <c r="U12" s="143">
        <v>0</v>
      </c>
      <c r="V12" s="143">
        <v>0</v>
      </c>
      <c r="W12" s="143">
        <v>0</v>
      </c>
      <c r="X12" s="143">
        <v>0</v>
      </c>
      <c r="Y12" s="143">
        <v>0</v>
      </c>
      <c r="Z12" s="143">
        <v>0</v>
      </c>
      <c r="AA12" s="143">
        <v>0</v>
      </c>
      <c r="AB12" s="143">
        <v>0</v>
      </c>
      <c r="AC12" s="143">
        <v>0</v>
      </c>
      <c r="AD12" s="143">
        <v>0</v>
      </c>
      <c r="AE12" s="143">
        <v>0</v>
      </c>
      <c r="AF12" s="143">
        <v>0</v>
      </c>
    </row>
    <row r="13" spans="1:34" customFormat="1" x14ac:dyDescent="0.15">
      <c r="A13" s="178" t="s">
        <v>203</v>
      </c>
      <c r="B13" s="143">
        <v>0</v>
      </c>
      <c r="C13" s="143">
        <v>2.1021021558858863E-2</v>
      </c>
      <c r="D13" s="143">
        <v>0.20579420026753251</v>
      </c>
      <c r="E13" s="143">
        <v>0.10610610098572569</v>
      </c>
      <c r="F13" s="143">
        <v>0.02</v>
      </c>
      <c r="G13" s="143">
        <v>5.0050050150150151E-3</v>
      </c>
      <c r="H13" s="143">
        <v>9.9900094957842134E-3</v>
      </c>
      <c r="I13" s="143">
        <v>3.7037038744444507E-2</v>
      </c>
      <c r="J13" s="143">
        <v>1.0010010940940937E-3</v>
      </c>
      <c r="K13" s="143">
        <v>0</v>
      </c>
      <c r="L13" s="143">
        <v>0</v>
      </c>
      <c r="M13" s="143">
        <v>0</v>
      </c>
      <c r="N13" s="143">
        <v>4.9950046657742308E-3</v>
      </c>
      <c r="O13" s="143">
        <v>0</v>
      </c>
      <c r="P13" s="143">
        <v>5.9880241137724574E-3</v>
      </c>
      <c r="Q13" s="143">
        <v>8.4999999999999992E-2</v>
      </c>
      <c r="R13" s="143">
        <v>0</v>
      </c>
      <c r="S13" s="143">
        <v>4.8048047244144111E-2</v>
      </c>
      <c r="T13" s="143">
        <v>0</v>
      </c>
      <c r="U13" s="143">
        <v>0</v>
      </c>
      <c r="V13" s="143">
        <v>0</v>
      </c>
      <c r="W13" s="143">
        <v>0</v>
      </c>
      <c r="X13" s="143">
        <v>0</v>
      </c>
      <c r="Y13" s="143">
        <v>0</v>
      </c>
      <c r="Z13" s="143">
        <v>0</v>
      </c>
      <c r="AA13" s="143">
        <v>0</v>
      </c>
      <c r="AB13" s="143">
        <v>0</v>
      </c>
      <c r="AC13" s="143">
        <v>0</v>
      </c>
      <c r="AD13" s="143">
        <v>0</v>
      </c>
      <c r="AE13" s="143">
        <v>0</v>
      </c>
      <c r="AF13" s="143">
        <v>0</v>
      </c>
    </row>
    <row r="14" spans="1:34" customFormat="1" x14ac:dyDescent="0.15">
      <c r="A14" s="178" t="s">
        <v>204</v>
      </c>
      <c r="B14" s="143">
        <v>0</v>
      </c>
      <c r="C14" s="143">
        <v>0</v>
      </c>
      <c r="D14" s="143">
        <v>0</v>
      </c>
      <c r="E14" s="143">
        <v>3.1031031488278286E-2</v>
      </c>
      <c r="F14" s="143">
        <v>1E-3</v>
      </c>
      <c r="G14" s="143">
        <v>5.0050050150150151E-3</v>
      </c>
      <c r="H14" s="143">
        <v>0</v>
      </c>
      <c r="I14" s="143">
        <v>0</v>
      </c>
      <c r="J14" s="143">
        <v>0</v>
      </c>
      <c r="K14" s="143">
        <v>0</v>
      </c>
      <c r="L14" s="143">
        <v>0</v>
      </c>
      <c r="M14" s="143">
        <v>0</v>
      </c>
      <c r="N14" s="143">
        <v>0</v>
      </c>
      <c r="O14" s="143">
        <v>0</v>
      </c>
      <c r="P14" s="143">
        <v>1.397205636546907E-2</v>
      </c>
      <c r="Q14" s="143">
        <v>0</v>
      </c>
      <c r="R14" s="143">
        <v>0</v>
      </c>
      <c r="S14" s="143">
        <v>1.0010010363363376E-2</v>
      </c>
      <c r="T14" s="143">
        <v>0</v>
      </c>
      <c r="U14" s="143">
        <v>0</v>
      </c>
      <c r="V14" s="143">
        <v>0</v>
      </c>
      <c r="W14" s="143">
        <v>0</v>
      </c>
      <c r="X14" s="143">
        <v>0</v>
      </c>
      <c r="Y14" s="143">
        <v>0</v>
      </c>
      <c r="Z14" s="143">
        <v>0</v>
      </c>
      <c r="AA14" s="143">
        <v>0</v>
      </c>
      <c r="AB14" s="143">
        <v>0</v>
      </c>
      <c r="AC14" s="143">
        <v>0</v>
      </c>
      <c r="AD14" s="143">
        <v>0</v>
      </c>
      <c r="AE14" s="143">
        <v>0</v>
      </c>
      <c r="AF14" s="143">
        <v>0</v>
      </c>
    </row>
    <row r="15" spans="1:34" customFormat="1" x14ac:dyDescent="0.15">
      <c r="A15" s="178" t="s">
        <v>205</v>
      </c>
      <c r="B15" s="143">
        <v>9.0090079828828856E-3</v>
      </c>
      <c r="C15" s="143">
        <v>0</v>
      </c>
      <c r="D15" s="143">
        <v>0.10689310713896105</v>
      </c>
      <c r="E15" s="143">
        <v>0</v>
      </c>
      <c r="F15" s="143">
        <v>4.0000000000000001E-3</v>
      </c>
      <c r="G15" s="143">
        <v>0</v>
      </c>
      <c r="H15" s="143">
        <v>0</v>
      </c>
      <c r="I15" s="143">
        <v>0</v>
      </c>
      <c r="J15" s="143">
        <v>1.6016017505505499E-2</v>
      </c>
      <c r="K15" s="143">
        <v>0</v>
      </c>
      <c r="L15" s="143">
        <v>0</v>
      </c>
      <c r="M15" s="143">
        <v>0</v>
      </c>
      <c r="N15" s="143">
        <v>1.9980021503096883E-3</v>
      </c>
      <c r="O15" s="143">
        <v>0</v>
      </c>
      <c r="P15" s="143">
        <v>1.9960080379241526E-3</v>
      </c>
      <c r="Q15" s="143">
        <v>0</v>
      </c>
      <c r="R15" s="143">
        <v>0</v>
      </c>
      <c r="S15" s="143">
        <v>0</v>
      </c>
      <c r="T15" s="143">
        <v>0</v>
      </c>
      <c r="U15" s="143">
        <v>0</v>
      </c>
      <c r="V15" s="143">
        <v>0</v>
      </c>
      <c r="W15" s="143">
        <v>0</v>
      </c>
      <c r="X15" s="143">
        <v>0</v>
      </c>
      <c r="Y15" s="143">
        <v>0</v>
      </c>
      <c r="Z15" s="143">
        <v>0</v>
      </c>
      <c r="AA15" s="143">
        <v>0</v>
      </c>
      <c r="AB15" s="143">
        <v>0</v>
      </c>
      <c r="AC15" s="143">
        <v>0</v>
      </c>
      <c r="AD15" s="143">
        <v>0</v>
      </c>
      <c r="AE15" s="143">
        <v>0</v>
      </c>
      <c r="AF15" s="143">
        <v>0</v>
      </c>
    </row>
    <row r="16" spans="1:34" customFormat="1" x14ac:dyDescent="0.15">
      <c r="A16" s="178" t="s">
        <v>206</v>
      </c>
      <c r="B16" s="143">
        <v>0</v>
      </c>
      <c r="C16" s="143">
        <v>1.0010010028028028E-2</v>
      </c>
      <c r="D16" s="143">
        <v>1.3986014818181821E-2</v>
      </c>
      <c r="E16" s="143">
        <v>0.1201201171159159</v>
      </c>
      <c r="F16" s="143">
        <v>3.1E-2</v>
      </c>
      <c r="G16" s="143">
        <v>0</v>
      </c>
      <c r="H16" s="143">
        <v>0</v>
      </c>
      <c r="I16" s="143">
        <v>0</v>
      </c>
      <c r="J16" s="143">
        <v>0</v>
      </c>
      <c r="K16" s="143">
        <v>0</v>
      </c>
      <c r="L16" s="143">
        <v>0</v>
      </c>
      <c r="M16" s="143">
        <v>0</v>
      </c>
      <c r="N16" s="143">
        <v>0</v>
      </c>
      <c r="O16" s="143">
        <v>0</v>
      </c>
      <c r="P16" s="143">
        <v>0</v>
      </c>
      <c r="Q16" s="143">
        <v>0</v>
      </c>
      <c r="R16" s="143">
        <v>0</v>
      </c>
      <c r="S16" s="143">
        <v>0</v>
      </c>
      <c r="T16" s="143">
        <v>0</v>
      </c>
      <c r="U16" s="143">
        <v>0</v>
      </c>
      <c r="V16" s="143">
        <v>0</v>
      </c>
      <c r="W16" s="143">
        <v>0</v>
      </c>
      <c r="X16" s="143">
        <v>0</v>
      </c>
      <c r="Y16" s="143">
        <v>0</v>
      </c>
      <c r="Z16" s="143">
        <v>0</v>
      </c>
      <c r="AA16" s="143">
        <v>0</v>
      </c>
      <c r="AB16" s="143">
        <v>0</v>
      </c>
      <c r="AC16" s="143">
        <v>0</v>
      </c>
      <c r="AD16" s="143">
        <v>0</v>
      </c>
      <c r="AE16" s="143">
        <v>0</v>
      </c>
      <c r="AF16" s="143">
        <v>0</v>
      </c>
    </row>
    <row r="17" spans="1:32" customFormat="1" x14ac:dyDescent="0.15">
      <c r="A17" s="178" t="s">
        <v>207</v>
      </c>
      <c r="B17" s="143">
        <v>0</v>
      </c>
      <c r="C17" s="143">
        <v>1.9019018953253253E-2</v>
      </c>
      <c r="D17" s="143">
        <v>8.4915090110389627E-2</v>
      </c>
      <c r="E17" s="143">
        <v>0.11111111303222225</v>
      </c>
      <c r="F17" s="143">
        <v>3.1E-2</v>
      </c>
      <c r="G17" s="143">
        <v>4.0040040120120121E-2</v>
      </c>
      <c r="H17" s="143">
        <v>1.998001903156843E-2</v>
      </c>
      <c r="I17" s="143">
        <v>0</v>
      </c>
      <c r="J17" s="143">
        <v>0.11211211133853854</v>
      </c>
      <c r="K17" s="143">
        <v>0</v>
      </c>
      <c r="L17" s="143">
        <v>1.0010011553553641E-3</v>
      </c>
      <c r="M17" s="143">
        <v>0</v>
      </c>
      <c r="N17" s="143">
        <v>0.2437562463777822</v>
      </c>
      <c r="O17" s="143">
        <v>1.3013013588288286E-2</v>
      </c>
      <c r="P17" s="143">
        <v>2.2954091836127743E-2</v>
      </c>
      <c r="Q17" s="143">
        <v>9.4999999999999973E-2</v>
      </c>
      <c r="R17" s="143">
        <v>0</v>
      </c>
      <c r="S17" s="143">
        <v>2.8028029117417457E-2</v>
      </c>
      <c r="T17" s="143">
        <v>0</v>
      </c>
      <c r="U17" s="143">
        <v>0</v>
      </c>
      <c r="V17" s="143">
        <v>0</v>
      </c>
      <c r="W17" s="143">
        <v>0</v>
      </c>
      <c r="X17" s="143">
        <v>0</v>
      </c>
      <c r="Y17" s="143">
        <v>0</v>
      </c>
      <c r="Z17" s="143">
        <v>0</v>
      </c>
      <c r="AA17" s="143">
        <v>0</v>
      </c>
      <c r="AB17" s="143">
        <v>0</v>
      </c>
      <c r="AC17" s="143">
        <v>0</v>
      </c>
      <c r="AD17" s="143">
        <v>0</v>
      </c>
      <c r="AE17" s="143">
        <v>0</v>
      </c>
      <c r="AF17" s="143">
        <v>0</v>
      </c>
    </row>
    <row r="18" spans="1:32" customFormat="1" x14ac:dyDescent="0.15">
      <c r="A18" s="178" t="s">
        <v>208</v>
      </c>
      <c r="B18" s="143">
        <v>0.21721719958728733</v>
      </c>
      <c r="C18" s="143">
        <v>0.19619618454934931</v>
      </c>
      <c r="D18" s="143">
        <v>0.10089910013116885</v>
      </c>
      <c r="E18" s="143">
        <v>9.2092090855535533E-2</v>
      </c>
      <c r="F18" s="143">
        <v>5.3999999999999999E-2</v>
      </c>
      <c r="G18" s="143">
        <v>0.41941940125825822</v>
      </c>
      <c r="H18" s="143">
        <v>1.8981019029990005E-2</v>
      </c>
      <c r="I18" s="143">
        <v>0</v>
      </c>
      <c r="J18" s="143">
        <v>0.49649649707067067</v>
      </c>
      <c r="K18" s="143">
        <v>0</v>
      </c>
      <c r="L18" s="143">
        <v>0</v>
      </c>
      <c r="M18" s="143">
        <v>0</v>
      </c>
      <c r="N18" s="143">
        <v>2.5974025514025983E-2</v>
      </c>
      <c r="O18" s="143">
        <v>6.2062062244144137E-2</v>
      </c>
      <c r="P18" s="143">
        <v>7.9840321516966104E-3</v>
      </c>
      <c r="Q18" s="143">
        <v>2.9999999999999992E-3</v>
      </c>
      <c r="R18" s="143">
        <v>0</v>
      </c>
      <c r="S18" s="143">
        <v>3.5035034071771734E-2</v>
      </c>
      <c r="T18" s="143">
        <v>1E-3</v>
      </c>
      <c r="U18" s="143">
        <v>0</v>
      </c>
      <c r="V18" s="143">
        <v>0</v>
      </c>
      <c r="W18" s="143">
        <v>0</v>
      </c>
      <c r="X18" s="143">
        <v>0</v>
      </c>
      <c r="Y18" s="143">
        <v>0</v>
      </c>
      <c r="Z18" s="143">
        <v>0</v>
      </c>
      <c r="AA18" s="143">
        <v>0</v>
      </c>
      <c r="AB18" s="143">
        <v>0</v>
      </c>
      <c r="AC18" s="143">
        <v>0</v>
      </c>
      <c r="AD18" s="143">
        <v>0</v>
      </c>
      <c r="AE18" s="143">
        <v>0</v>
      </c>
      <c r="AF18" s="143">
        <v>0</v>
      </c>
    </row>
    <row r="19" spans="1:32" customFormat="1" x14ac:dyDescent="0.15">
      <c r="A19" s="178" t="s">
        <v>209</v>
      </c>
      <c r="B19" s="143">
        <v>1.3013013575275274E-2</v>
      </c>
      <c r="C19" s="143">
        <v>5.0050050140140138E-3</v>
      </c>
      <c r="D19" s="143">
        <v>0</v>
      </c>
      <c r="E19" s="143">
        <v>0</v>
      </c>
      <c r="F19" s="143">
        <v>6.8000000000000005E-2</v>
      </c>
      <c r="G19" s="143">
        <v>0</v>
      </c>
      <c r="H19" s="143">
        <v>0</v>
      </c>
      <c r="I19" s="143">
        <v>0</v>
      </c>
      <c r="J19" s="143">
        <v>0</v>
      </c>
      <c r="K19" s="143">
        <v>0</v>
      </c>
      <c r="L19" s="143">
        <v>0</v>
      </c>
      <c r="M19" s="143">
        <v>0</v>
      </c>
      <c r="N19" s="143">
        <v>0</v>
      </c>
      <c r="O19" s="143">
        <v>0</v>
      </c>
      <c r="P19" s="143">
        <v>0</v>
      </c>
      <c r="Q19" s="143">
        <v>0</v>
      </c>
      <c r="R19" s="143">
        <v>0</v>
      </c>
      <c r="S19" s="143">
        <v>0</v>
      </c>
      <c r="T19" s="143">
        <v>0</v>
      </c>
      <c r="U19" s="143">
        <v>0</v>
      </c>
      <c r="V19" s="143">
        <v>0</v>
      </c>
      <c r="W19" s="143">
        <v>0</v>
      </c>
      <c r="X19" s="143">
        <v>0</v>
      </c>
      <c r="Y19" s="143">
        <v>0</v>
      </c>
      <c r="Z19" s="143">
        <v>0</v>
      </c>
      <c r="AA19" s="143">
        <v>0</v>
      </c>
      <c r="AB19" s="143">
        <v>0</v>
      </c>
      <c r="AC19" s="143">
        <v>0</v>
      </c>
      <c r="AD19" s="143">
        <v>0</v>
      </c>
      <c r="AE19" s="143">
        <v>0</v>
      </c>
      <c r="AF19" s="143">
        <v>0</v>
      </c>
    </row>
    <row r="20" spans="1:32" customFormat="1" x14ac:dyDescent="0.15">
      <c r="A20" s="178" t="s">
        <v>210</v>
      </c>
      <c r="B20" s="143">
        <v>0.39339339925255257</v>
      </c>
      <c r="C20" s="143">
        <v>6.0060057968168157E-2</v>
      </c>
      <c r="D20" s="143">
        <v>4.5954044959740259E-2</v>
      </c>
      <c r="E20" s="143">
        <v>2.1021021695285295E-2</v>
      </c>
      <c r="F20" s="143">
        <v>0.29099999999999998</v>
      </c>
      <c r="G20" s="143">
        <v>0.10710711032132134</v>
      </c>
      <c r="H20" s="143">
        <v>5.3946055585234763E-2</v>
      </c>
      <c r="I20" s="143">
        <v>0</v>
      </c>
      <c r="J20" s="143">
        <v>9.0090079468468538E-3</v>
      </c>
      <c r="K20" s="143">
        <v>0</v>
      </c>
      <c r="L20" s="143">
        <v>0</v>
      </c>
      <c r="M20" s="143">
        <v>0</v>
      </c>
      <c r="N20" s="143">
        <v>4.7952049287432554E-2</v>
      </c>
      <c r="O20" s="143">
        <v>2.0020019981981984E-3</v>
      </c>
      <c r="P20" s="143">
        <v>0.13073851448403176</v>
      </c>
      <c r="Q20" s="143">
        <v>0</v>
      </c>
      <c r="R20" s="143">
        <v>0</v>
      </c>
      <c r="S20" s="143">
        <v>3.7037038644444499E-2</v>
      </c>
      <c r="T20" s="143">
        <v>0</v>
      </c>
      <c r="U20" s="143">
        <v>0</v>
      </c>
      <c r="V20" s="143">
        <v>0</v>
      </c>
      <c r="W20" s="143">
        <v>0</v>
      </c>
      <c r="X20" s="143">
        <v>0</v>
      </c>
      <c r="Y20" s="143">
        <v>0</v>
      </c>
      <c r="Z20" s="143">
        <v>0</v>
      </c>
      <c r="AA20" s="143">
        <v>0</v>
      </c>
      <c r="AB20" s="143">
        <v>0</v>
      </c>
      <c r="AC20" s="143">
        <v>0</v>
      </c>
      <c r="AD20" s="143">
        <v>0</v>
      </c>
      <c r="AE20" s="143">
        <v>0</v>
      </c>
      <c r="AF20" s="143">
        <v>0</v>
      </c>
    </row>
    <row r="21" spans="1:32" customFormat="1" x14ac:dyDescent="0.15">
      <c r="A21" s="178" t="s">
        <v>211</v>
      </c>
      <c r="B21" s="143">
        <v>0.3283283403761762</v>
      </c>
      <c r="C21" s="143">
        <v>0.21621622160540541</v>
      </c>
      <c r="D21" s="143">
        <v>9.790210012727274E-2</v>
      </c>
      <c r="E21" s="143">
        <v>0.10310310095782782</v>
      </c>
      <c r="F21" s="143">
        <v>0.34300000000000003</v>
      </c>
      <c r="G21" s="143">
        <v>0.326326340978979</v>
      </c>
      <c r="H21" s="143">
        <v>8.891109394047951E-2</v>
      </c>
      <c r="I21" s="143">
        <v>0</v>
      </c>
      <c r="J21" s="143">
        <v>8.9089089474374369E-2</v>
      </c>
      <c r="K21" s="143">
        <v>0</v>
      </c>
      <c r="L21" s="143">
        <v>0</v>
      </c>
      <c r="M21" s="143">
        <v>1.4E-2</v>
      </c>
      <c r="N21" s="143">
        <v>0.36863135752213805</v>
      </c>
      <c r="O21" s="143">
        <v>0.1911911998279279</v>
      </c>
      <c r="P21" s="143">
        <v>0.70159681333033941</v>
      </c>
      <c r="Q21" s="143">
        <v>3.9999999999999994E-2</v>
      </c>
      <c r="R21" s="143">
        <v>0</v>
      </c>
      <c r="S21" s="143">
        <v>0.4254254154429426</v>
      </c>
      <c r="T21" s="143">
        <v>5.8000000000000003E-2</v>
      </c>
      <c r="U21" s="143">
        <v>0</v>
      </c>
      <c r="V21" s="143">
        <v>0</v>
      </c>
      <c r="W21" s="143">
        <v>0</v>
      </c>
      <c r="X21" s="143">
        <v>0</v>
      </c>
      <c r="Y21" s="143">
        <v>0</v>
      </c>
      <c r="Z21" s="143">
        <v>0</v>
      </c>
      <c r="AA21" s="143">
        <v>0</v>
      </c>
      <c r="AB21" s="143">
        <v>0</v>
      </c>
      <c r="AC21" s="143">
        <v>0</v>
      </c>
      <c r="AD21" s="143">
        <v>0</v>
      </c>
      <c r="AE21" s="143">
        <v>0</v>
      </c>
      <c r="AF21" s="143">
        <v>0</v>
      </c>
    </row>
    <row r="22" spans="1:32" customFormat="1" x14ac:dyDescent="0.15">
      <c r="A22" s="178" t="s">
        <v>212</v>
      </c>
      <c r="B22" s="143">
        <v>7.0070069866866869E-3</v>
      </c>
      <c r="C22" s="143">
        <v>6.2062062473773771E-2</v>
      </c>
      <c r="D22" s="143">
        <v>0</v>
      </c>
      <c r="E22" s="143">
        <v>0</v>
      </c>
      <c r="F22" s="143">
        <v>6.6000000000000003E-2</v>
      </c>
      <c r="G22" s="143">
        <v>5.0050050150150151E-3</v>
      </c>
      <c r="H22" s="143">
        <v>6.8931065608911074E-2</v>
      </c>
      <c r="I22" s="143">
        <v>5.4054057508108246E-2</v>
      </c>
      <c r="J22" s="143">
        <v>0.14914914912002003</v>
      </c>
      <c r="K22" s="143">
        <v>0.01</v>
      </c>
      <c r="L22" s="143">
        <v>5.9059063265966195E-2</v>
      </c>
      <c r="M22" s="143">
        <v>2.4E-2</v>
      </c>
      <c r="N22" s="143">
        <v>5.8941059124135872E-2</v>
      </c>
      <c r="O22" s="143">
        <v>0.26626625676036036</v>
      </c>
      <c r="P22" s="143">
        <v>3.0938122987824335E-2</v>
      </c>
      <c r="Q22" s="143">
        <v>5.1999999999999984E-2</v>
      </c>
      <c r="R22" s="143">
        <v>0</v>
      </c>
      <c r="S22" s="143">
        <v>2.3023023135735742E-2</v>
      </c>
      <c r="T22" s="143">
        <v>5.0000000000000001E-3</v>
      </c>
      <c r="U22" s="143">
        <v>2.9970031345654406E-3</v>
      </c>
      <c r="V22" s="143">
        <v>0</v>
      </c>
      <c r="W22" s="143">
        <v>3.1968034870329676E-2</v>
      </c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3">
        <v>0</v>
      </c>
      <c r="AD22" s="143">
        <v>0</v>
      </c>
      <c r="AE22" s="143">
        <v>0</v>
      </c>
      <c r="AF22" s="143">
        <v>0</v>
      </c>
    </row>
    <row r="23" spans="1:32" customFormat="1" x14ac:dyDescent="0.15">
      <c r="A23" s="178" t="s">
        <v>213</v>
      </c>
      <c r="B23" s="143">
        <v>0</v>
      </c>
      <c r="C23" s="143">
        <v>3.0030030084084087E-3</v>
      </c>
      <c r="D23" s="143">
        <v>0</v>
      </c>
      <c r="E23" s="143">
        <v>1.0010011092993006E-3</v>
      </c>
      <c r="F23" s="143">
        <v>4.0000000000000001E-3</v>
      </c>
      <c r="G23" s="143">
        <v>0</v>
      </c>
      <c r="H23" s="143">
        <v>3.0969031248931068E-2</v>
      </c>
      <c r="I23" s="143">
        <v>5.0050051951952028E-3</v>
      </c>
      <c r="J23" s="143">
        <v>0</v>
      </c>
      <c r="K23" s="143">
        <v>1E-3</v>
      </c>
      <c r="L23" s="143">
        <v>1.7017018941041146E-2</v>
      </c>
      <c r="M23" s="143">
        <v>0</v>
      </c>
      <c r="N23" s="143">
        <v>0.12587413012951043</v>
      </c>
      <c r="O23" s="143">
        <v>0</v>
      </c>
      <c r="P23" s="143">
        <v>6.9860281327345343E-3</v>
      </c>
      <c r="Q23" s="143">
        <v>0.15799999999999997</v>
      </c>
      <c r="R23" s="143">
        <v>0</v>
      </c>
      <c r="S23" s="143">
        <v>4.0040041453453506E-3</v>
      </c>
      <c r="T23" s="143">
        <v>0</v>
      </c>
      <c r="U23" s="143">
        <v>0</v>
      </c>
      <c r="V23" s="143">
        <v>0</v>
      </c>
      <c r="W23" s="143">
        <v>5.2947050116483513E-2</v>
      </c>
      <c r="X23" s="143">
        <v>0</v>
      </c>
      <c r="Y23" s="143">
        <v>0</v>
      </c>
      <c r="Z23" s="143">
        <v>0</v>
      </c>
      <c r="AA23" s="143">
        <v>0</v>
      </c>
      <c r="AB23" s="143">
        <v>0</v>
      </c>
      <c r="AC23" s="143">
        <v>0</v>
      </c>
      <c r="AD23" s="143">
        <v>0</v>
      </c>
      <c r="AE23" s="143">
        <v>0</v>
      </c>
      <c r="AF23" s="143">
        <v>0</v>
      </c>
    </row>
    <row r="24" spans="1:32" customFormat="1" x14ac:dyDescent="0.15">
      <c r="A24" s="178" t="s">
        <v>214</v>
      </c>
      <c r="B24" s="143">
        <v>0</v>
      </c>
      <c r="C24" s="143">
        <v>0</v>
      </c>
      <c r="D24" s="143">
        <v>0</v>
      </c>
      <c r="E24" s="143">
        <v>0</v>
      </c>
      <c r="F24" s="143">
        <v>0</v>
      </c>
      <c r="G24" s="143">
        <v>0</v>
      </c>
      <c r="H24" s="143">
        <v>2.2977022536303692E-2</v>
      </c>
      <c r="I24" s="143">
        <v>2.0020020780780811E-2</v>
      </c>
      <c r="J24" s="143">
        <v>0</v>
      </c>
      <c r="K24" s="143">
        <v>3.1E-2</v>
      </c>
      <c r="L24" s="143">
        <v>0.55155153050079964</v>
      </c>
      <c r="M24" s="143">
        <v>0.318</v>
      </c>
      <c r="N24" s="143">
        <v>9.9900108515484413E-4</v>
      </c>
      <c r="O24" s="143">
        <v>0</v>
      </c>
      <c r="P24" s="143">
        <v>0</v>
      </c>
      <c r="Q24" s="143">
        <v>9.999999999999998E-4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0.14885115632747256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</row>
    <row r="25" spans="1:32" customFormat="1" x14ac:dyDescent="0.15">
      <c r="A25" s="178" t="s">
        <v>215</v>
      </c>
      <c r="B25" s="143">
        <v>0</v>
      </c>
      <c r="C25" s="143">
        <v>0</v>
      </c>
      <c r="D25" s="143">
        <v>0</v>
      </c>
      <c r="E25" s="143">
        <v>0</v>
      </c>
      <c r="F25" s="143">
        <v>2E-3</v>
      </c>
      <c r="G25" s="143">
        <v>0</v>
      </c>
      <c r="H25" s="143">
        <v>0.13386613121150848</v>
      </c>
      <c r="I25" s="143">
        <v>1.4014014546546567E-2</v>
      </c>
      <c r="J25" s="143">
        <v>0</v>
      </c>
      <c r="K25" s="143">
        <v>0.06</v>
      </c>
      <c r="L25" s="143">
        <v>7.407407869629655E-2</v>
      </c>
      <c r="M25" s="143">
        <v>0.25900000000000001</v>
      </c>
      <c r="N25" s="143">
        <v>7.9920088812387487E-3</v>
      </c>
      <c r="O25" s="143">
        <v>0</v>
      </c>
      <c r="P25" s="143">
        <v>0</v>
      </c>
      <c r="Q25" s="143">
        <v>7.9999999999999984E-3</v>
      </c>
      <c r="R25" s="143">
        <v>0</v>
      </c>
      <c r="S25" s="143">
        <v>0</v>
      </c>
      <c r="T25" s="143">
        <v>0</v>
      </c>
      <c r="U25" s="143">
        <v>0</v>
      </c>
      <c r="V25" s="143">
        <v>0</v>
      </c>
      <c r="W25" s="143">
        <v>0.26673325958681315</v>
      </c>
      <c r="X25" s="143">
        <v>0</v>
      </c>
      <c r="Y25" s="143">
        <v>0</v>
      </c>
      <c r="Z25" s="143">
        <v>0</v>
      </c>
      <c r="AA25" s="143">
        <v>0</v>
      </c>
      <c r="AB25" s="143">
        <v>0</v>
      </c>
      <c r="AC25" s="143">
        <v>0</v>
      </c>
      <c r="AD25" s="143">
        <v>0</v>
      </c>
      <c r="AE25" s="143">
        <v>0</v>
      </c>
      <c r="AF25" s="143">
        <v>0</v>
      </c>
    </row>
    <row r="26" spans="1:32" customFormat="1" x14ac:dyDescent="0.15">
      <c r="A26" s="178" t="s">
        <v>216</v>
      </c>
      <c r="B26" s="143">
        <v>0</v>
      </c>
      <c r="C26" s="143">
        <v>0</v>
      </c>
      <c r="D26" s="143">
        <v>0</v>
      </c>
      <c r="E26" s="143">
        <v>0</v>
      </c>
      <c r="F26" s="143">
        <v>0</v>
      </c>
      <c r="G26" s="143">
        <v>0</v>
      </c>
      <c r="H26" s="143">
        <v>0.1298701322051948</v>
      </c>
      <c r="I26" s="143">
        <v>5.1051051990991025E-2</v>
      </c>
      <c r="J26" s="143">
        <v>0</v>
      </c>
      <c r="K26" s="143">
        <v>0.11899999999999999</v>
      </c>
      <c r="L26" s="143">
        <v>0.15515516058008039</v>
      </c>
      <c r="M26" s="143">
        <v>0.17100000000000001</v>
      </c>
      <c r="N26" s="143">
        <v>4.8951049272587414E-2</v>
      </c>
      <c r="O26" s="143">
        <v>0</v>
      </c>
      <c r="P26" s="143">
        <v>2.2954091836127743E-2</v>
      </c>
      <c r="Q26" s="143">
        <v>0.13899999999999998</v>
      </c>
      <c r="R26" s="143">
        <v>0</v>
      </c>
      <c r="S26" s="143">
        <v>2.7027028681081141E-2</v>
      </c>
      <c r="T26" s="143">
        <v>0</v>
      </c>
      <c r="U26" s="143">
        <v>0</v>
      </c>
      <c r="V26" s="143">
        <v>1.4985013393906137E-2</v>
      </c>
      <c r="W26" s="143">
        <v>0.15784217434725278</v>
      </c>
      <c r="X26" s="143">
        <v>0</v>
      </c>
      <c r="Y26" s="143">
        <v>0</v>
      </c>
      <c r="Z26" s="143">
        <v>0.17117117762162182</v>
      </c>
      <c r="AA26" s="143">
        <v>0</v>
      </c>
      <c r="AB26" s="143">
        <v>0</v>
      </c>
      <c r="AC26" s="143">
        <v>0</v>
      </c>
      <c r="AD26" s="143">
        <v>0</v>
      </c>
      <c r="AE26" s="143">
        <v>0</v>
      </c>
      <c r="AF26" s="143">
        <v>0</v>
      </c>
    </row>
    <row r="27" spans="1:32" customFormat="1" x14ac:dyDescent="0.15">
      <c r="A27" s="178" t="s">
        <v>217</v>
      </c>
      <c r="B27" s="143">
        <v>0</v>
      </c>
      <c r="C27" s="143">
        <v>3.0030030084084087E-3</v>
      </c>
      <c r="D27" s="143">
        <v>0</v>
      </c>
      <c r="E27" s="143">
        <v>0</v>
      </c>
      <c r="F27" s="143">
        <v>1E-3</v>
      </c>
      <c r="G27" s="143">
        <v>8.0080080240240246E-3</v>
      </c>
      <c r="H27" s="143">
        <v>0.14685314923202794</v>
      </c>
      <c r="I27" s="143">
        <v>0.16616616348048038</v>
      </c>
      <c r="J27" s="143">
        <v>0</v>
      </c>
      <c r="K27" s="143">
        <v>0.26</v>
      </c>
      <c r="L27" s="143">
        <v>2.5025026383883958E-2</v>
      </c>
      <c r="M27" s="143">
        <v>0.188</v>
      </c>
      <c r="N27" s="143">
        <v>4.9950046657742308E-3</v>
      </c>
      <c r="O27" s="143">
        <v>0</v>
      </c>
      <c r="P27" s="143">
        <v>5.9880241137724574E-3</v>
      </c>
      <c r="Q27" s="143">
        <v>1.0999999999999998E-2</v>
      </c>
      <c r="R27" s="143">
        <v>0</v>
      </c>
      <c r="S27" s="143">
        <v>0</v>
      </c>
      <c r="T27" s="143">
        <v>4.0000000000000001E-3</v>
      </c>
      <c r="U27" s="143">
        <v>4.9950054342757448E-2</v>
      </c>
      <c r="V27" s="143">
        <v>1.6983016839760244E-2</v>
      </c>
      <c r="W27" s="143">
        <v>4.8951050107692309E-2</v>
      </c>
      <c r="X27" s="143">
        <v>0</v>
      </c>
      <c r="Y27" s="143">
        <v>0</v>
      </c>
      <c r="Z27" s="143">
        <v>0</v>
      </c>
      <c r="AA27" s="143">
        <v>0</v>
      </c>
      <c r="AB27" s="143">
        <v>0</v>
      </c>
      <c r="AC27" s="143">
        <v>0</v>
      </c>
      <c r="AD27" s="143">
        <v>0</v>
      </c>
      <c r="AE27" s="143">
        <v>0</v>
      </c>
      <c r="AF27" s="143">
        <v>0</v>
      </c>
    </row>
    <row r="28" spans="1:32" customFormat="1" x14ac:dyDescent="0.15">
      <c r="A28" s="178" t="s">
        <v>218</v>
      </c>
      <c r="B28" s="143">
        <v>2.0020019961961961E-2</v>
      </c>
      <c r="C28" s="143">
        <v>0.24624624868948949</v>
      </c>
      <c r="D28" s="143">
        <v>0</v>
      </c>
      <c r="E28" s="143">
        <v>0</v>
      </c>
      <c r="F28" s="143">
        <v>0</v>
      </c>
      <c r="G28" s="143">
        <v>7.0070070210210209E-2</v>
      </c>
      <c r="H28" s="143">
        <v>0.23976023537882113</v>
      </c>
      <c r="I28" s="143">
        <v>0.62962962455555538</v>
      </c>
      <c r="J28" s="143">
        <v>0.12512512426176176</v>
      </c>
      <c r="K28" s="143">
        <v>0.51800000000000002</v>
      </c>
      <c r="L28" s="143">
        <v>0.11711712047657676</v>
      </c>
      <c r="M28" s="143">
        <v>5.0000000000000001E-3</v>
      </c>
      <c r="N28" s="143">
        <v>9.9900108515484413E-4</v>
      </c>
      <c r="O28" s="143">
        <v>0.35435435168108104</v>
      </c>
      <c r="P28" s="143">
        <v>3.9920160758483052E-3</v>
      </c>
      <c r="Q28" s="143">
        <v>8.699999999999998E-2</v>
      </c>
      <c r="R28" s="143">
        <v>0.05</v>
      </c>
      <c r="S28" s="143">
        <v>0.36036036708108132</v>
      </c>
      <c r="T28" s="143">
        <v>0.32900000000000001</v>
      </c>
      <c r="U28" s="143">
        <v>0.32167831444335632</v>
      </c>
      <c r="V28" s="143">
        <v>0.11188810796783227</v>
      </c>
      <c r="W28" s="143">
        <v>1.8981019041758241E-2</v>
      </c>
      <c r="X28" s="143">
        <v>0</v>
      </c>
      <c r="Y28" s="143">
        <v>0</v>
      </c>
      <c r="Z28" s="143">
        <v>0</v>
      </c>
      <c r="AA28" s="143">
        <v>0</v>
      </c>
      <c r="AB28" s="143">
        <v>1.0999999999999999E-2</v>
      </c>
      <c r="AC28" s="143">
        <v>0</v>
      </c>
      <c r="AD28" s="143">
        <v>0</v>
      </c>
      <c r="AE28" s="143">
        <v>0</v>
      </c>
      <c r="AF28" s="143">
        <v>0</v>
      </c>
    </row>
    <row r="29" spans="1:32" customFormat="1" x14ac:dyDescent="0.15">
      <c r="A29" s="178" t="s">
        <v>219</v>
      </c>
      <c r="B29" s="143">
        <v>0</v>
      </c>
      <c r="C29" s="143">
        <v>0</v>
      </c>
      <c r="D29" s="143">
        <v>0</v>
      </c>
      <c r="E29" s="143">
        <v>0</v>
      </c>
      <c r="F29" s="143">
        <v>0</v>
      </c>
      <c r="G29" s="143">
        <v>2.0020020060060061E-3</v>
      </c>
      <c r="H29" s="143">
        <v>2.9970030047352641E-3</v>
      </c>
      <c r="I29" s="143">
        <v>2.3023023197897906E-2</v>
      </c>
      <c r="J29" s="143">
        <v>0</v>
      </c>
      <c r="K29" s="143">
        <v>1E-3</v>
      </c>
      <c r="L29" s="143">
        <v>0</v>
      </c>
      <c r="M29" s="143">
        <v>0</v>
      </c>
      <c r="N29" s="143">
        <v>0</v>
      </c>
      <c r="O29" s="143">
        <v>0.1081081109027027</v>
      </c>
      <c r="P29" s="143">
        <v>0</v>
      </c>
      <c r="Q29" s="143">
        <v>0</v>
      </c>
      <c r="R29" s="143">
        <v>0.95</v>
      </c>
      <c r="S29" s="143">
        <v>0</v>
      </c>
      <c r="T29" s="143">
        <v>0.60299999999999998</v>
      </c>
      <c r="U29" s="143">
        <v>0.62537462807932087</v>
      </c>
      <c r="V29" s="143">
        <v>0.24375622839420619</v>
      </c>
      <c r="W29" s="143">
        <v>0</v>
      </c>
      <c r="X29" s="143">
        <v>0</v>
      </c>
      <c r="Y29" s="143">
        <v>0</v>
      </c>
      <c r="Z29" s="143">
        <v>0</v>
      </c>
      <c r="AA29" s="143">
        <v>0</v>
      </c>
      <c r="AB29" s="143">
        <v>0.39400000000000002</v>
      </c>
      <c r="AC29" s="143">
        <v>0.12987013511688325</v>
      </c>
      <c r="AD29" s="143">
        <v>0</v>
      </c>
      <c r="AE29" s="143">
        <v>0</v>
      </c>
      <c r="AF29" s="143">
        <v>0</v>
      </c>
    </row>
    <row r="30" spans="1:32" customFormat="1" x14ac:dyDescent="0.15">
      <c r="A30" s="178" t="s">
        <v>220</v>
      </c>
      <c r="B30" s="143">
        <v>0</v>
      </c>
      <c r="C30" s="143">
        <v>0</v>
      </c>
      <c r="D30" s="143">
        <v>0</v>
      </c>
      <c r="E30" s="143">
        <v>0</v>
      </c>
      <c r="F30" s="143">
        <v>0</v>
      </c>
      <c r="G30" s="143">
        <v>0</v>
      </c>
      <c r="H30" s="143">
        <v>0</v>
      </c>
      <c r="I30" s="143">
        <v>0</v>
      </c>
      <c r="J30" s="143">
        <v>0</v>
      </c>
      <c r="K30" s="143">
        <v>0</v>
      </c>
      <c r="L30" s="143">
        <v>0</v>
      </c>
      <c r="M30" s="143">
        <v>0</v>
      </c>
      <c r="N30" s="143">
        <v>0</v>
      </c>
      <c r="O30" s="143">
        <v>0</v>
      </c>
      <c r="P30" s="143">
        <v>0</v>
      </c>
      <c r="Q30" s="143">
        <v>0</v>
      </c>
      <c r="R30" s="143">
        <v>0</v>
      </c>
      <c r="S30" s="143">
        <v>0</v>
      </c>
      <c r="T30" s="143">
        <v>0</v>
      </c>
      <c r="U30" s="143">
        <v>0</v>
      </c>
      <c r="V30" s="143">
        <v>9.1908087509290831E-2</v>
      </c>
      <c r="W30" s="143">
        <v>0</v>
      </c>
      <c r="X30" s="143">
        <v>0</v>
      </c>
      <c r="Y30" s="143">
        <v>0.5</v>
      </c>
      <c r="Z30" s="143">
        <v>0.51851851399999993</v>
      </c>
      <c r="AA30" s="143">
        <v>0</v>
      </c>
      <c r="AB30" s="143">
        <v>0.49</v>
      </c>
      <c r="AC30" s="143">
        <v>0.54745251313886034</v>
      </c>
      <c r="AD30" s="143">
        <v>0</v>
      </c>
      <c r="AE30" s="143">
        <v>0</v>
      </c>
      <c r="AF30" s="143">
        <v>0</v>
      </c>
    </row>
    <row r="31" spans="1:32" customFormat="1" x14ac:dyDescent="0.15">
      <c r="A31" s="178" t="s">
        <v>221</v>
      </c>
      <c r="B31" s="143">
        <v>0</v>
      </c>
      <c r="C31" s="143">
        <v>0</v>
      </c>
      <c r="D31" s="143">
        <v>0</v>
      </c>
      <c r="E31" s="143">
        <v>0</v>
      </c>
      <c r="F31" s="143">
        <v>0</v>
      </c>
      <c r="G31" s="143">
        <v>0</v>
      </c>
      <c r="H31" s="143">
        <v>0</v>
      </c>
      <c r="I31" s="143">
        <v>0</v>
      </c>
      <c r="J31" s="143">
        <v>0</v>
      </c>
      <c r="K31" s="143">
        <v>0</v>
      </c>
      <c r="L31" s="143">
        <v>0</v>
      </c>
      <c r="M31" s="143">
        <v>2.1000000000000001E-2</v>
      </c>
      <c r="N31" s="143">
        <v>0</v>
      </c>
      <c r="O31" s="143">
        <v>0</v>
      </c>
      <c r="P31" s="143">
        <v>0</v>
      </c>
      <c r="Q31" s="143">
        <v>0</v>
      </c>
      <c r="R31" s="143">
        <v>0</v>
      </c>
      <c r="S31" s="143">
        <v>0</v>
      </c>
      <c r="T31" s="143">
        <v>0</v>
      </c>
      <c r="U31" s="143">
        <v>0</v>
      </c>
      <c r="V31" s="143">
        <v>0.52047954589500423</v>
      </c>
      <c r="W31" s="143">
        <v>0.27372625560219771</v>
      </c>
      <c r="X31" s="143">
        <v>1</v>
      </c>
      <c r="Y31" s="143">
        <v>0.5</v>
      </c>
      <c r="Z31" s="143">
        <v>0.31031030837837831</v>
      </c>
      <c r="AA31" s="143">
        <v>1</v>
      </c>
      <c r="AB31" s="143">
        <v>0.105</v>
      </c>
      <c r="AC31" s="143">
        <v>0.32267735174425644</v>
      </c>
      <c r="AD31" s="143">
        <v>0</v>
      </c>
      <c r="AE31" s="143">
        <v>0</v>
      </c>
      <c r="AF31" s="143">
        <v>0</v>
      </c>
    </row>
    <row r="32" spans="1:32" customFormat="1" x14ac:dyDescent="0.15">
      <c r="A32" s="178" t="s">
        <v>222</v>
      </c>
      <c r="B32" s="143">
        <v>0</v>
      </c>
      <c r="C32" s="143">
        <v>0</v>
      </c>
      <c r="D32" s="143">
        <v>0</v>
      </c>
      <c r="E32" s="143">
        <v>0</v>
      </c>
      <c r="F32" s="143">
        <v>0</v>
      </c>
      <c r="G32" s="143">
        <v>0</v>
      </c>
      <c r="H32" s="143">
        <v>0</v>
      </c>
      <c r="I32" s="143">
        <v>0</v>
      </c>
      <c r="J32" s="143">
        <v>0</v>
      </c>
      <c r="K32" s="143">
        <v>0</v>
      </c>
      <c r="L32" s="143">
        <v>0</v>
      </c>
      <c r="M32" s="143">
        <v>0</v>
      </c>
      <c r="N32" s="143">
        <v>0</v>
      </c>
      <c r="O32" s="143">
        <v>0</v>
      </c>
      <c r="P32" s="143">
        <v>0</v>
      </c>
      <c r="Q32" s="143">
        <v>0</v>
      </c>
      <c r="R32" s="143">
        <v>0</v>
      </c>
      <c r="S32" s="143">
        <v>0</v>
      </c>
      <c r="T32" s="143">
        <v>0</v>
      </c>
      <c r="U32" s="143">
        <v>0</v>
      </c>
      <c r="V32" s="143">
        <v>0</v>
      </c>
      <c r="W32" s="143">
        <v>0</v>
      </c>
      <c r="X32" s="143">
        <v>0</v>
      </c>
      <c r="Y32" s="143">
        <v>0</v>
      </c>
      <c r="Z32" s="143">
        <v>0</v>
      </c>
      <c r="AA32" s="143">
        <v>0</v>
      </c>
      <c r="AB32" s="143">
        <v>0</v>
      </c>
      <c r="AC32" s="143">
        <v>0</v>
      </c>
      <c r="AD32" s="143">
        <v>0</v>
      </c>
      <c r="AE32" s="143">
        <v>0</v>
      </c>
      <c r="AF32" s="143">
        <v>0</v>
      </c>
    </row>
    <row r="33" spans="1:32" customFormat="1" x14ac:dyDescent="0.15">
      <c r="A33" s="178" t="s">
        <v>224</v>
      </c>
      <c r="B33" s="143">
        <v>0</v>
      </c>
      <c r="C33" s="143">
        <v>0</v>
      </c>
      <c r="D33" s="143">
        <v>0</v>
      </c>
      <c r="E33" s="143">
        <v>0</v>
      </c>
      <c r="F33" s="143">
        <v>0</v>
      </c>
      <c r="G33" s="143">
        <v>0</v>
      </c>
      <c r="H33" s="143">
        <v>0</v>
      </c>
      <c r="I33" s="143">
        <v>0</v>
      </c>
      <c r="J33" s="143">
        <v>0</v>
      </c>
      <c r="K33" s="143">
        <v>0</v>
      </c>
      <c r="L33" s="143">
        <v>0</v>
      </c>
      <c r="M33" s="143">
        <v>0</v>
      </c>
      <c r="N33" s="143">
        <v>0</v>
      </c>
      <c r="O33" s="143">
        <v>0</v>
      </c>
      <c r="P33" s="143">
        <v>0</v>
      </c>
      <c r="Q33" s="143">
        <v>0</v>
      </c>
      <c r="R33" s="143">
        <v>0</v>
      </c>
      <c r="S33" s="143">
        <v>0</v>
      </c>
      <c r="T33" s="143">
        <v>0</v>
      </c>
      <c r="U33" s="143">
        <v>0</v>
      </c>
      <c r="V33" s="143">
        <v>0</v>
      </c>
      <c r="W33" s="143">
        <v>0</v>
      </c>
      <c r="X33" s="143">
        <v>0</v>
      </c>
      <c r="Y33" s="143">
        <v>0</v>
      </c>
      <c r="Z33" s="143">
        <v>0</v>
      </c>
      <c r="AA33" s="143">
        <v>0</v>
      </c>
      <c r="AB33" s="143">
        <v>0</v>
      </c>
      <c r="AC33" s="143">
        <v>0</v>
      </c>
      <c r="AD33" s="143">
        <v>0</v>
      </c>
      <c r="AE33" s="143">
        <v>0</v>
      </c>
      <c r="AF33" s="143">
        <v>0</v>
      </c>
    </row>
    <row r="34" spans="1:32" customFormat="1" x14ac:dyDescent="0.15"/>
    <row r="35" spans="1:32" customFormat="1" x14ac:dyDescent="0.15"/>
    <row r="36" spans="1:32" customFormat="1" x14ac:dyDescent="0.15"/>
    <row r="37" spans="1:32" customFormat="1" x14ac:dyDescent="0.15"/>
    <row r="38" spans="1:32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4" activePane="bottomRight" state="frozen"/>
      <selection pane="topRight" activeCell="C1" sqref="C1"/>
      <selection pane="bottomLeft" activeCell="A2" sqref="A2"/>
      <selection pane="bottomRight" activeCell="I37" sqref="I37"/>
    </sheetView>
  </sheetViews>
  <sheetFormatPr baseColWidth="10" defaultColWidth="8.83203125" defaultRowHeight="13" x14ac:dyDescent="0.15"/>
  <cols>
    <col min="1" max="1" width="3.33203125" customWidth="1"/>
    <col min="2" max="2" width="24.83203125" customWidth="1"/>
    <col min="3" max="4" width="13" style="111" customWidth="1"/>
    <col min="5" max="6" width="13" style="110" customWidth="1"/>
    <col min="7" max="8" width="8.83203125" style="111"/>
  </cols>
  <sheetData>
    <row r="1" spans="1:8" ht="70" x14ac:dyDescent="0.15">
      <c r="A1" s="5" t="s">
        <v>20</v>
      </c>
      <c r="B1" s="1" t="s">
        <v>0</v>
      </c>
      <c r="C1" s="181" t="s">
        <v>221</v>
      </c>
      <c r="D1" s="181" t="s">
        <v>222</v>
      </c>
      <c r="E1" s="181" t="s">
        <v>225</v>
      </c>
      <c r="F1" s="181" t="s">
        <v>226</v>
      </c>
      <c r="G1"/>
      <c r="H1"/>
    </row>
    <row r="2" spans="1:8" x14ac:dyDescent="0.15">
      <c r="A2">
        <v>1</v>
      </c>
      <c r="B2" s="180" t="s">
        <v>192</v>
      </c>
      <c r="C2" s="111">
        <v>1</v>
      </c>
      <c r="D2" s="111">
        <v>0</v>
      </c>
      <c r="E2" s="110">
        <v>0</v>
      </c>
      <c r="F2" s="110">
        <v>1</v>
      </c>
      <c r="G2"/>
      <c r="H2"/>
    </row>
    <row r="3" spans="1:8" x14ac:dyDescent="0.15">
      <c r="A3">
        <v>2</v>
      </c>
      <c r="B3" s="180" t="s">
        <v>193</v>
      </c>
      <c r="C3" s="111">
        <v>1</v>
      </c>
      <c r="D3" s="111">
        <v>0</v>
      </c>
      <c r="E3" s="110">
        <v>0</v>
      </c>
      <c r="F3" s="110">
        <v>1</v>
      </c>
      <c r="G3"/>
      <c r="H3"/>
    </row>
    <row r="4" spans="1:8" x14ac:dyDescent="0.15">
      <c r="A4">
        <v>3</v>
      </c>
      <c r="B4" s="180" t="s">
        <v>194</v>
      </c>
      <c r="C4" s="111">
        <v>1</v>
      </c>
      <c r="D4" s="111">
        <v>0</v>
      </c>
      <c r="E4" s="110">
        <v>0</v>
      </c>
      <c r="F4" s="110">
        <v>1</v>
      </c>
      <c r="G4"/>
      <c r="H4"/>
    </row>
    <row r="5" spans="1:8" x14ac:dyDescent="0.15">
      <c r="A5">
        <v>4</v>
      </c>
      <c r="B5" s="180" t="s">
        <v>195</v>
      </c>
      <c r="C5" s="111">
        <v>1</v>
      </c>
      <c r="D5" s="111">
        <v>0</v>
      </c>
      <c r="E5" s="110">
        <v>0</v>
      </c>
      <c r="F5" s="110">
        <v>1</v>
      </c>
      <c r="G5"/>
      <c r="H5"/>
    </row>
    <row r="6" spans="1:8" x14ac:dyDescent="0.15">
      <c r="A6">
        <v>5</v>
      </c>
      <c r="B6" s="180" t="s">
        <v>196</v>
      </c>
      <c r="C6" s="111">
        <v>1</v>
      </c>
      <c r="D6" s="111">
        <v>0</v>
      </c>
      <c r="E6" s="110">
        <v>0</v>
      </c>
      <c r="F6" s="110">
        <v>1</v>
      </c>
      <c r="G6"/>
      <c r="H6"/>
    </row>
    <row r="7" spans="1:8" x14ac:dyDescent="0.15">
      <c r="A7">
        <v>6</v>
      </c>
      <c r="B7" s="180" t="s">
        <v>197</v>
      </c>
      <c r="C7" s="111">
        <v>1</v>
      </c>
      <c r="D7" s="111">
        <v>0</v>
      </c>
      <c r="E7" s="110">
        <v>0</v>
      </c>
      <c r="F7" s="110">
        <v>1</v>
      </c>
      <c r="G7"/>
      <c r="H7"/>
    </row>
    <row r="8" spans="1:8" x14ac:dyDescent="0.15">
      <c r="A8">
        <v>7</v>
      </c>
      <c r="B8" s="180" t="s">
        <v>198</v>
      </c>
      <c r="C8" s="111">
        <v>1</v>
      </c>
      <c r="D8" s="111">
        <v>0</v>
      </c>
      <c r="E8" s="110">
        <v>0</v>
      </c>
      <c r="F8" s="110">
        <v>1</v>
      </c>
      <c r="G8"/>
      <c r="H8"/>
    </row>
    <row r="9" spans="1:8" x14ac:dyDescent="0.15">
      <c r="A9">
        <v>8</v>
      </c>
      <c r="B9" s="180" t="s">
        <v>199</v>
      </c>
      <c r="C9" s="111">
        <v>1</v>
      </c>
      <c r="D9" s="111">
        <v>0</v>
      </c>
      <c r="E9" s="110">
        <v>0</v>
      </c>
      <c r="F9" s="110">
        <v>1</v>
      </c>
      <c r="G9"/>
      <c r="H9"/>
    </row>
    <row r="10" spans="1:8" x14ac:dyDescent="0.15">
      <c r="A10">
        <v>9</v>
      </c>
      <c r="B10" s="180" t="s">
        <v>200</v>
      </c>
      <c r="C10" s="111">
        <v>1</v>
      </c>
      <c r="D10" s="111">
        <v>0</v>
      </c>
      <c r="E10" s="110">
        <v>0</v>
      </c>
      <c r="F10" s="110">
        <v>1</v>
      </c>
      <c r="G10"/>
      <c r="H10"/>
    </row>
    <row r="11" spans="1:8" x14ac:dyDescent="0.15">
      <c r="A11">
        <v>10</v>
      </c>
      <c r="B11" s="180" t="s">
        <v>201</v>
      </c>
      <c r="C11" s="111">
        <v>1</v>
      </c>
      <c r="D11" s="111">
        <v>0</v>
      </c>
      <c r="E11" s="110">
        <v>0</v>
      </c>
      <c r="F11" s="110">
        <v>1</v>
      </c>
      <c r="G11"/>
      <c r="H11"/>
    </row>
    <row r="12" spans="1:8" x14ac:dyDescent="0.15">
      <c r="A12">
        <v>11</v>
      </c>
      <c r="B12" s="180" t="s">
        <v>202</v>
      </c>
      <c r="C12" s="111">
        <v>1</v>
      </c>
      <c r="D12" s="111">
        <v>0</v>
      </c>
      <c r="E12" s="110">
        <v>0</v>
      </c>
      <c r="F12" s="110">
        <v>1</v>
      </c>
      <c r="G12"/>
      <c r="H12"/>
    </row>
    <row r="13" spans="1:8" x14ac:dyDescent="0.15">
      <c r="A13">
        <v>12</v>
      </c>
      <c r="B13" s="180" t="s">
        <v>203</v>
      </c>
      <c r="C13" s="111">
        <v>1</v>
      </c>
      <c r="D13" s="111">
        <v>0</v>
      </c>
      <c r="E13" s="110">
        <v>0</v>
      </c>
      <c r="F13" s="110">
        <v>1</v>
      </c>
      <c r="G13"/>
      <c r="H13"/>
    </row>
    <row r="14" spans="1:8" x14ac:dyDescent="0.15">
      <c r="A14">
        <v>13</v>
      </c>
      <c r="B14" s="180" t="s">
        <v>204</v>
      </c>
      <c r="C14" s="111">
        <v>1</v>
      </c>
      <c r="D14" s="111">
        <v>0</v>
      </c>
      <c r="E14" s="110">
        <v>0</v>
      </c>
      <c r="F14" s="110">
        <v>1</v>
      </c>
      <c r="G14"/>
      <c r="H14"/>
    </row>
    <row r="15" spans="1:8" x14ac:dyDescent="0.15">
      <c r="A15">
        <v>14</v>
      </c>
      <c r="B15" s="180" t="s">
        <v>205</v>
      </c>
      <c r="C15" s="111">
        <v>1</v>
      </c>
      <c r="D15" s="111">
        <v>0</v>
      </c>
      <c r="E15" s="110">
        <v>0</v>
      </c>
      <c r="F15" s="110">
        <v>1</v>
      </c>
      <c r="G15"/>
      <c r="H15"/>
    </row>
    <row r="16" spans="1:8" x14ac:dyDescent="0.15">
      <c r="A16">
        <v>15</v>
      </c>
      <c r="B16" s="180" t="s">
        <v>206</v>
      </c>
      <c r="C16" s="111">
        <v>1</v>
      </c>
      <c r="D16" s="111">
        <v>0</v>
      </c>
      <c r="E16" s="110">
        <v>0</v>
      </c>
      <c r="F16" s="110">
        <v>1</v>
      </c>
      <c r="G16"/>
      <c r="H16"/>
    </row>
    <row r="17" spans="1:8" ht="15" customHeight="1" x14ac:dyDescent="0.15">
      <c r="A17">
        <v>16</v>
      </c>
      <c r="B17" s="180" t="s">
        <v>207</v>
      </c>
      <c r="C17" s="111">
        <v>1</v>
      </c>
      <c r="D17" s="111">
        <v>0</v>
      </c>
      <c r="E17" s="110">
        <v>0</v>
      </c>
      <c r="F17" s="110">
        <v>1</v>
      </c>
      <c r="G17"/>
      <c r="H17"/>
    </row>
    <row r="18" spans="1:8" ht="15" customHeight="1" x14ac:dyDescent="0.15">
      <c r="A18">
        <v>17</v>
      </c>
      <c r="B18" s="180" t="s">
        <v>208</v>
      </c>
      <c r="C18" s="111">
        <v>1</v>
      </c>
      <c r="D18" s="111">
        <v>0</v>
      </c>
      <c r="E18" s="110">
        <v>0</v>
      </c>
      <c r="F18" s="110">
        <v>1</v>
      </c>
      <c r="G18"/>
      <c r="H18"/>
    </row>
    <row r="19" spans="1:8" ht="15" customHeight="1" x14ac:dyDescent="0.15">
      <c r="A19">
        <v>18</v>
      </c>
      <c r="B19" s="180" t="s">
        <v>209</v>
      </c>
      <c r="C19" s="111">
        <v>1</v>
      </c>
      <c r="D19" s="111">
        <v>0</v>
      </c>
      <c r="E19" s="110">
        <v>0</v>
      </c>
      <c r="F19" s="110">
        <v>1</v>
      </c>
      <c r="G19"/>
      <c r="H19"/>
    </row>
    <row r="20" spans="1:8" ht="15" customHeight="1" x14ac:dyDescent="0.15">
      <c r="A20">
        <v>19</v>
      </c>
      <c r="B20" s="180" t="s">
        <v>210</v>
      </c>
      <c r="C20" s="111">
        <v>1</v>
      </c>
      <c r="D20" s="111">
        <v>0</v>
      </c>
      <c r="E20" s="110">
        <v>0</v>
      </c>
      <c r="F20" s="110">
        <v>1</v>
      </c>
      <c r="G20"/>
      <c r="H20"/>
    </row>
    <row r="21" spans="1:8" ht="15" customHeight="1" x14ac:dyDescent="0.15">
      <c r="A21">
        <v>20</v>
      </c>
      <c r="B21" s="180" t="s">
        <v>211</v>
      </c>
      <c r="C21" s="111">
        <v>1</v>
      </c>
      <c r="D21" s="111">
        <v>0</v>
      </c>
      <c r="E21" s="110">
        <v>0</v>
      </c>
      <c r="F21" s="110">
        <v>1</v>
      </c>
      <c r="G21"/>
      <c r="H21"/>
    </row>
    <row r="22" spans="1:8" ht="15" customHeight="1" x14ac:dyDescent="0.15">
      <c r="A22">
        <v>21</v>
      </c>
      <c r="B22" s="180" t="s">
        <v>212</v>
      </c>
      <c r="C22" s="111">
        <v>1</v>
      </c>
      <c r="D22" s="111">
        <v>0</v>
      </c>
      <c r="E22" s="110">
        <v>0</v>
      </c>
      <c r="F22" s="110">
        <v>1</v>
      </c>
      <c r="G22"/>
      <c r="H22"/>
    </row>
    <row r="23" spans="1:8" ht="15" customHeight="1" x14ac:dyDescent="0.15">
      <c r="A23">
        <v>22</v>
      </c>
      <c r="B23" s="180" t="s">
        <v>213</v>
      </c>
      <c r="C23" s="111">
        <v>1</v>
      </c>
      <c r="D23" s="111">
        <v>0</v>
      </c>
      <c r="E23" s="110">
        <v>0</v>
      </c>
      <c r="F23" s="110">
        <v>1</v>
      </c>
      <c r="G23"/>
      <c r="H23"/>
    </row>
    <row r="24" spans="1:8" ht="15" customHeight="1" x14ac:dyDescent="0.15">
      <c r="A24">
        <v>23</v>
      </c>
      <c r="B24" s="180" t="s">
        <v>214</v>
      </c>
      <c r="C24" s="111">
        <v>1</v>
      </c>
      <c r="D24" s="111">
        <v>0</v>
      </c>
      <c r="E24" s="110">
        <v>0</v>
      </c>
      <c r="F24" s="110">
        <v>1</v>
      </c>
      <c r="G24"/>
      <c r="H24"/>
    </row>
    <row r="25" spans="1:8" ht="15" customHeight="1" x14ac:dyDescent="0.15">
      <c r="A25">
        <v>24</v>
      </c>
      <c r="B25" s="180" t="s">
        <v>215</v>
      </c>
      <c r="C25" s="111">
        <v>1</v>
      </c>
      <c r="D25" s="111">
        <v>0</v>
      </c>
      <c r="E25" s="110">
        <v>0</v>
      </c>
      <c r="F25" s="110">
        <v>1</v>
      </c>
      <c r="G25"/>
      <c r="H25"/>
    </row>
    <row r="26" spans="1:8" ht="15" customHeight="1" x14ac:dyDescent="0.15">
      <c r="A26">
        <v>25</v>
      </c>
      <c r="B26" s="180" t="s">
        <v>216</v>
      </c>
      <c r="C26" s="111">
        <v>1</v>
      </c>
      <c r="D26" s="111">
        <v>0</v>
      </c>
      <c r="E26" s="110">
        <v>0</v>
      </c>
      <c r="F26" s="110">
        <v>1</v>
      </c>
      <c r="G26"/>
      <c r="H26"/>
    </row>
    <row r="27" spans="1:8" ht="15" customHeight="1" x14ac:dyDescent="0.15">
      <c r="A27">
        <v>26</v>
      </c>
      <c r="B27" s="180" t="s">
        <v>217</v>
      </c>
      <c r="C27" s="111">
        <v>1</v>
      </c>
      <c r="D27" s="111">
        <v>0</v>
      </c>
      <c r="E27" s="110">
        <v>0</v>
      </c>
      <c r="F27" s="110">
        <v>1</v>
      </c>
      <c r="G27"/>
      <c r="H27"/>
    </row>
    <row r="28" spans="1:8" ht="15" customHeight="1" x14ac:dyDescent="0.15">
      <c r="A28">
        <v>27</v>
      </c>
      <c r="B28" s="180" t="s">
        <v>218</v>
      </c>
      <c r="C28" s="111">
        <v>1</v>
      </c>
      <c r="D28" s="111">
        <v>0</v>
      </c>
      <c r="E28" s="110">
        <v>0</v>
      </c>
      <c r="F28" s="110">
        <v>1</v>
      </c>
      <c r="G28"/>
      <c r="H28"/>
    </row>
    <row r="29" spans="1:8" ht="15" customHeight="1" x14ac:dyDescent="0.15">
      <c r="A29">
        <v>28</v>
      </c>
      <c r="B29" s="180" t="s">
        <v>219</v>
      </c>
      <c r="C29" s="111">
        <v>1</v>
      </c>
      <c r="D29" s="111">
        <v>0</v>
      </c>
      <c r="E29" s="110">
        <v>0</v>
      </c>
      <c r="F29" s="110">
        <v>1</v>
      </c>
      <c r="G29"/>
      <c r="H29"/>
    </row>
    <row r="30" spans="1:8" ht="15" customHeight="1" x14ac:dyDescent="0.15">
      <c r="A30">
        <v>29</v>
      </c>
      <c r="B30" s="180" t="s">
        <v>220</v>
      </c>
      <c r="C30" s="111">
        <v>1</v>
      </c>
      <c r="D30" s="111">
        <v>0</v>
      </c>
      <c r="E30" s="110">
        <v>0</v>
      </c>
      <c r="F30" s="110">
        <v>1</v>
      </c>
      <c r="G30"/>
      <c r="H30"/>
    </row>
    <row r="31" spans="1:8" ht="15" customHeight="1" x14ac:dyDescent="0.15">
      <c r="A31">
        <v>30</v>
      </c>
      <c r="B31" s="180" t="s">
        <v>221</v>
      </c>
      <c r="C31" s="111">
        <v>0</v>
      </c>
      <c r="D31" s="111">
        <v>1</v>
      </c>
      <c r="E31" s="110">
        <v>0</v>
      </c>
      <c r="F31" s="110">
        <v>1</v>
      </c>
      <c r="G31"/>
      <c r="H31"/>
    </row>
    <row r="32" spans="1:8" ht="15" customHeight="1" x14ac:dyDescent="0.15">
      <c r="A32">
        <v>31</v>
      </c>
      <c r="B32" s="180" t="s">
        <v>222</v>
      </c>
      <c r="C32" s="111">
        <v>0</v>
      </c>
      <c r="D32" s="111">
        <v>0</v>
      </c>
      <c r="E32" s="110">
        <v>1</v>
      </c>
      <c r="F32" s="110">
        <v>1</v>
      </c>
    </row>
    <row r="33" spans="1:8" ht="15" customHeight="1" x14ac:dyDescent="0.15">
      <c r="A33">
        <v>32</v>
      </c>
      <c r="B33" s="180" t="s">
        <v>223</v>
      </c>
      <c r="C33" s="111">
        <v>0</v>
      </c>
      <c r="D33" s="111">
        <v>1</v>
      </c>
      <c r="E33" s="110">
        <v>0</v>
      </c>
      <c r="F33" s="110">
        <v>1</v>
      </c>
    </row>
    <row r="34" spans="1:8" ht="15" customHeight="1" x14ac:dyDescent="0.15"/>
    <row r="35" spans="1:8" ht="15" customHeight="1" x14ac:dyDescent="0.15"/>
    <row r="36" spans="1:8" ht="15" customHeight="1" x14ac:dyDescent="0.15">
      <c r="C36"/>
      <c r="D36"/>
      <c r="E36" s="111"/>
      <c r="F36" s="111"/>
      <c r="G36"/>
      <c r="H36"/>
    </row>
    <row r="37" spans="1:8" ht="15" customHeight="1" x14ac:dyDescent="0.15">
      <c r="C37"/>
      <c r="D37"/>
      <c r="E37" s="111"/>
      <c r="F37" s="111"/>
      <c r="G37"/>
      <c r="H37"/>
    </row>
    <row r="38" spans="1:8" ht="15" customHeight="1" x14ac:dyDescent="0.15">
      <c r="C38"/>
      <c r="D38"/>
      <c r="E38" s="111"/>
      <c r="F38" s="111"/>
      <c r="G38"/>
      <c r="H38"/>
    </row>
    <row r="39" spans="1:8" ht="15" customHeight="1" x14ac:dyDescent="0.15">
      <c r="C39"/>
      <c r="D39"/>
      <c r="E39" s="111"/>
      <c r="F39" s="111"/>
      <c r="G39"/>
      <c r="H39"/>
    </row>
    <row r="40" spans="1:8" ht="15" customHeight="1" x14ac:dyDescent="0.15">
      <c r="C40"/>
      <c r="D40"/>
      <c r="E40" s="111"/>
      <c r="F40" s="111"/>
      <c r="G40"/>
      <c r="H40"/>
    </row>
    <row r="41" spans="1:8" ht="15" customHeight="1" x14ac:dyDescent="0.15">
      <c r="C41"/>
      <c r="D41"/>
      <c r="E41" s="111"/>
      <c r="F41" s="111"/>
      <c r="G41"/>
      <c r="H41"/>
    </row>
    <row r="42" spans="1:8" ht="15" customHeight="1" x14ac:dyDescent="0.15">
      <c r="C42"/>
      <c r="D42"/>
      <c r="E42" s="111"/>
      <c r="F42" s="111"/>
      <c r="G42"/>
      <c r="H42"/>
    </row>
    <row r="43" spans="1:8" ht="15" customHeight="1" x14ac:dyDescent="0.15">
      <c r="C43"/>
      <c r="D43"/>
      <c r="E43" s="111"/>
      <c r="F43" s="111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1"/>
      <c r="F46" s="111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83203125" bestFit="1" customWidth="1"/>
    <col min="3" max="4" width="7.83203125" bestFit="1" customWidth="1"/>
    <col min="5" max="5" width="12.1640625" bestFit="1" customWidth="1"/>
  </cols>
  <sheetData>
    <row r="1" spans="1:5" s="112" customFormat="1" ht="112" x14ac:dyDescent="0.15">
      <c r="A1" s="5" t="s">
        <v>21</v>
      </c>
      <c r="B1" s="3" t="s">
        <v>0</v>
      </c>
      <c r="C1" s="183" t="s">
        <v>223</v>
      </c>
      <c r="D1" s="183" t="s">
        <v>227</v>
      </c>
      <c r="E1"/>
    </row>
    <row r="2" spans="1:5" ht="15" customHeight="1" x14ac:dyDescent="0.15">
      <c r="A2">
        <v>1</v>
      </c>
      <c r="B2" s="182" t="s">
        <v>192</v>
      </c>
      <c r="C2">
        <v>4.0000000000000002E-4</v>
      </c>
      <c r="D2">
        <v>4.0000000000000002E-4</v>
      </c>
    </row>
    <row r="3" spans="1:5" ht="15" customHeight="1" x14ac:dyDescent="0.15">
      <c r="A3">
        <v>2</v>
      </c>
      <c r="B3" s="182" t="s">
        <v>193</v>
      </c>
      <c r="C3">
        <v>6.9999999999999999E-4</v>
      </c>
      <c r="D3">
        <v>6.9999999999999999E-4</v>
      </c>
    </row>
    <row r="4" spans="1:5" ht="15" customHeight="1" x14ac:dyDescent="0.15">
      <c r="A4">
        <v>3</v>
      </c>
      <c r="B4" s="182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82" t="s">
        <v>195</v>
      </c>
      <c r="C5">
        <v>6.9999999999999999E-4</v>
      </c>
      <c r="D5">
        <v>6.9999999999999999E-4</v>
      </c>
    </row>
    <row r="6" spans="1:5" ht="15" customHeight="1" x14ac:dyDescent="0.15">
      <c r="A6">
        <v>5</v>
      </c>
      <c r="B6" s="182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82" t="s">
        <v>197</v>
      </c>
      <c r="C7">
        <v>2.9999999999999997E-4</v>
      </c>
      <c r="D7">
        <v>2.9999999999999997E-4</v>
      </c>
    </row>
    <row r="8" spans="1:5" ht="15" customHeight="1" x14ac:dyDescent="0.15">
      <c r="A8">
        <v>7</v>
      </c>
      <c r="B8" s="182" t="s">
        <v>198</v>
      </c>
      <c r="C8">
        <v>0.84919999999999995</v>
      </c>
      <c r="D8">
        <v>0.84919999999999995</v>
      </c>
    </row>
    <row r="9" spans="1:5" ht="15" customHeight="1" x14ac:dyDescent="0.15">
      <c r="A9">
        <v>8</v>
      </c>
      <c r="B9" s="182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82" t="s">
        <v>200</v>
      </c>
      <c r="C10">
        <v>5.7999999999999996E-3</v>
      </c>
      <c r="D10">
        <v>5.7999999999999996E-3</v>
      </c>
    </row>
    <row r="11" spans="1:5" ht="15" customHeight="1" x14ac:dyDescent="0.15">
      <c r="A11">
        <v>10</v>
      </c>
      <c r="B11" s="182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82" t="s">
        <v>202</v>
      </c>
      <c r="C12">
        <v>0.1303</v>
      </c>
      <c r="D12">
        <v>0.1303</v>
      </c>
    </row>
    <row r="13" spans="1:5" ht="15" customHeight="1" x14ac:dyDescent="0.15">
      <c r="A13">
        <v>12</v>
      </c>
      <c r="B13" s="182" t="s">
        <v>203</v>
      </c>
      <c r="C13">
        <v>4.5199999999999997E-2</v>
      </c>
      <c r="D13">
        <v>4.5199999999999997E-2</v>
      </c>
    </row>
    <row r="14" spans="1:5" ht="15" customHeight="1" x14ac:dyDescent="0.15">
      <c r="A14">
        <v>13</v>
      </c>
      <c r="B14" s="182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82" t="s">
        <v>205</v>
      </c>
      <c r="C15">
        <v>2.0999999999999999E-3</v>
      </c>
      <c r="D15">
        <v>2.0999999999999999E-3</v>
      </c>
    </row>
    <row r="16" spans="1:5" ht="15" customHeight="1" x14ac:dyDescent="0.15">
      <c r="A16">
        <v>15</v>
      </c>
      <c r="B16" s="182" t="s">
        <v>206</v>
      </c>
      <c r="C16">
        <v>6.9699999999999998E-2</v>
      </c>
      <c r="D16">
        <v>6.9699999999999998E-2</v>
      </c>
    </row>
    <row r="17" spans="1:4" ht="15" customHeight="1" x14ac:dyDescent="0.15">
      <c r="A17">
        <v>16</v>
      </c>
      <c r="B17" s="182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82" t="s">
        <v>208</v>
      </c>
      <c r="C18">
        <v>3.2000000000000002E-3</v>
      </c>
      <c r="D18">
        <v>3.2000000000000002E-3</v>
      </c>
    </row>
    <row r="19" spans="1:4" ht="15" customHeight="1" x14ac:dyDescent="0.15">
      <c r="A19">
        <v>18</v>
      </c>
      <c r="B19" s="182" t="s">
        <v>209</v>
      </c>
      <c r="C19">
        <v>2.5000000000000001E-3</v>
      </c>
      <c r="D19">
        <v>2.5000000000000001E-3</v>
      </c>
    </row>
    <row r="20" spans="1:4" ht="15" customHeight="1" x14ac:dyDescent="0.15">
      <c r="A20">
        <v>19</v>
      </c>
      <c r="B20" s="182" t="s">
        <v>210</v>
      </c>
      <c r="C20">
        <v>0.1464</v>
      </c>
      <c r="D20">
        <v>0.1464</v>
      </c>
    </row>
    <row r="21" spans="1:4" ht="15" customHeight="1" x14ac:dyDescent="0.15">
      <c r="A21">
        <v>20</v>
      </c>
      <c r="B21" s="182" t="s">
        <v>211</v>
      </c>
      <c r="C21">
        <v>1.0230999999999999</v>
      </c>
      <c r="D21">
        <v>1.0230999999999999</v>
      </c>
    </row>
    <row r="22" spans="1:4" ht="15" customHeight="1" x14ac:dyDescent="0.15">
      <c r="A22">
        <v>21</v>
      </c>
      <c r="B22" s="182" t="s">
        <v>212</v>
      </c>
      <c r="C22">
        <v>2.5000000000000001E-3</v>
      </c>
      <c r="D22">
        <v>2.5000000000000001E-3</v>
      </c>
    </row>
    <row r="23" spans="1:4" ht="15" customHeight="1" x14ac:dyDescent="0.15">
      <c r="A23">
        <v>22</v>
      </c>
      <c r="B23" s="182" t="s">
        <v>213</v>
      </c>
      <c r="C23">
        <v>0.37709999999999999</v>
      </c>
      <c r="D23">
        <v>0.37709999999999999</v>
      </c>
    </row>
    <row r="24" spans="1:4" ht="15" customHeight="1" x14ac:dyDescent="0.15">
      <c r="A24">
        <v>23</v>
      </c>
      <c r="B24" s="182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82" t="s">
        <v>215</v>
      </c>
      <c r="C25">
        <v>5.1499999999999997E-2</v>
      </c>
      <c r="D25">
        <v>5.1499999999999997E-2</v>
      </c>
    </row>
    <row r="26" spans="1:4" ht="15" customHeight="1" x14ac:dyDescent="0.15">
      <c r="A26">
        <v>25</v>
      </c>
      <c r="B26" s="182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82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82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82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82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82" t="s">
        <v>221</v>
      </c>
      <c r="C31">
        <v>54.6419</v>
      </c>
      <c r="D31">
        <v>54.6419</v>
      </c>
    </row>
    <row r="32" spans="1:4" ht="15" customHeight="1" x14ac:dyDescent="0.15">
      <c r="A32">
        <v>31</v>
      </c>
      <c r="B32" s="182" t="s">
        <v>222</v>
      </c>
      <c r="C32">
        <v>0</v>
      </c>
      <c r="D32">
        <v>0</v>
      </c>
    </row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83203125" bestFit="1" customWidth="1"/>
    <col min="3" max="4" width="2.33203125" bestFit="1" customWidth="1"/>
    <col min="5" max="5" width="12.1640625" bestFit="1" customWidth="1"/>
  </cols>
  <sheetData>
    <row r="1" spans="1:4" s="112" customFormat="1" ht="112" x14ac:dyDescent="0.15">
      <c r="A1" s="5" t="s">
        <v>22</v>
      </c>
      <c r="B1" s="3" t="s">
        <v>0</v>
      </c>
      <c r="C1" s="185" t="s">
        <v>223</v>
      </c>
      <c r="D1" s="185" t="s">
        <v>227</v>
      </c>
    </row>
    <row r="2" spans="1:4" x14ac:dyDescent="0.15">
      <c r="A2">
        <v>1</v>
      </c>
      <c r="B2" s="184" t="s">
        <v>192</v>
      </c>
      <c r="C2">
        <v>0</v>
      </c>
      <c r="D2">
        <v>0</v>
      </c>
    </row>
    <row r="3" spans="1:4" x14ac:dyDescent="0.15">
      <c r="A3">
        <v>2</v>
      </c>
      <c r="B3" s="184" t="s">
        <v>193</v>
      </c>
      <c r="C3">
        <v>0</v>
      </c>
      <c r="D3">
        <v>0</v>
      </c>
    </row>
    <row r="4" spans="1:4" x14ac:dyDescent="0.15">
      <c r="A4">
        <v>3</v>
      </c>
      <c r="B4" s="184" t="s">
        <v>194</v>
      </c>
      <c r="C4">
        <v>0</v>
      </c>
      <c r="D4">
        <v>0</v>
      </c>
    </row>
    <row r="5" spans="1:4" x14ac:dyDescent="0.15">
      <c r="A5">
        <v>4</v>
      </c>
      <c r="B5" s="184" t="s">
        <v>195</v>
      </c>
      <c r="C5">
        <v>0</v>
      </c>
      <c r="D5">
        <v>0</v>
      </c>
    </row>
    <row r="6" spans="1:4" x14ac:dyDescent="0.15">
      <c r="A6">
        <v>5</v>
      </c>
      <c r="B6" s="184" t="s">
        <v>196</v>
      </c>
      <c r="C6">
        <v>0</v>
      </c>
      <c r="D6">
        <v>0</v>
      </c>
    </row>
    <row r="7" spans="1:4" x14ac:dyDescent="0.15">
      <c r="A7">
        <v>6</v>
      </c>
      <c r="B7" s="184" t="s">
        <v>197</v>
      </c>
      <c r="C7">
        <v>0</v>
      </c>
      <c r="D7">
        <v>0</v>
      </c>
    </row>
    <row r="8" spans="1:4" x14ac:dyDescent="0.15">
      <c r="A8">
        <v>7</v>
      </c>
      <c r="B8" s="184" t="s">
        <v>198</v>
      </c>
      <c r="C8">
        <v>0</v>
      </c>
      <c r="D8">
        <v>0</v>
      </c>
    </row>
    <row r="9" spans="1:4" x14ac:dyDescent="0.15">
      <c r="A9">
        <v>8</v>
      </c>
      <c r="B9" s="184" t="s">
        <v>199</v>
      </c>
      <c r="C9">
        <v>0</v>
      </c>
      <c r="D9">
        <v>0</v>
      </c>
    </row>
    <row r="10" spans="1:4" x14ac:dyDescent="0.15">
      <c r="A10">
        <v>9</v>
      </c>
      <c r="B10" s="184" t="s">
        <v>200</v>
      </c>
      <c r="C10">
        <v>0</v>
      </c>
      <c r="D10">
        <v>0</v>
      </c>
    </row>
    <row r="11" spans="1:4" x14ac:dyDescent="0.15">
      <c r="A11">
        <v>10</v>
      </c>
      <c r="B11" s="184" t="s">
        <v>201</v>
      </c>
      <c r="C11">
        <v>0</v>
      </c>
      <c r="D11">
        <v>0</v>
      </c>
    </row>
    <row r="12" spans="1:4" x14ac:dyDescent="0.15">
      <c r="A12">
        <v>11</v>
      </c>
      <c r="B12" s="184" t="s">
        <v>202</v>
      </c>
      <c r="C12">
        <v>0</v>
      </c>
      <c r="D12">
        <v>0</v>
      </c>
    </row>
    <row r="13" spans="1:4" x14ac:dyDescent="0.15">
      <c r="A13">
        <v>12</v>
      </c>
      <c r="B13" s="184" t="s">
        <v>203</v>
      </c>
      <c r="C13">
        <v>0</v>
      </c>
      <c r="D13">
        <v>0</v>
      </c>
    </row>
    <row r="14" spans="1:4" x14ac:dyDescent="0.15">
      <c r="A14">
        <v>13</v>
      </c>
      <c r="B14" s="184" t="s">
        <v>204</v>
      </c>
      <c r="C14">
        <v>0</v>
      </c>
      <c r="D14">
        <v>0</v>
      </c>
    </row>
    <row r="15" spans="1:4" x14ac:dyDescent="0.15">
      <c r="A15">
        <v>14</v>
      </c>
      <c r="B15" s="184" t="s">
        <v>205</v>
      </c>
      <c r="C15">
        <v>0</v>
      </c>
      <c r="D15">
        <v>0</v>
      </c>
    </row>
    <row r="16" spans="1:4" x14ac:dyDescent="0.15">
      <c r="A16">
        <v>15</v>
      </c>
      <c r="B16" s="184" t="s">
        <v>206</v>
      </c>
      <c r="C16">
        <v>0</v>
      </c>
      <c r="D16">
        <v>0</v>
      </c>
    </row>
    <row r="17" spans="1:4" x14ac:dyDescent="0.15">
      <c r="A17">
        <v>16</v>
      </c>
      <c r="B17" s="184" t="s">
        <v>207</v>
      </c>
      <c r="C17">
        <v>0</v>
      </c>
      <c r="D17">
        <v>0</v>
      </c>
    </row>
    <row r="18" spans="1:4" x14ac:dyDescent="0.15">
      <c r="A18">
        <v>17</v>
      </c>
      <c r="B18" s="184" t="s">
        <v>208</v>
      </c>
      <c r="C18">
        <v>0</v>
      </c>
      <c r="D18">
        <v>0</v>
      </c>
    </row>
    <row r="19" spans="1:4" x14ac:dyDescent="0.15">
      <c r="A19">
        <v>18</v>
      </c>
      <c r="B19" s="184" t="s">
        <v>209</v>
      </c>
      <c r="C19">
        <v>0</v>
      </c>
      <c r="D19">
        <v>0</v>
      </c>
    </row>
    <row r="20" spans="1:4" x14ac:dyDescent="0.15">
      <c r="A20">
        <v>19</v>
      </c>
      <c r="B20" s="184" t="s">
        <v>210</v>
      </c>
      <c r="C20">
        <v>0</v>
      </c>
      <c r="D20">
        <v>0</v>
      </c>
    </row>
    <row r="21" spans="1:4" x14ac:dyDescent="0.15">
      <c r="A21">
        <v>20</v>
      </c>
      <c r="B21" s="184" t="s">
        <v>211</v>
      </c>
      <c r="C21">
        <v>0</v>
      </c>
      <c r="D21">
        <v>0</v>
      </c>
    </row>
    <row r="22" spans="1:4" x14ac:dyDescent="0.15">
      <c r="A22">
        <v>21</v>
      </c>
      <c r="B22" s="184" t="s">
        <v>212</v>
      </c>
      <c r="C22">
        <v>0</v>
      </c>
      <c r="D22">
        <v>0</v>
      </c>
    </row>
    <row r="23" spans="1:4" x14ac:dyDescent="0.15">
      <c r="A23">
        <v>22</v>
      </c>
      <c r="B23" s="184" t="s">
        <v>213</v>
      </c>
      <c r="C23">
        <v>0</v>
      </c>
      <c r="D23">
        <v>0</v>
      </c>
    </row>
    <row r="24" spans="1:4" x14ac:dyDescent="0.15">
      <c r="A24">
        <v>23</v>
      </c>
      <c r="B24" s="184" t="s">
        <v>214</v>
      </c>
      <c r="C24">
        <v>0</v>
      </c>
      <c r="D24">
        <v>0</v>
      </c>
    </row>
    <row r="25" spans="1:4" x14ac:dyDescent="0.15">
      <c r="A25">
        <v>24</v>
      </c>
      <c r="B25" s="184" t="s">
        <v>215</v>
      </c>
      <c r="C25">
        <v>0</v>
      </c>
      <c r="D25">
        <v>0</v>
      </c>
    </row>
    <row r="26" spans="1:4" x14ac:dyDescent="0.15">
      <c r="A26">
        <v>25</v>
      </c>
      <c r="B26" s="184" t="s">
        <v>216</v>
      </c>
      <c r="C26">
        <v>0</v>
      </c>
      <c r="D26">
        <v>0</v>
      </c>
    </row>
    <row r="27" spans="1:4" x14ac:dyDescent="0.15">
      <c r="A27">
        <v>26</v>
      </c>
      <c r="B27" s="184" t="s">
        <v>217</v>
      </c>
      <c r="C27">
        <v>0</v>
      </c>
      <c r="D27">
        <v>0</v>
      </c>
    </row>
    <row r="28" spans="1:4" x14ac:dyDescent="0.15">
      <c r="A28">
        <v>27</v>
      </c>
      <c r="B28" s="184" t="s">
        <v>218</v>
      </c>
      <c r="C28">
        <v>0</v>
      </c>
      <c r="D28">
        <v>0</v>
      </c>
    </row>
    <row r="29" spans="1:4" x14ac:dyDescent="0.15">
      <c r="A29">
        <v>28</v>
      </c>
      <c r="B29" s="184" t="s">
        <v>219</v>
      </c>
      <c r="C29">
        <v>0</v>
      </c>
      <c r="D29">
        <v>0</v>
      </c>
    </row>
    <row r="30" spans="1:4" x14ac:dyDescent="0.15">
      <c r="A30">
        <v>29</v>
      </c>
      <c r="B30" s="184" t="s">
        <v>220</v>
      </c>
      <c r="C30">
        <v>0</v>
      </c>
      <c r="D30">
        <v>0</v>
      </c>
    </row>
    <row r="31" spans="1:4" x14ac:dyDescent="0.15">
      <c r="A31">
        <v>30</v>
      </c>
      <c r="B31" s="184" t="s">
        <v>221</v>
      </c>
      <c r="C31">
        <v>0</v>
      </c>
      <c r="D31">
        <v>0</v>
      </c>
    </row>
    <row r="32" spans="1:4" x14ac:dyDescent="0.15">
      <c r="A32">
        <v>31</v>
      </c>
      <c r="B32" s="184" t="s">
        <v>222</v>
      </c>
      <c r="C32">
        <v>0</v>
      </c>
      <c r="D3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4.83203125" bestFit="1" customWidth="1"/>
    <col min="6" max="6" width="4.83203125" bestFit="1" customWidth="1"/>
    <col min="7" max="9" width="3.83203125" bestFit="1" customWidth="1"/>
    <col min="10" max="11" width="4.83203125" style="11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3" customFormat="1" ht="14" thickBot="1" x14ac:dyDescent="0.2">
      <c r="D1" s="114" t="s">
        <v>8</v>
      </c>
      <c r="E1" s="114" t="s">
        <v>0</v>
      </c>
      <c r="F1" s="115" t="s">
        <v>99</v>
      </c>
      <c r="G1" s="116" t="s">
        <v>84</v>
      </c>
      <c r="H1" s="116" t="s">
        <v>85</v>
      </c>
      <c r="I1" s="116" t="s">
        <v>86</v>
      </c>
      <c r="J1" s="116" t="s">
        <v>87</v>
      </c>
      <c r="K1" s="116" t="s">
        <v>88</v>
      </c>
      <c r="L1" s="117" t="s">
        <v>89</v>
      </c>
      <c r="M1" s="117" t="s">
        <v>93</v>
      </c>
      <c r="N1" s="117" t="s">
        <v>92</v>
      </c>
      <c r="O1" s="117" t="s">
        <v>90</v>
      </c>
      <c r="P1" s="117" t="s">
        <v>91</v>
      </c>
      <c r="Q1" s="118" t="s">
        <v>94</v>
      </c>
      <c r="R1" s="118" t="s">
        <v>95</v>
      </c>
      <c r="S1" s="118" t="s">
        <v>96</v>
      </c>
      <c r="T1" s="118" t="s">
        <v>97</v>
      </c>
      <c r="U1" s="118" t="s">
        <v>98</v>
      </c>
      <c r="V1" s="116" t="s">
        <v>100</v>
      </c>
      <c r="W1" s="116" t="s">
        <v>101</v>
      </c>
      <c r="X1" s="116" t="s">
        <v>102</v>
      </c>
      <c r="Y1" s="116" t="s">
        <v>134</v>
      </c>
      <c r="Z1" s="117" t="s">
        <v>103</v>
      </c>
      <c r="AA1" s="117" t="s">
        <v>104</v>
      </c>
      <c r="AB1" s="117" t="s">
        <v>105</v>
      </c>
      <c r="AC1" s="119" t="s">
        <v>135</v>
      </c>
      <c r="AD1" s="118" t="s">
        <v>106</v>
      </c>
      <c r="AE1" s="118" t="s">
        <v>107</v>
      </c>
      <c r="AF1" s="118" t="s">
        <v>108</v>
      </c>
      <c r="AG1" s="118" t="s">
        <v>136</v>
      </c>
      <c r="AH1" s="116" t="s">
        <v>109</v>
      </c>
      <c r="AI1" s="116" t="s">
        <v>111</v>
      </c>
      <c r="AJ1" s="116" t="s">
        <v>110</v>
      </c>
      <c r="AK1" s="117" t="s">
        <v>115</v>
      </c>
      <c r="AL1" s="117" t="s">
        <v>116</v>
      </c>
      <c r="AM1" s="117" t="s">
        <v>117</v>
      </c>
      <c r="AN1" s="118" t="s">
        <v>112</v>
      </c>
      <c r="AO1" s="118" t="s">
        <v>113</v>
      </c>
      <c r="AP1" s="118" t="s">
        <v>114</v>
      </c>
    </row>
    <row r="2" spans="1:42" x14ac:dyDescent="0.15">
      <c r="A2" s="120" t="s">
        <v>74</v>
      </c>
      <c r="B2" s="121">
        <v>1</v>
      </c>
      <c r="D2">
        <v>1</v>
      </c>
      <c r="E2" s="186" t="s">
        <v>192</v>
      </c>
      <c r="F2">
        <v>0.98</v>
      </c>
      <c r="G2">
        <v>0.8</v>
      </c>
      <c r="H2">
        <v>0.8</v>
      </c>
      <c r="I2">
        <v>0.8</v>
      </c>
      <c r="J2" s="111">
        <v>0.25</v>
      </c>
      <c r="K2" s="111">
        <v>0.05</v>
      </c>
    </row>
    <row r="3" spans="1:42" x14ac:dyDescent="0.15">
      <c r="A3" s="120" t="s">
        <v>75</v>
      </c>
      <c r="B3" s="122">
        <v>1</v>
      </c>
      <c r="D3">
        <v>2</v>
      </c>
      <c r="E3" s="186" t="s">
        <v>193</v>
      </c>
      <c r="F3">
        <v>0.98</v>
      </c>
      <c r="G3">
        <v>0.8</v>
      </c>
      <c r="H3">
        <v>0.8</v>
      </c>
      <c r="I3">
        <v>0.8</v>
      </c>
      <c r="J3" s="111">
        <v>0.25</v>
      </c>
      <c r="K3" s="111">
        <v>0.05</v>
      </c>
    </row>
    <row r="4" spans="1:42" x14ac:dyDescent="0.15">
      <c r="A4" s="120" t="s">
        <v>76</v>
      </c>
      <c r="B4" s="122">
        <v>1</v>
      </c>
      <c r="D4">
        <v>3</v>
      </c>
      <c r="E4" s="186" t="s">
        <v>194</v>
      </c>
      <c r="F4">
        <v>0.98</v>
      </c>
      <c r="G4">
        <v>0.8</v>
      </c>
      <c r="H4">
        <v>0.8</v>
      </c>
      <c r="I4">
        <v>0.8</v>
      </c>
      <c r="J4" s="111">
        <v>0.25</v>
      </c>
      <c r="K4" s="111">
        <v>0.05</v>
      </c>
    </row>
    <row r="5" spans="1:42" x14ac:dyDescent="0.15">
      <c r="A5" s="120" t="s">
        <v>77</v>
      </c>
      <c r="B5" s="122">
        <v>1</v>
      </c>
      <c r="D5">
        <v>4</v>
      </c>
      <c r="E5" s="186" t="s">
        <v>195</v>
      </c>
      <c r="F5">
        <v>0.98</v>
      </c>
      <c r="G5">
        <v>0.8</v>
      </c>
      <c r="H5">
        <v>0.8</v>
      </c>
      <c r="I5">
        <v>0.8</v>
      </c>
      <c r="J5" s="111">
        <v>0.25</v>
      </c>
      <c r="K5" s="111">
        <v>0.05</v>
      </c>
    </row>
    <row r="6" spans="1:42" x14ac:dyDescent="0.15">
      <c r="A6" s="120" t="s">
        <v>78</v>
      </c>
      <c r="B6" s="122">
        <v>1</v>
      </c>
      <c r="D6">
        <v>5</v>
      </c>
      <c r="E6" s="186" t="s">
        <v>196</v>
      </c>
      <c r="F6">
        <v>0.98</v>
      </c>
      <c r="G6">
        <v>0.8</v>
      </c>
      <c r="H6">
        <v>0.8</v>
      </c>
      <c r="I6">
        <v>0.8</v>
      </c>
      <c r="J6" s="111">
        <v>0.25</v>
      </c>
      <c r="K6" s="111">
        <v>0.05</v>
      </c>
    </row>
    <row r="7" spans="1:42" x14ac:dyDescent="0.15">
      <c r="A7" s="120" t="s">
        <v>79</v>
      </c>
      <c r="B7" s="122">
        <v>1</v>
      </c>
      <c r="D7">
        <v>6</v>
      </c>
      <c r="E7" s="186" t="s">
        <v>197</v>
      </c>
      <c r="F7">
        <v>0.98</v>
      </c>
      <c r="G7">
        <v>0.8</v>
      </c>
      <c r="H7">
        <v>0.8</v>
      </c>
      <c r="I7">
        <v>0.8</v>
      </c>
      <c r="J7" s="111">
        <v>0.25</v>
      </c>
      <c r="K7" s="111">
        <v>0.05</v>
      </c>
    </row>
    <row r="8" spans="1:42" x14ac:dyDescent="0.15">
      <c r="A8" s="120" t="s">
        <v>80</v>
      </c>
      <c r="B8" s="122">
        <v>1</v>
      </c>
      <c r="D8">
        <v>7</v>
      </c>
      <c r="E8" s="186" t="s">
        <v>198</v>
      </c>
      <c r="F8">
        <v>0.98</v>
      </c>
      <c r="G8">
        <v>0.8</v>
      </c>
      <c r="H8">
        <v>0.8</v>
      </c>
      <c r="I8">
        <v>0.8</v>
      </c>
      <c r="J8" s="111">
        <v>0.25</v>
      </c>
      <c r="K8" s="111">
        <v>0.05</v>
      </c>
    </row>
    <row r="9" spans="1:42" x14ac:dyDescent="0.15">
      <c r="A9" s="120" t="s">
        <v>81</v>
      </c>
      <c r="B9" s="122">
        <v>0.1</v>
      </c>
      <c r="C9" s="60" t="s">
        <v>150</v>
      </c>
      <c r="D9">
        <v>8</v>
      </c>
      <c r="E9" s="186" t="s">
        <v>199</v>
      </c>
      <c r="F9">
        <v>0.98</v>
      </c>
      <c r="G9">
        <v>0.8</v>
      </c>
      <c r="H9">
        <v>0.8</v>
      </c>
      <c r="I9">
        <v>0.8</v>
      </c>
      <c r="J9" s="111">
        <v>0.25</v>
      </c>
      <c r="K9" s="111">
        <v>0.05</v>
      </c>
    </row>
    <row r="10" spans="1:42" ht="14" thickBot="1" x14ac:dyDescent="0.2">
      <c r="A10" s="120" t="s">
        <v>149</v>
      </c>
      <c r="B10" s="123">
        <f>1/3</f>
        <v>0.33333333333333331</v>
      </c>
      <c r="C10" s="60" t="s">
        <v>150</v>
      </c>
      <c r="D10">
        <v>9</v>
      </c>
      <c r="E10" s="186" t="s">
        <v>200</v>
      </c>
      <c r="F10">
        <v>0.98</v>
      </c>
      <c r="G10">
        <v>0.8</v>
      </c>
      <c r="H10">
        <v>0.8</v>
      </c>
      <c r="I10">
        <v>0.8</v>
      </c>
      <c r="J10" s="111">
        <v>0.25</v>
      </c>
      <c r="K10" s="111">
        <v>0.05</v>
      </c>
    </row>
    <row r="11" spans="1:42" x14ac:dyDescent="0.15">
      <c r="D11">
        <v>10</v>
      </c>
      <c r="E11" s="186" t="s">
        <v>201</v>
      </c>
      <c r="F11">
        <v>0.98</v>
      </c>
      <c r="G11">
        <v>0.8</v>
      </c>
      <c r="H11">
        <v>0.8</v>
      </c>
      <c r="I11">
        <v>0.8</v>
      </c>
      <c r="J11" s="111">
        <v>0.25</v>
      </c>
      <c r="K11" s="111">
        <v>0.05</v>
      </c>
    </row>
    <row r="12" spans="1:42" x14ac:dyDescent="0.15">
      <c r="D12">
        <v>11</v>
      </c>
      <c r="E12" s="186" t="s">
        <v>202</v>
      </c>
      <c r="F12">
        <v>0.98</v>
      </c>
      <c r="G12">
        <v>0.8</v>
      </c>
      <c r="H12">
        <v>0.8</v>
      </c>
      <c r="I12">
        <v>0.8</v>
      </c>
      <c r="J12" s="111">
        <v>0.25</v>
      </c>
      <c r="K12" s="111">
        <v>0.05</v>
      </c>
    </row>
    <row r="13" spans="1:42" x14ac:dyDescent="0.15">
      <c r="D13">
        <v>12</v>
      </c>
      <c r="E13" s="186" t="s">
        <v>203</v>
      </c>
      <c r="F13">
        <v>0.98</v>
      </c>
      <c r="G13">
        <v>0.8</v>
      </c>
      <c r="H13">
        <v>0.8</v>
      </c>
      <c r="I13">
        <v>0.8</v>
      </c>
      <c r="J13" s="111">
        <v>0.25</v>
      </c>
      <c r="K13" s="111">
        <v>0.05</v>
      </c>
    </row>
    <row r="14" spans="1:42" x14ac:dyDescent="0.15">
      <c r="D14">
        <v>13</v>
      </c>
      <c r="E14" s="186" t="s">
        <v>204</v>
      </c>
      <c r="F14">
        <v>0.98</v>
      </c>
      <c r="G14">
        <v>0.8</v>
      </c>
      <c r="H14">
        <v>0.8</v>
      </c>
      <c r="I14">
        <v>0.8</v>
      </c>
      <c r="J14" s="111">
        <v>0.25</v>
      </c>
      <c r="K14" s="111">
        <v>0.05</v>
      </c>
    </row>
    <row r="15" spans="1:42" x14ac:dyDescent="0.15">
      <c r="D15">
        <v>14</v>
      </c>
      <c r="E15" s="186" t="s">
        <v>205</v>
      </c>
      <c r="F15">
        <v>0.98</v>
      </c>
      <c r="G15">
        <v>0.8</v>
      </c>
      <c r="H15">
        <v>0.8</v>
      </c>
      <c r="I15">
        <v>0.8</v>
      </c>
      <c r="J15" s="111">
        <v>0.25</v>
      </c>
      <c r="K15" s="111">
        <v>0.05</v>
      </c>
    </row>
    <row r="16" spans="1:42" x14ac:dyDescent="0.15">
      <c r="D16">
        <v>15</v>
      </c>
      <c r="E16" s="186" t="s">
        <v>206</v>
      </c>
      <c r="F16">
        <v>0.98</v>
      </c>
      <c r="G16">
        <v>0.8</v>
      </c>
      <c r="H16">
        <v>0.8</v>
      </c>
      <c r="I16">
        <v>0.8</v>
      </c>
      <c r="J16" s="111">
        <v>0.25</v>
      </c>
      <c r="K16" s="111">
        <v>0.05</v>
      </c>
    </row>
    <row r="17" spans="4:33" ht="15" customHeight="1" x14ac:dyDescent="0.15">
      <c r="D17">
        <v>16</v>
      </c>
      <c r="E17" s="186" t="s">
        <v>207</v>
      </c>
      <c r="F17">
        <v>0.98</v>
      </c>
      <c r="G17">
        <v>0.8</v>
      </c>
      <c r="H17">
        <v>0.8</v>
      </c>
      <c r="I17">
        <v>0.8</v>
      </c>
      <c r="J17" s="111">
        <v>0.25</v>
      </c>
      <c r="K17" s="111">
        <v>0.05</v>
      </c>
    </row>
    <row r="18" spans="4:33" ht="15" customHeight="1" x14ac:dyDescent="0.15">
      <c r="D18">
        <v>17</v>
      </c>
      <c r="E18" s="186" t="s">
        <v>208</v>
      </c>
      <c r="F18">
        <v>0.98</v>
      </c>
      <c r="G18">
        <v>0.8</v>
      </c>
      <c r="H18">
        <v>0.8</v>
      </c>
      <c r="I18">
        <v>0.8</v>
      </c>
      <c r="J18" s="111">
        <v>0.25</v>
      </c>
      <c r="K18" s="111">
        <v>0.05</v>
      </c>
    </row>
    <row r="19" spans="4:33" ht="15" customHeight="1" x14ac:dyDescent="0.15">
      <c r="D19">
        <v>18</v>
      </c>
      <c r="E19" s="186" t="s">
        <v>209</v>
      </c>
      <c r="F19">
        <v>0.98</v>
      </c>
      <c r="G19">
        <v>0.8</v>
      </c>
      <c r="H19">
        <v>0.8</v>
      </c>
      <c r="I19">
        <v>0.8</v>
      </c>
      <c r="J19" s="111">
        <v>0.25</v>
      </c>
      <c r="K19" s="111">
        <v>0.05</v>
      </c>
    </row>
    <row r="20" spans="4:33" ht="15" customHeight="1" x14ac:dyDescent="0.15">
      <c r="D20">
        <v>19</v>
      </c>
      <c r="E20" s="186" t="s">
        <v>210</v>
      </c>
      <c r="F20">
        <v>0.98</v>
      </c>
      <c r="G20">
        <v>0.8</v>
      </c>
      <c r="H20">
        <v>0.8</v>
      </c>
      <c r="I20">
        <v>0.8</v>
      </c>
      <c r="J20" s="111">
        <v>0.25</v>
      </c>
      <c r="K20" s="111">
        <v>0.05</v>
      </c>
    </row>
    <row r="21" spans="4:33" ht="15" customHeight="1" x14ac:dyDescent="0.15">
      <c r="D21">
        <v>20</v>
      </c>
      <c r="E21" s="186" t="s">
        <v>211</v>
      </c>
      <c r="F21">
        <v>0.98</v>
      </c>
      <c r="G21">
        <v>0.8</v>
      </c>
      <c r="H21">
        <v>0.8</v>
      </c>
      <c r="I21">
        <v>0.8</v>
      </c>
      <c r="J21" s="111">
        <v>0.25</v>
      </c>
      <c r="K21" s="111">
        <v>0.05</v>
      </c>
    </row>
    <row r="22" spans="4:33" ht="15" customHeight="1" x14ac:dyDescent="0.15">
      <c r="D22">
        <v>21</v>
      </c>
      <c r="E22" s="186" t="s">
        <v>212</v>
      </c>
      <c r="F22">
        <v>0.98</v>
      </c>
      <c r="G22">
        <v>0.8</v>
      </c>
      <c r="H22">
        <v>0.8</v>
      </c>
      <c r="I22">
        <v>0.8</v>
      </c>
      <c r="J22" s="111">
        <v>0.25</v>
      </c>
      <c r="K22" s="111">
        <v>0.05</v>
      </c>
    </row>
    <row r="23" spans="4:33" ht="15" customHeight="1" x14ac:dyDescent="0.15">
      <c r="D23">
        <v>22</v>
      </c>
      <c r="E23" s="186" t="s">
        <v>213</v>
      </c>
      <c r="F23">
        <v>0.98</v>
      </c>
      <c r="G23">
        <v>0.8</v>
      </c>
      <c r="H23">
        <v>0.8</v>
      </c>
      <c r="I23">
        <v>0.8</v>
      </c>
      <c r="J23" s="111">
        <v>0.25</v>
      </c>
      <c r="K23" s="111">
        <v>0.05</v>
      </c>
    </row>
    <row r="24" spans="4:33" ht="15" customHeight="1" x14ac:dyDescent="0.15">
      <c r="D24">
        <v>23</v>
      </c>
      <c r="E24" s="186" t="s">
        <v>214</v>
      </c>
      <c r="F24">
        <v>0.98</v>
      </c>
      <c r="G24">
        <v>0.8</v>
      </c>
      <c r="H24">
        <v>0.8</v>
      </c>
      <c r="I24">
        <v>0.8</v>
      </c>
      <c r="J24" s="111">
        <v>0.25</v>
      </c>
      <c r="K24" s="111">
        <v>0.05</v>
      </c>
    </row>
    <row r="25" spans="4:33" ht="15" customHeight="1" x14ac:dyDescent="0.15">
      <c r="D25">
        <v>24</v>
      </c>
      <c r="E25" s="186" t="s">
        <v>215</v>
      </c>
      <c r="F25">
        <v>0.98</v>
      </c>
      <c r="G25">
        <v>0.8</v>
      </c>
      <c r="H25">
        <v>0.8</v>
      </c>
      <c r="I25">
        <v>0.8</v>
      </c>
      <c r="J25" s="111">
        <v>0.25</v>
      </c>
      <c r="K25" s="111">
        <v>0.05</v>
      </c>
    </row>
    <row r="26" spans="4:33" ht="15" customHeight="1" x14ac:dyDescent="0.15">
      <c r="D26">
        <v>25</v>
      </c>
      <c r="E26" s="186" t="s">
        <v>216</v>
      </c>
      <c r="F26">
        <v>0.98</v>
      </c>
      <c r="G26">
        <v>0.8</v>
      </c>
      <c r="H26">
        <v>0.8</v>
      </c>
      <c r="I26">
        <v>0.8</v>
      </c>
      <c r="J26" s="111">
        <v>0.25</v>
      </c>
      <c r="K26" s="111">
        <v>0.05</v>
      </c>
    </row>
    <row r="27" spans="4:33" ht="15" customHeight="1" x14ac:dyDescent="0.15">
      <c r="D27">
        <v>26</v>
      </c>
      <c r="E27" s="186" t="s">
        <v>217</v>
      </c>
      <c r="F27">
        <v>0.98</v>
      </c>
      <c r="G27">
        <v>0.8</v>
      </c>
      <c r="H27">
        <v>0.8</v>
      </c>
      <c r="I27">
        <v>0.8</v>
      </c>
      <c r="J27" s="111">
        <v>0.25</v>
      </c>
      <c r="K27" s="111">
        <v>0.05</v>
      </c>
    </row>
    <row r="28" spans="4:33" ht="15" customHeight="1" x14ac:dyDescent="0.15">
      <c r="D28">
        <v>27</v>
      </c>
      <c r="E28" s="186" t="s">
        <v>218</v>
      </c>
      <c r="F28">
        <v>0.98</v>
      </c>
      <c r="G28">
        <v>0.8</v>
      </c>
      <c r="H28">
        <v>0.8</v>
      </c>
      <c r="I28">
        <v>0.8</v>
      </c>
      <c r="J28" s="111">
        <v>0.25</v>
      </c>
      <c r="K28" s="111">
        <v>0.05</v>
      </c>
    </row>
    <row r="29" spans="4:33" ht="15" customHeight="1" x14ac:dyDescent="0.15">
      <c r="D29">
        <v>28</v>
      </c>
      <c r="E29" s="186" t="s">
        <v>219</v>
      </c>
      <c r="F29">
        <v>0.98</v>
      </c>
      <c r="G29">
        <v>0.8</v>
      </c>
      <c r="H29">
        <v>0.8</v>
      </c>
      <c r="I29">
        <v>0.8</v>
      </c>
      <c r="J29" s="111">
        <v>0.25</v>
      </c>
      <c r="K29" s="111">
        <v>0.05</v>
      </c>
      <c r="Y29"/>
      <c r="AC29"/>
      <c r="AG29"/>
    </row>
    <row r="30" spans="4:33" ht="15" customHeight="1" x14ac:dyDescent="0.15">
      <c r="D30">
        <v>29</v>
      </c>
      <c r="E30" s="186" t="s">
        <v>220</v>
      </c>
      <c r="F30">
        <v>0.98</v>
      </c>
      <c r="G30">
        <v>0.8</v>
      </c>
      <c r="H30">
        <v>0.8</v>
      </c>
      <c r="I30">
        <v>0</v>
      </c>
      <c r="J30" s="111">
        <v>0</v>
      </c>
      <c r="K30" s="111">
        <v>0</v>
      </c>
      <c r="Y30"/>
      <c r="AC30"/>
      <c r="AG30"/>
    </row>
    <row r="31" spans="4:33" ht="15" customHeight="1" x14ac:dyDescent="0.15">
      <c r="D31">
        <v>30</v>
      </c>
      <c r="E31" s="186" t="s">
        <v>221</v>
      </c>
      <c r="F31">
        <v>0.98</v>
      </c>
      <c r="G31">
        <v>0.8</v>
      </c>
      <c r="H31">
        <v>0</v>
      </c>
      <c r="I31">
        <v>0</v>
      </c>
      <c r="J31" s="111">
        <v>0</v>
      </c>
      <c r="K31" s="111">
        <v>0</v>
      </c>
      <c r="Y31"/>
      <c r="AC31"/>
      <c r="AG31"/>
    </row>
    <row r="32" spans="4:33" ht="15" customHeight="1" x14ac:dyDescent="0.15">
      <c r="D32">
        <v>31</v>
      </c>
      <c r="E32" s="186" t="s">
        <v>222</v>
      </c>
      <c r="F32">
        <v>0.98</v>
      </c>
      <c r="G32">
        <v>0.8</v>
      </c>
      <c r="H32">
        <v>0</v>
      </c>
      <c r="I32">
        <v>0</v>
      </c>
      <c r="J32" s="111">
        <v>0</v>
      </c>
      <c r="K32" s="111">
        <v>0</v>
      </c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F33"/>
  <sheetViews>
    <sheetView workbookViewId="0">
      <selection activeCell="A3" sqref="A3"/>
    </sheetView>
  </sheetViews>
  <sheetFormatPr baseColWidth="10" defaultRowHeight="13" x14ac:dyDescent="0.15"/>
  <cols>
    <col min="1" max="1" width="24.83203125" style="109" bestFit="1" customWidth="1"/>
    <col min="2" max="29" width="3.83203125" style="109" customWidth="1"/>
    <col min="30" max="32" width="2.33203125" style="109" customWidth="1"/>
    <col min="33" max="16384" width="10.83203125" style="109"/>
  </cols>
  <sheetData>
    <row r="1" spans="1:32" x14ac:dyDescent="0.15">
      <c r="A1" s="62" t="s">
        <v>118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</row>
    <row r="2" spans="1:32" customFormat="1" x14ac:dyDescent="0.15">
      <c r="A2" s="187" t="s">
        <v>192</v>
      </c>
      <c r="B2" s="109">
        <v>0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0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</row>
    <row r="3" spans="1:32" customFormat="1" x14ac:dyDescent="0.15">
      <c r="A3" s="187" t="s">
        <v>193</v>
      </c>
      <c r="B3" s="109">
        <v>0</v>
      </c>
      <c r="C3" s="109">
        <v>0</v>
      </c>
      <c r="D3" s="109">
        <v>0</v>
      </c>
      <c r="E3" s="109">
        <v>0</v>
      </c>
      <c r="F3" s="109">
        <v>0</v>
      </c>
      <c r="G3" s="109">
        <v>0</v>
      </c>
      <c r="H3" s="109">
        <v>0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</row>
    <row r="4" spans="1:32" customFormat="1" x14ac:dyDescent="0.15">
      <c r="A4" s="187" t="s">
        <v>194</v>
      </c>
      <c r="B4" s="109">
        <v>0</v>
      </c>
      <c r="C4" s="109">
        <v>0</v>
      </c>
      <c r="D4" s="109">
        <v>0</v>
      </c>
      <c r="E4" s="109">
        <v>0</v>
      </c>
      <c r="F4" s="109">
        <v>0</v>
      </c>
      <c r="G4" s="109">
        <v>0</v>
      </c>
      <c r="H4" s="109">
        <v>0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0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</row>
    <row r="5" spans="1:32" customFormat="1" x14ac:dyDescent="0.15">
      <c r="A5" s="187" t="s">
        <v>195</v>
      </c>
      <c r="B5" s="109">
        <v>0</v>
      </c>
      <c r="C5" s="109">
        <v>0</v>
      </c>
      <c r="D5" s="109">
        <v>0</v>
      </c>
      <c r="E5" s="109">
        <v>0</v>
      </c>
      <c r="F5" s="109">
        <v>0</v>
      </c>
      <c r="G5" s="109">
        <v>0</v>
      </c>
      <c r="H5" s="109">
        <v>0</v>
      </c>
      <c r="I5" s="109">
        <v>0</v>
      </c>
      <c r="J5" s="109">
        <v>0</v>
      </c>
      <c r="K5" s="109">
        <v>0</v>
      </c>
      <c r="L5" s="109">
        <v>0</v>
      </c>
      <c r="M5" s="109">
        <v>0</v>
      </c>
      <c r="N5" s="109">
        <v>0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0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</row>
    <row r="6" spans="1:32" customFormat="1" x14ac:dyDescent="0.15">
      <c r="A6" s="187" t="s">
        <v>196</v>
      </c>
      <c r="B6" s="109">
        <v>0</v>
      </c>
      <c r="C6" s="109">
        <v>0</v>
      </c>
      <c r="D6" s="109">
        <v>0</v>
      </c>
      <c r="E6" s="109">
        <v>0</v>
      </c>
      <c r="F6" s="109">
        <v>0</v>
      </c>
      <c r="G6" s="109">
        <v>0</v>
      </c>
      <c r="H6" s="109">
        <v>0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N6" s="109">
        <v>0</v>
      </c>
      <c r="O6" s="109">
        <v>0</v>
      </c>
      <c r="P6" s="109">
        <v>0</v>
      </c>
      <c r="Q6" s="109">
        <v>0</v>
      </c>
      <c r="R6" s="109">
        <v>0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</row>
    <row r="7" spans="1:32" customFormat="1" x14ac:dyDescent="0.15">
      <c r="A7" s="187" t="s">
        <v>197</v>
      </c>
      <c r="B7" s="109">
        <v>0</v>
      </c>
      <c r="C7" s="109">
        <v>0</v>
      </c>
      <c r="D7" s="109">
        <v>0</v>
      </c>
      <c r="E7" s="109">
        <v>0</v>
      </c>
      <c r="F7" s="109">
        <v>0</v>
      </c>
      <c r="G7" s="109">
        <v>0</v>
      </c>
      <c r="H7" s="109">
        <v>0</v>
      </c>
      <c r="I7" s="109">
        <v>0</v>
      </c>
      <c r="J7" s="109">
        <v>0</v>
      </c>
      <c r="K7" s="109">
        <v>0</v>
      </c>
      <c r="L7" s="109">
        <v>0</v>
      </c>
      <c r="M7" s="109">
        <v>0</v>
      </c>
      <c r="N7" s="109">
        <v>0</v>
      </c>
      <c r="O7" s="109">
        <v>0</v>
      </c>
      <c r="P7" s="109">
        <v>0</v>
      </c>
      <c r="Q7" s="109">
        <v>0</v>
      </c>
      <c r="R7" s="109">
        <v>0</v>
      </c>
      <c r="S7" s="109">
        <v>0</v>
      </c>
      <c r="T7" s="109">
        <v>0</v>
      </c>
      <c r="U7" s="109">
        <v>0</v>
      </c>
      <c r="V7" s="109">
        <v>0</v>
      </c>
      <c r="W7" s="109">
        <v>0</v>
      </c>
      <c r="X7" s="109">
        <v>0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</row>
    <row r="8" spans="1:32" customFormat="1" x14ac:dyDescent="0.15">
      <c r="A8" s="187" t="s">
        <v>198</v>
      </c>
      <c r="B8" s="109">
        <v>0</v>
      </c>
      <c r="C8" s="109">
        <v>0.8</v>
      </c>
      <c r="D8" s="109">
        <v>0.8</v>
      </c>
      <c r="E8" s="109">
        <v>0.8</v>
      </c>
      <c r="F8" s="109">
        <v>0.8</v>
      </c>
      <c r="G8" s="109">
        <v>0</v>
      </c>
      <c r="H8" s="109">
        <v>0</v>
      </c>
      <c r="I8" s="109">
        <v>0</v>
      </c>
      <c r="J8" s="109">
        <v>0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</row>
    <row r="9" spans="1:32" customFormat="1" x14ac:dyDescent="0.15">
      <c r="A9" s="187" t="s">
        <v>199</v>
      </c>
      <c r="B9" s="109">
        <v>0.8</v>
      </c>
      <c r="C9" s="109">
        <v>0.8</v>
      </c>
      <c r="D9" s="109">
        <v>0.8</v>
      </c>
      <c r="E9" s="109">
        <v>0.8</v>
      </c>
      <c r="F9" s="109">
        <v>0.8</v>
      </c>
      <c r="G9" s="109">
        <v>0.8</v>
      </c>
      <c r="H9" s="109">
        <v>0.8</v>
      </c>
      <c r="I9" s="109">
        <v>0</v>
      </c>
      <c r="J9" s="109">
        <v>0</v>
      </c>
      <c r="K9" s="109">
        <v>0</v>
      </c>
      <c r="L9" s="109">
        <v>0</v>
      </c>
      <c r="M9" s="109">
        <v>0</v>
      </c>
      <c r="N9" s="109">
        <v>0.8</v>
      </c>
      <c r="O9" s="109">
        <v>0.8</v>
      </c>
      <c r="P9" s="109">
        <v>0.8</v>
      </c>
      <c r="Q9" s="109">
        <v>0.8</v>
      </c>
      <c r="R9" s="109">
        <v>0</v>
      </c>
      <c r="S9" s="109">
        <v>0.8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</row>
    <row r="10" spans="1:32" customFormat="1" x14ac:dyDescent="0.15">
      <c r="A10" s="187" t="s">
        <v>200</v>
      </c>
      <c r="B10" s="109">
        <v>0</v>
      </c>
      <c r="C10" s="109">
        <v>0</v>
      </c>
      <c r="D10" s="109">
        <v>0.8</v>
      </c>
      <c r="E10" s="109">
        <v>0.8</v>
      </c>
      <c r="F10" s="109">
        <v>0</v>
      </c>
      <c r="G10" s="109">
        <v>0.8</v>
      </c>
      <c r="H10" s="109">
        <v>0</v>
      </c>
      <c r="I10" s="109">
        <v>0</v>
      </c>
      <c r="J10" s="109">
        <v>0.8</v>
      </c>
      <c r="K10" s="109">
        <v>0</v>
      </c>
      <c r="L10" s="109">
        <v>0</v>
      </c>
      <c r="M10" s="109">
        <v>0</v>
      </c>
      <c r="N10" s="109">
        <v>0</v>
      </c>
      <c r="O10" s="109">
        <v>0</v>
      </c>
      <c r="P10" s="109">
        <v>0.8</v>
      </c>
      <c r="Q10" s="109">
        <v>0</v>
      </c>
      <c r="R10" s="109">
        <v>0</v>
      </c>
      <c r="S10" s="109">
        <v>0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</row>
    <row r="11" spans="1:32" customFormat="1" x14ac:dyDescent="0.15">
      <c r="A11" s="187" t="s">
        <v>201</v>
      </c>
      <c r="B11" s="109">
        <v>0</v>
      </c>
      <c r="C11" s="109">
        <v>0.8</v>
      </c>
      <c r="D11" s="109">
        <v>0</v>
      </c>
      <c r="E11" s="109">
        <v>0.8</v>
      </c>
      <c r="F11" s="109">
        <v>0</v>
      </c>
      <c r="G11" s="109">
        <v>0.8</v>
      </c>
      <c r="H11" s="109">
        <v>0.8</v>
      </c>
      <c r="I11" s="109">
        <v>0</v>
      </c>
      <c r="J11" s="109">
        <v>0.8</v>
      </c>
      <c r="K11" s="109">
        <v>0</v>
      </c>
      <c r="L11" s="109">
        <v>0</v>
      </c>
      <c r="M11" s="109">
        <v>0</v>
      </c>
      <c r="N11" s="109">
        <v>0.8</v>
      </c>
      <c r="O11" s="109">
        <v>0</v>
      </c>
      <c r="P11" s="109">
        <v>0.8</v>
      </c>
      <c r="Q11" s="109">
        <v>0.8</v>
      </c>
      <c r="R11" s="109">
        <v>0</v>
      </c>
      <c r="S11" s="109">
        <v>0</v>
      </c>
      <c r="T11" s="109">
        <v>0</v>
      </c>
      <c r="U11" s="109">
        <v>0</v>
      </c>
      <c r="V11" s="109">
        <v>0</v>
      </c>
      <c r="W11" s="109">
        <v>0</v>
      </c>
      <c r="X11" s="109">
        <v>0</v>
      </c>
      <c r="Y11" s="109">
        <v>0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0</v>
      </c>
      <c r="AF11" s="109">
        <v>0</v>
      </c>
    </row>
    <row r="12" spans="1:32" customFormat="1" x14ac:dyDescent="0.15">
      <c r="A12" s="187" t="s">
        <v>202</v>
      </c>
      <c r="B12" s="109">
        <v>0</v>
      </c>
      <c r="C12" s="109">
        <v>0.8</v>
      </c>
      <c r="D12" s="109">
        <v>0</v>
      </c>
      <c r="E12" s="109">
        <v>0.8</v>
      </c>
      <c r="F12" s="109">
        <v>0</v>
      </c>
      <c r="G12" s="109">
        <v>0</v>
      </c>
      <c r="H12" s="109">
        <v>0</v>
      </c>
      <c r="I12" s="109">
        <v>0</v>
      </c>
      <c r="J12" s="109">
        <v>0</v>
      </c>
      <c r="K12" s="109">
        <v>0</v>
      </c>
      <c r="L12" s="109">
        <v>0</v>
      </c>
      <c r="M12" s="109">
        <v>0</v>
      </c>
      <c r="N12" s="109">
        <v>0</v>
      </c>
      <c r="O12" s="109">
        <v>0</v>
      </c>
      <c r="P12" s="109">
        <v>0</v>
      </c>
      <c r="Q12" s="109">
        <v>0</v>
      </c>
      <c r="R12" s="109">
        <v>0</v>
      </c>
      <c r="S12" s="109">
        <v>0</v>
      </c>
      <c r="T12" s="109">
        <v>0</v>
      </c>
      <c r="U12" s="109">
        <v>0</v>
      </c>
      <c r="V12" s="109">
        <v>0</v>
      </c>
      <c r="W12" s="109">
        <v>0</v>
      </c>
      <c r="X12" s="109">
        <v>0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</row>
    <row r="13" spans="1:32" customFormat="1" x14ac:dyDescent="0.15">
      <c r="A13" s="187" t="s">
        <v>203</v>
      </c>
      <c r="B13" s="109">
        <v>0</v>
      </c>
      <c r="C13" s="109">
        <v>0.8</v>
      </c>
      <c r="D13" s="109">
        <v>0.8</v>
      </c>
      <c r="E13" s="109">
        <v>0.8</v>
      </c>
      <c r="F13" s="109">
        <v>0.8</v>
      </c>
      <c r="G13" s="109">
        <v>0.8</v>
      </c>
      <c r="H13" s="109">
        <v>0.8</v>
      </c>
      <c r="I13" s="109">
        <v>0.8</v>
      </c>
      <c r="J13" s="109">
        <v>0.8</v>
      </c>
      <c r="K13" s="109">
        <v>0</v>
      </c>
      <c r="L13" s="109">
        <v>0</v>
      </c>
      <c r="M13" s="109">
        <v>0</v>
      </c>
      <c r="N13" s="109">
        <v>0.8</v>
      </c>
      <c r="O13" s="109">
        <v>0</v>
      </c>
      <c r="P13" s="109">
        <v>0.8</v>
      </c>
      <c r="Q13" s="109">
        <v>0.8</v>
      </c>
      <c r="R13" s="109">
        <v>0</v>
      </c>
      <c r="S13" s="109">
        <v>0.8</v>
      </c>
      <c r="T13" s="109">
        <v>0</v>
      </c>
      <c r="U13" s="109">
        <v>0</v>
      </c>
      <c r="V13" s="109">
        <v>0</v>
      </c>
      <c r="W13" s="109">
        <v>0</v>
      </c>
      <c r="X13" s="109">
        <v>0</v>
      </c>
      <c r="Y13" s="109">
        <v>0</v>
      </c>
      <c r="Z13" s="109">
        <v>0</v>
      </c>
      <c r="AA13" s="109">
        <v>0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</row>
    <row r="14" spans="1:32" customFormat="1" x14ac:dyDescent="0.15">
      <c r="A14" s="187" t="s">
        <v>204</v>
      </c>
      <c r="B14" s="109">
        <v>0</v>
      </c>
      <c r="C14" s="109">
        <v>0</v>
      </c>
      <c r="D14" s="109">
        <v>0</v>
      </c>
      <c r="E14" s="109">
        <v>0.8</v>
      </c>
      <c r="F14" s="109">
        <v>0.8</v>
      </c>
      <c r="G14" s="109">
        <v>0.8</v>
      </c>
      <c r="H14" s="109">
        <v>0</v>
      </c>
      <c r="I14" s="109">
        <v>0</v>
      </c>
      <c r="J14" s="109">
        <v>0</v>
      </c>
      <c r="K14" s="109">
        <v>0</v>
      </c>
      <c r="L14" s="109">
        <v>0</v>
      </c>
      <c r="M14" s="109">
        <v>0</v>
      </c>
      <c r="N14" s="109">
        <v>0</v>
      </c>
      <c r="O14" s="109">
        <v>0</v>
      </c>
      <c r="P14" s="109">
        <v>0.8</v>
      </c>
      <c r="Q14" s="109">
        <v>0</v>
      </c>
      <c r="R14" s="109">
        <v>0</v>
      </c>
      <c r="S14" s="109">
        <v>0.8</v>
      </c>
      <c r="T14" s="109">
        <v>0</v>
      </c>
      <c r="U14" s="109">
        <v>0</v>
      </c>
      <c r="V14" s="109">
        <v>0</v>
      </c>
      <c r="W14" s="109">
        <v>0</v>
      </c>
      <c r="X14" s="109">
        <v>0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</row>
    <row r="15" spans="1:32" customFormat="1" x14ac:dyDescent="0.15">
      <c r="A15" s="187" t="s">
        <v>205</v>
      </c>
      <c r="B15" s="109">
        <v>0.8</v>
      </c>
      <c r="C15" s="109">
        <v>0</v>
      </c>
      <c r="D15" s="109">
        <v>0.8</v>
      </c>
      <c r="E15" s="109">
        <v>0</v>
      </c>
      <c r="F15" s="109">
        <v>0.8</v>
      </c>
      <c r="G15" s="109">
        <v>0</v>
      </c>
      <c r="H15" s="109">
        <v>0</v>
      </c>
      <c r="I15" s="109">
        <v>0</v>
      </c>
      <c r="J15" s="109">
        <v>0.8</v>
      </c>
      <c r="K15" s="109">
        <v>0</v>
      </c>
      <c r="L15" s="109">
        <v>0</v>
      </c>
      <c r="M15" s="109">
        <v>0</v>
      </c>
      <c r="N15" s="109">
        <v>0.8</v>
      </c>
      <c r="O15" s="109">
        <v>0</v>
      </c>
      <c r="P15" s="109">
        <v>0.8</v>
      </c>
      <c r="Q15" s="109">
        <v>0</v>
      </c>
      <c r="R15" s="109">
        <v>0</v>
      </c>
      <c r="S15" s="109">
        <v>0</v>
      </c>
      <c r="T15" s="109">
        <v>0</v>
      </c>
      <c r="U15" s="109">
        <v>0</v>
      </c>
      <c r="V15" s="109">
        <v>0</v>
      </c>
      <c r="W15" s="109">
        <v>0</v>
      </c>
      <c r="X15" s="109">
        <v>0</v>
      </c>
      <c r="Y15" s="109">
        <v>0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</row>
    <row r="16" spans="1:32" customFormat="1" x14ac:dyDescent="0.15">
      <c r="A16" s="187" t="s">
        <v>206</v>
      </c>
      <c r="B16" s="109">
        <v>0</v>
      </c>
      <c r="C16" s="109">
        <v>0.8</v>
      </c>
      <c r="D16" s="109">
        <v>0.8</v>
      </c>
      <c r="E16" s="109">
        <v>0.8</v>
      </c>
      <c r="F16" s="109">
        <v>0.8</v>
      </c>
      <c r="G16" s="109">
        <v>0</v>
      </c>
      <c r="H16" s="109">
        <v>0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</row>
    <row r="17" spans="1:32" customFormat="1" x14ac:dyDescent="0.15">
      <c r="A17" s="187" t="s">
        <v>207</v>
      </c>
      <c r="B17" s="109">
        <v>0</v>
      </c>
      <c r="C17" s="109">
        <v>0.8</v>
      </c>
      <c r="D17" s="109">
        <v>0.8</v>
      </c>
      <c r="E17" s="109">
        <v>0.8</v>
      </c>
      <c r="F17" s="109">
        <v>0.8</v>
      </c>
      <c r="G17" s="109">
        <v>0.8</v>
      </c>
      <c r="H17" s="109">
        <v>0.8</v>
      </c>
      <c r="I17" s="109">
        <v>0</v>
      </c>
      <c r="J17" s="109">
        <v>0.8</v>
      </c>
      <c r="K17" s="109">
        <v>0</v>
      </c>
      <c r="L17" s="109">
        <v>0.8</v>
      </c>
      <c r="M17" s="109">
        <v>0</v>
      </c>
      <c r="N17" s="109">
        <v>0.8</v>
      </c>
      <c r="O17" s="109">
        <v>0.8</v>
      </c>
      <c r="P17" s="109">
        <v>0.8</v>
      </c>
      <c r="Q17" s="109">
        <v>0.8</v>
      </c>
      <c r="R17" s="109">
        <v>0</v>
      </c>
      <c r="S17" s="109">
        <v>0.8</v>
      </c>
      <c r="T17" s="109">
        <v>0</v>
      </c>
      <c r="U17" s="109">
        <v>0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</row>
    <row r="18" spans="1:32" customFormat="1" x14ac:dyDescent="0.15">
      <c r="A18" s="187" t="s">
        <v>208</v>
      </c>
      <c r="B18" s="109">
        <v>0.8</v>
      </c>
      <c r="C18" s="109">
        <v>0.8</v>
      </c>
      <c r="D18" s="109">
        <v>0.8</v>
      </c>
      <c r="E18" s="109">
        <v>0.8</v>
      </c>
      <c r="F18" s="109">
        <v>0.8</v>
      </c>
      <c r="G18" s="109">
        <v>0.8</v>
      </c>
      <c r="H18" s="109">
        <v>0.8</v>
      </c>
      <c r="I18" s="109">
        <v>0</v>
      </c>
      <c r="J18" s="109">
        <v>0.8</v>
      </c>
      <c r="K18" s="109">
        <v>0</v>
      </c>
      <c r="L18" s="109">
        <v>0</v>
      </c>
      <c r="M18" s="109">
        <v>0</v>
      </c>
      <c r="N18" s="109">
        <v>0.8</v>
      </c>
      <c r="O18" s="109">
        <v>0.8</v>
      </c>
      <c r="P18" s="109">
        <v>0.8</v>
      </c>
      <c r="Q18" s="109">
        <v>0.8</v>
      </c>
      <c r="R18" s="109">
        <v>0</v>
      </c>
      <c r="S18" s="109">
        <v>0.8</v>
      </c>
      <c r="T18" s="109">
        <v>0.8</v>
      </c>
      <c r="U18" s="109">
        <v>0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</row>
    <row r="19" spans="1:32" customFormat="1" x14ac:dyDescent="0.15">
      <c r="A19" s="187" t="s">
        <v>209</v>
      </c>
      <c r="B19" s="109">
        <v>0.8</v>
      </c>
      <c r="C19" s="109">
        <v>0.8</v>
      </c>
      <c r="D19" s="109">
        <v>0</v>
      </c>
      <c r="E19" s="109">
        <v>0</v>
      </c>
      <c r="F19" s="109">
        <v>0.8</v>
      </c>
      <c r="G19" s="109">
        <v>0</v>
      </c>
      <c r="H19" s="109">
        <v>0</v>
      </c>
      <c r="I19" s="109">
        <v>0</v>
      </c>
      <c r="J19" s="109">
        <v>0</v>
      </c>
      <c r="K19" s="109">
        <v>0</v>
      </c>
      <c r="L19" s="109">
        <v>0</v>
      </c>
      <c r="M19" s="109">
        <v>0</v>
      </c>
      <c r="N19" s="109">
        <v>0</v>
      </c>
      <c r="O19" s="109">
        <v>0</v>
      </c>
      <c r="P19" s="109">
        <v>0</v>
      </c>
      <c r="Q19" s="109">
        <v>0</v>
      </c>
      <c r="R19" s="109">
        <v>0</v>
      </c>
      <c r="S19" s="109">
        <v>0</v>
      </c>
      <c r="T19" s="109">
        <v>0</v>
      </c>
      <c r="U19" s="109">
        <v>0</v>
      </c>
      <c r="V19" s="109">
        <v>0</v>
      </c>
      <c r="W19" s="109">
        <v>0</v>
      </c>
      <c r="X19" s="109">
        <v>0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</row>
    <row r="20" spans="1:32" customFormat="1" x14ac:dyDescent="0.15">
      <c r="A20" s="187" t="s">
        <v>210</v>
      </c>
      <c r="B20" s="109">
        <v>0.8</v>
      </c>
      <c r="C20" s="109">
        <v>0.8</v>
      </c>
      <c r="D20" s="109">
        <v>0.8</v>
      </c>
      <c r="E20" s="109">
        <v>0.8</v>
      </c>
      <c r="F20" s="109">
        <v>0.8</v>
      </c>
      <c r="G20" s="109">
        <v>0.8</v>
      </c>
      <c r="H20" s="109">
        <v>0.8</v>
      </c>
      <c r="I20" s="109">
        <v>0</v>
      </c>
      <c r="J20" s="109">
        <v>0.8</v>
      </c>
      <c r="K20" s="109">
        <v>0</v>
      </c>
      <c r="L20" s="109">
        <v>0</v>
      </c>
      <c r="M20" s="109">
        <v>0</v>
      </c>
      <c r="N20" s="109">
        <v>0.8</v>
      </c>
      <c r="O20" s="109">
        <v>0.8</v>
      </c>
      <c r="P20" s="109">
        <v>0.8</v>
      </c>
      <c r="Q20" s="109">
        <v>0</v>
      </c>
      <c r="R20" s="109">
        <v>0</v>
      </c>
      <c r="S20" s="109">
        <v>0.8</v>
      </c>
      <c r="T20" s="109">
        <v>0</v>
      </c>
      <c r="U20" s="109">
        <v>0</v>
      </c>
      <c r="V20" s="109">
        <v>0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</row>
    <row r="21" spans="1:32" customFormat="1" x14ac:dyDescent="0.15">
      <c r="A21" s="187" t="s">
        <v>211</v>
      </c>
      <c r="B21" s="109">
        <v>0.8</v>
      </c>
      <c r="C21" s="109">
        <v>0.8</v>
      </c>
      <c r="D21" s="109">
        <v>0.8</v>
      </c>
      <c r="E21" s="109">
        <v>0.8</v>
      </c>
      <c r="F21" s="109">
        <v>0.8</v>
      </c>
      <c r="G21" s="109">
        <v>0.8</v>
      </c>
      <c r="H21" s="109">
        <v>0.8</v>
      </c>
      <c r="I21" s="109">
        <v>0</v>
      </c>
      <c r="J21" s="109">
        <v>0.8</v>
      </c>
      <c r="K21" s="109">
        <v>0</v>
      </c>
      <c r="L21" s="109">
        <v>0</v>
      </c>
      <c r="M21" s="109">
        <v>0.8</v>
      </c>
      <c r="N21" s="109">
        <v>0.8</v>
      </c>
      <c r="O21" s="109">
        <v>0.8</v>
      </c>
      <c r="P21" s="109">
        <v>0.8</v>
      </c>
      <c r="Q21" s="109">
        <v>0.8</v>
      </c>
      <c r="R21" s="109">
        <v>0</v>
      </c>
      <c r="S21" s="109">
        <v>0.8</v>
      </c>
      <c r="T21" s="109">
        <v>0.8</v>
      </c>
      <c r="U21" s="109">
        <v>0</v>
      </c>
      <c r="V21" s="109">
        <v>0</v>
      </c>
      <c r="W21" s="109">
        <v>0</v>
      </c>
      <c r="X21" s="109">
        <v>0</v>
      </c>
      <c r="Y21" s="109">
        <v>0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</row>
    <row r="22" spans="1:32" customFormat="1" x14ac:dyDescent="0.15">
      <c r="A22" s="187" t="s">
        <v>212</v>
      </c>
      <c r="B22" s="109">
        <v>0.8</v>
      </c>
      <c r="C22" s="109">
        <v>0.8</v>
      </c>
      <c r="D22" s="109">
        <v>0</v>
      </c>
      <c r="E22" s="109">
        <v>0</v>
      </c>
      <c r="F22" s="109">
        <v>0.8</v>
      </c>
      <c r="G22" s="109">
        <v>0.8</v>
      </c>
      <c r="H22" s="109">
        <v>0.8</v>
      </c>
      <c r="I22" s="109">
        <v>0.8</v>
      </c>
      <c r="J22" s="109">
        <v>0.8</v>
      </c>
      <c r="K22" s="109">
        <v>0.8</v>
      </c>
      <c r="L22" s="109">
        <v>0.8</v>
      </c>
      <c r="M22" s="109">
        <v>0.8</v>
      </c>
      <c r="N22" s="109">
        <v>0.8</v>
      </c>
      <c r="O22" s="109">
        <v>0.8</v>
      </c>
      <c r="P22" s="109">
        <v>0.8</v>
      </c>
      <c r="Q22" s="109">
        <v>0.8</v>
      </c>
      <c r="R22" s="109">
        <v>0</v>
      </c>
      <c r="S22" s="109">
        <v>0.8</v>
      </c>
      <c r="T22" s="109">
        <v>0.8</v>
      </c>
      <c r="U22" s="109">
        <v>0.8</v>
      </c>
      <c r="V22" s="109">
        <v>0</v>
      </c>
      <c r="W22" s="109">
        <v>0.8</v>
      </c>
      <c r="X22" s="109">
        <v>0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</row>
    <row r="23" spans="1:32" customFormat="1" x14ac:dyDescent="0.15">
      <c r="A23" s="187" t="s">
        <v>213</v>
      </c>
      <c r="B23" s="109">
        <v>0</v>
      </c>
      <c r="C23" s="109">
        <v>0.8</v>
      </c>
      <c r="D23" s="109">
        <v>0</v>
      </c>
      <c r="E23" s="109">
        <v>0.8</v>
      </c>
      <c r="F23" s="109">
        <v>0.8</v>
      </c>
      <c r="G23" s="109">
        <v>0</v>
      </c>
      <c r="H23" s="109">
        <v>0.8</v>
      </c>
      <c r="I23" s="109">
        <v>0.8</v>
      </c>
      <c r="J23" s="109">
        <v>0</v>
      </c>
      <c r="K23" s="109">
        <v>0.8</v>
      </c>
      <c r="L23" s="109">
        <v>0.8</v>
      </c>
      <c r="M23" s="109">
        <v>0</v>
      </c>
      <c r="N23" s="109">
        <v>0.8</v>
      </c>
      <c r="O23" s="109">
        <v>0</v>
      </c>
      <c r="P23" s="109">
        <v>0.8</v>
      </c>
      <c r="Q23" s="109">
        <v>0.8</v>
      </c>
      <c r="R23" s="109">
        <v>0</v>
      </c>
      <c r="S23" s="109">
        <v>0.8</v>
      </c>
      <c r="T23" s="109">
        <v>0</v>
      </c>
      <c r="U23" s="109">
        <v>0</v>
      </c>
      <c r="V23" s="109">
        <v>0</v>
      </c>
      <c r="W23" s="109">
        <v>0.8</v>
      </c>
      <c r="X23" s="109">
        <v>0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</row>
    <row r="24" spans="1:32" customFormat="1" x14ac:dyDescent="0.15">
      <c r="A24" s="187" t="s">
        <v>214</v>
      </c>
      <c r="B24" s="109">
        <v>0</v>
      </c>
      <c r="C24" s="109">
        <v>0</v>
      </c>
      <c r="D24" s="109">
        <v>0</v>
      </c>
      <c r="E24" s="109">
        <v>0</v>
      </c>
      <c r="F24" s="109">
        <v>0</v>
      </c>
      <c r="G24" s="109">
        <v>0</v>
      </c>
      <c r="H24" s="109">
        <v>0.8</v>
      </c>
      <c r="I24" s="109">
        <v>0.8</v>
      </c>
      <c r="J24" s="109">
        <v>0</v>
      </c>
      <c r="K24" s="109">
        <v>0.8</v>
      </c>
      <c r="L24" s="109">
        <v>0.8</v>
      </c>
      <c r="M24" s="109">
        <v>0.8</v>
      </c>
      <c r="N24" s="109">
        <v>0.8</v>
      </c>
      <c r="O24" s="109">
        <v>0</v>
      </c>
      <c r="P24" s="109">
        <v>0</v>
      </c>
      <c r="Q24" s="109">
        <v>0.8</v>
      </c>
      <c r="R24" s="109">
        <v>0</v>
      </c>
      <c r="S24" s="109">
        <v>0</v>
      </c>
      <c r="T24" s="109">
        <v>0</v>
      </c>
      <c r="U24" s="109">
        <v>0</v>
      </c>
      <c r="V24" s="109">
        <v>0</v>
      </c>
      <c r="W24" s="109">
        <v>0.8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</row>
    <row r="25" spans="1:32" customFormat="1" x14ac:dyDescent="0.15">
      <c r="A25" s="187" t="s">
        <v>215</v>
      </c>
      <c r="B25" s="109">
        <v>0</v>
      </c>
      <c r="C25" s="109">
        <v>0</v>
      </c>
      <c r="D25" s="109">
        <v>0</v>
      </c>
      <c r="E25" s="109">
        <v>0</v>
      </c>
      <c r="F25" s="109">
        <v>0.8</v>
      </c>
      <c r="G25" s="109">
        <v>0</v>
      </c>
      <c r="H25" s="109">
        <v>0.8</v>
      </c>
      <c r="I25" s="109">
        <v>0.8</v>
      </c>
      <c r="J25" s="109">
        <v>0</v>
      </c>
      <c r="K25" s="109">
        <v>0.8</v>
      </c>
      <c r="L25" s="109">
        <v>0.8</v>
      </c>
      <c r="M25" s="109">
        <v>0.8</v>
      </c>
      <c r="N25" s="109">
        <v>0.8</v>
      </c>
      <c r="O25" s="109">
        <v>0</v>
      </c>
      <c r="P25" s="109">
        <v>0</v>
      </c>
      <c r="Q25" s="109">
        <v>0.8</v>
      </c>
      <c r="R25" s="109">
        <v>0</v>
      </c>
      <c r="S25" s="109">
        <v>0</v>
      </c>
      <c r="T25" s="109">
        <v>0</v>
      </c>
      <c r="U25" s="109">
        <v>0</v>
      </c>
      <c r="V25" s="109">
        <v>0</v>
      </c>
      <c r="W25" s="109">
        <v>0.8</v>
      </c>
      <c r="X25" s="109">
        <v>0</v>
      </c>
      <c r="Y25" s="109">
        <v>0</v>
      </c>
      <c r="Z25" s="109">
        <v>0</v>
      </c>
      <c r="AA25" s="109">
        <v>0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</row>
    <row r="26" spans="1:32" customFormat="1" x14ac:dyDescent="0.15">
      <c r="A26" s="187" t="s">
        <v>216</v>
      </c>
      <c r="B26" s="109">
        <v>0</v>
      </c>
      <c r="C26" s="109">
        <v>0</v>
      </c>
      <c r="D26" s="109">
        <v>0</v>
      </c>
      <c r="E26" s="109">
        <v>0</v>
      </c>
      <c r="F26" s="109">
        <v>0</v>
      </c>
      <c r="G26" s="109">
        <v>0</v>
      </c>
      <c r="H26" s="109">
        <v>0.8</v>
      </c>
      <c r="I26" s="109">
        <v>0.8</v>
      </c>
      <c r="J26" s="109">
        <v>0</v>
      </c>
      <c r="K26" s="109">
        <v>0.8</v>
      </c>
      <c r="L26" s="109">
        <v>0.8</v>
      </c>
      <c r="M26" s="109">
        <v>0.8</v>
      </c>
      <c r="N26" s="109">
        <v>0.8</v>
      </c>
      <c r="O26" s="109">
        <v>0</v>
      </c>
      <c r="P26" s="109">
        <v>0.8</v>
      </c>
      <c r="Q26" s="109">
        <v>0.8</v>
      </c>
      <c r="R26" s="109">
        <v>0</v>
      </c>
      <c r="S26" s="109">
        <v>0.8</v>
      </c>
      <c r="T26" s="109">
        <v>0</v>
      </c>
      <c r="U26" s="109">
        <v>0</v>
      </c>
      <c r="V26" s="109">
        <v>0.8</v>
      </c>
      <c r="W26" s="109">
        <v>0.8</v>
      </c>
      <c r="X26" s="109">
        <v>0</v>
      </c>
      <c r="Y26" s="109">
        <v>0</v>
      </c>
      <c r="Z26" s="109">
        <v>0.8</v>
      </c>
      <c r="AA26" s="109">
        <v>0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</row>
    <row r="27" spans="1:32" customFormat="1" x14ac:dyDescent="0.15">
      <c r="A27" s="187" t="s">
        <v>217</v>
      </c>
      <c r="B27" s="109">
        <v>0</v>
      </c>
      <c r="C27" s="109">
        <v>0.8</v>
      </c>
      <c r="D27" s="109">
        <v>0</v>
      </c>
      <c r="E27" s="109">
        <v>0</v>
      </c>
      <c r="F27" s="109">
        <v>0.8</v>
      </c>
      <c r="G27" s="109">
        <v>0.8</v>
      </c>
      <c r="H27" s="109">
        <v>0.8</v>
      </c>
      <c r="I27" s="109">
        <v>0.8</v>
      </c>
      <c r="J27" s="109">
        <v>0</v>
      </c>
      <c r="K27" s="109">
        <v>0.8</v>
      </c>
      <c r="L27" s="109">
        <v>0.8</v>
      </c>
      <c r="M27" s="109">
        <v>0.8</v>
      </c>
      <c r="N27" s="109">
        <v>0.8</v>
      </c>
      <c r="O27" s="109">
        <v>0</v>
      </c>
      <c r="P27" s="109">
        <v>0.8</v>
      </c>
      <c r="Q27" s="109">
        <v>0.8</v>
      </c>
      <c r="R27" s="109">
        <v>0</v>
      </c>
      <c r="S27" s="109">
        <v>0</v>
      </c>
      <c r="T27" s="109">
        <v>0.8</v>
      </c>
      <c r="U27" s="109">
        <v>0.8</v>
      </c>
      <c r="V27" s="109">
        <v>0.8</v>
      </c>
      <c r="W27" s="109">
        <v>0.8</v>
      </c>
      <c r="X27" s="109">
        <v>0</v>
      </c>
      <c r="Y27" s="109">
        <v>0</v>
      </c>
      <c r="Z27" s="109">
        <v>0</v>
      </c>
      <c r="AA27" s="109">
        <v>0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</row>
    <row r="28" spans="1:32" customFormat="1" x14ac:dyDescent="0.15">
      <c r="A28" s="187" t="s">
        <v>218</v>
      </c>
      <c r="B28" s="109">
        <v>0.8</v>
      </c>
      <c r="C28" s="109">
        <v>0.8</v>
      </c>
      <c r="D28" s="109">
        <v>0</v>
      </c>
      <c r="E28" s="109">
        <v>0</v>
      </c>
      <c r="F28" s="109">
        <v>0</v>
      </c>
      <c r="G28" s="109">
        <v>0.8</v>
      </c>
      <c r="H28" s="109">
        <v>0.8</v>
      </c>
      <c r="I28" s="109">
        <v>0.8</v>
      </c>
      <c r="J28" s="109">
        <v>0.8</v>
      </c>
      <c r="K28" s="109">
        <v>0.8</v>
      </c>
      <c r="L28" s="109">
        <v>0.8</v>
      </c>
      <c r="M28" s="109">
        <v>0.8</v>
      </c>
      <c r="N28" s="109">
        <v>0.8</v>
      </c>
      <c r="O28" s="109">
        <v>0.8</v>
      </c>
      <c r="P28" s="109">
        <v>0.8</v>
      </c>
      <c r="Q28" s="109">
        <v>0.8</v>
      </c>
      <c r="R28" s="109">
        <v>0.8</v>
      </c>
      <c r="S28" s="109">
        <v>0.8</v>
      </c>
      <c r="T28" s="109">
        <v>0.8</v>
      </c>
      <c r="U28" s="109">
        <v>0.8</v>
      </c>
      <c r="V28" s="109">
        <v>0.8</v>
      </c>
      <c r="W28" s="109">
        <v>0.8</v>
      </c>
      <c r="X28" s="109">
        <v>0</v>
      </c>
      <c r="Y28" s="109">
        <v>0</v>
      </c>
      <c r="Z28" s="109">
        <v>0</v>
      </c>
      <c r="AA28" s="109">
        <v>0</v>
      </c>
      <c r="AB28" s="109">
        <v>0.8</v>
      </c>
      <c r="AC28" s="109">
        <v>0</v>
      </c>
      <c r="AD28" s="109">
        <v>0</v>
      </c>
      <c r="AE28" s="109">
        <v>0</v>
      </c>
      <c r="AF28" s="109">
        <v>0</v>
      </c>
    </row>
    <row r="29" spans="1:32" customFormat="1" x14ac:dyDescent="0.15">
      <c r="A29" s="187" t="s">
        <v>219</v>
      </c>
      <c r="B29" s="109">
        <v>0</v>
      </c>
      <c r="C29" s="109">
        <v>0</v>
      </c>
      <c r="D29" s="109">
        <v>0</v>
      </c>
      <c r="E29" s="109">
        <v>0</v>
      </c>
      <c r="F29" s="109">
        <v>0</v>
      </c>
      <c r="G29" s="109">
        <v>0.8</v>
      </c>
      <c r="H29" s="109">
        <v>0.8</v>
      </c>
      <c r="I29" s="109">
        <v>0.8</v>
      </c>
      <c r="J29" s="109">
        <v>0</v>
      </c>
      <c r="K29" s="109">
        <v>0.8</v>
      </c>
      <c r="L29" s="109">
        <v>0</v>
      </c>
      <c r="M29" s="109">
        <v>0</v>
      </c>
      <c r="N29" s="109">
        <v>0</v>
      </c>
      <c r="O29" s="109">
        <v>0.8</v>
      </c>
      <c r="P29" s="109">
        <v>0</v>
      </c>
      <c r="Q29" s="109">
        <v>0</v>
      </c>
      <c r="R29" s="109">
        <v>0.8</v>
      </c>
      <c r="S29" s="109">
        <v>0</v>
      </c>
      <c r="T29" s="109">
        <v>0.8</v>
      </c>
      <c r="U29" s="109">
        <v>0.8</v>
      </c>
      <c r="V29" s="109">
        <v>0.8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0.8</v>
      </c>
      <c r="AC29" s="109">
        <v>0.8</v>
      </c>
      <c r="AD29" s="109">
        <v>0</v>
      </c>
      <c r="AE29" s="109">
        <v>0</v>
      </c>
      <c r="AF29" s="109">
        <v>0</v>
      </c>
    </row>
    <row r="30" spans="1:32" customFormat="1" x14ac:dyDescent="0.15">
      <c r="A30" s="187" t="s">
        <v>220</v>
      </c>
      <c r="B30" s="109">
        <v>0</v>
      </c>
      <c r="C30" s="109">
        <v>0</v>
      </c>
      <c r="D30" s="109">
        <v>0</v>
      </c>
      <c r="E30" s="109">
        <v>0</v>
      </c>
      <c r="F30" s="109">
        <v>0</v>
      </c>
      <c r="G30" s="109">
        <v>0</v>
      </c>
      <c r="H30" s="109">
        <v>0</v>
      </c>
      <c r="I30" s="109">
        <v>0</v>
      </c>
      <c r="J30" s="109">
        <v>0</v>
      </c>
      <c r="K30" s="109">
        <v>0</v>
      </c>
      <c r="L30" s="109">
        <v>0</v>
      </c>
      <c r="M30" s="109">
        <v>0</v>
      </c>
      <c r="N30" s="109">
        <v>0</v>
      </c>
      <c r="O30" s="109">
        <v>0</v>
      </c>
      <c r="P30" s="109">
        <v>0</v>
      </c>
      <c r="Q30" s="109">
        <v>0</v>
      </c>
      <c r="R30" s="109">
        <v>0</v>
      </c>
      <c r="S30" s="109">
        <v>0</v>
      </c>
      <c r="T30" s="109">
        <v>0</v>
      </c>
      <c r="U30" s="109">
        <v>0</v>
      </c>
      <c r="V30" s="109">
        <v>0.8</v>
      </c>
      <c r="W30" s="109">
        <v>0</v>
      </c>
      <c r="X30" s="109">
        <v>0</v>
      </c>
      <c r="Y30" s="109">
        <v>0.8</v>
      </c>
      <c r="Z30" s="109">
        <v>0.8</v>
      </c>
      <c r="AA30" s="109">
        <v>0</v>
      </c>
      <c r="AB30" s="109">
        <v>0.8</v>
      </c>
      <c r="AC30" s="109">
        <v>0.8</v>
      </c>
      <c r="AD30" s="109">
        <v>0</v>
      </c>
      <c r="AE30" s="109">
        <v>0</v>
      </c>
      <c r="AF30" s="109">
        <v>0</v>
      </c>
    </row>
    <row r="31" spans="1:32" customFormat="1" x14ac:dyDescent="0.15">
      <c r="A31" s="187" t="s">
        <v>221</v>
      </c>
      <c r="B31" s="109">
        <v>0</v>
      </c>
      <c r="C31" s="109">
        <v>0</v>
      </c>
      <c r="D31" s="109">
        <v>0</v>
      </c>
      <c r="E31" s="109">
        <v>0</v>
      </c>
      <c r="F31" s="109">
        <v>0</v>
      </c>
      <c r="G31" s="109">
        <v>0</v>
      </c>
      <c r="H31" s="109">
        <v>0</v>
      </c>
      <c r="I31" s="109">
        <v>0</v>
      </c>
      <c r="J31" s="109">
        <v>0</v>
      </c>
      <c r="K31" s="109">
        <v>0</v>
      </c>
      <c r="L31" s="109">
        <v>0</v>
      </c>
      <c r="M31" s="109">
        <v>0.8</v>
      </c>
      <c r="N31" s="109">
        <v>0</v>
      </c>
      <c r="O31" s="109">
        <v>0</v>
      </c>
      <c r="P31" s="109">
        <v>0</v>
      </c>
      <c r="Q31" s="109">
        <v>0</v>
      </c>
      <c r="R31" s="109">
        <v>0</v>
      </c>
      <c r="S31" s="109">
        <v>0</v>
      </c>
      <c r="T31" s="109">
        <v>0</v>
      </c>
      <c r="U31" s="109">
        <v>0</v>
      </c>
      <c r="V31" s="109">
        <v>0.8</v>
      </c>
      <c r="W31" s="109">
        <v>0.8</v>
      </c>
      <c r="X31" s="109">
        <v>0.8</v>
      </c>
      <c r="Y31" s="109">
        <v>0.8</v>
      </c>
      <c r="Z31" s="109">
        <v>0.8</v>
      </c>
      <c r="AA31" s="109">
        <v>0.8</v>
      </c>
      <c r="AB31" s="109">
        <v>0.8</v>
      </c>
      <c r="AC31" s="109">
        <v>0.8</v>
      </c>
      <c r="AD31" s="109">
        <v>0</v>
      </c>
      <c r="AE31" s="109">
        <v>0</v>
      </c>
      <c r="AF31" s="109">
        <v>0</v>
      </c>
    </row>
    <row r="32" spans="1:32" customFormat="1" x14ac:dyDescent="0.15">
      <c r="A32" s="187" t="s">
        <v>222</v>
      </c>
      <c r="B32" s="109">
        <v>0</v>
      </c>
      <c r="C32" s="109">
        <v>0</v>
      </c>
      <c r="D32" s="109">
        <v>0</v>
      </c>
      <c r="E32" s="109">
        <v>0</v>
      </c>
      <c r="F32" s="109">
        <v>0</v>
      </c>
      <c r="G32" s="109">
        <v>0</v>
      </c>
      <c r="H32" s="109">
        <v>0</v>
      </c>
      <c r="I32" s="109">
        <v>0</v>
      </c>
      <c r="J32" s="109">
        <v>0</v>
      </c>
      <c r="K32" s="109">
        <v>0</v>
      </c>
      <c r="L32" s="109">
        <v>0</v>
      </c>
      <c r="M32" s="109">
        <v>0</v>
      </c>
      <c r="N32" s="109">
        <v>0</v>
      </c>
      <c r="O32" s="109">
        <v>0</v>
      </c>
      <c r="P32" s="109">
        <v>0</v>
      </c>
      <c r="Q32" s="109">
        <v>0</v>
      </c>
      <c r="R32" s="109">
        <v>0</v>
      </c>
      <c r="S32" s="109">
        <v>0</v>
      </c>
      <c r="T32" s="109">
        <v>0</v>
      </c>
      <c r="U32" s="109">
        <v>0</v>
      </c>
      <c r="V32" s="109">
        <v>0</v>
      </c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109">
        <v>0</v>
      </c>
      <c r="AD32" s="109">
        <v>0</v>
      </c>
      <c r="AE32" s="109">
        <v>0</v>
      </c>
      <c r="AF32" s="109">
        <v>0</v>
      </c>
    </row>
    <row r="33" spans="1:32" x14ac:dyDescent="0.15">
      <c r="A33" s="187" t="s">
        <v>224</v>
      </c>
      <c r="B33" s="109">
        <v>0</v>
      </c>
      <c r="C33" s="109">
        <v>0</v>
      </c>
      <c r="D33" s="109">
        <v>0</v>
      </c>
      <c r="E33" s="109">
        <v>0</v>
      </c>
      <c r="F33" s="109">
        <v>0</v>
      </c>
      <c r="G33" s="109">
        <v>0</v>
      </c>
      <c r="H33" s="109">
        <v>0</v>
      </c>
      <c r="I33" s="109">
        <v>0</v>
      </c>
      <c r="J33" s="109">
        <v>0</v>
      </c>
      <c r="K33" s="109">
        <v>0</v>
      </c>
      <c r="L33" s="109">
        <v>0</v>
      </c>
      <c r="M33" s="109">
        <v>0</v>
      </c>
      <c r="N33" s="109">
        <v>0</v>
      </c>
      <c r="O33" s="109">
        <v>0</v>
      </c>
      <c r="P33" s="109">
        <v>0</v>
      </c>
      <c r="Q33" s="109">
        <v>0</v>
      </c>
      <c r="R33" s="109">
        <v>0</v>
      </c>
      <c r="S33" s="109">
        <v>0</v>
      </c>
      <c r="T33" s="109">
        <v>0</v>
      </c>
      <c r="U33" s="109">
        <v>0</v>
      </c>
      <c r="V33" s="109">
        <v>0</v>
      </c>
      <c r="W33" s="109">
        <v>0</v>
      </c>
      <c r="X33" s="109">
        <v>0</v>
      </c>
      <c r="Y33" s="109">
        <v>0</v>
      </c>
      <c r="Z33" s="109">
        <v>0</v>
      </c>
      <c r="AA33" s="109">
        <v>0</v>
      </c>
      <c r="AB33" s="109">
        <v>0</v>
      </c>
      <c r="AC33" s="109">
        <v>0</v>
      </c>
      <c r="AD33" s="109">
        <v>0</v>
      </c>
      <c r="AE33" s="109">
        <v>0</v>
      </c>
      <c r="AF33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F33"/>
  <sheetViews>
    <sheetView workbookViewId="0">
      <selection activeCell="A3" sqref="A3"/>
    </sheetView>
  </sheetViews>
  <sheetFormatPr baseColWidth="10" defaultRowHeight="13" x14ac:dyDescent="0.15"/>
  <cols>
    <col min="1" max="1" width="24.83203125" style="109" bestFit="1" customWidth="1"/>
    <col min="2" max="32" width="2.33203125" style="109" customWidth="1"/>
    <col min="33" max="16384" width="10.83203125" style="109"/>
  </cols>
  <sheetData>
    <row r="1" spans="1:32" x14ac:dyDescent="0.15">
      <c r="A1" s="62" t="s">
        <v>139</v>
      </c>
      <c r="B1" s="190" t="s">
        <v>192</v>
      </c>
      <c r="C1" s="190" t="s">
        <v>193</v>
      </c>
      <c r="D1" s="190" t="s">
        <v>194</v>
      </c>
      <c r="E1" s="190" t="s">
        <v>195</v>
      </c>
      <c r="F1" s="190" t="s">
        <v>196</v>
      </c>
      <c r="G1" s="190" t="s">
        <v>197</v>
      </c>
      <c r="H1" s="190" t="s">
        <v>198</v>
      </c>
      <c r="I1" s="190" t="s">
        <v>199</v>
      </c>
      <c r="J1" s="190" t="s">
        <v>200</v>
      </c>
      <c r="K1" s="190" t="s">
        <v>201</v>
      </c>
      <c r="L1" s="190" t="s">
        <v>202</v>
      </c>
      <c r="M1" s="190" t="s">
        <v>203</v>
      </c>
      <c r="N1" s="190" t="s">
        <v>204</v>
      </c>
      <c r="O1" s="190" t="s">
        <v>205</v>
      </c>
      <c r="P1" s="190" t="s">
        <v>206</v>
      </c>
      <c r="Q1" s="190" t="s">
        <v>207</v>
      </c>
      <c r="R1" s="190" t="s">
        <v>208</v>
      </c>
      <c r="S1" s="190" t="s">
        <v>209</v>
      </c>
      <c r="T1" s="190" t="s">
        <v>210</v>
      </c>
      <c r="U1" s="190" t="s">
        <v>211</v>
      </c>
      <c r="V1" s="190" t="s">
        <v>212</v>
      </c>
      <c r="W1" s="190" t="s">
        <v>213</v>
      </c>
      <c r="X1" s="190" t="s">
        <v>214</v>
      </c>
      <c r="Y1" s="190" t="s">
        <v>215</v>
      </c>
      <c r="Z1" s="190" t="s">
        <v>216</v>
      </c>
      <c r="AA1" s="190" t="s">
        <v>217</v>
      </c>
      <c r="AB1" s="190" t="s">
        <v>218</v>
      </c>
      <c r="AC1" s="190" t="s">
        <v>219</v>
      </c>
      <c r="AD1" s="190" t="s">
        <v>220</v>
      </c>
      <c r="AE1" s="190" t="s">
        <v>221</v>
      </c>
      <c r="AF1" s="190" t="s">
        <v>222</v>
      </c>
    </row>
    <row r="2" spans="1:32" customFormat="1" x14ac:dyDescent="0.15">
      <c r="A2" s="189" t="s">
        <v>192</v>
      </c>
      <c r="B2" s="109">
        <v>0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0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</row>
    <row r="3" spans="1:32" customFormat="1" x14ac:dyDescent="0.15">
      <c r="A3" s="189" t="s">
        <v>193</v>
      </c>
      <c r="B3" s="109">
        <v>0</v>
      </c>
      <c r="C3" s="109">
        <v>0</v>
      </c>
      <c r="D3" s="109">
        <v>0</v>
      </c>
      <c r="E3" s="109">
        <v>0</v>
      </c>
      <c r="F3" s="109">
        <v>0</v>
      </c>
      <c r="G3" s="109">
        <v>0</v>
      </c>
      <c r="H3" s="109">
        <v>0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</row>
    <row r="4" spans="1:32" customFormat="1" x14ac:dyDescent="0.15">
      <c r="A4" s="189" t="s">
        <v>194</v>
      </c>
      <c r="B4" s="109">
        <v>0</v>
      </c>
      <c r="C4" s="109">
        <v>0</v>
      </c>
      <c r="D4" s="109">
        <v>0</v>
      </c>
      <c r="E4" s="109">
        <v>0</v>
      </c>
      <c r="F4" s="109">
        <v>0</v>
      </c>
      <c r="G4" s="109">
        <v>0</v>
      </c>
      <c r="H4" s="109">
        <v>0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0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</row>
    <row r="5" spans="1:32" customFormat="1" x14ac:dyDescent="0.15">
      <c r="A5" s="189" t="s">
        <v>195</v>
      </c>
      <c r="B5" s="109">
        <v>0</v>
      </c>
      <c r="C5" s="109">
        <v>0</v>
      </c>
      <c r="D5" s="109">
        <v>0</v>
      </c>
      <c r="E5" s="109">
        <v>0</v>
      </c>
      <c r="F5" s="109">
        <v>0</v>
      </c>
      <c r="G5" s="109">
        <v>0</v>
      </c>
      <c r="H5" s="109">
        <v>0</v>
      </c>
      <c r="I5" s="109">
        <v>0</v>
      </c>
      <c r="J5" s="109">
        <v>0</v>
      </c>
      <c r="K5" s="109">
        <v>0</v>
      </c>
      <c r="L5" s="109">
        <v>0</v>
      </c>
      <c r="M5" s="109">
        <v>0</v>
      </c>
      <c r="N5" s="109">
        <v>0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0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</row>
    <row r="6" spans="1:32" customFormat="1" x14ac:dyDescent="0.15">
      <c r="A6" s="189" t="s">
        <v>196</v>
      </c>
      <c r="B6" s="109">
        <v>0</v>
      </c>
      <c r="C6" s="109">
        <v>0</v>
      </c>
      <c r="D6" s="109">
        <v>0</v>
      </c>
      <c r="E6" s="109">
        <v>0</v>
      </c>
      <c r="F6" s="109">
        <v>0</v>
      </c>
      <c r="G6" s="109">
        <v>0</v>
      </c>
      <c r="H6" s="109">
        <v>0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N6" s="109">
        <v>0</v>
      </c>
      <c r="O6" s="109">
        <v>0</v>
      </c>
      <c r="P6" s="109">
        <v>0</v>
      </c>
      <c r="Q6" s="109">
        <v>0</v>
      </c>
      <c r="R6" s="109">
        <v>0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</row>
    <row r="7" spans="1:32" customFormat="1" x14ac:dyDescent="0.15">
      <c r="A7" s="189" t="s">
        <v>197</v>
      </c>
      <c r="B7" s="109">
        <v>0</v>
      </c>
      <c r="C7" s="109">
        <v>0</v>
      </c>
      <c r="D7" s="109">
        <v>0</v>
      </c>
      <c r="E7" s="109">
        <v>0</v>
      </c>
      <c r="F7" s="109">
        <v>0</v>
      </c>
      <c r="G7" s="109">
        <v>0</v>
      </c>
      <c r="H7" s="109">
        <v>0</v>
      </c>
      <c r="I7" s="109">
        <v>0</v>
      </c>
      <c r="J7" s="109">
        <v>0</v>
      </c>
      <c r="K7" s="109">
        <v>0</v>
      </c>
      <c r="L7" s="109">
        <v>0</v>
      </c>
      <c r="M7" s="109">
        <v>0</v>
      </c>
      <c r="N7" s="109">
        <v>0</v>
      </c>
      <c r="O7" s="109">
        <v>0</v>
      </c>
      <c r="P7" s="109">
        <v>0</v>
      </c>
      <c r="Q7" s="109">
        <v>0</v>
      </c>
      <c r="R7" s="109">
        <v>0</v>
      </c>
      <c r="S7" s="109">
        <v>0</v>
      </c>
      <c r="T7" s="109">
        <v>0</v>
      </c>
      <c r="U7" s="109">
        <v>0</v>
      </c>
      <c r="V7" s="109">
        <v>0</v>
      </c>
      <c r="W7" s="109">
        <v>0</v>
      </c>
      <c r="X7" s="109">
        <v>0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</row>
    <row r="8" spans="1:32" customFormat="1" x14ac:dyDescent="0.15">
      <c r="A8" s="189" t="s">
        <v>198</v>
      </c>
      <c r="B8" s="109">
        <v>0</v>
      </c>
      <c r="C8" s="109">
        <v>1</v>
      </c>
      <c r="D8" s="109">
        <v>1</v>
      </c>
      <c r="E8" s="109">
        <v>1</v>
      </c>
      <c r="F8" s="109">
        <v>1</v>
      </c>
      <c r="G8" s="109">
        <v>0</v>
      </c>
      <c r="H8" s="109">
        <v>0</v>
      </c>
      <c r="I8" s="109">
        <v>0</v>
      </c>
      <c r="J8" s="109">
        <v>0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</row>
    <row r="9" spans="1:32" customFormat="1" x14ac:dyDescent="0.15">
      <c r="A9" s="189" t="s">
        <v>199</v>
      </c>
      <c r="B9" s="109">
        <v>1</v>
      </c>
      <c r="C9" s="109">
        <v>1</v>
      </c>
      <c r="D9" s="109">
        <v>1</v>
      </c>
      <c r="E9" s="109">
        <v>1</v>
      </c>
      <c r="F9" s="109">
        <v>1</v>
      </c>
      <c r="G9" s="109">
        <v>1</v>
      </c>
      <c r="H9" s="109">
        <v>1</v>
      </c>
      <c r="I9" s="109">
        <v>0</v>
      </c>
      <c r="J9" s="109">
        <v>0</v>
      </c>
      <c r="K9" s="109">
        <v>0</v>
      </c>
      <c r="L9" s="109">
        <v>0</v>
      </c>
      <c r="M9" s="109">
        <v>0</v>
      </c>
      <c r="N9" s="109">
        <v>1</v>
      </c>
      <c r="O9" s="109">
        <v>1</v>
      </c>
      <c r="P9" s="109">
        <v>1</v>
      </c>
      <c r="Q9" s="109">
        <v>1</v>
      </c>
      <c r="R9" s="109">
        <v>0</v>
      </c>
      <c r="S9" s="109">
        <v>1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</row>
    <row r="10" spans="1:32" customFormat="1" x14ac:dyDescent="0.15">
      <c r="A10" s="189" t="s">
        <v>200</v>
      </c>
      <c r="B10" s="109">
        <v>0</v>
      </c>
      <c r="C10" s="109">
        <v>0</v>
      </c>
      <c r="D10" s="109">
        <v>1</v>
      </c>
      <c r="E10" s="109">
        <v>1</v>
      </c>
      <c r="F10" s="109">
        <v>0</v>
      </c>
      <c r="G10" s="109">
        <v>1</v>
      </c>
      <c r="H10" s="109">
        <v>0</v>
      </c>
      <c r="I10" s="109">
        <v>0</v>
      </c>
      <c r="J10" s="109">
        <v>1</v>
      </c>
      <c r="K10" s="109">
        <v>0</v>
      </c>
      <c r="L10" s="109">
        <v>0</v>
      </c>
      <c r="M10" s="109">
        <v>0</v>
      </c>
      <c r="N10" s="109">
        <v>0</v>
      </c>
      <c r="O10" s="109">
        <v>0</v>
      </c>
      <c r="P10" s="109">
        <v>1</v>
      </c>
      <c r="Q10" s="109">
        <v>0</v>
      </c>
      <c r="R10" s="109">
        <v>0</v>
      </c>
      <c r="S10" s="109">
        <v>0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</row>
    <row r="11" spans="1:32" customFormat="1" x14ac:dyDescent="0.15">
      <c r="A11" s="189" t="s">
        <v>201</v>
      </c>
      <c r="B11" s="109">
        <v>0</v>
      </c>
      <c r="C11" s="109">
        <v>1</v>
      </c>
      <c r="D11" s="109">
        <v>0</v>
      </c>
      <c r="E11" s="109">
        <v>1</v>
      </c>
      <c r="F11" s="109">
        <v>0</v>
      </c>
      <c r="G11" s="109">
        <v>1</v>
      </c>
      <c r="H11" s="109">
        <v>1</v>
      </c>
      <c r="I11" s="109">
        <v>0</v>
      </c>
      <c r="J11" s="109">
        <v>1</v>
      </c>
      <c r="K11" s="109">
        <v>0</v>
      </c>
      <c r="L11" s="109">
        <v>0</v>
      </c>
      <c r="M11" s="109">
        <v>0</v>
      </c>
      <c r="N11" s="109">
        <v>1</v>
      </c>
      <c r="O11" s="109">
        <v>0</v>
      </c>
      <c r="P11" s="109">
        <v>1</v>
      </c>
      <c r="Q11" s="109">
        <v>1</v>
      </c>
      <c r="R11" s="109">
        <v>0</v>
      </c>
      <c r="S11" s="109">
        <v>0</v>
      </c>
      <c r="T11" s="109">
        <v>0</v>
      </c>
      <c r="U11" s="109">
        <v>0</v>
      </c>
      <c r="V11" s="109">
        <v>0</v>
      </c>
      <c r="W11" s="109">
        <v>0</v>
      </c>
      <c r="X11" s="109">
        <v>0</v>
      </c>
      <c r="Y11" s="109">
        <v>0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0</v>
      </c>
      <c r="AF11" s="109">
        <v>0</v>
      </c>
    </row>
    <row r="12" spans="1:32" customFormat="1" x14ac:dyDescent="0.15">
      <c r="A12" s="189" t="s">
        <v>202</v>
      </c>
      <c r="B12" s="109">
        <v>0</v>
      </c>
      <c r="C12" s="109">
        <v>1</v>
      </c>
      <c r="D12" s="109">
        <v>0</v>
      </c>
      <c r="E12" s="109">
        <v>1</v>
      </c>
      <c r="F12" s="109">
        <v>0</v>
      </c>
      <c r="G12" s="109">
        <v>0</v>
      </c>
      <c r="H12" s="109">
        <v>0</v>
      </c>
      <c r="I12" s="109">
        <v>0</v>
      </c>
      <c r="J12" s="109">
        <v>0</v>
      </c>
      <c r="K12" s="109">
        <v>0</v>
      </c>
      <c r="L12" s="109">
        <v>0</v>
      </c>
      <c r="M12" s="109">
        <v>0</v>
      </c>
      <c r="N12" s="109">
        <v>0</v>
      </c>
      <c r="O12" s="109">
        <v>0</v>
      </c>
      <c r="P12" s="109">
        <v>0</v>
      </c>
      <c r="Q12" s="109">
        <v>0</v>
      </c>
      <c r="R12" s="109">
        <v>0</v>
      </c>
      <c r="S12" s="109">
        <v>0</v>
      </c>
      <c r="T12" s="109">
        <v>0</v>
      </c>
      <c r="U12" s="109">
        <v>0</v>
      </c>
      <c r="V12" s="109">
        <v>0</v>
      </c>
      <c r="W12" s="109">
        <v>0</v>
      </c>
      <c r="X12" s="109">
        <v>0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</row>
    <row r="13" spans="1:32" customFormat="1" x14ac:dyDescent="0.15">
      <c r="A13" s="189" t="s">
        <v>203</v>
      </c>
      <c r="B13" s="109">
        <v>0</v>
      </c>
      <c r="C13" s="109">
        <v>1</v>
      </c>
      <c r="D13" s="109">
        <v>1</v>
      </c>
      <c r="E13" s="109">
        <v>1</v>
      </c>
      <c r="F13" s="109">
        <v>1</v>
      </c>
      <c r="G13" s="109">
        <v>1</v>
      </c>
      <c r="H13" s="109">
        <v>1</v>
      </c>
      <c r="I13" s="109">
        <v>1</v>
      </c>
      <c r="J13" s="109">
        <v>1</v>
      </c>
      <c r="K13" s="109">
        <v>0</v>
      </c>
      <c r="L13" s="109">
        <v>0</v>
      </c>
      <c r="M13" s="109">
        <v>0</v>
      </c>
      <c r="N13" s="109">
        <v>1</v>
      </c>
      <c r="O13" s="109">
        <v>0</v>
      </c>
      <c r="P13" s="109">
        <v>1</v>
      </c>
      <c r="Q13" s="109">
        <v>1</v>
      </c>
      <c r="R13" s="109">
        <v>0</v>
      </c>
      <c r="S13" s="109">
        <v>1</v>
      </c>
      <c r="T13" s="109">
        <v>0</v>
      </c>
      <c r="U13" s="109">
        <v>0</v>
      </c>
      <c r="V13" s="109">
        <v>0</v>
      </c>
      <c r="W13" s="109">
        <v>0</v>
      </c>
      <c r="X13" s="109">
        <v>0</v>
      </c>
      <c r="Y13" s="109">
        <v>0</v>
      </c>
      <c r="Z13" s="109">
        <v>0</v>
      </c>
      <c r="AA13" s="109">
        <v>0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</row>
    <row r="14" spans="1:32" customFormat="1" x14ac:dyDescent="0.15">
      <c r="A14" s="189" t="s">
        <v>204</v>
      </c>
      <c r="B14" s="109">
        <v>0</v>
      </c>
      <c r="C14" s="109">
        <v>0</v>
      </c>
      <c r="D14" s="109">
        <v>0</v>
      </c>
      <c r="E14" s="109">
        <v>1</v>
      </c>
      <c r="F14" s="109">
        <v>1</v>
      </c>
      <c r="G14" s="109">
        <v>1</v>
      </c>
      <c r="H14" s="109">
        <v>0</v>
      </c>
      <c r="I14" s="109">
        <v>0</v>
      </c>
      <c r="J14" s="109">
        <v>0</v>
      </c>
      <c r="K14" s="109">
        <v>0</v>
      </c>
      <c r="L14" s="109">
        <v>0</v>
      </c>
      <c r="M14" s="109">
        <v>0</v>
      </c>
      <c r="N14" s="109">
        <v>0</v>
      </c>
      <c r="O14" s="109">
        <v>0</v>
      </c>
      <c r="P14" s="109">
        <v>1</v>
      </c>
      <c r="Q14" s="109">
        <v>0</v>
      </c>
      <c r="R14" s="109">
        <v>0</v>
      </c>
      <c r="S14" s="109">
        <v>1</v>
      </c>
      <c r="T14" s="109">
        <v>0</v>
      </c>
      <c r="U14" s="109">
        <v>0</v>
      </c>
      <c r="V14" s="109">
        <v>0</v>
      </c>
      <c r="W14" s="109">
        <v>0</v>
      </c>
      <c r="X14" s="109">
        <v>0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</row>
    <row r="15" spans="1:32" customFormat="1" x14ac:dyDescent="0.15">
      <c r="A15" s="189" t="s">
        <v>205</v>
      </c>
      <c r="B15" s="109">
        <v>1</v>
      </c>
      <c r="C15" s="109">
        <v>0</v>
      </c>
      <c r="D15" s="109">
        <v>1</v>
      </c>
      <c r="E15" s="109">
        <v>0</v>
      </c>
      <c r="F15" s="109">
        <v>1</v>
      </c>
      <c r="G15" s="109">
        <v>0</v>
      </c>
      <c r="H15" s="109">
        <v>0</v>
      </c>
      <c r="I15" s="109">
        <v>0</v>
      </c>
      <c r="J15" s="109">
        <v>1</v>
      </c>
      <c r="K15" s="109">
        <v>0</v>
      </c>
      <c r="L15" s="109">
        <v>0</v>
      </c>
      <c r="M15" s="109">
        <v>0</v>
      </c>
      <c r="N15" s="109">
        <v>1</v>
      </c>
      <c r="O15" s="109">
        <v>0</v>
      </c>
      <c r="P15" s="109">
        <v>1</v>
      </c>
      <c r="Q15" s="109">
        <v>0</v>
      </c>
      <c r="R15" s="109">
        <v>0</v>
      </c>
      <c r="S15" s="109">
        <v>0</v>
      </c>
      <c r="T15" s="109">
        <v>0</v>
      </c>
      <c r="U15" s="109">
        <v>0</v>
      </c>
      <c r="V15" s="109">
        <v>0</v>
      </c>
      <c r="W15" s="109">
        <v>0</v>
      </c>
      <c r="X15" s="109">
        <v>0</v>
      </c>
      <c r="Y15" s="109">
        <v>0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</row>
    <row r="16" spans="1:32" customFormat="1" x14ac:dyDescent="0.15">
      <c r="A16" s="189" t="s">
        <v>206</v>
      </c>
      <c r="B16" s="109">
        <v>0</v>
      </c>
      <c r="C16" s="109">
        <v>1</v>
      </c>
      <c r="D16" s="109">
        <v>1</v>
      </c>
      <c r="E16" s="109">
        <v>1</v>
      </c>
      <c r="F16" s="109">
        <v>1</v>
      </c>
      <c r="G16" s="109">
        <v>0</v>
      </c>
      <c r="H16" s="109">
        <v>0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</row>
    <row r="17" spans="1:32" customFormat="1" x14ac:dyDescent="0.15">
      <c r="A17" s="189" t="s">
        <v>207</v>
      </c>
      <c r="B17" s="109">
        <v>0</v>
      </c>
      <c r="C17" s="109">
        <v>1</v>
      </c>
      <c r="D17" s="109">
        <v>1</v>
      </c>
      <c r="E17" s="109">
        <v>1</v>
      </c>
      <c r="F17" s="109">
        <v>1</v>
      </c>
      <c r="G17" s="109">
        <v>1</v>
      </c>
      <c r="H17" s="109">
        <v>1</v>
      </c>
      <c r="I17" s="109">
        <v>0</v>
      </c>
      <c r="J17" s="109">
        <v>1</v>
      </c>
      <c r="K17" s="109">
        <v>0</v>
      </c>
      <c r="L17" s="109">
        <v>1</v>
      </c>
      <c r="M17" s="109">
        <v>0</v>
      </c>
      <c r="N17" s="109">
        <v>1</v>
      </c>
      <c r="O17" s="109">
        <v>1</v>
      </c>
      <c r="P17" s="109">
        <v>1</v>
      </c>
      <c r="Q17" s="109">
        <v>1</v>
      </c>
      <c r="R17" s="109">
        <v>0</v>
      </c>
      <c r="S17" s="109">
        <v>1</v>
      </c>
      <c r="T17" s="109">
        <v>0</v>
      </c>
      <c r="U17" s="109">
        <v>0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</row>
    <row r="18" spans="1:32" customFormat="1" x14ac:dyDescent="0.15">
      <c r="A18" s="189" t="s">
        <v>208</v>
      </c>
      <c r="B18" s="109">
        <v>1</v>
      </c>
      <c r="C18" s="109">
        <v>1</v>
      </c>
      <c r="D18" s="109">
        <v>1</v>
      </c>
      <c r="E18" s="109">
        <v>1</v>
      </c>
      <c r="F18" s="109">
        <v>1</v>
      </c>
      <c r="G18" s="109">
        <v>1</v>
      </c>
      <c r="H18" s="109">
        <v>1</v>
      </c>
      <c r="I18" s="109">
        <v>0</v>
      </c>
      <c r="J18" s="109">
        <v>1</v>
      </c>
      <c r="K18" s="109">
        <v>0</v>
      </c>
      <c r="L18" s="109">
        <v>0</v>
      </c>
      <c r="M18" s="109">
        <v>0</v>
      </c>
      <c r="N18" s="109">
        <v>1</v>
      </c>
      <c r="O18" s="109">
        <v>1</v>
      </c>
      <c r="P18" s="109">
        <v>1</v>
      </c>
      <c r="Q18" s="109">
        <v>1</v>
      </c>
      <c r="R18" s="109">
        <v>0</v>
      </c>
      <c r="S18" s="109">
        <v>1</v>
      </c>
      <c r="T18" s="109">
        <v>1</v>
      </c>
      <c r="U18" s="109">
        <v>0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</row>
    <row r="19" spans="1:32" customFormat="1" x14ac:dyDescent="0.15">
      <c r="A19" s="189" t="s">
        <v>209</v>
      </c>
      <c r="B19" s="109">
        <v>1</v>
      </c>
      <c r="C19" s="109">
        <v>1</v>
      </c>
      <c r="D19" s="109">
        <v>0</v>
      </c>
      <c r="E19" s="109">
        <v>0</v>
      </c>
      <c r="F19" s="109">
        <v>1</v>
      </c>
      <c r="G19" s="109">
        <v>0</v>
      </c>
      <c r="H19" s="109">
        <v>0</v>
      </c>
      <c r="I19" s="109">
        <v>0</v>
      </c>
      <c r="J19" s="109">
        <v>0</v>
      </c>
      <c r="K19" s="109">
        <v>0</v>
      </c>
      <c r="L19" s="109">
        <v>0</v>
      </c>
      <c r="M19" s="109">
        <v>0</v>
      </c>
      <c r="N19" s="109">
        <v>0</v>
      </c>
      <c r="O19" s="109">
        <v>0</v>
      </c>
      <c r="P19" s="109">
        <v>0</v>
      </c>
      <c r="Q19" s="109">
        <v>0</v>
      </c>
      <c r="R19" s="109">
        <v>0</v>
      </c>
      <c r="S19" s="109">
        <v>0</v>
      </c>
      <c r="T19" s="109">
        <v>0</v>
      </c>
      <c r="U19" s="109">
        <v>0</v>
      </c>
      <c r="V19" s="109">
        <v>0</v>
      </c>
      <c r="W19" s="109">
        <v>0</v>
      </c>
      <c r="X19" s="109">
        <v>0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</row>
    <row r="20" spans="1:32" customFormat="1" x14ac:dyDescent="0.15">
      <c r="A20" s="189" t="s">
        <v>210</v>
      </c>
      <c r="B20" s="109">
        <v>1</v>
      </c>
      <c r="C20" s="109">
        <v>1</v>
      </c>
      <c r="D20" s="109">
        <v>1</v>
      </c>
      <c r="E20" s="109">
        <v>1</v>
      </c>
      <c r="F20" s="109">
        <v>1</v>
      </c>
      <c r="G20" s="109">
        <v>1</v>
      </c>
      <c r="H20" s="109">
        <v>1</v>
      </c>
      <c r="I20" s="109">
        <v>0</v>
      </c>
      <c r="J20" s="109">
        <v>1</v>
      </c>
      <c r="K20" s="109">
        <v>0</v>
      </c>
      <c r="L20" s="109">
        <v>0</v>
      </c>
      <c r="M20" s="109">
        <v>0</v>
      </c>
      <c r="N20" s="109">
        <v>1</v>
      </c>
      <c r="O20" s="109">
        <v>1</v>
      </c>
      <c r="P20" s="109">
        <v>1</v>
      </c>
      <c r="Q20" s="109">
        <v>0</v>
      </c>
      <c r="R20" s="109">
        <v>0</v>
      </c>
      <c r="S20" s="109">
        <v>1</v>
      </c>
      <c r="T20" s="109">
        <v>0</v>
      </c>
      <c r="U20" s="109">
        <v>0</v>
      </c>
      <c r="V20" s="109">
        <v>0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</row>
    <row r="21" spans="1:32" customFormat="1" x14ac:dyDescent="0.15">
      <c r="A21" s="189" t="s">
        <v>211</v>
      </c>
      <c r="B21" s="109">
        <v>1</v>
      </c>
      <c r="C21" s="109">
        <v>1</v>
      </c>
      <c r="D21" s="109">
        <v>1</v>
      </c>
      <c r="E21" s="109">
        <v>1</v>
      </c>
      <c r="F21" s="109">
        <v>1</v>
      </c>
      <c r="G21" s="109">
        <v>1</v>
      </c>
      <c r="H21" s="109">
        <v>1</v>
      </c>
      <c r="I21" s="109">
        <v>0</v>
      </c>
      <c r="J21" s="109">
        <v>1</v>
      </c>
      <c r="K21" s="109">
        <v>0</v>
      </c>
      <c r="L21" s="109">
        <v>0</v>
      </c>
      <c r="M21" s="109">
        <v>1</v>
      </c>
      <c r="N21" s="109">
        <v>1</v>
      </c>
      <c r="O21" s="109">
        <v>1</v>
      </c>
      <c r="P21" s="109">
        <v>1</v>
      </c>
      <c r="Q21" s="109">
        <v>1</v>
      </c>
      <c r="R21" s="109">
        <v>0</v>
      </c>
      <c r="S21" s="109">
        <v>1</v>
      </c>
      <c r="T21" s="109">
        <v>1</v>
      </c>
      <c r="U21" s="109">
        <v>0</v>
      </c>
      <c r="V21" s="109">
        <v>0</v>
      </c>
      <c r="W21" s="109">
        <v>0</v>
      </c>
      <c r="X21" s="109">
        <v>0</v>
      </c>
      <c r="Y21" s="109">
        <v>0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</row>
    <row r="22" spans="1:32" customFormat="1" x14ac:dyDescent="0.15">
      <c r="A22" s="189" t="s">
        <v>212</v>
      </c>
      <c r="B22" s="109">
        <v>1</v>
      </c>
      <c r="C22" s="109">
        <v>1</v>
      </c>
      <c r="D22" s="109">
        <v>0</v>
      </c>
      <c r="E22" s="109">
        <v>0</v>
      </c>
      <c r="F22" s="109">
        <v>1</v>
      </c>
      <c r="G22" s="109">
        <v>1</v>
      </c>
      <c r="H22" s="109">
        <v>1</v>
      </c>
      <c r="I22" s="109">
        <v>1</v>
      </c>
      <c r="J22" s="109">
        <v>1</v>
      </c>
      <c r="K22" s="109">
        <v>1</v>
      </c>
      <c r="L22" s="109">
        <v>1</v>
      </c>
      <c r="M22" s="109">
        <v>1</v>
      </c>
      <c r="N22" s="109">
        <v>1</v>
      </c>
      <c r="O22" s="109">
        <v>1</v>
      </c>
      <c r="P22" s="109">
        <v>1</v>
      </c>
      <c r="Q22" s="109">
        <v>1</v>
      </c>
      <c r="R22" s="109">
        <v>0</v>
      </c>
      <c r="S22" s="109">
        <v>1</v>
      </c>
      <c r="T22" s="109">
        <v>1</v>
      </c>
      <c r="U22" s="109">
        <v>1</v>
      </c>
      <c r="V22" s="109">
        <v>0</v>
      </c>
      <c r="W22" s="109">
        <v>1</v>
      </c>
      <c r="X22" s="109">
        <v>0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</row>
    <row r="23" spans="1:32" customFormat="1" x14ac:dyDescent="0.15">
      <c r="A23" s="189" t="s">
        <v>213</v>
      </c>
      <c r="B23" s="109">
        <v>0</v>
      </c>
      <c r="C23" s="109">
        <v>1</v>
      </c>
      <c r="D23" s="109">
        <v>0</v>
      </c>
      <c r="E23" s="109">
        <v>1</v>
      </c>
      <c r="F23" s="109">
        <v>1</v>
      </c>
      <c r="G23" s="109">
        <v>0</v>
      </c>
      <c r="H23" s="109">
        <v>1</v>
      </c>
      <c r="I23" s="109">
        <v>1</v>
      </c>
      <c r="J23" s="109">
        <v>0</v>
      </c>
      <c r="K23" s="109">
        <v>1</v>
      </c>
      <c r="L23" s="109">
        <v>1</v>
      </c>
      <c r="M23" s="109">
        <v>0</v>
      </c>
      <c r="N23" s="109">
        <v>1</v>
      </c>
      <c r="O23" s="109">
        <v>0</v>
      </c>
      <c r="P23" s="109">
        <v>1</v>
      </c>
      <c r="Q23" s="109">
        <v>1</v>
      </c>
      <c r="R23" s="109">
        <v>0</v>
      </c>
      <c r="S23" s="109">
        <v>1</v>
      </c>
      <c r="T23" s="109">
        <v>0</v>
      </c>
      <c r="U23" s="109">
        <v>0</v>
      </c>
      <c r="V23" s="109">
        <v>0</v>
      </c>
      <c r="W23" s="109">
        <v>1</v>
      </c>
      <c r="X23" s="109">
        <v>0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</row>
    <row r="24" spans="1:32" customFormat="1" x14ac:dyDescent="0.15">
      <c r="A24" s="189" t="s">
        <v>214</v>
      </c>
      <c r="B24" s="109">
        <v>0</v>
      </c>
      <c r="C24" s="109">
        <v>0</v>
      </c>
      <c r="D24" s="109">
        <v>0</v>
      </c>
      <c r="E24" s="109">
        <v>0</v>
      </c>
      <c r="F24" s="109">
        <v>0</v>
      </c>
      <c r="G24" s="109">
        <v>0</v>
      </c>
      <c r="H24" s="109">
        <v>1</v>
      </c>
      <c r="I24" s="109">
        <v>1</v>
      </c>
      <c r="J24" s="109">
        <v>0</v>
      </c>
      <c r="K24" s="109">
        <v>1</v>
      </c>
      <c r="L24" s="109">
        <v>1</v>
      </c>
      <c r="M24" s="109">
        <v>1</v>
      </c>
      <c r="N24" s="109">
        <v>1</v>
      </c>
      <c r="O24" s="109">
        <v>0</v>
      </c>
      <c r="P24" s="109">
        <v>0</v>
      </c>
      <c r="Q24" s="109">
        <v>1</v>
      </c>
      <c r="R24" s="109">
        <v>0</v>
      </c>
      <c r="S24" s="109">
        <v>0</v>
      </c>
      <c r="T24" s="109">
        <v>0</v>
      </c>
      <c r="U24" s="109">
        <v>0</v>
      </c>
      <c r="V24" s="109">
        <v>0</v>
      </c>
      <c r="W24" s="109">
        <v>1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</row>
    <row r="25" spans="1:32" customFormat="1" x14ac:dyDescent="0.15">
      <c r="A25" s="189" t="s">
        <v>215</v>
      </c>
      <c r="B25" s="109">
        <v>0</v>
      </c>
      <c r="C25" s="109">
        <v>0</v>
      </c>
      <c r="D25" s="109">
        <v>0</v>
      </c>
      <c r="E25" s="109">
        <v>0</v>
      </c>
      <c r="F25" s="109">
        <v>1</v>
      </c>
      <c r="G25" s="109">
        <v>0</v>
      </c>
      <c r="H25" s="109">
        <v>1</v>
      </c>
      <c r="I25" s="109">
        <v>1</v>
      </c>
      <c r="J25" s="109">
        <v>0</v>
      </c>
      <c r="K25" s="109">
        <v>1</v>
      </c>
      <c r="L25" s="109">
        <v>1</v>
      </c>
      <c r="M25" s="109">
        <v>1</v>
      </c>
      <c r="N25" s="109">
        <v>1</v>
      </c>
      <c r="O25" s="109">
        <v>0</v>
      </c>
      <c r="P25" s="109">
        <v>0</v>
      </c>
      <c r="Q25" s="109">
        <v>1</v>
      </c>
      <c r="R25" s="109">
        <v>0</v>
      </c>
      <c r="S25" s="109">
        <v>0</v>
      </c>
      <c r="T25" s="109">
        <v>0</v>
      </c>
      <c r="U25" s="109">
        <v>0</v>
      </c>
      <c r="V25" s="109">
        <v>0</v>
      </c>
      <c r="W25" s="109">
        <v>1</v>
      </c>
      <c r="X25" s="109">
        <v>0</v>
      </c>
      <c r="Y25" s="109">
        <v>0</v>
      </c>
      <c r="Z25" s="109">
        <v>0</v>
      </c>
      <c r="AA25" s="109">
        <v>0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</row>
    <row r="26" spans="1:32" customFormat="1" x14ac:dyDescent="0.15">
      <c r="A26" s="189" t="s">
        <v>216</v>
      </c>
      <c r="B26" s="109">
        <v>0</v>
      </c>
      <c r="C26" s="109">
        <v>0</v>
      </c>
      <c r="D26" s="109">
        <v>0</v>
      </c>
      <c r="E26" s="109">
        <v>0</v>
      </c>
      <c r="F26" s="109">
        <v>0</v>
      </c>
      <c r="G26" s="109">
        <v>0</v>
      </c>
      <c r="H26" s="109">
        <v>1</v>
      </c>
      <c r="I26" s="109">
        <v>1</v>
      </c>
      <c r="J26" s="109">
        <v>0</v>
      </c>
      <c r="K26" s="109">
        <v>1</v>
      </c>
      <c r="L26" s="109">
        <v>1</v>
      </c>
      <c r="M26" s="109">
        <v>1</v>
      </c>
      <c r="N26" s="109">
        <v>1</v>
      </c>
      <c r="O26" s="109">
        <v>0</v>
      </c>
      <c r="P26" s="109">
        <v>1</v>
      </c>
      <c r="Q26" s="109">
        <v>1</v>
      </c>
      <c r="R26" s="109">
        <v>0</v>
      </c>
      <c r="S26" s="109">
        <v>1</v>
      </c>
      <c r="T26" s="109">
        <v>0</v>
      </c>
      <c r="U26" s="109">
        <v>0</v>
      </c>
      <c r="V26" s="109">
        <v>1</v>
      </c>
      <c r="W26" s="109">
        <v>1</v>
      </c>
      <c r="X26" s="109">
        <v>0</v>
      </c>
      <c r="Y26" s="109">
        <v>0</v>
      </c>
      <c r="Z26" s="109">
        <v>1</v>
      </c>
      <c r="AA26" s="109">
        <v>0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</row>
    <row r="27" spans="1:32" customFormat="1" x14ac:dyDescent="0.15">
      <c r="A27" s="189" t="s">
        <v>217</v>
      </c>
      <c r="B27" s="109">
        <v>0</v>
      </c>
      <c r="C27" s="109">
        <v>1</v>
      </c>
      <c r="D27" s="109">
        <v>0</v>
      </c>
      <c r="E27" s="109">
        <v>0</v>
      </c>
      <c r="F27" s="109">
        <v>1</v>
      </c>
      <c r="G27" s="109">
        <v>1</v>
      </c>
      <c r="H27" s="109">
        <v>1</v>
      </c>
      <c r="I27" s="109">
        <v>1</v>
      </c>
      <c r="J27" s="109">
        <v>0</v>
      </c>
      <c r="K27" s="109">
        <v>1</v>
      </c>
      <c r="L27" s="109">
        <v>1</v>
      </c>
      <c r="M27" s="109">
        <v>1</v>
      </c>
      <c r="N27" s="109">
        <v>1</v>
      </c>
      <c r="O27" s="109">
        <v>0</v>
      </c>
      <c r="P27" s="109">
        <v>1</v>
      </c>
      <c r="Q27" s="109">
        <v>1</v>
      </c>
      <c r="R27" s="109">
        <v>0</v>
      </c>
      <c r="S27" s="109">
        <v>0</v>
      </c>
      <c r="T27" s="109">
        <v>1</v>
      </c>
      <c r="U27" s="109">
        <v>1</v>
      </c>
      <c r="V27" s="109">
        <v>1</v>
      </c>
      <c r="W27" s="109">
        <v>1</v>
      </c>
      <c r="X27" s="109">
        <v>0</v>
      </c>
      <c r="Y27" s="109">
        <v>0</v>
      </c>
      <c r="Z27" s="109">
        <v>0</v>
      </c>
      <c r="AA27" s="109">
        <v>0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</row>
    <row r="28" spans="1:32" customFormat="1" x14ac:dyDescent="0.15">
      <c r="A28" s="189" t="s">
        <v>218</v>
      </c>
      <c r="B28" s="109">
        <v>1</v>
      </c>
      <c r="C28" s="109">
        <v>1</v>
      </c>
      <c r="D28" s="109">
        <v>0</v>
      </c>
      <c r="E28" s="109">
        <v>0</v>
      </c>
      <c r="F28" s="109">
        <v>0</v>
      </c>
      <c r="G28" s="109">
        <v>1</v>
      </c>
      <c r="H28" s="109">
        <v>1</v>
      </c>
      <c r="I28" s="109">
        <v>1</v>
      </c>
      <c r="J28" s="109">
        <v>1</v>
      </c>
      <c r="K28" s="109">
        <v>1</v>
      </c>
      <c r="L28" s="109">
        <v>1</v>
      </c>
      <c r="M28" s="109">
        <v>1</v>
      </c>
      <c r="N28" s="109">
        <v>1</v>
      </c>
      <c r="O28" s="109">
        <v>1</v>
      </c>
      <c r="P28" s="109">
        <v>1</v>
      </c>
      <c r="Q28" s="109">
        <v>1</v>
      </c>
      <c r="R28" s="109">
        <v>1</v>
      </c>
      <c r="S28" s="109">
        <v>1</v>
      </c>
      <c r="T28" s="109">
        <v>1</v>
      </c>
      <c r="U28" s="109">
        <v>1</v>
      </c>
      <c r="V28" s="109">
        <v>1</v>
      </c>
      <c r="W28" s="109">
        <v>1</v>
      </c>
      <c r="X28" s="109">
        <v>0</v>
      </c>
      <c r="Y28" s="109">
        <v>0</v>
      </c>
      <c r="Z28" s="109">
        <v>0</v>
      </c>
      <c r="AA28" s="109">
        <v>0</v>
      </c>
      <c r="AB28" s="109">
        <v>1</v>
      </c>
      <c r="AC28" s="109">
        <v>0</v>
      </c>
      <c r="AD28" s="109">
        <v>0</v>
      </c>
      <c r="AE28" s="109">
        <v>0</v>
      </c>
      <c r="AF28" s="109">
        <v>0</v>
      </c>
    </row>
    <row r="29" spans="1:32" customFormat="1" x14ac:dyDescent="0.15">
      <c r="A29" s="189" t="s">
        <v>219</v>
      </c>
      <c r="B29" s="109">
        <v>0</v>
      </c>
      <c r="C29" s="109">
        <v>0</v>
      </c>
      <c r="D29" s="109">
        <v>0</v>
      </c>
      <c r="E29" s="109">
        <v>0</v>
      </c>
      <c r="F29" s="109">
        <v>0</v>
      </c>
      <c r="G29" s="109">
        <v>1</v>
      </c>
      <c r="H29" s="109">
        <v>1</v>
      </c>
      <c r="I29" s="109">
        <v>1</v>
      </c>
      <c r="J29" s="109">
        <v>0</v>
      </c>
      <c r="K29" s="109">
        <v>1</v>
      </c>
      <c r="L29" s="109">
        <v>0</v>
      </c>
      <c r="M29" s="109">
        <v>0</v>
      </c>
      <c r="N29" s="109">
        <v>0</v>
      </c>
      <c r="O29" s="109">
        <v>1</v>
      </c>
      <c r="P29" s="109">
        <v>0</v>
      </c>
      <c r="Q29" s="109">
        <v>0</v>
      </c>
      <c r="R29" s="109">
        <v>1</v>
      </c>
      <c r="S29" s="109">
        <v>0</v>
      </c>
      <c r="T29" s="109">
        <v>1</v>
      </c>
      <c r="U29" s="109">
        <v>1</v>
      </c>
      <c r="V29" s="109">
        <v>1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1</v>
      </c>
      <c r="AC29" s="109">
        <v>1</v>
      </c>
      <c r="AD29" s="109">
        <v>0</v>
      </c>
      <c r="AE29" s="109">
        <v>0</v>
      </c>
      <c r="AF29" s="109">
        <v>0</v>
      </c>
    </row>
    <row r="30" spans="1:32" customFormat="1" x14ac:dyDescent="0.15">
      <c r="A30" s="189" t="s">
        <v>220</v>
      </c>
      <c r="B30" s="109">
        <v>0</v>
      </c>
      <c r="C30" s="109">
        <v>0</v>
      </c>
      <c r="D30" s="109">
        <v>0</v>
      </c>
      <c r="E30" s="109">
        <v>0</v>
      </c>
      <c r="F30" s="109">
        <v>0</v>
      </c>
      <c r="G30" s="109">
        <v>0</v>
      </c>
      <c r="H30" s="109">
        <v>0</v>
      </c>
      <c r="I30" s="109">
        <v>0</v>
      </c>
      <c r="J30" s="109">
        <v>0</v>
      </c>
      <c r="K30" s="109">
        <v>0</v>
      </c>
      <c r="L30" s="109">
        <v>0</v>
      </c>
      <c r="M30" s="109">
        <v>0</v>
      </c>
      <c r="N30" s="109">
        <v>0</v>
      </c>
      <c r="O30" s="109">
        <v>0</v>
      </c>
      <c r="P30" s="109">
        <v>0</v>
      </c>
      <c r="Q30" s="109">
        <v>0</v>
      </c>
      <c r="R30" s="109">
        <v>0</v>
      </c>
      <c r="S30" s="109">
        <v>0</v>
      </c>
      <c r="T30" s="109">
        <v>0</v>
      </c>
      <c r="U30" s="109">
        <v>0</v>
      </c>
      <c r="V30" s="109">
        <v>1</v>
      </c>
      <c r="W30" s="109">
        <v>0</v>
      </c>
      <c r="X30" s="109">
        <v>0</v>
      </c>
      <c r="Y30" s="109">
        <v>1</v>
      </c>
      <c r="Z30" s="109">
        <v>1</v>
      </c>
      <c r="AA30" s="109">
        <v>0</v>
      </c>
      <c r="AB30" s="109">
        <v>1</v>
      </c>
      <c r="AC30" s="109">
        <v>1</v>
      </c>
      <c r="AD30" s="109">
        <v>0</v>
      </c>
      <c r="AE30" s="109">
        <v>0</v>
      </c>
      <c r="AF30" s="109">
        <v>0</v>
      </c>
    </row>
    <row r="31" spans="1:32" customFormat="1" x14ac:dyDescent="0.15">
      <c r="A31" s="189" t="s">
        <v>221</v>
      </c>
      <c r="B31" s="109">
        <v>0</v>
      </c>
      <c r="C31" s="109">
        <v>0</v>
      </c>
      <c r="D31" s="109">
        <v>0</v>
      </c>
      <c r="E31" s="109">
        <v>0</v>
      </c>
      <c r="F31" s="109">
        <v>0</v>
      </c>
      <c r="G31" s="109">
        <v>0</v>
      </c>
      <c r="H31" s="109">
        <v>0</v>
      </c>
      <c r="I31" s="109">
        <v>0</v>
      </c>
      <c r="J31" s="109">
        <v>0</v>
      </c>
      <c r="K31" s="109">
        <v>0</v>
      </c>
      <c r="L31" s="109">
        <v>0</v>
      </c>
      <c r="M31" s="109">
        <v>1</v>
      </c>
      <c r="N31" s="109">
        <v>0</v>
      </c>
      <c r="O31" s="109">
        <v>0</v>
      </c>
      <c r="P31" s="109">
        <v>0</v>
      </c>
      <c r="Q31" s="109">
        <v>0</v>
      </c>
      <c r="R31" s="109">
        <v>0</v>
      </c>
      <c r="S31" s="109">
        <v>0</v>
      </c>
      <c r="T31" s="109">
        <v>0</v>
      </c>
      <c r="U31" s="109">
        <v>0</v>
      </c>
      <c r="V31" s="109">
        <v>1</v>
      </c>
      <c r="W31" s="109">
        <v>1</v>
      </c>
      <c r="X31" s="109">
        <v>1</v>
      </c>
      <c r="Y31" s="109">
        <v>1</v>
      </c>
      <c r="Z31" s="109">
        <v>1</v>
      </c>
      <c r="AA31" s="109">
        <v>1</v>
      </c>
      <c r="AB31" s="109">
        <v>1</v>
      </c>
      <c r="AC31" s="109">
        <v>1</v>
      </c>
      <c r="AD31" s="109">
        <v>0</v>
      </c>
      <c r="AE31" s="109">
        <v>0</v>
      </c>
      <c r="AF31" s="109">
        <v>0</v>
      </c>
    </row>
    <row r="32" spans="1:32" x14ac:dyDescent="0.15">
      <c r="A32" s="189" t="s">
        <v>222</v>
      </c>
      <c r="B32" s="109">
        <v>0</v>
      </c>
      <c r="C32" s="109">
        <v>0</v>
      </c>
      <c r="D32" s="109">
        <v>0</v>
      </c>
      <c r="E32" s="109">
        <v>0</v>
      </c>
      <c r="F32" s="109">
        <v>0</v>
      </c>
      <c r="G32" s="109">
        <v>0</v>
      </c>
      <c r="H32" s="109">
        <v>0</v>
      </c>
      <c r="I32" s="109">
        <v>0</v>
      </c>
      <c r="J32" s="109">
        <v>0</v>
      </c>
      <c r="K32" s="109">
        <v>0</v>
      </c>
      <c r="L32" s="109">
        <v>0</v>
      </c>
      <c r="M32" s="109">
        <v>0</v>
      </c>
      <c r="N32" s="109">
        <v>0</v>
      </c>
      <c r="O32" s="109">
        <v>0</v>
      </c>
      <c r="P32" s="109">
        <v>0</v>
      </c>
      <c r="Q32" s="109">
        <v>0</v>
      </c>
      <c r="R32" s="109">
        <v>0</v>
      </c>
      <c r="S32" s="109">
        <v>0</v>
      </c>
      <c r="T32" s="109">
        <v>0</v>
      </c>
      <c r="U32" s="109">
        <v>0</v>
      </c>
      <c r="V32" s="109">
        <v>0</v>
      </c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109">
        <v>0</v>
      </c>
      <c r="AD32" s="109">
        <v>0</v>
      </c>
      <c r="AE32" s="109">
        <v>0</v>
      </c>
      <c r="AF32" s="109">
        <v>0</v>
      </c>
    </row>
    <row r="33" spans="1:32" x14ac:dyDescent="0.15">
      <c r="A33" s="189" t="s">
        <v>224</v>
      </c>
      <c r="B33" s="109">
        <v>0</v>
      </c>
      <c r="C33" s="109">
        <v>0</v>
      </c>
      <c r="D33" s="109">
        <v>0</v>
      </c>
      <c r="E33" s="109">
        <v>0</v>
      </c>
      <c r="F33" s="109">
        <v>0</v>
      </c>
      <c r="G33" s="109">
        <v>0</v>
      </c>
      <c r="H33" s="109">
        <v>0</v>
      </c>
      <c r="I33" s="109">
        <v>0</v>
      </c>
      <c r="J33" s="109">
        <v>0</v>
      </c>
      <c r="K33" s="109">
        <v>0</v>
      </c>
      <c r="L33" s="109">
        <v>0</v>
      </c>
      <c r="M33" s="109">
        <v>0</v>
      </c>
      <c r="N33" s="109">
        <v>0</v>
      </c>
      <c r="O33" s="109">
        <v>0</v>
      </c>
      <c r="P33" s="109">
        <v>0</v>
      </c>
      <c r="Q33" s="109">
        <v>0</v>
      </c>
      <c r="R33" s="109">
        <v>0</v>
      </c>
      <c r="S33" s="109">
        <v>0</v>
      </c>
      <c r="T33" s="109">
        <v>0</v>
      </c>
      <c r="U33" s="109">
        <v>0</v>
      </c>
      <c r="V33" s="109">
        <v>0</v>
      </c>
      <c r="W33" s="109">
        <v>0</v>
      </c>
      <c r="X33" s="109">
        <v>0</v>
      </c>
      <c r="Y33" s="109">
        <v>0</v>
      </c>
      <c r="Z33" s="109">
        <v>0</v>
      </c>
      <c r="AA33" s="109">
        <v>0</v>
      </c>
      <c r="AB33" s="109">
        <v>0</v>
      </c>
      <c r="AC33" s="109">
        <v>0</v>
      </c>
      <c r="AD33" s="109">
        <v>0</v>
      </c>
      <c r="AE33" s="109">
        <v>0</v>
      </c>
      <c r="AF33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2" t="s">
        <v>223</v>
      </c>
    </row>
    <row r="2" spans="1:3" x14ac:dyDescent="0.15">
      <c r="A2">
        <v>1</v>
      </c>
      <c r="B2" s="191" t="s">
        <v>192</v>
      </c>
      <c r="C2">
        <v>0.8</v>
      </c>
    </row>
    <row r="3" spans="1:3" x14ac:dyDescent="0.15">
      <c r="A3">
        <v>2</v>
      </c>
      <c r="B3" s="191" t="s">
        <v>193</v>
      </c>
      <c r="C3">
        <v>0.8</v>
      </c>
    </row>
    <row r="4" spans="1:3" x14ac:dyDescent="0.15">
      <c r="A4">
        <v>3</v>
      </c>
      <c r="B4" s="191" t="s">
        <v>194</v>
      </c>
      <c r="C4">
        <v>0</v>
      </c>
    </row>
    <row r="5" spans="1:3" x14ac:dyDescent="0.15">
      <c r="A5">
        <v>4</v>
      </c>
      <c r="B5" s="191" t="s">
        <v>195</v>
      </c>
      <c r="C5">
        <v>0.8</v>
      </c>
    </row>
    <row r="6" spans="1:3" x14ac:dyDescent="0.15">
      <c r="A6">
        <v>5</v>
      </c>
      <c r="B6" s="191" t="s">
        <v>196</v>
      </c>
      <c r="C6">
        <v>0</v>
      </c>
    </row>
    <row r="7" spans="1:3" x14ac:dyDescent="0.15">
      <c r="A7">
        <v>6</v>
      </c>
      <c r="B7" s="191" t="s">
        <v>197</v>
      </c>
      <c r="C7">
        <v>0.8</v>
      </c>
    </row>
    <row r="8" spans="1:3" x14ac:dyDescent="0.15">
      <c r="A8">
        <v>7</v>
      </c>
      <c r="B8" s="191" t="s">
        <v>198</v>
      </c>
      <c r="C8">
        <v>0.8</v>
      </c>
    </row>
    <row r="9" spans="1:3" x14ac:dyDescent="0.15">
      <c r="A9">
        <v>8</v>
      </c>
      <c r="B9" s="191" t="s">
        <v>199</v>
      </c>
      <c r="C9">
        <v>0</v>
      </c>
    </row>
    <row r="10" spans="1:3" x14ac:dyDescent="0.15">
      <c r="A10">
        <v>9</v>
      </c>
      <c r="B10" s="191" t="s">
        <v>200</v>
      </c>
      <c r="C10">
        <v>0.8</v>
      </c>
    </row>
    <row r="11" spans="1:3" x14ac:dyDescent="0.15">
      <c r="A11">
        <v>10</v>
      </c>
      <c r="B11" s="191" t="s">
        <v>201</v>
      </c>
      <c r="C11">
        <v>0</v>
      </c>
    </row>
    <row r="12" spans="1:3" x14ac:dyDescent="0.15">
      <c r="A12">
        <v>11</v>
      </c>
      <c r="B12" s="191" t="s">
        <v>202</v>
      </c>
      <c r="C12">
        <v>0.8</v>
      </c>
    </row>
    <row r="13" spans="1:3" x14ac:dyDescent="0.15">
      <c r="A13">
        <v>12</v>
      </c>
      <c r="B13" s="191" t="s">
        <v>203</v>
      </c>
      <c r="C13">
        <v>0.8</v>
      </c>
    </row>
    <row r="14" spans="1:3" x14ac:dyDescent="0.15">
      <c r="A14">
        <v>13</v>
      </c>
      <c r="B14" s="191" t="s">
        <v>204</v>
      </c>
      <c r="C14">
        <v>0</v>
      </c>
    </row>
    <row r="15" spans="1:3" x14ac:dyDescent="0.15">
      <c r="A15">
        <v>14</v>
      </c>
      <c r="B15" s="191" t="s">
        <v>205</v>
      </c>
      <c r="C15">
        <v>0.8</v>
      </c>
    </row>
    <row r="16" spans="1:3" x14ac:dyDescent="0.15">
      <c r="A16">
        <v>15</v>
      </c>
      <c r="B16" s="191" t="s">
        <v>206</v>
      </c>
      <c r="C16">
        <v>0.8</v>
      </c>
    </row>
    <row r="17" spans="1:3" x14ac:dyDescent="0.15">
      <c r="A17">
        <v>16</v>
      </c>
      <c r="B17" s="191" t="s">
        <v>207</v>
      </c>
      <c r="C17">
        <v>0</v>
      </c>
    </row>
    <row r="18" spans="1:3" x14ac:dyDescent="0.15">
      <c r="A18">
        <v>17</v>
      </c>
      <c r="B18" s="191" t="s">
        <v>208</v>
      </c>
      <c r="C18">
        <v>0.8</v>
      </c>
    </row>
    <row r="19" spans="1:3" x14ac:dyDescent="0.15">
      <c r="A19">
        <v>18</v>
      </c>
      <c r="B19" s="191" t="s">
        <v>209</v>
      </c>
      <c r="C19">
        <v>0.8</v>
      </c>
    </row>
    <row r="20" spans="1:3" x14ac:dyDescent="0.15">
      <c r="A20">
        <v>19</v>
      </c>
      <c r="B20" s="191" t="s">
        <v>210</v>
      </c>
      <c r="C20">
        <v>0.8</v>
      </c>
    </row>
    <row r="21" spans="1:3" x14ac:dyDescent="0.15">
      <c r="A21">
        <v>20</v>
      </c>
      <c r="B21" s="191" t="s">
        <v>211</v>
      </c>
      <c r="C21">
        <v>0.8</v>
      </c>
    </row>
    <row r="22" spans="1:3" x14ac:dyDescent="0.15">
      <c r="A22">
        <v>21</v>
      </c>
      <c r="B22" s="191" t="s">
        <v>212</v>
      </c>
      <c r="C22">
        <v>0.8</v>
      </c>
    </row>
    <row r="23" spans="1:3" x14ac:dyDescent="0.15">
      <c r="A23">
        <v>22</v>
      </c>
      <c r="B23" s="191" t="s">
        <v>213</v>
      </c>
      <c r="C23">
        <v>0.8</v>
      </c>
    </row>
    <row r="24" spans="1:3" x14ac:dyDescent="0.15">
      <c r="A24">
        <v>23</v>
      </c>
      <c r="B24" s="191" t="s">
        <v>214</v>
      </c>
      <c r="C24">
        <v>0</v>
      </c>
    </row>
    <row r="25" spans="1:3" x14ac:dyDescent="0.15">
      <c r="A25">
        <v>24</v>
      </c>
      <c r="B25" s="191" t="s">
        <v>215</v>
      </c>
      <c r="C25">
        <v>0.8</v>
      </c>
    </row>
    <row r="26" spans="1:3" x14ac:dyDescent="0.15">
      <c r="A26">
        <v>25</v>
      </c>
      <c r="B26" s="191" t="s">
        <v>216</v>
      </c>
      <c r="C26">
        <v>0</v>
      </c>
    </row>
    <row r="27" spans="1:3" x14ac:dyDescent="0.15">
      <c r="A27">
        <v>26</v>
      </c>
      <c r="B27" s="191" t="s">
        <v>217</v>
      </c>
      <c r="C27">
        <v>0</v>
      </c>
    </row>
    <row r="28" spans="1:3" x14ac:dyDescent="0.15">
      <c r="A28">
        <v>27</v>
      </c>
      <c r="B28" s="191" t="s">
        <v>218</v>
      </c>
      <c r="C28">
        <v>0</v>
      </c>
    </row>
    <row r="29" spans="1:3" x14ac:dyDescent="0.15">
      <c r="A29">
        <v>28</v>
      </c>
      <c r="B29" s="191" t="s">
        <v>219</v>
      </c>
      <c r="C29">
        <v>0</v>
      </c>
    </row>
    <row r="30" spans="1:3" x14ac:dyDescent="0.15">
      <c r="A30">
        <v>29</v>
      </c>
      <c r="B30" s="191" t="s">
        <v>220</v>
      </c>
      <c r="C30">
        <v>0</v>
      </c>
    </row>
    <row r="31" spans="1:3" x14ac:dyDescent="0.15">
      <c r="A31">
        <v>30</v>
      </c>
      <c r="B31" s="191" t="s">
        <v>221</v>
      </c>
      <c r="C31">
        <v>0.8</v>
      </c>
    </row>
    <row r="32" spans="1:3" x14ac:dyDescent="0.15">
      <c r="A32">
        <v>31</v>
      </c>
      <c r="B32" s="191" t="s">
        <v>222</v>
      </c>
      <c r="C3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4" t="s">
        <v>223</v>
      </c>
    </row>
    <row r="2" spans="1:3" x14ac:dyDescent="0.15">
      <c r="A2">
        <v>1</v>
      </c>
      <c r="B2" s="193" t="s">
        <v>192</v>
      </c>
      <c r="C2">
        <v>0.8</v>
      </c>
    </row>
    <row r="3" spans="1:3" x14ac:dyDescent="0.15">
      <c r="A3">
        <v>2</v>
      </c>
      <c r="B3" s="193" t="s">
        <v>193</v>
      </c>
      <c r="C3">
        <v>0.8</v>
      </c>
    </row>
    <row r="4" spans="1:3" x14ac:dyDescent="0.15">
      <c r="A4">
        <v>3</v>
      </c>
      <c r="B4" s="193" t="s">
        <v>194</v>
      </c>
      <c r="C4">
        <v>0</v>
      </c>
    </row>
    <row r="5" spans="1:3" x14ac:dyDescent="0.15">
      <c r="A5">
        <v>4</v>
      </c>
      <c r="B5" s="193" t="s">
        <v>195</v>
      </c>
      <c r="C5">
        <v>0.8</v>
      </c>
    </row>
    <row r="6" spans="1:3" x14ac:dyDescent="0.15">
      <c r="A6">
        <v>5</v>
      </c>
      <c r="B6" s="193" t="s">
        <v>196</v>
      </c>
      <c r="C6">
        <v>0</v>
      </c>
    </row>
    <row r="7" spans="1:3" x14ac:dyDescent="0.15">
      <c r="A7">
        <v>6</v>
      </c>
      <c r="B7" s="193" t="s">
        <v>197</v>
      </c>
      <c r="C7">
        <v>0.8</v>
      </c>
    </row>
    <row r="8" spans="1:3" x14ac:dyDescent="0.15">
      <c r="A8">
        <v>7</v>
      </c>
      <c r="B8" s="193" t="s">
        <v>198</v>
      </c>
      <c r="C8">
        <v>0.8</v>
      </c>
    </row>
    <row r="9" spans="1:3" x14ac:dyDescent="0.15">
      <c r="A9">
        <v>8</v>
      </c>
      <c r="B9" s="193" t="s">
        <v>199</v>
      </c>
      <c r="C9">
        <v>0</v>
      </c>
    </row>
    <row r="10" spans="1:3" x14ac:dyDescent="0.15">
      <c r="A10">
        <v>9</v>
      </c>
      <c r="B10" s="193" t="s">
        <v>200</v>
      </c>
      <c r="C10">
        <v>0.8</v>
      </c>
    </row>
    <row r="11" spans="1:3" x14ac:dyDescent="0.15">
      <c r="A11">
        <v>10</v>
      </c>
      <c r="B11" s="193" t="s">
        <v>201</v>
      </c>
      <c r="C11">
        <v>0</v>
      </c>
    </row>
    <row r="12" spans="1:3" x14ac:dyDescent="0.15">
      <c r="A12">
        <v>11</v>
      </c>
      <c r="B12" s="193" t="s">
        <v>202</v>
      </c>
      <c r="C12">
        <v>0.8</v>
      </c>
    </row>
    <row r="13" spans="1:3" x14ac:dyDescent="0.15">
      <c r="A13">
        <v>12</v>
      </c>
      <c r="B13" s="193" t="s">
        <v>203</v>
      </c>
      <c r="C13">
        <v>0.8</v>
      </c>
    </row>
    <row r="14" spans="1:3" x14ac:dyDescent="0.15">
      <c r="A14">
        <v>13</v>
      </c>
      <c r="B14" s="193" t="s">
        <v>204</v>
      </c>
      <c r="C14">
        <v>0</v>
      </c>
    </row>
    <row r="15" spans="1:3" x14ac:dyDescent="0.15">
      <c r="A15">
        <v>14</v>
      </c>
      <c r="B15" s="193" t="s">
        <v>205</v>
      </c>
      <c r="C15">
        <v>0.8</v>
      </c>
    </row>
    <row r="16" spans="1:3" x14ac:dyDescent="0.15">
      <c r="A16">
        <v>15</v>
      </c>
      <c r="B16" s="193" t="s">
        <v>206</v>
      </c>
      <c r="C16">
        <v>0.8</v>
      </c>
    </row>
    <row r="17" spans="1:3" x14ac:dyDescent="0.15">
      <c r="A17">
        <v>16</v>
      </c>
      <c r="B17" s="193" t="s">
        <v>207</v>
      </c>
      <c r="C17">
        <v>0</v>
      </c>
    </row>
    <row r="18" spans="1:3" x14ac:dyDescent="0.15">
      <c r="A18">
        <v>17</v>
      </c>
      <c r="B18" s="193" t="s">
        <v>208</v>
      </c>
      <c r="C18">
        <v>0.8</v>
      </c>
    </row>
    <row r="19" spans="1:3" x14ac:dyDescent="0.15">
      <c r="A19">
        <v>18</v>
      </c>
      <c r="B19" s="193" t="s">
        <v>209</v>
      </c>
      <c r="C19">
        <v>0.8</v>
      </c>
    </row>
    <row r="20" spans="1:3" x14ac:dyDescent="0.15">
      <c r="A20">
        <v>19</v>
      </c>
      <c r="B20" s="193" t="s">
        <v>210</v>
      </c>
      <c r="C20">
        <v>0.8</v>
      </c>
    </row>
    <row r="21" spans="1:3" x14ac:dyDescent="0.15">
      <c r="A21">
        <v>20</v>
      </c>
      <c r="B21" s="193" t="s">
        <v>211</v>
      </c>
      <c r="C21">
        <v>0.8</v>
      </c>
    </row>
    <row r="22" spans="1:3" x14ac:dyDescent="0.15">
      <c r="A22">
        <v>21</v>
      </c>
      <c r="B22" s="193" t="s">
        <v>212</v>
      </c>
      <c r="C22">
        <v>0.8</v>
      </c>
    </row>
    <row r="23" spans="1:3" x14ac:dyDescent="0.15">
      <c r="A23">
        <v>22</v>
      </c>
      <c r="B23" s="193" t="s">
        <v>213</v>
      </c>
      <c r="C23">
        <v>0.8</v>
      </c>
    </row>
    <row r="24" spans="1:3" x14ac:dyDescent="0.15">
      <c r="A24">
        <v>23</v>
      </c>
      <c r="B24" s="193" t="s">
        <v>214</v>
      </c>
      <c r="C24">
        <v>0</v>
      </c>
    </row>
    <row r="25" spans="1:3" x14ac:dyDescent="0.15">
      <c r="A25">
        <v>24</v>
      </c>
      <c r="B25" s="193" t="s">
        <v>215</v>
      </c>
      <c r="C25">
        <v>0.8</v>
      </c>
    </row>
    <row r="26" spans="1:3" x14ac:dyDescent="0.15">
      <c r="A26">
        <v>25</v>
      </c>
      <c r="B26" s="193" t="s">
        <v>216</v>
      </c>
      <c r="C26">
        <v>0</v>
      </c>
    </row>
    <row r="27" spans="1:3" x14ac:dyDescent="0.15">
      <c r="A27">
        <v>26</v>
      </c>
      <c r="B27" s="193" t="s">
        <v>217</v>
      </c>
      <c r="C27">
        <v>0</v>
      </c>
    </row>
    <row r="28" spans="1:3" x14ac:dyDescent="0.15">
      <c r="A28">
        <v>27</v>
      </c>
      <c r="B28" s="193" t="s">
        <v>218</v>
      </c>
      <c r="C28">
        <v>0</v>
      </c>
    </row>
    <row r="29" spans="1:3" x14ac:dyDescent="0.15">
      <c r="A29">
        <v>28</v>
      </c>
      <c r="B29" s="193" t="s">
        <v>219</v>
      </c>
      <c r="C29">
        <v>0</v>
      </c>
    </row>
    <row r="30" spans="1:3" x14ac:dyDescent="0.15">
      <c r="A30">
        <v>29</v>
      </c>
      <c r="B30" s="193" t="s">
        <v>220</v>
      </c>
      <c r="C30">
        <v>0</v>
      </c>
    </row>
    <row r="31" spans="1:3" x14ac:dyDescent="0.15">
      <c r="A31">
        <v>30</v>
      </c>
      <c r="B31" s="193" t="s">
        <v>221</v>
      </c>
      <c r="C31">
        <v>0.8</v>
      </c>
    </row>
    <row r="32" spans="1:3" x14ac:dyDescent="0.15">
      <c r="A32">
        <v>31</v>
      </c>
      <c r="B32" s="193" t="s">
        <v>222</v>
      </c>
      <c r="C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6">
        <v>1</v>
      </c>
      <c r="B2" s="146" t="s">
        <v>192</v>
      </c>
      <c r="C2" s="8">
        <v>4.2508373260498047</v>
      </c>
      <c r="D2" s="9">
        <v>1.9999999552965164E-2</v>
      </c>
      <c r="E2" s="9">
        <v>8.9000001549720764E-2</v>
      </c>
      <c r="F2" s="9">
        <v>10</v>
      </c>
      <c r="G2" s="9">
        <v>0.2247190922498703</v>
      </c>
      <c r="H2" s="9">
        <v>8.8999997824430466E-3</v>
      </c>
      <c r="I2">
        <v>3.9999998989515007E-4</v>
      </c>
      <c r="J2"/>
    </row>
    <row r="3" spans="1:10" ht="15" customHeight="1" x14ac:dyDescent="0.15">
      <c r="A3" s="147">
        <v>2</v>
      </c>
      <c r="B3" s="147" t="s">
        <v>193</v>
      </c>
      <c r="C3" s="8">
        <v>4.0361385345458984</v>
      </c>
      <c r="D3" s="9">
        <v>0.23000000417232513</v>
      </c>
      <c r="E3" s="9">
        <v>3.2999999821186066E-2</v>
      </c>
      <c r="F3" s="9">
        <v>3.309999942779541</v>
      </c>
      <c r="G3" s="9">
        <v>9.2226609587669373E-2</v>
      </c>
      <c r="H3" s="9">
        <v>9.9697886034846306E-3</v>
      </c>
      <c r="I3">
        <v>6.99999975040555E-4</v>
      </c>
      <c r="J3"/>
    </row>
    <row r="4" spans="1:10" ht="15" customHeight="1" x14ac:dyDescent="0.15">
      <c r="A4" s="148">
        <v>3</v>
      </c>
      <c r="B4" s="148" t="s">
        <v>194</v>
      </c>
      <c r="C4" s="8">
        <v>4.3938074111938477</v>
      </c>
      <c r="D4" s="9">
        <v>3.0000000260770321E-3</v>
      </c>
      <c r="E4" s="9">
        <v>7.9999998211860657E-2</v>
      </c>
      <c r="F4" s="9">
        <v>9.5500001907348633</v>
      </c>
      <c r="G4" s="7">
        <v>0</v>
      </c>
      <c r="H4" s="9">
        <v>8.3769634366035461E-3</v>
      </c>
      <c r="I4">
        <v>0</v>
      </c>
      <c r="J4"/>
    </row>
    <row r="5" spans="1:10" ht="15" customHeight="1" x14ac:dyDescent="0.15">
      <c r="A5" s="149">
        <v>4</v>
      </c>
      <c r="B5" s="149" t="s">
        <v>195</v>
      </c>
      <c r="C5" s="8">
        <v>4.5094113349914551</v>
      </c>
      <c r="D5" s="9">
        <v>2.9999999329447746E-2</v>
      </c>
      <c r="E5" s="9">
        <v>6.8000003695487976E-2</v>
      </c>
      <c r="F5" s="9">
        <v>7.130000114440918</v>
      </c>
      <c r="G5" s="9">
        <v>0.3431372344493866</v>
      </c>
      <c r="H5" s="9">
        <v>9.53716691583395E-3</v>
      </c>
      <c r="I5">
        <v>6.99999975040555E-4</v>
      </c>
      <c r="J5"/>
    </row>
    <row r="6" spans="1:10" ht="15" customHeight="1" x14ac:dyDescent="0.15">
      <c r="A6" s="150">
        <v>5</v>
      </c>
      <c r="B6" s="150" t="s">
        <v>196</v>
      </c>
      <c r="C6" s="8">
        <v>4.3195943832397461</v>
      </c>
      <c r="D6" s="9">
        <v>1.2000000569969416E-3</v>
      </c>
      <c r="E6" s="9">
        <v>5.0999999046325684E-2</v>
      </c>
      <c r="F6" s="9">
        <v>5.2100000381469727</v>
      </c>
      <c r="G6" s="7">
        <v>0</v>
      </c>
      <c r="H6" s="9">
        <v>9.7888670861721039E-3</v>
      </c>
      <c r="I6">
        <v>0</v>
      </c>
      <c r="J6"/>
    </row>
    <row r="7" spans="1:10" ht="15" customHeight="1" x14ac:dyDescent="0.15">
      <c r="A7" s="151">
        <v>6</v>
      </c>
      <c r="B7" s="151" t="s">
        <v>197</v>
      </c>
      <c r="C7" s="8">
        <v>4.1872844696044922</v>
      </c>
      <c r="D7" s="9">
        <v>4.0000001899898052E-3</v>
      </c>
      <c r="E7" s="9">
        <v>0.38999998569488525</v>
      </c>
      <c r="F7" s="9">
        <v>45.25</v>
      </c>
      <c r="G7" s="9">
        <v>0.19230769574642181</v>
      </c>
      <c r="H7" s="9">
        <v>8.618784137070179E-3</v>
      </c>
      <c r="I7">
        <v>3.0000001424923539E-4</v>
      </c>
      <c r="J7"/>
    </row>
    <row r="8" spans="1:10" ht="15" customHeight="1" x14ac:dyDescent="0.15">
      <c r="A8" s="152">
        <v>7</v>
      </c>
      <c r="B8" s="152" t="s">
        <v>198</v>
      </c>
      <c r="C8" s="8">
        <v>3.4958493709564209</v>
      </c>
      <c r="D8" s="9">
        <v>5.25</v>
      </c>
      <c r="E8" s="9">
        <v>0.55299997329711914</v>
      </c>
      <c r="F8" s="9">
        <v>2.3599998950958252</v>
      </c>
      <c r="G8" s="9">
        <v>0.31667885184288025</v>
      </c>
      <c r="H8" s="9">
        <v>0.23432202637195587</v>
      </c>
      <c r="I8">
        <v>0.84920001029968262</v>
      </c>
      <c r="J8"/>
    </row>
    <row r="9" spans="1:10" ht="15" customHeight="1" x14ac:dyDescent="0.15">
      <c r="A9" s="153">
        <v>8</v>
      </c>
      <c r="B9" s="153" t="s">
        <v>199</v>
      </c>
      <c r="C9" s="8">
        <v>3.3780403137207031</v>
      </c>
      <c r="D9" s="9">
        <v>1.25</v>
      </c>
      <c r="E9" s="9">
        <v>0.58899998664855957</v>
      </c>
      <c r="F9" s="9">
        <v>3.0799999237060547</v>
      </c>
      <c r="G9" s="9">
        <v>0.88265550136566162</v>
      </c>
      <c r="H9" s="9">
        <v>0.19123376905918121</v>
      </c>
      <c r="I9">
        <v>0</v>
      </c>
      <c r="J9"/>
    </row>
    <row r="10" spans="1:10" ht="15" customHeight="1" x14ac:dyDescent="0.15">
      <c r="A10" s="154">
        <v>9</v>
      </c>
      <c r="B10" s="154" t="s">
        <v>200</v>
      </c>
      <c r="C10" s="8">
        <v>4.0836825370788574</v>
      </c>
      <c r="D10" s="9">
        <v>1.1820500716567039E-2</v>
      </c>
      <c r="E10" s="9">
        <v>0.96299999952316284</v>
      </c>
      <c r="F10" s="9">
        <v>4.25</v>
      </c>
      <c r="G10" s="9">
        <v>0.94999998807907104</v>
      </c>
      <c r="H10" s="9">
        <v>0.22658823430538177</v>
      </c>
      <c r="I10">
        <v>5.7999999262392521E-3</v>
      </c>
      <c r="J10"/>
    </row>
    <row r="11" spans="1:10" ht="15" customHeight="1" x14ac:dyDescent="0.15">
      <c r="A11" s="155">
        <v>10</v>
      </c>
      <c r="B11" s="155" t="s">
        <v>201</v>
      </c>
      <c r="C11" s="8">
        <v>3.2732717990875244</v>
      </c>
      <c r="D11" s="9">
        <v>4.8000001907348633</v>
      </c>
      <c r="E11" s="9">
        <v>0.5</v>
      </c>
      <c r="F11" s="9">
        <v>2.4500000476837158</v>
      </c>
      <c r="G11" s="9">
        <v>0.21548290550708771</v>
      </c>
      <c r="H11" s="9">
        <v>0.20408162474632263</v>
      </c>
      <c r="I11">
        <v>0</v>
      </c>
      <c r="J11"/>
    </row>
    <row r="12" spans="1:10" ht="15" customHeight="1" x14ac:dyDescent="0.15">
      <c r="A12" s="156">
        <v>11</v>
      </c>
      <c r="B12" s="156" t="s">
        <v>202</v>
      </c>
      <c r="C12" s="8">
        <v>3.1313352584838867</v>
      </c>
      <c r="D12" s="9">
        <v>0.55000001192092896</v>
      </c>
      <c r="E12" s="9">
        <v>0.49300000071525574</v>
      </c>
      <c r="F12" s="9">
        <v>2.4300000667572021</v>
      </c>
      <c r="G12" s="9">
        <v>0.53935366868972778</v>
      </c>
      <c r="H12" s="9">
        <v>0.20288065075874329</v>
      </c>
      <c r="I12">
        <v>0.13030000030994415</v>
      </c>
      <c r="J12"/>
    </row>
    <row r="13" spans="1:10" ht="15" customHeight="1" x14ac:dyDescent="0.15">
      <c r="A13" s="157">
        <v>12</v>
      </c>
      <c r="B13" s="157" t="s">
        <v>203</v>
      </c>
      <c r="C13" s="8">
        <v>3.0456082820892334</v>
      </c>
      <c r="D13" s="9">
        <v>2.0870461463928223</v>
      </c>
      <c r="E13" s="9">
        <v>0.28600001335144043</v>
      </c>
      <c r="F13" s="9">
        <v>1.4700000286102295</v>
      </c>
      <c r="G13" s="9">
        <v>0.87999993562698364</v>
      </c>
      <c r="H13" s="9">
        <v>0.19455783069133759</v>
      </c>
      <c r="I13">
        <v>4.5200001448392868E-2</v>
      </c>
      <c r="J13"/>
    </row>
    <row r="14" spans="1:10" ht="15" customHeight="1" x14ac:dyDescent="0.15">
      <c r="A14" s="158">
        <v>13</v>
      </c>
      <c r="B14" s="158" t="s">
        <v>204</v>
      </c>
      <c r="C14" s="8">
        <v>4.2648658752441406</v>
      </c>
      <c r="D14" s="9">
        <v>7.9999998211860657E-2</v>
      </c>
      <c r="E14" s="9">
        <v>0.27900001406669617</v>
      </c>
      <c r="F14" s="9">
        <v>1.3799999952316284</v>
      </c>
      <c r="G14" s="9">
        <v>0.71026861667633057</v>
      </c>
      <c r="H14" s="9">
        <v>0.20217391848564148</v>
      </c>
      <c r="I14">
        <v>0</v>
      </c>
      <c r="J14"/>
    </row>
    <row r="15" spans="1:10" ht="15" customHeight="1" x14ac:dyDescent="0.15">
      <c r="A15" s="159">
        <v>14</v>
      </c>
      <c r="B15" s="159" t="s">
        <v>205</v>
      </c>
      <c r="C15" s="8">
        <v>3.6529319286346436</v>
      </c>
      <c r="D15" s="9">
        <v>2.9999999329447746E-2</v>
      </c>
      <c r="E15" s="9">
        <v>0.34400001168251038</v>
      </c>
      <c r="F15" s="9">
        <v>1.7300000190734863</v>
      </c>
      <c r="G15" s="9">
        <v>0.88181239366531372</v>
      </c>
      <c r="H15" s="9">
        <v>0.19884394109249115</v>
      </c>
      <c r="I15">
        <v>2.099999925121665E-3</v>
      </c>
      <c r="J15"/>
    </row>
    <row r="16" spans="1:10" ht="15" customHeight="1" x14ac:dyDescent="0.15">
      <c r="A16" s="160">
        <v>15</v>
      </c>
      <c r="B16" s="160" t="s">
        <v>206</v>
      </c>
      <c r="C16" s="8">
        <v>4.2336521148681641</v>
      </c>
      <c r="D16" s="9">
        <v>0.34000000357627869</v>
      </c>
      <c r="E16" s="9">
        <v>0.44800001382827759</v>
      </c>
      <c r="F16" s="9">
        <v>1.6000000238418579</v>
      </c>
      <c r="G16" s="9">
        <v>0.68020498752593994</v>
      </c>
      <c r="H16" s="9">
        <v>0.2800000011920929</v>
      </c>
      <c r="I16">
        <v>6.9700002670288086E-2</v>
      </c>
      <c r="J16"/>
    </row>
    <row r="17" spans="1:10" ht="15" customHeight="1" x14ac:dyDescent="0.15">
      <c r="A17" s="161">
        <v>16</v>
      </c>
      <c r="B17" s="161" t="s">
        <v>207</v>
      </c>
      <c r="C17" s="8">
        <v>3.9729759693145752</v>
      </c>
      <c r="D17" s="9">
        <v>1.7360002994537354</v>
      </c>
      <c r="E17" s="9">
        <v>0.31799998879432678</v>
      </c>
      <c r="F17" s="9">
        <v>1.0900000333786011</v>
      </c>
      <c r="G17" s="9">
        <v>0.94999998807907104</v>
      </c>
      <c r="H17" s="9">
        <v>0.29174309968948364</v>
      </c>
      <c r="I17">
        <v>0</v>
      </c>
      <c r="J17"/>
    </row>
    <row r="18" spans="1:10" ht="15" customHeight="1" x14ac:dyDescent="0.15">
      <c r="A18" s="162">
        <v>17</v>
      </c>
      <c r="B18" s="162" t="s">
        <v>208</v>
      </c>
      <c r="C18" s="8">
        <v>3.1652390956878662</v>
      </c>
      <c r="D18" s="9">
        <v>0.71672660112380981</v>
      </c>
      <c r="E18" s="9">
        <v>0.86599999666213989</v>
      </c>
      <c r="F18" s="9">
        <v>5.429999828338623</v>
      </c>
      <c r="G18" s="9">
        <v>0.93999999761581421</v>
      </c>
      <c r="H18" s="9">
        <v>0.15948435664176941</v>
      </c>
      <c r="I18">
        <v>3.1999999191612005E-3</v>
      </c>
      <c r="J18"/>
    </row>
    <row r="19" spans="1:10" ht="15" customHeight="1" x14ac:dyDescent="0.15">
      <c r="A19" s="163">
        <v>18</v>
      </c>
      <c r="B19" s="163" t="s">
        <v>209</v>
      </c>
      <c r="C19" s="8">
        <v>3.9395382404327393</v>
      </c>
      <c r="D19" s="9">
        <v>2.9999999329447746E-2</v>
      </c>
      <c r="E19" s="9">
        <v>0.38699999451637268</v>
      </c>
      <c r="F19" s="9">
        <v>2.3399999141693115</v>
      </c>
      <c r="G19" s="9">
        <v>0.80431085824966431</v>
      </c>
      <c r="H19" s="9">
        <v>0.16538462042808533</v>
      </c>
      <c r="I19">
        <v>2.4999999441206455E-3</v>
      </c>
      <c r="J19"/>
    </row>
    <row r="20" spans="1:10" ht="15" customHeight="1" x14ac:dyDescent="0.15">
      <c r="A20" s="164">
        <v>19</v>
      </c>
      <c r="B20" s="164" t="s">
        <v>210</v>
      </c>
      <c r="C20" s="8">
        <v>3.3200986385345459</v>
      </c>
      <c r="D20" s="9">
        <v>4.929999828338623</v>
      </c>
      <c r="E20" s="9">
        <v>0.31600001454353333</v>
      </c>
      <c r="F20" s="9">
        <v>2.0099999904632568</v>
      </c>
      <c r="G20" s="9">
        <v>0.67128711938858032</v>
      </c>
      <c r="H20" s="9">
        <v>0.15721394121646881</v>
      </c>
      <c r="I20">
        <v>0.14640000462532043</v>
      </c>
      <c r="J20"/>
    </row>
    <row r="21" spans="1:10" ht="15" customHeight="1" x14ac:dyDescent="0.15">
      <c r="A21" s="165">
        <v>20</v>
      </c>
      <c r="B21" s="165" t="s">
        <v>211</v>
      </c>
      <c r="C21" s="8">
        <v>3.2456321716308594</v>
      </c>
      <c r="D21" s="9">
        <v>9.75</v>
      </c>
      <c r="E21" s="9">
        <v>0.5429999828338623</v>
      </c>
      <c r="F21" s="9">
        <v>3.130000114440918</v>
      </c>
      <c r="G21" s="9">
        <v>0.68018263578414917</v>
      </c>
      <c r="H21" s="9">
        <v>0.17348241806030273</v>
      </c>
      <c r="I21">
        <v>1.0231000185012817</v>
      </c>
      <c r="J21"/>
    </row>
    <row r="22" spans="1:10" ht="15" customHeight="1" x14ac:dyDescent="0.15">
      <c r="A22" s="166">
        <v>21</v>
      </c>
      <c r="B22" s="166" t="s">
        <v>212</v>
      </c>
      <c r="C22" s="8">
        <v>2.4795601367950439</v>
      </c>
      <c r="D22" s="9">
        <v>0.55890911817550659</v>
      </c>
      <c r="E22" s="9">
        <v>3.5780000686645508</v>
      </c>
      <c r="F22" s="9">
        <v>16.040000915527344</v>
      </c>
      <c r="G22" s="9">
        <v>0.91999995708465576</v>
      </c>
      <c r="H22" s="9">
        <v>0.22306732833385468</v>
      </c>
      <c r="I22">
        <v>2.4999999441206455E-3</v>
      </c>
      <c r="J22"/>
    </row>
    <row r="23" spans="1:10" ht="15" customHeight="1" x14ac:dyDescent="0.15">
      <c r="A23" s="167">
        <v>22</v>
      </c>
      <c r="B23" s="167" t="s">
        <v>213</v>
      </c>
      <c r="C23" s="8">
        <v>2.8268847465515137</v>
      </c>
      <c r="D23" s="9">
        <v>4.1707463264465332</v>
      </c>
      <c r="E23" s="9">
        <v>0.35699999332427979</v>
      </c>
      <c r="F23" s="9">
        <v>1.2699999809265137</v>
      </c>
      <c r="G23" s="9">
        <v>0.94999992847442627</v>
      </c>
      <c r="H23" s="9">
        <v>0.28110235929489136</v>
      </c>
      <c r="I23">
        <v>0.37709999084472656</v>
      </c>
      <c r="J23"/>
    </row>
    <row r="24" spans="1:10" ht="15" customHeight="1" x14ac:dyDescent="0.15">
      <c r="A24" s="168">
        <v>23</v>
      </c>
      <c r="B24" s="168" t="s">
        <v>214</v>
      </c>
      <c r="C24" s="8">
        <v>2</v>
      </c>
      <c r="D24" s="9">
        <v>112.30000305175781</v>
      </c>
      <c r="E24" s="9">
        <v>0.36700001358985901</v>
      </c>
      <c r="F24" s="9">
        <v>1.6799999475479126</v>
      </c>
      <c r="G24" s="9">
        <v>7.8359737992286682E-2</v>
      </c>
      <c r="H24" s="9">
        <v>0.21845239400863647</v>
      </c>
      <c r="I24">
        <v>0</v>
      </c>
      <c r="J24"/>
    </row>
    <row r="25" spans="1:10" ht="15" customHeight="1" x14ac:dyDescent="0.15">
      <c r="A25" s="169">
        <v>24</v>
      </c>
      <c r="B25" s="169" t="s">
        <v>215</v>
      </c>
      <c r="C25" s="8">
        <v>2</v>
      </c>
      <c r="D25" s="9">
        <v>42.099998474121094</v>
      </c>
      <c r="E25" s="9">
        <v>0.72299998998641968</v>
      </c>
      <c r="F25" s="9">
        <v>2.6500000953674316</v>
      </c>
      <c r="G25" s="9">
        <v>0.15743766725063324</v>
      </c>
      <c r="H25" s="9">
        <v>0.27283018827438354</v>
      </c>
      <c r="I25">
        <v>5.1500000059604645E-2</v>
      </c>
      <c r="J25"/>
    </row>
    <row r="26" spans="1:10" ht="15" customHeight="1" x14ac:dyDescent="0.15">
      <c r="A26" s="170">
        <v>25</v>
      </c>
      <c r="B26" s="170" t="s">
        <v>216</v>
      </c>
      <c r="C26" s="8">
        <v>2.20652174949646</v>
      </c>
      <c r="D26" s="9">
        <v>10.5</v>
      </c>
      <c r="E26" s="9">
        <v>2.0539999008178711</v>
      </c>
      <c r="F26" s="9">
        <v>8.1099996566772461</v>
      </c>
      <c r="G26" s="9">
        <v>0.91650950908660889</v>
      </c>
      <c r="H26" s="9">
        <v>0.2532675564289093</v>
      </c>
      <c r="I26">
        <v>0</v>
      </c>
      <c r="J26"/>
    </row>
    <row r="27" spans="1:10" ht="15" customHeight="1" x14ac:dyDescent="0.15">
      <c r="A27" s="171">
        <v>26</v>
      </c>
      <c r="B27" s="171" t="s">
        <v>217</v>
      </c>
      <c r="C27" s="8">
        <v>2</v>
      </c>
      <c r="D27" s="9">
        <v>7.8000001907348633</v>
      </c>
      <c r="E27" s="9">
        <v>1.2979999780654907</v>
      </c>
      <c r="F27" s="9">
        <v>7.6100001335144043</v>
      </c>
      <c r="G27" s="9">
        <v>0.80310559272766113</v>
      </c>
      <c r="H27" s="9">
        <v>0.17056503891944885</v>
      </c>
      <c r="I27">
        <v>0</v>
      </c>
      <c r="J27"/>
    </row>
    <row r="28" spans="1:10" ht="15" customHeight="1" x14ac:dyDescent="0.15">
      <c r="A28" s="172">
        <v>27</v>
      </c>
      <c r="B28" s="172" t="s">
        <v>218</v>
      </c>
      <c r="C28" s="8">
        <v>2.4689643383026123</v>
      </c>
      <c r="D28" s="9">
        <v>5.75</v>
      </c>
      <c r="E28" s="9">
        <v>5.4790000915527344</v>
      </c>
      <c r="F28" s="9">
        <v>34.729999542236328</v>
      </c>
      <c r="G28" s="9">
        <v>0.90943700075149536</v>
      </c>
      <c r="H28" s="9">
        <v>0.15775986015796661</v>
      </c>
      <c r="I28">
        <v>0</v>
      </c>
      <c r="J28"/>
    </row>
    <row r="29" spans="1:10" ht="15" customHeight="1" x14ac:dyDescent="0.15">
      <c r="A29" s="173">
        <v>28</v>
      </c>
      <c r="B29" s="173" t="s">
        <v>219</v>
      </c>
      <c r="C29" s="8">
        <v>2.1492536067962646</v>
      </c>
      <c r="D29" s="9">
        <v>50</v>
      </c>
      <c r="E29" s="9">
        <v>5.3239998817443848</v>
      </c>
      <c r="F29" s="9">
        <v>17.079999923706055</v>
      </c>
      <c r="G29" s="9">
        <v>0.82898598909378052</v>
      </c>
      <c r="H29" s="9">
        <v>0.31170958280563354</v>
      </c>
      <c r="I29">
        <v>0</v>
      </c>
      <c r="J29"/>
    </row>
    <row r="30" spans="1:10" ht="15" customHeight="1" x14ac:dyDescent="0.15">
      <c r="A30" s="174">
        <v>29</v>
      </c>
      <c r="B30" s="174" t="s">
        <v>220</v>
      </c>
      <c r="C30" s="8">
        <v>1</v>
      </c>
      <c r="D30" s="9">
        <v>18.040000915527344</v>
      </c>
      <c r="E30" s="9">
        <v>97.795997619628906</v>
      </c>
      <c r="F30" s="10"/>
      <c r="G30" s="9">
        <v>0.37757739424705505</v>
      </c>
      <c r="H30" s="10"/>
      <c r="I30">
        <v>0</v>
      </c>
      <c r="J30"/>
    </row>
    <row r="31" spans="1:10" ht="15" customHeight="1" x14ac:dyDescent="0.15">
      <c r="A31" s="175">
        <v>30</v>
      </c>
      <c r="B31" s="175" t="s">
        <v>221</v>
      </c>
      <c r="C31" s="8">
        <v>1</v>
      </c>
      <c r="D31" s="9">
        <v>93.010002136230469</v>
      </c>
      <c r="E31" s="10"/>
      <c r="F31" s="10"/>
      <c r="G31" s="7">
        <v>0.36254680156707764</v>
      </c>
      <c r="H31" s="10"/>
      <c r="I31">
        <v>54.641899108886719</v>
      </c>
      <c r="J31"/>
    </row>
    <row r="32" spans="1:10" ht="15" customHeight="1" x14ac:dyDescent="0.15">
      <c r="A32" s="203">
        <v>31</v>
      </c>
      <c r="B32" s="203" t="s">
        <v>222</v>
      </c>
      <c r="C32" s="8">
        <v>1</v>
      </c>
      <c r="D32" s="9">
        <v>5</v>
      </c>
      <c r="E32" s="10"/>
      <c r="F32" s="10"/>
      <c r="G32" s="7">
        <v>0</v>
      </c>
      <c r="H32" s="10"/>
      <c r="I32">
        <v>0</v>
      </c>
      <c r="J32"/>
    </row>
    <row r="33" spans="1:10" ht="15" customHeight="1" x14ac:dyDescent="0.15">
      <c r="A33" s="204">
        <v>32</v>
      </c>
      <c r="B33" s="204" t="s">
        <v>223</v>
      </c>
      <c r="C33" s="8">
        <v>2.1070728302001953</v>
      </c>
      <c r="D33" s="10"/>
      <c r="E33" s="10"/>
      <c r="F33" s="10"/>
      <c r="G33" s="10"/>
      <c r="H33" s="10"/>
      <c r="I33">
        <v>57.35260009765625</v>
      </c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228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8.9000001549720764E-2</v>
      </c>
      <c r="C2">
        <v>6.8999998271465302E-2</v>
      </c>
      <c r="D2" s="205">
        <v>1.9999999552965164E-2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3.2999999821186066E-2</v>
      </c>
      <c r="C3">
        <v>2.9956521466374397E-2</v>
      </c>
      <c r="D3" s="68">
        <v>3.0434781219810247E-3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7.9999998211860657E-2</v>
      </c>
      <c r="C4">
        <v>7.9999998211860657E-2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6.8000003695487976E-2</v>
      </c>
      <c r="C5">
        <v>4.4666670262813568E-2</v>
      </c>
      <c r="D5" s="206">
        <v>2.3333333432674408E-2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5.0999999046325684E-2</v>
      </c>
      <c r="C6">
        <v>5.0999999046325684E-2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0.38999998569488525</v>
      </c>
      <c r="C7">
        <v>0.31499999761581421</v>
      </c>
      <c r="D7" s="207">
        <v>7.5000002980232239E-2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0.55299997329711914</v>
      </c>
      <c r="C8">
        <v>0.37787657976150513</v>
      </c>
      <c r="D8" s="208">
        <v>0.16175238788127899</v>
      </c>
      <c r="E8"/>
      <c r="F8" s="15">
        <v>5.5158776231110096E-3</v>
      </c>
      <c r="G8" s="14">
        <v>9.3769095838069916E-4</v>
      </c>
      <c r="H8" s="18">
        <v>6.892436183989048E-3</v>
      </c>
      <c r="I8" s="11">
        <v>2.5008001102833077E-5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0.58899998664855957</v>
      </c>
      <c r="C9">
        <v>6.9115906953811646E-2</v>
      </c>
      <c r="D9"/>
      <c r="E9" s="12">
        <v>1.921921968460083E-3</v>
      </c>
      <c r="F9" s="226">
        <v>6.340356171131134E-2</v>
      </c>
      <c r="G9" s="23">
        <v>3.6406391300261021E-3</v>
      </c>
      <c r="H9" s="224">
        <v>2.6036277413368225E-2</v>
      </c>
      <c r="I9" s="11">
        <v>3.1510082772001624E-4</v>
      </c>
      <c r="J9" s="11">
        <v>2.8988989652134478E-4</v>
      </c>
      <c r="K9" s="238">
        <v>0.26735660433769226</v>
      </c>
      <c r="L9"/>
      <c r="M9"/>
      <c r="N9"/>
      <c r="O9"/>
      <c r="P9"/>
      <c r="Q9" s="22">
        <v>5.0292108207941055E-3</v>
      </c>
      <c r="R9" s="11">
        <v>1.2468468048609793E-4</v>
      </c>
      <c r="S9" s="221">
        <v>1.3898603618144989E-2</v>
      </c>
      <c r="T9" s="232">
        <v>0.13775509595870972</v>
      </c>
      <c r="U9"/>
      <c r="V9" s="11">
        <v>1.1243242624914274E-4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0.96299999952316284</v>
      </c>
      <c r="C10">
        <v>4.8150010406970978E-2</v>
      </c>
      <c r="D10" s="209">
        <v>0.49067294597625732</v>
      </c>
      <c r="E10"/>
      <c r="F10"/>
      <c r="G10" s="212">
        <v>3.1477339565753937E-2</v>
      </c>
      <c r="H10" s="13">
        <v>3.6227595061063766E-2</v>
      </c>
      <c r="I10"/>
      <c r="J10" s="213">
        <v>7.6638542115688324E-2</v>
      </c>
      <c r="K10"/>
      <c r="L10"/>
      <c r="M10" s="12">
        <v>4.254254512488842E-3</v>
      </c>
      <c r="N10"/>
      <c r="O10"/>
      <c r="P10"/>
      <c r="Q10"/>
      <c r="R10"/>
      <c r="S10" s="217">
        <v>0.2755793035030365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0.5</v>
      </c>
      <c r="C11">
        <v>0.39225855469703674</v>
      </c>
      <c r="D11"/>
      <c r="E11"/>
      <c r="F11" s="14">
        <v>1.2701033847406507E-3</v>
      </c>
      <c r="G11"/>
      <c r="H11" s="12">
        <v>2.0073200576007366E-3</v>
      </c>
      <c r="I11"/>
      <c r="J11" s="11">
        <v>1.8873039516620338E-4</v>
      </c>
      <c r="K11" s="26">
        <v>1.2893354520201683E-2</v>
      </c>
      <c r="L11"/>
      <c r="M11" s="11">
        <v>1.0476545867277309E-5</v>
      </c>
      <c r="N11"/>
      <c r="O11"/>
      <c r="P11"/>
      <c r="Q11" s="11">
        <v>2.297702303621918E-5</v>
      </c>
      <c r="R11"/>
      <c r="S11" s="14">
        <v>6.7864276934415102E-4</v>
      </c>
      <c r="T11" s="241">
        <v>9.0669848024845123E-2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0.49300000071525574</v>
      </c>
      <c r="C12">
        <v>0.22709864377975464</v>
      </c>
      <c r="D12" s="210">
        <v>0.23690909147262573</v>
      </c>
      <c r="E12"/>
      <c r="F12" s="64">
        <v>1.1084537953138351E-2</v>
      </c>
      <c r="G12"/>
      <c r="H12" s="13">
        <v>1.7907725647091866E-2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0.28600001335144043</v>
      </c>
      <c r="C13">
        <v>3.432001918554306E-2</v>
      </c>
      <c r="D13" s="27">
        <v>2.1657403558492661E-2</v>
      </c>
      <c r="E13"/>
      <c r="F13" s="24">
        <v>7.6679200865328312E-3</v>
      </c>
      <c r="G13" s="15">
        <v>2.8250471223145723E-3</v>
      </c>
      <c r="H13" s="13">
        <v>1.0874745436012745E-2</v>
      </c>
      <c r="I13" s="11">
        <v>5.9912432334385812E-5</v>
      </c>
      <c r="J13" s="14">
        <v>4.3406127952039242E-4</v>
      </c>
      <c r="K13" s="227">
        <v>5.9306889772415161E-2</v>
      </c>
      <c r="L13" s="228">
        <v>6.832268089056015E-2</v>
      </c>
      <c r="M13" s="11">
        <v>2.4095021217362955E-5</v>
      </c>
      <c r="N13"/>
      <c r="O13"/>
      <c r="P13"/>
      <c r="Q13" s="11">
        <v>2.642243925947696E-4</v>
      </c>
      <c r="R13"/>
      <c r="S13" s="23">
        <v>1.5608114190399647E-3</v>
      </c>
      <c r="T13" s="230">
        <v>7.706606388092041E-2</v>
      </c>
      <c r="U13"/>
      <c r="V13" s="23">
        <v>1.6161466483026743E-3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0.27900001406669617</v>
      </c>
      <c r="C14">
        <v>8.0835059285163879E-2</v>
      </c>
      <c r="D14"/>
      <c r="E14"/>
      <c r="F14"/>
      <c r="G14"/>
      <c r="H14" s="219">
        <v>8.2969225943088531E-2</v>
      </c>
      <c r="I14" s="11">
        <v>7.8150012996047735E-5</v>
      </c>
      <c r="J14" s="65">
        <v>1.1323824524879456E-2</v>
      </c>
      <c r="K14"/>
      <c r="L14"/>
      <c r="M14"/>
      <c r="N14"/>
      <c r="O14"/>
      <c r="P14"/>
      <c r="Q14"/>
      <c r="R14"/>
      <c r="S14" s="220">
        <v>9.5009990036487579E-2</v>
      </c>
      <c r="T14"/>
      <c r="U14"/>
      <c r="V14" s="25">
        <v>8.7837837636470795E-3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0.34400001168251038</v>
      </c>
      <c r="C15">
        <v>4.0656536817550659E-2</v>
      </c>
      <c r="D15" s="211">
        <v>7.0000000298023224E-2</v>
      </c>
      <c r="E15" s="215">
        <v>6.0060054063796997E-2</v>
      </c>
      <c r="F15"/>
      <c r="G15" s="107">
        <v>0.10208292305469513</v>
      </c>
      <c r="H15"/>
      <c r="I15" s="14">
        <v>8.3360011922195554E-4</v>
      </c>
      <c r="J15"/>
      <c r="K15"/>
      <c r="L15"/>
      <c r="M15" s="75">
        <v>2.6819959282875061E-2</v>
      </c>
      <c r="N15"/>
      <c r="O15"/>
      <c r="P15"/>
      <c r="Q15" s="64">
        <v>7.3526478372514248E-3</v>
      </c>
      <c r="R15"/>
      <c r="S15" s="214">
        <v>3.6194279789924622E-2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0.44800001382827759</v>
      </c>
      <c r="C16">
        <v>0.1432681679725647</v>
      </c>
      <c r="D16" s="140">
        <v>0.20500001311302185</v>
      </c>
      <c r="E16"/>
      <c r="F16" s="69">
        <v>2.2413589060306549E-2</v>
      </c>
      <c r="G16" s="14">
        <v>1.1785273673012853E-3</v>
      </c>
      <c r="H16" s="78">
        <v>7.5569689273834229E-2</v>
      </c>
      <c r="I16" s="14">
        <v>5.700353067368269E-4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0.31799998879432678</v>
      </c>
      <c r="C17">
        <v>1.5900002792477608E-2</v>
      </c>
      <c r="D17"/>
      <c r="E17"/>
      <c r="F17" s="26">
        <v>8.3405394107103348E-3</v>
      </c>
      <c r="G17" s="12">
        <v>1.4013922773301601E-3</v>
      </c>
      <c r="H17" s="20">
        <v>1.3690474443137646E-2</v>
      </c>
      <c r="I17" s="11">
        <v>1.1164283932885155E-4</v>
      </c>
      <c r="J17" s="17">
        <v>4.1746809147298336E-3</v>
      </c>
      <c r="K17" s="235">
        <v>0.14259929955005646</v>
      </c>
      <c r="L17"/>
      <c r="M17" s="15">
        <v>3.244348568841815E-3</v>
      </c>
      <c r="N17"/>
      <c r="O17" s="14">
        <v>7.7064387733116746E-4</v>
      </c>
      <c r="P17"/>
      <c r="Q17" s="223">
        <v>1.5501545742154121E-2</v>
      </c>
      <c r="R17" s="14">
        <v>3.8904105895198882E-4</v>
      </c>
      <c r="S17" s="221">
        <v>7.1929860860109329E-3</v>
      </c>
      <c r="T17" s="233">
        <v>0.10355000197887421</v>
      </c>
      <c r="U17"/>
      <c r="V17" s="12">
        <v>1.1333911679685116E-3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0.86599999666213989</v>
      </c>
      <c r="C18">
        <v>5.196000263094902E-2</v>
      </c>
      <c r="D18" s="23">
        <v>4.4647427275776863E-3</v>
      </c>
      <c r="E18" s="71">
        <v>6.0613688081502914E-2</v>
      </c>
      <c r="F18" s="229">
        <v>0.20839767158031464</v>
      </c>
      <c r="G18" s="12">
        <v>4.033280536532402E-3</v>
      </c>
      <c r="H18" s="25">
        <v>2.7483979240059853E-2</v>
      </c>
      <c r="I18" s="11">
        <v>4.7104156692512333E-4</v>
      </c>
      <c r="J18" s="225">
        <v>0.10591893643140793</v>
      </c>
      <c r="K18" s="141">
        <v>0.32812348008155823</v>
      </c>
      <c r="L18"/>
      <c r="M18" s="222">
        <v>3.4800656139850616E-2</v>
      </c>
      <c r="N18"/>
      <c r="O18"/>
      <c r="P18"/>
      <c r="Q18" s="12">
        <v>4.0008733049035072E-3</v>
      </c>
      <c r="R18" s="23">
        <v>4.494071938097477E-3</v>
      </c>
      <c r="S18" s="22">
        <v>6.0599306598305702E-3</v>
      </c>
      <c r="T18" s="15">
        <v>7.9203443601727486E-3</v>
      </c>
      <c r="U18"/>
      <c r="V18" s="12">
        <v>3.4315166994929314E-3</v>
      </c>
      <c r="W18" s="16">
        <v>1.3825774192810059E-2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0.38699999451637268</v>
      </c>
      <c r="C19">
        <v>7.573169469833374E-2</v>
      </c>
      <c r="D19" s="139">
        <v>8.3333335816860199E-2</v>
      </c>
      <c r="E19" s="216">
        <v>8.6753420531749725E-2</v>
      </c>
      <c r="F19" s="218">
        <v>0.12701034545898438</v>
      </c>
      <c r="G19"/>
      <c r="H19"/>
      <c r="I19" s="13">
        <v>1.417120173573494E-2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0.31600001454353333</v>
      </c>
      <c r="C20">
        <v>0.10387327522039413</v>
      </c>
      <c r="D20" s="74">
        <v>2.9695741832256317E-2</v>
      </c>
      <c r="E20" s="69">
        <v>1.5959164127707481E-2</v>
      </c>
      <c r="F20" s="144">
        <v>9.2745888978242874E-3</v>
      </c>
      <c r="G20" s="11">
        <v>2.6705549680627882E-4</v>
      </c>
      <c r="H20" s="14">
        <v>9.1204809723421931E-4</v>
      </c>
      <c r="I20" s="14">
        <v>3.6903290310874581E-4</v>
      </c>
      <c r="J20" s="18">
        <v>3.9323302917182446E-3</v>
      </c>
      <c r="K20" s="243">
        <v>0.13557638227939606</v>
      </c>
      <c r="L20"/>
      <c r="M20" s="11">
        <v>9.1802583483513445E-5</v>
      </c>
      <c r="N20"/>
      <c r="O20"/>
      <c r="P20"/>
      <c r="Q20" s="12">
        <v>1.0738146957010031E-3</v>
      </c>
      <c r="R20" s="11">
        <v>2.1075842596474104E-5</v>
      </c>
      <c r="S20" s="224">
        <v>1.4426319859921932E-2</v>
      </c>
      <c r="T20"/>
      <c r="U20"/>
      <c r="V20" s="14">
        <v>5.2738335216417909E-4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0.5429999828338623</v>
      </c>
      <c r="C21">
        <v>0.17366082966327667</v>
      </c>
      <c r="D21" s="108">
        <v>0.10493333637714386</v>
      </c>
      <c r="E21" s="18">
        <v>6.7349406890571117E-3</v>
      </c>
      <c r="F21" s="25">
        <v>1.6882605850696564E-2</v>
      </c>
      <c r="G21" s="11">
        <v>2.8768155607394874E-4</v>
      </c>
      <c r="H21" s="12">
        <v>2.2619233932346106E-3</v>
      </c>
      <c r="I21" s="11">
        <v>2.1994217240717262E-4</v>
      </c>
      <c r="J21" s="18">
        <v>6.0579557903110981E-3</v>
      </c>
      <c r="K21" s="227">
        <v>0.11298547685146332</v>
      </c>
      <c r="L21"/>
      <c r="M21" s="11">
        <v>4.5903385034762323E-4</v>
      </c>
      <c r="N21"/>
      <c r="O21"/>
      <c r="P21" s="22">
        <v>4.4052731245756149E-3</v>
      </c>
      <c r="Q21" s="22">
        <v>4.1740410961210728E-3</v>
      </c>
      <c r="R21" s="14">
        <v>1.0177254443988204E-3</v>
      </c>
      <c r="S21" s="239">
        <v>3.914550319314003E-2</v>
      </c>
      <c r="T21" s="17">
        <v>7.7630374580621719E-3</v>
      </c>
      <c r="U21"/>
      <c r="V21" s="23">
        <v>3.0630629044026136E-3</v>
      </c>
      <c r="W21" s="226">
        <v>5.8947622776031494E-2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3.5780000686645508</v>
      </c>
      <c r="C22">
        <v>0.28624016046524048</v>
      </c>
      <c r="D22" s="14">
        <v>4.4729989022016525E-3</v>
      </c>
      <c r="E22" s="11">
        <v>2.5073867291212082E-3</v>
      </c>
      <c r="F22" s="221">
        <v>8.4535837173461914E-2</v>
      </c>
      <c r="G22"/>
      <c r="H22"/>
      <c r="I22" s="11">
        <v>7.3828105814754963E-4</v>
      </c>
      <c r="J22" s="11">
        <v>1.6208465676754713E-3</v>
      </c>
      <c r="K22" s="244">
        <v>1.5280765295028687</v>
      </c>
      <c r="L22" s="234">
        <v>0.37234699726104736</v>
      </c>
      <c r="M22" s="12">
        <v>1.3406159356236458E-2</v>
      </c>
      <c r="N22" s="66">
        <v>0.21040987968444824</v>
      </c>
      <c r="O22" s="222">
        <v>0.1412259042263031</v>
      </c>
      <c r="P22" s="13">
        <v>0.13174054026603699</v>
      </c>
      <c r="Q22" s="12">
        <v>1.1642487719655037E-2</v>
      </c>
      <c r="R22" s="22">
        <v>2.4725340306758881E-2</v>
      </c>
      <c r="S22" s="22">
        <v>3.0112834647297859E-2</v>
      </c>
      <c r="T22" s="223">
        <v>0.17605099081993103</v>
      </c>
      <c r="U22"/>
      <c r="V22" s="11">
        <v>2.8917330782860518E-3</v>
      </c>
      <c r="W22" s="26">
        <v>8.8648572564125061E-2</v>
      </c>
      <c r="X22" s="224">
        <v>0.16364206373691559</v>
      </c>
      <c r="Y22"/>
      <c r="Z22" s="231">
        <v>0.30296483635902405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0.35699999332427979</v>
      </c>
      <c r="C23">
        <v>1.7850024625658989E-2</v>
      </c>
      <c r="D23" s="145">
        <v>9.041547030210495E-2</v>
      </c>
      <c r="E23"/>
      <c r="F23" s="14">
        <v>5.4814800387248397E-4</v>
      </c>
      <c r="G23"/>
      <c r="H23" s="11">
        <v>5.133713420946151E-5</v>
      </c>
      <c r="I23" s="11">
        <v>5.996049821987981E-6</v>
      </c>
      <c r="J23"/>
      <c r="K23" s="240">
        <v>9.1999419033527374E-2</v>
      </c>
      <c r="L23" s="17">
        <v>4.6201008372008801E-3</v>
      </c>
      <c r="M23"/>
      <c r="N23" s="22">
        <v>2.8196393977850676E-3</v>
      </c>
      <c r="O23" s="16">
        <v>5.4530398920178413E-3</v>
      </c>
      <c r="P23"/>
      <c r="Q23" s="15">
        <v>3.3318984787911177E-3</v>
      </c>
      <c r="R23"/>
      <c r="S23" s="14">
        <v>9.1120367869734764E-4</v>
      </c>
      <c r="T23" s="237">
        <v>7.1683578193187714E-2</v>
      </c>
      <c r="U23"/>
      <c r="V23" s="11">
        <v>6.7393470089882612E-5</v>
      </c>
      <c r="W23"/>
      <c r="X23"/>
      <c r="Y23"/>
      <c r="Z23" s="236">
        <v>6.7242749035358429E-2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0.36700001358985901</v>
      </c>
      <c r="C24">
        <v>0.33824199438095093</v>
      </c>
      <c r="D24"/>
      <c r="E24"/>
      <c r="F24"/>
      <c r="G24"/>
      <c r="H24"/>
      <c r="I24"/>
      <c r="J24"/>
      <c r="K24" s="22">
        <v>2.5350425858050585E-3</v>
      </c>
      <c r="L24" s="14">
        <v>6.8634969647973776E-4</v>
      </c>
      <c r="M24"/>
      <c r="N24" s="15">
        <v>3.2463045790791512E-3</v>
      </c>
      <c r="O24" s="19">
        <v>6.5641016699373722E-3</v>
      </c>
      <c r="P24" s="221">
        <v>8.6875380948185921E-3</v>
      </c>
      <c r="Q24" s="11">
        <v>9.8209898169443477E-7</v>
      </c>
      <c r="R24"/>
      <c r="S24"/>
      <c r="T24" s="11">
        <v>1.6849870007717982E-5</v>
      </c>
      <c r="U24"/>
      <c r="V24"/>
      <c r="W24"/>
      <c r="X24"/>
      <c r="Y24"/>
      <c r="Z24" s="21">
        <v>7.0208539254963398E-3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0.72299998998641968</v>
      </c>
      <c r="C25">
        <v>0.60917258262634277</v>
      </c>
      <c r="D25" s="14">
        <v>1.2232779990881681E-3</v>
      </c>
      <c r="E25"/>
      <c r="F25"/>
      <c r="G25"/>
      <c r="H25"/>
      <c r="I25" s="11">
        <v>2.9700717618652561E-7</v>
      </c>
      <c r="J25"/>
      <c r="K25" s="63">
        <v>3.9396706968545914E-2</v>
      </c>
      <c r="L25" s="14">
        <v>1.2815666850656271E-3</v>
      </c>
      <c r="M25"/>
      <c r="N25" s="221">
        <v>1.6760095953941345E-2</v>
      </c>
      <c r="O25" s="12">
        <v>2.3515443317592144E-3</v>
      </c>
      <c r="P25" s="26">
        <v>1.8874134868383408E-2</v>
      </c>
      <c r="Q25" s="11">
        <v>2.0957666492904536E-5</v>
      </c>
      <c r="R25"/>
      <c r="S25"/>
      <c r="T25" s="11">
        <v>3.5957066575065255E-4</v>
      </c>
      <c r="U25"/>
      <c r="V25"/>
      <c r="W25"/>
      <c r="X25"/>
      <c r="Y25"/>
      <c r="Z25" s="28">
        <v>3.3559277653694153E-2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2.0539999008178711</v>
      </c>
      <c r="C26">
        <v>0.17148946225643158</v>
      </c>
      <c r="D26"/>
      <c r="E26"/>
      <c r="F26"/>
      <c r="G26"/>
      <c r="H26"/>
      <c r="I26"/>
      <c r="J26"/>
      <c r="K26" s="246">
        <v>0.15324674546718597</v>
      </c>
      <c r="L26" s="15">
        <v>1.8718717619776726E-2</v>
      </c>
      <c r="M26"/>
      <c r="N26" s="77">
        <v>0.13328000903129578</v>
      </c>
      <c r="O26" s="15">
        <v>1.9749036058783531E-2</v>
      </c>
      <c r="P26" s="221">
        <v>4.996388778090477E-2</v>
      </c>
      <c r="Q26" s="11">
        <v>5.1468529272824526E-4</v>
      </c>
      <c r="R26"/>
      <c r="S26" s="11">
        <v>1.1892406037077308E-3</v>
      </c>
      <c r="T26" s="18">
        <v>2.5049658492207527E-2</v>
      </c>
      <c r="U26"/>
      <c r="V26" s="11">
        <v>1.8069498764816672E-4</v>
      </c>
      <c r="W26"/>
      <c r="X26"/>
      <c r="Y26" s="23">
        <v>1.2794209644198418E-2</v>
      </c>
      <c r="Z26" s="222">
        <v>7.9625330865383148E-2</v>
      </c>
      <c r="AA26"/>
      <c r="AB26"/>
      <c r="AC26" s="249">
        <v>1.3881981372833252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1.2979999780654907</v>
      </c>
      <c r="C27">
        <v>0.25556892156600952</v>
      </c>
      <c r="D27"/>
      <c r="E27"/>
      <c r="F27" s="11">
        <v>2.9310077661648393E-4</v>
      </c>
      <c r="G27"/>
      <c r="H27"/>
      <c r="I27" s="11">
        <v>8.0153853332376457E-7</v>
      </c>
      <c r="J27" s="11">
        <v>1.8582685152068734E-4</v>
      </c>
      <c r="K27" s="241">
        <v>0.23327057063579559</v>
      </c>
      <c r="L27" s="67">
        <v>8.2017906010150909E-2</v>
      </c>
      <c r="M27"/>
      <c r="N27" s="247">
        <v>0.3919999897480011</v>
      </c>
      <c r="O27" s="12">
        <v>4.2879423126578331E-3</v>
      </c>
      <c r="P27" s="242">
        <v>7.3945648968219757E-2</v>
      </c>
      <c r="Q27" s="11">
        <v>7.0698522904422134E-5</v>
      </c>
      <c r="R27"/>
      <c r="S27" s="11">
        <v>4.1762631735764444E-4</v>
      </c>
      <c r="T27" s="14">
        <v>2.6685439515858889E-3</v>
      </c>
      <c r="U27"/>
      <c r="V27"/>
      <c r="W27" s="12">
        <v>5.0816922448575497E-3</v>
      </c>
      <c r="X27" s="245">
        <v>0.19542959332466125</v>
      </c>
      <c r="Y27" s="16">
        <v>1.9519370049238205E-2</v>
      </c>
      <c r="Z27" s="26">
        <v>3.3241827040910721E-2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5.4790000915527344</v>
      </c>
      <c r="C28">
        <v>0.49619469046592712</v>
      </c>
      <c r="D28"/>
      <c r="E28" s="11">
        <v>6.9634849205613136E-4</v>
      </c>
      <c r="F28" s="23">
        <v>3.2603003084659576E-2</v>
      </c>
      <c r="G28"/>
      <c r="H28"/>
      <c r="I28"/>
      <c r="J28" s="11">
        <v>2.205684082582593E-3</v>
      </c>
      <c r="K28" s="74">
        <v>0.51663112640380859</v>
      </c>
      <c r="L28" s="27">
        <v>0.42157807946205139</v>
      </c>
      <c r="M28" s="11">
        <v>1.0932047152891755E-3</v>
      </c>
      <c r="N28" s="108">
        <v>1.0594227313995361</v>
      </c>
      <c r="O28" s="23">
        <v>2.7222095057368279E-2</v>
      </c>
      <c r="P28" s="11">
        <v>2.6677893474698067E-3</v>
      </c>
      <c r="Q28" s="11">
        <v>1.918081943586003E-5</v>
      </c>
      <c r="R28" s="11">
        <v>3.1984332017600536E-3</v>
      </c>
      <c r="S28" s="11">
        <v>3.776794474106282E-4</v>
      </c>
      <c r="T28" s="23">
        <v>2.8630420565605164E-2</v>
      </c>
      <c r="U28" s="23">
        <v>3.384196013212204E-2</v>
      </c>
      <c r="V28" s="11">
        <v>4.3995296582579613E-3</v>
      </c>
      <c r="W28" s="234">
        <v>0.56698423624038696</v>
      </c>
      <c r="X28" s="248">
        <v>1.7072727680206299</v>
      </c>
      <c r="Y28" s="25">
        <v>0.17444626986980438</v>
      </c>
      <c r="Z28" s="12">
        <v>1.7485141754150391E-2</v>
      </c>
      <c r="AA28"/>
      <c r="AB28"/>
      <c r="AC28"/>
      <c r="AD28"/>
      <c r="AE28" s="71">
        <v>0.38202998042106628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5.3239998817443848</v>
      </c>
      <c r="C29">
        <v>0.91047859191894531</v>
      </c>
      <c r="D29"/>
      <c r="E29"/>
      <c r="F29"/>
      <c r="G29"/>
      <c r="H29"/>
      <c r="I29"/>
      <c r="J29" s="11">
        <v>7.247247140185209E-6</v>
      </c>
      <c r="K29" s="11">
        <v>7.4265728471800685E-4</v>
      </c>
      <c r="L29" s="11">
        <v>1.7727726371958852E-3</v>
      </c>
      <c r="M29"/>
      <c r="N29" s="11">
        <v>2.3520001559518278E-4</v>
      </c>
      <c r="O29"/>
      <c r="P29"/>
      <c r="Q29"/>
      <c r="R29" s="11">
        <v>1.1221622116863728E-4</v>
      </c>
      <c r="S29"/>
      <c r="T29"/>
      <c r="U29" s="17">
        <v>7.3944680392742157E-2</v>
      </c>
      <c r="V29"/>
      <c r="W29" s="64">
        <v>0.11950615048408508</v>
      </c>
      <c r="X29" s="239">
        <v>0.38169741630554199</v>
      </c>
      <c r="Y29" s="22">
        <v>4.3705020099878311E-2</v>
      </c>
      <c r="Z29"/>
      <c r="AA29"/>
      <c r="AB29"/>
      <c r="AC29"/>
      <c r="AD29"/>
      <c r="AE29" s="107">
        <v>1.5736161470413208</v>
      </c>
      <c r="AF29" s="250">
        <v>2.218181848526001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97.795997619628906</v>
      </c>
      <c r="C30">
        <v>60.870441436767578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11">
        <v>4.5673340559005737E-2</v>
      </c>
      <c r="Z30"/>
      <c r="AA30"/>
      <c r="AB30" s="25">
        <v>3.0921561717987061</v>
      </c>
      <c r="AC30" s="26">
        <v>2.4475853443145752</v>
      </c>
      <c r="AD30"/>
      <c r="AE30" s="63">
        <v>5.4241557121276855</v>
      </c>
      <c r="AF30" s="251">
        <v>25.915987014770508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/>
      <c r="C31">
        <v>0.36254680156707764</v>
      </c>
      <c r="D31"/>
      <c r="E31"/>
      <c r="F31"/>
      <c r="G31"/>
      <c r="H31"/>
      <c r="I31"/>
      <c r="J31"/>
      <c r="K31"/>
      <c r="L31"/>
      <c r="M31"/>
      <c r="N31"/>
      <c r="O31"/>
      <c r="P31" s="9">
        <v>6.4427115023136139E-2</v>
      </c>
      <c r="Q31"/>
      <c r="R31"/>
      <c r="S31"/>
      <c r="T31"/>
      <c r="U31"/>
      <c r="V31"/>
      <c r="W31"/>
      <c r="X31"/>
      <c r="Y31" s="9">
        <v>4.666048526763916</v>
      </c>
      <c r="Z31" s="9">
        <v>1.4498863220214844</v>
      </c>
      <c r="AA31" s="9">
        <v>188.66400146484375</v>
      </c>
      <c r="AB31" s="9">
        <v>55.782501220703125</v>
      </c>
      <c r="AC31" s="9">
        <v>26.424472808837891</v>
      </c>
      <c r="AD31" s="9">
        <v>59.358001708984375</v>
      </c>
      <c r="AE31" s="9">
        <v>20.968236923217773</v>
      </c>
      <c r="AF31" s="9">
        <v>275.56643676757812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/>
      <c r="C32">
        <v>0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1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4.8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4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5" t="s">
        <v>192</v>
      </c>
      <c r="E5">
        <v>4</v>
      </c>
      <c r="F5">
        <v>3.13</v>
      </c>
      <c r="G5">
        <v>4</v>
      </c>
      <c r="H5" s="196" t="s">
        <v>192</v>
      </c>
      <c r="J5" s="56"/>
      <c r="K5" s="57"/>
    </row>
    <row r="6" spans="1:12" ht="14" thickBot="1" x14ac:dyDescent="0.2">
      <c r="A6" s="40" t="s">
        <v>121</v>
      </c>
      <c r="D6" s="195" t="s">
        <v>193</v>
      </c>
      <c r="E6">
        <v>5</v>
      </c>
      <c r="F6">
        <v>3.13</v>
      </c>
      <c r="G6">
        <v>5</v>
      </c>
      <c r="H6" s="196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5" t="s">
        <v>194</v>
      </c>
      <c r="E7">
        <v>6</v>
      </c>
      <c r="F7">
        <v>3.13</v>
      </c>
      <c r="G7">
        <v>6</v>
      </c>
      <c r="H7" s="196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5" t="s">
        <v>195</v>
      </c>
      <c r="E8">
        <v>7</v>
      </c>
      <c r="F8">
        <v>3.13</v>
      </c>
      <c r="G8">
        <v>7</v>
      </c>
      <c r="H8" s="196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5" t="s">
        <v>196</v>
      </c>
      <c r="E9">
        <v>8</v>
      </c>
      <c r="F9">
        <v>3.13</v>
      </c>
      <c r="G9">
        <v>8</v>
      </c>
      <c r="H9" s="196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5" t="s">
        <v>197</v>
      </c>
      <c r="E10">
        <v>9</v>
      </c>
      <c r="F10">
        <v>3.13</v>
      </c>
      <c r="G10">
        <v>9</v>
      </c>
      <c r="H10" s="196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5" t="s">
        <v>198</v>
      </c>
      <c r="E11">
        <v>10</v>
      </c>
      <c r="F11">
        <v>3.22</v>
      </c>
      <c r="G11">
        <v>10</v>
      </c>
      <c r="H11" s="196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5" t="s">
        <v>199</v>
      </c>
      <c r="E12">
        <v>11</v>
      </c>
      <c r="F12">
        <v>3.22</v>
      </c>
      <c r="G12">
        <v>11</v>
      </c>
      <c r="H12" s="196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5" t="s">
        <v>200</v>
      </c>
      <c r="E13">
        <v>12</v>
      </c>
      <c r="F13">
        <v>3.22</v>
      </c>
      <c r="G13">
        <v>12</v>
      </c>
      <c r="H13" s="196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5" t="s">
        <v>201</v>
      </c>
      <c r="E14">
        <v>13</v>
      </c>
      <c r="F14">
        <v>3.22</v>
      </c>
      <c r="G14">
        <v>13</v>
      </c>
      <c r="H14" s="196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5" t="s">
        <v>202</v>
      </c>
      <c r="E15">
        <v>14</v>
      </c>
      <c r="F15">
        <v>3.22</v>
      </c>
      <c r="G15">
        <v>14</v>
      </c>
      <c r="H15" s="196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5" t="s">
        <v>203</v>
      </c>
      <c r="E16">
        <v>15</v>
      </c>
      <c r="F16">
        <v>3.22</v>
      </c>
      <c r="G16">
        <v>15</v>
      </c>
      <c r="H16" s="196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5" t="s">
        <v>204</v>
      </c>
      <c r="E17">
        <v>16</v>
      </c>
      <c r="F17">
        <v>3.22</v>
      </c>
      <c r="G17">
        <v>16</v>
      </c>
      <c r="H17" s="196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5" t="s">
        <v>205</v>
      </c>
      <c r="E18">
        <v>17</v>
      </c>
      <c r="F18">
        <v>3</v>
      </c>
      <c r="G18">
        <v>17</v>
      </c>
      <c r="H18" s="196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5" t="s">
        <v>206</v>
      </c>
      <c r="E19">
        <v>18</v>
      </c>
      <c r="F19">
        <v>3.2</v>
      </c>
      <c r="G19">
        <v>18</v>
      </c>
      <c r="H19" s="196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5" t="s">
        <v>207</v>
      </c>
      <c r="E20">
        <v>19</v>
      </c>
      <c r="F20">
        <v>3.2</v>
      </c>
      <c r="G20">
        <v>19</v>
      </c>
      <c r="H20" s="196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5" t="s">
        <v>208</v>
      </c>
      <c r="E21">
        <v>20</v>
      </c>
      <c r="F21">
        <v>3.12</v>
      </c>
      <c r="G21">
        <v>20</v>
      </c>
      <c r="H21" s="196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5" t="s">
        <v>209</v>
      </c>
      <c r="E22">
        <v>21</v>
      </c>
      <c r="F22">
        <v>3.1</v>
      </c>
      <c r="G22">
        <v>21</v>
      </c>
      <c r="H22" s="196" t="s">
        <v>209</v>
      </c>
    </row>
    <row r="23" spans="1:12" x14ac:dyDescent="0.15">
      <c r="A23" s="35" t="s">
        <v>129</v>
      </c>
      <c r="B23" s="43">
        <v>4</v>
      </c>
      <c r="C23" s="37"/>
      <c r="D23" s="195" t="s">
        <v>210</v>
      </c>
      <c r="E23">
        <v>22</v>
      </c>
      <c r="F23">
        <v>3.1</v>
      </c>
      <c r="G23">
        <v>22</v>
      </c>
      <c r="H23" s="196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5" t="s">
        <v>211</v>
      </c>
      <c r="E24">
        <v>23</v>
      </c>
      <c r="F24">
        <v>3.1</v>
      </c>
      <c r="G24">
        <v>23</v>
      </c>
      <c r="H24" s="196" t="s">
        <v>211</v>
      </c>
    </row>
    <row r="25" spans="1:12" x14ac:dyDescent="0.15">
      <c r="A25" s="35" t="s">
        <v>70</v>
      </c>
      <c r="B25" s="43">
        <v>4.2</v>
      </c>
      <c r="C25" s="37"/>
      <c r="D25" s="195" t="s">
        <v>212</v>
      </c>
      <c r="E25">
        <v>24</v>
      </c>
      <c r="F25">
        <v>3</v>
      </c>
      <c r="G25">
        <v>24</v>
      </c>
      <c r="H25" s="196" t="s">
        <v>212</v>
      </c>
    </row>
    <row r="26" spans="1:12" x14ac:dyDescent="0.15">
      <c r="A26" s="35" t="s">
        <v>123</v>
      </c>
      <c r="B26" s="43">
        <v>4.3</v>
      </c>
      <c r="C26" s="37"/>
      <c r="D26" s="195" t="s">
        <v>213</v>
      </c>
      <c r="E26">
        <v>25</v>
      </c>
      <c r="F26">
        <v>3</v>
      </c>
      <c r="G26">
        <v>25</v>
      </c>
      <c r="H26" s="196" t="s">
        <v>213</v>
      </c>
    </row>
    <row r="27" spans="1:12" x14ac:dyDescent="0.15">
      <c r="A27" s="35" t="s">
        <v>125</v>
      </c>
      <c r="B27" s="43">
        <v>6.1</v>
      </c>
      <c r="D27" s="195" t="s">
        <v>214</v>
      </c>
      <c r="E27">
        <v>26</v>
      </c>
      <c r="F27">
        <v>3.21</v>
      </c>
      <c r="G27">
        <v>26</v>
      </c>
      <c r="H27" s="196" t="s">
        <v>214</v>
      </c>
    </row>
    <row r="28" spans="1:12" x14ac:dyDescent="0.15">
      <c r="A28" s="35" t="s">
        <v>124</v>
      </c>
      <c r="B28" s="43">
        <v>6.2</v>
      </c>
      <c r="D28" s="195" t="s">
        <v>215</v>
      </c>
      <c r="E28">
        <v>27</v>
      </c>
      <c r="F28">
        <v>3</v>
      </c>
      <c r="G28">
        <v>27</v>
      </c>
      <c r="H28" s="196" t="s">
        <v>215</v>
      </c>
    </row>
    <row r="29" spans="1:12" x14ac:dyDescent="0.15">
      <c r="A29" s="35" t="s">
        <v>44</v>
      </c>
      <c r="B29" s="43">
        <v>5</v>
      </c>
      <c r="D29" s="195" t="s">
        <v>216</v>
      </c>
      <c r="E29">
        <v>28</v>
      </c>
      <c r="F29">
        <v>3.21</v>
      </c>
      <c r="G29">
        <v>28</v>
      </c>
      <c r="H29" s="196" t="s">
        <v>216</v>
      </c>
    </row>
    <row r="30" spans="1:12" x14ac:dyDescent="0.15">
      <c r="A30" s="35" t="s">
        <v>73</v>
      </c>
      <c r="B30" s="43">
        <v>7</v>
      </c>
      <c r="D30" s="195" t="s">
        <v>217</v>
      </c>
      <c r="E30">
        <v>29</v>
      </c>
      <c r="F30">
        <v>3.21</v>
      </c>
      <c r="G30">
        <v>29</v>
      </c>
      <c r="H30" s="196" t="s">
        <v>217</v>
      </c>
    </row>
    <row r="31" spans="1:12" x14ac:dyDescent="0.15">
      <c r="A31" s="35" t="s">
        <v>169</v>
      </c>
      <c r="B31" s="43">
        <v>3.14</v>
      </c>
      <c r="D31" s="195" t="s">
        <v>218</v>
      </c>
      <c r="E31">
        <v>30</v>
      </c>
      <c r="F31">
        <v>3.11</v>
      </c>
      <c r="G31">
        <v>30</v>
      </c>
      <c r="H31" s="196" t="s">
        <v>218</v>
      </c>
    </row>
    <row r="32" spans="1:12" ht="12" customHeight="1" thickBot="1" x14ac:dyDescent="0.2">
      <c r="A32" s="41" t="s">
        <v>170</v>
      </c>
      <c r="B32" s="44">
        <v>9</v>
      </c>
      <c r="D32" s="195" t="s">
        <v>219</v>
      </c>
      <c r="E32">
        <v>31</v>
      </c>
      <c r="F32">
        <v>3.11</v>
      </c>
      <c r="G32">
        <v>31</v>
      </c>
      <c r="H32" s="196" t="s">
        <v>219</v>
      </c>
    </row>
    <row r="33" spans="4:8" customFormat="1" ht="12" customHeight="1" x14ac:dyDescent="0.15">
      <c r="D33" s="195" t="s">
        <v>220</v>
      </c>
      <c r="E33">
        <v>32</v>
      </c>
      <c r="F33">
        <v>2</v>
      </c>
      <c r="G33">
        <v>32</v>
      </c>
      <c r="H33" s="196" t="s">
        <v>220</v>
      </c>
    </row>
    <row r="34" spans="4:8" customFormat="1" ht="12" customHeight="1" x14ac:dyDescent="0.15">
      <c r="D34" s="195" t="s">
        <v>221</v>
      </c>
      <c r="E34">
        <v>33</v>
      </c>
      <c r="F34">
        <v>4.0999999999999996</v>
      </c>
      <c r="G34">
        <v>33</v>
      </c>
      <c r="H34" s="196" t="s">
        <v>221</v>
      </c>
    </row>
    <row r="35" spans="4:8" customFormat="1" x14ac:dyDescent="0.15">
      <c r="D35" s="195" t="s">
        <v>222</v>
      </c>
      <c r="E35">
        <v>34</v>
      </c>
      <c r="F35">
        <v>4.3</v>
      </c>
      <c r="G35">
        <v>34</v>
      </c>
      <c r="H35" s="196" t="s">
        <v>222</v>
      </c>
    </row>
    <row r="36" spans="4:8" customFormat="1" x14ac:dyDescent="0.15">
      <c r="D36" s="195" t="s">
        <v>223</v>
      </c>
      <c r="E36">
        <v>35</v>
      </c>
      <c r="F36">
        <v>5</v>
      </c>
      <c r="G36">
        <v>35</v>
      </c>
      <c r="H36" s="196" t="s">
        <v>223</v>
      </c>
    </row>
    <row r="37" spans="4:8" customFormat="1" ht="12" customHeight="1" x14ac:dyDescent="0.15">
      <c r="D37" s="195" t="s">
        <v>138</v>
      </c>
      <c r="E37">
        <v>36</v>
      </c>
      <c r="F37">
        <v>6.1</v>
      </c>
      <c r="G37">
        <v>36</v>
      </c>
      <c r="H37" s="196" t="s">
        <v>138</v>
      </c>
    </row>
    <row r="38" spans="4:8" customFormat="1" x14ac:dyDescent="0.15">
      <c r="D38" s="195" t="s">
        <v>45</v>
      </c>
      <c r="E38">
        <v>37</v>
      </c>
      <c r="F38">
        <v>6.2</v>
      </c>
      <c r="G38">
        <v>37</v>
      </c>
      <c r="H38" s="196" t="s">
        <v>45</v>
      </c>
    </row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4" bestFit="1" customWidth="1"/>
    <col min="2" max="2" width="5.83203125" style="83" customWidth="1"/>
    <col min="3" max="3" width="13.1640625" style="83" customWidth="1"/>
    <col min="4" max="4" width="39.6640625" style="83" customWidth="1"/>
    <col min="5" max="5" width="8.1640625" style="83" customWidth="1"/>
    <col min="6" max="6" width="24.8320312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2" customWidth="1"/>
    <col min="17" max="17" width="2.33203125" style="83" customWidth="1"/>
    <col min="18" max="18" width="2.33203125" style="73" customWidth="1"/>
    <col min="19" max="16384" width="11.5" style="83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5" t="s">
        <v>48</v>
      </c>
      <c r="L1" s="73"/>
      <c r="M1" s="85" t="s">
        <v>119</v>
      </c>
      <c r="N1" s="73"/>
      <c r="O1" s="85" t="s">
        <v>49</v>
      </c>
      <c r="P1" s="76"/>
      <c r="Q1" s="85" t="s">
        <v>50</v>
      </c>
      <c r="R1" s="70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8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8">
        <v>0</v>
      </c>
      <c r="R4" s="110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8">
        <v>0</v>
      </c>
      <c r="R5" s="110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197" t="s">
        <v>192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0</v>
      </c>
      <c r="M6" s="83">
        <v>1</v>
      </c>
      <c r="N6" s="83">
        <v>0</v>
      </c>
      <c r="O6" s="83">
        <v>1</v>
      </c>
      <c r="P6" s="72">
        <v>0</v>
      </c>
      <c r="Q6" s="83">
        <v>0</v>
      </c>
      <c r="R6" s="73">
        <v>1</v>
      </c>
      <c r="S6"/>
      <c r="T6"/>
    </row>
    <row r="7" spans="1:23" ht="15" customHeight="1" thickBot="1" x14ac:dyDescent="0.2">
      <c r="F7" s="197" t="s">
        <v>193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2">
        <v>0</v>
      </c>
      <c r="Q7" s="83">
        <v>0</v>
      </c>
      <c r="R7" s="73">
        <v>1</v>
      </c>
      <c r="S7"/>
      <c r="T7"/>
    </row>
    <row r="8" spans="1:23" ht="15" customHeight="1" x14ac:dyDescent="0.15">
      <c r="A8" s="85" t="s">
        <v>56</v>
      </c>
      <c r="B8" s="92">
        <v>1</v>
      </c>
      <c r="C8" s="198" t="s">
        <v>220</v>
      </c>
      <c r="D8" s="87" t="s">
        <v>160</v>
      </c>
      <c r="F8" s="197" t="s">
        <v>194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2">
        <v>0</v>
      </c>
      <c r="Q8" s="83">
        <v>0</v>
      </c>
      <c r="R8" s="73">
        <v>1</v>
      </c>
      <c r="S8"/>
      <c r="T8"/>
      <c r="W8"/>
    </row>
    <row r="9" spans="1:23" ht="15" customHeight="1" x14ac:dyDescent="0.15">
      <c r="A9" s="124" t="s">
        <v>168</v>
      </c>
      <c r="B9" s="94"/>
      <c r="C9" s="82"/>
      <c r="D9" s="87" t="s">
        <v>160</v>
      </c>
      <c r="F9" s="197" t="s">
        <v>195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2">
        <v>0</v>
      </c>
      <c r="Q9" s="83">
        <v>0</v>
      </c>
      <c r="R9" s="73">
        <v>1</v>
      </c>
      <c r="S9"/>
      <c r="T9"/>
      <c r="W9"/>
    </row>
    <row r="10" spans="1:23" ht="15" customHeight="1" x14ac:dyDescent="0.15">
      <c r="B10" s="94"/>
      <c r="C10" s="82"/>
      <c r="D10" s="87" t="s">
        <v>160</v>
      </c>
      <c r="F10" s="197" t="s">
        <v>196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2">
        <v>0</v>
      </c>
      <c r="Q10" s="83">
        <v>0</v>
      </c>
      <c r="R10" s="73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197" t="s">
        <v>197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2">
        <v>0</v>
      </c>
      <c r="Q11" s="83">
        <v>0</v>
      </c>
      <c r="R11" s="73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197" t="s">
        <v>198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2">
        <v>0</v>
      </c>
      <c r="Q12" s="83">
        <v>0</v>
      </c>
      <c r="R12" s="73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197" t="s">
        <v>199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2">
        <v>0</v>
      </c>
      <c r="Q13" s="83">
        <v>0</v>
      </c>
      <c r="R13" s="73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197" t="s">
        <v>200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2">
        <v>0</v>
      </c>
      <c r="Q14" s="83">
        <v>0</v>
      </c>
      <c r="R14" s="73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197" t="s">
        <v>201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2">
        <v>0</v>
      </c>
      <c r="Q15" s="83">
        <v>0</v>
      </c>
      <c r="R15" s="73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197" t="s">
        <v>202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2">
        <v>0</v>
      </c>
      <c r="Q16" s="83">
        <v>0</v>
      </c>
      <c r="R16" s="73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197" t="s">
        <v>203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2">
        <v>0</v>
      </c>
      <c r="Q17" s="83">
        <v>0</v>
      </c>
      <c r="R17" s="73">
        <v>1</v>
      </c>
      <c r="S17"/>
      <c r="T17"/>
    </row>
    <row r="18" spans="1:20" ht="15" customHeight="1" thickBot="1" x14ac:dyDescent="0.2">
      <c r="B18" s="95"/>
      <c r="F18" s="197" t="s">
        <v>204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2">
        <v>0</v>
      </c>
      <c r="Q18" s="83">
        <v>0</v>
      </c>
      <c r="R18" s="73">
        <v>1</v>
      </c>
      <c r="S18"/>
      <c r="T18"/>
    </row>
    <row r="19" spans="1:20" ht="15" customHeight="1" x14ac:dyDescent="0.15">
      <c r="A19" s="85" t="s">
        <v>57</v>
      </c>
      <c r="B19" s="92">
        <v>1</v>
      </c>
      <c r="C19" s="199" t="s">
        <v>220</v>
      </c>
      <c r="D19" s="87" t="s">
        <v>160</v>
      </c>
      <c r="F19" s="197" t="s">
        <v>205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2">
        <v>0</v>
      </c>
      <c r="Q19" s="83">
        <v>0</v>
      </c>
      <c r="R19" s="73">
        <v>1</v>
      </c>
      <c r="S19"/>
      <c r="T19"/>
    </row>
    <row r="20" spans="1:20" ht="15" customHeight="1" x14ac:dyDescent="0.15">
      <c r="A20" s="124" t="s">
        <v>168</v>
      </c>
      <c r="B20" s="94"/>
      <c r="C20" s="82"/>
      <c r="D20" s="87" t="s">
        <v>160</v>
      </c>
      <c r="F20" s="197" t="s">
        <v>206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2">
        <v>0</v>
      </c>
      <c r="Q20" s="83">
        <v>0</v>
      </c>
      <c r="R20" s="73">
        <v>1</v>
      </c>
      <c r="S20"/>
      <c r="T20"/>
    </row>
    <row r="21" spans="1:20" ht="15" customHeight="1" x14ac:dyDescent="0.15">
      <c r="B21" s="94"/>
      <c r="C21" s="82"/>
      <c r="D21" s="87" t="s">
        <v>160</v>
      </c>
      <c r="F21" s="197" t="s">
        <v>207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2">
        <v>0</v>
      </c>
      <c r="Q21" s="83">
        <v>0</v>
      </c>
      <c r="R21" s="73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197" t="s">
        <v>208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2">
        <v>0</v>
      </c>
      <c r="Q22" s="83">
        <v>0</v>
      </c>
      <c r="R22" s="73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197" t="s">
        <v>209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2">
        <v>0</v>
      </c>
      <c r="Q23" s="83">
        <v>0</v>
      </c>
      <c r="R23" s="73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197" t="s">
        <v>210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2">
        <v>0</v>
      </c>
      <c r="Q24" s="83">
        <v>0</v>
      </c>
      <c r="R24" s="73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197" t="s">
        <v>211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2">
        <v>0</v>
      </c>
      <c r="Q25" s="83">
        <v>0</v>
      </c>
      <c r="R25" s="73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197" t="s">
        <v>212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2">
        <v>0</v>
      </c>
      <c r="Q26" s="83">
        <v>0</v>
      </c>
      <c r="R26" s="73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197" t="s">
        <v>213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2">
        <v>0</v>
      </c>
      <c r="Q27" s="83">
        <v>0</v>
      </c>
      <c r="R27" s="73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197" t="s">
        <v>214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2">
        <v>0</v>
      </c>
      <c r="Q28" s="83">
        <v>0</v>
      </c>
      <c r="R28" s="73">
        <v>1</v>
      </c>
      <c r="S28"/>
      <c r="T28"/>
    </row>
    <row r="29" spans="1:20" ht="15" customHeight="1" x14ac:dyDescent="0.15">
      <c r="F29" s="197" t="s">
        <v>215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2">
        <v>0</v>
      </c>
      <c r="Q29" s="83">
        <v>0</v>
      </c>
      <c r="R29" s="73">
        <v>1</v>
      </c>
      <c r="S29"/>
      <c r="T29"/>
    </row>
    <row r="30" spans="1:20" ht="15" customHeight="1" x14ac:dyDescent="0.15">
      <c r="F30" s="197" t="s">
        <v>216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2">
        <v>0</v>
      </c>
      <c r="Q30" s="83">
        <v>0</v>
      </c>
      <c r="R30" s="73">
        <v>1</v>
      </c>
      <c r="S30"/>
      <c r="T30"/>
    </row>
    <row r="31" spans="1:20" ht="15" customHeight="1" x14ac:dyDescent="0.15">
      <c r="A31" s="125"/>
      <c r="B31" s="136" t="s">
        <v>17</v>
      </c>
      <c r="C31" s="136" t="s">
        <v>1</v>
      </c>
      <c r="D31" s="136" t="s">
        <v>161</v>
      </c>
      <c r="E31" s="137" t="s">
        <v>163</v>
      </c>
      <c r="F31" s="197" t="s">
        <v>217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2">
        <v>0</v>
      </c>
      <c r="Q31" s="83">
        <v>0</v>
      </c>
      <c r="R31" s="73">
        <v>1</v>
      </c>
      <c r="S31"/>
      <c r="T31"/>
    </row>
    <row r="32" spans="1:20" ht="15" customHeight="1" x14ac:dyDescent="0.15">
      <c r="A32" s="200" t="s">
        <v>220</v>
      </c>
      <c r="B32" s="95">
        <v>18.04</v>
      </c>
      <c r="C32" s="95">
        <v>97.796000000000006</v>
      </c>
      <c r="D32" s="95">
        <v>1764.23984</v>
      </c>
      <c r="E32" s="127">
        <v>1</v>
      </c>
      <c r="F32" s="197" t="s">
        <v>218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2">
        <v>0</v>
      </c>
      <c r="Q32" s="83">
        <v>0</v>
      </c>
      <c r="R32" s="73">
        <v>1</v>
      </c>
      <c r="S32"/>
      <c r="T32"/>
    </row>
    <row r="33" spans="1:20" ht="15" customHeight="1" x14ac:dyDescent="0.15">
      <c r="A33" s="126"/>
      <c r="B33" s="95"/>
      <c r="C33" s="95"/>
      <c r="D33" s="95"/>
      <c r="E33" s="127"/>
      <c r="F33" s="197" t="s">
        <v>219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2">
        <v>0</v>
      </c>
      <c r="Q33" s="83">
        <v>0</v>
      </c>
      <c r="R33" s="73">
        <v>1</v>
      </c>
      <c r="S33"/>
      <c r="T33"/>
    </row>
    <row r="34" spans="1:20" ht="15" customHeight="1" x14ac:dyDescent="0.15">
      <c r="A34" s="128"/>
      <c r="B34" s="95"/>
      <c r="C34" s="95"/>
      <c r="D34" s="95"/>
      <c r="E34" s="127"/>
      <c r="F34" s="197" t="s">
        <v>220</v>
      </c>
      <c r="G34" s="83">
        <v>0</v>
      </c>
      <c r="H34" s="83">
        <v>0</v>
      </c>
      <c r="I34" s="83">
        <v>0</v>
      </c>
      <c r="J34" s="83">
        <v>0</v>
      </c>
      <c r="K34" s="83">
        <v>0</v>
      </c>
      <c r="L34" s="83">
        <v>0</v>
      </c>
      <c r="M34" s="83">
        <v>1</v>
      </c>
      <c r="N34" s="83">
        <v>0</v>
      </c>
      <c r="O34" s="83">
        <v>0</v>
      </c>
      <c r="P34" s="72">
        <v>0</v>
      </c>
      <c r="Q34" s="83">
        <v>0</v>
      </c>
      <c r="R34" s="73">
        <v>1</v>
      </c>
      <c r="S34"/>
      <c r="T34"/>
    </row>
    <row r="35" spans="1:20" ht="15" customHeight="1" x14ac:dyDescent="0.15">
      <c r="A35" s="129"/>
      <c r="B35" s="95"/>
      <c r="C35" s="95"/>
      <c r="D35" s="95"/>
      <c r="E35" s="127"/>
      <c r="F35" s="197" t="s">
        <v>221</v>
      </c>
      <c r="G35" s="83">
        <v>0</v>
      </c>
      <c r="H35" s="83">
        <v>0</v>
      </c>
      <c r="I35" s="83">
        <v>0</v>
      </c>
      <c r="J35" s="83">
        <v>0</v>
      </c>
      <c r="K35" s="83">
        <v>0</v>
      </c>
      <c r="L35" s="83">
        <v>1</v>
      </c>
      <c r="M35" s="83">
        <v>0</v>
      </c>
      <c r="N35" s="83">
        <v>1</v>
      </c>
      <c r="O35" s="83">
        <v>0</v>
      </c>
      <c r="P35" s="72">
        <v>1</v>
      </c>
      <c r="Q35" s="83">
        <v>0</v>
      </c>
      <c r="R35" s="73">
        <v>1</v>
      </c>
      <c r="S35"/>
      <c r="T35"/>
    </row>
    <row r="36" spans="1:20" ht="15" customHeight="1" x14ac:dyDescent="0.15">
      <c r="A36" s="130"/>
      <c r="B36" s="95"/>
      <c r="C36" s="95"/>
      <c r="D36" s="95"/>
      <c r="E36" s="127"/>
      <c r="F36" s="197" t="s">
        <v>222</v>
      </c>
      <c r="G36" s="83">
        <v>0</v>
      </c>
      <c r="H36" s="83">
        <v>0</v>
      </c>
      <c r="I36" s="83">
        <v>0</v>
      </c>
      <c r="J36" s="83">
        <v>0</v>
      </c>
      <c r="K36" s="83">
        <v>0</v>
      </c>
      <c r="L36" s="83">
        <v>1</v>
      </c>
      <c r="M36" s="83">
        <v>0</v>
      </c>
      <c r="N36" s="83">
        <v>1</v>
      </c>
      <c r="O36" s="83">
        <v>0</v>
      </c>
      <c r="P36" s="72">
        <v>1</v>
      </c>
      <c r="Q36" s="83">
        <v>0</v>
      </c>
      <c r="R36" s="73">
        <v>1</v>
      </c>
      <c r="S36"/>
      <c r="T36"/>
    </row>
    <row r="37" spans="1:20" ht="15" customHeight="1" x14ac:dyDescent="0.15">
      <c r="A37" s="130"/>
      <c r="B37" s="95"/>
      <c r="C37" s="95"/>
      <c r="D37" s="95"/>
      <c r="E37" s="127"/>
      <c r="F37" s="197" t="s">
        <v>223</v>
      </c>
      <c r="G37" s="83">
        <v>0</v>
      </c>
      <c r="H37" s="83">
        <v>0</v>
      </c>
      <c r="I37" s="83">
        <v>0</v>
      </c>
      <c r="J37" s="83">
        <v>0</v>
      </c>
      <c r="K37" s="83">
        <v>0</v>
      </c>
      <c r="L37" s="83">
        <v>1</v>
      </c>
      <c r="M37" s="83">
        <v>0</v>
      </c>
      <c r="N37" s="83">
        <v>0</v>
      </c>
      <c r="O37" s="83">
        <v>0</v>
      </c>
      <c r="P37" s="72">
        <v>0</v>
      </c>
      <c r="Q37" s="83">
        <v>0</v>
      </c>
      <c r="R37" s="73">
        <v>1</v>
      </c>
      <c r="S37"/>
      <c r="T37"/>
    </row>
    <row r="38" spans="1:20" ht="15" customHeight="1" x14ac:dyDescent="0.15">
      <c r="A38" s="131"/>
      <c r="B38" s="95"/>
      <c r="C38" s="95"/>
      <c r="D38" s="95"/>
      <c r="E38" s="12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31"/>
      <c r="B39" s="95"/>
      <c r="C39" s="95"/>
      <c r="D39" s="95"/>
      <c r="E39" s="12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31"/>
      <c r="B40" s="95"/>
      <c r="C40" s="95"/>
      <c r="D40" s="95"/>
      <c r="E40" s="12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31"/>
      <c r="B41" s="95"/>
      <c r="C41" s="95"/>
      <c r="D41" s="96"/>
      <c r="E41" s="132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3"/>
      <c r="B42" s="134"/>
      <c r="C42" s="134" t="s">
        <v>162</v>
      </c>
      <c r="D42" s="134">
        <f>SUM(D32:D41)</f>
        <v>1764.23984</v>
      </c>
      <c r="E42" s="135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N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4.83203125" bestFit="1" customWidth="1"/>
    <col min="2" max="2" width="2.33203125" style="110" customWidth="1"/>
    <col min="3" max="5" width="7.83203125" style="110" customWidth="1"/>
    <col min="6" max="8" width="8.83203125" style="6"/>
    <col min="9" max="9" width="19.6640625" style="6" customWidth="1"/>
    <col min="10" max="10" width="10.1640625" style="6" customWidth="1"/>
    <col min="11" max="11" width="12.5" style="6" customWidth="1"/>
    <col min="12" max="12" width="10.33203125" style="6" customWidth="1"/>
    <col min="13" max="13" width="12.6640625" style="6" customWidth="1"/>
    <col min="14" max="14" width="8.5" style="6" customWidth="1"/>
    <col min="15" max="15" width="14.33203125" style="6" customWidth="1"/>
    <col min="16" max="16" width="14.83203125" style="6" customWidth="1"/>
    <col min="17" max="17" width="15.6640625" style="6" customWidth="1"/>
    <col min="18" max="18" width="24.83203125" style="6" customWidth="1"/>
    <col min="19" max="19" width="24.33203125" style="6" customWidth="1"/>
    <col min="20" max="20" width="9.5" style="6" customWidth="1"/>
    <col min="21" max="21" width="7.1640625" style="6" customWidth="1"/>
    <col min="22" max="22" width="7.5" style="6" customWidth="1"/>
    <col min="23" max="23" width="20.5" style="6" customWidth="1"/>
    <col min="24" max="24" width="20.6640625" style="6" customWidth="1"/>
    <col min="25" max="25" width="7.5" style="6" customWidth="1"/>
    <col min="26" max="26" width="18.83203125" style="6" customWidth="1"/>
    <col min="27" max="27" width="23.1640625" style="6" customWidth="1"/>
    <col min="28" max="28" width="24.6640625" style="6" customWidth="1"/>
    <col min="29" max="29" width="7.1640625" style="6" customWidth="1"/>
    <col min="30" max="30" width="16.5" style="6" customWidth="1"/>
    <col min="31" max="31" width="12.1640625" style="6" customWidth="1"/>
    <col min="32" max="32" width="8.6640625" style="6" customWidth="1"/>
    <col min="33" max="33" width="11.5" style="6" customWidth="1"/>
    <col min="34" max="34" width="23.5" style="6" customWidth="1"/>
    <col min="35" max="35" width="16.5" style="6" customWidth="1"/>
    <col min="36" max="36" width="15.5" style="6" customWidth="1"/>
    <col min="37" max="37" width="13.1640625" style="6" customWidth="1"/>
    <col min="38" max="38" width="7.6640625" style="6" customWidth="1"/>
    <col min="39" max="39" width="21.6640625" customWidth="1"/>
    <col min="40" max="40" width="6.5" customWidth="1"/>
    <col min="81" max="81" width="22.1640625" bestFit="1" customWidth="1"/>
  </cols>
  <sheetData>
    <row r="1" spans="1:40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2" t="s">
        <v>192</v>
      </c>
      <c r="J1" s="202" t="s">
        <v>193</v>
      </c>
      <c r="K1" s="202" t="s">
        <v>194</v>
      </c>
      <c r="L1" s="202" t="s">
        <v>195</v>
      </c>
      <c r="M1" s="202" t="s">
        <v>196</v>
      </c>
      <c r="N1" s="202" t="s">
        <v>197</v>
      </c>
      <c r="O1" s="202" t="s">
        <v>198</v>
      </c>
      <c r="P1" s="202" t="s">
        <v>199</v>
      </c>
      <c r="Q1" s="202" t="s">
        <v>200</v>
      </c>
      <c r="R1" s="202" t="s">
        <v>201</v>
      </c>
      <c r="S1" s="202" t="s">
        <v>202</v>
      </c>
      <c r="T1" s="202" t="s">
        <v>203</v>
      </c>
      <c r="U1" s="202" t="s">
        <v>204</v>
      </c>
      <c r="V1" s="202" t="s">
        <v>205</v>
      </c>
      <c r="W1" s="202" t="s">
        <v>206</v>
      </c>
      <c r="X1" s="202" t="s">
        <v>207</v>
      </c>
      <c r="Y1" s="202" t="s">
        <v>208</v>
      </c>
      <c r="Z1" s="202" t="s">
        <v>209</v>
      </c>
      <c r="AA1" s="202" t="s">
        <v>210</v>
      </c>
      <c r="AB1" s="202" t="s">
        <v>211</v>
      </c>
      <c r="AC1" s="202" t="s">
        <v>212</v>
      </c>
      <c r="AD1" s="202" t="s">
        <v>213</v>
      </c>
      <c r="AE1" s="202" t="s">
        <v>214</v>
      </c>
      <c r="AF1" s="202" t="s">
        <v>215</v>
      </c>
      <c r="AG1" s="202" t="s">
        <v>216</v>
      </c>
      <c r="AH1" s="202" t="s">
        <v>217</v>
      </c>
      <c r="AI1" s="202" t="s">
        <v>218</v>
      </c>
      <c r="AJ1" s="202" t="s">
        <v>219</v>
      </c>
      <c r="AK1" s="202" t="s">
        <v>220</v>
      </c>
      <c r="AL1" s="202" t="s">
        <v>221</v>
      </c>
      <c r="AM1" s="202" t="s">
        <v>222</v>
      </c>
      <c r="AN1" s="202" t="s">
        <v>223</v>
      </c>
    </row>
    <row r="2" spans="1:40" x14ac:dyDescent="0.15">
      <c r="A2" t="s">
        <v>38</v>
      </c>
      <c r="B2" s="11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0" x14ac:dyDescent="0.15">
      <c r="A3" t="s">
        <v>40</v>
      </c>
      <c r="B3" s="11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0" x14ac:dyDescent="0.15">
      <c r="A4" t="s">
        <v>41</v>
      </c>
      <c r="B4" s="11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0" x14ac:dyDescent="0.15">
      <c r="A5" s="201" t="s">
        <v>192</v>
      </c>
      <c r="B5" s="11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0" x14ac:dyDescent="0.15">
      <c r="A6" s="201" t="s">
        <v>193</v>
      </c>
      <c r="B6" s="11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0" x14ac:dyDescent="0.15">
      <c r="A7" s="201" t="s">
        <v>194</v>
      </c>
      <c r="B7" s="11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0" x14ac:dyDescent="0.15">
      <c r="A8" s="201" t="s">
        <v>195</v>
      </c>
      <c r="B8" s="11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0" x14ac:dyDescent="0.15">
      <c r="A9" s="201" t="s">
        <v>196</v>
      </c>
      <c r="B9" s="11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0" x14ac:dyDescent="0.15">
      <c r="A10" s="201" t="s">
        <v>197</v>
      </c>
      <c r="B10" s="11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0" x14ac:dyDescent="0.15">
      <c r="A11" s="201" t="s">
        <v>198</v>
      </c>
      <c r="B11" s="11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0" x14ac:dyDescent="0.15">
      <c r="A12" s="201" t="s">
        <v>199</v>
      </c>
      <c r="B12" s="11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0" x14ac:dyDescent="0.15">
      <c r="A13" s="201" t="s">
        <v>200</v>
      </c>
      <c r="B13" s="11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0" x14ac:dyDescent="0.15">
      <c r="A14" s="201" t="s">
        <v>201</v>
      </c>
      <c r="B14" s="11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0" x14ac:dyDescent="0.15">
      <c r="A15" s="201" t="s">
        <v>202</v>
      </c>
      <c r="B15" s="11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0" x14ac:dyDescent="0.15">
      <c r="A16" s="201" t="s">
        <v>203</v>
      </c>
      <c r="B16" s="11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1" t="s">
        <v>204</v>
      </c>
      <c r="B17" s="11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1" t="s">
        <v>205</v>
      </c>
      <c r="B18" s="11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1" t="s">
        <v>206</v>
      </c>
      <c r="B19" s="11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1" t="s">
        <v>207</v>
      </c>
      <c r="B20" s="11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1" t="s">
        <v>208</v>
      </c>
      <c r="B21" s="110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1" t="s">
        <v>209</v>
      </c>
      <c r="B22" s="11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1" t="s">
        <v>210</v>
      </c>
      <c r="B23" s="110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1" t="s">
        <v>211</v>
      </c>
      <c r="B24" s="110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1" t="s">
        <v>212</v>
      </c>
      <c r="B25" s="110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1" t="s">
        <v>213</v>
      </c>
      <c r="B26" s="110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1" t="s">
        <v>214</v>
      </c>
      <c r="B27" s="110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1" t="s">
        <v>215</v>
      </c>
      <c r="B28" s="110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1" t="s">
        <v>216</v>
      </c>
      <c r="B29" s="110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1" t="s">
        <v>217</v>
      </c>
      <c r="B30" s="110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1" t="s">
        <v>218</v>
      </c>
      <c r="B31" s="110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1" t="s">
        <v>219</v>
      </c>
      <c r="B32" s="110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1" t="s">
        <v>220</v>
      </c>
      <c r="B33" s="110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1" t="s">
        <v>221</v>
      </c>
      <c r="B34" s="110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1" t="s">
        <v>222</v>
      </c>
      <c r="B35" s="110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1" t="s">
        <v>223</v>
      </c>
      <c r="B36" s="110">
        <v>0</v>
      </c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2022-10-24T04:21:37Z</dcterms:modified>
</cp:coreProperties>
</file>