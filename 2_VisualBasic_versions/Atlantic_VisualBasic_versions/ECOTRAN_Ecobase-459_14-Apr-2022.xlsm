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38C3C8F8-EE03-C340-B5BB-34D068C343B3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Main!$C$2:$N$42</definedName>
    <definedName name="matDetritus">Detritus!$C$2:$E$42</definedName>
    <definedName name="matDiet">Diets!$B$2:$AE$34</definedName>
    <definedName name="matDiscards">Discards!$C$2:$K$33</definedName>
    <definedName name="matFishery">Fishing!$C$2:$K$33</definedName>
    <definedName name="matFishing">Fishing!#REF!</definedName>
    <definedName name="matMort">Mortalities!$A$1:$AR$33</definedName>
    <definedName name="matOut">MainOutputs!$A$2:$I$42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<sst xmlns="http://schemas.openxmlformats.org/spreadsheetml/2006/main" count="1078" uniqueCount="246">
  <si>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</si>
  <si>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</si>
  <si>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</si>
  <si>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</si>
  <si>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</si>
  <si>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</si>
  <si>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</si>
  <si>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</si>
  <si>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</si>
  <si>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</si>
  <si>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</si>
  <si>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</si>
  <si>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</si>
  <si>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</si>
  <si>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</si>
  <si>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</si>
  <si>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</si>
  <si>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</si>
  <si>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</si>
  <si>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</si>
  <si>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</si>
  <si>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</si>
  <si>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</si>
  <si>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</si>
  <si>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</si>
  <si>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</si>
  <si>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</si>
  <si>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</si>
  <si>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</si>
  <si>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</si>
  <si>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</si>
  <si>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</si>
  <si>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</si>
  <si>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</si>
  <si>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</si>
  <si>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</si>
  <si>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</si>
  <si>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</si>
  <si>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</si>
  <si>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</si>
  <si>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</si>
  <si>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</si>
  <si>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</si>
  <si>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</si>
  <si>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</si>
  <si>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</si>
  <si>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</si>
  <si>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</si>
  <si>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</si>
  <si>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</si>
  <si>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</si>
  <si>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</si>
  <si>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</si>
  <si>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</si>
  <si>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</si>
  <si>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</si>
  <si>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</si>
  <si>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</si>
  <si>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</si>
  <si>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</si>
  <si>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</si>
  <si>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</si>
  <si>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</si>
  <si>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</si>
  <si>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</si>
  <si>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</si>
  <si>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</si>
  <si>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</si>
  <si>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</si>
  <si>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</si>
  <si>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</si>
  <si>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</si>
  <si>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</si>
  <si>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</si>
  <si>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</si>
  <si>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</si>
  <si>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</si>
  <si>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</si>
  <si>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</si>
  <si>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</si>
  <si>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</si>
  <si>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</si>
  <si>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</si>
  <si>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</si>
  <si>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</si>
  <si>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</si>
  <si>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</si>
  <si>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</si>
  <si>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</si>
  <si>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</si>
  <si>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</si>
  <si>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</si>
  <si>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</si>
  <si>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</si>
  <si>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</si>
  <si>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</si>
  <si>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</si>
  <si>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</si>
  <si>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</si>
  <si>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</si>
  <si>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</si>
  <si>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</si>
  <si>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</si>
  <si>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</si>
  <si>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</si>
  <si>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</si>
  <si>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</si>
  <si>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</si>
  <si>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</si>
  <si>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</si>
  <si>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</si>
  <si>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</si>
  <si>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</si>
  <si>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</si>
  <si>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</si>
  <si>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</si>
  <si>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</si>
  <si>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</si>
  <si>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</si>
  <si>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</si>
  <si>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</si>
  <si>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</si>
  <si>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</si>
  <si>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</si>
  <si>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</si>
  <si>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</si>
  <si>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</si>
  <si>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</si>
  <si>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</si>
  <si>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</si>
  <si>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</si>
  <si>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</si>
  <si>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</si>
  <si>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</si>
  <si>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</si>
  <si>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</si>
  <si>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</si>
  <si>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</si>
  <si>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</si>
  <si>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</si>
  <si>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</si>
  <si>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</si>
  <si>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</si>
  <si>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</si>
  <si>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</si>
  <si>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</si>
  <si>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</si>
  <si>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</si>
  <si>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</si>
  <si>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</si>
  <si>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</si>
  <si>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</si>
  <si>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</si>
  <si>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</si>
  <si>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</si>
  <si>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</si>
  <si>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</si>
  <si>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</si>
  <si>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</si>
  <si>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</si>
  <si>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</si>
  <si>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</si>
  <si>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</si>
  <si>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</si>
  <si>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</si>
  <si>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</si>
  <si>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</si>
  <si>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</si>
  <si>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</si>
  <si>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</si>
  <si>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</si>
  <si>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</si>
  <si>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</si>
  <si>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</si>
  <si>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</si>
  <si>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</si>
  <si>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</si>
  <si>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</si>
  <si>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</si>
  <si>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</si>
  <si>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</si>
  <si>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</si>
  <si>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</si>
  <si>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</si>
  <si>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</si>
  <si>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Lesser Antilles</t>
  </si>
  <si>
    <t>Not affiliated</t>
  </si>
  <si>
    <t>BOX(-63.3387324652168 9.85468375817467,-57.519182654865 21.0289749192329)</t>
  </si>
  <si>
    <t>open ocean</t>
  </si>
  <si>
    <t>WetWeight</t>
  </si>
  <si>
    <t>Second try with Steve's suggestions;</t>
  </si>
  <si>
    <t>Mohammed E.,Vasconcellos M.,Mackinson S.,Fanning P.,Heileman S.,Carocci F.(2008). Scientific Basis for Ecosystem-Based Management in the Lesser Antilles Including Interactions with Marine Mammals and Other Top Predators: A trophic model of the Lesser Antilles Pelagic Ecosystem FI:GCP/RLA/140/JPN Technical Document</t>
  </si>
  <si>
    <t>Seabirds</t>
  </si>
  <si>
    <t>Baleen whales</t>
  </si>
  <si>
    <t>Deep-diving whales</t>
  </si>
  <si>
    <t>Killer whales</t>
  </si>
  <si>
    <t>Shallow-diving cetaceans</t>
  </si>
  <si>
    <t>Swordfish</t>
  </si>
  <si>
    <t>Billfishes</t>
  </si>
  <si>
    <t>Yellowfin</t>
  </si>
  <si>
    <t>Skipjack</t>
  </si>
  <si>
    <t>Albacore</t>
  </si>
  <si>
    <t>Bigeye</t>
  </si>
  <si>
    <t>Blackfin tuna</t>
  </si>
  <si>
    <t>Other offshore predators</t>
  </si>
  <si>
    <t>Mackerels</t>
  </si>
  <si>
    <t>Wahoo</t>
  </si>
  <si>
    <t>Dolphinfish</t>
  </si>
  <si>
    <t>Pelagic sharks</t>
  </si>
  <si>
    <t>Flyingfish</t>
  </si>
  <si>
    <t>Coastal predators</t>
  </si>
  <si>
    <t>Small offshore pelagics</t>
  </si>
  <si>
    <t>Small coastal pelagics</t>
  </si>
  <si>
    <t>Small mesopelagics</t>
  </si>
  <si>
    <t>Large mesopelagics</t>
  </si>
  <si>
    <t>Leatherback turtle</t>
  </si>
  <si>
    <t>Other turtles</t>
  </si>
  <si>
    <t>Small squids</t>
  </si>
  <si>
    <t>Large squids</t>
  </si>
  <si>
    <t>Small zooplankton</t>
  </si>
  <si>
    <t>Large zooplankton</t>
  </si>
  <si>
    <t>Phytoplankton</t>
  </si>
  <si>
    <t>Detritus</t>
  </si>
  <si>
    <t>detritus_TerminalBenthic</t>
  </si>
  <si>
    <t>Beach Seine</t>
  </si>
  <si>
    <t>Decked inboard (TR,LL,GN)</t>
  </si>
  <si>
    <t>Longliners</t>
  </si>
  <si>
    <t>Open outboard (TR,LL,GN)</t>
  </si>
  <si>
    <t>Marine Mammal (SVG)</t>
  </si>
  <si>
    <t>Marine Mammal (STL)</t>
  </si>
  <si>
    <t>Outside LAPE</t>
  </si>
  <si>
    <t>Open outboard (other)</t>
  </si>
  <si>
    <t>Recreational</t>
  </si>
  <si>
    <t>Import</t>
  </si>
  <si>
    <t>export</t>
  </si>
  <si>
    <t>sum</t>
  </si>
  <si>
    <t>TOTAL</t>
  </si>
  <si>
    <t>F Beach Seine</t>
  </si>
  <si>
    <t>F Decked inboard (TR,LL,GN)</t>
  </si>
  <si>
    <t>F Longliners</t>
  </si>
  <si>
    <t>F Open outboard (TR,LL,GN)</t>
  </si>
  <si>
    <t>F Marine Mammal (SVG)</t>
  </si>
  <si>
    <t>F Marine Mammal (STL)</t>
  </si>
  <si>
    <t>F Outside LAPE</t>
  </si>
  <si>
    <t>F Open outboard (other)</t>
  </si>
  <si>
    <t>F Recreational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</si>
</sst>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CD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44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5" borderId="0" xfId="0" applyFill="1"/>
    <xf numFmtId="0" fontId="0" fillId="4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78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08">
        <v>459</v>
      </c>
      <c r="D53" s="108"/>
    </row>
    <row r="54" spans="2:4" x14ac:dyDescent="0.15">
      <c r="B54" s="177" t="s">
        <v>172</v>
      </c>
      <c r="C54" s="177" t="s">
        <v>185</v>
      </c>
      <c r="D54" s="108"/>
    </row>
    <row r="55" spans="2:4" x14ac:dyDescent="0.15">
      <c r="B55" s="177" t="s">
        <v>173</v>
      </c>
      <c r="C55" s="177" t="s">
        <v>186</v>
      </c>
      <c r="D55" s="108"/>
    </row>
    <row r="56" spans="2:4" x14ac:dyDescent="0.15">
      <c r="B56" s="177" t="s">
        <v>174</v>
      </c>
      <c r="C56" s="108">
        <v>610000</v>
      </c>
      <c r="D56" s="108"/>
    </row>
    <row r="57" spans="2:4" x14ac:dyDescent="0.15">
      <c r="B57" s="177" t="s">
        <v>175</v>
      </c>
      <c r="C57" s="177" t="s">
        <v>187</v>
      </c>
      <c r="D57" s="108"/>
    </row>
    <row r="58" spans="2:4" x14ac:dyDescent="0.15">
      <c r="B58" s="177" t="s">
        <v>176</v>
      </c>
      <c r="C58" s="177" t="s">
        <v>188</v>
      </c>
      <c r="D58" s="108"/>
    </row>
    <row r="59" spans="2:4" x14ac:dyDescent="0.15">
      <c r="B59" s="177" t="s">
        <v>177</v>
      </c>
      <c r="C59" s="177" t="s">
        <v>189</v>
      </c>
      <c r="D59" s="108"/>
    </row>
    <row r="60" spans="2:4" x14ac:dyDescent="0.15">
      <c r="B60" s="177" t="s">
        <v>178</v>
      </c>
      <c r="C60" s="177" t="s">
        <v>190</v>
      </c>
      <c r="D60" s="108"/>
    </row>
    <row r="61" spans="2:4" x14ac:dyDescent="0.15">
      <c r="B61" s="177" t="s">
        <v>179</v>
      </c>
      <c r="C61" s="108">
        <v>31</v>
      </c>
      <c r="D61" s="108"/>
    </row>
    <row r="62" spans="2:4" x14ac:dyDescent="0.15">
      <c r="B62" s="177" t="s">
        <v>180</v>
      </c>
      <c r="C62" s="108">
        <v>9</v>
      </c>
      <c r="D62" s="108"/>
    </row>
    <row r="63" spans="2:4" x14ac:dyDescent="0.15">
      <c r="B63" s="177" t="s">
        <v>181</v>
      </c>
      <c r="C63" s="108">
        <v>2001</v>
      </c>
      <c r="D63" s="108"/>
    </row>
    <row r="64" spans="2:4" x14ac:dyDescent="0.15">
      <c r="B64" s="177" t="s">
        <v>182</v>
      </c>
      <c r="C64" s="108">
        <v>4</v>
      </c>
      <c r="D64" s="108"/>
    </row>
    <row r="65" spans="2:4" x14ac:dyDescent="0.15">
      <c r="B65" s="177" t="s">
        <v>183</v>
      </c>
      <c r="C65" s="177" t="s">
        <v>191</v>
      </c>
      <c r="D65" s="108"/>
    </row>
    <row r="66" spans="2:4" x14ac:dyDescent="0.15">
      <c r="B66" s="177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4" style="81" bestFit="1" customWidth="1"/>
    <col min="6" max="6" width="2.33203125" style="81" bestFit="1" customWidth="1"/>
    <col min="7" max="7" width="14.83203125" style="81" bestFit="1" customWidth="1"/>
    <col min="8" max="9" width="5.83203125" style="81" customWidth="1"/>
    <col min="10" max="10" width="11.83203125" style="81" customWidth="1"/>
    <col min="11" max="11" width="13.83203125" style="81" customWidth="1"/>
    <col min="12" max="12" width="2.3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8" t="s">
        <v>192</v>
      </c>
      <c r="F2" s="81">
        <v>0</v>
      </c>
      <c r="G2" s="81">
        <v>2.0000000000000001E-4</v>
      </c>
      <c r="H2" s="81">
        <v>0.13</v>
      </c>
      <c r="I2" s="6">
        <v>73.69</v>
      </c>
      <c r="J2" s="6">
        <v>0.44658720000000002</v>
      </c>
      <c r="K2" s="6">
        <v>1.764147E-3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30</v>
      </c>
      <c r="C3" s="81">
        <v>2</v>
      </c>
      <c r="D3"/>
      <c r="E3" s="178" t="s">
        <v>193</v>
      </c>
      <c r="F3" s="81">
        <v>0</v>
      </c>
      <c r="G3" s="81">
        <v>2.5127E-2</v>
      </c>
      <c r="H3" s="81">
        <v>0.04</v>
      </c>
      <c r="I3" s="81">
        <v>12.19</v>
      </c>
      <c r="J3" s="81">
        <v>0</v>
      </c>
      <c r="K3" s="81">
        <v>3.2813781899999998E-3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8" t="s">
        <v>194</v>
      </c>
      <c r="F4" s="81">
        <v>0</v>
      </c>
      <c r="G4" s="81">
        <v>1.4536E-2</v>
      </c>
      <c r="H4" s="81">
        <v>0.04</v>
      </c>
      <c r="I4" s="81">
        <v>5.44</v>
      </c>
      <c r="J4" s="81">
        <v>0</v>
      </c>
      <c r="K4" s="81">
        <v>7.3529407400000002E-3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9</v>
      </c>
      <c r="C5" s="81">
        <v>4</v>
      </c>
      <c r="D5"/>
      <c r="E5" s="178" t="s">
        <v>195</v>
      </c>
      <c r="F5" s="81">
        <v>0</v>
      </c>
      <c r="G5" s="81">
        <v>1.5820000000000001E-3</v>
      </c>
      <c r="H5" s="81">
        <v>0.02</v>
      </c>
      <c r="I5" s="81">
        <v>9.64</v>
      </c>
      <c r="J5" s="81">
        <v>0.32154867100000001</v>
      </c>
      <c r="K5" s="81">
        <v>2.0746886699999998E-3</v>
      </c>
      <c r="L5" s="81">
        <v>0</v>
      </c>
      <c r="M5" s="81">
        <v>0.2</v>
      </c>
      <c r="N5" s="81">
        <v>0</v>
      </c>
      <c r="P5" s="72"/>
      <c r="Q5" s="72"/>
      <c r="R5" s="72"/>
    </row>
    <row r="6" spans="1:46" ht="15" customHeight="1" thickBot="1" x14ac:dyDescent="0.2">
      <c r="B6" s="1"/>
      <c r="C6" s="81">
        <v>5</v>
      </c>
      <c r="D6"/>
      <c r="E6" s="178" t="s">
        <v>196</v>
      </c>
      <c r="F6" s="81">
        <v>0</v>
      </c>
      <c r="G6" s="81">
        <v>3.3620999999999998E-2</v>
      </c>
      <c r="H6" s="81">
        <v>0.05</v>
      </c>
      <c r="I6" s="81">
        <v>13.5</v>
      </c>
      <c r="J6" s="81">
        <v>0.79593009999999997</v>
      </c>
      <c r="K6" s="81">
        <v>3.70370387E-3</v>
      </c>
      <c r="L6" s="81">
        <v>0</v>
      </c>
      <c r="M6" s="81">
        <v>0.2</v>
      </c>
      <c r="N6" s="81">
        <v>0</v>
      </c>
      <c r="P6" s="72"/>
      <c r="Q6" s="72"/>
      <c r="R6" s="72"/>
      <c r="W6" s="36" t="s">
        <v>31</v>
      </c>
      <c r="X6" s="52">
        <f>MAX(MainOutputs!G:G)</f>
        <v>0.99000012874603271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322</v>
      </c>
      <c r="C7" s="81">
        <v>6</v>
      </c>
      <c r="D7"/>
      <c r="E7" s="178" t="s">
        <v>197</v>
      </c>
      <c r="F7" s="81">
        <v>0</v>
      </c>
      <c r="G7" s="81">
        <v>7.0000000000000001E-3</v>
      </c>
      <c r="H7" s="81">
        <v>0.37</v>
      </c>
      <c r="I7" s="81">
        <v>5.31</v>
      </c>
      <c r="J7" s="81">
        <v>0.91142199999999995</v>
      </c>
      <c r="K7" s="81">
        <v>6.9679850000000002E-2</v>
      </c>
      <c r="L7" s="81">
        <v>0</v>
      </c>
      <c r="M7" s="81">
        <v>0.2</v>
      </c>
      <c r="N7" s="81">
        <v>0</v>
      </c>
      <c r="P7" s="72"/>
      <c r="Q7" s="72"/>
      <c r="R7" s="72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144</v>
      </c>
      <c r="C8" s="81">
        <v>7</v>
      </c>
      <c r="D8"/>
      <c r="E8" s="178" t="s">
        <v>198</v>
      </c>
      <c r="F8" s="81">
        <v>0</v>
      </c>
      <c r="G8" s="81">
        <v>9.8707554900000008E-3</v>
      </c>
      <c r="H8" s="81">
        <v>0.46</v>
      </c>
      <c r="I8" s="81">
        <v>4.5999999999999996</v>
      </c>
      <c r="J8" s="81">
        <v>0.95</v>
      </c>
      <c r="K8" s="81">
        <v>0.1</v>
      </c>
      <c r="L8" s="81">
        <v>0</v>
      </c>
      <c r="M8" s="81">
        <v>0.2</v>
      </c>
      <c r="N8" s="81">
        <v>0</v>
      </c>
      <c r="P8" s="72"/>
      <c r="Q8" s="72"/>
      <c r="R8" s="72"/>
    </row>
    <row r="9" spans="1:46" ht="15" customHeight="1" x14ac:dyDescent="0.15">
      <c r="B9" s="1"/>
      <c r="C9" s="81">
        <v>8</v>
      </c>
      <c r="D9"/>
      <c r="E9" s="178" t="s">
        <v>199</v>
      </c>
      <c r="F9" s="81">
        <v>0</v>
      </c>
      <c r="G9" s="81">
        <v>5.8574029999999997E-3</v>
      </c>
      <c r="H9" s="81">
        <v>2</v>
      </c>
      <c r="I9" s="81">
        <v>15.53</v>
      </c>
      <c r="J9" s="81">
        <v>0.95</v>
      </c>
      <c r="K9" s="81">
        <v>0.12878300000000001</v>
      </c>
      <c r="L9" s="81">
        <v>0</v>
      </c>
      <c r="M9" s="81">
        <v>0.2</v>
      </c>
      <c r="N9" s="81">
        <v>0</v>
      </c>
      <c r="P9" s="72"/>
      <c r="Q9" s="72"/>
      <c r="R9" s="72"/>
    </row>
    <row r="10" spans="1:46" ht="15" customHeight="1" x14ac:dyDescent="0.15">
      <c r="B10" s="1"/>
      <c r="C10" s="81">
        <v>9</v>
      </c>
      <c r="D10"/>
      <c r="E10" s="178" t="s">
        <v>200</v>
      </c>
      <c r="F10" s="81">
        <v>0</v>
      </c>
      <c r="G10" s="81">
        <v>1.1944E-2</v>
      </c>
      <c r="H10" s="81">
        <v>1.96</v>
      </c>
      <c r="I10" s="81">
        <v>19.61</v>
      </c>
      <c r="J10" s="81">
        <v>0.69496285899999999</v>
      </c>
      <c r="K10" s="81">
        <v>9.9948999999999996E-2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8" t="s">
        <v>201</v>
      </c>
      <c r="F11" s="81">
        <v>0</v>
      </c>
      <c r="G11" s="81">
        <v>9.7040000000000008E-3</v>
      </c>
      <c r="H11" s="81">
        <v>0.78</v>
      </c>
      <c r="I11" s="81">
        <v>7.8</v>
      </c>
      <c r="J11" s="81">
        <v>0.88807309999999995</v>
      </c>
      <c r="K11" s="81">
        <v>9.9999993999999995E-2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8" t="s">
        <v>202</v>
      </c>
      <c r="F12" s="81">
        <v>0</v>
      </c>
      <c r="G12" s="81">
        <v>1.6750000000000001E-3</v>
      </c>
      <c r="H12" s="81">
        <v>1.7589999999999999</v>
      </c>
      <c r="I12" s="81">
        <v>17.59</v>
      </c>
      <c r="J12" s="81">
        <v>0.76946800000000004</v>
      </c>
      <c r="K12" s="81">
        <v>9.9999993999999995E-2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8" t="s">
        <v>203</v>
      </c>
      <c r="F13" s="81">
        <v>0</v>
      </c>
      <c r="G13" s="81">
        <v>5.2001583400000002E-3</v>
      </c>
      <c r="H13" s="81">
        <v>1.85</v>
      </c>
      <c r="I13" s="81">
        <v>9.89</v>
      </c>
      <c r="J13" s="81">
        <v>0.95</v>
      </c>
      <c r="K13" s="81">
        <v>0.187057629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8" t="s">
        <v>204</v>
      </c>
      <c r="F14" s="81">
        <v>0</v>
      </c>
      <c r="G14" s="81">
        <v>0.28999999999999998</v>
      </c>
      <c r="H14" s="81">
        <v>1.87</v>
      </c>
      <c r="I14" s="81">
        <v>7.44</v>
      </c>
      <c r="J14" s="81">
        <v>0.184731647</v>
      </c>
      <c r="K14" s="81">
        <v>0.25134408499999999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8" t="s">
        <v>205</v>
      </c>
      <c r="F15" s="81">
        <v>0</v>
      </c>
      <c r="G15" s="81">
        <v>6.5000000000000002E-2</v>
      </c>
      <c r="H15" s="81">
        <v>1.0900000000000001</v>
      </c>
      <c r="I15" s="81">
        <v>10.31</v>
      </c>
      <c r="J15" s="81">
        <v>0.64168035999999995</v>
      </c>
      <c r="K15" s="81">
        <v>0.1057226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8" t="s">
        <v>206</v>
      </c>
      <c r="F16" s="81">
        <v>0</v>
      </c>
      <c r="G16" s="81">
        <v>1.0401641499999999E-3</v>
      </c>
      <c r="H16" s="81">
        <v>2.5</v>
      </c>
      <c r="I16" s="81">
        <v>31.81</v>
      </c>
      <c r="J16" s="81">
        <v>0.95</v>
      </c>
      <c r="K16" s="81">
        <v>7.8591640000000004E-2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8" t="s">
        <v>207</v>
      </c>
      <c r="F17" s="81">
        <v>0</v>
      </c>
      <c r="G17" s="81">
        <v>2.7799999999999998E-2</v>
      </c>
      <c r="H17" s="81">
        <v>4.72</v>
      </c>
      <c r="I17" s="81">
        <v>20</v>
      </c>
      <c r="J17" s="81">
        <v>0.95851993599999996</v>
      </c>
      <c r="K17" s="81">
        <v>0.23599998699999999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8" t="s">
        <v>208</v>
      </c>
      <c r="F18" s="81">
        <v>0</v>
      </c>
      <c r="G18" s="81">
        <v>1.1604649E-2</v>
      </c>
      <c r="H18" s="81">
        <v>0.4</v>
      </c>
      <c r="I18" s="81">
        <v>10</v>
      </c>
      <c r="J18" s="81">
        <v>0.99</v>
      </c>
      <c r="K18" s="81">
        <v>0.04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8" t="s">
        <v>209</v>
      </c>
      <c r="F19" s="81">
        <v>0</v>
      </c>
      <c r="G19" s="81">
        <v>0.20824941999999999</v>
      </c>
      <c r="H19" s="81">
        <v>4</v>
      </c>
      <c r="I19" s="81">
        <v>24.76</v>
      </c>
      <c r="J19" s="81">
        <v>0.95</v>
      </c>
      <c r="K19" s="81">
        <v>0.1615509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8" t="s">
        <v>210</v>
      </c>
      <c r="F20" s="81">
        <v>0</v>
      </c>
      <c r="G20" s="81">
        <v>1.2573615300000001</v>
      </c>
      <c r="H20" s="81">
        <v>0.72</v>
      </c>
      <c r="I20" s="81">
        <v>7.22</v>
      </c>
      <c r="J20" s="81">
        <v>0.95</v>
      </c>
      <c r="K20" s="81">
        <v>9.9723000000000006E-2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7" t="s">
        <v>137</v>
      </c>
      <c r="B21" s="99"/>
      <c r="C21" s="81">
        <v>20</v>
      </c>
      <c r="D21"/>
      <c r="E21" s="178" t="s">
        <v>211</v>
      </c>
      <c r="F21" s="81">
        <v>0</v>
      </c>
      <c r="G21" s="81">
        <v>7.3940000000000001</v>
      </c>
      <c r="H21" s="81">
        <v>3.6</v>
      </c>
      <c r="I21" s="81">
        <v>14.64</v>
      </c>
      <c r="J21" s="81">
        <v>0.33238312599999997</v>
      </c>
      <c r="K21" s="81">
        <v>0.24590162900000001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8" t="s">
        <v>212</v>
      </c>
      <c r="F22" s="81">
        <v>0</v>
      </c>
      <c r="G22" s="81">
        <v>0.243999988</v>
      </c>
      <c r="H22" s="81">
        <v>3.5</v>
      </c>
      <c r="I22" s="81">
        <v>14.64</v>
      </c>
      <c r="J22" s="81">
        <v>0.95660704399999996</v>
      </c>
      <c r="K22" s="81">
        <v>0.23907102599999999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8" t="s">
        <v>213</v>
      </c>
      <c r="F23" s="81">
        <v>0</v>
      </c>
      <c r="G23" s="81">
        <v>8.7240715000000009</v>
      </c>
      <c r="H23" s="81">
        <v>3.76</v>
      </c>
      <c r="I23" s="81">
        <v>15</v>
      </c>
      <c r="J23" s="81">
        <v>0.95</v>
      </c>
      <c r="K23" s="81">
        <v>0.25066667799999998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8" t="s">
        <v>214</v>
      </c>
      <c r="F24" s="81">
        <v>0</v>
      </c>
      <c r="G24" s="81">
        <v>10.833</v>
      </c>
      <c r="H24" s="81">
        <v>0.35499999999999998</v>
      </c>
      <c r="I24" s="81">
        <v>3.55</v>
      </c>
      <c r="J24" s="81">
        <v>0.17684159999999999</v>
      </c>
      <c r="K24" s="81">
        <v>0.1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8" t="s">
        <v>215</v>
      </c>
      <c r="F25" s="81">
        <v>0</v>
      </c>
      <c r="G25" s="81">
        <v>5.6939399999999998E-4</v>
      </c>
      <c r="H25" s="81">
        <v>0.15</v>
      </c>
      <c r="I25" s="81">
        <v>3.5</v>
      </c>
      <c r="J25" s="81">
        <v>0.99</v>
      </c>
      <c r="K25" s="81">
        <v>4.2857144E-2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8" t="s">
        <v>216</v>
      </c>
      <c r="F26" s="81">
        <v>0</v>
      </c>
      <c r="G26" s="81">
        <v>7.6690374400000005E-4</v>
      </c>
      <c r="H26" s="81">
        <v>0.15</v>
      </c>
      <c r="I26" s="81">
        <v>3.5</v>
      </c>
      <c r="J26" s="81">
        <v>0.99</v>
      </c>
      <c r="K26" s="81">
        <v>4.2857144E-2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8" t="s">
        <v>217</v>
      </c>
      <c r="F27" s="81">
        <v>0</v>
      </c>
      <c r="G27" s="81">
        <v>1.15744293</v>
      </c>
      <c r="H27" s="81">
        <v>5.5</v>
      </c>
      <c r="I27" s="81">
        <v>18.329999999999998</v>
      </c>
      <c r="J27" s="81">
        <v>0.95</v>
      </c>
      <c r="K27" s="81">
        <v>0.30005454999999998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8" t="s">
        <v>218</v>
      </c>
      <c r="F28" s="81">
        <v>0</v>
      </c>
      <c r="G28" s="81">
        <v>0.177088</v>
      </c>
      <c r="H28" s="81">
        <v>4.5999999999999996</v>
      </c>
      <c r="I28" s="81">
        <v>15.86</v>
      </c>
      <c r="J28" s="81">
        <v>0.35927265899999999</v>
      </c>
      <c r="K28" s="81">
        <v>0.29003784100000002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8" t="s">
        <v>219</v>
      </c>
      <c r="F29" s="81">
        <v>0</v>
      </c>
      <c r="G29" s="81">
        <v>40</v>
      </c>
      <c r="H29" s="81">
        <v>17.3</v>
      </c>
      <c r="I29" s="81">
        <v>57.7</v>
      </c>
      <c r="J29" s="81">
        <v>0.66559106099999998</v>
      </c>
      <c r="K29" s="81">
        <v>0.29982668200000001</v>
      </c>
      <c r="L29" s="81">
        <v>0</v>
      </c>
      <c r="M29" s="81">
        <v>0.4</v>
      </c>
      <c r="N29" s="81">
        <v>0</v>
      </c>
    </row>
    <row r="30" spans="1:22" customFormat="1" ht="15" customHeight="1" x14ac:dyDescent="0.15">
      <c r="C30" s="81">
        <v>29</v>
      </c>
      <c r="E30" s="178" t="s">
        <v>220</v>
      </c>
      <c r="F30" s="81">
        <v>0</v>
      </c>
      <c r="G30" s="81">
        <v>9.6359999999999992</v>
      </c>
      <c r="H30" s="81">
        <v>8.6999999999999993</v>
      </c>
      <c r="I30" s="81">
        <v>29</v>
      </c>
      <c r="J30" s="81">
        <v>0.15242839999999999</v>
      </c>
      <c r="K30" s="81">
        <v>0.299999982</v>
      </c>
      <c r="L30" s="81">
        <v>0</v>
      </c>
      <c r="M30" s="81">
        <v>0.4</v>
      </c>
      <c r="N30" s="81">
        <v>0</v>
      </c>
    </row>
    <row r="31" spans="1:22" customFormat="1" ht="15" customHeight="1" x14ac:dyDescent="0.15">
      <c r="C31" s="81">
        <v>30</v>
      </c>
      <c r="E31" s="178" t="s">
        <v>221</v>
      </c>
      <c r="F31" s="81">
        <v>1</v>
      </c>
      <c r="G31" s="81">
        <v>32</v>
      </c>
      <c r="H31" s="81">
        <v>42.8</v>
      </c>
      <c r="I31" s="81">
        <v>0</v>
      </c>
      <c r="J31" s="81">
        <v>0.84209060000000002</v>
      </c>
      <c r="K31" s="81">
        <v>0</v>
      </c>
      <c r="L31" s="81">
        <v>0</v>
      </c>
      <c r="M31" s="81">
        <v>0</v>
      </c>
      <c r="N31" s="81">
        <v>0</v>
      </c>
    </row>
    <row r="32" spans="1:22" customFormat="1" ht="15" customHeight="1" x14ac:dyDescent="0.15">
      <c r="C32" s="81">
        <v>31</v>
      </c>
      <c r="E32" s="178" t="s">
        <v>222</v>
      </c>
      <c r="F32" s="81">
        <v>2</v>
      </c>
      <c r="G32" s="81">
        <v>15.074999999999999</v>
      </c>
      <c r="H32" s="81">
        <v>0</v>
      </c>
      <c r="I32" s="81">
        <v>0</v>
      </c>
      <c r="J32" s="81">
        <v>0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8" t="s">
        <v>223</v>
      </c>
      <c r="F33" s="81">
        <v>2</v>
      </c>
      <c r="G33" s="81">
        <v>5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8" t="s">
        <v>224</v>
      </c>
      <c r="F34" s="81">
        <v>3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8" t="s">
        <v>225</v>
      </c>
      <c r="F35" s="81">
        <v>3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>
      <c r="C36" s="81">
        <v>35</v>
      </c>
      <c r="E36" s="178" t="s">
        <v>226</v>
      </c>
      <c r="F36" s="81">
        <v>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</row>
    <row r="37" spans="3:14" customFormat="1" ht="15" customHeight="1" x14ac:dyDescent="0.15">
      <c r="C37" s="81">
        <v>36</v>
      </c>
      <c r="E37" s="178" t="s">
        <v>227</v>
      </c>
      <c r="F37" s="81">
        <v>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</row>
    <row r="38" spans="3:14" customFormat="1" ht="15" customHeight="1" x14ac:dyDescent="0.15">
      <c r="C38" s="81">
        <v>37</v>
      </c>
      <c r="E38" s="178" t="s">
        <v>228</v>
      </c>
      <c r="F38" s="81">
        <v>3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>
      <c r="C39" s="81">
        <v>38</v>
      </c>
      <c r="E39" s="178" t="s">
        <v>229</v>
      </c>
      <c r="F39" s="81">
        <v>3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0</v>
      </c>
      <c r="M39" s="81">
        <v>0</v>
      </c>
      <c r="N39" s="81">
        <v>0</v>
      </c>
    </row>
    <row r="40" spans="3:14" customFormat="1" ht="15" customHeight="1" x14ac:dyDescent="0.15">
      <c r="C40" s="81">
        <v>39</v>
      </c>
      <c r="E40" s="178" t="s">
        <v>230</v>
      </c>
      <c r="F40" s="81">
        <v>3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0</v>
      </c>
      <c r="M40" s="81">
        <v>0</v>
      </c>
      <c r="N40" s="81">
        <v>0</v>
      </c>
    </row>
    <row r="41" spans="3:14" customFormat="1" ht="15" customHeight="1" x14ac:dyDescent="0.15">
      <c r="C41" s="81">
        <v>40</v>
      </c>
      <c r="E41" s="178" t="s">
        <v>231</v>
      </c>
      <c r="F41" s="81">
        <v>3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0</v>
      </c>
      <c r="M41" s="81">
        <v>0</v>
      </c>
      <c r="N41" s="81">
        <v>0</v>
      </c>
    </row>
    <row r="42" spans="3:14" customFormat="1" ht="15" customHeight="1" x14ac:dyDescent="0.15">
      <c r="C42" s="81">
        <v>41</v>
      </c>
      <c r="E42" s="178" t="s">
        <v>232</v>
      </c>
      <c r="F42" s="81">
        <v>3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0</v>
      </c>
      <c r="M42" s="81">
        <v>0</v>
      </c>
      <c r="N42" s="81">
        <v>0</v>
      </c>
    </row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" style="142" bestFit="1" customWidth="1"/>
    <col min="2" max="2" width="14.83203125" style="142" bestFit="1" customWidth="1"/>
    <col min="3" max="3" width="13.83203125" style="142" bestFit="1" customWidth="1"/>
    <col min="4" max="4" width="15.83203125" style="142" bestFit="1" customWidth="1"/>
    <col min="5" max="5" width="14.83203125" style="142" bestFit="1" customWidth="1"/>
    <col min="6" max="6" width="15.83203125" style="142" bestFit="1" customWidth="1"/>
    <col min="7" max="7" width="14.83203125" style="142" bestFit="1" customWidth="1"/>
    <col min="8" max="11" width="15.83203125" style="142" bestFit="1" customWidth="1"/>
    <col min="12" max="13" width="14.83203125" style="142" bestFit="1" customWidth="1"/>
    <col min="14" max="14" width="15.5" style="142" bestFit="1" customWidth="1"/>
    <col min="15" max="20" width="15.83203125" style="142" bestFit="1" customWidth="1"/>
    <col min="21" max="22" width="14.83203125" style="142" bestFit="1" customWidth="1"/>
    <col min="23" max="23" width="15.5" style="142" bestFit="1" customWidth="1"/>
    <col min="24" max="24" width="15.83203125" style="142" bestFit="1" customWidth="1"/>
    <col min="25" max="26" width="4.83203125" style="142" bestFit="1" customWidth="1"/>
    <col min="27" max="29" width="14.83203125" style="142" bestFit="1" customWidth="1"/>
    <col min="30" max="30" width="15.5" style="142" customWidth="1"/>
    <col min="31" max="33" width="2.33203125" style="142" customWidth="1"/>
    <col min="34" max="16384" width="8.83203125" style="142"/>
  </cols>
  <sheetData>
    <row r="1" spans="1:34" x14ac:dyDescent="0.15">
      <c r="A1" s="141" t="s">
        <v>19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  <c r="AF1" s="180" t="s">
        <v>222</v>
      </c>
      <c r="AG1" s="180" t="s">
        <v>223</v>
      </c>
      <c r="AH1"/>
    </row>
    <row r="2" spans="1:34" customFormat="1" x14ac:dyDescent="0.15">
      <c r="A2" s="179" t="s">
        <v>192</v>
      </c>
      <c r="B2" s="142">
        <v>0</v>
      </c>
      <c r="C2" s="142">
        <v>0</v>
      </c>
      <c r="D2" s="142">
        <v>0</v>
      </c>
      <c r="E2" s="142">
        <v>0</v>
      </c>
      <c r="F2" s="142">
        <v>0</v>
      </c>
      <c r="G2" s="142">
        <v>0</v>
      </c>
      <c r="H2" s="142">
        <v>0</v>
      </c>
      <c r="I2" s="142">
        <v>0</v>
      </c>
      <c r="J2" s="142">
        <v>0</v>
      </c>
      <c r="K2" s="142">
        <v>0</v>
      </c>
      <c r="L2" s="142">
        <v>0</v>
      </c>
      <c r="M2" s="142">
        <v>0</v>
      </c>
      <c r="N2" s="142">
        <v>0</v>
      </c>
      <c r="O2" s="142">
        <v>0</v>
      </c>
      <c r="P2" s="142">
        <v>0</v>
      </c>
      <c r="Q2" s="142">
        <v>0</v>
      </c>
      <c r="R2" s="142">
        <v>1.0005703203273862E-4</v>
      </c>
      <c r="S2" s="142">
        <v>0</v>
      </c>
      <c r="T2" s="142">
        <v>0</v>
      </c>
      <c r="U2" s="142">
        <v>0</v>
      </c>
      <c r="V2" s="142">
        <v>0</v>
      </c>
      <c r="W2" s="142">
        <v>0</v>
      </c>
      <c r="X2" s="142">
        <v>0</v>
      </c>
      <c r="Y2" s="142">
        <v>0</v>
      </c>
      <c r="Z2" s="142">
        <v>0</v>
      </c>
      <c r="AA2" s="142">
        <v>0</v>
      </c>
      <c r="AB2" s="142">
        <v>0</v>
      </c>
      <c r="AC2" s="142">
        <v>0</v>
      </c>
      <c r="AD2" s="142">
        <v>0</v>
      </c>
      <c r="AE2" s="142">
        <v>0</v>
      </c>
      <c r="AF2" s="142">
        <v>0</v>
      </c>
      <c r="AG2" s="142">
        <v>0</v>
      </c>
    </row>
    <row r="3" spans="1:34" customFormat="1" x14ac:dyDescent="0.15">
      <c r="A3" s="179" t="s">
        <v>193</v>
      </c>
      <c r="B3" s="142">
        <v>0</v>
      </c>
      <c r="C3" s="142">
        <v>0</v>
      </c>
      <c r="D3" s="142">
        <v>0</v>
      </c>
      <c r="E3" s="142">
        <v>0</v>
      </c>
      <c r="F3" s="142">
        <v>0</v>
      </c>
      <c r="G3" s="142">
        <v>0</v>
      </c>
      <c r="H3" s="142">
        <v>0</v>
      </c>
      <c r="I3" s="142">
        <v>0</v>
      </c>
      <c r="J3" s="142">
        <v>0</v>
      </c>
      <c r="K3" s="142">
        <v>0</v>
      </c>
      <c r="L3" s="142">
        <v>0</v>
      </c>
      <c r="M3" s="142">
        <v>0</v>
      </c>
      <c r="N3" s="142">
        <v>0</v>
      </c>
      <c r="O3" s="142">
        <v>0</v>
      </c>
      <c r="P3" s="142">
        <v>0</v>
      </c>
      <c r="Q3" s="142">
        <v>0</v>
      </c>
      <c r="R3" s="142">
        <v>0</v>
      </c>
      <c r="S3" s="142">
        <v>0</v>
      </c>
      <c r="T3" s="142">
        <v>0</v>
      </c>
      <c r="U3" s="142">
        <v>0</v>
      </c>
      <c r="V3" s="142">
        <v>0</v>
      </c>
      <c r="W3" s="142">
        <v>0</v>
      </c>
      <c r="X3" s="142">
        <v>0</v>
      </c>
      <c r="Y3" s="142">
        <v>0</v>
      </c>
      <c r="Z3" s="142">
        <v>0</v>
      </c>
      <c r="AA3" s="142">
        <v>0</v>
      </c>
      <c r="AB3" s="142">
        <v>0</v>
      </c>
      <c r="AC3" s="142">
        <v>0</v>
      </c>
      <c r="AD3" s="142">
        <v>0</v>
      </c>
      <c r="AE3" s="142">
        <v>0</v>
      </c>
      <c r="AF3" s="142">
        <v>0</v>
      </c>
      <c r="AG3" s="142">
        <v>0</v>
      </c>
    </row>
    <row r="4" spans="1:34" customFormat="1" x14ac:dyDescent="0.15">
      <c r="A4" s="179" t="s">
        <v>194</v>
      </c>
      <c r="B4" s="142">
        <v>0</v>
      </c>
      <c r="C4" s="142">
        <v>0</v>
      </c>
      <c r="D4" s="142">
        <v>0</v>
      </c>
      <c r="E4" s="142">
        <v>0</v>
      </c>
      <c r="F4" s="142">
        <v>0</v>
      </c>
      <c r="G4" s="142">
        <v>0</v>
      </c>
      <c r="H4" s="142">
        <v>0</v>
      </c>
      <c r="I4" s="142">
        <v>0</v>
      </c>
      <c r="J4" s="142">
        <v>0</v>
      </c>
      <c r="K4" s="142">
        <v>0</v>
      </c>
      <c r="L4" s="142">
        <v>0</v>
      </c>
      <c r="M4" s="142">
        <v>0</v>
      </c>
      <c r="N4" s="142">
        <v>0</v>
      </c>
      <c r="O4" s="142">
        <v>0</v>
      </c>
      <c r="P4" s="142">
        <v>0</v>
      </c>
      <c r="Q4" s="142">
        <v>0</v>
      </c>
      <c r="R4" s="142">
        <v>0</v>
      </c>
      <c r="S4" s="142">
        <v>0</v>
      </c>
      <c r="T4" s="142">
        <v>0</v>
      </c>
      <c r="U4" s="142">
        <v>0</v>
      </c>
      <c r="V4" s="142">
        <v>0</v>
      </c>
      <c r="W4" s="142">
        <v>0</v>
      </c>
      <c r="X4" s="142">
        <v>0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2">
        <v>0</v>
      </c>
      <c r="AE4" s="142">
        <v>0</v>
      </c>
      <c r="AF4" s="142">
        <v>0</v>
      </c>
      <c r="AG4" s="142">
        <v>0</v>
      </c>
    </row>
    <row r="5" spans="1:34" customFormat="1" x14ac:dyDescent="0.15">
      <c r="A5" s="179" t="s">
        <v>195</v>
      </c>
      <c r="B5" s="142">
        <v>0</v>
      </c>
      <c r="C5" s="142">
        <v>0</v>
      </c>
      <c r="D5" s="142">
        <v>0</v>
      </c>
      <c r="E5" s="142">
        <v>0</v>
      </c>
      <c r="F5" s="142">
        <v>0</v>
      </c>
      <c r="G5" s="142">
        <v>0</v>
      </c>
      <c r="H5" s="142">
        <v>0</v>
      </c>
      <c r="I5" s="142">
        <v>0</v>
      </c>
      <c r="J5" s="142">
        <v>0</v>
      </c>
      <c r="K5" s="142">
        <v>0</v>
      </c>
      <c r="L5" s="142">
        <v>0</v>
      </c>
      <c r="M5" s="142">
        <v>0</v>
      </c>
      <c r="N5" s="142">
        <v>0</v>
      </c>
      <c r="O5" s="142">
        <v>0</v>
      </c>
      <c r="P5" s="142">
        <v>0</v>
      </c>
      <c r="Q5" s="142">
        <v>0</v>
      </c>
      <c r="R5" s="142">
        <v>0</v>
      </c>
      <c r="S5" s="142">
        <v>0</v>
      </c>
      <c r="T5" s="142">
        <v>0</v>
      </c>
      <c r="U5" s="142">
        <v>0</v>
      </c>
      <c r="V5" s="142">
        <v>0</v>
      </c>
      <c r="W5" s="142">
        <v>0</v>
      </c>
      <c r="X5" s="142">
        <v>0</v>
      </c>
      <c r="Y5" s="142">
        <v>0</v>
      </c>
      <c r="Z5" s="142">
        <v>0</v>
      </c>
      <c r="AA5" s="142">
        <v>0</v>
      </c>
      <c r="AB5" s="142">
        <v>0</v>
      </c>
      <c r="AC5" s="142">
        <v>0</v>
      </c>
      <c r="AD5" s="142">
        <v>0</v>
      </c>
      <c r="AE5" s="142">
        <v>0</v>
      </c>
      <c r="AF5" s="142">
        <v>0</v>
      </c>
      <c r="AG5" s="142">
        <v>0</v>
      </c>
    </row>
    <row r="6" spans="1:34" customFormat="1" x14ac:dyDescent="0.15">
      <c r="A6" s="179" t="s">
        <v>196</v>
      </c>
      <c r="B6" s="142">
        <v>0</v>
      </c>
      <c r="C6" s="142">
        <v>0</v>
      </c>
      <c r="D6" s="142">
        <v>0</v>
      </c>
      <c r="E6" s="142">
        <v>1.3874066662860183E-2</v>
      </c>
      <c r="F6" s="142">
        <v>1.1009799157390072E-4</v>
      </c>
      <c r="G6" s="142">
        <v>0</v>
      </c>
      <c r="H6" s="142">
        <v>0</v>
      </c>
      <c r="I6" s="142">
        <v>0</v>
      </c>
      <c r="J6" s="142">
        <v>0</v>
      </c>
      <c r="K6" s="142">
        <v>0</v>
      </c>
      <c r="L6" s="142">
        <v>0</v>
      </c>
      <c r="M6" s="142">
        <v>0</v>
      </c>
      <c r="N6" s="142">
        <v>0</v>
      </c>
      <c r="O6" s="142">
        <v>0</v>
      </c>
      <c r="P6" s="142">
        <v>0</v>
      </c>
      <c r="Q6" s="142">
        <v>0</v>
      </c>
      <c r="R6" s="142">
        <v>9.0051325429464559E-3</v>
      </c>
      <c r="S6" s="142">
        <v>0</v>
      </c>
      <c r="T6" s="142">
        <v>0</v>
      </c>
      <c r="U6" s="142">
        <v>0</v>
      </c>
      <c r="V6" s="142">
        <v>0</v>
      </c>
      <c r="W6" s="142">
        <v>0</v>
      </c>
      <c r="X6" s="142">
        <v>0</v>
      </c>
      <c r="Y6" s="142">
        <v>0</v>
      </c>
      <c r="Z6" s="142">
        <v>0</v>
      </c>
      <c r="AA6" s="142">
        <v>0</v>
      </c>
      <c r="AB6" s="142">
        <v>0</v>
      </c>
      <c r="AC6" s="142">
        <v>0</v>
      </c>
      <c r="AD6" s="142">
        <v>0</v>
      </c>
      <c r="AE6" s="142">
        <v>0</v>
      </c>
      <c r="AF6" s="142">
        <v>0</v>
      </c>
      <c r="AG6" s="142">
        <v>0</v>
      </c>
    </row>
    <row r="7" spans="1:34" customFormat="1" x14ac:dyDescent="0.15">
      <c r="A7" s="179" t="s">
        <v>197</v>
      </c>
      <c r="B7" s="142">
        <v>0</v>
      </c>
      <c r="C7" s="142">
        <v>0</v>
      </c>
      <c r="D7" s="142">
        <v>0</v>
      </c>
      <c r="E7" s="142">
        <v>0</v>
      </c>
      <c r="F7" s="142">
        <v>0</v>
      </c>
      <c r="G7" s="142">
        <v>0</v>
      </c>
      <c r="H7" s="142">
        <v>0</v>
      </c>
      <c r="I7" s="142">
        <v>0</v>
      </c>
      <c r="J7" s="142">
        <v>0</v>
      </c>
      <c r="K7" s="142">
        <v>0</v>
      </c>
      <c r="L7" s="142">
        <v>0</v>
      </c>
      <c r="M7" s="142">
        <v>0</v>
      </c>
      <c r="N7" s="142">
        <v>0</v>
      </c>
      <c r="O7" s="142">
        <v>0</v>
      </c>
      <c r="P7" s="142">
        <v>0</v>
      </c>
      <c r="Q7" s="142">
        <v>0</v>
      </c>
      <c r="R7" s="142">
        <v>1.9010835546220305E-2</v>
      </c>
      <c r="S7" s="142">
        <v>0</v>
      </c>
      <c r="T7" s="142">
        <v>0</v>
      </c>
      <c r="U7" s="142">
        <v>0</v>
      </c>
      <c r="V7" s="142">
        <v>0</v>
      </c>
      <c r="W7" s="142">
        <v>0</v>
      </c>
      <c r="X7" s="142">
        <v>0</v>
      </c>
      <c r="Y7" s="142">
        <v>0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</row>
    <row r="8" spans="1:34" customFormat="1" x14ac:dyDescent="0.15">
      <c r="A8" s="179" t="s">
        <v>198</v>
      </c>
      <c r="B8" s="142">
        <v>0</v>
      </c>
      <c r="C8" s="142">
        <v>0</v>
      </c>
      <c r="D8" s="142">
        <v>0</v>
      </c>
      <c r="E8" s="142">
        <v>0</v>
      </c>
      <c r="F8" s="142">
        <v>0</v>
      </c>
      <c r="G8" s="142">
        <v>0</v>
      </c>
      <c r="H8" s="142">
        <v>0</v>
      </c>
      <c r="I8" s="142">
        <v>0</v>
      </c>
      <c r="J8" s="142">
        <v>2.0037471708425673E-3</v>
      </c>
      <c r="K8" s="142">
        <v>0</v>
      </c>
      <c r="L8" s="142">
        <v>0</v>
      </c>
      <c r="M8" s="142">
        <v>7.0070071669769687E-3</v>
      </c>
      <c r="N8" s="142">
        <v>0</v>
      </c>
      <c r="O8" s="142">
        <v>0</v>
      </c>
      <c r="P8" s="142">
        <v>0</v>
      </c>
      <c r="Q8" s="142">
        <v>2.0012809401737078E-3</v>
      </c>
      <c r="R8" s="142">
        <v>1.0005702903273845E-2</v>
      </c>
      <c r="S8" s="142">
        <v>0</v>
      </c>
      <c r="T8" s="142">
        <v>0</v>
      </c>
      <c r="U8" s="142">
        <v>0</v>
      </c>
      <c r="V8" s="142">
        <v>0</v>
      </c>
      <c r="W8" s="142">
        <v>0</v>
      </c>
      <c r="X8" s="142">
        <v>0</v>
      </c>
      <c r="Y8" s="142">
        <v>0</v>
      </c>
      <c r="Z8" s="142">
        <v>0</v>
      </c>
      <c r="AA8" s="142">
        <v>0</v>
      </c>
      <c r="AB8" s="142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</row>
    <row r="9" spans="1:34" customFormat="1" x14ac:dyDescent="0.15">
      <c r="A9" s="179" t="s">
        <v>199</v>
      </c>
      <c r="B9" s="142">
        <v>0</v>
      </c>
      <c r="C9" s="142">
        <v>0</v>
      </c>
      <c r="D9" s="142">
        <v>0</v>
      </c>
      <c r="E9" s="142">
        <v>0</v>
      </c>
      <c r="F9" s="142">
        <v>0</v>
      </c>
      <c r="G9" s="142">
        <v>1.9909756897848879E-3</v>
      </c>
      <c r="H9" s="142">
        <v>2.9981802708719291E-3</v>
      </c>
      <c r="I9" s="142">
        <v>0</v>
      </c>
      <c r="J9" s="142">
        <v>1.0018734704212892E-2</v>
      </c>
      <c r="K9" s="142">
        <v>0</v>
      </c>
      <c r="L9" s="142">
        <v>9.9900095992807129E-3</v>
      </c>
      <c r="M9" s="142">
        <v>0</v>
      </c>
      <c r="N9" s="142">
        <v>0</v>
      </c>
      <c r="O9" s="142">
        <v>0</v>
      </c>
      <c r="P9" s="142">
        <v>0</v>
      </c>
      <c r="Q9" s="142">
        <v>0</v>
      </c>
      <c r="R9" s="142">
        <v>8.8050185308809811E-4</v>
      </c>
      <c r="S9" s="142">
        <v>0</v>
      </c>
      <c r="T9" s="142">
        <v>0</v>
      </c>
      <c r="U9" s="142">
        <v>0</v>
      </c>
      <c r="V9" s="142">
        <v>0</v>
      </c>
      <c r="W9" s="142">
        <v>0</v>
      </c>
      <c r="X9" s="142">
        <v>0</v>
      </c>
      <c r="Y9" s="142">
        <v>0</v>
      </c>
      <c r="Z9" s="142">
        <v>0</v>
      </c>
      <c r="AA9" s="142">
        <v>0</v>
      </c>
      <c r="AB9" s="142">
        <v>0</v>
      </c>
      <c r="AC9" s="142">
        <v>0</v>
      </c>
      <c r="AD9" s="142">
        <v>0</v>
      </c>
      <c r="AE9" s="142">
        <v>0</v>
      </c>
      <c r="AF9" s="142">
        <v>0</v>
      </c>
      <c r="AG9" s="142">
        <v>0</v>
      </c>
    </row>
    <row r="10" spans="1:34" customFormat="1" x14ac:dyDescent="0.15">
      <c r="A10" s="179" t="s">
        <v>200</v>
      </c>
      <c r="B10" s="142">
        <v>0</v>
      </c>
      <c r="C10" s="142">
        <v>0</v>
      </c>
      <c r="D10" s="142">
        <v>0</v>
      </c>
      <c r="E10" s="142">
        <v>0</v>
      </c>
      <c r="F10" s="142">
        <v>0</v>
      </c>
      <c r="G10" s="142">
        <v>1.9909756897848879E-3</v>
      </c>
      <c r="H10" s="142">
        <v>4.3973307492787758E-2</v>
      </c>
      <c r="I10" s="142">
        <v>8.400756096272663E-2</v>
      </c>
      <c r="J10" s="142">
        <v>5.0093673521064462E-3</v>
      </c>
      <c r="K10" s="142">
        <v>0</v>
      </c>
      <c r="L10" s="142">
        <v>9.9900095992807129E-3</v>
      </c>
      <c r="M10" s="142">
        <v>0</v>
      </c>
      <c r="N10" s="142">
        <v>0</v>
      </c>
      <c r="O10" s="142">
        <v>0</v>
      </c>
      <c r="P10" s="142">
        <v>0</v>
      </c>
      <c r="Q10" s="142">
        <v>4.7030100594082174E-4</v>
      </c>
      <c r="R10" s="142">
        <v>4.302452109407745E-4</v>
      </c>
      <c r="S10" s="142">
        <v>0</v>
      </c>
      <c r="T10" s="142">
        <v>0</v>
      </c>
      <c r="U10" s="142">
        <v>0</v>
      </c>
      <c r="V10" s="142">
        <v>0</v>
      </c>
      <c r="W10" s="142">
        <v>0</v>
      </c>
      <c r="X10" s="142">
        <v>0</v>
      </c>
      <c r="Y10" s="142">
        <v>0</v>
      </c>
      <c r="Z10" s="142">
        <v>0</v>
      </c>
      <c r="AA10" s="142">
        <v>0</v>
      </c>
      <c r="AB10" s="142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</row>
    <row r="11" spans="1:34" customFormat="1" x14ac:dyDescent="0.15">
      <c r="A11" s="179" t="s">
        <v>201</v>
      </c>
      <c r="B11" s="142">
        <v>0</v>
      </c>
      <c r="C11" s="142">
        <v>0</v>
      </c>
      <c r="D11" s="142">
        <v>0</v>
      </c>
      <c r="E11" s="142">
        <v>0</v>
      </c>
      <c r="F11" s="142">
        <v>0</v>
      </c>
      <c r="G11" s="142">
        <v>1.9909756897848879E-3</v>
      </c>
      <c r="H11" s="142">
        <v>2.9981802708719291E-3</v>
      </c>
      <c r="I11" s="142">
        <v>1.0000899514610308E-2</v>
      </c>
      <c r="J11" s="142">
        <v>1.0018734704212892E-2</v>
      </c>
      <c r="K11" s="142">
        <v>0</v>
      </c>
      <c r="L11" s="142">
        <v>9.9900095992807129E-3</v>
      </c>
      <c r="M11" s="142">
        <v>0</v>
      </c>
      <c r="N11" s="142">
        <v>0</v>
      </c>
      <c r="O11" s="142">
        <v>0</v>
      </c>
      <c r="P11" s="142">
        <v>0</v>
      </c>
      <c r="Q11" s="142">
        <v>0</v>
      </c>
      <c r="R11" s="142">
        <v>4.302452109407745E-4</v>
      </c>
      <c r="S11" s="142">
        <v>0</v>
      </c>
      <c r="T11" s="142">
        <v>0</v>
      </c>
      <c r="U11" s="142">
        <v>0</v>
      </c>
      <c r="V11" s="142">
        <v>0</v>
      </c>
      <c r="W11" s="142">
        <v>0</v>
      </c>
      <c r="X11" s="142">
        <v>0</v>
      </c>
      <c r="Y11" s="142">
        <v>0</v>
      </c>
      <c r="Z11" s="142">
        <v>0</v>
      </c>
      <c r="AA11" s="142">
        <v>0</v>
      </c>
      <c r="AB11" s="142">
        <v>0</v>
      </c>
      <c r="AC11" s="142">
        <v>0</v>
      </c>
      <c r="AD11" s="142">
        <v>0</v>
      </c>
      <c r="AE11" s="142">
        <v>0</v>
      </c>
      <c r="AF11" s="142">
        <v>0</v>
      </c>
      <c r="AG11" s="142">
        <v>0</v>
      </c>
    </row>
    <row r="12" spans="1:34" customFormat="1" x14ac:dyDescent="0.15">
      <c r="A12" s="179" t="s">
        <v>202</v>
      </c>
      <c r="B12" s="142">
        <v>0</v>
      </c>
      <c r="C12" s="142">
        <v>0</v>
      </c>
      <c r="D12" s="142">
        <v>0</v>
      </c>
      <c r="E12" s="142">
        <v>0</v>
      </c>
      <c r="F12" s="142">
        <v>0</v>
      </c>
      <c r="G12" s="142">
        <v>1.9909756897848879E-3</v>
      </c>
      <c r="H12" s="142">
        <v>6.99575419203454E-3</v>
      </c>
      <c r="I12" s="142">
        <v>9.1008191042953848E-4</v>
      </c>
      <c r="J12" s="142">
        <v>5.0093673521064462E-3</v>
      </c>
      <c r="K12" s="142">
        <v>0</v>
      </c>
      <c r="L12" s="142">
        <v>0</v>
      </c>
      <c r="M12" s="142">
        <v>0</v>
      </c>
      <c r="N12" s="142">
        <v>0</v>
      </c>
      <c r="O12" s="142">
        <v>0</v>
      </c>
      <c r="P12" s="142">
        <v>0</v>
      </c>
      <c r="Q12" s="142">
        <v>0</v>
      </c>
      <c r="R12" s="142">
        <v>4.302452109407745E-4</v>
      </c>
      <c r="S12" s="142">
        <v>0</v>
      </c>
      <c r="T12" s="142">
        <v>0</v>
      </c>
      <c r="U12" s="142">
        <v>0</v>
      </c>
      <c r="V12" s="142">
        <v>0</v>
      </c>
      <c r="W12" s="142">
        <v>0</v>
      </c>
      <c r="X12" s="142">
        <v>0</v>
      </c>
      <c r="Y12" s="142">
        <v>0</v>
      </c>
      <c r="Z12" s="142">
        <v>0</v>
      </c>
      <c r="AA12" s="142">
        <v>0</v>
      </c>
      <c r="AB12" s="142">
        <v>0</v>
      </c>
      <c r="AC12" s="142">
        <v>0</v>
      </c>
      <c r="AD12" s="142">
        <v>0</v>
      </c>
      <c r="AE12" s="142">
        <v>0</v>
      </c>
      <c r="AF12" s="142">
        <v>0</v>
      </c>
      <c r="AG12" s="142">
        <v>0</v>
      </c>
    </row>
    <row r="13" spans="1:34" customFormat="1" x14ac:dyDescent="0.15">
      <c r="A13" s="179" t="s">
        <v>203</v>
      </c>
      <c r="B13" s="142">
        <v>0</v>
      </c>
      <c r="C13" s="142">
        <v>0</v>
      </c>
      <c r="D13" s="142">
        <v>0</v>
      </c>
      <c r="E13" s="142">
        <v>0</v>
      </c>
      <c r="F13" s="142">
        <v>0</v>
      </c>
      <c r="G13" s="142">
        <v>1.9909756897848879E-3</v>
      </c>
      <c r="H13" s="142">
        <v>2.9981802708719291E-3</v>
      </c>
      <c r="I13" s="142">
        <v>1.0000899514610308E-2</v>
      </c>
      <c r="J13" s="142">
        <v>1.0018734704212892E-2</v>
      </c>
      <c r="K13" s="142">
        <v>0</v>
      </c>
      <c r="L13" s="142">
        <v>9.9900095992807129E-3</v>
      </c>
      <c r="M13" s="142">
        <v>0</v>
      </c>
      <c r="N13" s="142">
        <v>0</v>
      </c>
      <c r="O13" s="142">
        <v>1.9996601193869035E-3</v>
      </c>
      <c r="P13" s="142">
        <v>0</v>
      </c>
      <c r="Q13" s="142">
        <v>3.001921250260566E-3</v>
      </c>
      <c r="R13" s="142">
        <v>4.302452109407745E-4</v>
      </c>
      <c r="S13" s="142">
        <v>0</v>
      </c>
      <c r="T13" s="142">
        <v>0</v>
      </c>
      <c r="U13" s="142">
        <v>0</v>
      </c>
      <c r="V13" s="142">
        <v>0</v>
      </c>
      <c r="W13" s="142">
        <v>0</v>
      </c>
      <c r="X13" s="142">
        <v>0</v>
      </c>
      <c r="Y13" s="142">
        <v>0</v>
      </c>
      <c r="Z13" s="142">
        <v>0</v>
      </c>
      <c r="AA13" s="142">
        <v>0</v>
      </c>
      <c r="AB13" s="142">
        <v>0</v>
      </c>
      <c r="AC13" s="142">
        <v>0</v>
      </c>
      <c r="AD13" s="142">
        <v>0</v>
      </c>
      <c r="AE13" s="142">
        <v>0</v>
      </c>
      <c r="AF13" s="142">
        <v>0</v>
      </c>
      <c r="AG13" s="142">
        <v>0</v>
      </c>
    </row>
    <row r="14" spans="1:34" customFormat="1" x14ac:dyDescent="0.15">
      <c r="A14" s="179" t="s">
        <v>204</v>
      </c>
      <c r="B14" s="142">
        <v>0</v>
      </c>
      <c r="C14" s="142">
        <v>7.7399385340557014E-2</v>
      </c>
      <c r="D14" s="142">
        <v>0</v>
      </c>
      <c r="E14" s="142">
        <v>0</v>
      </c>
      <c r="F14" s="142">
        <v>0</v>
      </c>
      <c r="G14" s="142">
        <v>1.9909756897848879E-3</v>
      </c>
      <c r="H14" s="142">
        <v>8.9945415326159101E-2</v>
      </c>
      <c r="I14" s="142">
        <v>0.15401385876499879</v>
      </c>
      <c r="J14" s="142">
        <v>0.12823981865392431</v>
      </c>
      <c r="K14" s="142">
        <v>0</v>
      </c>
      <c r="L14" s="142">
        <v>9.9900095992807129E-3</v>
      </c>
      <c r="M14" s="142">
        <v>0</v>
      </c>
      <c r="N14" s="142">
        <v>0</v>
      </c>
      <c r="O14" s="142">
        <v>9.9982997969345327E-3</v>
      </c>
      <c r="P14" s="142">
        <v>0.20273036121996632</v>
      </c>
      <c r="Q14" s="142">
        <v>8.0051237606948312E-3</v>
      </c>
      <c r="R14" s="142">
        <v>1.0005704303273927E-3</v>
      </c>
      <c r="S14" s="142">
        <v>0</v>
      </c>
      <c r="T14" s="142">
        <v>1.8008284123536842E-4</v>
      </c>
      <c r="U14" s="142">
        <v>0</v>
      </c>
      <c r="V14" s="142">
        <v>0</v>
      </c>
      <c r="W14" s="142">
        <v>0</v>
      </c>
      <c r="X14" s="142">
        <v>1.5026296197385424E-4</v>
      </c>
      <c r="Y14" s="142">
        <v>0</v>
      </c>
      <c r="Z14" s="142">
        <v>0</v>
      </c>
      <c r="AA14" s="142">
        <v>0</v>
      </c>
      <c r="AB14" s="142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</row>
    <row r="15" spans="1:34" customFormat="1" x14ac:dyDescent="0.15">
      <c r="A15" s="179" t="s">
        <v>205</v>
      </c>
      <c r="B15" s="142">
        <v>0</v>
      </c>
      <c r="C15" s="142">
        <v>7.7399385340557014E-2</v>
      </c>
      <c r="D15" s="142">
        <v>0</v>
      </c>
      <c r="E15" s="142">
        <v>0</v>
      </c>
      <c r="F15" s="142">
        <v>0</v>
      </c>
      <c r="G15" s="142">
        <v>2.6913188374981682E-2</v>
      </c>
      <c r="H15" s="142">
        <v>2.9981802708719291E-3</v>
      </c>
      <c r="I15" s="142">
        <v>1.0000899514610308E-2</v>
      </c>
      <c r="J15" s="142">
        <v>1.0018734704212892E-2</v>
      </c>
      <c r="K15" s="142">
        <v>0</v>
      </c>
      <c r="L15" s="142">
        <v>9.9900095992807129E-3</v>
      </c>
      <c r="M15" s="142">
        <v>0</v>
      </c>
      <c r="N15" s="142">
        <v>0</v>
      </c>
      <c r="O15" s="142">
        <v>9.6983513030264861E-4</v>
      </c>
      <c r="P15" s="142">
        <v>4.0945542350338051E-4</v>
      </c>
      <c r="Q15" s="142">
        <v>6.0038425105211329E-3</v>
      </c>
      <c r="R15" s="142">
        <v>2.0011405706547681E-2</v>
      </c>
      <c r="S15" s="142">
        <v>0</v>
      </c>
      <c r="T15" s="142">
        <v>3.6016568247073684E-4</v>
      </c>
      <c r="U15" s="142">
        <v>0</v>
      </c>
      <c r="V15" s="142">
        <v>0</v>
      </c>
      <c r="W15" s="142">
        <v>0</v>
      </c>
      <c r="X15" s="142">
        <v>0</v>
      </c>
      <c r="Y15" s="142">
        <v>0</v>
      </c>
      <c r="Z15" s="142">
        <v>0</v>
      </c>
      <c r="AA15" s="142">
        <v>0</v>
      </c>
      <c r="AB15" s="142">
        <v>0</v>
      </c>
      <c r="AC15" s="142">
        <v>0</v>
      </c>
      <c r="AD15" s="142">
        <v>0</v>
      </c>
      <c r="AE15" s="142">
        <v>0</v>
      </c>
      <c r="AF15" s="142">
        <v>0</v>
      </c>
      <c r="AG15" s="142">
        <v>0</v>
      </c>
    </row>
    <row r="16" spans="1:34" customFormat="1" x14ac:dyDescent="0.15">
      <c r="A16" s="179" t="s">
        <v>206</v>
      </c>
      <c r="B16" s="142">
        <v>0</v>
      </c>
      <c r="C16" s="142">
        <v>0</v>
      </c>
      <c r="D16" s="142">
        <v>0</v>
      </c>
      <c r="E16" s="142">
        <v>0</v>
      </c>
      <c r="F16" s="142">
        <v>0</v>
      </c>
      <c r="G16" s="142">
        <v>1.9909756897848879E-3</v>
      </c>
      <c r="H16" s="142">
        <v>2.9981802708719291E-3</v>
      </c>
      <c r="I16" s="142">
        <v>1.0000900114610313E-3</v>
      </c>
      <c r="J16" s="142">
        <v>1.0018735904212832E-3</v>
      </c>
      <c r="K16" s="142">
        <v>0</v>
      </c>
      <c r="L16" s="142">
        <v>9.9900095992807129E-3</v>
      </c>
      <c r="M16" s="142">
        <v>0</v>
      </c>
      <c r="N16" s="142">
        <v>0</v>
      </c>
      <c r="O16" s="142">
        <v>1.9996599593869062E-4</v>
      </c>
      <c r="P16" s="142">
        <v>2.9960154075857129E-3</v>
      </c>
      <c r="Q16" s="142">
        <v>9.7062121498424944E-4</v>
      </c>
      <c r="R16" s="142">
        <v>4.302452109407745E-4</v>
      </c>
      <c r="S16" s="142">
        <v>0</v>
      </c>
      <c r="T16" s="142">
        <v>0</v>
      </c>
      <c r="U16" s="142">
        <v>0</v>
      </c>
      <c r="V16" s="142">
        <v>0</v>
      </c>
      <c r="W16" s="142">
        <v>0</v>
      </c>
      <c r="X16" s="142">
        <v>0</v>
      </c>
      <c r="Y16" s="142">
        <v>0</v>
      </c>
      <c r="Z16" s="142">
        <v>0</v>
      </c>
      <c r="AA16" s="142">
        <v>0</v>
      </c>
      <c r="AB16" s="142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</row>
    <row r="17" spans="1:33" customFormat="1" x14ac:dyDescent="0.15">
      <c r="A17" s="179" t="s">
        <v>207</v>
      </c>
      <c r="B17" s="142">
        <v>0</v>
      </c>
      <c r="C17" s="142">
        <v>0</v>
      </c>
      <c r="D17" s="142">
        <v>0</v>
      </c>
      <c r="E17" s="142">
        <v>0</v>
      </c>
      <c r="F17" s="142">
        <v>0</v>
      </c>
      <c r="G17" s="142">
        <v>1.9909756897848879E-3</v>
      </c>
      <c r="H17" s="142">
        <v>1.199272104348771E-2</v>
      </c>
      <c r="I17" s="142">
        <v>5.000449777305154E-3</v>
      </c>
      <c r="J17" s="142">
        <v>1.0018735904212832E-3</v>
      </c>
      <c r="K17" s="142">
        <v>0</v>
      </c>
      <c r="L17" s="142">
        <v>2.1978020262417564E-2</v>
      </c>
      <c r="M17" s="142">
        <v>0</v>
      </c>
      <c r="N17" s="142">
        <v>0</v>
      </c>
      <c r="O17" s="142">
        <v>0</v>
      </c>
      <c r="P17" s="142">
        <v>0</v>
      </c>
      <c r="Q17" s="142">
        <v>0.21613834153876044</v>
      </c>
      <c r="R17" s="142">
        <v>3.3018821990803832E-4</v>
      </c>
      <c r="S17" s="142">
        <v>0</v>
      </c>
      <c r="T17" s="142">
        <v>0</v>
      </c>
      <c r="U17" s="142">
        <v>0</v>
      </c>
      <c r="V17" s="142">
        <v>0</v>
      </c>
      <c r="W17" s="142">
        <v>0</v>
      </c>
      <c r="X17" s="142">
        <v>0</v>
      </c>
      <c r="Y17" s="142">
        <v>0</v>
      </c>
      <c r="Z17" s="142">
        <v>0</v>
      </c>
      <c r="AA17" s="142">
        <v>0</v>
      </c>
      <c r="AB17" s="142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</row>
    <row r="18" spans="1:33" customFormat="1" x14ac:dyDescent="0.15">
      <c r="A18" s="179" t="s">
        <v>208</v>
      </c>
      <c r="B18" s="142">
        <v>0</v>
      </c>
      <c r="C18" s="142">
        <v>0</v>
      </c>
      <c r="D18" s="142">
        <v>0</v>
      </c>
      <c r="E18" s="142">
        <v>1.0672359740661662E-3</v>
      </c>
      <c r="F18" s="142">
        <v>0</v>
      </c>
      <c r="G18" s="142">
        <v>0</v>
      </c>
      <c r="H18" s="142">
        <v>0</v>
      </c>
      <c r="I18" s="142">
        <v>0</v>
      </c>
      <c r="J18" s="142">
        <v>0</v>
      </c>
      <c r="K18" s="142">
        <v>0</v>
      </c>
      <c r="L18" s="142">
        <v>0</v>
      </c>
      <c r="M18" s="142">
        <v>0</v>
      </c>
      <c r="N18" s="142">
        <v>0</v>
      </c>
      <c r="O18" s="142">
        <v>0</v>
      </c>
      <c r="P18" s="142">
        <v>0</v>
      </c>
      <c r="Q18" s="142">
        <v>0</v>
      </c>
      <c r="R18" s="142">
        <v>1.5008554804910795E-2</v>
      </c>
      <c r="S18" s="142">
        <v>0</v>
      </c>
      <c r="T18" s="142">
        <v>0</v>
      </c>
      <c r="U18" s="142">
        <v>0</v>
      </c>
      <c r="V18" s="142">
        <v>0</v>
      </c>
      <c r="W18" s="142">
        <v>0</v>
      </c>
      <c r="X18" s="142">
        <v>0</v>
      </c>
      <c r="Y18" s="142">
        <v>0</v>
      </c>
      <c r="Z18" s="142">
        <v>0</v>
      </c>
      <c r="AA18" s="142">
        <v>0</v>
      </c>
      <c r="AB18" s="142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</row>
    <row r="19" spans="1:33" customFormat="1" x14ac:dyDescent="0.15">
      <c r="A19" s="179" t="s">
        <v>209</v>
      </c>
      <c r="B19" s="142">
        <v>7.4842198778575328E-2</v>
      </c>
      <c r="C19" s="142">
        <v>0</v>
      </c>
      <c r="D19" s="142">
        <v>0</v>
      </c>
      <c r="E19" s="142">
        <v>0</v>
      </c>
      <c r="F19" s="142">
        <v>0</v>
      </c>
      <c r="G19" s="142">
        <v>2.9914658193752933E-3</v>
      </c>
      <c r="H19" s="142">
        <v>1.7989079765231255E-2</v>
      </c>
      <c r="I19" s="142">
        <v>1.3001170148993407E-2</v>
      </c>
      <c r="J19" s="142">
        <v>3.6067443015166512E-2</v>
      </c>
      <c r="K19" s="142">
        <v>0</v>
      </c>
      <c r="L19" s="142">
        <v>0.20079920239754248</v>
      </c>
      <c r="M19" s="142">
        <v>7.3073070831331438E-2</v>
      </c>
      <c r="N19" s="142">
        <v>0</v>
      </c>
      <c r="O19" s="142">
        <v>4.7991841025285711E-2</v>
      </c>
      <c r="P19" s="142">
        <v>3.4953512855166652E-2</v>
      </c>
      <c r="Q19" s="142">
        <v>0.43127601010743499</v>
      </c>
      <c r="R19" s="142">
        <v>1.0005703203273862E-4</v>
      </c>
      <c r="S19" s="142">
        <v>0</v>
      </c>
      <c r="T19" s="142">
        <v>1.2005522515691217E-2</v>
      </c>
      <c r="U19" s="142">
        <v>0</v>
      </c>
      <c r="V19" s="142">
        <v>0</v>
      </c>
      <c r="W19" s="142">
        <v>0</v>
      </c>
      <c r="X19" s="142">
        <v>6.01051848895417E-3</v>
      </c>
      <c r="Y19" s="142">
        <v>0</v>
      </c>
      <c r="Z19" s="142">
        <v>0</v>
      </c>
      <c r="AA19" s="142">
        <v>0</v>
      </c>
      <c r="AB19" s="142">
        <v>5.4837837126591349E-2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</row>
    <row r="20" spans="1:33" customFormat="1" x14ac:dyDescent="0.15">
      <c r="A20" s="179" t="s">
        <v>210</v>
      </c>
      <c r="B20" s="142">
        <v>1.1722273008692507E-2</v>
      </c>
      <c r="C20" s="142">
        <v>0</v>
      </c>
      <c r="D20" s="142">
        <v>0</v>
      </c>
      <c r="E20" s="142">
        <v>0</v>
      </c>
      <c r="F20" s="142">
        <v>0</v>
      </c>
      <c r="G20" s="142">
        <v>0.11005392735494386</v>
      </c>
      <c r="H20" s="142">
        <v>2.2986049016684839E-2</v>
      </c>
      <c r="I20" s="142">
        <v>7.9007110905421479E-2</v>
      </c>
      <c r="J20" s="142">
        <v>5.9110537074855952E-2</v>
      </c>
      <c r="K20" s="142">
        <v>7.9095707152554537E-4</v>
      </c>
      <c r="L20" s="142">
        <v>1.9980020238561441E-3</v>
      </c>
      <c r="M20" s="142">
        <v>0.28328328694064048</v>
      </c>
      <c r="N20" s="142">
        <v>9.8990197344463076E-5</v>
      </c>
      <c r="O20" s="142">
        <v>0.34894069291301455</v>
      </c>
      <c r="P20" s="142">
        <v>2.0972106933099973E-2</v>
      </c>
      <c r="Q20" s="142">
        <v>0.15109669548311538</v>
      </c>
      <c r="R20" s="142">
        <v>0.23513401417693511</v>
      </c>
      <c r="S20" s="142">
        <v>0</v>
      </c>
      <c r="T20" s="142">
        <v>6.0027613078456098E-3</v>
      </c>
      <c r="U20" s="142">
        <v>0</v>
      </c>
      <c r="V20" s="142">
        <v>0</v>
      </c>
      <c r="W20" s="142">
        <v>0</v>
      </c>
      <c r="X20" s="142">
        <v>6.01051848895417E-3</v>
      </c>
      <c r="Y20" s="142">
        <v>0</v>
      </c>
      <c r="Z20" s="142">
        <v>0</v>
      </c>
      <c r="AA20" s="142">
        <v>1.0030091589769319E-3</v>
      </c>
      <c r="AB20" s="142">
        <v>5.4837837126591349E-2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</row>
    <row r="21" spans="1:33" customFormat="1" x14ac:dyDescent="0.15">
      <c r="A21" s="179" t="s">
        <v>211</v>
      </c>
      <c r="B21" s="142">
        <v>0.20829577360061299</v>
      </c>
      <c r="C21" s="142">
        <v>9.5975229322291203E-2</v>
      </c>
      <c r="D21" s="142">
        <v>9.9966020354279577E-4</v>
      </c>
      <c r="E21" s="142">
        <v>6.6168618392102585E-2</v>
      </c>
      <c r="F21" s="142">
        <v>0.15113449804235485</v>
      </c>
      <c r="G21" s="142">
        <v>0</v>
      </c>
      <c r="H21" s="142">
        <v>0.64360930966716468</v>
      </c>
      <c r="I21" s="142">
        <v>0.14401295965038849</v>
      </c>
      <c r="J21" s="142">
        <v>4.0074943416851345E-3</v>
      </c>
      <c r="K21" s="142">
        <v>0.2132580353227107</v>
      </c>
      <c r="L21" s="142">
        <v>0.20879121349296709</v>
      </c>
      <c r="M21" s="142">
        <v>0.12912912104714752</v>
      </c>
      <c r="N21" s="142">
        <v>6.6993365698778048E-2</v>
      </c>
      <c r="O21" s="142">
        <v>6.8988268598848282E-2</v>
      </c>
      <c r="P21" s="142">
        <v>0.19174498604548562</v>
      </c>
      <c r="Q21" s="142">
        <v>8.0051237606948312E-3</v>
      </c>
      <c r="R21" s="142">
        <v>2.5014258608184691E-2</v>
      </c>
      <c r="S21" s="142">
        <v>2.0993701511021669E-2</v>
      </c>
      <c r="T21" s="142">
        <v>0</v>
      </c>
      <c r="U21" s="142">
        <v>0</v>
      </c>
      <c r="V21" s="142">
        <v>0</v>
      </c>
      <c r="W21" s="142">
        <v>4.0996190641180423E-2</v>
      </c>
      <c r="X21" s="142">
        <v>5.6098175036905618E-2</v>
      </c>
      <c r="Y21" s="142">
        <v>0</v>
      </c>
      <c r="Z21" s="142">
        <v>0</v>
      </c>
      <c r="AA21" s="142">
        <v>0</v>
      </c>
      <c r="AB21" s="142">
        <v>0</v>
      </c>
      <c r="AC21" s="142">
        <v>0</v>
      </c>
      <c r="AD21" s="142">
        <v>2.999712240880875E-3</v>
      </c>
      <c r="AE21" s="142">
        <v>0</v>
      </c>
      <c r="AF21" s="142">
        <v>0</v>
      </c>
      <c r="AG21" s="142">
        <v>0</v>
      </c>
    </row>
    <row r="22" spans="1:33" customFormat="1" x14ac:dyDescent="0.15">
      <c r="A22" s="179" t="s">
        <v>212</v>
      </c>
      <c r="B22" s="142">
        <v>5.7709651958178489E-2</v>
      </c>
      <c r="C22" s="142">
        <v>2.6831785484726516E-2</v>
      </c>
      <c r="D22" s="142">
        <v>3.3988445720455052E-4</v>
      </c>
      <c r="E22" s="142">
        <v>1.8143010859124842E-2</v>
      </c>
      <c r="F22" s="142">
        <v>4.2037411955489407E-2</v>
      </c>
      <c r="G22" s="142">
        <v>0.12306030056961903</v>
      </c>
      <c r="H22" s="142">
        <v>2.0987260976103348E-2</v>
      </c>
      <c r="I22" s="142">
        <v>5.000449777305154E-3</v>
      </c>
      <c r="J22" s="142">
        <v>1.3024354955476768E-4</v>
      </c>
      <c r="K22" s="142">
        <v>7.0084807476946927E-3</v>
      </c>
      <c r="L22" s="142">
        <v>6.9930070834965047E-3</v>
      </c>
      <c r="M22" s="142">
        <v>4.0040042254154053E-3</v>
      </c>
      <c r="N22" s="142">
        <v>0</v>
      </c>
      <c r="O22" s="142">
        <v>1.9996599593869065E-2</v>
      </c>
      <c r="P22" s="142">
        <v>5.9920308151714258E-3</v>
      </c>
      <c r="Q22" s="142">
        <v>2.6016649222258289E-4</v>
      </c>
      <c r="R22" s="142">
        <v>8.3047335007172961E-4</v>
      </c>
      <c r="S22" s="142">
        <v>2.9991004658602558E-4</v>
      </c>
      <c r="T22" s="142">
        <v>7.9036359053300628E-2</v>
      </c>
      <c r="U22" s="142">
        <v>0</v>
      </c>
      <c r="V22" s="142">
        <v>0</v>
      </c>
      <c r="W22" s="142">
        <v>9.2991361454384887E-5</v>
      </c>
      <c r="X22" s="142">
        <v>1.0017530531590279E-4</v>
      </c>
      <c r="Y22" s="142">
        <v>0</v>
      </c>
      <c r="Z22" s="142">
        <v>0</v>
      </c>
      <c r="AA22" s="142">
        <v>0</v>
      </c>
      <c r="AB22" s="142">
        <v>0</v>
      </c>
      <c r="AC22" s="142">
        <v>0</v>
      </c>
      <c r="AD22" s="142">
        <v>9.5990789708187997E-5</v>
      </c>
      <c r="AE22" s="142">
        <v>0</v>
      </c>
      <c r="AF22" s="142">
        <v>0</v>
      </c>
      <c r="AG22" s="142">
        <v>0</v>
      </c>
    </row>
    <row r="23" spans="1:33" customFormat="1" x14ac:dyDescent="0.15">
      <c r="A23" s="179" t="s">
        <v>213</v>
      </c>
      <c r="B23" s="142">
        <v>0</v>
      </c>
      <c r="C23" s="142">
        <v>0.15479876668111425</v>
      </c>
      <c r="D23" s="142">
        <v>7.9972820283423663E-3</v>
      </c>
      <c r="E23" s="142">
        <v>0.2251867595279618</v>
      </c>
      <c r="F23" s="142">
        <v>0.10909709158686538</v>
      </c>
      <c r="G23" s="142">
        <v>3.5917600331295291E-2</v>
      </c>
      <c r="H23" s="142">
        <v>7.6953293112379427E-5</v>
      </c>
      <c r="I23" s="142">
        <v>1.3001170148993407E-2</v>
      </c>
      <c r="J23" s="142">
        <v>0.11321170039760577</v>
      </c>
      <c r="K23" s="142">
        <v>6.9083591312990703E-2</v>
      </c>
      <c r="L23" s="142">
        <v>8.6913081037742188E-2</v>
      </c>
      <c r="M23" s="142">
        <v>0</v>
      </c>
      <c r="N23" s="142">
        <v>0</v>
      </c>
      <c r="O23" s="142">
        <v>0</v>
      </c>
      <c r="P23" s="142">
        <v>9.1877801459295117E-4</v>
      </c>
      <c r="Q23" s="142">
        <v>6.6042268025732446E-4</v>
      </c>
      <c r="R23" s="142">
        <v>5.0028513016369134E-3</v>
      </c>
      <c r="S23" s="142">
        <v>0</v>
      </c>
      <c r="T23" s="142">
        <v>2.0009205726152107E-3</v>
      </c>
      <c r="U23" s="142">
        <v>0</v>
      </c>
      <c r="V23" s="142">
        <v>0</v>
      </c>
      <c r="W23" s="142">
        <v>4.9995350781927286E-3</v>
      </c>
      <c r="X23" s="142">
        <v>0.5760080075664411</v>
      </c>
      <c r="Y23" s="142">
        <v>0</v>
      </c>
      <c r="Z23" s="142">
        <v>0</v>
      </c>
      <c r="AA23" s="142">
        <v>0.35707122419578746</v>
      </c>
      <c r="AB23" s="142">
        <v>0.2221532882719576</v>
      </c>
      <c r="AC23" s="142">
        <v>0</v>
      </c>
      <c r="AD23" s="142">
        <v>0</v>
      </c>
      <c r="AE23" s="142">
        <v>0</v>
      </c>
      <c r="AF23" s="142">
        <v>0</v>
      </c>
      <c r="AG23" s="142">
        <v>0</v>
      </c>
    </row>
    <row r="24" spans="1:33" customFormat="1" x14ac:dyDescent="0.15">
      <c r="A24" s="179" t="s">
        <v>214</v>
      </c>
      <c r="B24" s="142">
        <v>0</v>
      </c>
      <c r="C24" s="142">
        <v>0</v>
      </c>
      <c r="D24" s="142">
        <v>1.1995921842513546E-2</v>
      </c>
      <c r="E24" s="142">
        <v>0.2251867595279618</v>
      </c>
      <c r="F24" s="142">
        <v>0.10909709158686538</v>
      </c>
      <c r="G24" s="142">
        <v>0.12406078750920964</v>
      </c>
      <c r="H24" s="142">
        <v>5.2967851725404122E-2</v>
      </c>
      <c r="I24" s="142">
        <v>0.12101089338678481</v>
      </c>
      <c r="J24" s="142">
        <v>0.21640468029099796</v>
      </c>
      <c r="K24" s="142">
        <v>0.37645550244760184</v>
      </c>
      <c r="L24" s="142">
        <v>0.31568432276927078</v>
      </c>
      <c r="M24" s="142">
        <v>3.9039038200300337E-2</v>
      </c>
      <c r="N24" s="142">
        <v>0</v>
      </c>
      <c r="O24" s="142">
        <v>0</v>
      </c>
      <c r="P24" s="142">
        <v>0.18675162196617603</v>
      </c>
      <c r="Q24" s="142">
        <v>2.0012809401737078E-3</v>
      </c>
      <c r="R24" s="142">
        <v>7.404220446422663E-2</v>
      </c>
      <c r="S24" s="142">
        <v>0</v>
      </c>
      <c r="T24" s="142">
        <v>0</v>
      </c>
      <c r="U24" s="142">
        <v>0</v>
      </c>
      <c r="V24" s="142">
        <v>0</v>
      </c>
      <c r="W24" s="142">
        <v>0</v>
      </c>
      <c r="X24" s="142">
        <v>5.0087650657951368E-3</v>
      </c>
      <c r="Y24" s="142">
        <v>0</v>
      </c>
      <c r="Z24" s="142">
        <v>0</v>
      </c>
      <c r="AA24" s="142">
        <v>0</v>
      </c>
      <c r="AB24" s="142">
        <v>0.11007594964826733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</row>
    <row r="25" spans="1:33" customFormat="1" x14ac:dyDescent="0.15">
      <c r="A25" s="179" t="s">
        <v>215</v>
      </c>
      <c r="B25" s="142">
        <v>0</v>
      </c>
      <c r="C25" s="142">
        <v>0</v>
      </c>
      <c r="D25" s="142">
        <v>0</v>
      </c>
      <c r="E25" s="142">
        <v>0</v>
      </c>
      <c r="F25" s="142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142">
        <v>0</v>
      </c>
      <c r="M25" s="142">
        <v>0</v>
      </c>
      <c r="N25" s="142">
        <v>0</v>
      </c>
      <c r="O25" s="142">
        <v>0</v>
      </c>
      <c r="P25" s="142">
        <v>0</v>
      </c>
      <c r="Q25" s="142">
        <v>0</v>
      </c>
      <c r="R25" s="142">
        <v>6.8038784102262412E-4</v>
      </c>
      <c r="S25" s="142">
        <v>0</v>
      </c>
      <c r="T25" s="142">
        <v>0</v>
      </c>
      <c r="U25" s="142">
        <v>0</v>
      </c>
      <c r="V25" s="142">
        <v>0</v>
      </c>
      <c r="W25" s="142">
        <v>0</v>
      </c>
      <c r="X25" s="142">
        <v>0</v>
      </c>
      <c r="Y25" s="142">
        <v>0</v>
      </c>
      <c r="Z25" s="142">
        <v>0</v>
      </c>
      <c r="AA25" s="142">
        <v>0</v>
      </c>
      <c r="AB25" s="142">
        <v>0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</row>
    <row r="26" spans="1:33" customFormat="1" x14ac:dyDescent="0.15">
      <c r="A26" s="179" t="s">
        <v>216</v>
      </c>
      <c r="B26" s="142">
        <v>0</v>
      </c>
      <c r="C26" s="142">
        <v>0</v>
      </c>
      <c r="D26" s="142">
        <v>0</v>
      </c>
      <c r="E26" s="142">
        <v>0</v>
      </c>
      <c r="F26" s="142">
        <v>0</v>
      </c>
      <c r="G26" s="142">
        <v>0</v>
      </c>
      <c r="H26" s="142">
        <v>0</v>
      </c>
      <c r="I26" s="142">
        <v>0</v>
      </c>
      <c r="J26" s="142">
        <v>0</v>
      </c>
      <c r="K26" s="142">
        <v>0</v>
      </c>
      <c r="L26" s="142">
        <v>0</v>
      </c>
      <c r="M26" s="142">
        <v>0</v>
      </c>
      <c r="N26" s="142">
        <v>0</v>
      </c>
      <c r="O26" s="142">
        <v>0</v>
      </c>
      <c r="P26" s="142">
        <v>0</v>
      </c>
      <c r="Q26" s="142">
        <v>0</v>
      </c>
      <c r="R26" s="142">
        <v>6.8038784102262412E-4</v>
      </c>
      <c r="S26" s="142">
        <v>0</v>
      </c>
      <c r="T26" s="142">
        <v>0</v>
      </c>
      <c r="U26" s="142">
        <v>0</v>
      </c>
      <c r="V26" s="142">
        <v>0</v>
      </c>
      <c r="W26" s="142">
        <v>0</v>
      </c>
      <c r="X26" s="142">
        <v>0</v>
      </c>
      <c r="Y26" s="142">
        <v>0</v>
      </c>
      <c r="Z26" s="142">
        <v>0</v>
      </c>
      <c r="AA26" s="142">
        <v>0</v>
      </c>
      <c r="AB26" s="142">
        <v>0</v>
      </c>
      <c r="AC26" s="142">
        <v>0</v>
      </c>
      <c r="AD26" s="142">
        <v>0</v>
      </c>
      <c r="AE26" s="142">
        <v>0</v>
      </c>
      <c r="AF26" s="142">
        <v>0</v>
      </c>
      <c r="AG26" s="142">
        <v>0</v>
      </c>
    </row>
    <row r="27" spans="1:33" customFormat="1" x14ac:dyDescent="0.15">
      <c r="A27" s="179" t="s">
        <v>217</v>
      </c>
      <c r="B27" s="142">
        <v>0.48963027400923398</v>
      </c>
      <c r="C27" s="142">
        <v>0</v>
      </c>
      <c r="D27" s="142">
        <v>7.9972820283423663E-3</v>
      </c>
      <c r="E27" s="142">
        <v>0.26254003562027717</v>
      </c>
      <c r="F27" s="142">
        <v>0.32228683982541856</v>
      </c>
      <c r="G27" s="142">
        <v>0.39419314819861767</v>
      </c>
      <c r="H27" s="142">
        <v>4.8970275544241132E-2</v>
      </c>
      <c r="I27" s="142">
        <v>0.15401385876499879</v>
      </c>
      <c r="J27" s="142">
        <v>0.11521545229844811</v>
      </c>
      <c r="K27" s="142">
        <v>7.1086017440903371E-2</v>
      </c>
      <c r="L27" s="142">
        <v>1.7982017414705287E-2</v>
      </c>
      <c r="M27" s="142">
        <v>0.12212212537017</v>
      </c>
      <c r="N27" s="142">
        <v>0.73992675249396478</v>
      </c>
      <c r="O27" s="142">
        <v>0.14497534605555074</v>
      </c>
      <c r="P27" s="142">
        <v>0.15779014150618081</v>
      </c>
      <c r="Q27" s="142">
        <v>5.2033303644516422E-2</v>
      </c>
      <c r="R27" s="142">
        <v>0.17810152073827495</v>
      </c>
      <c r="S27" s="142">
        <v>0</v>
      </c>
      <c r="T27" s="142">
        <v>2.0009203926152012E-2</v>
      </c>
      <c r="U27" s="142">
        <v>0</v>
      </c>
      <c r="V27" s="142">
        <v>0</v>
      </c>
      <c r="W27" s="142">
        <v>0</v>
      </c>
      <c r="X27" s="142">
        <v>8.2143754879040354E-2</v>
      </c>
      <c r="Y27" s="142">
        <v>0</v>
      </c>
      <c r="Z27" s="142">
        <v>0</v>
      </c>
      <c r="AA27" s="142">
        <v>5.0150450448846534E-3</v>
      </c>
      <c r="AB27" s="142">
        <v>0.2221532882719576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</row>
    <row r="28" spans="1:33" customFormat="1" x14ac:dyDescent="0.15">
      <c r="A28" s="179" t="s">
        <v>218</v>
      </c>
      <c r="B28" s="142">
        <v>0</v>
      </c>
      <c r="C28" s="142">
        <v>0</v>
      </c>
      <c r="D28" s="142">
        <v>4.9983006177139779E-2</v>
      </c>
      <c r="E28" s="142">
        <v>0.18783351343564567</v>
      </c>
      <c r="F28" s="142">
        <v>0.26323429659032616</v>
      </c>
      <c r="G28" s="142">
        <v>2.2911226816620122E-2</v>
      </c>
      <c r="H28" s="142">
        <v>1.8988475835522351E-4</v>
      </c>
      <c r="I28" s="142">
        <v>3.0002700343830942E-3</v>
      </c>
      <c r="J28" s="142">
        <v>0</v>
      </c>
      <c r="K28" s="142">
        <v>8.0096927116510615E-3</v>
      </c>
      <c r="L28" s="142">
        <v>0</v>
      </c>
      <c r="M28" s="142">
        <v>0</v>
      </c>
      <c r="N28" s="142">
        <v>0</v>
      </c>
      <c r="O28" s="142">
        <v>0</v>
      </c>
      <c r="P28" s="142">
        <v>2.9960154075857129E-3</v>
      </c>
      <c r="Q28" s="142">
        <v>0</v>
      </c>
      <c r="R28" s="142">
        <v>0</v>
      </c>
      <c r="S28" s="142">
        <v>0</v>
      </c>
      <c r="T28" s="142">
        <v>0</v>
      </c>
      <c r="U28" s="142">
        <v>0</v>
      </c>
      <c r="V28" s="142">
        <v>0</v>
      </c>
      <c r="W28" s="142">
        <v>0</v>
      </c>
      <c r="X28" s="142">
        <v>4.0070126326361179E-3</v>
      </c>
      <c r="Y28" s="142">
        <v>0</v>
      </c>
      <c r="Z28" s="142">
        <v>0</v>
      </c>
      <c r="AA28" s="142">
        <v>0</v>
      </c>
      <c r="AB28" s="142">
        <v>3.7125616344097427E-3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</row>
    <row r="29" spans="1:33" customFormat="1" x14ac:dyDescent="0.15">
      <c r="A29" s="179" t="s">
        <v>219</v>
      </c>
      <c r="B29" s="142">
        <v>5.4102795217042393E-3</v>
      </c>
      <c r="C29" s="142">
        <v>0</v>
      </c>
      <c r="D29" s="142">
        <v>0</v>
      </c>
      <c r="E29" s="142">
        <v>0</v>
      </c>
      <c r="F29" s="142">
        <v>0</v>
      </c>
      <c r="G29" s="142">
        <v>0</v>
      </c>
      <c r="H29" s="142">
        <v>0</v>
      </c>
      <c r="I29" s="142">
        <v>2.0001800229220625E-3</v>
      </c>
      <c r="J29" s="142">
        <v>1.0018735904212832E-3</v>
      </c>
      <c r="K29" s="142">
        <v>0</v>
      </c>
      <c r="L29" s="142">
        <v>0</v>
      </c>
      <c r="M29" s="142">
        <v>0.1621621625243243</v>
      </c>
      <c r="N29" s="142">
        <v>0.10998910693829238</v>
      </c>
      <c r="O29" s="142">
        <v>0.13497705525861603</v>
      </c>
      <c r="P29" s="142">
        <v>2.9960154075857129E-3</v>
      </c>
      <c r="Q29" s="142">
        <v>1.9012167431650268E-2</v>
      </c>
      <c r="R29" s="142">
        <v>0</v>
      </c>
      <c r="S29" s="142">
        <v>0.75477355432482662</v>
      </c>
      <c r="T29" s="142">
        <v>7.8035904001993298E-2</v>
      </c>
      <c r="U29" s="142">
        <v>0.55699998719937127</v>
      </c>
      <c r="V29" s="142">
        <v>0.55755113412212931</v>
      </c>
      <c r="W29" s="142">
        <v>0.76892848002604142</v>
      </c>
      <c r="X29" s="142">
        <v>9.8171801289584776E-2</v>
      </c>
      <c r="Y29" s="142">
        <v>0.02</v>
      </c>
      <c r="Z29" s="142">
        <v>0.05</v>
      </c>
      <c r="AA29" s="142">
        <v>0.16248746345426279</v>
      </c>
      <c r="AB29" s="142">
        <v>0</v>
      </c>
      <c r="AC29" s="142">
        <v>3.003002816816828E-3</v>
      </c>
      <c r="AD29" s="142">
        <v>0.99690429696941085</v>
      </c>
      <c r="AE29" s="142">
        <v>0</v>
      </c>
      <c r="AF29" s="142">
        <v>0</v>
      </c>
      <c r="AG29" s="142">
        <v>0</v>
      </c>
    </row>
    <row r="30" spans="1:33" customFormat="1" x14ac:dyDescent="0.15">
      <c r="A30" s="179" t="s">
        <v>220</v>
      </c>
      <c r="B30" s="142">
        <v>5.4102795217042393E-3</v>
      </c>
      <c r="C30" s="142">
        <v>0.30959753336222851</v>
      </c>
      <c r="D30" s="142">
        <v>0</v>
      </c>
      <c r="E30" s="142">
        <v>0</v>
      </c>
      <c r="F30" s="142">
        <v>0</v>
      </c>
      <c r="G30" s="142">
        <v>1.7908775118668157E-2</v>
      </c>
      <c r="H30" s="142">
        <v>3.3979375789881756E-4</v>
      </c>
      <c r="I30" s="142">
        <v>6.3005670722044979E-2</v>
      </c>
      <c r="J30" s="142">
        <v>2.5046837160532211E-2</v>
      </c>
      <c r="K30" s="142">
        <v>2.402907523495329E-2</v>
      </c>
      <c r="L30" s="142">
        <v>2.8971027945914073E-2</v>
      </c>
      <c r="M30" s="142">
        <v>0</v>
      </c>
      <c r="N30" s="142">
        <v>0</v>
      </c>
      <c r="O30" s="142">
        <v>3.799353922835122E-2</v>
      </c>
      <c r="P30" s="142">
        <v>0</v>
      </c>
      <c r="Q30" s="142">
        <v>3.602305322312685E-2</v>
      </c>
      <c r="R30" s="142">
        <v>6.8038784102262412E-4</v>
      </c>
      <c r="S30" s="142">
        <v>0</v>
      </c>
      <c r="T30" s="142">
        <v>3.0013806339228041E-3</v>
      </c>
      <c r="U30" s="142">
        <v>1.0000000634099939E-3</v>
      </c>
      <c r="V30" s="142">
        <v>1.0038339014346348E-3</v>
      </c>
      <c r="W30" s="142">
        <v>0</v>
      </c>
      <c r="X30" s="142">
        <v>6.2108688915859724E-2</v>
      </c>
      <c r="Y30" s="142">
        <v>0.98</v>
      </c>
      <c r="Z30" s="142">
        <v>0.05</v>
      </c>
      <c r="AA30" s="142">
        <v>0.44633900399473403</v>
      </c>
      <c r="AB30" s="142">
        <v>0.2221532882719576</v>
      </c>
      <c r="AC30" s="142">
        <v>0</v>
      </c>
      <c r="AD30" s="142">
        <v>0</v>
      </c>
      <c r="AE30" s="142">
        <v>0</v>
      </c>
      <c r="AF30" s="142">
        <v>0</v>
      </c>
      <c r="AG30" s="142">
        <v>0</v>
      </c>
    </row>
    <row r="31" spans="1:33" customFormat="1" x14ac:dyDescent="0.15">
      <c r="A31" s="179" t="s">
        <v>221</v>
      </c>
      <c r="B31" s="142">
        <v>0</v>
      </c>
      <c r="C31" s="142">
        <v>0</v>
      </c>
      <c r="D31" s="142">
        <v>0</v>
      </c>
      <c r="E31" s="142">
        <v>0</v>
      </c>
      <c r="F31" s="142">
        <v>0</v>
      </c>
      <c r="G31" s="142">
        <v>0</v>
      </c>
      <c r="H31" s="142">
        <v>0</v>
      </c>
      <c r="I31" s="142">
        <v>0</v>
      </c>
      <c r="J31" s="142">
        <v>0</v>
      </c>
      <c r="K31" s="142">
        <v>0</v>
      </c>
      <c r="L31" s="142">
        <v>0</v>
      </c>
      <c r="M31" s="142">
        <v>0</v>
      </c>
      <c r="N31" s="142">
        <v>0</v>
      </c>
      <c r="O31" s="142">
        <v>0</v>
      </c>
      <c r="P31" s="142">
        <v>0</v>
      </c>
      <c r="Q31" s="142">
        <v>0</v>
      </c>
      <c r="R31" s="142">
        <v>0</v>
      </c>
      <c r="S31" s="142">
        <v>0</v>
      </c>
      <c r="T31" s="142">
        <v>0</v>
      </c>
      <c r="U31" s="142">
        <v>2.5000001685249837E-2</v>
      </c>
      <c r="V31" s="142">
        <v>2.4188769580352699E-2</v>
      </c>
      <c r="W31" s="142">
        <v>0</v>
      </c>
      <c r="X31" s="142">
        <v>0</v>
      </c>
      <c r="Y31" s="142">
        <v>0</v>
      </c>
      <c r="Z31" s="142">
        <v>0</v>
      </c>
      <c r="AA31" s="142">
        <v>0</v>
      </c>
      <c r="AB31" s="142">
        <v>0</v>
      </c>
      <c r="AC31" s="142">
        <v>0.49849849859159151</v>
      </c>
      <c r="AD31" s="142">
        <v>0</v>
      </c>
      <c r="AE31" s="142">
        <v>0</v>
      </c>
      <c r="AF31" s="142">
        <v>0</v>
      </c>
      <c r="AG31" s="142">
        <v>0</v>
      </c>
    </row>
    <row r="32" spans="1:33" customFormat="1" x14ac:dyDescent="0.15">
      <c r="A32" s="179" t="s">
        <v>222</v>
      </c>
      <c r="B32" s="142">
        <v>0</v>
      </c>
      <c r="C32" s="142">
        <v>0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4.0022817013095702E-3</v>
      </c>
      <c r="S32" s="142">
        <v>0</v>
      </c>
      <c r="T32" s="142">
        <v>2.0009205726152107E-3</v>
      </c>
      <c r="U32" s="142">
        <v>2.0000001368199868E-3</v>
      </c>
      <c r="V32" s="142">
        <v>2.4188770080352728E-3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0.49849849859159151</v>
      </c>
      <c r="AD32" s="142">
        <v>0</v>
      </c>
      <c r="AE32" s="142">
        <v>0</v>
      </c>
      <c r="AF32" s="142">
        <v>0</v>
      </c>
      <c r="AG32" s="142">
        <v>0</v>
      </c>
    </row>
    <row r="33" spans="1:33" customFormat="1" x14ac:dyDescent="0.15">
      <c r="A33" s="179" t="s">
        <v>223</v>
      </c>
      <c r="B33" s="142">
        <v>0</v>
      </c>
      <c r="C33" s="142">
        <v>0</v>
      </c>
      <c r="D33" s="142">
        <v>0</v>
      </c>
      <c r="E33" s="142">
        <v>0</v>
      </c>
      <c r="F33" s="142">
        <v>0</v>
      </c>
      <c r="G33" s="142">
        <v>0</v>
      </c>
      <c r="H33" s="142">
        <v>0</v>
      </c>
      <c r="I33" s="142">
        <v>0</v>
      </c>
      <c r="J33" s="142">
        <v>0</v>
      </c>
      <c r="K33" s="142">
        <v>0</v>
      </c>
      <c r="L33" s="142">
        <v>0</v>
      </c>
      <c r="M33" s="142">
        <v>0</v>
      </c>
      <c r="N33" s="142">
        <v>0</v>
      </c>
      <c r="O33" s="142">
        <v>0</v>
      </c>
      <c r="P33" s="142">
        <v>0</v>
      </c>
      <c r="Q33" s="142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142">
        <v>0</v>
      </c>
      <c r="X33" s="142">
        <v>0</v>
      </c>
      <c r="Y33" s="142">
        <v>0</v>
      </c>
      <c r="Z33" s="142">
        <v>0</v>
      </c>
      <c r="AA33" s="142">
        <v>0</v>
      </c>
      <c r="AB33" s="142">
        <v>0</v>
      </c>
      <c r="AC33" s="142">
        <v>0</v>
      </c>
      <c r="AD33" s="142">
        <v>0</v>
      </c>
      <c r="AE33" s="142">
        <v>0</v>
      </c>
      <c r="AF33" s="142">
        <v>0</v>
      </c>
      <c r="AG33" s="142">
        <v>0</v>
      </c>
    </row>
    <row r="34" spans="1:33" customFormat="1" x14ac:dyDescent="0.15">
      <c r="A34" s="179" t="s">
        <v>233</v>
      </c>
      <c r="B34" s="142">
        <v>0.14697926960129834</v>
      </c>
      <c r="C34" s="142">
        <v>0.25799791446852555</v>
      </c>
      <c r="D34" s="142">
        <v>0.92068696326291466</v>
      </c>
      <c r="E34" s="142">
        <v>0</v>
      </c>
      <c r="F34" s="142">
        <v>3.0026724211063842E-3</v>
      </c>
      <c r="G34" s="142">
        <v>0.12606177438839006</v>
      </c>
      <c r="H34" s="142">
        <v>2.3985442086975419E-2</v>
      </c>
      <c r="I34" s="142">
        <v>0.12801152646701205</v>
      </c>
      <c r="J34" s="142">
        <v>0.24746275175405821</v>
      </c>
      <c r="K34" s="142">
        <v>0.23027864770996867</v>
      </c>
      <c r="L34" s="142">
        <v>3.9960038377122857E-2</v>
      </c>
      <c r="M34" s="142">
        <v>0.18018018369369351</v>
      </c>
      <c r="N34" s="142">
        <v>8.2991784671620356E-2</v>
      </c>
      <c r="O34" s="142">
        <v>0.18296889628390173</v>
      </c>
      <c r="P34" s="142">
        <v>0.18874895899789973</v>
      </c>
      <c r="Q34" s="142">
        <v>6.3040344015471969E-2</v>
      </c>
      <c r="R34" s="142">
        <v>0.39822700001030048</v>
      </c>
      <c r="S34" s="142">
        <v>0.22393283411756576</v>
      </c>
      <c r="T34" s="142">
        <v>0.7973667788921579</v>
      </c>
      <c r="U34" s="142">
        <v>0.41500001091514893</v>
      </c>
      <c r="V34" s="142">
        <v>0.41483738538804793</v>
      </c>
      <c r="W34" s="142">
        <v>0.18498280289313104</v>
      </c>
      <c r="X34" s="142">
        <v>0.10418231936853893</v>
      </c>
      <c r="Y34" s="142">
        <v>0</v>
      </c>
      <c r="Z34" s="142">
        <v>0.9</v>
      </c>
      <c r="AA34" s="142">
        <v>2.8084254151354075E-2</v>
      </c>
      <c r="AB34" s="142">
        <v>0.11007594964826733</v>
      </c>
      <c r="AC34" s="142">
        <v>0</v>
      </c>
      <c r="AD34" s="142">
        <v>0</v>
      </c>
      <c r="AE34" s="142">
        <v>0</v>
      </c>
      <c r="AF34" s="142">
        <v>0</v>
      </c>
      <c r="AG34" s="142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F47" sqref="F47"/>
    </sheetView>
  </sheetViews>
  <sheetFormatPr baseColWidth="10" defaultColWidth="8.83203125" defaultRowHeight="13" x14ac:dyDescent="0.15"/>
  <cols>
    <col min="1" max="1" width="3.33203125" customWidth="1"/>
    <col min="2" max="2" width="24" customWidth="1"/>
    <col min="3" max="4" width="17" style="111" customWidth="1"/>
    <col min="5" max="6" width="17" style="110" customWidth="1"/>
    <col min="7" max="8" width="8.83203125" style="111"/>
  </cols>
  <sheetData>
    <row r="1" spans="1:8" ht="70" x14ac:dyDescent="0.15">
      <c r="A1" s="5" t="s">
        <v>20</v>
      </c>
      <c r="B1" s="1" t="s">
        <v>0</v>
      </c>
      <c r="C1" s="182" t="s">
        <v>222</v>
      </c>
      <c r="D1" s="182" t="s">
        <v>223</v>
      </c>
      <c r="E1" s="182" t="s">
        <v>234</v>
      </c>
      <c r="F1" s="182" t="s">
        <v>235</v>
      </c>
      <c r="G1"/>
      <c r="H1"/>
    </row>
    <row r="2" spans="1:8" x14ac:dyDescent="0.15">
      <c r="A2">
        <v>1</v>
      </c>
      <c r="B2" s="181" t="s">
        <v>192</v>
      </c>
      <c r="C2" s="111">
        <v>0</v>
      </c>
      <c r="D2" s="111">
        <v>0</v>
      </c>
      <c r="E2" s="110">
        <v>1</v>
      </c>
      <c r="F2" s="110">
        <v>1</v>
      </c>
      <c r="G2"/>
      <c r="H2"/>
    </row>
    <row r="3" spans="1:8" x14ac:dyDescent="0.15">
      <c r="A3">
        <v>2</v>
      </c>
      <c r="B3" s="181" t="s">
        <v>193</v>
      </c>
      <c r="C3" s="111">
        <v>1</v>
      </c>
      <c r="D3" s="111">
        <v>0</v>
      </c>
      <c r="E3" s="110">
        <v>0</v>
      </c>
      <c r="F3" s="110">
        <v>1</v>
      </c>
      <c r="G3"/>
      <c r="H3"/>
    </row>
    <row r="4" spans="1:8" x14ac:dyDescent="0.15">
      <c r="A4">
        <v>3</v>
      </c>
      <c r="B4" s="181" t="s">
        <v>194</v>
      </c>
      <c r="C4" s="111">
        <v>0</v>
      </c>
      <c r="D4" s="111">
        <v>0</v>
      </c>
      <c r="E4" s="110">
        <v>1</v>
      </c>
      <c r="F4" s="110">
        <v>1</v>
      </c>
      <c r="G4"/>
      <c r="H4"/>
    </row>
    <row r="5" spans="1:8" x14ac:dyDescent="0.15">
      <c r="A5">
        <v>4</v>
      </c>
      <c r="B5" s="181" t="s">
        <v>195</v>
      </c>
      <c r="C5" s="111">
        <v>0</v>
      </c>
      <c r="D5" s="111">
        <v>0</v>
      </c>
      <c r="E5" s="110">
        <v>1</v>
      </c>
      <c r="F5" s="110">
        <v>1</v>
      </c>
      <c r="G5"/>
      <c r="H5"/>
    </row>
    <row r="6" spans="1:8" x14ac:dyDescent="0.15">
      <c r="A6">
        <v>5</v>
      </c>
      <c r="B6" s="181" t="s">
        <v>196</v>
      </c>
      <c r="C6" s="111">
        <v>1</v>
      </c>
      <c r="D6" s="111">
        <v>0</v>
      </c>
      <c r="E6" s="110">
        <v>0</v>
      </c>
      <c r="F6" s="110">
        <v>1</v>
      </c>
      <c r="G6"/>
      <c r="H6"/>
    </row>
    <row r="7" spans="1:8" x14ac:dyDescent="0.15">
      <c r="A7">
        <v>6</v>
      </c>
      <c r="B7" s="181" t="s">
        <v>197</v>
      </c>
      <c r="C7" s="111">
        <v>1</v>
      </c>
      <c r="D7" s="111">
        <v>0</v>
      </c>
      <c r="E7" s="110">
        <v>0</v>
      </c>
      <c r="F7" s="110">
        <v>1</v>
      </c>
      <c r="G7"/>
      <c r="H7"/>
    </row>
    <row r="8" spans="1:8" x14ac:dyDescent="0.15">
      <c r="A8">
        <v>7</v>
      </c>
      <c r="B8" s="181" t="s">
        <v>198</v>
      </c>
      <c r="C8" s="111">
        <v>0</v>
      </c>
      <c r="D8" s="111">
        <v>0</v>
      </c>
      <c r="E8" s="110">
        <v>1</v>
      </c>
      <c r="F8" s="110">
        <v>1</v>
      </c>
      <c r="G8"/>
      <c r="H8"/>
    </row>
    <row r="9" spans="1:8" x14ac:dyDescent="0.15">
      <c r="A9">
        <v>8</v>
      </c>
      <c r="B9" s="181" t="s">
        <v>199</v>
      </c>
      <c r="C9" s="111">
        <v>1</v>
      </c>
      <c r="D9" s="111">
        <v>0</v>
      </c>
      <c r="E9" s="110">
        <v>0</v>
      </c>
      <c r="F9" s="110">
        <v>1</v>
      </c>
      <c r="G9"/>
      <c r="H9"/>
    </row>
    <row r="10" spans="1:8" x14ac:dyDescent="0.15">
      <c r="A10">
        <v>9</v>
      </c>
      <c r="B10" s="181" t="s">
        <v>200</v>
      </c>
      <c r="C10" s="111">
        <v>1</v>
      </c>
      <c r="D10" s="111">
        <v>0</v>
      </c>
      <c r="E10" s="110">
        <v>0</v>
      </c>
      <c r="F10" s="110">
        <v>1</v>
      </c>
      <c r="G10"/>
      <c r="H10"/>
    </row>
    <row r="11" spans="1:8" x14ac:dyDescent="0.15">
      <c r="A11">
        <v>10</v>
      </c>
      <c r="B11" s="181" t="s">
        <v>201</v>
      </c>
      <c r="C11" s="111">
        <v>0</v>
      </c>
      <c r="D11" s="111">
        <v>0</v>
      </c>
      <c r="E11" s="110">
        <v>1</v>
      </c>
      <c r="F11" s="110">
        <v>1</v>
      </c>
      <c r="G11"/>
      <c r="H11"/>
    </row>
    <row r="12" spans="1:8" x14ac:dyDescent="0.15">
      <c r="A12">
        <v>11</v>
      </c>
      <c r="B12" s="181" t="s">
        <v>202</v>
      </c>
      <c r="C12" s="111">
        <v>0</v>
      </c>
      <c r="D12" s="111">
        <v>0</v>
      </c>
      <c r="E12" s="110">
        <v>1</v>
      </c>
      <c r="F12" s="110">
        <v>1</v>
      </c>
      <c r="G12"/>
      <c r="H12"/>
    </row>
    <row r="13" spans="1:8" x14ac:dyDescent="0.15">
      <c r="A13">
        <v>12</v>
      </c>
      <c r="B13" s="181" t="s">
        <v>203</v>
      </c>
      <c r="C13" s="111">
        <v>1</v>
      </c>
      <c r="D13" s="111">
        <v>0</v>
      </c>
      <c r="E13" s="110">
        <v>0</v>
      </c>
      <c r="F13" s="110">
        <v>1</v>
      </c>
      <c r="G13"/>
      <c r="H13"/>
    </row>
    <row r="14" spans="1:8" x14ac:dyDescent="0.15">
      <c r="A14">
        <v>13</v>
      </c>
      <c r="B14" s="181" t="s">
        <v>204</v>
      </c>
      <c r="C14" s="111">
        <v>0</v>
      </c>
      <c r="D14" s="111">
        <v>0</v>
      </c>
      <c r="E14" s="110">
        <v>1</v>
      </c>
      <c r="F14" s="110">
        <v>1</v>
      </c>
      <c r="G14"/>
      <c r="H14"/>
    </row>
    <row r="15" spans="1:8" x14ac:dyDescent="0.15">
      <c r="A15">
        <v>14</v>
      </c>
      <c r="B15" s="181" t="s">
        <v>205</v>
      </c>
      <c r="C15" s="111">
        <v>0</v>
      </c>
      <c r="D15" s="111">
        <v>0</v>
      </c>
      <c r="E15" s="110">
        <v>1</v>
      </c>
      <c r="F15" s="110">
        <v>1</v>
      </c>
      <c r="G15"/>
      <c r="H15"/>
    </row>
    <row r="16" spans="1:8" x14ac:dyDescent="0.15">
      <c r="A16">
        <v>15</v>
      </c>
      <c r="B16" s="181" t="s">
        <v>206</v>
      </c>
      <c r="C16" s="111">
        <v>1</v>
      </c>
      <c r="D16" s="111">
        <v>0</v>
      </c>
      <c r="E16" s="110">
        <v>0</v>
      </c>
      <c r="F16" s="110">
        <v>1</v>
      </c>
      <c r="G16"/>
      <c r="H16"/>
    </row>
    <row r="17" spans="1:8" ht="15" customHeight="1" x14ac:dyDescent="0.15">
      <c r="A17">
        <v>16</v>
      </c>
      <c r="B17" s="181" t="s">
        <v>207</v>
      </c>
      <c r="C17" s="111">
        <v>0</v>
      </c>
      <c r="D17" s="111">
        <v>0</v>
      </c>
      <c r="E17" s="110">
        <v>1</v>
      </c>
      <c r="F17" s="110">
        <v>1</v>
      </c>
      <c r="G17"/>
      <c r="H17"/>
    </row>
    <row r="18" spans="1:8" ht="15" customHeight="1" x14ac:dyDescent="0.15">
      <c r="A18">
        <v>17</v>
      </c>
      <c r="B18" s="181" t="s">
        <v>208</v>
      </c>
      <c r="C18" s="111">
        <v>0</v>
      </c>
      <c r="D18" s="111">
        <v>0</v>
      </c>
      <c r="E18" s="110">
        <v>1</v>
      </c>
      <c r="F18" s="110">
        <v>1</v>
      </c>
      <c r="G18"/>
      <c r="H18"/>
    </row>
    <row r="19" spans="1:8" ht="15" customHeight="1" x14ac:dyDescent="0.15">
      <c r="A19">
        <v>18</v>
      </c>
      <c r="B19" s="181" t="s">
        <v>209</v>
      </c>
      <c r="C19" s="111">
        <v>1</v>
      </c>
      <c r="D19" s="111">
        <v>0</v>
      </c>
      <c r="E19" s="110">
        <v>0</v>
      </c>
      <c r="F19" s="110">
        <v>1</v>
      </c>
      <c r="G19"/>
      <c r="H19"/>
    </row>
    <row r="20" spans="1:8" ht="15" customHeight="1" x14ac:dyDescent="0.15">
      <c r="A20">
        <v>19</v>
      </c>
      <c r="B20" s="181" t="s">
        <v>210</v>
      </c>
      <c r="C20" s="111">
        <v>0</v>
      </c>
      <c r="D20" s="111">
        <v>0</v>
      </c>
      <c r="E20" s="110">
        <v>1</v>
      </c>
      <c r="F20" s="110">
        <v>1</v>
      </c>
      <c r="G20"/>
      <c r="H20"/>
    </row>
    <row r="21" spans="1:8" ht="15" customHeight="1" x14ac:dyDescent="0.15">
      <c r="A21">
        <v>20</v>
      </c>
      <c r="B21" s="181" t="s">
        <v>211</v>
      </c>
      <c r="C21" s="111">
        <v>0</v>
      </c>
      <c r="D21" s="111">
        <v>0</v>
      </c>
      <c r="E21" s="110">
        <v>1</v>
      </c>
      <c r="F21" s="110">
        <v>1</v>
      </c>
      <c r="G21"/>
      <c r="H21"/>
    </row>
    <row r="22" spans="1:8" ht="15" customHeight="1" x14ac:dyDescent="0.15">
      <c r="A22">
        <v>21</v>
      </c>
      <c r="B22" s="181" t="s">
        <v>212</v>
      </c>
      <c r="C22" s="111">
        <v>1</v>
      </c>
      <c r="D22" s="111">
        <v>0</v>
      </c>
      <c r="E22" s="110">
        <v>0</v>
      </c>
      <c r="F22" s="110">
        <v>1</v>
      </c>
      <c r="G22"/>
      <c r="H22"/>
    </row>
    <row r="23" spans="1:8" ht="15" customHeight="1" x14ac:dyDescent="0.15">
      <c r="A23">
        <v>22</v>
      </c>
      <c r="B23" s="181" t="s">
        <v>213</v>
      </c>
      <c r="C23" s="111">
        <v>1</v>
      </c>
      <c r="D23" s="111">
        <v>0</v>
      </c>
      <c r="E23" s="110">
        <v>0</v>
      </c>
      <c r="F23" s="110">
        <v>1</v>
      </c>
      <c r="G23"/>
      <c r="H23"/>
    </row>
    <row r="24" spans="1:8" ht="15" customHeight="1" x14ac:dyDescent="0.15">
      <c r="A24">
        <v>23</v>
      </c>
      <c r="B24" s="181" t="s">
        <v>214</v>
      </c>
      <c r="C24" s="111">
        <v>1</v>
      </c>
      <c r="D24" s="111">
        <v>0</v>
      </c>
      <c r="E24" s="110">
        <v>0</v>
      </c>
      <c r="F24" s="110">
        <v>1</v>
      </c>
      <c r="G24"/>
      <c r="H24"/>
    </row>
    <row r="25" spans="1:8" ht="15" customHeight="1" x14ac:dyDescent="0.15">
      <c r="A25">
        <v>24</v>
      </c>
      <c r="B25" s="181" t="s">
        <v>215</v>
      </c>
      <c r="C25" s="111">
        <v>0</v>
      </c>
      <c r="D25" s="111">
        <v>0</v>
      </c>
      <c r="E25" s="110">
        <v>1</v>
      </c>
      <c r="F25" s="110">
        <v>1</v>
      </c>
      <c r="G25"/>
      <c r="H25"/>
    </row>
    <row r="26" spans="1:8" ht="15" customHeight="1" x14ac:dyDescent="0.15">
      <c r="A26">
        <v>25</v>
      </c>
      <c r="B26" s="181" t="s">
        <v>216</v>
      </c>
      <c r="C26" s="111">
        <v>0</v>
      </c>
      <c r="D26" s="111">
        <v>0</v>
      </c>
      <c r="E26" s="110">
        <v>1</v>
      </c>
      <c r="F26" s="110">
        <v>1</v>
      </c>
      <c r="G26"/>
      <c r="H26"/>
    </row>
    <row r="27" spans="1:8" ht="15" customHeight="1" x14ac:dyDescent="0.15">
      <c r="A27">
        <v>26</v>
      </c>
      <c r="B27" s="181" t="s">
        <v>217</v>
      </c>
      <c r="C27" s="111">
        <v>1</v>
      </c>
      <c r="D27" s="111">
        <v>0</v>
      </c>
      <c r="E27" s="110">
        <v>0</v>
      </c>
      <c r="F27" s="110">
        <v>1</v>
      </c>
      <c r="G27"/>
      <c r="H27"/>
    </row>
    <row r="28" spans="1:8" ht="15" customHeight="1" x14ac:dyDescent="0.15">
      <c r="A28">
        <v>27</v>
      </c>
      <c r="B28" s="181" t="s">
        <v>218</v>
      </c>
      <c r="C28" s="111">
        <v>1</v>
      </c>
      <c r="D28" s="111">
        <v>0</v>
      </c>
      <c r="E28" s="110">
        <v>0</v>
      </c>
      <c r="F28" s="110">
        <v>1</v>
      </c>
      <c r="G28"/>
      <c r="H28"/>
    </row>
    <row r="29" spans="1:8" ht="15" customHeight="1" x14ac:dyDescent="0.15">
      <c r="A29">
        <v>28</v>
      </c>
      <c r="B29" s="181" t="s">
        <v>219</v>
      </c>
      <c r="C29" s="111">
        <v>1</v>
      </c>
      <c r="D29" s="111">
        <v>0</v>
      </c>
      <c r="E29" s="110">
        <v>0</v>
      </c>
      <c r="F29" s="110">
        <v>1</v>
      </c>
      <c r="G29"/>
      <c r="H29"/>
    </row>
    <row r="30" spans="1:8" ht="15" customHeight="1" x14ac:dyDescent="0.15">
      <c r="A30">
        <v>29</v>
      </c>
      <c r="B30" s="181" t="s">
        <v>220</v>
      </c>
      <c r="C30" s="111">
        <v>1</v>
      </c>
      <c r="D30" s="111">
        <v>0</v>
      </c>
      <c r="E30" s="110">
        <v>0</v>
      </c>
      <c r="F30" s="110">
        <v>1</v>
      </c>
      <c r="G30"/>
      <c r="H30"/>
    </row>
    <row r="31" spans="1:8" ht="15" customHeight="1" x14ac:dyDescent="0.15">
      <c r="A31">
        <v>30</v>
      </c>
      <c r="B31" s="181" t="s">
        <v>221</v>
      </c>
      <c r="C31" s="111">
        <v>1</v>
      </c>
      <c r="D31" s="111">
        <v>0</v>
      </c>
      <c r="E31" s="110">
        <v>0</v>
      </c>
      <c r="F31" s="110">
        <v>1</v>
      </c>
      <c r="G31"/>
      <c r="H31"/>
    </row>
    <row r="32" spans="1:8" ht="15" customHeight="1" x14ac:dyDescent="0.15">
      <c r="A32">
        <v>31</v>
      </c>
      <c r="B32" s="181" t="s">
        <v>222</v>
      </c>
      <c r="C32" s="111">
        <v>0</v>
      </c>
      <c r="D32" s="111">
        <v>1</v>
      </c>
      <c r="E32" s="110">
        <v>0</v>
      </c>
      <c r="F32" s="110">
        <v>1</v>
      </c>
    </row>
    <row r="33" spans="1:8" ht="15" customHeight="1" x14ac:dyDescent="0.15">
      <c r="A33">
        <v>32</v>
      </c>
      <c r="B33" s="181" t="s">
        <v>223</v>
      </c>
      <c r="C33" s="111">
        <v>0</v>
      </c>
      <c r="D33" s="111">
        <v>0</v>
      </c>
      <c r="E33" s="110">
        <v>1</v>
      </c>
      <c r="F33" s="110">
        <v>1</v>
      </c>
    </row>
    <row r="34" spans="1:8" ht="15" customHeight="1" x14ac:dyDescent="0.15">
      <c r="A34">
        <v>33</v>
      </c>
      <c r="B34" s="181" t="s">
        <v>224</v>
      </c>
      <c r="C34" s="111">
        <v>0</v>
      </c>
      <c r="D34" s="111">
        <v>1</v>
      </c>
      <c r="E34" s="110">
        <v>0</v>
      </c>
      <c r="F34" s="110">
        <v>1</v>
      </c>
    </row>
    <row r="35" spans="1:8" ht="15" customHeight="1" x14ac:dyDescent="0.15">
      <c r="A35">
        <v>34</v>
      </c>
      <c r="B35" s="181" t="s">
        <v>225</v>
      </c>
      <c r="C35" s="111">
        <v>0</v>
      </c>
      <c r="D35" s="111">
        <v>1</v>
      </c>
      <c r="E35" s="110">
        <v>0</v>
      </c>
      <c r="F35" s="110">
        <v>1</v>
      </c>
    </row>
    <row r="36" spans="1:8" ht="15" customHeight="1" x14ac:dyDescent="0.15">
      <c r="A36">
        <v>35</v>
      </c>
      <c r="B36" s="181" t="s">
        <v>226</v>
      </c>
      <c r="C36" s="111">
        <v>0</v>
      </c>
      <c r="D36" s="111">
        <v>1</v>
      </c>
      <c r="E36" s="111">
        <v>0</v>
      </c>
      <c r="F36" s="111">
        <v>1</v>
      </c>
      <c r="G36"/>
      <c r="H36"/>
    </row>
    <row r="37" spans="1:8" ht="15" customHeight="1" x14ac:dyDescent="0.15">
      <c r="A37">
        <v>36</v>
      </c>
      <c r="B37" s="181" t="s">
        <v>227</v>
      </c>
      <c r="C37" s="111">
        <v>0</v>
      </c>
      <c r="D37" s="111">
        <v>1</v>
      </c>
      <c r="E37" s="111">
        <v>0</v>
      </c>
      <c r="F37" s="111">
        <v>1</v>
      </c>
      <c r="G37"/>
      <c r="H37"/>
    </row>
    <row r="38" spans="1:8" ht="15" customHeight="1" x14ac:dyDescent="0.15">
      <c r="A38">
        <v>37</v>
      </c>
      <c r="B38" s="181" t="s">
        <v>228</v>
      </c>
      <c r="C38" s="111">
        <v>0</v>
      </c>
      <c r="D38" s="111">
        <v>1</v>
      </c>
      <c r="E38" s="111">
        <v>0</v>
      </c>
      <c r="F38" s="111">
        <v>1</v>
      </c>
      <c r="G38"/>
      <c r="H38"/>
    </row>
    <row r="39" spans="1:8" ht="15" customHeight="1" x14ac:dyDescent="0.15">
      <c r="A39">
        <v>38</v>
      </c>
      <c r="B39" s="181" t="s">
        <v>229</v>
      </c>
      <c r="C39" s="111">
        <v>0</v>
      </c>
      <c r="D39" s="111">
        <v>1</v>
      </c>
      <c r="E39" s="111">
        <v>0</v>
      </c>
      <c r="F39" s="111">
        <v>1</v>
      </c>
      <c r="G39"/>
      <c r="H39"/>
    </row>
    <row r="40" spans="1:8" ht="15" customHeight="1" x14ac:dyDescent="0.15">
      <c r="A40">
        <v>39</v>
      </c>
      <c r="B40" s="181" t="s">
        <v>230</v>
      </c>
      <c r="C40" s="111">
        <v>0</v>
      </c>
      <c r="D40" s="111">
        <v>1</v>
      </c>
      <c r="E40" s="111">
        <v>0</v>
      </c>
      <c r="F40" s="111">
        <v>1</v>
      </c>
      <c r="G40"/>
      <c r="H40"/>
    </row>
    <row r="41" spans="1:8" ht="15" customHeight="1" x14ac:dyDescent="0.15">
      <c r="A41">
        <v>40</v>
      </c>
      <c r="B41" s="181" t="s">
        <v>231</v>
      </c>
      <c r="C41" s="111">
        <v>0</v>
      </c>
      <c r="D41" s="111">
        <v>1</v>
      </c>
      <c r="E41" s="111">
        <v>0</v>
      </c>
      <c r="F41" s="111">
        <v>1</v>
      </c>
      <c r="G41"/>
      <c r="H41"/>
    </row>
    <row r="42" spans="1:8" ht="15" customHeight="1" x14ac:dyDescent="0.15">
      <c r="A42">
        <v>41</v>
      </c>
      <c r="B42" s="181" t="s">
        <v>232</v>
      </c>
      <c r="C42" s="111">
        <v>0</v>
      </c>
      <c r="D42" s="111">
        <v>1</v>
      </c>
      <c r="E42" s="111">
        <v>0</v>
      </c>
      <c r="F42" s="111">
        <v>1</v>
      </c>
      <c r="G42"/>
      <c r="H42"/>
    </row>
    <row r="43" spans="1:8" ht="15" customHeight="1" x14ac:dyDescent="0.15">
      <c r="C43"/>
      <c r="D43"/>
      <c r="E43" s="111"/>
      <c r="F43" s="111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1"/>
      <c r="F46" s="111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3" width="12.83203125" bestFit="1" customWidth="1"/>
    <col min="4" max="4" width="13.83203125" bestFit="1" customWidth="1"/>
    <col min="5" max="5" width="12.83203125" bestFit="1" customWidth="1"/>
    <col min="6" max="6" width="13.83203125" customWidth="1"/>
    <col min="7" max="7" width="10.5" customWidth="1"/>
    <col min="8" max="8" width="11.5" customWidth="1"/>
    <col min="9" max="9" width="13.83203125" customWidth="1"/>
    <col min="10" max="10" width="11.5" customWidth="1"/>
    <col min="11" max="11" width="10.5" customWidth="1"/>
    <col min="12" max="12" width="13.83203125" customWidth="1"/>
  </cols>
  <sheetData>
    <row r="1" spans="1:12" s="112" customFormat="1" ht="112" x14ac:dyDescent="0.15">
      <c r="A1" s="5" t="s">
        <v>21</v>
      </c>
      <c r="B1" s="3" t="s">
        <v>0</v>
      </c>
      <c r="C1" s="184" t="s">
        <v>224</v>
      </c>
      <c r="D1" s="184" t="s">
        <v>225</v>
      </c>
      <c r="E1" s="184" t="s">
        <v>226</v>
      </c>
      <c r="F1" s="184" t="s">
        <v>227</v>
      </c>
      <c r="G1" s="184" t="s">
        <v>228</v>
      </c>
      <c r="H1" s="184" t="s">
        <v>229</v>
      </c>
      <c r="I1" s="184" t="s">
        <v>230</v>
      </c>
      <c r="J1" s="184" t="s">
        <v>231</v>
      </c>
      <c r="K1" s="184" t="s">
        <v>232</v>
      </c>
      <c r="L1" s="184" t="s">
        <v>236</v>
      </c>
    </row>
    <row r="2" spans="1:12" ht="15" customHeight="1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ht="15" customHeight="1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ht="15" customHeight="1" x14ac:dyDescent="0.15">
      <c r="A4">
        <v>3</v>
      </c>
      <c r="B4" s="18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ht="15" customHeight="1" x14ac:dyDescent="0.15">
      <c r="A5">
        <v>4</v>
      </c>
      <c r="B5" s="183" t="s">
        <v>195</v>
      </c>
      <c r="C5">
        <v>0</v>
      </c>
      <c r="D5">
        <v>0</v>
      </c>
      <c r="E5">
        <v>0</v>
      </c>
      <c r="F5">
        <v>0</v>
      </c>
      <c r="G5">
        <v>9.2263000000000001E-6</v>
      </c>
      <c r="H5">
        <v>9.4750000000000003E-7</v>
      </c>
      <c r="I5">
        <v>0</v>
      </c>
      <c r="J5">
        <v>0</v>
      </c>
      <c r="K5">
        <v>0</v>
      </c>
      <c r="L5">
        <v>1.0173800000000001E-5</v>
      </c>
    </row>
    <row r="6" spans="1:12" ht="15" customHeight="1" x14ac:dyDescent="0.15">
      <c r="A6">
        <v>5</v>
      </c>
      <c r="B6" s="183" t="s">
        <v>196</v>
      </c>
      <c r="C6">
        <v>0</v>
      </c>
      <c r="D6">
        <v>0</v>
      </c>
      <c r="E6">
        <v>0</v>
      </c>
      <c r="F6">
        <v>9.7209999999999998E-7</v>
      </c>
      <c r="G6">
        <v>8.329E-7</v>
      </c>
      <c r="H6">
        <v>2.96213E-5</v>
      </c>
      <c r="I6">
        <v>0</v>
      </c>
      <c r="J6">
        <v>0</v>
      </c>
      <c r="K6">
        <v>0</v>
      </c>
      <c r="L6">
        <v>3.1426300000000001E-5</v>
      </c>
    </row>
    <row r="7" spans="1:12" ht="15" customHeight="1" x14ac:dyDescent="0.15">
      <c r="A7">
        <v>6</v>
      </c>
      <c r="B7" s="183" t="s">
        <v>197</v>
      </c>
      <c r="C7">
        <v>0</v>
      </c>
      <c r="D7">
        <v>2.62E-8</v>
      </c>
      <c r="E7">
        <v>2.4381999999999998E-6</v>
      </c>
      <c r="F7">
        <v>4.8599999999999998E-8</v>
      </c>
      <c r="G7">
        <v>0</v>
      </c>
      <c r="H7">
        <v>0</v>
      </c>
      <c r="I7">
        <v>1.5192950000000001E-4</v>
      </c>
      <c r="J7">
        <v>0</v>
      </c>
      <c r="K7">
        <v>0</v>
      </c>
      <c r="L7">
        <v>1.544425E-4</v>
      </c>
    </row>
    <row r="8" spans="1:12" ht="15" customHeight="1" x14ac:dyDescent="0.15">
      <c r="A8">
        <v>7</v>
      </c>
      <c r="B8" s="183" t="s">
        <v>198</v>
      </c>
      <c r="C8">
        <v>2.44E-8</v>
      </c>
      <c r="D8">
        <v>2.3966999999999999E-6</v>
      </c>
      <c r="E8">
        <v>7.9535299999999997E-5</v>
      </c>
      <c r="F8">
        <v>1.2569699999999999E-5</v>
      </c>
      <c r="G8">
        <v>7.3E-9</v>
      </c>
      <c r="H8">
        <v>0</v>
      </c>
      <c r="I8">
        <v>1.1143876500000001E-3</v>
      </c>
      <c r="J8">
        <v>0</v>
      </c>
      <c r="K8">
        <v>1.0712E-6</v>
      </c>
      <c r="L8">
        <v>1.2099922500000001E-3</v>
      </c>
    </row>
    <row r="9" spans="1:12" ht="15" customHeight="1" x14ac:dyDescent="0.15">
      <c r="A9">
        <v>8</v>
      </c>
      <c r="B9" s="183" t="s">
        <v>199</v>
      </c>
      <c r="C9">
        <v>4.8E-9</v>
      </c>
      <c r="D9">
        <v>1.8436E-6</v>
      </c>
      <c r="E9">
        <v>6.9015000000000002E-5</v>
      </c>
      <c r="F9">
        <v>8.6479000000000007E-6</v>
      </c>
      <c r="G9">
        <v>7.8699999999999997E-8</v>
      </c>
      <c r="H9">
        <v>1.3999999999999999E-9</v>
      </c>
      <c r="I9">
        <v>8.0962080000000006E-3</v>
      </c>
      <c r="J9">
        <v>0</v>
      </c>
      <c r="K9">
        <v>3.4999999999999999E-9</v>
      </c>
      <c r="L9">
        <v>8.175802900000001E-3</v>
      </c>
    </row>
    <row r="10" spans="1:12" ht="15" customHeight="1" x14ac:dyDescent="0.15">
      <c r="A10">
        <v>9</v>
      </c>
      <c r="B10" s="183" t="s">
        <v>200</v>
      </c>
      <c r="C10">
        <v>5.7999999999999998E-9</v>
      </c>
      <c r="D10">
        <v>0</v>
      </c>
      <c r="E10">
        <v>2.3994799999999999E-5</v>
      </c>
      <c r="F10">
        <v>1.9025399999999999E-5</v>
      </c>
      <c r="G10">
        <v>3.9140000000000002E-7</v>
      </c>
      <c r="H10">
        <v>0</v>
      </c>
      <c r="I10">
        <v>4.7343517699999999E-3</v>
      </c>
      <c r="J10">
        <v>0</v>
      </c>
      <c r="K10">
        <v>0</v>
      </c>
      <c r="L10">
        <v>4.7777691699999996E-3</v>
      </c>
    </row>
    <row r="11" spans="1:12" ht="15" customHeight="1" x14ac:dyDescent="0.15">
      <c r="A11">
        <v>10</v>
      </c>
      <c r="B11" s="183" t="s">
        <v>201</v>
      </c>
      <c r="C11">
        <v>0</v>
      </c>
      <c r="D11">
        <v>1.3619999999999999E-7</v>
      </c>
      <c r="E11">
        <v>5.4264000000000003E-6</v>
      </c>
      <c r="F11">
        <v>1.0129000000000001E-6</v>
      </c>
      <c r="G11">
        <v>2.0599999999999999E-8</v>
      </c>
      <c r="H11">
        <v>3.2000000000000002E-8</v>
      </c>
      <c r="I11">
        <v>2.9045557600000001E-3</v>
      </c>
      <c r="J11">
        <v>0</v>
      </c>
      <c r="K11">
        <v>0</v>
      </c>
      <c r="L11">
        <v>2.9111838599999999E-3</v>
      </c>
    </row>
    <row r="12" spans="1:12" ht="15" customHeight="1" x14ac:dyDescent="0.15">
      <c r="A12">
        <v>11</v>
      </c>
      <c r="B12" s="183" t="s">
        <v>202</v>
      </c>
      <c r="C12">
        <v>0</v>
      </c>
      <c r="D12">
        <v>1.81E-8</v>
      </c>
      <c r="E12">
        <v>1.8129999999999999E-7</v>
      </c>
      <c r="F12">
        <v>1.3399999999999999E-8</v>
      </c>
      <c r="G12">
        <v>0</v>
      </c>
      <c r="H12">
        <v>0</v>
      </c>
      <c r="I12">
        <v>5.6922210000000001E-4</v>
      </c>
      <c r="J12">
        <v>0</v>
      </c>
      <c r="K12">
        <v>0</v>
      </c>
      <c r="L12">
        <v>5.6943490000000005E-4</v>
      </c>
    </row>
    <row r="13" spans="1:12" ht="15" customHeight="1" x14ac:dyDescent="0.15">
      <c r="A13">
        <v>12</v>
      </c>
      <c r="B13" s="183" t="s">
        <v>203</v>
      </c>
      <c r="C13">
        <v>1.55E-8</v>
      </c>
      <c r="D13">
        <v>0</v>
      </c>
      <c r="E13">
        <v>3.7100000000000001E-8</v>
      </c>
      <c r="F13">
        <v>1.1863351099999999E-3</v>
      </c>
      <c r="G13">
        <v>6.511E-7</v>
      </c>
      <c r="H13">
        <v>5.0053000000000002E-6</v>
      </c>
      <c r="I13">
        <v>1.1273294200000001E-3</v>
      </c>
      <c r="J13">
        <v>0</v>
      </c>
      <c r="K13">
        <v>1.66E-8</v>
      </c>
      <c r="L13">
        <v>2.3193901300000001E-3</v>
      </c>
    </row>
    <row r="14" spans="1:12" ht="15" customHeight="1" x14ac:dyDescent="0.15">
      <c r="A14">
        <v>13</v>
      </c>
      <c r="B14" s="183" t="s">
        <v>204</v>
      </c>
      <c r="C14">
        <v>3.9796499999999998E-5</v>
      </c>
      <c r="D14">
        <v>4.29218E-5</v>
      </c>
      <c r="E14">
        <v>1.9643499999999999E-5</v>
      </c>
      <c r="F14">
        <v>1.0300099400000001E-3</v>
      </c>
      <c r="G14">
        <v>1.4999999999999999E-8</v>
      </c>
      <c r="H14">
        <v>1.3960000000000001E-7</v>
      </c>
      <c r="I14">
        <v>1.4525733399999999E-3</v>
      </c>
      <c r="J14">
        <v>0</v>
      </c>
      <c r="K14">
        <v>3.6599999999999997E-8</v>
      </c>
      <c r="L14">
        <v>2.5851362799999998E-3</v>
      </c>
    </row>
    <row r="15" spans="1:12" ht="15" customHeight="1" x14ac:dyDescent="0.15">
      <c r="A15">
        <v>14</v>
      </c>
      <c r="B15" s="183" t="s">
        <v>205</v>
      </c>
      <c r="C15">
        <v>5.8807999999999997E-6</v>
      </c>
      <c r="D15">
        <v>0</v>
      </c>
      <c r="E15">
        <v>1.5580000000000001E-7</v>
      </c>
      <c r="F15">
        <v>2.00199964E-3</v>
      </c>
      <c r="G15">
        <v>9.1000000000000004E-9</v>
      </c>
      <c r="H15">
        <v>2.713E-7</v>
      </c>
      <c r="I15">
        <v>5.4662893500000004E-3</v>
      </c>
      <c r="J15">
        <v>2.5800000000000001E-7</v>
      </c>
      <c r="K15">
        <v>2.142E-7</v>
      </c>
      <c r="L15">
        <v>7.4750781900000014E-3</v>
      </c>
    </row>
    <row r="16" spans="1:12" ht="15" customHeight="1" x14ac:dyDescent="0.15">
      <c r="A16">
        <v>15</v>
      </c>
      <c r="B16" s="183" t="s">
        <v>206</v>
      </c>
      <c r="C16">
        <v>2.6000000000000001E-8</v>
      </c>
      <c r="D16">
        <v>2.9711599999999999E-5</v>
      </c>
      <c r="E16">
        <v>1.6218879999999999E-4</v>
      </c>
      <c r="F16">
        <v>3.5694909999999999E-4</v>
      </c>
      <c r="G16">
        <v>2.3872000000000002E-6</v>
      </c>
      <c r="H16">
        <v>1.17119E-5</v>
      </c>
      <c r="I16">
        <v>2.5156890000000001E-4</v>
      </c>
      <c r="J16">
        <v>0</v>
      </c>
      <c r="K16">
        <v>3.0035000000000001E-6</v>
      </c>
      <c r="L16">
        <v>8.1754699999999996E-4</v>
      </c>
    </row>
    <row r="17" spans="1:12" ht="15" customHeight="1" x14ac:dyDescent="0.15">
      <c r="A17">
        <v>16</v>
      </c>
      <c r="B17" s="183" t="s">
        <v>207</v>
      </c>
      <c r="C17">
        <v>6.7759999999999998E-7</v>
      </c>
      <c r="D17">
        <v>5.463016E-4</v>
      </c>
      <c r="E17">
        <v>5.1231399999999999E-5</v>
      </c>
      <c r="F17">
        <v>1.6278509300000001E-3</v>
      </c>
      <c r="G17">
        <v>2.0014E-6</v>
      </c>
      <c r="H17">
        <v>1.7255799999999998E-5</v>
      </c>
      <c r="I17">
        <v>1.35880674E-3</v>
      </c>
      <c r="J17">
        <v>1.762E-7</v>
      </c>
      <c r="K17">
        <v>1.9891999999999999E-6</v>
      </c>
      <c r="L17">
        <v>3.6062908700000003E-3</v>
      </c>
    </row>
    <row r="18" spans="1:12" ht="15" customHeight="1" x14ac:dyDescent="0.15">
      <c r="A18">
        <v>17</v>
      </c>
      <c r="B18" s="183" t="s">
        <v>208</v>
      </c>
      <c r="C18">
        <v>0</v>
      </c>
      <c r="D18">
        <v>1.4655699999999999E-5</v>
      </c>
      <c r="E18">
        <v>1.1233509999999999E-4</v>
      </c>
      <c r="F18">
        <v>1.4619062399999999E-3</v>
      </c>
      <c r="G18">
        <v>3.537E-7</v>
      </c>
      <c r="H18">
        <v>7.2529999999999996E-7</v>
      </c>
      <c r="I18">
        <v>1.24721311E-3</v>
      </c>
      <c r="J18">
        <v>2.205E-7</v>
      </c>
      <c r="K18">
        <v>6.5600000000000005E-8</v>
      </c>
      <c r="L18">
        <v>2.8374752499999998E-3</v>
      </c>
    </row>
    <row r="19" spans="1:12" ht="15" customHeight="1" x14ac:dyDescent="0.15">
      <c r="A19">
        <v>18</v>
      </c>
      <c r="B19" s="183" t="s">
        <v>209</v>
      </c>
      <c r="C19">
        <v>5.5509999999999999E-7</v>
      </c>
      <c r="D19">
        <v>2.2822623099999998E-3</v>
      </c>
      <c r="E19">
        <v>9.7606600000000002E-5</v>
      </c>
      <c r="F19">
        <v>3.474417E-4</v>
      </c>
      <c r="G19">
        <v>0</v>
      </c>
      <c r="H19">
        <v>1.1049199999999999E-5</v>
      </c>
      <c r="I19">
        <v>0</v>
      </c>
      <c r="J19">
        <v>0</v>
      </c>
      <c r="K19">
        <v>0</v>
      </c>
      <c r="L19">
        <v>2.7389149100000001E-3</v>
      </c>
    </row>
    <row r="20" spans="1:12" ht="15" customHeight="1" x14ac:dyDescent="0.15">
      <c r="A20">
        <v>19</v>
      </c>
      <c r="B20" s="183" t="s">
        <v>210</v>
      </c>
      <c r="C20">
        <v>1.0579948299999999E-2</v>
      </c>
      <c r="D20">
        <v>5.30492E-5</v>
      </c>
      <c r="E20">
        <v>0</v>
      </c>
      <c r="F20">
        <v>1.3805810600000001E-3</v>
      </c>
      <c r="G20">
        <v>7.5218999999999999E-6</v>
      </c>
      <c r="H20">
        <v>0</v>
      </c>
      <c r="I20">
        <v>0</v>
      </c>
      <c r="J20">
        <v>1.4415000000000001E-6</v>
      </c>
      <c r="K20">
        <v>0</v>
      </c>
      <c r="L20">
        <v>1.2022541959999999E-2</v>
      </c>
    </row>
    <row r="21" spans="1:12" ht="15" customHeight="1" x14ac:dyDescent="0.15">
      <c r="A21">
        <v>20</v>
      </c>
      <c r="B21" s="183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ht="15" customHeight="1" x14ac:dyDescent="0.15">
      <c r="A22">
        <v>21</v>
      </c>
      <c r="B22" s="183" t="s">
        <v>212</v>
      </c>
      <c r="C22">
        <v>5.3932190000000003E-3</v>
      </c>
      <c r="D22">
        <v>2.41311E-5</v>
      </c>
      <c r="E22">
        <v>0</v>
      </c>
      <c r="F22">
        <v>3.7797489999999998E-4</v>
      </c>
      <c r="G22">
        <v>3.337E-6</v>
      </c>
      <c r="H22">
        <v>0</v>
      </c>
      <c r="I22">
        <v>0</v>
      </c>
      <c r="J22">
        <v>3.6559999999999999E-7</v>
      </c>
      <c r="K22">
        <v>0</v>
      </c>
      <c r="L22">
        <v>5.7990276000000002E-3</v>
      </c>
    </row>
    <row r="23" spans="1:12" ht="15" customHeight="1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ht="15" customHeight="1" x14ac:dyDescent="0.15">
      <c r="A24">
        <v>23</v>
      </c>
      <c r="B24" s="183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ht="15" customHeight="1" x14ac:dyDescent="0.15">
      <c r="A25">
        <v>24</v>
      </c>
      <c r="B25" s="183" t="s">
        <v>215</v>
      </c>
      <c r="C25">
        <v>2.0961999999999999E-6</v>
      </c>
      <c r="D25">
        <v>0</v>
      </c>
      <c r="E25">
        <v>0</v>
      </c>
      <c r="F25">
        <v>3.5022000000000001E-6</v>
      </c>
      <c r="G25">
        <v>0</v>
      </c>
      <c r="H25">
        <v>0</v>
      </c>
      <c r="I25">
        <v>0</v>
      </c>
      <c r="J25">
        <v>0</v>
      </c>
      <c r="K25">
        <v>0</v>
      </c>
      <c r="L25">
        <v>5.5984000000000005E-6</v>
      </c>
    </row>
    <row r="26" spans="1:12" ht="15" customHeight="1" x14ac:dyDescent="0.15">
      <c r="A26">
        <v>25</v>
      </c>
      <c r="B26" s="183" t="s">
        <v>216</v>
      </c>
      <c r="C26">
        <v>2.2066000000000002E-6</v>
      </c>
      <c r="D26">
        <v>0</v>
      </c>
      <c r="E26">
        <v>0</v>
      </c>
      <c r="F26">
        <v>2.0514999999999999E-5</v>
      </c>
      <c r="G26">
        <v>1.7380000000000001E-7</v>
      </c>
      <c r="H26">
        <v>7.1190000000000002E-7</v>
      </c>
      <c r="I26">
        <v>0</v>
      </c>
      <c r="J26">
        <v>1.11475E-5</v>
      </c>
      <c r="K26">
        <v>1.7380000000000001E-7</v>
      </c>
      <c r="L26">
        <v>3.4928600000000003E-5</v>
      </c>
    </row>
    <row r="27" spans="1:12" ht="15" customHeight="1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ht="15" customHeight="1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6.5574000000000001E-6</v>
      </c>
      <c r="G28">
        <v>0</v>
      </c>
      <c r="H28">
        <v>0</v>
      </c>
      <c r="I28">
        <v>0</v>
      </c>
      <c r="J28">
        <v>0</v>
      </c>
      <c r="K28">
        <v>0</v>
      </c>
      <c r="L28">
        <v>6.5574000000000001E-6</v>
      </c>
    </row>
    <row r="29" spans="1:12" ht="15" customHeight="1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 ht="15" customHeight="1" x14ac:dyDescent="0.15">
      <c r="A30">
        <v>29</v>
      </c>
      <c r="B30" s="18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ht="15" customHeight="1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2" ht="15" customHeight="1" x14ac:dyDescent="0.15">
      <c r="A32">
        <v>31</v>
      </c>
      <c r="B32" s="183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ht="15" customHeight="1" x14ac:dyDescent="0.15">
      <c r="A33">
        <v>32</v>
      </c>
      <c r="B33" s="183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ht="15" customHeight="1" x14ac:dyDescent="0.15"/>
    <row r="35" spans="1:12" ht="15" customHeight="1" x14ac:dyDescent="0.15"/>
    <row r="36" spans="1:12" ht="15" customHeight="1" x14ac:dyDescent="0.15"/>
    <row r="37" spans="1:12" ht="15" customHeight="1" x14ac:dyDescent="0.15"/>
    <row r="38" spans="1:12" ht="15" customHeight="1" x14ac:dyDescent="0.15"/>
    <row r="39" spans="1:12" ht="15" customHeight="1" x14ac:dyDescent="0.15"/>
    <row r="40" spans="1:12" ht="15" customHeight="1" x14ac:dyDescent="0.15"/>
    <row r="41" spans="1:12" ht="15" customHeight="1" x14ac:dyDescent="0.15"/>
    <row r="42" spans="1:12" ht="15" customHeight="1" x14ac:dyDescent="0.15"/>
    <row r="43" spans="1:12" ht="15" customHeight="1" x14ac:dyDescent="0.15"/>
    <row r="44" spans="1:12" ht="15" customHeight="1" x14ac:dyDescent="0.15"/>
    <row r="45" spans="1:12" ht="15" customHeight="1" x14ac:dyDescent="0.15"/>
    <row r="46" spans="1:12" ht="15" customHeight="1" x14ac:dyDescent="0.15"/>
    <row r="47" spans="1:12" ht="15" customHeight="1" x14ac:dyDescent="0.15"/>
    <row r="48" spans="1:12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L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5" width="2.33203125" bestFit="1" customWidth="1"/>
    <col min="6" max="12" width="2.33203125" customWidth="1"/>
  </cols>
  <sheetData>
    <row r="1" spans="1:12" s="112" customFormat="1" ht="112" x14ac:dyDescent="0.15">
      <c r="A1" s="5" t="s">
        <v>22</v>
      </c>
      <c r="B1" s="3" t="s">
        <v>0</v>
      </c>
      <c r="C1" s="186" t="s">
        <v>224</v>
      </c>
      <c r="D1" s="186" t="s">
        <v>225</v>
      </c>
      <c r="E1" s="186" t="s">
        <v>226</v>
      </c>
      <c r="F1" s="186" t="s">
        <v>227</v>
      </c>
      <c r="G1" s="186" t="s">
        <v>228</v>
      </c>
      <c r="H1" s="186" t="s">
        <v>229</v>
      </c>
      <c r="I1" s="186" t="s">
        <v>230</v>
      </c>
      <c r="J1" s="186" t="s">
        <v>231</v>
      </c>
      <c r="K1" s="186" t="s">
        <v>232</v>
      </c>
      <c r="L1" s="186" t="s">
        <v>236</v>
      </c>
    </row>
    <row r="2" spans="1:12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8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8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x14ac:dyDescent="0.15">
      <c r="A7">
        <v>6</v>
      </c>
      <c r="B7" s="18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15">
      <c r="A8">
        <v>7</v>
      </c>
      <c r="B8" s="18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 x14ac:dyDescent="0.15">
      <c r="A9">
        <v>8</v>
      </c>
      <c r="B9" s="185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x14ac:dyDescent="0.15">
      <c r="A10">
        <v>9</v>
      </c>
      <c r="B10" s="18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85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85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85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15">
      <c r="A14">
        <v>13</v>
      </c>
      <c r="B14" s="185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15">
      <c r="A15">
        <v>14</v>
      </c>
      <c r="B15" s="185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85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15">
      <c r="A17">
        <v>16</v>
      </c>
      <c r="B17" s="18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15">
      <c r="A18">
        <v>17</v>
      </c>
      <c r="B18" s="18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x14ac:dyDescent="0.15">
      <c r="A19">
        <v>18</v>
      </c>
      <c r="B19" s="185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15">
      <c r="A20">
        <v>19</v>
      </c>
      <c r="B20" s="18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85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15">
      <c r="A22">
        <v>21</v>
      </c>
      <c r="B22" s="18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8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15">
      <c r="A24">
        <v>23</v>
      </c>
      <c r="B24" s="18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15">
      <c r="A25">
        <v>24</v>
      </c>
      <c r="B25" s="18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 x14ac:dyDescent="0.15">
      <c r="A26">
        <v>25</v>
      </c>
      <c r="B26" s="18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15">
      <c r="A29">
        <v>28</v>
      </c>
      <c r="B29" s="18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2" x14ac:dyDescent="0.15">
      <c r="A32">
        <v>31</v>
      </c>
      <c r="B32" s="185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15">
      <c r="A33">
        <v>32</v>
      </c>
      <c r="B33" s="18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" bestFit="1" customWidth="1"/>
    <col min="6" max="6" width="4.83203125" bestFit="1" customWidth="1"/>
    <col min="7" max="9" width="3.83203125" bestFit="1" customWidth="1"/>
    <col min="10" max="11" width="4.83203125" style="11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3" customFormat="1" ht="14" thickBot="1" x14ac:dyDescent="0.2">
      <c r="D1" s="114" t="s">
        <v>8</v>
      </c>
      <c r="E1" s="114" t="s">
        <v>0</v>
      </c>
      <c r="F1" s="115" t="s">
        <v>99</v>
      </c>
      <c r="G1" s="116" t="s">
        <v>84</v>
      </c>
      <c r="H1" s="116" t="s">
        <v>85</v>
      </c>
      <c r="I1" s="116" t="s">
        <v>86</v>
      </c>
      <c r="J1" s="116" t="s">
        <v>87</v>
      </c>
      <c r="K1" s="116" t="s">
        <v>88</v>
      </c>
      <c r="L1" s="117" t="s">
        <v>89</v>
      </c>
      <c r="M1" s="117" t="s">
        <v>93</v>
      </c>
      <c r="N1" s="117" t="s">
        <v>92</v>
      </c>
      <c r="O1" s="117" t="s">
        <v>90</v>
      </c>
      <c r="P1" s="117" t="s">
        <v>91</v>
      </c>
      <c r="Q1" s="118" t="s">
        <v>94</v>
      </c>
      <c r="R1" s="118" t="s">
        <v>95</v>
      </c>
      <c r="S1" s="118" t="s">
        <v>96</v>
      </c>
      <c r="T1" s="118" t="s">
        <v>97</v>
      </c>
      <c r="U1" s="118" t="s">
        <v>98</v>
      </c>
      <c r="V1" s="116" t="s">
        <v>100</v>
      </c>
      <c r="W1" s="116" t="s">
        <v>101</v>
      </c>
      <c r="X1" s="116" t="s">
        <v>102</v>
      </c>
      <c r="Y1" s="116" t="s">
        <v>134</v>
      </c>
      <c r="Z1" s="117" t="s">
        <v>103</v>
      </c>
      <c r="AA1" s="117" t="s">
        <v>104</v>
      </c>
      <c r="AB1" s="117" t="s">
        <v>105</v>
      </c>
      <c r="AC1" s="119" t="s">
        <v>135</v>
      </c>
      <c r="AD1" s="118" t="s">
        <v>106</v>
      </c>
      <c r="AE1" s="118" t="s">
        <v>107</v>
      </c>
      <c r="AF1" s="118" t="s">
        <v>108</v>
      </c>
      <c r="AG1" s="118" t="s">
        <v>136</v>
      </c>
      <c r="AH1" s="116" t="s">
        <v>109</v>
      </c>
      <c r="AI1" s="116" t="s">
        <v>111</v>
      </c>
      <c r="AJ1" s="116" t="s">
        <v>110</v>
      </c>
      <c r="AK1" s="117" t="s">
        <v>115</v>
      </c>
      <c r="AL1" s="117" t="s">
        <v>116</v>
      </c>
      <c r="AM1" s="117" t="s">
        <v>117</v>
      </c>
      <c r="AN1" s="118" t="s">
        <v>112</v>
      </c>
      <c r="AO1" s="118" t="s">
        <v>113</v>
      </c>
      <c r="AP1" s="118" t="s">
        <v>114</v>
      </c>
    </row>
    <row r="2" spans="1:42" x14ac:dyDescent="0.15">
      <c r="A2" s="120" t="s">
        <v>74</v>
      </c>
      <c r="B2" s="121">
        <v>1</v>
      </c>
      <c r="D2">
        <v>1</v>
      </c>
      <c r="E2" s="187" t="s">
        <v>192</v>
      </c>
      <c r="F2">
        <v>0.98</v>
      </c>
      <c r="G2">
        <v>0.8</v>
      </c>
      <c r="H2">
        <v>0.8</v>
      </c>
      <c r="I2">
        <v>0.8</v>
      </c>
      <c r="J2" s="111">
        <v>0.25</v>
      </c>
      <c r="K2" s="111">
        <v>0.05</v>
      </c>
    </row>
    <row r="3" spans="1:42" x14ac:dyDescent="0.15">
      <c r="A3" s="120" t="s">
        <v>75</v>
      </c>
      <c r="B3" s="122">
        <v>1</v>
      </c>
      <c r="D3">
        <v>2</v>
      </c>
      <c r="E3" s="187" t="s">
        <v>193</v>
      </c>
      <c r="F3">
        <v>0.98</v>
      </c>
      <c r="G3">
        <v>0.8</v>
      </c>
      <c r="H3">
        <v>0.8</v>
      </c>
      <c r="I3">
        <v>0.8</v>
      </c>
      <c r="J3" s="111">
        <v>0.25</v>
      </c>
      <c r="K3" s="111">
        <v>0.05</v>
      </c>
    </row>
    <row r="4" spans="1:42" x14ac:dyDescent="0.15">
      <c r="A4" s="120" t="s">
        <v>76</v>
      </c>
      <c r="B4" s="122">
        <v>1</v>
      </c>
      <c r="D4">
        <v>3</v>
      </c>
      <c r="E4" s="187" t="s">
        <v>194</v>
      </c>
      <c r="F4">
        <v>0.98</v>
      </c>
      <c r="G4">
        <v>0.8</v>
      </c>
      <c r="H4">
        <v>0.8</v>
      </c>
      <c r="I4">
        <v>0.8</v>
      </c>
      <c r="J4" s="111">
        <v>0.25</v>
      </c>
      <c r="K4" s="111">
        <v>0.05</v>
      </c>
    </row>
    <row r="5" spans="1:42" x14ac:dyDescent="0.15">
      <c r="A5" s="120" t="s">
        <v>77</v>
      </c>
      <c r="B5" s="122">
        <v>1</v>
      </c>
      <c r="D5">
        <v>4</v>
      </c>
      <c r="E5" s="187" t="s">
        <v>195</v>
      </c>
      <c r="F5">
        <v>0.98</v>
      </c>
      <c r="G5">
        <v>0.8</v>
      </c>
      <c r="H5">
        <v>0.8</v>
      </c>
      <c r="I5">
        <v>0.8</v>
      </c>
      <c r="J5" s="111">
        <v>0.25</v>
      </c>
      <c r="K5" s="111">
        <v>0.05</v>
      </c>
    </row>
    <row r="6" spans="1:42" x14ac:dyDescent="0.15">
      <c r="A6" s="120" t="s">
        <v>78</v>
      </c>
      <c r="B6" s="122">
        <v>1</v>
      </c>
      <c r="D6">
        <v>5</v>
      </c>
      <c r="E6" s="187" t="s">
        <v>196</v>
      </c>
      <c r="F6">
        <v>0.98</v>
      </c>
      <c r="G6">
        <v>0.8</v>
      </c>
      <c r="H6">
        <v>0.8</v>
      </c>
      <c r="I6">
        <v>0.8</v>
      </c>
      <c r="J6" s="111">
        <v>0.25</v>
      </c>
      <c r="K6" s="111">
        <v>0.05</v>
      </c>
    </row>
    <row r="7" spans="1:42" x14ac:dyDescent="0.15">
      <c r="A7" s="120" t="s">
        <v>79</v>
      </c>
      <c r="B7" s="122">
        <v>1</v>
      </c>
      <c r="D7">
        <v>6</v>
      </c>
      <c r="E7" s="187" t="s">
        <v>197</v>
      </c>
      <c r="F7">
        <v>0.98</v>
      </c>
      <c r="G7">
        <v>0.8</v>
      </c>
      <c r="H7">
        <v>0.8</v>
      </c>
      <c r="I7">
        <v>0.8</v>
      </c>
      <c r="J7" s="111">
        <v>0.25</v>
      </c>
      <c r="K7" s="111">
        <v>0.05</v>
      </c>
    </row>
    <row r="8" spans="1:42" x14ac:dyDescent="0.15">
      <c r="A8" s="120" t="s">
        <v>80</v>
      </c>
      <c r="B8" s="122">
        <v>1</v>
      </c>
      <c r="D8">
        <v>7</v>
      </c>
      <c r="E8" s="187" t="s">
        <v>198</v>
      </c>
      <c r="F8">
        <v>0.98</v>
      </c>
      <c r="G8">
        <v>0.8</v>
      </c>
      <c r="H8">
        <v>0.8</v>
      </c>
      <c r="I8">
        <v>0.8</v>
      </c>
      <c r="J8" s="111">
        <v>0.25</v>
      </c>
      <c r="K8" s="111">
        <v>0.05</v>
      </c>
    </row>
    <row r="9" spans="1:42" x14ac:dyDescent="0.15">
      <c r="A9" s="120" t="s">
        <v>81</v>
      </c>
      <c r="B9" s="122">
        <v>0.1</v>
      </c>
      <c r="C9" s="61" t="s">
        <v>150</v>
      </c>
      <c r="D9">
        <v>8</v>
      </c>
      <c r="E9" s="187" t="s">
        <v>199</v>
      </c>
      <c r="F9">
        <v>0.98</v>
      </c>
      <c r="G9">
        <v>0.8</v>
      </c>
      <c r="H9">
        <v>0.8</v>
      </c>
      <c r="I9">
        <v>0.8</v>
      </c>
      <c r="J9" s="111">
        <v>0.25</v>
      </c>
      <c r="K9" s="111">
        <v>0.05</v>
      </c>
    </row>
    <row r="10" spans="1:42" ht="14" thickBot="1" x14ac:dyDescent="0.2">
      <c r="A10" s="120" t="s">
        <v>149</v>
      </c>
      <c r="B10" s="123">
        <f>1/3</f>
        <v>0.33333333333333331</v>
      </c>
      <c r="C10" s="61" t="s">
        <v>150</v>
      </c>
      <c r="D10">
        <v>9</v>
      </c>
      <c r="E10" s="187" t="s">
        <v>200</v>
      </c>
      <c r="F10">
        <v>0.98</v>
      </c>
      <c r="G10">
        <v>0.8</v>
      </c>
      <c r="H10">
        <v>0.8</v>
      </c>
      <c r="I10">
        <v>0.8</v>
      </c>
      <c r="J10" s="111">
        <v>0.25</v>
      </c>
      <c r="K10" s="111">
        <v>0.05</v>
      </c>
    </row>
    <row r="11" spans="1:42" x14ac:dyDescent="0.15">
      <c r="D11">
        <v>10</v>
      </c>
      <c r="E11" s="187" t="s">
        <v>201</v>
      </c>
      <c r="F11">
        <v>0.98</v>
      </c>
      <c r="G11">
        <v>0.8</v>
      </c>
      <c r="H11">
        <v>0.8</v>
      </c>
      <c r="I11">
        <v>0.8</v>
      </c>
      <c r="J11" s="111">
        <v>0.25</v>
      </c>
      <c r="K11" s="111">
        <v>0.05</v>
      </c>
    </row>
    <row r="12" spans="1:42" x14ac:dyDescent="0.15">
      <c r="D12">
        <v>11</v>
      </c>
      <c r="E12" s="187" t="s">
        <v>202</v>
      </c>
      <c r="F12">
        <v>0.98</v>
      </c>
      <c r="G12">
        <v>0.8</v>
      </c>
      <c r="H12">
        <v>0.8</v>
      </c>
      <c r="I12">
        <v>0.8</v>
      </c>
      <c r="J12" s="111">
        <v>0.25</v>
      </c>
      <c r="K12" s="111">
        <v>0.05</v>
      </c>
    </row>
    <row r="13" spans="1:42" x14ac:dyDescent="0.15">
      <c r="D13">
        <v>12</v>
      </c>
      <c r="E13" s="187" t="s">
        <v>203</v>
      </c>
      <c r="F13">
        <v>0.98</v>
      </c>
      <c r="G13">
        <v>0.8</v>
      </c>
      <c r="H13">
        <v>0.8</v>
      </c>
      <c r="I13">
        <v>0.8</v>
      </c>
      <c r="J13" s="111">
        <v>0.25</v>
      </c>
      <c r="K13" s="111">
        <v>0.05</v>
      </c>
    </row>
    <row r="14" spans="1:42" x14ac:dyDescent="0.15">
      <c r="D14">
        <v>13</v>
      </c>
      <c r="E14" s="187" t="s">
        <v>204</v>
      </c>
      <c r="F14">
        <v>0.98</v>
      </c>
      <c r="G14">
        <v>0.8</v>
      </c>
      <c r="H14">
        <v>0.8</v>
      </c>
      <c r="I14">
        <v>0.8</v>
      </c>
      <c r="J14" s="111">
        <v>0.25</v>
      </c>
      <c r="K14" s="111">
        <v>0.05</v>
      </c>
    </row>
    <row r="15" spans="1:42" x14ac:dyDescent="0.15">
      <c r="D15">
        <v>14</v>
      </c>
      <c r="E15" s="187" t="s">
        <v>205</v>
      </c>
      <c r="F15">
        <v>0.98</v>
      </c>
      <c r="G15">
        <v>0.8</v>
      </c>
      <c r="H15">
        <v>0.8</v>
      </c>
      <c r="I15">
        <v>0.8</v>
      </c>
      <c r="J15" s="111">
        <v>0.25</v>
      </c>
      <c r="K15" s="111">
        <v>0.05</v>
      </c>
    </row>
    <row r="16" spans="1:42" x14ac:dyDescent="0.15">
      <c r="D16">
        <v>15</v>
      </c>
      <c r="E16" s="187" t="s">
        <v>206</v>
      </c>
      <c r="F16">
        <v>0.98</v>
      </c>
      <c r="G16">
        <v>0.8</v>
      </c>
      <c r="H16">
        <v>0.8</v>
      </c>
      <c r="I16">
        <v>0.8</v>
      </c>
      <c r="J16" s="111">
        <v>0.25</v>
      </c>
      <c r="K16" s="111">
        <v>0.05</v>
      </c>
    </row>
    <row r="17" spans="4:33" ht="15" customHeight="1" x14ac:dyDescent="0.15">
      <c r="D17">
        <v>16</v>
      </c>
      <c r="E17" s="187" t="s">
        <v>207</v>
      </c>
      <c r="F17">
        <v>0.98</v>
      </c>
      <c r="G17">
        <v>0.8</v>
      </c>
      <c r="H17">
        <v>0.8</v>
      </c>
      <c r="I17">
        <v>0.8</v>
      </c>
      <c r="J17" s="111">
        <v>0.25</v>
      </c>
      <c r="K17" s="111">
        <v>0.05</v>
      </c>
    </row>
    <row r="18" spans="4:33" ht="15" customHeight="1" x14ac:dyDescent="0.15">
      <c r="D18">
        <v>17</v>
      </c>
      <c r="E18" s="187" t="s">
        <v>208</v>
      </c>
      <c r="F18">
        <v>0.98</v>
      </c>
      <c r="G18">
        <v>0.8</v>
      </c>
      <c r="H18">
        <v>0.8</v>
      </c>
      <c r="I18">
        <v>0.8</v>
      </c>
      <c r="J18" s="111">
        <v>0.25</v>
      </c>
      <c r="K18" s="111">
        <v>0.05</v>
      </c>
    </row>
    <row r="19" spans="4:33" ht="15" customHeight="1" x14ac:dyDescent="0.15">
      <c r="D19">
        <v>18</v>
      </c>
      <c r="E19" s="187" t="s">
        <v>209</v>
      </c>
      <c r="F19">
        <v>0.98</v>
      </c>
      <c r="G19">
        <v>0.8</v>
      </c>
      <c r="H19">
        <v>0.8</v>
      </c>
      <c r="I19">
        <v>0.8</v>
      </c>
      <c r="J19" s="111">
        <v>0.25</v>
      </c>
      <c r="K19" s="111">
        <v>0.05</v>
      </c>
    </row>
    <row r="20" spans="4:33" ht="15" customHeight="1" x14ac:dyDescent="0.15">
      <c r="D20">
        <v>19</v>
      </c>
      <c r="E20" s="187" t="s">
        <v>210</v>
      </c>
      <c r="F20">
        <v>0.98</v>
      </c>
      <c r="G20">
        <v>0.8</v>
      </c>
      <c r="H20">
        <v>0.8</v>
      </c>
      <c r="I20">
        <v>0.8</v>
      </c>
      <c r="J20" s="111">
        <v>0.25</v>
      </c>
      <c r="K20" s="111">
        <v>0.05</v>
      </c>
    </row>
    <row r="21" spans="4:33" ht="15" customHeight="1" x14ac:dyDescent="0.15">
      <c r="D21">
        <v>20</v>
      </c>
      <c r="E21" s="187" t="s">
        <v>211</v>
      </c>
      <c r="F21">
        <v>0.98</v>
      </c>
      <c r="G21">
        <v>0.8</v>
      </c>
      <c r="H21">
        <v>0.8</v>
      </c>
      <c r="I21">
        <v>0.8</v>
      </c>
      <c r="J21" s="111">
        <v>0.25</v>
      </c>
      <c r="K21" s="111">
        <v>0.05</v>
      </c>
    </row>
    <row r="22" spans="4:33" ht="15" customHeight="1" x14ac:dyDescent="0.15">
      <c r="D22">
        <v>21</v>
      </c>
      <c r="E22" s="187" t="s">
        <v>212</v>
      </c>
      <c r="F22">
        <v>0.98</v>
      </c>
      <c r="G22">
        <v>0.8</v>
      </c>
      <c r="H22">
        <v>0.8</v>
      </c>
      <c r="I22">
        <v>0.8</v>
      </c>
      <c r="J22" s="111">
        <v>0.25</v>
      </c>
      <c r="K22" s="111">
        <v>0.05</v>
      </c>
    </row>
    <row r="23" spans="4:33" ht="15" customHeight="1" x14ac:dyDescent="0.15">
      <c r="D23">
        <v>22</v>
      </c>
      <c r="E23" s="187" t="s">
        <v>213</v>
      </c>
      <c r="F23">
        <v>0.98</v>
      </c>
      <c r="G23">
        <v>0.8</v>
      </c>
      <c r="H23">
        <v>0.8</v>
      </c>
      <c r="I23">
        <v>0.8</v>
      </c>
      <c r="J23" s="111">
        <v>0.25</v>
      </c>
      <c r="K23" s="111">
        <v>0.05</v>
      </c>
    </row>
    <row r="24" spans="4:33" ht="15" customHeight="1" x14ac:dyDescent="0.15">
      <c r="D24">
        <v>23</v>
      </c>
      <c r="E24" s="187" t="s">
        <v>214</v>
      </c>
      <c r="F24">
        <v>0.98</v>
      </c>
      <c r="G24">
        <v>0.8</v>
      </c>
      <c r="H24">
        <v>0.8</v>
      </c>
      <c r="I24">
        <v>0.8</v>
      </c>
      <c r="J24" s="111">
        <v>0.25</v>
      </c>
      <c r="K24" s="111">
        <v>0.05</v>
      </c>
    </row>
    <row r="25" spans="4:33" ht="15" customHeight="1" x14ac:dyDescent="0.15">
      <c r="D25">
        <v>24</v>
      </c>
      <c r="E25" s="187" t="s">
        <v>215</v>
      </c>
      <c r="F25">
        <v>0.98</v>
      </c>
      <c r="G25">
        <v>0.8</v>
      </c>
      <c r="H25">
        <v>0.8</v>
      </c>
      <c r="I25">
        <v>0.8</v>
      </c>
      <c r="J25" s="111">
        <v>0.25</v>
      </c>
      <c r="K25" s="111">
        <v>0.05</v>
      </c>
    </row>
    <row r="26" spans="4:33" ht="15" customHeight="1" x14ac:dyDescent="0.15">
      <c r="D26">
        <v>25</v>
      </c>
      <c r="E26" s="187" t="s">
        <v>216</v>
      </c>
      <c r="F26">
        <v>0.98</v>
      </c>
      <c r="G26">
        <v>0.8</v>
      </c>
      <c r="H26">
        <v>0.8</v>
      </c>
      <c r="I26">
        <v>0.8</v>
      </c>
      <c r="J26" s="111">
        <v>0.25</v>
      </c>
      <c r="K26" s="111">
        <v>0.05</v>
      </c>
    </row>
    <row r="27" spans="4:33" ht="15" customHeight="1" x14ac:dyDescent="0.15">
      <c r="D27">
        <v>26</v>
      </c>
      <c r="E27" s="187" t="s">
        <v>217</v>
      </c>
      <c r="F27">
        <v>0.98</v>
      </c>
      <c r="G27">
        <v>0.8</v>
      </c>
      <c r="H27">
        <v>0.8</v>
      </c>
      <c r="I27">
        <v>0.8</v>
      </c>
      <c r="J27" s="111">
        <v>0.25</v>
      </c>
      <c r="K27" s="111">
        <v>0.05</v>
      </c>
    </row>
    <row r="28" spans="4:33" ht="15" customHeight="1" x14ac:dyDescent="0.15">
      <c r="D28">
        <v>27</v>
      </c>
      <c r="E28" s="187" t="s">
        <v>218</v>
      </c>
      <c r="F28">
        <v>0.98</v>
      </c>
      <c r="G28">
        <v>0.8</v>
      </c>
      <c r="H28">
        <v>0.8</v>
      </c>
      <c r="I28">
        <v>0.8</v>
      </c>
      <c r="J28" s="111">
        <v>0.25</v>
      </c>
      <c r="K28" s="111">
        <v>0.05</v>
      </c>
    </row>
    <row r="29" spans="4:33" ht="15" customHeight="1" x14ac:dyDescent="0.15">
      <c r="D29">
        <v>28</v>
      </c>
      <c r="E29" s="187" t="s">
        <v>219</v>
      </c>
      <c r="F29">
        <v>0.98</v>
      </c>
      <c r="G29">
        <v>0.8</v>
      </c>
      <c r="H29">
        <v>0.8</v>
      </c>
      <c r="I29">
        <v>0.8</v>
      </c>
      <c r="J29" s="111">
        <v>0.25</v>
      </c>
      <c r="K29" s="111">
        <v>0.05</v>
      </c>
      <c r="Y29"/>
      <c r="AC29"/>
      <c r="AG29"/>
    </row>
    <row r="30" spans="4:33" ht="15" customHeight="1" x14ac:dyDescent="0.15">
      <c r="D30">
        <v>29</v>
      </c>
      <c r="E30" s="187" t="s">
        <v>220</v>
      </c>
      <c r="F30">
        <v>0.98</v>
      </c>
      <c r="G30">
        <v>0.8</v>
      </c>
      <c r="H30">
        <v>0.8</v>
      </c>
      <c r="I30">
        <v>0.8</v>
      </c>
      <c r="J30" s="111">
        <v>0.25</v>
      </c>
      <c r="K30" s="111">
        <v>0.05</v>
      </c>
      <c r="Y30"/>
      <c r="AC30"/>
      <c r="AG30"/>
    </row>
    <row r="31" spans="4:33" ht="15" customHeight="1" x14ac:dyDescent="0.15">
      <c r="D31">
        <v>30</v>
      </c>
      <c r="E31" s="187" t="s">
        <v>221</v>
      </c>
      <c r="F31">
        <v>0.98</v>
      </c>
      <c r="G31">
        <v>0.8</v>
      </c>
      <c r="H31">
        <v>0.8</v>
      </c>
      <c r="I31">
        <v>0</v>
      </c>
      <c r="J31" s="111">
        <v>0</v>
      </c>
      <c r="K31" s="111">
        <v>0</v>
      </c>
      <c r="Y31"/>
      <c r="AC31"/>
      <c r="AG31"/>
    </row>
    <row r="32" spans="4:33" ht="15" customHeight="1" x14ac:dyDescent="0.15">
      <c r="D32">
        <v>31</v>
      </c>
      <c r="E32" s="187" t="s">
        <v>222</v>
      </c>
      <c r="F32">
        <v>0.98</v>
      </c>
      <c r="G32">
        <v>0.8</v>
      </c>
      <c r="H32">
        <v>0</v>
      </c>
      <c r="I32">
        <v>0</v>
      </c>
      <c r="J32" s="111">
        <v>0</v>
      </c>
      <c r="K32" s="111">
        <v>0</v>
      </c>
      <c r="Y32"/>
      <c r="AC32"/>
      <c r="AG32"/>
    </row>
    <row r="33" spans="4:33" ht="15" customHeight="1" x14ac:dyDescent="0.15">
      <c r="D33">
        <v>32</v>
      </c>
      <c r="E33" s="187" t="s">
        <v>223</v>
      </c>
      <c r="F33">
        <v>0.98</v>
      </c>
      <c r="G33">
        <v>0.8</v>
      </c>
      <c r="H33">
        <v>0</v>
      </c>
      <c r="I33">
        <v>0</v>
      </c>
      <c r="J33" s="111">
        <v>0</v>
      </c>
      <c r="K33" s="111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2" style="108" bestFit="1" customWidth="1"/>
    <col min="2" max="30" width="3.83203125" style="108" customWidth="1"/>
    <col min="31" max="33" width="2.33203125" style="108" customWidth="1"/>
    <col min="34" max="16384" width="10.83203125" style="108"/>
  </cols>
  <sheetData>
    <row r="1" spans="1:33" x14ac:dyDescent="0.15">
      <c r="A1" s="63" t="s">
        <v>118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</row>
    <row r="2" spans="1:33" customFormat="1" x14ac:dyDescent="0.15">
      <c r="A2" s="188" t="s">
        <v>192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0.8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</row>
    <row r="3" spans="1:33" customFormat="1" x14ac:dyDescent="0.15">
      <c r="A3" s="188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</row>
    <row r="4" spans="1:33" customFormat="1" x14ac:dyDescent="0.15">
      <c r="A4" s="188" t="s">
        <v>194</v>
      </c>
      <c r="B4" s="108">
        <v>0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</row>
    <row r="5" spans="1:33" customFormat="1" x14ac:dyDescent="0.15">
      <c r="A5" s="188" t="s">
        <v>195</v>
      </c>
      <c r="B5" s="108">
        <v>0</v>
      </c>
      <c r="C5" s="108">
        <v>0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</row>
    <row r="6" spans="1:33" customFormat="1" x14ac:dyDescent="0.15">
      <c r="A6" s="188" t="s">
        <v>196</v>
      </c>
      <c r="B6" s="108">
        <v>0</v>
      </c>
      <c r="C6" s="108">
        <v>0</v>
      </c>
      <c r="D6" s="108">
        <v>0</v>
      </c>
      <c r="E6" s="108">
        <v>0.8</v>
      </c>
      <c r="F6" s="108">
        <v>0.8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0.8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</row>
    <row r="7" spans="1:33" customFormat="1" x14ac:dyDescent="0.15">
      <c r="A7" s="188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0.8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</row>
    <row r="8" spans="1:33" customFormat="1" x14ac:dyDescent="0.15">
      <c r="A8" s="188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0.8</v>
      </c>
      <c r="K8" s="108">
        <v>0</v>
      </c>
      <c r="L8" s="108">
        <v>0</v>
      </c>
      <c r="M8" s="108">
        <v>0.8</v>
      </c>
      <c r="N8" s="108">
        <v>0</v>
      </c>
      <c r="O8" s="108">
        <v>0</v>
      </c>
      <c r="P8" s="108">
        <v>0</v>
      </c>
      <c r="Q8" s="108">
        <v>0.8</v>
      </c>
      <c r="R8" s="108">
        <v>0.8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</row>
    <row r="9" spans="1:33" customFormat="1" x14ac:dyDescent="0.15">
      <c r="A9" s="188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0.8</v>
      </c>
      <c r="H9" s="108">
        <v>0.8</v>
      </c>
      <c r="I9" s="108">
        <v>0</v>
      </c>
      <c r="J9" s="108">
        <v>0.8</v>
      </c>
      <c r="K9" s="108">
        <v>0</v>
      </c>
      <c r="L9" s="108">
        <v>0.8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0.8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</row>
    <row r="10" spans="1:33" customFormat="1" x14ac:dyDescent="0.15">
      <c r="A10" s="188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0.8</v>
      </c>
      <c r="H10" s="108">
        <v>0.8</v>
      </c>
      <c r="I10" s="108">
        <v>0.8</v>
      </c>
      <c r="J10" s="108">
        <v>0.8</v>
      </c>
      <c r="K10" s="108">
        <v>0</v>
      </c>
      <c r="L10" s="108">
        <v>0.8</v>
      </c>
      <c r="M10" s="108">
        <v>0</v>
      </c>
      <c r="N10" s="108">
        <v>0</v>
      </c>
      <c r="O10" s="108">
        <v>0</v>
      </c>
      <c r="P10" s="108">
        <v>0</v>
      </c>
      <c r="Q10" s="108">
        <v>0.8</v>
      </c>
      <c r="R10" s="108">
        <v>0.8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</row>
    <row r="11" spans="1:33" customFormat="1" x14ac:dyDescent="0.15">
      <c r="A11" s="188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</v>
      </c>
      <c r="G11" s="108">
        <v>0.8</v>
      </c>
      <c r="H11" s="108">
        <v>0.8</v>
      </c>
      <c r="I11" s="108">
        <v>0.8</v>
      </c>
      <c r="J11" s="108">
        <v>0.8</v>
      </c>
      <c r="K11" s="108">
        <v>0</v>
      </c>
      <c r="L11" s="108">
        <v>0.8</v>
      </c>
      <c r="M11" s="108">
        <v>0</v>
      </c>
      <c r="N11" s="108">
        <v>0</v>
      </c>
      <c r="O11" s="108">
        <v>0</v>
      </c>
      <c r="P11" s="108">
        <v>0</v>
      </c>
      <c r="Q11" s="108">
        <v>0</v>
      </c>
      <c r="R11" s="108">
        <v>0.8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</row>
    <row r="12" spans="1:33" customFormat="1" x14ac:dyDescent="0.15">
      <c r="A12" s="188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0.8</v>
      </c>
      <c r="H12" s="108">
        <v>0.8</v>
      </c>
      <c r="I12" s="108">
        <v>0.8</v>
      </c>
      <c r="J12" s="108">
        <v>0.8</v>
      </c>
      <c r="K12" s="108">
        <v>0</v>
      </c>
      <c r="L12" s="108">
        <v>0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0.8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</row>
    <row r="13" spans="1:33" customFormat="1" x14ac:dyDescent="0.15">
      <c r="A13" s="188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0.8</v>
      </c>
      <c r="H13" s="108">
        <v>0.8</v>
      </c>
      <c r="I13" s="108">
        <v>0.8</v>
      </c>
      <c r="J13" s="108">
        <v>0.8</v>
      </c>
      <c r="K13" s="108">
        <v>0</v>
      </c>
      <c r="L13" s="108">
        <v>0.8</v>
      </c>
      <c r="M13" s="108">
        <v>0</v>
      </c>
      <c r="N13" s="108">
        <v>0</v>
      </c>
      <c r="O13" s="108">
        <v>0.8</v>
      </c>
      <c r="P13" s="108">
        <v>0</v>
      </c>
      <c r="Q13" s="108">
        <v>0.8</v>
      </c>
      <c r="R13" s="108">
        <v>0.8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</row>
    <row r="14" spans="1:33" customFormat="1" x14ac:dyDescent="0.15">
      <c r="A14" s="188" t="s">
        <v>204</v>
      </c>
      <c r="B14" s="108">
        <v>0</v>
      </c>
      <c r="C14" s="108">
        <v>0.8</v>
      </c>
      <c r="D14" s="108">
        <v>0</v>
      </c>
      <c r="E14" s="108">
        <v>0</v>
      </c>
      <c r="F14" s="108">
        <v>0</v>
      </c>
      <c r="G14" s="108">
        <v>0.8</v>
      </c>
      <c r="H14" s="108">
        <v>0.8</v>
      </c>
      <c r="I14" s="108">
        <v>0.8</v>
      </c>
      <c r="J14" s="108">
        <v>0.8</v>
      </c>
      <c r="K14" s="108">
        <v>0</v>
      </c>
      <c r="L14" s="108">
        <v>0.8</v>
      </c>
      <c r="M14" s="108">
        <v>0</v>
      </c>
      <c r="N14" s="108">
        <v>0</v>
      </c>
      <c r="O14" s="108">
        <v>0.8</v>
      </c>
      <c r="P14" s="108">
        <v>0.8</v>
      </c>
      <c r="Q14" s="108">
        <v>0.8</v>
      </c>
      <c r="R14" s="108">
        <v>0.8</v>
      </c>
      <c r="S14" s="108">
        <v>0</v>
      </c>
      <c r="T14" s="108">
        <v>0.8</v>
      </c>
      <c r="U14" s="108">
        <v>0</v>
      </c>
      <c r="V14" s="108">
        <v>0</v>
      </c>
      <c r="W14" s="108">
        <v>0</v>
      </c>
      <c r="X14" s="108">
        <v>0.8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</row>
    <row r="15" spans="1:33" customFormat="1" x14ac:dyDescent="0.15">
      <c r="A15" s="188" t="s">
        <v>205</v>
      </c>
      <c r="B15" s="108">
        <v>0</v>
      </c>
      <c r="C15" s="108">
        <v>0.8</v>
      </c>
      <c r="D15" s="108">
        <v>0</v>
      </c>
      <c r="E15" s="108">
        <v>0</v>
      </c>
      <c r="F15" s="108">
        <v>0</v>
      </c>
      <c r="G15" s="108">
        <v>0.8</v>
      </c>
      <c r="H15" s="108">
        <v>0.8</v>
      </c>
      <c r="I15" s="108">
        <v>0.8</v>
      </c>
      <c r="J15" s="108">
        <v>0.8</v>
      </c>
      <c r="K15" s="108">
        <v>0</v>
      </c>
      <c r="L15" s="108">
        <v>0.8</v>
      </c>
      <c r="M15" s="108">
        <v>0</v>
      </c>
      <c r="N15" s="108">
        <v>0</v>
      </c>
      <c r="O15" s="108">
        <v>0.8</v>
      </c>
      <c r="P15" s="108">
        <v>0.8</v>
      </c>
      <c r="Q15" s="108">
        <v>0.8</v>
      </c>
      <c r="R15" s="108">
        <v>0.8</v>
      </c>
      <c r="S15" s="108">
        <v>0</v>
      </c>
      <c r="T15" s="108">
        <v>0.8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</row>
    <row r="16" spans="1:33" customFormat="1" x14ac:dyDescent="0.15">
      <c r="A16" s="188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0.8</v>
      </c>
      <c r="H16" s="108">
        <v>0.8</v>
      </c>
      <c r="I16" s="108">
        <v>0.8</v>
      </c>
      <c r="J16" s="108">
        <v>0.8</v>
      </c>
      <c r="K16" s="108">
        <v>0</v>
      </c>
      <c r="L16" s="108">
        <v>0.8</v>
      </c>
      <c r="M16" s="108">
        <v>0</v>
      </c>
      <c r="N16" s="108">
        <v>0</v>
      </c>
      <c r="O16" s="108">
        <v>0.8</v>
      </c>
      <c r="P16" s="108">
        <v>0.8</v>
      </c>
      <c r="Q16" s="108">
        <v>0.8</v>
      </c>
      <c r="R16" s="108">
        <v>0.8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</row>
    <row r="17" spans="1:33" customFormat="1" x14ac:dyDescent="0.15">
      <c r="A17" s="188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0.8</v>
      </c>
      <c r="H17" s="108">
        <v>0.8</v>
      </c>
      <c r="I17" s="108">
        <v>0.8</v>
      </c>
      <c r="J17" s="108">
        <v>0.8</v>
      </c>
      <c r="K17" s="108">
        <v>0</v>
      </c>
      <c r="L17" s="108">
        <v>0.8</v>
      </c>
      <c r="M17" s="108">
        <v>0</v>
      </c>
      <c r="N17" s="108">
        <v>0</v>
      </c>
      <c r="O17" s="108">
        <v>0</v>
      </c>
      <c r="P17" s="108">
        <v>0</v>
      </c>
      <c r="Q17" s="108">
        <v>0.8</v>
      </c>
      <c r="R17" s="108">
        <v>0.8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</row>
    <row r="18" spans="1:33" customFormat="1" x14ac:dyDescent="0.15">
      <c r="A18" s="188" t="s">
        <v>208</v>
      </c>
      <c r="B18" s="108">
        <v>0</v>
      </c>
      <c r="C18" s="108">
        <v>0</v>
      </c>
      <c r="D18" s="108">
        <v>0</v>
      </c>
      <c r="E18" s="108">
        <v>0.8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0.8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</row>
    <row r="19" spans="1:33" customFormat="1" x14ac:dyDescent="0.15">
      <c r="A19" s="188" t="s">
        <v>209</v>
      </c>
      <c r="B19" s="108">
        <v>0.8</v>
      </c>
      <c r="C19" s="108">
        <v>0</v>
      </c>
      <c r="D19" s="108">
        <v>0</v>
      </c>
      <c r="E19" s="108">
        <v>0</v>
      </c>
      <c r="F19" s="108">
        <v>0</v>
      </c>
      <c r="G19" s="108">
        <v>0.8</v>
      </c>
      <c r="H19" s="108">
        <v>0.8</v>
      </c>
      <c r="I19" s="108">
        <v>0.8</v>
      </c>
      <c r="J19" s="108">
        <v>0.8</v>
      </c>
      <c r="K19" s="108">
        <v>0</v>
      </c>
      <c r="L19" s="108">
        <v>0.8</v>
      </c>
      <c r="M19" s="108">
        <v>0.8</v>
      </c>
      <c r="N19" s="108">
        <v>0</v>
      </c>
      <c r="O19" s="108">
        <v>0.8</v>
      </c>
      <c r="P19" s="108">
        <v>0.8</v>
      </c>
      <c r="Q19" s="108">
        <v>0.8</v>
      </c>
      <c r="R19" s="108">
        <v>0.8</v>
      </c>
      <c r="S19" s="108">
        <v>0</v>
      </c>
      <c r="T19" s="108">
        <v>0.8</v>
      </c>
      <c r="U19" s="108">
        <v>0</v>
      </c>
      <c r="V19" s="108">
        <v>0</v>
      </c>
      <c r="W19" s="108">
        <v>0</v>
      </c>
      <c r="X19" s="108">
        <v>0.8</v>
      </c>
      <c r="Y19" s="108">
        <v>0</v>
      </c>
      <c r="Z19" s="108">
        <v>0</v>
      </c>
      <c r="AA19" s="108">
        <v>0</v>
      </c>
      <c r="AB19" s="108">
        <v>0.8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</row>
    <row r="20" spans="1:33" customFormat="1" x14ac:dyDescent="0.15">
      <c r="A20" s="188" t="s">
        <v>210</v>
      </c>
      <c r="B20" s="108">
        <v>0.8</v>
      </c>
      <c r="C20" s="108">
        <v>0</v>
      </c>
      <c r="D20" s="108">
        <v>0</v>
      </c>
      <c r="E20" s="108">
        <v>0</v>
      </c>
      <c r="F20" s="108">
        <v>0</v>
      </c>
      <c r="G20" s="108">
        <v>0.8</v>
      </c>
      <c r="H20" s="108">
        <v>0.8</v>
      </c>
      <c r="I20" s="108">
        <v>0.8</v>
      </c>
      <c r="J20" s="108">
        <v>0.8</v>
      </c>
      <c r="K20" s="108">
        <v>0.8</v>
      </c>
      <c r="L20" s="108">
        <v>0.8</v>
      </c>
      <c r="M20" s="108">
        <v>0.8</v>
      </c>
      <c r="N20" s="108">
        <v>0.8</v>
      </c>
      <c r="O20" s="108">
        <v>0.8</v>
      </c>
      <c r="P20" s="108">
        <v>0.8</v>
      </c>
      <c r="Q20" s="108">
        <v>0.8</v>
      </c>
      <c r="R20" s="108">
        <v>0.8</v>
      </c>
      <c r="S20" s="108">
        <v>0</v>
      </c>
      <c r="T20" s="108">
        <v>0.8</v>
      </c>
      <c r="U20" s="108">
        <v>0</v>
      </c>
      <c r="V20" s="108">
        <v>0</v>
      </c>
      <c r="W20" s="108">
        <v>0</v>
      </c>
      <c r="X20" s="108">
        <v>0.8</v>
      </c>
      <c r="Y20" s="108">
        <v>0</v>
      </c>
      <c r="Z20" s="108">
        <v>0</v>
      </c>
      <c r="AA20" s="108">
        <v>0.8</v>
      </c>
      <c r="AB20" s="108">
        <v>0.8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</row>
    <row r="21" spans="1:33" customFormat="1" x14ac:dyDescent="0.15">
      <c r="A21" s="188" t="s">
        <v>211</v>
      </c>
      <c r="B21" s="108">
        <v>0.8</v>
      </c>
      <c r="C21" s="108">
        <v>0.8</v>
      </c>
      <c r="D21" s="108">
        <v>0.8</v>
      </c>
      <c r="E21" s="108">
        <v>0.8</v>
      </c>
      <c r="F21" s="108">
        <v>0.8</v>
      </c>
      <c r="G21" s="108">
        <v>0</v>
      </c>
      <c r="H21" s="108">
        <v>0.8</v>
      </c>
      <c r="I21" s="108">
        <v>0.8</v>
      </c>
      <c r="J21" s="108">
        <v>0.8</v>
      </c>
      <c r="K21" s="108">
        <v>0.8</v>
      </c>
      <c r="L21" s="108">
        <v>0.8</v>
      </c>
      <c r="M21" s="108">
        <v>0.8</v>
      </c>
      <c r="N21" s="108">
        <v>0.8</v>
      </c>
      <c r="O21" s="108">
        <v>0.8</v>
      </c>
      <c r="P21" s="108">
        <v>0.8</v>
      </c>
      <c r="Q21" s="108">
        <v>0.8</v>
      </c>
      <c r="R21" s="108">
        <v>0.8</v>
      </c>
      <c r="S21" s="108">
        <v>0.8</v>
      </c>
      <c r="T21" s="108">
        <v>0</v>
      </c>
      <c r="U21" s="108">
        <v>0</v>
      </c>
      <c r="V21" s="108">
        <v>0</v>
      </c>
      <c r="W21" s="108">
        <v>0.8</v>
      </c>
      <c r="X21" s="108">
        <v>0.8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0.8</v>
      </c>
      <c r="AE21" s="108">
        <v>0</v>
      </c>
      <c r="AF21" s="108">
        <v>0</v>
      </c>
      <c r="AG21" s="108">
        <v>0</v>
      </c>
    </row>
    <row r="22" spans="1:33" customFormat="1" x14ac:dyDescent="0.15">
      <c r="A22" s="188" t="s">
        <v>212</v>
      </c>
      <c r="B22" s="108">
        <v>0.8</v>
      </c>
      <c r="C22" s="108">
        <v>0.8</v>
      </c>
      <c r="D22" s="108">
        <v>0.8</v>
      </c>
      <c r="E22" s="108">
        <v>0.8</v>
      </c>
      <c r="F22" s="108">
        <v>0.8</v>
      </c>
      <c r="G22" s="108">
        <v>0.8</v>
      </c>
      <c r="H22" s="108">
        <v>0.8</v>
      </c>
      <c r="I22" s="108">
        <v>0.8</v>
      </c>
      <c r="J22" s="108">
        <v>0.8</v>
      </c>
      <c r="K22" s="108">
        <v>0.8</v>
      </c>
      <c r="L22" s="108">
        <v>0.8</v>
      </c>
      <c r="M22" s="108">
        <v>0.8</v>
      </c>
      <c r="N22" s="108">
        <v>0</v>
      </c>
      <c r="O22" s="108">
        <v>0.8</v>
      </c>
      <c r="P22" s="108">
        <v>0.8</v>
      </c>
      <c r="Q22" s="108">
        <v>0.8</v>
      </c>
      <c r="R22" s="108">
        <v>0.8</v>
      </c>
      <c r="S22" s="108">
        <v>0.8</v>
      </c>
      <c r="T22" s="108">
        <v>0.8</v>
      </c>
      <c r="U22" s="108">
        <v>0</v>
      </c>
      <c r="V22" s="108">
        <v>0</v>
      </c>
      <c r="W22" s="108">
        <v>0.8</v>
      </c>
      <c r="X22" s="108">
        <v>0.8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0.8</v>
      </c>
      <c r="AE22" s="108">
        <v>0</v>
      </c>
      <c r="AF22" s="108">
        <v>0</v>
      </c>
      <c r="AG22" s="108">
        <v>0</v>
      </c>
    </row>
    <row r="23" spans="1:33" customFormat="1" x14ac:dyDescent="0.15">
      <c r="A23" s="188" t="s">
        <v>213</v>
      </c>
      <c r="B23" s="108">
        <v>0</v>
      </c>
      <c r="C23" s="108">
        <v>0.8</v>
      </c>
      <c r="D23" s="108">
        <v>0.8</v>
      </c>
      <c r="E23" s="108">
        <v>0.8</v>
      </c>
      <c r="F23" s="108">
        <v>0.8</v>
      </c>
      <c r="G23" s="108">
        <v>0.8</v>
      </c>
      <c r="H23" s="108">
        <v>0.8</v>
      </c>
      <c r="I23" s="108">
        <v>0.8</v>
      </c>
      <c r="J23" s="108">
        <v>0.8</v>
      </c>
      <c r="K23" s="108">
        <v>0.8</v>
      </c>
      <c r="L23" s="108">
        <v>0.8</v>
      </c>
      <c r="M23" s="108">
        <v>0</v>
      </c>
      <c r="N23" s="108">
        <v>0</v>
      </c>
      <c r="O23" s="108">
        <v>0</v>
      </c>
      <c r="P23" s="108">
        <v>0.8</v>
      </c>
      <c r="Q23" s="108">
        <v>0.8</v>
      </c>
      <c r="R23" s="108">
        <v>0.8</v>
      </c>
      <c r="S23" s="108">
        <v>0</v>
      </c>
      <c r="T23" s="108">
        <v>0.8</v>
      </c>
      <c r="U23" s="108">
        <v>0</v>
      </c>
      <c r="V23" s="108">
        <v>0</v>
      </c>
      <c r="W23" s="108">
        <v>0.8</v>
      </c>
      <c r="X23" s="108">
        <v>0.8</v>
      </c>
      <c r="Y23" s="108">
        <v>0</v>
      </c>
      <c r="Z23" s="108">
        <v>0</v>
      </c>
      <c r="AA23" s="108">
        <v>0.8</v>
      </c>
      <c r="AB23" s="108">
        <v>0.8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</row>
    <row r="24" spans="1:33" customFormat="1" x14ac:dyDescent="0.15">
      <c r="A24" s="188" t="s">
        <v>214</v>
      </c>
      <c r="B24" s="108">
        <v>0</v>
      </c>
      <c r="C24" s="108">
        <v>0</v>
      </c>
      <c r="D24" s="108">
        <v>0.8</v>
      </c>
      <c r="E24" s="108">
        <v>0.8</v>
      </c>
      <c r="F24" s="108">
        <v>0.8</v>
      </c>
      <c r="G24" s="108">
        <v>0.8</v>
      </c>
      <c r="H24" s="108">
        <v>0.8</v>
      </c>
      <c r="I24" s="108">
        <v>0.8</v>
      </c>
      <c r="J24" s="108">
        <v>0.8</v>
      </c>
      <c r="K24" s="108">
        <v>0.8</v>
      </c>
      <c r="L24" s="108">
        <v>0.8</v>
      </c>
      <c r="M24" s="108">
        <v>0.8</v>
      </c>
      <c r="N24" s="108">
        <v>0</v>
      </c>
      <c r="O24" s="108">
        <v>0</v>
      </c>
      <c r="P24" s="108">
        <v>0.8</v>
      </c>
      <c r="Q24" s="108">
        <v>0.8</v>
      </c>
      <c r="R24" s="108">
        <v>0.8</v>
      </c>
      <c r="S24" s="108">
        <v>0</v>
      </c>
      <c r="T24" s="108">
        <v>0</v>
      </c>
      <c r="U24" s="108">
        <v>0</v>
      </c>
      <c r="V24" s="108">
        <v>0</v>
      </c>
      <c r="W24" s="108">
        <v>0</v>
      </c>
      <c r="X24" s="108">
        <v>0.8</v>
      </c>
      <c r="Y24" s="108">
        <v>0</v>
      </c>
      <c r="Z24" s="108">
        <v>0</v>
      </c>
      <c r="AA24" s="108">
        <v>0</v>
      </c>
      <c r="AB24" s="108">
        <v>0.8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</row>
    <row r="25" spans="1:33" customFormat="1" x14ac:dyDescent="0.15">
      <c r="A25" s="188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0.8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</row>
    <row r="26" spans="1:33" customFormat="1" x14ac:dyDescent="0.15">
      <c r="A26" s="188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0.8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</row>
    <row r="27" spans="1:33" customFormat="1" x14ac:dyDescent="0.15">
      <c r="A27" s="188" t="s">
        <v>217</v>
      </c>
      <c r="B27" s="108">
        <v>0.8</v>
      </c>
      <c r="C27" s="108">
        <v>0</v>
      </c>
      <c r="D27" s="108">
        <v>0.8</v>
      </c>
      <c r="E27" s="108">
        <v>0.8</v>
      </c>
      <c r="F27" s="108">
        <v>0.8</v>
      </c>
      <c r="G27" s="108">
        <v>0.8</v>
      </c>
      <c r="H27" s="108">
        <v>0.8</v>
      </c>
      <c r="I27" s="108">
        <v>0.8</v>
      </c>
      <c r="J27" s="108">
        <v>0.8</v>
      </c>
      <c r="K27" s="108">
        <v>0.8</v>
      </c>
      <c r="L27" s="108">
        <v>0.8</v>
      </c>
      <c r="M27" s="108">
        <v>0.8</v>
      </c>
      <c r="N27" s="108">
        <v>0.8</v>
      </c>
      <c r="O27" s="108">
        <v>0.8</v>
      </c>
      <c r="P27" s="108">
        <v>0.8</v>
      </c>
      <c r="Q27" s="108">
        <v>0.8</v>
      </c>
      <c r="R27" s="108">
        <v>0.8</v>
      </c>
      <c r="S27" s="108">
        <v>0</v>
      </c>
      <c r="T27" s="108">
        <v>0.8</v>
      </c>
      <c r="U27" s="108">
        <v>0</v>
      </c>
      <c r="V27" s="108">
        <v>0</v>
      </c>
      <c r="W27" s="108">
        <v>0</v>
      </c>
      <c r="X27" s="108">
        <v>0.8</v>
      </c>
      <c r="Y27" s="108">
        <v>0</v>
      </c>
      <c r="Z27" s="108">
        <v>0</v>
      </c>
      <c r="AA27" s="108">
        <v>0.8</v>
      </c>
      <c r="AB27" s="108">
        <v>0.8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</row>
    <row r="28" spans="1:33" customFormat="1" x14ac:dyDescent="0.15">
      <c r="A28" s="188" t="s">
        <v>218</v>
      </c>
      <c r="B28" s="108">
        <v>0</v>
      </c>
      <c r="C28" s="108">
        <v>0</v>
      </c>
      <c r="D28" s="108">
        <v>0.8</v>
      </c>
      <c r="E28" s="108">
        <v>0.8</v>
      </c>
      <c r="F28" s="108">
        <v>0.8</v>
      </c>
      <c r="G28" s="108">
        <v>0.8</v>
      </c>
      <c r="H28" s="108">
        <v>0.8</v>
      </c>
      <c r="I28" s="108">
        <v>0.8</v>
      </c>
      <c r="J28" s="108">
        <v>0</v>
      </c>
      <c r="K28" s="108">
        <v>0.8</v>
      </c>
      <c r="L28" s="108">
        <v>0</v>
      </c>
      <c r="M28" s="108">
        <v>0</v>
      </c>
      <c r="N28" s="108">
        <v>0</v>
      </c>
      <c r="O28" s="108">
        <v>0</v>
      </c>
      <c r="P28" s="108">
        <v>0.8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0.8</v>
      </c>
      <c r="Y28" s="108">
        <v>0</v>
      </c>
      <c r="Z28" s="108">
        <v>0</v>
      </c>
      <c r="AA28" s="108">
        <v>0</v>
      </c>
      <c r="AB28" s="108">
        <v>0.8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</row>
    <row r="29" spans="1:33" customFormat="1" x14ac:dyDescent="0.15">
      <c r="A29" s="188" t="s">
        <v>219</v>
      </c>
      <c r="B29" s="108">
        <v>0.8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0.8</v>
      </c>
      <c r="J29" s="108">
        <v>0.8</v>
      </c>
      <c r="K29" s="108">
        <v>0</v>
      </c>
      <c r="L29" s="108">
        <v>0</v>
      </c>
      <c r="M29" s="108">
        <v>0.8</v>
      </c>
      <c r="N29" s="108">
        <v>0.8</v>
      </c>
      <c r="O29" s="108">
        <v>0.8</v>
      </c>
      <c r="P29" s="108">
        <v>0.8</v>
      </c>
      <c r="Q29" s="108">
        <v>0.8</v>
      </c>
      <c r="R29" s="108">
        <v>0</v>
      </c>
      <c r="S29" s="108">
        <v>0.8</v>
      </c>
      <c r="T29" s="108">
        <v>0.8</v>
      </c>
      <c r="U29" s="108">
        <v>0.8</v>
      </c>
      <c r="V29" s="108">
        <v>0.8</v>
      </c>
      <c r="W29" s="108">
        <v>0.8</v>
      </c>
      <c r="X29" s="108">
        <v>0.8</v>
      </c>
      <c r="Y29" s="108">
        <v>0.8</v>
      </c>
      <c r="Z29" s="108">
        <v>0.8</v>
      </c>
      <c r="AA29" s="108">
        <v>0.8</v>
      </c>
      <c r="AB29" s="108">
        <v>0</v>
      </c>
      <c r="AC29" s="108">
        <v>0.8</v>
      </c>
      <c r="AD29" s="108">
        <v>0.8</v>
      </c>
      <c r="AE29" s="108">
        <v>0</v>
      </c>
      <c r="AF29" s="108">
        <v>0</v>
      </c>
      <c r="AG29" s="108">
        <v>0</v>
      </c>
    </row>
    <row r="30" spans="1:33" customFormat="1" x14ac:dyDescent="0.15">
      <c r="A30" s="188" t="s">
        <v>220</v>
      </c>
      <c r="B30" s="108">
        <v>0.8</v>
      </c>
      <c r="C30" s="108">
        <v>0.8</v>
      </c>
      <c r="D30" s="108">
        <v>0</v>
      </c>
      <c r="E30" s="108">
        <v>0</v>
      </c>
      <c r="F30" s="108">
        <v>0</v>
      </c>
      <c r="G30" s="108">
        <v>0.8</v>
      </c>
      <c r="H30" s="108">
        <v>0.8</v>
      </c>
      <c r="I30" s="108">
        <v>0.8</v>
      </c>
      <c r="J30" s="108">
        <v>0.8</v>
      </c>
      <c r="K30" s="108">
        <v>0.8</v>
      </c>
      <c r="L30" s="108">
        <v>0.8</v>
      </c>
      <c r="M30" s="108">
        <v>0</v>
      </c>
      <c r="N30" s="108">
        <v>0</v>
      </c>
      <c r="O30" s="108">
        <v>0.8</v>
      </c>
      <c r="P30" s="108">
        <v>0</v>
      </c>
      <c r="Q30" s="108">
        <v>0.8</v>
      </c>
      <c r="R30" s="108">
        <v>0.8</v>
      </c>
      <c r="S30" s="108">
        <v>0</v>
      </c>
      <c r="T30" s="108">
        <v>0.8</v>
      </c>
      <c r="U30" s="108">
        <v>0.8</v>
      </c>
      <c r="V30" s="108">
        <v>0.8</v>
      </c>
      <c r="W30" s="108">
        <v>0</v>
      </c>
      <c r="X30" s="108">
        <v>0.8</v>
      </c>
      <c r="Y30" s="108">
        <v>0.8</v>
      </c>
      <c r="Z30" s="108">
        <v>0.8</v>
      </c>
      <c r="AA30" s="108">
        <v>0.8</v>
      </c>
      <c r="AB30" s="108">
        <v>0.8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</row>
    <row r="31" spans="1:33" customFormat="1" x14ac:dyDescent="0.15">
      <c r="A31" s="188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0.8</v>
      </c>
      <c r="V31" s="108">
        <v>0.8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0.8</v>
      </c>
      <c r="AD31" s="108">
        <v>0</v>
      </c>
      <c r="AE31" s="108">
        <v>0</v>
      </c>
      <c r="AF31" s="108">
        <v>0</v>
      </c>
      <c r="AG31" s="108">
        <v>0</v>
      </c>
    </row>
    <row r="32" spans="1:33" customFormat="1" x14ac:dyDescent="0.15">
      <c r="A32" s="188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0.8</v>
      </c>
      <c r="S32" s="108">
        <v>0</v>
      </c>
      <c r="T32" s="108">
        <v>0.8</v>
      </c>
      <c r="U32" s="108">
        <v>0.8</v>
      </c>
      <c r="V32" s="108">
        <v>0.8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0.8</v>
      </c>
      <c r="AD32" s="108">
        <v>0</v>
      </c>
      <c r="AE32" s="108">
        <v>0</v>
      </c>
      <c r="AF32" s="108">
        <v>0</v>
      </c>
      <c r="AG32" s="108">
        <v>0</v>
      </c>
    </row>
    <row r="33" spans="1:33" x14ac:dyDescent="0.15">
      <c r="A33" s="188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</row>
    <row r="34" spans="1:33" x14ac:dyDescent="0.15">
      <c r="A34" s="188" t="s">
        <v>233</v>
      </c>
      <c r="B34" s="108">
        <v>0.8</v>
      </c>
      <c r="C34" s="108">
        <v>0.8</v>
      </c>
      <c r="D34" s="108">
        <v>0.8</v>
      </c>
      <c r="E34" s="108">
        <v>0</v>
      </c>
      <c r="F34" s="108">
        <v>0.8</v>
      </c>
      <c r="G34" s="108">
        <v>0.8</v>
      </c>
      <c r="H34" s="108">
        <v>0.8</v>
      </c>
      <c r="I34" s="108">
        <v>0.8</v>
      </c>
      <c r="J34" s="108">
        <v>0.8</v>
      </c>
      <c r="K34" s="108">
        <v>0.8</v>
      </c>
      <c r="L34" s="108">
        <v>0.8</v>
      </c>
      <c r="M34" s="108">
        <v>0.8</v>
      </c>
      <c r="N34" s="108">
        <v>0.8</v>
      </c>
      <c r="O34" s="108">
        <v>0.8</v>
      </c>
      <c r="P34" s="108">
        <v>0.8</v>
      </c>
      <c r="Q34" s="108">
        <v>0.8</v>
      </c>
      <c r="R34" s="108">
        <v>0.8</v>
      </c>
      <c r="S34" s="108">
        <v>0.8</v>
      </c>
      <c r="T34" s="108">
        <v>0.8</v>
      </c>
      <c r="U34" s="108">
        <v>0.8</v>
      </c>
      <c r="V34" s="108">
        <v>0.8</v>
      </c>
      <c r="W34" s="108">
        <v>0.8</v>
      </c>
      <c r="X34" s="108">
        <v>0.8</v>
      </c>
      <c r="Y34" s="108">
        <v>0</v>
      </c>
      <c r="Z34" s="108">
        <v>0.8</v>
      </c>
      <c r="AA34" s="108">
        <v>0.8</v>
      </c>
      <c r="AB34" s="108">
        <v>0.8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2" style="108" bestFit="1" customWidth="1"/>
    <col min="2" max="33" width="2.33203125" style="108" customWidth="1"/>
    <col min="34" max="16384" width="10.83203125" style="108"/>
  </cols>
  <sheetData>
    <row r="1" spans="1:33" x14ac:dyDescent="0.15">
      <c r="A1" s="63" t="s">
        <v>139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  <c r="AF1" s="191" t="s">
        <v>222</v>
      </c>
      <c r="AG1" s="191" t="s">
        <v>223</v>
      </c>
    </row>
    <row r="2" spans="1:33" customFormat="1" x14ac:dyDescent="0.15">
      <c r="A2" s="190" t="s">
        <v>192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1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</row>
    <row r="3" spans="1:33" customFormat="1" x14ac:dyDescent="0.15">
      <c r="A3" s="190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</row>
    <row r="4" spans="1:33" customFormat="1" x14ac:dyDescent="0.15">
      <c r="A4" s="190" t="s">
        <v>194</v>
      </c>
      <c r="B4" s="108">
        <v>0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</row>
    <row r="5" spans="1:33" customFormat="1" x14ac:dyDescent="0.15">
      <c r="A5" s="190" t="s">
        <v>195</v>
      </c>
      <c r="B5" s="108">
        <v>0</v>
      </c>
      <c r="C5" s="108">
        <v>0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</row>
    <row r="6" spans="1:33" customFormat="1" x14ac:dyDescent="0.15">
      <c r="A6" s="190" t="s">
        <v>196</v>
      </c>
      <c r="B6" s="108">
        <v>0</v>
      </c>
      <c r="C6" s="108">
        <v>0</v>
      </c>
      <c r="D6" s="108">
        <v>0</v>
      </c>
      <c r="E6" s="108">
        <v>1</v>
      </c>
      <c r="F6" s="108">
        <v>1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1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</row>
    <row r="7" spans="1:33" customFormat="1" x14ac:dyDescent="0.15">
      <c r="A7" s="190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1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</row>
    <row r="8" spans="1:33" customFormat="1" x14ac:dyDescent="0.15">
      <c r="A8" s="190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1</v>
      </c>
      <c r="K8" s="108">
        <v>0</v>
      </c>
      <c r="L8" s="108">
        <v>0</v>
      </c>
      <c r="M8" s="108">
        <v>1</v>
      </c>
      <c r="N8" s="108">
        <v>0</v>
      </c>
      <c r="O8" s="108">
        <v>0</v>
      </c>
      <c r="P8" s="108">
        <v>0</v>
      </c>
      <c r="Q8" s="108">
        <v>1</v>
      </c>
      <c r="R8" s="108">
        <v>1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</row>
    <row r="9" spans="1:33" customFormat="1" x14ac:dyDescent="0.15">
      <c r="A9" s="190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08">
        <v>0</v>
      </c>
      <c r="J9" s="108">
        <v>1</v>
      </c>
      <c r="K9" s="108">
        <v>0</v>
      </c>
      <c r="L9" s="108">
        <v>1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1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</row>
    <row r="10" spans="1:33" customFormat="1" x14ac:dyDescent="0.15">
      <c r="A10" s="190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1</v>
      </c>
      <c r="H10" s="108">
        <v>1</v>
      </c>
      <c r="I10" s="108">
        <v>1</v>
      </c>
      <c r="J10" s="108">
        <v>1</v>
      </c>
      <c r="K10" s="108">
        <v>0</v>
      </c>
      <c r="L10" s="108">
        <v>1</v>
      </c>
      <c r="M10" s="108">
        <v>0</v>
      </c>
      <c r="N10" s="108">
        <v>0</v>
      </c>
      <c r="O10" s="108">
        <v>0</v>
      </c>
      <c r="P10" s="108">
        <v>0</v>
      </c>
      <c r="Q10" s="108">
        <v>1</v>
      </c>
      <c r="R10" s="108">
        <v>1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</row>
    <row r="11" spans="1:33" customFormat="1" x14ac:dyDescent="0.15">
      <c r="A11" s="190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</v>
      </c>
      <c r="G11" s="108">
        <v>1</v>
      </c>
      <c r="H11" s="108">
        <v>1</v>
      </c>
      <c r="I11" s="108">
        <v>1</v>
      </c>
      <c r="J11" s="108">
        <v>1</v>
      </c>
      <c r="K11" s="108">
        <v>0</v>
      </c>
      <c r="L11" s="108">
        <v>1</v>
      </c>
      <c r="M11" s="108">
        <v>0</v>
      </c>
      <c r="N11" s="108">
        <v>0</v>
      </c>
      <c r="O11" s="108">
        <v>0</v>
      </c>
      <c r="P11" s="108">
        <v>0</v>
      </c>
      <c r="Q11" s="108">
        <v>0</v>
      </c>
      <c r="R11" s="108">
        <v>1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</row>
    <row r="12" spans="1:33" customFormat="1" x14ac:dyDescent="0.15">
      <c r="A12" s="190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1</v>
      </c>
      <c r="H12" s="108">
        <v>1</v>
      </c>
      <c r="I12" s="108">
        <v>1</v>
      </c>
      <c r="J12" s="108">
        <v>1</v>
      </c>
      <c r="K12" s="108">
        <v>0</v>
      </c>
      <c r="L12" s="108">
        <v>0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1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</row>
    <row r="13" spans="1:33" customFormat="1" x14ac:dyDescent="0.15">
      <c r="A13" s="190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1</v>
      </c>
      <c r="H13" s="108">
        <v>1</v>
      </c>
      <c r="I13" s="108">
        <v>1</v>
      </c>
      <c r="J13" s="108">
        <v>1</v>
      </c>
      <c r="K13" s="108">
        <v>0</v>
      </c>
      <c r="L13" s="108">
        <v>1</v>
      </c>
      <c r="M13" s="108">
        <v>0</v>
      </c>
      <c r="N13" s="108">
        <v>0</v>
      </c>
      <c r="O13" s="108">
        <v>1</v>
      </c>
      <c r="P13" s="108">
        <v>0</v>
      </c>
      <c r="Q13" s="108">
        <v>1</v>
      </c>
      <c r="R13" s="108">
        <v>1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</row>
    <row r="14" spans="1:33" customFormat="1" x14ac:dyDescent="0.15">
      <c r="A14" s="190" t="s">
        <v>204</v>
      </c>
      <c r="B14" s="108">
        <v>0</v>
      </c>
      <c r="C14" s="108">
        <v>1</v>
      </c>
      <c r="D14" s="108">
        <v>0</v>
      </c>
      <c r="E14" s="108">
        <v>0</v>
      </c>
      <c r="F14" s="108">
        <v>0</v>
      </c>
      <c r="G14" s="108">
        <v>1</v>
      </c>
      <c r="H14" s="108">
        <v>1</v>
      </c>
      <c r="I14" s="108">
        <v>1</v>
      </c>
      <c r="J14" s="108">
        <v>1</v>
      </c>
      <c r="K14" s="108">
        <v>0</v>
      </c>
      <c r="L14" s="108">
        <v>1</v>
      </c>
      <c r="M14" s="108">
        <v>0</v>
      </c>
      <c r="N14" s="108">
        <v>0</v>
      </c>
      <c r="O14" s="108">
        <v>1</v>
      </c>
      <c r="P14" s="108">
        <v>1</v>
      </c>
      <c r="Q14" s="108">
        <v>1</v>
      </c>
      <c r="R14" s="108">
        <v>1</v>
      </c>
      <c r="S14" s="108">
        <v>0</v>
      </c>
      <c r="T14" s="108">
        <v>1</v>
      </c>
      <c r="U14" s="108">
        <v>0</v>
      </c>
      <c r="V14" s="108">
        <v>0</v>
      </c>
      <c r="W14" s="108">
        <v>0</v>
      </c>
      <c r="X14" s="108">
        <v>1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</row>
    <row r="15" spans="1:33" customFormat="1" x14ac:dyDescent="0.15">
      <c r="A15" s="190" t="s">
        <v>205</v>
      </c>
      <c r="B15" s="108">
        <v>0</v>
      </c>
      <c r="C15" s="108">
        <v>1</v>
      </c>
      <c r="D15" s="108">
        <v>0</v>
      </c>
      <c r="E15" s="108">
        <v>0</v>
      </c>
      <c r="F15" s="108">
        <v>0</v>
      </c>
      <c r="G15" s="108">
        <v>1</v>
      </c>
      <c r="H15" s="108">
        <v>1</v>
      </c>
      <c r="I15" s="108">
        <v>1</v>
      </c>
      <c r="J15" s="108">
        <v>1</v>
      </c>
      <c r="K15" s="108">
        <v>0</v>
      </c>
      <c r="L15" s="108">
        <v>1</v>
      </c>
      <c r="M15" s="108">
        <v>0</v>
      </c>
      <c r="N15" s="108">
        <v>0</v>
      </c>
      <c r="O15" s="108">
        <v>1</v>
      </c>
      <c r="P15" s="108">
        <v>1</v>
      </c>
      <c r="Q15" s="108">
        <v>1</v>
      </c>
      <c r="R15" s="108">
        <v>1</v>
      </c>
      <c r="S15" s="108">
        <v>0</v>
      </c>
      <c r="T15" s="108">
        <v>1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</row>
    <row r="16" spans="1:33" customFormat="1" x14ac:dyDescent="0.15">
      <c r="A16" s="190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1</v>
      </c>
      <c r="H16" s="108">
        <v>1</v>
      </c>
      <c r="I16" s="108">
        <v>1</v>
      </c>
      <c r="J16" s="108">
        <v>1</v>
      </c>
      <c r="K16" s="108">
        <v>0</v>
      </c>
      <c r="L16" s="108">
        <v>1</v>
      </c>
      <c r="M16" s="108">
        <v>0</v>
      </c>
      <c r="N16" s="108">
        <v>0</v>
      </c>
      <c r="O16" s="108">
        <v>1</v>
      </c>
      <c r="P16" s="108">
        <v>1</v>
      </c>
      <c r="Q16" s="108">
        <v>1</v>
      </c>
      <c r="R16" s="108">
        <v>1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</row>
    <row r="17" spans="1:33" customFormat="1" x14ac:dyDescent="0.15">
      <c r="A17" s="190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1</v>
      </c>
      <c r="H17" s="108">
        <v>1</v>
      </c>
      <c r="I17" s="108">
        <v>1</v>
      </c>
      <c r="J17" s="108">
        <v>1</v>
      </c>
      <c r="K17" s="108">
        <v>0</v>
      </c>
      <c r="L17" s="108">
        <v>1</v>
      </c>
      <c r="M17" s="108">
        <v>0</v>
      </c>
      <c r="N17" s="108">
        <v>0</v>
      </c>
      <c r="O17" s="108">
        <v>0</v>
      </c>
      <c r="P17" s="108">
        <v>0</v>
      </c>
      <c r="Q17" s="108">
        <v>1</v>
      </c>
      <c r="R17" s="108">
        <v>1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</row>
    <row r="18" spans="1:33" customFormat="1" x14ac:dyDescent="0.15">
      <c r="A18" s="190" t="s">
        <v>208</v>
      </c>
      <c r="B18" s="108">
        <v>0</v>
      </c>
      <c r="C18" s="108">
        <v>0</v>
      </c>
      <c r="D18" s="108">
        <v>0</v>
      </c>
      <c r="E18" s="108">
        <v>1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1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</row>
    <row r="19" spans="1:33" customFormat="1" x14ac:dyDescent="0.15">
      <c r="A19" s="190" t="s">
        <v>209</v>
      </c>
      <c r="B19" s="108">
        <v>1</v>
      </c>
      <c r="C19" s="108">
        <v>0</v>
      </c>
      <c r="D19" s="108">
        <v>0</v>
      </c>
      <c r="E19" s="108">
        <v>0</v>
      </c>
      <c r="F19" s="108">
        <v>0</v>
      </c>
      <c r="G19" s="108">
        <v>1</v>
      </c>
      <c r="H19" s="108">
        <v>1</v>
      </c>
      <c r="I19" s="108">
        <v>1</v>
      </c>
      <c r="J19" s="108">
        <v>1</v>
      </c>
      <c r="K19" s="108">
        <v>0</v>
      </c>
      <c r="L19" s="108">
        <v>1</v>
      </c>
      <c r="M19" s="108">
        <v>1</v>
      </c>
      <c r="N19" s="108">
        <v>0</v>
      </c>
      <c r="O19" s="108">
        <v>1</v>
      </c>
      <c r="P19" s="108">
        <v>1</v>
      </c>
      <c r="Q19" s="108">
        <v>1</v>
      </c>
      <c r="R19" s="108">
        <v>1</v>
      </c>
      <c r="S19" s="108">
        <v>0</v>
      </c>
      <c r="T19" s="108">
        <v>1</v>
      </c>
      <c r="U19" s="108">
        <v>0</v>
      </c>
      <c r="V19" s="108">
        <v>0</v>
      </c>
      <c r="W19" s="108">
        <v>0</v>
      </c>
      <c r="X19" s="108">
        <v>1</v>
      </c>
      <c r="Y19" s="108">
        <v>0</v>
      </c>
      <c r="Z19" s="108">
        <v>0</v>
      </c>
      <c r="AA19" s="108">
        <v>0</v>
      </c>
      <c r="AB19" s="108">
        <v>1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</row>
    <row r="20" spans="1:33" customFormat="1" x14ac:dyDescent="0.15">
      <c r="A20" s="190" t="s">
        <v>210</v>
      </c>
      <c r="B20" s="108">
        <v>1</v>
      </c>
      <c r="C20" s="108">
        <v>0</v>
      </c>
      <c r="D20" s="108">
        <v>0</v>
      </c>
      <c r="E20" s="108">
        <v>0</v>
      </c>
      <c r="F20" s="108">
        <v>0</v>
      </c>
      <c r="G20" s="108">
        <v>1</v>
      </c>
      <c r="H20" s="108">
        <v>1</v>
      </c>
      <c r="I20" s="108">
        <v>1</v>
      </c>
      <c r="J20" s="108">
        <v>1</v>
      </c>
      <c r="K20" s="108">
        <v>1</v>
      </c>
      <c r="L20" s="108">
        <v>1</v>
      </c>
      <c r="M20" s="108">
        <v>1</v>
      </c>
      <c r="N20" s="108">
        <v>1</v>
      </c>
      <c r="O20" s="108">
        <v>1</v>
      </c>
      <c r="P20" s="108">
        <v>1</v>
      </c>
      <c r="Q20" s="108">
        <v>1</v>
      </c>
      <c r="R20" s="108">
        <v>1</v>
      </c>
      <c r="S20" s="108">
        <v>0</v>
      </c>
      <c r="T20" s="108">
        <v>1</v>
      </c>
      <c r="U20" s="108">
        <v>0</v>
      </c>
      <c r="V20" s="108">
        <v>0</v>
      </c>
      <c r="W20" s="108">
        <v>0</v>
      </c>
      <c r="X20" s="108">
        <v>1</v>
      </c>
      <c r="Y20" s="108">
        <v>0</v>
      </c>
      <c r="Z20" s="108">
        <v>0</v>
      </c>
      <c r="AA20" s="108">
        <v>1</v>
      </c>
      <c r="AB20" s="108">
        <v>1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</row>
    <row r="21" spans="1:33" customFormat="1" x14ac:dyDescent="0.15">
      <c r="A21" s="190" t="s">
        <v>211</v>
      </c>
      <c r="B21" s="108">
        <v>1</v>
      </c>
      <c r="C21" s="108">
        <v>1</v>
      </c>
      <c r="D21" s="108">
        <v>1</v>
      </c>
      <c r="E21" s="108">
        <v>1</v>
      </c>
      <c r="F21" s="108">
        <v>1</v>
      </c>
      <c r="G21" s="108">
        <v>0</v>
      </c>
      <c r="H21" s="108">
        <v>1</v>
      </c>
      <c r="I21" s="108">
        <v>1</v>
      </c>
      <c r="J21" s="108">
        <v>1</v>
      </c>
      <c r="K21" s="108">
        <v>1</v>
      </c>
      <c r="L21" s="108">
        <v>1</v>
      </c>
      <c r="M21" s="108">
        <v>1</v>
      </c>
      <c r="N21" s="108">
        <v>1</v>
      </c>
      <c r="O21" s="108">
        <v>1</v>
      </c>
      <c r="P21" s="108">
        <v>1</v>
      </c>
      <c r="Q21" s="108">
        <v>1</v>
      </c>
      <c r="R21" s="108">
        <v>1</v>
      </c>
      <c r="S21" s="108">
        <v>1</v>
      </c>
      <c r="T21" s="108">
        <v>0</v>
      </c>
      <c r="U21" s="108">
        <v>0</v>
      </c>
      <c r="V21" s="108">
        <v>0</v>
      </c>
      <c r="W21" s="108">
        <v>1</v>
      </c>
      <c r="X21" s="108">
        <v>1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1</v>
      </c>
      <c r="AE21" s="108">
        <v>0</v>
      </c>
      <c r="AF21" s="108">
        <v>0</v>
      </c>
      <c r="AG21" s="108">
        <v>0</v>
      </c>
    </row>
    <row r="22" spans="1:33" customFormat="1" x14ac:dyDescent="0.15">
      <c r="A22" s="190" t="s">
        <v>212</v>
      </c>
      <c r="B22" s="108">
        <v>1</v>
      </c>
      <c r="C22" s="108">
        <v>1</v>
      </c>
      <c r="D22" s="108">
        <v>1</v>
      </c>
      <c r="E22" s="108">
        <v>1</v>
      </c>
      <c r="F22" s="108">
        <v>1</v>
      </c>
      <c r="G22" s="108">
        <v>1</v>
      </c>
      <c r="H22" s="108">
        <v>1</v>
      </c>
      <c r="I22" s="108">
        <v>1</v>
      </c>
      <c r="J22" s="108">
        <v>1</v>
      </c>
      <c r="K22" s="108">
        <v>1</v>
      </c>
      <c r="L22" s="108">
        <v>1</v>
      </c>
      <c r="M22" s="108">
        <v>1</v>
      </c>
      <c r="N22" s="108">
        <v>0</v>
      </c>
      <c r="O22" s="108">
        <v>1</v>
      </c>
      <c r="P22" s="108">
        <v>1</v>
      </c>
      <c r="Q22" s="108">
        <v>1</v>
      </c>
      <c r="R22" s="108">
        <v>1</v>
      </c>
      <c r="S22" s="108">
        <v>1</v>
      </c>
      <c r="T22" s="108">
        <v>1</v>
      </c>
      <c r="U22" s="108">
        <v>0</v>
      </c>
      <c r="V22" s="108">
        <v>0</v>
      </c>
      <c r="W22" s="108">
        <v>1</v>
      </c>
      <c r="X22" s="108">
        <v>1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1</v>
      </c>
      <c r="AE22" s="108">
        <v>0</v>
      </c>
      <c r="AF22" s="108">
        <v>0</v>
      </c>
      <c r="AG22" s="108">
        <v>0</v>
      </c>
    </row>
    <row r="23" spans="1:33" customFormat="1" x14ac:dyDescent="0.15">
      <c r="A23" s="190" t="s">
        <v>213</v>
      </c>
      <c r="B23" s="108">
        <v>0</v>
      </c>
      <c r="C23" s="108">
        <v>1</v>
      </c>
      <c r="D23" s="108">
        <v>1</v>
      </c>
      <c r="E23" s="108">
        <v>1</v>
      </c>
      <c r="F23" s="108">
        <v>1</v>
      </c>
      <c r="G23" s="108">
        <v>1</v>
      </c>
      <c r="H23" s="108">
        <v>1</v>
      </c>
      <c r="I23" s="108">
        <v>1</v>
      </c>
      <c r="J23" s="108">
        <v>1</v>
      </c>
      <c r="K23" s="108">
        <v>1</v>
      </c>
      <c r="L23" s="108">
        <v>1</v>
      </c>
      <c r="M23" s="108">
        <v>0</v>
      </c>
      <c r="N23" s="108">
        <v>0</v>
      </c>
      <c r="O23" s="108">
        <v>0</v>
      </c>
      <c r="P23" s="108">
        <v>1</v>
      </c>
      <c r="Q23" s="108">
        <v>1</v>
      </c>
      <c r="R23" s="108">
        <v>1</v>
      </c>
      <c r="S23" s="108">
        <v>0</v>
      </c>
      <c r="T23" s="108">
        <v>1</v>
      </c>
      <c r="U23" s="108">
        <v>0</v>
      </c>
      <c r="V23" s="108">
        <v>0</v>
      </c>
      <c r="W23" s="108">
        <v>1</v>
      </c>
      <c r="X23" s="108">
        <v>1</v>
      </c>
      <c r="Y23" s="108">
        <v>0</v>
      </c>
      <c r="Z23" s="108">
        <v>0</v>
      </c>
      <c r="AA23" s="108">
        <v>1</v>
      </c>
      <c r="AB23" s="108">
        <v>1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</row>
    <row r="24" spans="1:33" customFormat="1" x14ac:dyDescent="0.15">
      <c r="A24" s="190" t="s">
        <v>214</v>
      </c>
      <c r="B24" s="108">
        <v>0</v>
      </c>
      <c r="C24" s="108">
        <v>0</v>
      </c>
      <c r="D24" s="108">
        <v>1</v>
      </c>
      <c r="E24" s="108">
        <v>1</v>
      </c>
      <c r="F24" s="108">
        <v>1</v>
      </c>
      <c r="G24" s="108">
        <v>1</v>
      </c>
      <c r="H24" s="108">
        <v>1</v>
      </c>
      <c r="I24" s="108">
        <v>1</v>
      </c>
      <c r="J24" s="108">
        <v>1</v>
      </c>
      <c r="K24" s="108">
        <v>1</v>
      </c>
      <c r="L24" s="108">
        <v>1</v>
      </c>
      <c r="M24" s="108">
        <v>1</v>
      </c>
      <c r="N24" s="108">
        <v>0</v>
      </c>
      <c r="O24" s="108">
        <v>0</v>
      </c>
      <c r="P24" s="108">
        <v>1</v>
      </c>
      <c r="Q24" s="108">
        <v>1</v>
      </c>
      <c r="R24" s="108">
        <v>1</v>
      </c>
      <c r="S24" s="108">
        <v>0</v>
      </c>
      <c r="T24" s="108">
        <v>0</v>
      </c>
      <c r="U24" s="108">
        <v>0</v>
      </c>
      <c r="V24" s="108">
        <v>0</v>
      </c>
      <c r="W24" s="108">
        <v>0</v>
      </c>
      <c r="X24" s="108">
        <v>1</v>
      </c>
      <c r="Y24" s="108">
        <v>0</v>
      </c>
      <c r="Z24" s="108">
        <v>0</v>
      </c>
      <c r="AA24" s="108">
        <v>0</v>
      </c>
      <c r="AB24" s="108">
        <v>1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</row>
    <row r="25" spans="1:33" customFormat="1" x14ac:dyDescent="0.15">
      <c r="A25" s="190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1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</row>
    <row r="26" spans="1:33" customFormat="1" x14ac:dyDescent="0.15">
      <c r="A26" s="190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1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</row>
    <row r="27" spans="1:33" customFormat="1" x14ac:dyDescent="0.15">
      <c r="A27" s="190" t="s">
        <v>217</v>
      </c>
      <c r="B27" s="108">
        <v>1</v>
      </c>
      <c r="C27" s="108">
        <v>0</v>
      </c>
      <c r="D27" s="108">
        <v>1</v>
      </c>
      <c r="E27" s="108">
        <v>1</v>
      </c>
      <c r="F27" s="108">
        <v>1</v>
      </c>
      <c r="G27" s="108">
        <v>1</v>
      </c>
      <c r="H27" s="108">
        <v>1</v>
      </c>
      <c r="I27" s="108">
        <v>1</v>
      </c>
      <c r="J27" s="108">
        <v>1</v>
      </c>
      <c r="K27" s="108">
        <v>1</v>
      </c>
      <c r="L27" s="108">
        <v>1</v>
      </c>
      <c r="M27" s="108">
        <v>1</v>
      </c>
      <c r="N27" s="108">
        <v>1</v>
      </c>
      <c r="O27" s="108">
        <v>1</v>
      </c>
      <c r="P27" s="108">
        <v>1</v>
      </c>
      <c r="Q27" s="108">
        <v>1</v>
      </c>
      <c r="R27" s="108">
        <v>1</v>
      </c>
      <c r="S27" s="108">
        <v>0</v>
      </c>
      <c r="T27" s="108">
        <v>1</v>
      </c>
      <c r="U27" s="108">
        <v>0</v>
      </c>
      <c r="V27" s="108">
        <v>0</v>
      </c>
      <c r="W27" s="108">
        <v>0</v>
      </c>
      <c r="X27" s="108">
        <v>1</v>
      </c>
      <c r="Y27" s="108">
        <v>0</v>
      </c>
      <c r="Z27" s="108">
        <v>0</v>
      </c>
      <c r="AA27" s="108">
        <v>1</v>
      </c>
      <c r="AB27" s="108">
        <v>1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</row>
    <row r="28" spans="1:33" customFormat="1" x14ac:dyDescent="0.15">
      <c r="A28" s="190" t="s">
        <v>218</v>
      </c>
      <c r="B28" s="108">
        <v>0</v>
      </c>
      <c r="C28" s="108">
        <v>0</v>
      </c>
      <c r="D28" s="108">
        <v>1</v>
      </c>
      <c r="E28" s="108">
        <v>1</v>
      </c>
      <c r="F28" s="108">
        <v>1</v>
      </c>
      <c r="G28" s="108">
        <v>1</v>
      </c>
      <c r="H28" s="108">
        <v>1</v>
      </c>
      <c r="I28" s="108">
        <v>1</v>
      </c>
      <c r="J28" s="108">
        <v>0</v>
      </c>
      <c r="K28" s="108">
        <v>1</v>
      </c>
      <c r="L28" s="108">
        <v>0</v>
      </c>
      <c r="M28" s="108">
        <v>0</v>
      </c>
      <c r="N28" s="108">
        <v>0</v>
      </c>
      <c r="O28" s="108">
        <v>0</v>
      </c>
      <c r="P28" s="108">
        <v>1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1</v>
      </c>
      <c r="Y28" s="108">
        <v>0</v>
      </c>
      <c r="Z28" s="108">
        <v>0</v>
      </c>
      <c r="AA28" s="108">
        <v>0</v>
      </c>
      <c r="AB28" s="108">
        <v>1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</row>
    <row r="29" spans="1:33" customFormat="1" x14ac:dyDescent="0.15">
      <c r="A29" s="190" t="s">
        <v>219</v>
      </c>
      <c r="B29" s="108">
        <v>1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1</v>
      </c>
      <c r="J29" s="108">
        <v>1</v>
      </c>
      <c r="K29" s="108">
        <v>0</v>
      </c>
      <c r="L29" s="108">
        <v>0</v>
      </c>
      <c r="M29" s="108">
        <v>1</v>
      </c>
      <c r="N29" s="108">
        <v>1</v>
      </c>
      <c r="O29" s="108">
        <v>1</v>
      </c>
      <c r="P29" s="108">
        <v>1</v>
      </c>
      <c r="Q29" s="108">
        <v>1</v>
      </c>
      <c r="R29" s="108">
        <v>0</v>
      </c>
      <c r="S29" s="108">
        <v>1</v>
      </c>
      <c r="T29" s="108">
        <v>1</v>
      </c>
      <c r="U29" s="108">
        <v>1</v>
      </c>
      <c r="V29" s="108">
        <v>1</v>
      </c>
      <c r="W29" s="108">
        <v>1</v>
      </c>
      <c r="X29" s="108">
        <v>1</v>
      </c>
      <c r="Y29" s="108">
        <v>1</v>
      </c>
      <c r="Z29" s="108">
        <v>1</v>
      </c>
      <c r="AA29" s="108">
        <v>1</v>
      </c>
      <c r="AB29" s="108">
        <v>0</v>
      </c>
      <c r="AC29" s="108">
        <v>1</v>
      </c>
      <c r="AD29" s="108">
        <v>1</v>
      </c>
      <c r="AE29" s="108">
        <v>0</v>
      </c>
      <c r="AF29" s="108">
        <v>0</v>
      </c>
      <c r="AG29" s="108">
        <v>0</v>
      </c>
    </row>
    <row r="30" spans="1:33" customFormat="1" x14ac:dyDescent="0.15">
      <c r="A30" s="190" t="s">
        <v>220</v>
      </c>
      <c r="B30" s="108">
        <v>1</v>
      </c>
      <c r="C30" s="108">
        <v>1</v>
      </c>
      <c r="D30" s="108">
        <v>0</v>
      </c>
      <c r="E30" s="108">
        <v>0</v>
      </c>
      <c r="F30" s="108">
        <v>0</v>
      </c>
      <c r="G30" s="108">
        <v>1</v>
      </c>
      <c r="H30" s="108">
        <v>1</v>
      </c>
      <c r="I30" s="108">
        <v>1</v>
      </c>
      <c r="J30" s="108">
        <v>1</v>
      </c>
      <c r="K30" s="108">
        <v>1</v>
      </c>
      <c r="L30" s="108">
        <v>1</v>
      </c>
      <c r="M30" s="108">
        <v>0</v>
      </c>
      <c r="N30" s="108">
        <v>0</v>
      </c>
      <c r="O30" s="108">
        <v>1</v>
      </c>
      <c r="P30" s="108">
        <v>0</v>
      </c>
      <c r="Q30" s="108">
        <v>1</v>
      </c>
      <c r="R30" s="108">
        <v>1</v>
      </c>
      <c r="S30" s="108">
        <v>0</v>
      </c>
      <c r="T30" s="108">
        <v>1</v>
      </c>
      <c r="U30" s="108">
        <v>1</v>
      </c>
      <c r="V30" s="108">
        <v>1</v>
      </c>
      <c r="W30" s="108">
        <v>0</v>
      </c>
      <c r="X30" s="108">
        <v>1</v>
      </c>
      <c r="Y30" s="108">
        <v>1</v>
      </c>
      <c r="Z30" s="108">
        <v>1</v>
      </c>
      <c r="AA30" s="108">
        <v>1</v>
      </c>
      <c r="AB30" s="108">
        <v>1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</row>
    <row r="31" spans="1:33" customFormat="1" x14ac:dyDescent="0.15">
      <c r="A31" s="190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1</v>
      </c>
      <c r="V31" s="108">
        <v>1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1</v>
      </c>
      <c r="AD31" s="108">
        <v>0</v>
      </c>
      <c r="AE31" s="108">
        <v>0</v>
      </c>
      <c r="AF31" s="108">
        <v>0</v>
      </c>
      <c r="AG31" s="108">
        <v>0</v>
      </c>
    </row>
    <row r="32" spans="1:33" x14ac:dyDescent="0.15">
      <c r="A32" s="190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1</v>
      </c>
      <c r="S32" s="108">
        <v>0</v>
      </c>
      <c r="T32" s="108">
        <v>1</v>
      </c>
      <c r="U32" s="108">
        <v>1</v>
      </c>
      <c r="V32" s="108">
        <v>1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1</v>
      </c>
      <c r="AD32" s="108">
        <v>0</v>
      </c>
      <c r="AE32" s="108">
        <v>0</v>
      </c>
      <c r="AF32" s="108">
        <v>0</v>
      </c>
      <c r="AG32" s="108">
        <v>0</v>
      </c>
    </row>
    <row r="33" spans="1:33" x14ac:dyDescent="0.15">
      <c r="A33" s="190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</row>
    <row r="34" spans="1:33" x14ac:dyDescent="0.15">
      <c r="A34" s="190" t="s">
        <v>233</v>
      </c>
      <c r="B34" s="108">
        <v>1</v>
      </c>
      <c r="C34" s="108">
        <v>1</v>
      </c>
      <c r="D34" s="108">
        <v>1</v>
      </c>
      <c r="E34" s="108">
        <v>0</v>
      </c>
      <c r="F34" s="108">
        <v>1</v>
      </c>
      <c r="G34" s="108">
        <v>1</v>
      </c>
      <c r="H34" s="108">
        <v>1</v>
      </c>
      <c r="I34" s="108">
        <v>1</v>
      </c>
      <c r="J34" s="108">
        <v>1</v>
      </c>
      <c r="K34" s="108">
        <v>1</v>
      </c>
      <c r="L34" s="108">
        <v>1</v>
      </c>
      <c r="M34" s="108">
        <v>1</v>
      </c>
      <c r="N34" s="108">
        <v>1</v>
      </c>
      <c r="O34" s="108">
        <v>1</v>
      </c>
      <c r="P34" s="108">
        <v>1</v>
      </c>
      <c r="Q34" s="108">
        <v>1</v>
      </c>
      <c r="R34" s="108">
        <v>1</v>
      </c>
      <c r="S34" s="108">
        <v>1</v>
      </c>
      <c r="T34" s="108">
        <v>1</v>
      </c>
      <c r="U34" s="108">
        <v>1</v>
      </c>
      <c r="V34" s="108">
        <v>1</v>
      </c>
      <c r="W34" s="108">
        <v>1</v>
      </c>
      <c r="X34" s="108">
        <v>1</v>
      </c>
      <c r="Y34" s="108">
        <v>0</v>
      </c>
      <c r="Z34" s="108">
        <v>1</v>
      </c>
      <c r="AA34" s="108">
        <v>1</v>
      </c>
      <c r="AB34" s="108">
        <v>1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K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83</v>
      </c>
      <c r="B1" s="3" t="s">
        <v>0</v>
      </c>
      <c r="C1" s="193" t="s">
        <v>224</v>
      </c>
      <c r="D1" s="193" t="s">
        <v>225</v>
      </c>
      <c r="E1" s="193" t="s">
        <v>226</v>
      </c>
      <c r="F1" s="193" t="s">
        <v>227</v>
      </c>
      <c r="G1" s="193" t="s">
        <v>228</v>
      </c>
      <c r="H1" s="193" t="s">
        <v>229</v>
      </c>
      <c r="I1" s="193" t="s">
        <v>230</v>
      </c>
      <c r="J1" s="193" t="s">
        <v>231</v>
      </c>
      <c r="K1" s="193" t="s">
        <v>232</v>
      </c>
    </row>
    <row r="2" spans="1:11" x14ac:dyDescent="0.15">
      <c r="A2">
        <v>1</v>
      </c>
      <c r="B2" s="19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92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2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92" t="s">
        <v>195</v>
      </c>
      <c r="C5">
        <v>0</v>
      </c>
      <c r="D5">
        <v>0</v>
      </c>
      <c r="E5">
        <v>0</v>
      </c>
      <c r="F5">
        <v>0</v>
      </c>
      <c r="G5">
        <v>0.8</v>
      </c>
      <c r="H5">
        <v>0.8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2" t="s">
        <v>196</v>
      </c>
      <c r="C6">
        <v>0</v>
      </c>
      <c r="D6">
        <v>0</v>
      </c>
      <c r="E6">
        <v>0</v>
      </c>
      <c r="F6">
        <v>0.8</v>
      </c>
      <c r="G6">
        <v>0.8</v>
      </c>
      <c r="H6">
        <v>0.8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2" t="s">
        <v>197</v>
      </c>
      <c r="C7">
        <v>0</v>
      </c>
      <c r="D7">
        <v>0.8</v>
      </c>
      <c r="E7">
        <v>0.8</v>
      </c>
      <c r="F7">
        <v>0.8</v>
      </c>
      <c r="G7">
        <v>0</v>
      </c>
      <c r="H7">
        <v>0</v>
      </c>
      <c r="I7">
        <v>0.8</v>
      </c>
      <c r="J7">
        <v>0</v>
      </c>
      <c r="K7">
        <v>0</v>
      </c>
    </row>
    <row r="8" spans="1:11" x14ac:dyDescent="0.15">
      <c r="A8">
        <v>7</v>
      </c>
      <c r="B8" s="192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</v>
      </c>
      <c r="I8">
        <v>0.8</v>
      </c>
      <c r="J8">
        <v>0</v>
      </c>
      <c r="K8">
        <v>0.8</v>
      </c>
    </row>
    <row r="9" spans="1:11" x14ac:dyDescent="0.15">
      <c r="A9">
        <v>8</v>
      </c>
      <c r="B9" s="192" t="s">
        <v>199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</v>
      </c>
      <c r="K9">
        <v>0.8</v>
      </c>
    </row>
    <row r="10" spans="1:11" x14ac:dyDescent="0.15">
      <c r="A10">
        <v>9</v>
      </c>
      <c r="B10" s="192" t="s">
        <v>200</v>
      </c>
      <c r="C10">
        <v>0.8</v>
      </c>
      <c r="D10">
        <v>0</v>
      </c>
      <c r="E10">
        <v>0.8</v>
      </c>
      <c r="F10">
        <v>0.8</v>
      </c>
      <c r="G10">
        <v>0.8</v>
      </c>
      <c r="H10">
        <v>0</v>
      </c>
      <c r="I10">
        <v>0.8</v>
      </c>
      <c r="J10">
        <v>0</v>
      </c>
      <c r="K10">
        <v>0</v>
      </c>
    </row>
    <row r="11" spans="1:11" x14ac:dyDescent="0.15">
      <c r="A11">
        <v>10</v>
      </c>
      <c r="B11" s="192" t="s">
        <v>201</v>
      </c>
      <c r="C11">
        <v>0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</v>
      </c>
      <c r="K11">
        <v>0</v>
      </c>
    </row>
    <row r="12" spans="1:11" x14ac:dyDescent="0.15">
      <c r="A12">
        <v>11</v>
      </c>
      <c r="B12" s="192" t="s">
        <v>202</v>
      </c>
      <c r="C12">
        <v>0</v>
      </c>
      <c r="D12">
        <v>0.8</v>
      </c>
      <c r="E12">
        <v>0.8</v>
      </c>
      <c r="F12">
        <v>0.8</v>
      </c>
      <c r="G12">
        <v>0</v>
      </c>
      <c r="H12">
        <v>0</v>
      </c>
      <c r="I12">
        <v>0.8</v>
      </c>
      <c r="J12">
        <v>0</v>
      </c>
      <c r="K12">
        <v>0</v>
      </c>
    </row>
    <row r="13" spans="1:11" x14ac:dyDescent="0.15">
      <c r="A13">
        <v>12</v>
      </c>
      <c r="B13" s="192" t="s">
        <v>203</v>
      </c>
      <c r="C13">
        <v>0.8</v>
      </c>
      <c r="D13">
        <v>0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</v>
      </c>
      <c r="K13">
        <v>0.8</v>
      </c>
    </row>
    <row r="14" spans="1:11" x14ac:dyDescent="0.15">
      <c r="A14">
        <v>13</v>
      </c>
      <c r="B14" s="192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</v>
      </c>
      <c r="K14">
        <v>0.8</v>
      </c>
    </row>
    <row r="15" spans="1:11" x14ac:dyDescent="0.15">
      <c r="A15">
        <v>14</v>
      </c>
      <c r="B15" s="192" t="s">
        <v>205</v>
      </c>
      <c r="C15">
        <v>0.8</v>
      </c>
      <c r="D15">
        <v>0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0.8</v>
      </c>
      <c r="K15">
        <v>0.8</v>
      </c>
    </row>
    <row r="16" spans="1:11" x14ac:dyDescent="0.15">
      <c r="A16">
        <v>15</v>
      </c>
      <c r="B16" s="192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</v>
      </c>
      <c r="K16">
        <v>0.8</v>
      </c>
    </row>
    <row r="17" spans="1:11" x14ac:dyDescent="0.15">
      <c r="A17">
        <v>16</v>
      </c>
      <c r="B17" s="192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</row>
    <row r="18" spans="1:11" x14ac:dyDescent="0.15">
      <c r="A18">
        <v>17</v>
      </c>
      <c r="B18" s="192" t="s">
        <v>208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</row>
    <row r="19" spans="1:11" x14ac:dyDescent="0.15">
      <c r="A19">
        <v>18</v>
      </c>
      <c r="B19" s="192" t="s">
        <v>209</v>
      </c>
      <c r="C19">
        <v>0.8</v>
      </c>
      <c r="D19">
        <v>0.8</v>
      </c>
      <c r="E19">
        <v>0.8</v>
      </c>
      <c r="F19">
        <v>0.8</v>
      </c>
      <c r="G19">
        <v>0</v>
      </c>
      <c r="H19">
        <v>0.8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92" t="s">
        <v>210</v>
      </c>
      <c r="C20">
        <v>0.8</v>
      </c>
      <c r="D20">
        <v>0.8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0.8</v>
      </c>
      <c r="K20">
        <v>0</v>
      </c>
    </row>
    <row r="21" spans="1:11" x14ac:dyDescent="0.15">
      <c r="A21">
        <v>20</v>
      </c>
      <c r="B21" s="192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2" t="s">
        <v>212</v>
      </c>
      <c r="C22">
        <v>0.8</v>
      </c>
      <c r="D22">
        <v>0.8</v>
      </c>
      <c r="E22">
        <v>0</v>
      </c>
      <c r="F22">
        <v>0.8</v>
      </c>
      <c r="G22">
        <v>0.8</v>
      </c>
      <c r="H22">
        <v>0</v>
      </c>
      <c r="I22">
        <v>0</v>
      </c>
      <c r="J22">
        <v>0.8</v>
      </c>
      <c r="K22">
        <v>0</v>
      </c>
    </row>
    <row r="23" spans="1:11" x14ac:dyDescent="0.15">
      <c r="A23">
        <v>22</v>
      </c>
      <c r="B23" s="192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92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92" t="s">
        <v>215</v>
      </c>
      <c r="C25">
        <v>0.8</v>
      </c>
      <c r="D25">
        <v>0</v>
      </c>
      <c r="E25">
        <v>0</v>
      </c>
      <c r="F25">
        <v>0.8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15">
      <c r="A26">
        <v>25</v>
      </c>
      <c r="B26" s="192" t="s">
        <v>216</v>
      </c>
      <c r="C26">
        <v>0.8</v>
      </c>
      <c r="D26">
        <v>0</v>
      </c>
      <c r="E26">
        <v>0</v>
      </c>
      <c r="F26">
        <v>0.8</v>
      </c>
      <c r="G26">
        <v>0.8</v>
      </c>
      <c r="H26">
        <v>0.8</v>
      </c>
      <c r="I26">
        <v>0</v>
      </c>
      <c r="J26">
        <v>0.8</v>
      </c>
      <c r="K26">
        <v>0.8</v>
      </c>
    </row>
    <row r="27" spans="1:11" x14ac:dyDescent="0.15">
      <c r="A27">
        <v>26</v>
      </c>
      <c r="B27" s="192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92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15">
      <c r="A29">
        <v>28</v>
      </c>
      <c r="B29" s="19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92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9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9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92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K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82</v>
      </c>
      <c r="B1" s="3" t="s">
        <v>0</v>
      </c>
      <c r="C1" s="195" t="s">
        <v>224</v>
      </c>
      <c r="D1" s="195" t="s">
        <v>225</v>
      </c>
      <c r="E1" s="195" t="s">
        <v>226</v>
      </c>
      <c r="F1" s="195" t="s">
        <v>227</v>
      </c>
      <c r="G1" s="195" t="s">
        <v>228</v>
      </c>
      <c r="H1" s="195" t="s">
        <v>229</v>
      </c>
      <c r="I1" s="195" t="s">
        <v>230</v>
      </c>
      <c r="J1" s="195" t="s">
        <v>231</v>
      </c>
      <c r="K1" s="195" t="s">
        <v>232</v>
      </c>
    </row>
    <row r="2" spans="1:11" x14ac:dyDescent="0.15">
      <c r="A2">
        <v>1</v>
      </c>
      <c r="B2" s="19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94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4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94" t="s">
        <v>195</v>
      </c>
      <c r="C5">
        <v>0</v>
      </c>
      <c r="D5">
        <v>0</v>
      </c>
      <c r="E5">
        <v>0</v>
      </c>
      <c r="F5">
        <v>0</v>
      </c>
      <c r="G5">
        <v>0.8</v>
      </c>
      <c r="H5">
        <v>0.8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4" t="s">
        <v>196</v>
      </c>
      <c r="C6">
        <v>0</v>
      </c>
      <c r="D6">
        <v>0</v>
      </c>
      <c r="E6">
        <v>0</v>
      </c>
      <c r="F6">
        <v>0.8</v>
      </c>
      <c r="G6">
        <v>0.8</v>
      </c>
      <c r="H6">
        <v>0.8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4" t="s">
        <v>197</v>
      </c>
      <c r="C7">
        <v>0</v>
      </c>
      <c r="D7">
        <v>0.8</v>
      </c>
      <c r="E7">
        <v>0.8</v>
      </c>
      <c r="F7">
        <v>0.8</v>
      </c>
      <c r="G7">
        <v>0</v>
      </c>
      <c r="H7">
        <v>0</v>
      </c>
      <c r="I7">
        <v>0.8</v>
      </c>
      <c r="J7">
        <v>0</v>
      </c>
      <c r="K7">
        <v>0</v>
      </c>
    </row>
    <row r="8" spans="1:11" x14ac:dyDescent="0.15">
      <c r="A8">
        <v>7</v>
      </c>
      <c r="B8" s="194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</v>
      </c>
      <c r="I8">
        <v>0.8</v>
      </c>
      <c r="J8">
        <v>0</v>
      </c>
      <c r="K8">
        <v>0.8</v>
      </c>
    </row>
    <row r="9" spans="1:11" x14ac:dyDescent="0.15">
      <c r="A9">
        <v>8</v>
      </c>
      <c r="B9" s="194" t="s">
        <v>199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</v>
      </c>
      <c r="K9">
        <v>0.8</v>
      </c>
    </row>
    <row r="10" spans="1:11" x14ac:dyDescent="0.15">
      <c r="A10">
        <v>9</v>
      </c>
      <c r="B10" s="194" t="s">
        <v>200</v>
      </c>
      <c r="C10">
        <v>0.8</v>
      </c>
      <c r="D10">
        <v>0</v>
      </c>
      <c r="E10">
        <v>0.8</v>
      </c>
      <c r="F10">
        <v>0.8</v>
      </c>
      <c r="G10">
        <v>0.8</v>
      </c>
      <c r="H10">
        <v>0</v>
      </c>
      <c r="I10">
        <v>0.8</v>
      </c>
      <c r="J10">
        <v>0</v>
      </c>
      <c r="K10">
        <v>0</v>
      </c>
    </row>
    <row r="11" spans="1:11" x14ac:dyDescent="0.15">
      <c r="A11">
        <v>10</v>
      </c>
      <c r="B11" s="194" t="s">
        <v>201</v>
      </c>
      <c r="C11">
        <v>0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</v>
      </c>
      <c r="K11">
        <v>0</v>
      </c>
    </row>
    <row r="12" spans="1:11" x14ac:dyDescent="0.15">
      <c r="A12">
        <v>11</v>
      </c>
      <c r="B12" s="194" t="s">
        <v>202</v>
      </c>
      <c r="C12">
        <v>0</v>
      </c>
      <c r="D12">
        <v>0.8</v>
      </c>
      <c r="E12">
        <v>0.8</v>
      </c>
      <c r="F12">
        <v>0.8</v>
      </c>
      <c r="G12">
        <v>0</v>
      </c>
      <c r="H12">
        <v>0</v>
      </c>
      <c r="I12">
        <v>0.8</v>
      </c>
      <c r="J12">
        <v>0</v>
      </c>
      <c r="K12">
        <v>0</v>
      </c>
    </row>
    <row r="13" spans="1:11" x14ac:dyDescent="0.15">
      <c r="A13">
        <v>12</v>
      </c>
      <c r="B13" s="194" t="s">
        <v>203</v>
      </c>
      <c r="C13">
        <v>0.8</v>
      </c>
      <c r="D13">
        <v>0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</v>
      </c>
      <c r="K13">
        <v>0.8</v>
      </c>
    </row>
    <row r="14" spans="1:11" x14ac:dyDescent="0.15">
      <c r="A14">
        <v>13</v>
      </c>
      <c r="B14" s="194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</v>
      </c>
      <c r="K14">
        <v>0.8</v>
      </c>
    </row>
    <row r="15" spans="1:11" x14ac:dyDescent="0.15">
      <c r="A15">
        <v>14</v>
      </c>
      <c r="B15" s="194" t="s">
        <v>205</v>
      </c>
      <c r="C15">
        <v>0.8</v>
      </c>
      <c r="D15">
        <v>0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0.8</v>
      </c>
      <c r="K15">
        <v>0.8</v>
      </c>
    </row>
    <row r="16" spans="1:11" x14ac:dyDescent="0.15">
      <c r="A16">
        <v>15</v>
      </c>
      <c r="B16" s="194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</v>
      </c>
      <c r="K16">
        <v>0.8</v>
      </c>
    </row>
    <row r="17" spans="1:11" x14ac:dyDescent="0.15">
      <c r="A17">
        <v>16</v>
      </c>
      <c r="B17" s="194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</row>
    <row r="18" spans="1:11" x14ac:dyDescent="0.15">
      <c r="A18">
        <v>17</v>
      </c>
      <c r="B18" s="194" t="s">
        <v>208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</row>
    <row r="19" spans="1:11" x14ac:dyDescent="0.15">
      <c r="A19">
        <v>18</v>
      </c>
      <c r="B19" s="194" t="s">
        <v>209</v>
      </c>
      <c r="C19">
        <v>0.8</v>
      </c>
      <c r="D19">
        <v>0.8</v>
      </c>
      <c r="E19">
        <v>0.8</v>
      </c>
      <c r="F19">
        <v>0.8</v>
      </c>
      <c r="G19">
        <v>0</v>
      </c>
      <c r="H19">
        <v>0.8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94" t="s">
        <v>210</v>
      </c>
      <c r="C20">
        <v>0.8</v>
      </c>
      <c r="D20">
        <v>0.8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0.8</v>
      </c>
      <c r="K20">
        <v>0</v>
      </c>
    </row>
    <row r="21" spans="1:11" x14ac:dyDescent="0.15">
      <c r="A21">
        <v>20</v>
      </c>
      <c r="B21" s="194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4" t="s">
        <v>212</v>
      </c>
      <c r="C22">
        <v>0.8</v>
      </c>
      <c r="D22">
        <v>0.8</v>
      </c>
      <c r="E22">
        <v>0</v>
      </c>
      <c r="F22">
        <v>0.8</v>
      </c>
      <c r="G22">
        <v>0.8</v>
      </c>
      <c r="H22">
        <v>0</v>
      </c>
      <c r="I22">
        <v>0</v>
      </c>
      <c r="J22">
        <v>0.8</v>
      </c>
      <c r="K22">
        <v>0</v>
      </c>
    </row>
    <row r="23" spans="1:11" x14ac:dyDescent="0.15">
      <c r="A23">
        <v>22</v>
      </c>
      <c r="B23" s="194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94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94" t="s">
        <v>215</v>
      </c>
      <c r="C25">
        <v>0.8</v>
      </c>
      <c r="D25">
        <v>0</v>
      </c>
      <c r="E25">
        <v>0</v>
      </c>
      <c r="F25">
        <v>0.8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15">
      <c r="A26">
        <v>25</v>
      </c>
      <c r="B26" s="194" t="s">
        <v>216</v>
      </c>
      <c r="C26">
        <v>0.8</v>
      </c>
      <c r="D26">
        <v>0</v>
      </c>
      <c r="E26">
        <v>0</v>
      </c>
      <c r="F26">
        <v>0.8</v>
      </c>
      <c r="G26">
        <v>0.8</v>
      </c>
      <c r="H26">
        <v>0.8</v>
      </c>
      <c r="I26">
        <v>0</v>
      </c>
      <c r="J26">
        <v>0.8</v>
      </c>
      <c r="K26">
        <v>0.8</v>
      </c>
    </row>
    <row r="27" spans="1:11" x14ac:dyDescent="0.15">
      <c r="A27">
        <v>26</v>
      </c>
      <c r="B27" s="194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94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15">
      <c r="A29">
        <v>28</v>
      </c>
      <c r="B29" s="194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9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9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94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94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192</v>
      </c>
      <c r="C2" s="8">
        <v>4.4855685234069824</v>
      </c>
      <c r="D2" s="9">
        <v>1.9999999494757503E-4</v>
      </c>
      <c r="E2" s="9">
        <v>0.12999999523162842</v>
      </c>
      <c r="F2" s="9">
        <v>73.69000244140625</v>
      </c>
      <c r="G2" s="9">
        <v>0.44658726453781128</v>
      </c>
      <c r="H2" s="9">
        <v>1.7641469603404403E-3</v>
      </c>
      <c r="I2">
        <v>0</v>
      </c>
      <c r="J2"/>
    </row>
    <row r="3" spans="1:10" ht="15" customHeight="1" x14ac:dyDescent="0.15">
      <c r="A3" s="148">
        <v>2</v>
      </c>
      <c r="B3" s="148" t="s">
        <v>193</v>
      </c>
      <c r="C3" s="8">
        <v>4.3030123710632324</v>
      </c>
      <c r="D3" s="9">
        <v>2.5126999244093895E-2</v>
      </c>
      <c r="E3" s="9">
        <v>3.9999999105930328E-2</v>
      </c>
      <c r="F3" s="9">
        <v>12.189999580383301</v>
      </c>
      <c r="G3" s="7">
        <v>0</v>
      </c>
      <c r="H3" s="9">
        <v>3.2813781872391701E-3</v>
      </c>
      <c r="I3">
        <v>0</v>
      </c>
      <c r="J3"/>
    </row>
    <row r="4" spans="1:10" ht="15" customHeight="1" x14ac:dyDescent="0.15">
      <c r="A4" s="149">
        <v>3</v>
      </c>
      <c r="B4" s="149" t="s">
        <v>194</v>
      </c>
      <c r="C4" s="8">
        <v>5.1265006065368652</v>
      </c>
      <c r="D4" s="9">
        <v>1.4535999856889248E-2</v>
      </c>
      <c r="E4" s="9">
        <v>3.9999999105930328E-2</v>
      </c>
      <c r="F4" s="9">
        <v>5.440000057220459</v>
      </c>
      <c r="G4" s="7">
        <v>0</v>
      </c>
      <c r="H4" s="9">
        <v>7.3529407382011414E-3</v>
      </c>
      <c r="I4">
        <v>0</v>
      </c>
      <c r="J4"/>
    </row>
    <row r="5" spans="1:10" ht="15" customHeight="1" x14ac:dyDescent="0.15">
      <c r="A5" s="150">
        <v>4</v>
      </c>
      <c r="B5" s="150" t="s">
        <v>195</v>
      </c>
      <c r="C5" s="8">
        <v>4.7523956298828125</v>
      </c>
      <c r="D5" s="9">
        <v>1.5820000553503633E-3</v>
      </c>
      <c r="E5" s="9">
        <v>1.9999999552965164E-2</v>
      </c>
      <c r="F5" s="9">
        <v>9.6400003433227539</v>
      </c>
      <c r="G5" s="9">
        <v>0.32154867053031921</v>
      </c>
      <c r="H5" s="9">
        <v>2.0746886730194092E-3</v>
      </c>
      <c r="I5">
        <v>1.0173799637414049E-5</v>
      </c>
      <c r="J5"/>
    </row>
    <row r="6" spans="1:10" ht="15" customHeight="1" x14ac:dyDescent="0.15">
      <c r="A6" s="151">
        <v>5</v>
      </c>
      <c r="B6" s="151" t="s">
        <v>196</v>
      </c>
      <c r="C6" s="8">
        <v>4.7566719055175781</v>
      </c>
      <c r="D6" s="9">
        <v>3.362099826335907E-2</v>
      </c>
      <c r="E6" s="9">
        <v>5.000000074505806E-2</v>
      </c>
      <c r="F6" s="9">
        <v>13.5</v>
      </c>
      <c r="G6" s="9">
        <v>0.79593008756637573</v>
      </c>
      <c r="H6" s="9">
        <v>3.7037038709968328E-3</v>
      </c>
      <c r="I6">
        <v>3.1426301575265825E-5</v>
      </c>
      <c r="J6"/>
    </row>
    <row r="7" spans="1:10" ht="15" customHeight="1" x14ac:dyDescent="0.15">
      <c r="A7" s="152">
        <v>6</v>
      </c>
      <c r="B7" s="152" t="s">
        <v>197</v>
      </c>
      <c r="C7" s="8">
        <v>4.7100062370300293</v>
      </c>
      <c r="D7" s="9">
        <v>7.0000002160668373E-3</v>
      </c>
      <c r="E7" s="9">
        <v>0.37000000476837158</v>
      </c>
      <c r="F7" s="9">
        <v>5.309999942779541</v>
      </c>
      <c r="G7" s="9">
        <v>0.91142213344573975</v>
      </c>
      <c r="H7" s="9">
        <v>6.9679848849773407E-2</v>
      </c>
      <c r="I7">
        <v>1.544425031170249E-4</v>
      </c>
      <c r="J7"/>
    </row>
    <row r="8" spans="1:10" ht="15" customHeight="1" x14ac:dyDescent="0.15">
      <c r="A8" s="153">
        <v>7</v>
      </c>
      <c r="B8" s="153" t="s">
        <v>198</v>
      </c>
      <c r="C8" s="8">
        <v>4.3653507232666016</v>
      </c>
      <c r="D8" s="9">
        <v>9.8707554861903191E-3</v>
      </c>
      <c r="E8" s="9">
        <v>0.46000000834465027</v>
      </c>
      <c r="F8" s="9">
        <v>4.5999999046325684</v>
      </c>
      <c r="G8" s="9">
        <v>0.94999992847442627</v>
      </c>
      <c r="H8" s="9">
        <v>0.10000000149011612</v>
      </c>
      <c r="I8">
        <v>1.2099923333153129E-3</v>
      </c>
      <c r="J8"/>
    </row>
    <row r="9" spans="1:10" ht="15" customHeight="1" x14ac:dyDescent="0.15">
      <c r="A9" s="154">
        <v>8</v>
      </c>
      <c r="B9" s="154" t="s">
        <v>199</v>
      </c>
      <c r="C9" s="8">
        <v>4.8588552474975586</v>
      </c>
      <c r="D9" s="9">
        <v>5.8574029244482517E-3</v>
      </c>
      <c r="E9" s="9">
        <v>2</v>
      </c>
      <c r="F9" s="9">
        <v>15.529999732971191</v>
      </c>
      <c r="G9" s="9">
        <v>0.94999998807907104</v>
      </c>
      <c r="H9" s="9">
        <v>0.12878300249576569</v>
      </c>
      <c r="I9">
        <v>8.1758033484220505E-3</v>
      </c>
      <c r="J9"/>
    </row>
    <row r="10" spans="1:10" ht="15" customHeight="1" x14ac:dyDescent="0.15">
      <c r="A10" s="155">
        <v>9</v>
      </c>
      <c r="B10" s="155" t="s">
        <v>200</v>
      </c>
      <c r="C10" s="8">
        <v>4.8484044075012207</v>
      </c>
      <c r="D10" s="9">
        <v>1.19439996778965E-2</v>
      </c>
      <c r="E10" s="9">
        <v>1.9600000381469727</v>
      </c>
      <c r="F10" s="9">
        <v>19.610000610351562</v>
      </c>
      <c r="G10" s="9">
        <v>0.69496285915374756</v>
      </c>
      <c r="H10" s="9">
        <v>9.9949002265930176E-2</v>
      </c>
      <c r="I10">
        <v>4.7777690924704075E-3</v>
      </c>
      <c r="J10"/>
    </row>
    <row r="11" spans="1:10" ht="15" customHeight="1" x14ac:dyDescent="0.15">
      <c r="A11" s="156">
        <v>10</v>
      </c>
      <c r="B11" s="156" t="s">
        <v>201</v>
      </c>
      <c r="C11" s="8">
        <v>4.5848922729492188</v>
      </c>
      <c r="D11" s="9">
        <v>9.7040003165602684E-3</v>
      </c>
      <c r="E11" s="9">
        <v>0.77999997138977051</v>
      </c>
      <c r="F11" s="9">
        <v>7.8000001907348633</v>
      </c>
      <c r="G11" s="9">
        <v>0.88807308673858643</v>
      </c>
      <c r="H11" s="9">
        <v>9.9999994039535522E-2</v>
      </c>
      <c r="I11">
        <v>2.911183750256896E-3</v>
      </c>
      <c r="J11"/>
    </row>
    <row r="12" spans="1:10" ht="15" customHeight="1" x14ac:dyDescent="0.15">
      <c r="A12" s="157">
        <v>11</v>
      </c>
      <c r="B12" s="157" t="s">
        <v>202</v>
      </c>
      <c r="C12" s="8">
        <v>4.5022315979003906</v>
      </c>
      <c r="D12" s="9">
        <v>1.6749999485909939E-3</v>
      </c>
      <c r="E12" s="9">
        <v>1.7589999437332153</v>
      </c>
      <c r="F12" s="9">
        <v>17.590000152587891</v>
      </c>
      <c r="G12" s="9">
        <v>0.76946800947189331</v>
      </c>
      <c r="H12" s="9">
        <v>9.9999994039535522E-2</v>
      </c>
      <c r="I12">
        <v>5.6943489471450448E-4</v>
      </c>
      <c r="J12"/>
    </row>
    <row r="13" spans="1:10" ht="15" customHeight="1" x14ac:dyDescent="0.15">
      <c r="A13" s="158">
        <v>12</v>
      </c>
      <c r="B13" s="158" t="s">
        <v>203</v>
      </c>
      <c r="C13" s="8">
        <v>4.1956381797790527</v>
      </c>
      <c r="D13" s="9">
        <v>5.2001583389937878E-3</v>
      </c>
      <c r="E13" s="9">
        <v>1.8500000238418579</v>
      </c>
      <c r="F13" s="9">
        <v>9.8900003433227539</v>
      </c>
      <c r="G13" s="9">
        <v>0.95000004768371582</v>
      </c>
      <c r="H13" s="9">
        <v>0.18705762922763824</v>
      </c>
      <c r="I13">
        <v>2.3193901870399714E-3</v>
      </c>
      <c r="J13"/>
    </row>
    <row r="14" spans="1:10" ht="15" customHeight="1" x14ac:dyDescent="0.15">
      <c r="A14" s="159">
        <v>13</v>
      </c>
      <c r="B14" s="159" t="s">
        <v>204</v>
      </c>
      <c r="C14" s="8">
        <v>4.5717487335205078</v>
      </c>
      <c r="D14" s="9">
        <v>0.28999999165534973</v>
      </c>
      <c r="E14" s="9">
        <v>1.8700000047683716</v>
      </c>
      <c r="F14" s="9">
        <v>7.440000057220459</v>
      </c>
      <c r="G14" s="9">
        <v>0.18473166227340698</v>
      </c>
      <c r="H14" s="9">
        <v>0.25134408473968506</v>
      </c>
      <c r="I14">
        <v>2.5851360987871885E-3</v>
      </c>
      <c r="J14"/>
    </row>
    <row r="15" spans="1:10" ht="15" customHeight="1" x14ac:dyDescent="0.15">
      <c r="A15" s="160">
        <v>14</v>
      </c>
      <c r="B15" s="160" t="s">
        <v>205</v>
      </c>
      <c r="C15" s="8">
        <v>4.266636848449707</v>
      </c>
      <c r="D15" s="9">
        <v>6.4999997615814209E-2</v>
      </c>
      <c r="E15" s="9">
        <v>1.0900000333786011</v>
      </c>
      <c r="F15" s="9">
        <v>10.310000419616699</v>
      </c>
      <c r="G15" s="9">
        <v>0.64168041944503784</v>
      </c>
      <c r="H15" s="9">
        <v>0.10572259873151779</v>
      </c>
      <c r="I15">
        <v>7.4750781059265137E-3</v>
      </c>
      <c r="J15"/>
    </row>
    <row r="16" spans="1:10" ht="15" customHeight="1" x14ac:dyDescent="0.15">
      <c r="A16" s="161">
        <v>15</v>
      </c>
      <c r="B16" s="161" t="s">
        <v>206</v>
      </c>
      <c r="C16" s="8">
        <v>4.8063669204711914</v>
      </c>
      <c r="D16" s="9">
        <v>1.0401641484349966E-3</v>
      </c>
      <c r="E16" s="9">
        <v>2.5</v>
      </c>
      <c r="F16" s="9">
        <v>31.809999465942383</v>
      </c>
      <c r="G16" s="9">
        <v>0.94999998807907104</v>
      </c>
      <c r="H16" s="9">
        <v>7.8591637313365936E-2</v>
      </c>
      <c r="I16">
        <v>8.1754702841863036E-4</v>
      </c>
      <c r="J16"/>
    </row>
    <row r="17" spans="1:10" ht="15" customHeight="1" x14ac:dyDescent="0.15">
      <c r="A17" s="162">
        <v>16</v>
      </c>
      <c r="B17" s="162" t="s">
        <v>207</v>
      </c>
      <c r="C17" s="8">
        <v>4.4389801025390625</v>
      </c>
      <c r="D17" s="9">
        <v>2.7799999341368675E-2</v>
      </c>
      <c r="E17" s="9">
        <v>4.7199997901916504</v>
      </c>
      <c r="F17" s="9">
        <v>20</v>
      </c>
      <c r="G17" s="9">
        <v>0.95851981639862061</v>
      </c>
      <c r="H17" s="9">
        <v>0.23599998652935028</v>
      </c>
      <c r="I17">
        <v>3.6062912549823523E-3</v>
      </c>
      <c r="J17"/>
    </row>
    <row r="18" spans="1:10" ht="15" customHeight="1" x14ac:dyDescent="0.15">
      <c r="A18" s="163">
        <v>17</v>
      </c>
      <c r="B18" s="163" t="s">
        <v>208</v>
      </c>
      <c r="C18" s="8">
        <v>4.7565655708312988</v>
      </c>
      <c r="D18" s="9">
        <v>1.1604649014770985E-2</v>
      </c>
      <c r="E18" s="9">
        <v>0.40000000596046448</v>
      </c>
      <c r="F18" s="9">
        <v>10</v>
      </c>
      <c r="G18" s="9">
        <v>0.99000000953674316</v>
      </c>
      <c r="H18" s="9">
        <v>3.9999999105930328E-2</v>
      </c>
      <c r="I18">
        <v>2.8374751564115286E-3</v>
      </c>
      <c r="J18"/>
    </row>
    <row r="19" spans="1:10" ht="15" customHeight="1" x14ac:dyDescent="0.15">
      <c r="A19" s="164">
        <v>18</v>
      </c>
      <c r="B19" s="164" t="s">
        <v>209</v>
      </c>
      <c r="C19" s="8">
        <v>3.0292267799377441</v>
      </c>
      <c r="D19" s="9">
        <v>0.20824941992759705</v>
      </c>
      <c r="E19" s="9">
        <v>4</v>
      </c>
      <c r="F19" s="9">
        <v>24.760000228881836</v>
      </c>
      <c r="G19" s="9">
        <v>0.94999998807907104</v>
      </c>
      <c r="H19" s="9">
        <v>0.16155089437961578</v>
      </c>
      <c r="I19">
        <v>2.7389149181544781E-3</v>
      </c>
      <c r="J19"/>
    </row>
    <row r="20" spans="1:10" ht="15" customHeight="1" x14ac:dyDescent="0.15">
      <c r="A20" s="165">
        <v>19</v>
      </c>
      <c r="B20" s="165" t="s">
        <v>210</v>
      </c>
      <c r="C20" s="8">
        <v>3.6040923595428467</v>
      </c>
      <c r="D20" s="9">
        <v>1.2573615312576294</v>
      </c>
      <c r="E20" s="9">
        <v>0.72000002861022949</v>
      </c>
      <c r="F20" s="9">
        <v>7.2199997901916504</v>
      </c>
      <c r="G20" s="9">
        <v>0.95000004768371582</v>
      </c>
      <c r="H20" s="9">
        <v>9.9722996354103088E-2</v>
      </c>
      <c r="I20">
        <v>1.2022542767226696E-2</v>
      </c>
      <c r="J20"/>
    </row>
    <row r="21" spans="1:10" ht="15" customHeight="1" x14ac:dyDescent="0.15">
      <c r="A21" s="166">
        <v>20</v>
      </c>
      <c r="B21" s="166" t="s">
        <v>211</v>
      </c>
      <c r="C21" s="8">
        <v>2.9584338665008545</v>
      </c>
      <c r="D21" s="9">
        <v>7.3940000534057617</v>
      </c>
      <c r="E21" s="9">
        <v>3.5999999046325684</v>
      </c>
      <c r="F21" s="9">
        <v>14.640000343322754</v>
      </c>
      <c r="G21" s="9">
        <v>0.33238312602043152</v>
      </c>
      <c r="H21" s="9">
        <v>0.24590162932872772</v>
      </c>
      <c r="I21">
        <v>0</v>
      </c>
      <c r="J21"/>
    </row>
    <row r="22" spans="1:10" ht="15" customHeight="1" x14ac:dyDescent="0.15">
      <c r="A22" s="167">
        <v>21</v>
      </c>
      <c r="B22" s="167" t="s">
        <v>212</v>
      </c>
      <c r="C22" s="8">
        <v>2.9591250419616699</v>
      </c>
      <c r="D22" s="9">
        <v>0.24399998784065247</v>
      </c>
      <c r="E22" s="9">
        <v>3.5</v>
      </c>
      <c r="F22" s="9">
        <v>14.640000343322754</v>
      </c>
      <c r="G22" s="9">
        <v>0.95660710334777832</v>
      </c>
      <c r="H22" s="9">
        <v>0.23907102644443512</v>
      </c>
      <c r="I22">
        <v>5.7990276254713535E-3</v>
      </c>
      <c r="J22"/>
    </row>
    <row r="23" spans="1:10" ht="15" customHeight="1" x14ac:dyDescent="0.15">
      <c r="A23" s="168">
        <v>22</v>
      </c>
      <c r="B23" s="168" t="s">
        <v>213</v>
      </c>
      <c r="C23" s="8">
        <v>3.0541620254516602</v>
      </c>
      <c r="D23" s="9">
        <v>8.7240715026855469</v>
      </c>
      <c r="E23" s="9">
        <v>3.7599999904632568</v>
      </c>
      <c r="F23" s="9">
        <v>15</v>
      </c>
      <c r="G23" s="9">
        <v>0.94999998807907104</v>
      </c>
      <c r="H23" s="9">
        <v>0.25066667795181274</v>
      </c>
      <c r="I23">
        <v>0</v>
      </c>
      <c r="J23"/>
    </row>
    <row r="24" spans="1:10" ht="15" customHeight="1" x14ac:dyDescent="0.15">
      <c r="A24" s="169">
        <v>23</v>
      </c>
      <c r="B24" s="169" t="s">
        <v>214</v>
      </c>
      <c r="C24" s="8">
        <v>4.0163865089416504</v>
      </c>
      <c r="D24" s="9">
        <v>10.833000183105469</v>
      </c>
      <c r="E24" s="9">
        <v>0.35499998927116394</v>
      </c>
      <c r="F24" s="9">
        <v>3.5499999523162842</v>
      </c>
      <c r="G24" s="9">
        <v>0.17684160172939301</v>
      </c>
      <c r="H24" s="9">
        <v>0.10000000149011612</v>
      </c>
      <c r="I24">
        <v>0</v>
      </c>
      <c r="J24"/>
    </row>
    <row r="25" spans="1:10" ht="15" customHeight="1" x14ac:dyDescent="0.15">
      <c r="A25" s="170">
        <v>24</v>
      </c>
      <c r="B25" s="170" t="s">
        <v>215</v>
      </c>
      <c r="C25" s="8">
        <v>3.9859106540679932</v>
      </c>
      <c r="D25" s="9">
        <v>5.6939397472888231E-4</v>
      </c>
      <c r="E25" s="9">
        <v>0.15000000596046448</v>
      </c>
      <c r="F25" s="9">
        <v>3.5</v>
      </c>
      <c r="G25" s="9">
        <v>0.99000012874603271</v>
      </c>
      <c r="H25" s="9">
        <v>4.285714402794838E-2</v>
      </c>
      <c r="I25">
        <v>5.5984000937314704E-6</v>
      </c>
      <c r="J25"/>
    </row>
    <row r="26" spans="1:10" ht="15" customHeight="1" x14ac:dyDescent="0.15">
      <c r="A26" s="171">
        <v>25</v>
      </c>
      <c r="B26" s="171" t="s">
        <v>216</v>
      </c>
      <c r="C26" s="8">
        <v>3.504490852355957</v>
      </c>
      <c r="D26" s="9">
        <v>7.6690374407917261E-4</v>
      </c>
      <c r="E26" s="9">
        <v>0.15000000596046448</v>
      </c>
      <c r="F26" s="9">
        <v>3.5</v>
      </c>
      <c r="G26" s="9">
        <v>0.99000006914138794</v>
      </c>
      <c r="H26" s="9">
        <v>4.285714402794838E-2</v>
      </c>
      <c r="I26">
        <v>3.4928601962747052E-5</v>
      </c>
      <c r="J26"/>
    </row>
    <row r="27" spans="1:10" ht="15" customHeight="1" x14ac:dyDescent="0.15">
      <c r="A27" s="172">
        <v>26</v>
      </c>
      <c r="B27" s="172" t="s">
        <v>217</v>
      </c>
      <c r="C27" s="8">
        <v>3.8604648113250732</v>
      </c>
      <c r="D27" s="9">
        <v>1.1574429273605347</v>
      </c>
      <c r="E27" s="9">
        <v>5.5</v>
      </c>
      <c r="F27" s="9">
        <v>18.329999923706055</v>
      </c>
      <c r="G27" s="9">
        <v>0.9500001072883606</v>
      </c>
      <c r="H27" s="9">
        <v>0.30005455017089844</v>
      </c>
      <c r="I27">
        <v>0</v>
      </c>
      <c r="J27"/>
    </row>
    <row r="28" spans="1:10" ht="15" customHeight="1" x14ac:dyDescent="0.15">
      <c r="A28" s="173">
        <v>27</v>
      </c>
      <c r="B28" s="173" t="s">
        <v>218</v>
      </c>
      <c r="C28" s="8">
        <v>4.3983678817749023</v>
      </c>
      <c r="D28" s="9">
        <v>0.17708800733089447</v>
      </c>
      <c r="E28" s="9">
        <v>4.5999999046325684</v>
      </c>
      <c r="F28" s="9">
        <v>15.859999656677246</v>
      </c>
      <c r="G28" s="9">
        <v>0.35927265882492065</v>
      </c>
      <c r="H28" s="9">
        <v>0.2900378406047821</v>
      </c>
      <c r="I28">
        <v>6.5573999563639518E-6</v>
      </c>
      <c r="J28"/>
    </row>
    <row r="29" spans="1:10" ht="15" customHeight="1" x14ac:dyDescent="0.15">
      <c r="A29" s="174">
        <v>28</v>
      </c>
      <c r="B29" s="174" t="s">
        <v>219</v>
      </c>
      <c r="C29" s="8">
        <v>2.00301194190979</v>
      </c>
      <c r="D29" s="9">
        <v>40</v>
      </c>
      <c r="E29" s="9">
        <v>17.299999237060547</v>
      </c>
      <c r="F29" s="9">
        <v>57.700000762939453</v>
      </c>
      <c r="G29" s="9">
        <v>0.66559100151062012</v>
      </c>
      <c r="H29" s="9">
        <v>0.29982668161392212</v>
      </c>
      <c r="I29">
        <v>0</v>
      </c>
      <c r="J29"/>
    </row>
    <row r="30" spans="1:10" ht="15" customHeight="1" x14ac:dyDescent="0.15">
      <c r="A30" s="175">
        <v>29</v>
      </c>
      <c r="B30" s="175" t="s">
        <v>220</v>
      </c>
      <c r="C30" s="8">
        <v>3.005969762802124</v>
      </c>
      <c r="D30" s="9">
        <v>9.6359996795654297</v>
      </c>
      <c r="E30" s="9">
        <v>8.6999998092651367</v>
      </c>
      <c r="F30" s="9">
        <v>29</v>
      </c>
      <c r="G30" s="9">
        <v>0.15242840349674225</v>
      </c>
      <c r="H30" s="9">
        <v>0.29999998211860657</v>
      </c>
      <c r="I30">
        <v>0</v>
      </c>
      <c r="J30"/>
    </row>
    <row r="31" spans="1:10" ht="15" customHeight="1" x14ac:dyDescent="0.15">
      <c r="A31" s="176">
        <v>30</v>
      </c>
      <c r="B31" s="176" t="s">
        <v>221</v>
      </c>
      <c r="C31" s="8">
        <v>1</v>
      </c>
      <c r="D31" s="9">
        <v>32</v>
      </c>
      <c r="E31" s="9">
        <v>42.799999237060547</v>
      </c>
      <c r="F31" s="10"/>
      <c r="G31" s="9">
        <v>0.84209048748016357</v>
      </c>
      <c r="H31" s="10"/>
      <c r="I31">
        <v>0</v>
      </c>
      <c r="J31"/>
    </row>
    <row r="32" spans="1:10" ht="15" customHeight="1" x14ac:dyDescent="0.15">
      <c r="A32" s="204">
        <v>31</v>
      </c>
      <c r="B32" s="204" t="s">
        <v>222</v>
      </c>
      <c r="C32" s="8">
        <v>1</v>
      </c>
      <c r="D32" s="9">
        <v>15.074999809265137</v>
      </c>
      <c r="E32" s="10"/>
      <c r="F32" s="10"/>
      <c r="G32" s="7">
        <v>0.7191886305809021</v>
      </c>
      <c r="H32" s="10"/>
      <c r="I32">
        <v>0</v>
      </c>
      <c r="J32"/>
    </row>
    <row r="33" spans="1:10" ht="15" customHeight="1" x14ac:dyDescent="0.15">
      <c r="A33" s="205">
        <v>32</v>
      </c>
      <c r="B33" s="205" t="s">
        <v>223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06">
        <v>33</v>
      </c>
      <c r="B34" s="206" t="s">
        <v>224</v>
      </c>
      <c r="C34" s="8">
        <v>4.3897233009338379</v>
      </c>
      <c r="D34" s="10"/>
      <c r="E34" s="10"/>
      <c r="F34" s="10"/>
      <c r="G34" s="10"/>
      <c r="H34" s="10"/>
      <c r="I34">
        <v>1.6024455428123474E-2</v>
      </c>
      <c r="J34"/>
    </row>
    <row r="35" spans="1:10" ht="15" customHeight="1" x14ac:dyDescent="0.15">
      <c r="A35" s="207">
        <v>34</v>
      </c>
      <c r="B35" s="207" t="s">
        <v>225</v>
      </c>
      <c r="C35" s="8">
        <v>4.3462095260620117</v>
      </c>
      <c r="D35" s="10"/>
      <c r="E35" s="10"/>
      <c r="F35" s="10"/>
      <c r="G35" s="10"/>
      <c r="H35" s="10"/>
      <c r="I35">
        <v>2.997454022988677E-3</v>
      </c>
      <c r="J35"/>
    </row>
    <row r="36" spans="1:10" ht="15" customHeight="1" x14ac:dyDescent="0.15">
      <c r="A36" s="208">
        <v>35</v>
      </c>
      <c r="B36" s="208" t="s">
        <v>226</v>
      </c>
      <c r="C36" s="8">
        <v>5.430391788482666</v>
      </c>
      <c r="D36" s="10"/>
      <c r="E36" s="10"/>
      <c r="F36" s="10"/>
      <c r="G36" s="10"/>
      <c r="H36" s="10"/>
      <c r="I36">
        <v>6.2378926668316126E-4</v>
      </c>
      <c r="J36"/>
    </row>
    <row r="37" spans="1:10" ht="15" customHeight="1" x14ac:dyDescent="0.15">
      <c r="A37" s="209">
        <v>36</v>
      </c>
      <c r="B37" s="209" t="s">
        <v>227</v>
      </c>
      <c r="C37" s="8">
        <v>5.2242898941040039</v>
      </c>
      <c r="D37" s="10"/>
      <c r="E37" s="10"/>
      <c r="F37" s="10"/>
      <c r="G37" s="10"/>
      <c r="H37" s="10"/>
      <c r="I37">
        <v>9.8439129069447517E-3</v>
      </c>
      <c r="J37"/>
    </row>
    <row r="38" spans="1:10" ht="15" customHeight="1" x14ac:dyDescent="0.15">
      <c r="A38" s="210">
        <v>37</v>
      </c>
      <c r="B38" s="210" t="s">
        <v>228</v>
      </c>
      <c r="C38" s="8">
        <v>5.172487735748291</v>
      </c>
      <c r="D38" s="10"/>
      <c r="E38" s="10"/>
      <c r="F38" s="10"/>
      <c r="G38" s="10"/>
      <c r="H38" s="10"/>
      <c r="I38">
        <v>2.7007401513401419E-5</v>
      </c>
      <c r="J38"/>
    </row>
    <row r="39" spans="1:10" ht="15" customHeight="1" x14ac:dyDescent="0.15">
      <c r="A39" s="211">
        <v>38</v>
      </c>
      <c r="B39" s="211" t="s">
        <v>229</v>
      </c>
      <c r="C39" s="8">
        <v>5.3971290588378906</v>
      </c>
      <c r="D39" s="10"/>
      <c r="E39" s="10"/>
      <c r="F39" s="10"/>
      <c r="G39" s="10"/>
      <c r="H39" s="10"/>
      <c r="I39">
        <v>7.7472497650887817E-5</v>
      </c>
      <c r="J39"/>
    </row>
    <row r="40" spans="1:10" ht="15" customHeight="1" x14ac:dyDescent="0.15">
      <c r="A40" s="212">
        <v>39</v>
      </c>
      <c r="B40" s="212" t="s">
        <v>230</v>
      </c>
      <c r="C40" s="8">
        <v>5.6223616600036621</v>
      </c>
      <c r="D40" s="10"/>
      <c r="E40" s="10"/>
      <c r="F40" s="10"/>
      <c r="G40" s="10"/>
      <c r="H40" s="10"/>
      <c r="I40">
        <v>2.8474433347582817E-2</v>
      </c>
      <c r="J40"/>
    </row>
    <row r="41" spans="1:10" ht="15" customHeight="1" x14ac:dyDescent="0.15">
      <c r="A41" s="213">
        <v>40</v>
      </c>
      <c r="B41" s="213" t="s">
        <v>231</v>
      </c>
      <c r="C41" s="8">
        <v>4.5472240447998047</v>
      </c>
      <c r="D41" s="10"/>
      <c r="E41" s="10"/>
      <c r="F41" s="10"/>
      <c r="G41" s="10"/>
      <c r="H41" s="10"/>
      <c r="I41">
        <v>1.3609300367534161E-5</v>
      </c>
      <c r="J41"/>
    </row>
    <row r="42" spans="1:10" ht="15" customHeight="1" x14ac:dyDescent="0.15">
      <c r="A42" s="214">
        <v>41</v>
      </c>
      <c r="B42" s="214" t="s">
        <v>232</v>
      </c>
      <c r="C42" s="8">
        <v>5.5680251121520996</v>
      </c>
      <c r="D42" s="10"/>
      <c r="E42" s="10"/>
      <c r="F42" s="10"/>
      <c r="G42" s="10"/>
      <c r="H42" s="10"/>
      <c r="I42">
        <v>6.5742001424951013E-6</v>
      </c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242</v>
      </c>
      <c r="J1" t="s">
        <v>243</v>
      </c>
      <c r="K1" t="s">
        <v>244</v>
      </c>
      <c r="L1" t="s">
        <v>245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0.12999999523162842</v>
      </c>
      <c r="C2">
        <v>7.1943655610084534E-2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 s="227">
        <v>5.8056339621543884E-2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3.9999999105930328E-2</v>
      </c>
      <c r="C3">
        <v>3.9999999105930328E-2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3.9999999105930328E-2</v>
      </c>
      <c r="C4">
        <v>3.9999999105930328E-2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1.9999999552965164E-2</v>
      </c>
      <c r="C5">
        <v>1.3569026254117489E-2</v>
      </c>
      <c r="D5"/>
      <c r="E5"/>
      <c r="F5"/>
      <c r="G5"/>
      <c r="H5" s="219">
        <v>5.8320476673543453E-3</v>
      </c>
      <c r="I5" s="143">
        <v>5.9892539866268635E-4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5.000000074505806E-2</v>
      </c>
      <c r="C6">
        <v>1.0203495621681213E-2</v>
      </c>
      <c r="D6"/>
      <c r="E6"/>
      <c r="F6"/>
      <c r="G6" s="11">
        <v>2.891347867262084E-5</v>
      </c>
      <c r="H6" s="11">
        <v>2.4773209588602185E-5</v>
      </c>
      <c r="I6" s="19">
        <v>8.8103569578379393E-4</v>
      </c>
      <c r="J6"/>
      <c r="K6"/>
      <c r="L6"/>
      <c r="M6"/>
      <c r="N6"/>
      <c r="O6"/>
      <c r="P6" s="230">
        <v>6.2932753935456276E-3</v>
      </c>
      <c r="Q6" s="143">
        <v>1.4863228425383568E-3</v>
      </c>
      <c r="R6"/>
      <c r="S6"/>
      <c r="T6"/>
      <c r="U6"/>
      <c r="V6"/>
      <c r="W6"/>
      <c r="X6"/>
      <c r="Y6"/>
      <c r="Z6"/>
      <c r="AA6"/>
      <c r="AB6"/>
      <c r="AC6" s="237">
        <v>3.1082183122634888E-2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0.37000000476837158</v>
      </c>
      <c r="C7">
        <v>3.2773811370134354E-2</v>
      </c>
      <c r="D7"/>
      <c r="E7" s="11">
        <v>3.7428571886266582E-6</v>
      </c>
      <c r="F7" s="11">
        <v>3.4831426455639303E-4</v>
      </c>
      <c r="G7" s="11">
        <v>6.9428569986484945E-6</v>
      </c>
      <c r="H7"/>
      <c r="I7"/>
      <c r="J7" s="67">
        <v>2.1704213693737984E-2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241">
        <v>0.31516298651695251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0.46000000834465027</v>
      </c>
      <c r="C8">
        <v>2.300003357231617E-2</v>
      </c>
      <c r="D8" s="11">
        <v>2.4719486191315809E-6</v>
      </c>
      <c r="E8" s="11">
        <v>2.4280816433019936E-4</v>
      </c>
      <c r="F8" s="19">
        <v>8.0576706677675247E-3</v>
      </c>
      <c r="G8" s="14">
        <v>1.2734283227473497E-3</v>
      </c>
      <c r="H8" s="11">
        <v>7.3955840207418078E-7</v>
      </c>
      <c r="I8"/>
      <c r="J8" s="220">
        <v>0.11289791017770767</v>
      </c>
      <c r="K8"/>
      <c r="L8" s="11">
        <v>1.0852259583771229E-4</v>
      </c>
      <c r="M8"/>
      <c r="N8"/>
      <c r="O8"/>
      <c r="P8"/>
      <c r="Q8"/>
      <c r="R8"/>
      <c r="S8"/>
      <c r="T8"/>
      <c r="U8" s="235">
        <v>4.7546651214361191E-2</v>
      </c>
      <c r="V8"/>
      <c r="W8"/>
      <c r="X8" s="75">
        <v>3.650858998298645E-2</v>
      </c>
      <c r="Y8"/>
      <c r="Z8"/>
      <c r="AA8"/>
      <c r="AB8" s="220">
        <v>0.11272814869880676</v>
      </c>
      <c r="AC8" s="146">
        <v>0.11763302236795425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</v>
      </c>
      <c r="C9">
        <v>0.10000002384185791</v>
      </c>
      <c r="D9" s="11">
        <v>8.194758152058057E-7</v>
      </c>
      <c r="E9" s="11">
        <v>3.1474701245315373E-4</v>
      </c>
      <c r="F9" s="23">
        <v>1.1782525107264519E-2</v>
      </c>
      <c r="G9" s="11">
        <v>1.4764051884412766E-3</v>
      </c>
      <c r="H9" s="11">
        <v>1.3435987966659013E-5</v>
      </c>
      <c r="I9" s="11">
        <v>2.3901378654045402E-7</v>
      </c>
      <c r="J9" s="221">
        <v>1.3822180032730103</v>
      </c>
      <c r="K9"/>
      <c r="L9" s="11">
        <v>5.9753443792942562E-7</v>
      </c>
      <c r="M9"/>
      <c r="N9"/>
      <c r="O9"/>
      <c r="P9"/>
      <c r="Q9"/>
      <c r="R9" s="23">
        <v>1.2634364888072014E-2</v>
      </c>
      <c r="S9" s="18">
        <v>2.3241322487592697E-2</v>
      </c>
      <c r="T9"/>
      <c r="U9" s="244">
        <v>0.40062233805656433</v>
      </c>
      <c r="V9"/>
      <c r="W9" s="26">
        <v>5.0250619649887085E-2</v>
      </c>
      <c r="X9"/>
      <c r="Y9"/>
      <c r="Z9"/>
      <c r="AA9"/>
      <c r="AB9"/>
      <c r="AC9" s="22">
        <v>1.7444446682929993E-2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1.9600000381469727</v>
      </c>
      <c r="C10">
        <v>0.59787279367446899</v>
      </c>
      <c r="D10" s="11">
        <v>4.8559945753368083E-7</v>
      </c>
      <c r="E10"/>
      <c r="F10" s="14">
        <v>2.0089417230337858E-3</v>
      </c>
      <c r="G10" s="11">
        <v>1.5928834909573197E-3</v>
      </c>
      <c r="H10" s="11">
        <v>3.2769592507975176E-5</v>
      </c>
      <c r="I10"/>
      <c r="J10" s="222">
        <v>0.39637908339500427</v>
      </c>
      <c r="K10"/>
      <c r="L10"/>
      <c r="M10"/>
      <c r="N10"/>
      <c r="O10"/>
      <c r="P10"/>
      <c r="Q10"/>
      <c r="R10" s="12">
        <v>6.1959619633853436E-3</v>
      </c>
      <c r="S10" s="240">
        <v>0.16716586053371429</v>
      </c>
      <c r="T10" s="246">
        <v>0.63980138301849365</v>
      </c>
      <c r="U10" s="70">
        <v>9.8233692348003387E-2</v>
      </c>
      <c r="V10"/>
      <c r="W10" s="18">
        <v>2.4643179029226303E-2</v>
      </c>
      <c r="X10"/>
      <c r="Y10"/>
      <c r="Z10"/>
      <c r="AA10"/>
      <c r="AB10" s="18">
        <v>2.189277671277523E-2</v>
      </c>
      <c r="AC10" s="14">
        <v>4.1802115738391876E-3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0.77999997138977051</v>
      </c>
      <c r="C11">
        <v>8.7302990257740021E-2</v>
      </c>
      <c r="D11"/>
      <c r="E11" s="11">
        <v>1.4035448657523375E-5</v>
      </c>
      <c r="F11" s="11">
        <v>5.5919209262356162E-4</v>
      </c>
      <c r="G11" s="11">
        <v>1.0437963646836579E-4</v>
      </c>
      <c r="H11" s="11">
        <v>2.1228358946245862E-6</v>
      </c>
      <c r="I11" s="11">
        <v>3.2976090551528614E-6</v>
      </c>
      <c r="J11" s="223">
        <v>0.29931530356407166</v>
      </c>
      <c r="K11"/>
      <c r="L11"/>
      <c r="M11"/>
      <c r="N11"/>
      <c r="O11"/>
      <c r="P11"/>
      <c r="Q11"/>
      <c r="R11" s="15">
        <v>7.6261917129158974E-3</v>
      </c>
      <c r="S11" s="19">
        <v>1.4028626494109631E-2</v>
      </c>
      <c r="T11" s="139">
        <v>9.3748614192008972E-2</v>
      </c>
      <c r="U11" s="245">
        <v>0.24181845784187317</v>
      </c>
      <c r="V11"/>
      <c r="W11" s="232">
        <v>3.0331628397107124E-2</v>
      </c>
      <c r="X11"/>
      <c r="Y11"/>
      <c r="Z11"/>
      <c r="AA11"/>
      <c r="AB11"/>
      <c r="AC11" s="23">
        <v>5.1451409235596657E-3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1.7589999437332153</v>
      </c>
      <c r="C12">
        <v>0.40550574660301208</v>
      </c>
      <c r="D12"/>
      <c r="E12" s="11">
        <v>1.0805970305227675E-5</v>
      </c>
      <c r="F12" s="11">
        <v>1.0823880438692868E-4</v>
      </c>
      <c r="G12" s="11">
        <v>7.9999999798019417E-6</v>
      </c>
      <c r="H12"/>
      <c r="I12"/>
      <c r="J12" s="107">
        <v>0.33983409404754639</v>
      </c>
      <c r="K12"/>
      <c r="L12"/>
      <c r="M12"/>
      <c r="N12"/>
      <c r="O12"/>
      <c r="P12"/>
      <c r="Q12"/>
      <c r="R12" s="26">
        <v>4.4181831181049347E-2</v>
      </c>
      <c r="S12" s="234">
        <v>0.1896391361951828</v>
      </c>
      <c r="T12" s="24">
        <v>4.9424495548009872E-2</v>
      </c>
      <c r="U12" s="238">
        <v>0.70047956705093384</v>
      </c>
      <c r="V12"/>
      <c r="W12"/>
      <c r="X12"/>
      <c r="Y12"/>
      <c r="Z12"/>
      <c r="AA12"/>
      <c r="AB12"/>
      <c r="AC12" s="19">
        <v>2.9808029532432556E-2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1.8500000238418579</v>
      </c>
      <c r="C13">
        <v>9.2499911785125732E-2</v>
      </c>
      <c r="D13" s="11">
        <v>2.9806783459207509E-6</v>
      </c>
      <c r="E13"/>
      <c r="F13" s="11">
        <v>7.1343984018312767E-6</v>
      </c>
      <c r="G13" s="105">
        <v>0.22813442349433899</v>
      </c>
      <c r="H13" s="11">
        <v>1.2520771997515112E-4</v>
      </c>
      <c r="I13" s="11">
        <v>9.6252840012311935E-4</v>
      </c>
      <c r="J13" s="224">
        <v>0.21678751707077026</v>
      </c>
      <c r="K13"/>
      <c r="L13" s="11">
        <v>3.1922104426485021E-6</v>
      </c>
      <c r="M13"/>
      <c r="N13"/>
      <c r="O13"/>
      <c r="P13"/>
      <c r="Q13"/>
      <c r="R13" s="22">
        <v>1.4231213368475437E-2</v>
      </c>
      <c r="S13" s="17">
        <v>2.6178779080510139E-2</v>
      </c>
      <c r="T13" s="74">
        <v>0.17494401335716248</v>
      </c>
      <c r="U13" s="243">
        <v>0.45125672221183777</v>
      </c>
      <c r="V13"/>
      <c r="W13" s="25">
        <v>5.6601762771606445E-2</v>
      </c>
      <c r="X13"/>
      <c r="Y13"/>
      <c r="Z13" s="239">
        <v>0.25769835710525513</v>
      </c>
      <c r="AA13"/>
      <c r="AB13" s="106">
        <v>0.32096484303474426</v>
      </c>
      <c r="AC13" s="23">
        <v>9.6013322472572327E-3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1.8700000047683716</v>
      </c>
      <c r="C14">
        <v>1.5245517492294312</v>
      </c>
      <c r="D14" s="11">
        <v>1.3722931907977909E-4</v>
      </c>
      <c r="E14" s="11">
        <v>1.480062201153487E-4</v>
      </c>
      <c r="F14" s="11">
        <v>6.7736204073298723E-5</v>
      </c>
      <c r="G14" s="14">
        <v>3.5517585929483175E-3</v>
      </c>
      <c r="H14" s="11">
        <v>5.1724136085340433E-8</v>
      </c>
      <c r="I14" s="11">
        <v>4.8137934527403559E-7</v>
      </c>
      <c r="J14" s="14">
        <v>5.0088735297322273E-3</v>
      </c>
      <c r="K14"/>
      <c r="L14" s="11">
        <v>1.2620689915365801E-7</v>
      </c>
      <c r="M14"/>
      <c r="N14" s="20">
        <v>8.1749275326728821E-2</v>
      </c>
      <c r="O14"/>
      <c r="P14"/>
      <c r="Q14"/>
      <c r="R14" s="11">
        <v>2.55188177106902E-4</v>
      </c>
      <c r="S14" s="22">
        <v>1.4082808047533035E-2</v>
      </c>
      <c r="T14" s="26">
        <v>4.831014946103096E-2</v>
      </c>
      <c r="U14" s="64">
        <v>0.10357438027858734</v>
      </c>
      <c r="V14"/>
      <c r="W14" s="11">
        <v>1.0149590671062469E-3</v>
      </c>
      <c r="X14"/>
      <c r="Y14"/>
      <c r="Z14" s="18">
        <v>2.3104691877961159E-2</v>
      </c>
      <c r="AA14" s="18">
        <v>2.3130571469664574E-2</v>
      </c>
      <c r="AB14" s="22">
        <v>1.5347751788794994E-2</v>
      </c>
      <c r="AC14" s="11">
        <v>4.0038861334323883E-4</v>
      </c>
      <c r="AD14"/>
      <c r="AE14" s="12">
        <v>5.6373071856796741E-3</v>
      </c>
      <c r="AF14"/>
      <c r="AG14"/>
      <c r="AH14"/>
      <c r="AI14" s="15">
        <v>1.992650143802166E-2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1.0900000333786011</v>
      </c>
      <c r="C15">
        <v>0.39056834578514099</v>
      </c>
      <c r="D15" s="11">
        <v>9.0473848104011267E-5</v>
      </c>
      <c r="E15"/>
      <c r="F15" s="11">
        <v>2.3969230369402794E-6</v>
      </c>
      <c r="G15" s="24">
        <v>3.0799996107816696E-2</v>
      </c>
      <c r="H15" s="11">
        <v>1.3999999737279722E-7</v>
      </c>
      <c r="I15" s="11">
        <v>4.173846264166059E-6</v>
      </c>
      <c r="J15" s="27">
        <v>8.4096759557723999E-2</v>
      </c>
      <c r="K15" s="11">
        <v>3.9692308746452909E-6</v>
      </c>
      <c r="L15" s="11">
        <v>3.2953846584860003E-6</v>
      </c>
      <c r="M15"/>
      <c r="N15" s="247">
        <v>0.36472752690315247</v>
      </c>
      <c r="O15"/>
      <c r="P15"/>
      <c r="Q15"/>
      <c r="R15" s="17">
        <v>1.5390204265713692E-2</v>
      </c>
      <c r="S15" s="14">
        <v>2.0943661220371723E-3</v>
      </c>
      <c r="T15" s="17">
        <v>1.3995947316288948E-2</v>
      </c>
      <c r="U15" s="242">
        <v>3.6101639270782471E-2</v>
      </c>
      <c r="V15"/>
      <c r="W15" s="12">
        <v>4.5282789506018162E-3</v>
      </c>
      <c r="X15"/>
      <c r="Y15"/>
      <c r="Z15" s="15">
        <v>9.9990013986825943E-3</v>
      </c>
      <c r="AA15" s="11">
        <v>2.0842932281084359E-4</v>
      </c>
      <c r="AB15" s="29">
        <v>5.1355939358472824E-2</v>
      </c>
      <c r="AC15" s="242">
        <v>3.5726979374885559E-2</v>
      </c>
      <c r="AD15"/>
      <c r="AE15" s="29">
        <v>5.0302129238843918E-2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2.5</v>
      </c>
      <c r="C16">
        <v>0.12500002980232239</v>
      </c>
      <c r="D16" s="11">
        <v>2.4996055799419992E-5</v>
      </c>
      <c r="E16" s="18">
        <v>2.8564337641000748E-2</v>
      </c>
      <c r="F16" s="68">
        <v>0.15592615306377411</v>
      </c>
      <c r="G16" s="216">
        <v>0.34316614270210266</v>
      </c>
      <c r="H16" s="11">
        <v>2.295022364705801E-3</v>
      </c>
      <c r="I16" s="12">
        <v>1.1259664781391621E-2</v>
      </c>
      <c r="J16" s="225">
        <v>0.24185501039028168</v>
      </c>
      <c r="K16"/>
      <c r="L16" s="14">
        <v>2.8875251300632954E-3</v>
      </c>
      <c r="M16"/>
      <c r="N16"/>
      <c r="O16"/>
      <c r="P16"/>
      <c r="Q16"/>
      <c r="R16" s="143">
        <v>7.114700973033905E-2</v>
      </c>
      <c r="S16" s="229">
        <v>0.13087722659111023</v>
      </c>
      <c r="T16" s="28">
        <v>8.7460875511169434E-2</v>
      </c>
      <c r="U16" s="231">
        <v>0.22559967637062073</v>
      </c>
      <c r="V16"/>
      <c r="W16" s="233">
        <v>0.28297275304794312</v>
      </c>
      <c r="X16"/>
      <c r="Y16"/>
      <c r="Z16" s="70">
        <v>0.12883275747299194</v>
      </c>
      <c r="AA16" s="13">
        <v>9.5303252339363098E-2</v>
      </c>
      <c r="AB16" s="236">
        <v>0.51882708072662354</v>
      </c>
      <c r="AC16" s="21">
        <v>4.8000544309616089E-2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4.7199997901916504</v>
      </c>
      <c r="C17">
        <v>0.19578646123409271</v>
      </c>
      <c r="D17" s="11">
        <v>2.4374101485591382E-5</v>
      </c>
      <c r="E17" s="12">
        <v>1.9651137292385101E-2</v>
      </c>
      <c r="F17" s="11">
        <v>1.8428561743348837E-3</v>
      </c>
      <c r="G17" s="18">
        <v>5.8555789291858673E-2</v>
      </c>
      <c r="H17" s="11">
        <v>7.1992806624621153E-5</v>
      </c>
      <c r="I17" s="11">
        <v>6.2071223510429263E-4</v>
      </c>
      <c r="J17" s="15">
        <v>4.8877939581871033E-2</v>
      </c>
      <c r="K17" s="11">
        <v>6.3381298787135165E-6</v>
      </c>
      <c r="L17" s="11">
        <v>7.155395724112168E-5</v>
      </c>
      <c r="M17"/>
      <c r="N17"/>
      <c r="O17"/>
      <c r="P17"/>
      <c r="Q17"/>
      <c r="R17" s="11">
        <v>2.6620347052812576E-3</v>
      </c>
      <c r="S17" s="12">
        <v>1.9587596878409386E-2</v>
      </c>
      <c r="T17" s="12">
        <v>1.636216789484024E-2</v>
      </c>
      <c r="U17" s="14">
        <v>8.4410319104790688E-3</v>
      </c>
      <c r="V17"/>
      <c r="W17" s="23">
        <v>2.3292947560548782E-2</v>
      </c>
      <c r="X17"/>
      <c r="Y17"/>
      <c r="Z17"/>
      <c r="AA17"/>
      <c r="AB17" s="250">
        <v>4.3227663040161133</v>
      </c>
      <c r="AC17" s="11">
        <v>1.3783159665763378E-3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0.40000000596046448</v>
      </c>
      <c r="C18">
        <v>3.9999964646995068E-3</v>
      </c>
      <c r="D18"/>
      <c r="E18" s="12">
        <v>1.2629162520170212E-3</v>
      </c>
      <c r="F18" s="215">
        <v>9.6801808103919029E-3</v>
      </c>
      <c r="G18" s="217">
        <v>0.12597590684890747</v>
      </c>
      <c r="H18" s="11">
        <v>3.0479162887786515E-5</v>
      </c>
      <c r="I18" s="11">
        <v>6.2500817875843495E-5</v>
      </c>
      <c r="J18" s="226">
        <v>0.10747529566287994</v>
      </c>
      <c r="K18" s="11">
        <v>1.9001005057361908E-5</v>
      </c>
      <c r="L18" s="11">
        <v>5.6529065659560729E-6</v>
      </c>
      <c r="M18"/>
      <c r="N18"/>
      <c r="O18"/>
      <c r="P18" s="12">
        <v>1.4025295386090875E-3</v>
      </c>
      <c r="Q18"/>
      <c r="R18"/>
      <c r="S18"/>
      <c r="T18"/>
      <c r="U18"/>
      <c r="V18"/>
      <c r="W18"/>
      <c r="X18"/>
      <c r="Y18"/>
      <c r="Z18"/>
      <c r="AA18"/>
      <c r="AB18"/>
      <c r="AC18" s="109">
        <v>0.15008555352687836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4</v>
      </c>
      <c r="C19">
        <v>0.20000004768371582</v>
      </c>
      <c r="D19" s="11">
        <v>2.6655534384190105E-6</v>
      </c>
      <c r="E19" s="14">
        <v>1.095927320420742E-2</v>
      </c>
      <c r="F19" s="11">
        <v>4.6870045480318367E-4</v>
      </c>
      <c r="G19" s="11">
        <v>1.6683922149240971E-3</v>
      </c>
      <c r="H19"/>
      <c r="I19" s="11">
        <v>5.3057530749356374E-5</v>
      </c>
      <c r="J19"/>
      <c r="K19"/>
      <c r="L19"/>
      <c r="M19" s="14">
        <v>5.2966508083045483E-3</v>
      </c>
      <c r="N19"/>
      <c r="O19"/>
      <c r="P19"/>
      <c r="Q19"/>
      <c r="R19" s="11">
        <v>5.3394044516608119E-4</v>
      </c>
      <c r="S19" s="14">
        <v>3.9222328923642635E-3</v>
      </c>
      <c r="T19" s="14">
        <v>5.6790434755384922E-3</v>
      </c>
      <c r="U19" s="15">
        <v>4.0565699338912964E-2</v>
      </c>
      <c r="V19"/>
      <c r="W19" s="22">
        <v>2.8409184888005257E-2</v>
      </c>
      <c r="X19" s="12">
        <v>1.8046228215098381E-2</v>
      </c>
      <c r="Y19"/>
      <c r="Z19" s="232">
        <v>0.15443851053714752</v>
      </c>
      <c r="AA19" s="14">
        <v>5.553574301302433E-3</v>
      </c>
      <c r="AB19" s="256">
        <v>1.1514530181884766</v>
      </c>
      <c r="AC19" s="11">
        <v>5.5756543588358909E-5</v>
      </c>
      <c r="AD19"/>
      <c r="AE19" s="248">
        <v>0.52335286140441895</v>
      </c>
      <c r="AF19"/>
      <c r="AG19"/>
      <c r="AH19"/>
      <c r="AI19" s="254">
        <v>1.1099545955657959</v>
      </c>
      <c r="AJ19"/>
      <c r="AK19"/>
      <c r="AL19"/>
      <c r="AM19" s="251">
        <v>0.73958629369735718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0.72000002861022949</v>
      </c>
      <c r="C20">
        <v>3.5999968647956848E-2</v>
      </c>
      <c r="D20" s="18">
        <v>8.4144044667482376E-3</v>
      </c>
      <c r="E20" s="11">
        <v>4.2190888052573428E-5</v>
      </c>
      <c r="F20"/>
      <c r="G20" s="14">
        <v>1.097998465411365E-3</v>
      </c>
      <c r="H20" s="11">
        <v>5.9822891671501566E-6</v>
      </c>
      <c r="I20"/>
      <c r="J20"/>
      <c r="K20" s="11">
        <v>1.14644831228361E-6</v>
      </c>
      <c r="L20"/>
      <c r="M20" s="11">
        <v>1.3740111899096519E-4</v>
      </c>
      <c r="N20"/>
      <c r="O20"/>
      <c r="P20"/>
      <c r="Q20"/>
      <c r="R20" s="12">
        <v>3.2534035854041576E-3</v>
      </c>
      <c r="S20" s="14">
        <v>8.3006551722064614E-4</v>
      </c>
      <c r="T20" s="22">
        <v>5.7158735580742359E-3</v>
      </c>
      <c r="U20" s="16">
        <v>1.1011135764420033E-2</v>
      </c>
      <c r="V20" s="11">
        <v>4.7614383220206946E-5</v>
      </c>
      <c r="W20" s="11">
        <v>4.6818378905300051E-5</v>
      </c>
      <c r="X20" s="16">
        <v>1.1587071232497692E-2</v>
      </c>
      <c r="Y20" s="11">
        <v>1.6986462287604809E-4</v>
      </c>
      <c r="Z20" s="255">
        <v>0.18597881495952606</v>
      </c>
      <c r="AA20" s="11">
        <v>5.5188353871926665E-4</v>
      </c>
      <c r="AB20" s="69">
        <v>6.6814325749874115E-2</v>
      </c>
      <c r="AC20" s="143">
        <v>2.1701376885175705E-2</v>
      </c>
      <c r="AD20"/>
      <c r="AE20" s="144">
        <v>4.3339934200048447E-2</v>
      </c>
      <c r="AF20"/>
      <c r="AG20"/>
      <c r="AH20"/>
      <c r="AI20" s="146">
        <v>0.18383528292179108</v>
      </c>
      <c r="AJ20"/>
      <c r="AK20"/>
      <c r="AL20" s="215">
        <v>1.6924146562814713E-2</v>
      </c>
      <c r="AM20" s="252">
        <v>0.12249334156513214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3.5999999046325684</v>
      </c>
      <c r="C21">
        <v>2.4034206867218018</v>
      </c>
      <c r="D21"/>
      <c r="E21"/>
      <c r="F21"/>
      <c r="G21"/>
      <c r="H21"/>
      <c r="I21"/>
      <c r="J21"/>
      <c r="K21"/>
      <c r="L21"/>
      <c r="M21" s="11">
        <v>4.1518305079080164E-4</v>
      </c>
      <c r="N21" s="14">
        <v>3.9757960475981236E-3</v>
      </c>
      <c r="O21" s="11">
        <v>1.0690961971704382E-5</v>
      </c>
      <c r="P21" s="11">
        <v>1.3647596642840654E-4</v>
      </c>
      <c r="Q21" s="14">
        <v>9.2774480581283569E-3</v>
      </c>
      <c r="R21"/>
      <c r="S21" s="14">
        <v>3.9523104205727577E-3</v>
      </c>
      <c r="T21" s="11">
        <v>1.7717347946017981E-3</v>
      </c>
      <c r="U21" s="11">
        <v>1.2694654287770391E-4</v>
      </c>
      <c r="V21" s="11">
        <v>2.1830885671079159E-3</v>
      </c>
      <c r="W21" s="11">
        <v>8.319808985106647E-4</v>
      </c>
      <c r="X21" s="11">
        <v>8.9816807303577662E-4</v>
      </c>
      <c r="Y21" s="23">
        <v>1.9548943266272545E-2</v>
      </c>
      <c r="Z21" s="14">
        <v>6.2527037225663662E-3</v>
      </c>
      <c r="AA21" s="11">
        <v>8.5804506670683622E-4</v>
      </c>
      <c r="AB21" s="11">
        <v>6.0195400146767497E-4</v>
      </c>
      <c r="AC21" s="11">
        <v>3.9259088225662708E-4</v>
      </c>
      <c r="AD21" s="12">
        <v>1.4640099368989468E-2</v>
      </c>
      <c r="AE21"/>
      <c r="AF21"/>
      <c r="AG21"/>
      <c r="AH21" s="222">
        <v>0.72556197643280029</v>
      </c>
      <c r="AI21" s="257">
        <v>0.29177385568618774</v>
      </c>
      <c r="AJ21"/>
      <c r="AK21"/>
      <c r="AL21"/>
      <c r="AM21"/>
      <c r="AN21"/>
      <c r="AO21" s="25">
        <v>0.1133691594004631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3.5</v>
      </c>
      <c r="C22">
        <v>0.15187513828277588</v>
      </c>
      <c r="D22" s="23">
        <v>2.2103358060121536E-2</v>
      </c>
      <c r="E22" s="11">
        <v>9.8897959105670452E-5</v>
      </c>
      <c r="F22"/>
      <c r="G22" s="11">
        <v>1.5490775695070624E-3</v>
      </c>
      <c r="H22" s="11">
        <v>1.367623008263763E-5</v>
      </c>
      <c r="I22"/>
      <c r="J22"/>
      <c r="K22" s="11">
        <v>1.4983606888563372E-6</v>
      </c>
      <c r="L22"/>
      <c r="M22" s="14">
        <v>3.4857580903917551E-3</v>
      </c>
      <c r="N22" s="15">
        <v>3.3682484179735184E-2</v>
      </c>
      <c r="O22" s="11">
        <v>1.1015020572813228E-4</v>
      </c>
      <c r="P22" s="11">
        <v>1.133974059484899E-3</v>
      </c>
      <c r="Q22" s="65">
        <v>7.8197084367275238E-2</v>
      </c>
      <c r="R22" s="23">
        <v>1.8746525049209595E-2</v>
      </c>
      <c r="S22" s="14">
        <v>3.9054777007550001E-3</v>
      </c>
      <c r="T22" s="11">
        <v>1.8642143113538623E-3</v>
      </c>
      <c r="U22" s="11">
        <v>1.2502413301263005E-4</v>
      </c>
      <c r="V22" s="11">
        <v>2.1740999072790146E-3</v>
      </c>
      <c r="W22" s="11">
        <v>8.4441271610558033E-4</v>
      </c>
      <c r="X22" s="11">
        <v>8.4395171143114567E-4</v>
      </c>
      <c r="Y22"/>
      <c r="Z22" s="16">
        <v>5.4920993745326996E-2</v>
      </c>
      <c r="AA22" s="11">
        <v>8.1254937686026096E-4</v>
      </c>
      <c r="AB22" s="11">
        <v>5.9283839073032141E-4</v>
      </c>
      <c r="AC22" s="11">
        <v>3.9497346733696759E-4</v>
      </c>
      <c r="AD22" s="14">
        <v>6.3377581536769867E-3</v>
      </c>
      <c r="AE22" s="259">
        <v>2.9405901432037354</v>
      </c>
      <c r="AF22"/>
      <c r="AG22"/>
      <c r="AH22" s="17">
        <v>4.9872741103172302E-2</v>
      </c>
      <c r="AI22" s="12">
        <v>1.5788758173584938E-2</v>
      </c>
      <c r="AJ22"/>
      <c r="AK22"/>
      <c r="AL22"/>
      <c r="AM22"/>
      <c r="AN22"/>
      <c r="AO22" s="25">
        <v>0.10993463546037674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3.7599999904632568</v>
      </c>
      <c r="C23">
        <v>0.18800003826618195</v>
      </c>
      <c r="D23"/>
      <c r="E23"/>
      <c r="F23"/>
      <c r="G23"/>
      <c r="H23"/>
      <c r="I23"/>
      <c r="J23"/>
      <c r="K23"/>
      <c r="L23"/>
      <c r="M23"/>
      <c r="N23" s="14">
        <v>5.434913095086813E-3</v>
      </c>
      <c r="O23" s="11">
        <v>7.2488146543037146E-5</v>
      </c>
      <c r="P23" s="11">
        <v>3.9364723488688469E-4</v>
      </c>
      <c r="Q23" s="14">
        <v>5.6759468279778957E-3</v>
      </c>
      <c r="R23" s="11">
        <v>1.5303143300116062E-4</v>
      </c>
      <c r="S23" s="11">
        <v>4.0051261862572574E-7</v>
      </c>
      <c r="T23" s="11">
        <v>1.3556257181335241E-4</v>
      </c>
      <c r="U23" s="11">
        <v>3.0394811183214188E-3</v>
      </c>
      <c r="V23" s="11">
        <v>5.9937842888757586E-4</v>
      </c>
      <c r="W23" s="11">
        <v>2.9352598357945681E-4</v>
      </c>
      <c r="X23"/>
      <c r="Y23"/>
      <c r="Z23"/>
      <c r="AA23" s="11">
        <v>3.4846320886572357E-6</v>
      </c>
      <c r="AB23" s="11">
        <v>4.2089861381100491E-5</v>
      </c>
      <c r="AC23" s="11">
        <v>6.6547290771268308E-5</v>
      </c>
      <c r="AD23"/>
      <c r="AE23" s="11">
        <v>2.0821306388825178E-3</v>
      </c>
      <c r="AF23"/>
      <c r="AG23"/>
      <c r="AH23" s="21">
        <v>7.4993029236793518E-2</v>
      </c>
      <c r="AI23" s="262">
        <v>2.5391385555267334</v>
      </c>
      <c r="AJ23"/>
      <c r="AK23"/>
      <c r="AL23" s="261">
        <v>0.86835575103759766</v>
      </c>
      <c r="AM23" s="21">
        <v>7.1519725024700165E-2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0.35499998927116394</v>
      </c>
      <c r="C24">
        <v>0.29222121834754944</v>
      </c>
      <c r="D24"/>
      <c r="E24"/>
      <c r="F24"/>
      <c r="G24"/>
      <c r="H24"/>
      <c r="I24"/>
      <c r="J24"/>
      <c r="K24"/>
      <c r="L24"/>
      <c r="M24"/>
      <c r="N24"/>
      <c r="O24" s="11">
        <v>8.7564629211556166E-5</v>
      </c>
      <c r="P24" s="11">
        <v>3.1701344414614141E-4</v>
      </c>
      <c r="Q24" s="17">
        <v>4.5709745027124882E-3</v>
      </c>
      <c r="R24" s="14">
        <v>4.2567518539726734E-4</v>
      </c>
      <c r="S24" s="11">
        <v>2.2200963576324284E-4</v>
      </c>
      <c r="T24" s="14">
        <v>1.0161370737478137E-3</v>
      </c>
      <c r="U24" s="17">
        <v>4.6789161860942841E-3</v>
      </c>
      <c r="V24" s="22">
        <v>2.6303306221961975E-3</v>
      </c>
      <c r="W24" s="14">
        <v>8.5858820239081979E-4</v>
      </c>
      <c r="X24" s="11">
        <v>1.8533747061155736E-4</v>
      </c>
      <c r="Y24"/>
      <c r="Z24"/>
      <c r="AA24" s="14">
        <v>5.7040218962356448E-4</v>
      </c>
      <c r="AB24" s="11">
        <v>1.0271503560943529E-4</v>
      </c>
      <c r="AC24" s="14">
        <v>7.9316319897770882E-4</v>
      </c>
      <c r="AD24"/>
      <c r="AE24"/>
      <c r="AF24"/>
      <c r="AG24"/>
      <c r="AH24"/>
      <c r="AI24" s="70">
        <v>1.778111606836319E-2</v>
      </c>
      <c r="AJ24"/>
      <c r="AK24"/>
      <c r="AL24"/>
      <c r="AM24" s="257">
        <v>2.8538819402456284E-2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0.15000000596046448</v>
      </c>
      <c r="C25">
        <v>1.4999808045104146E-3</v>
      </c>
      <c r="D25" s="26">
        <v>3.6814580671489239E-3</v>
      </c>
      <c r="E25"/>
      <c r="F25"/>
      <c r="G25" s="66">
        <v>6.1507499776780605E-3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228">
        <v>0.13866782188415527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0.15000000596046448</v>
      </c>
      <c r="C26">
        <v>1.4999896520748734E-3</v>
      </c>
      <c r="D26" s="21">
        <v>2.8772840742021799E-3</v>
      </c>
      <c r="E26"/>
      <c r="F26"/>
      <c r="G26" s="218">
        <v>2.675042487680912E-2</v>
      </c>
      <c r="H26" s="14">
        <v>2.2662557603325695E-4</v>
      </c>
      <c r="I26" s="23">
        <v>9.2827813932672143E-4</v>
      </c>
      <c r="J26"/>
      <c r="K26" s="225">
        <v>1.4535722322762012E-2</v>
      </c>
      <c r="L26" s="14">
        <v>2.2662557603325695E-4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140">
        <v>0.10295505821704865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5.5</v>
      </c>
      <c r="C27">
        <v>0.27499940991401672</v>
      </c>
      <c r="D27"/>
      <c r="E27"/>
      <c r="F27"/>
      <c r="G27"/>
      <c r="H27"/>
      <c r="I27"/>
      <c r="J27"/>
      <c r="K27"/>
      <c r="L27"/>
      <c r="M27" s="14">
        <v>6.2345806509256363E-3</v>
      </c>
      <c r="N27"/>
      <c r="O27" s="11">
        <v>5.4636970162391663E-4</v>
      </c>
      <c r="P27" s="11">
        <v>3.4592305310070515E-3</v>
      </c>
      <c r="Q27" s="215">
        <v>0.12638261914253235</v>
      </c>
      <c r="R27" s="14">
        <v>1.2659076601266861E-2</v>
      </c>
      <c r="S27" s="11">
        <v>1.921060960739851E-3</v>
      </c>
      <c r="T27" s="14">
        <v>1.2104219757020473E-2</v>
      </c>
      <c r="U27" s="12">
        <v>2.3315165191888809E-2</v>
      </c>
      <c r="V27" s="11">
        <v>4.6486840583384037E-3</v>
      </c>
      <c r="W27" s="11">
        <v>4.5774062164127827E-4</v>
      </c>
      <c r="X27" s="14">
        <v>5.4263481870293617E-3</v>
      </c>
      <c r="Y27" s="145">
        <v>1.3793042898178101</v>
      </c>
      <c r="Z27" s="16">
        <v>8.3939544856548309E-2</v>
      </c>
      <c r="AA27" s="11">
        <v>4.5107193291187286E-3</v>
      </c>
      <c r="AB27" s="12">
        <v>2.4995196610689163E-2</v>
      </c>
      <c r="AC27" s="12">
        <v>1.7856653779745102E-2</v>
      </c>
      <c r="AD27"/>
      <c r="AE27" s="143">
        <v>0.15693780779838562</v>
      </c>
      <c r="AF27"/>
      <c r="AG27"/>
      <c r="AH27"/>
      <c r="AI27" s="260">
        <v>2.7293050289154053</v>
      </c>
      <c r="AJ27"/>
      <c r="AK27"/>
      <c r="AL27" s="19">
        <v>9.1925770044326782E-2</v>
      </c>
      <c r="AM27" s="258">
        <v>0.53907036781311035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4.5999999046325684</v>
      </c>
      <c r="C28">
        <v>2.9473457336425781</v>
      </c>
      <c r="D28"/>
      <c r="E28"/>
      <c r="F28"/>
      <c r="G28" s="11">
        <v>3.7029047234682366E-5</v>
      </c>
      <c r="H28"/>
      <c r="I28"/>
      <c r="J28"/>
      <c r="K28"/>
      <c r="L28"/>
      <c r="M28"/>
      <c r="N28"/>
      <c r="O28" s="12">
        <v>2.2319119423627853E-2</v>
      </c>
      <c r="P28" s="12">
        <v>1.6175864264369011E-2</v>
      </c>
      <c r="Q28" s="249">
        <v>0.67467975616455078</v>
      </c>
      <c r="R28" s="14">
        <v>4.8089665360748768E-3</v>
      </c>
      <c r="S28" s="11">
        <v>4.8686564696254209E-5</v>
      </c>
      <c r="T28" s="11">
        <v>1.5411602798849344E-3</v>
      </c>
      <c r="U28"/>
      <c r="V28" s="11">
        <v>3.4235140774399042E-3</v>
      </c>
      <c r="W28"/>
      <c r="X28"/>
      <c r="Y28"/>
      <c r="Z28"/>
      <c r="AA28" s="11">
        <v>5.5978394811972976E-4</v>
      </c>
      <c r="AB28"/>
      <c r="AC28"/>
      <c r="AD28"/>
      <c r="AE28"/>
      <c r="AF28"/>
      <c r="AG28"/>
      <c r="AH28"/>
      <c r="AI28" s="253">
        <v>0.87017911672592163</v>
      </c>
      <c r="AJ28"/>
      <c r="AK28"/>
      <c r="AL28"/>
      <c r="AM28" s="17">
        <v>5.8881226927042007E-2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17.299999237060547</v>
      </c>
      <c r="C29">
        <v>5.7852754592895508</v>
      </c>
      <c r="D29"/>
      <c r="E29"/>
      <c r="F29"/>
      <c r="G29"/>
      <c r="H29"/>
      <c r="I29"/>
      <c r="J29"/>
      <c r="K29"/>
      <c r="L29"/>
      <c r="M29" s="11">
        <v>1.9934177544200793E-6</v>
      </c>
      <c r="N29"/>
      <c r="O29"/>
      <c r="P29"/>
      <c r="Q29"/>
      <c r="R29"/>
      <c r="S29"/>
      <c r="T29" s="11">
        <v>4.5486835915653501E-6</v>
      </c>
      <c r="U29" s="11">
        <v>5.8665173128247261E-6</v>
      </c>
      <c r="V29"/>
      <c r="W29"/>
      <c r="X29" s="11">
        <v>2.0849825523328036E-4</v>
      </c>
      <c r="Y29" s="11">
        <v>5.9328125789761543E-3</v>
      </c>
      <c r="Z29" s="11">
        <v>2.2613718174397945E-3</v>
      </c>
      <c r="AA29" s="11">
        <v>2.4782755190244643E-6</v>
      </c>
      <c r="AB29" s="11">
        <v>2.642691251821816E-4</v>
      </c>
      <c r="AC29"/>
      <c r="AD29" s="23">
        <v>9.7295135259628296E-2</v>
      </c>
      <c r="AE29" s="14">
        <v>1.7710540443658829E-2</v>
      </c>
      <c r="AF29" s="263">
        <v>1.507355809211731</v>
      </c>
      <c r="AG29" s="14">
        <v>4.9791548401117325E-2</v>
      </c>
      <c r="AH29" s="264">
        <v>2.5155701637268066</v>
      </c>
      <c r="AI29" s="23">
        <v>9.4385191798210144E-2</v>
      </c>
      <c r="AJ29" s="11">
        <v>9.9643943940463942E-7</v>
      </c>
      <c r="AK29" s="11">
        <v>3.3552037166373339E-6</v>
      </c>
      <c r="AL29" s="23">
        <v>8.6183056235313416E-2</v>
      </c>
      <c r="AM29"/>
      <c r="AN29" s="15">
        <v>0.17327326536178589</v>
      </c>
      <c r="AO29" s="265">
        <v>6.964472770690918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8.6999998092651367</v>
      </c>
      <c r="C30">
        <v>7.3738727569580078</v>
      </c>
      <c r="D30"/>
      <c r="E30"/>
      <c r="F30"/>
      <c r="G30"/>
      <c r="H30"/>
      <c r="I30"/>
      <c r="J30"/>
      <c r="K30"/>
      <c r="L30"/>
      <c r="M30" s="11">
        <v>8.2748765635187738E-6</v>
      </c>
      <c r="N30" s="14">
        <v>9.8411319777369499E-3</v>
      </c>
      <c r="O30"/>
      <c r="P30"/>
      <c r="Q30"/>
      <c r="R30" s="11">
        <v>6.9081484980415553E-5</v>
      </c>
      <c r="S30" s="11">
        <v>1.6011309753594105E-6</v>
      </c>
      <c r="T30" s="11">
        <v>5.9478427283465862E-4</v>
      </c>
      <c r="U30" s="11">
        <v>6.0881237732246518E-4</v>
      </c>
      <c r="V30" s="11">
        <v>1.8874945817515254E-4</v>
      </c>
      <c r="W30" s="11">
        <v>8.8582455646246672E-5</v>
      </c>
      <c r="X30"/>
      <c r="Y30"/>
      <c r="Z30" s="11">
        <v>2.6423174422234297E-3</v>
      </c>
      <c r="AA30"/>
      <c r="AB30" s="11">
        <v>2.0785406231880188E-3</v>
      </c>
      <c r="AC30" s="11">
        <v>8.1939206211245619E-6</v>
      </c>
      <c r="AD30"/>
      <c r="AE30" s="11">
        <v>2.8276240918785334E-3</v>
      </c>
      <c r="AF30" s="14">
        <v>1.1233726516366005E-2</v>
      </c>
      <c r="AG30" s="11">
        <v>3.7213112227618694E-4</v>
      </c>
      <c r="AH30"/>
      <c r="AI30" s="143">
        <v>0.24787496030330658</v>
      </c>
      <c r="AJ30" s="11">
        <v>2.026796864811331E-4</v>
      </c>
      <c r="AK30" s="11">
        <v>1.3927787222201005E-5</v>
      </c>
      <c r="AL30" s="233">
        <v>0.98272073268890381</v>
      </c>
      <c r="AM30" s="22">
        <v>6.4751267433166504E-2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42.799999237060547</v>
      </c>
      <c r="C31">
        <v>6.7585268020629883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 s="14">
        <v>8.4568887948989868E-2</v>
      </c>
      <c r="AG31" s="11">
        <v>2.7001923881471157E-3</v>
      </c>
      <c r="AH31"/>
      <c r="AI31"/>
      <c r="AJ31"/>
      <c r="AK31"/>
      <c r="AL31"/>
      <c r="AM31"/>
      <c r="AN31" s="259">
        <v>35.954204559326172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0.7191886305809021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9">
        <v>4.6445077168755233E-4</v>
      </c>
      <c r="AD32"/>
      <c r="AE32" s="9">
        <v>1.8164657056331635E-2</v>
      </c>
      <c r="AF32" s="9">
        <v>0.21649636328220367</v>
      </c>
      <c r="AG32" s="9">
        <v>8.640616200864315E-3</v>
      </c>
      <c r="AH32"/>
      <c r="AI32"/>
      <c r="AJ32"/>
      <c r="AK32"/>
      <c r="AL32"/>
      <c r="AM32"/>
      <c r="AN32" s="9">
        <v>1150.5345458984375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192</v>
      </c>
      <c r="E5">
        <v>4</v>
      </c>
      <c r="F5">
        <v>3.13</v>
      </c>
      <c r="G5">
        <v>4</v>
      </c>
      <c r="H5" s="197" t="s">
        <v>192</v>
      </c>
      <c r="J5" s="57"/>
      <c r="K5" s="58"/>
    </row>
    <row r="6" spans="1:12" ht="14" thickBot="1" x14ac:dyDescent="0.2">
      <c r="A6" s="41" t="s">
        <v>121</v>
      </c>
      <c r="D6" s="196" t="s">
        <v>193</v>
      </c>
      <c r="E6">
        <v>5</v>
      </c>
      <c r="F6">
        <v>3.13</v>
      </c>
      <c r="G6">
        <v>5</v>
      </c>
      <c r="H6" s="197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194</v>
      </c>
      <c r="E7">
        <v>6</v>
      </c>
      <c r="F7">
        <v>3.13</v>
      </c>
      <c r="G7">
        <v>6</v>
      </c>
      <c r="H7" s="197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195</v>
      </c>
      <c r="E8">
        <v>7</v>
      </c>
      <c r="F8">
        <v>3.13</v>
      </c>
      <c r="G8">
        <v>7</v>
      </c>
      <c r="H8" s="197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196</v>
      </c>
      <c r="E9">
        <v>8</v>
      </c>
      <c r="F9">
        <v>3.13</v>
      </c>
      <c r="G9">
        <v>8</v>
      </c>
      <c r="H9" s="197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197</v>
      </c>
      <c r="E10">
        <v>9</v>
      </c>
      <c r="F10">
        <v>3.12</v>
      </c>
      <c r="G10">
        <v>9</v>
      </c>
      <c r="H10" s="197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198</v>
      </c>
      <c r="E11">
        <v>10</v>
      </c>
      <c r="F11">
        <v>3.12</v>
      </c>
      <c r="G11">
        <v>10</v>
      </c>
      <c r="H11" s="197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199</v>
      </c>
      <c r="E12">
        <v>11</v>
      </c>
      <c r="F12">
        <v>3.12</v>
      </c>
      <c r="G12">
        <v>11</v>
      </c>
      <c r="H12" s="197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200</v>
      </c>
      <c r="E13">
        <v>12</v>
      </c>
      <c r="F13">
        <v>3.12</v>
      </c>
      <c r="G13">
        <v>12</v>
      </c>
      <c r="H13" s="197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201</v>
      </c>
      <c r="E14">
        <v>13</v>
      </c>
      <c r="F14">
        <v>3.12</v>
      </c>
      <c r="G14">
        <v>13</v>
      </c>
      <c r="H14" s="197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202</v>
      </c>
      <c r="E15">
        <v>14</v>
      </c>
      <c r="F15">
        <v>3.12</v>
      </c>
      <c r="G15">
        <v>14</v>
      </c>
      <c r="H15" s="197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203</v>
      </c>
      <c r="E16">
        <v>15</v>
      </c>
      <c r="F16">
        <v>3.12</v>
      </c>
      <c r="G16">
        <v>15</v>
      </c>
      <c r="H16" s="197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204</v>
      </c>
      <c r="E17">
        <v>16</v>
      </c>
      <c r="F17">
        <v>3.1</v>
      </c>
      <c r="G17">
        <v>16</v>
      </c>
      <c r="H17" s="197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205</v>
      </c>
      <c r="E18">
        <v>17</v>
      </c>
      <c r="F18">
        <v>3.12</v>
      </c>
      <c r="G18">
        <v>17</v>
      </c>
      <c r="H18" s="197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206</v>
      </c>
      <c r="E19">
        <v>18</v>
      </c>
      <c r="F19">
        <v>3.12</v>
      </c>
      <c r="G19">
        <v>18</v>
      </c>
      <c r="H19" s="197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207</v>
      </c>
      <c r="E20">
        <v>19</v>
      </c>
      <c r="F20">
        <v>3.12</v>
      </c>
      <c r="G20">
        <v>19</v>
      </c>
      <c r="H20" s="197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208</v>
      </c>
      <c r="E21">
        <v>20</v>
      </c>
      <c r="F21">
        <v>3.12</v>
      </c>
      <c r="G21">
        <v>20</v>
      </c>
      <c r="H21" s="197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209</v>
      </c>
      <c r="E22">
        <v>21</v>
      </c>
      <c r="F22">
        <v>3.12</v>
      </c>
      <c r="G22">
        <v>21</v>
      </c>
      <c r="H22" s="197" t="s">
        <v>209</v>
      </c>
    </row>
    <row r="23" spans="1:12" x14ac:dyDescent="0.15">
      <c r="A23" s="36" t="s">
        <v>129</v>
      </c>
      <c r="B23" s="44">
        <v>4</v>
      </c>
      <c r="C23" s="38"/>
      <c r="D23" s="196" t="s">
        <v>210</v>
      </c>
      <c r="E23">
        <v>22</v>
      </c>
      <c r="F23">
        <v>3</v>
      </c>
      <c r="G23">
        <v>22</v>
      </c>
      <c r="H23" s="197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211</v>
      </c>
      <c r="E24">
        <v>23</v>
      </c>
      <c r="F24">
        <v>3.1</v>
      </c>
      <c r="G24">
        <v>23</v>
      </c>
      <c r="H24" s="197" t="s">
        <v>211</v>
      </c>
    </row>
    <row r="25" spans="1:12" x14ac:dyDescent="0.15">
      <c r="A25" s="36" t="s">
        <v>70</v>
      </c>
      <c r="B25" s="44">
        <v>4.2</v>
      </c>
      <c r="C25" s="38"/>
      <c r="D25" s="196" t="s">
        <v>212</v>
      </c>
      <c r="E25">
        <v>24</v>
      </c>
      <c r="F25">
        <v>3.1</v>
      </c>
      <c r="G25">
        <v>24</v>
      </c>
      <c r="H25" s="197" t="s">
        <v>212</v>
      </c>
    </row>
    <row r="26" spans="1:12" x14ac:dyDescent="0.15">
      <c r="A26" s="36" t="s">
        <v>123</v>
      </c>
      <c r="B26" s="44">
        <v>4.3</v>
      </c>
      <c r="C26" s="38"/>
      <c r="D26" s="196" t="s">
        <v>213</v>
      </c>
      <c r="E26">
        <v>25</v>
      </c>
      <c r="F26">
        <v>3.12</v>
      </c>
      <c r="G26">
        <v>25</v>
      </c>
      <c r="H26" s="197" t="s">
        <v>213</v>
      </c>
    </row>
    <row r="27" spans="1:12" x14ac:dyDescent="0.15">
      <c r="A27" s="36" t="s">
        <v>125</v>
      </c>
      <c r="B27" s="44">
        <v>6.1</v>
      </c>
      <c r="D27" s="196" t="s">
        <v>214</v>
      </c>
      <c r="E27">
        <v>26</v>
      </c>
      <c r="F27">
        <v>3.12</v>
      </c>
      <c r="G27">
        <v>26</v>
      </c>
      <c r="H27" s="197" t="s">
        <v>214</v>
      </c>
    </row>
    <row r="28" spans="1:12" x14ac:dyDescent="0.15">
      <c r="A28" s="36" t="s">
        <v>124</v>
      </c>
      <c r="B28" s="44">
        <v>6.2</v>
      </c>
      <c r="D28" s="196" t="s">
        <v>215</v>
      </c>
      <c r="E28">
        <v>27</v>
      </c>
      <c r="F28">
        <v>3.12</v>
      </c>
      <c r="G28">
        <v>27</v>
      </c>
      <c r="H28" s="197" t="s">
        <v>215</v>
      </c>
    </row>
    <row r="29" spans="1:12" x14ac:dyDescent="0.15">
      <c r="A29" s="36" t="s">
        <v>44</v>
      </c>
      <c r="B29" s="44">
        <v>5</v>
      </c>
      <c r="D29" s="196" t="s">
        <v>216</v>
      </c>
      <c r="E29">
        <v>28</v>
      </c>
      <c r="F29">
        <v>3.12</v>
      </c>
      <c r="G29">
        <v>28</v>
      </c>
      <c r="H29" s="197" t="s">
        <v>216</v>
      </c>
    </row>
    <row r="30" spans="1:12" x14ac:dyDescent="0.15">
      <c r="A30" s="36" t="s">
        <v>73</v>
      </c>
      <c r="B30" s="44">
        <v>7</v>
      </c>
      <c r="D30" s="196" t="s">
        <v>217</v>
      </c>
      <c r="E30">
        <v>29</v>
      </c>
      <c r="F30">
        <v>3.12</v>
      </c>
      <c r="G30">
        <v>29</v>
      </c>
      <c r="H30" s="197" t="s">
        <v>217</v>
      </c>
    </row>
    <row r="31" spans="1:12" x14ac:dyDescent="0.15">
      <c r="A31" s="36" t="s">
        <v>169</v>
      </c>
      <c r="B31" s="44">
        <v>3.14</v>
      </c>
      <c r="D31" s="196" t="s">
        <v>218</v>
      </c>
      <c r="E31">
        <v>30</v>
      </c>
      <c r="F31">
        <v>3.12</v>
      </c>
      <c r="G31">
        <v>30</v>
      </c>
      <c r="H31" s="197" t="s">
        <v>218</v>
      </c>
    </row>
    <row r="32" spans="1:12" ht="12" customHeight="1" thickBot="1" x14ac:dyDescent="0.2">
      <c r="A32" s="42" t="s">
        <v>170</v>
      </c>
      <c r="B32" s="45">
        <v>9</v>
      </c>
      <c r="D32" s="196" t="s">
        <v>219</v>
      </c>
      <c r="E32">
        <v>31</v>
      </c>
      <c r="F32">
        <v>3.11</v>
      </c>
      <c r="G32">
        <v>31</v>
      </c>
      <c r="H32" s="197" t="s">
        <v>219</v>
      </c>
    </row>
    <row r="33" spans="4:8" customFormat="1" ht="12" customHeight="1" x14ac:dyDescent="0.15">
      <c r="D33" s="196" t="s">
        <v>220</v>
      </c>
      <c r="E33">
        <v>32</v>
      </c>
      <c r="F33">
        <v>3.11</v>
      </c>
      <c r="G33">
        <v>32</v>
      </c>
      <c r="H33" s="197" t="s">
        <v>220</v>
      </c>
    </row>
    <row r="34" spans="4:8" customFormat="1" ht="12" customHeight="1" x14ac:dyDescent="0.15">
      <c r="D34" s="196" t="s">
        <v>221</v>
      </c>
      <c r="E34">
        <v>33</v>
      </c>
      <c r="F34">
        <v>2</v>
      </c>
      <c r="G34">
        <v>33</v>
      </c>
      <c r="H34" s="197" t="s">
        <v>221</v>
      </c>
    </row>
    <row r="35" spans="4:8" customFormat="1" x14ac:dyDescent="0.15">
      <c r="D35" s="196" t="s">
        <v>222</v>
      </c>
      <c r="E35">
        <v>34</v>
      </c>
      <c r="F35">
        <v>4.0999999999999996</v>
      </c>
      <c r="G35">
        <v>34</v>
      </c>
      <c r="H35" s="197" t="s">
        <v>222</v>
      </c>
    </row>
    <row r="36" spans="4:8" customFormat="1" x14ac:dyDescent="0.15">
      <c r="D36" s="196" t="s">
        <v>223</v>
      </c>
      <c r="E36">
        <v>35</v>
      </c>
      <c r="F36">
        <v>4.3</v>
      </c>
      <c r="G36">
        <v>35</v>
      </c>
      <c r="H36" s="197" t="s">
        <v>223</v>
      </c>
    </row>
    <row r="37" spans="4:8" customFormat="1" ht="12" customHeight="1" x14ac:dyDescent="0.15">
      <c r="D37" s="196" t="s">
        <v>224</v>
      </c>
      <c r="E37">
        <v>36</v>
      </c>
      <c r="F37">
        <v>5</v>
      </c>
      <c r="G37">
        <v>36</v>
      </c>
      <c r="H37" s="197" t="s">
        <v>224</v>
      </c>
    </row>
    <row r="38" spans="4:8" customFormat="1" x14ac:dyDescent="0.15">
      <c r="D38" s="196" t="s">
        <v>225</v>
      </c>
      <c r="E38">
        <v>37</v>
      </c>
      <c r="F38">
        <v>5</v>
      </c>
      <c r="G38">
        <v>37</v>
      </c>
      <c r="H38" s="197" t="s">
        <v>225</v>
      </c>
    </row>
    <row r="39" spans="4:8" customFormat="1" x14ac:dyDescent="0.15">
      <c r="D39" s="196" t="s">
        <v>226</v>
      </c>
      <c r="E39">
        <v>38</v>
      </c>
      <c r="F39">
        <v>5</v>
      </c>
      <c r="G39">
        <v>38</v>
      </c>
      <c r="H39" s="197" t="s">
        <v>226</v>
      </c>
    </row>
    <row r="40" spans="4:8" customFormat="1" x14ac:dyDescent="0.15">
      <c r="D40" s="196" t="s">
        <v>227</v>
      </c>
      <c r="E40">
        <v>39</v>
      </c>
      <c r="F40">
        <v>5</v>
      </c>
      <c r="G40">
        <v>39</v>
      </c>
      <c r="H40" s="197" t="s">
        <v>227</v>
      </c>
    </row>
    <row r="41" spans="4:8" customFormat="1" x14ac:dyDescent="0.15">
      <c r="D41" s="196" t="s">
        <v>228</v>
      </c>
      <c r="E41">
        <v>40</v>
      </c>
      <c r="F41">
        <v>5</v>
      </c>
      <c r="G41">
        <v>40</v>
      </c>
      <c r="H41" s="197" t="s">
        <v>228</v>
      </c>
    </row>
    <row r="42" spans="4:8" customFormat="1" x14ac:dyDescent="0.15">
      <c r="D42" s="196" t="s">
        <v>229</v>
      </c>
      <c r="E42">
        <v>41</v>
      </c>
      <c r="F42">
        <v>5</v>
      </c>
      <c r="G42">
        <v>41</v>
      </c>
      <c r="H42" s="197" t="s">
        <v>229</v>
      </c>
    </row>
    <row r="43" spans="4:8" customFormat="1" x14ac:dyDescent="0.15">
      <c r="D43" s="196" t="s">
        <v>230</v>
      </c>
      <c r="E43">
        <v>42</v>
      </c>
      <c r="F43">
        <v>5</v>
      </c>
      <c r="G43">
        <v>42</v>
      </c>
      <c r="H43" s="197" t="s">
        <v>230</v>
      </c>
    </row>
    <row r="44" spans="4:8" customFormat="1" x14ac:dyDescent="0.15">
      <c r="D44" s="196" t="s">
        <v>231</v>
      </c>
      <c r="E44">
        <v>43</v>
      </c>
      <c r="F44">
        <v>5</v>
      </c>
      <c r="G44">
        <v>43</v>
      </c>
      <c r="H44" s="197" t="s">
        <v>231</v>
      </c>
    </row>
    <row r="45" spans="4:8" customFormat="1" x14ac:dyDescent="0.15">
      <c r="D45" s="196" t="s">
        <v>232</v>
      </c>
      <c r="E45">
        <v>44</v>
      </c>
      <c r="F45">
        <v>5</v>
      </c>
      <c r="G45">
        <v>44</v>
      </c>
      <c r="H45" s="197" t="s">
        <v>232</v>
      </c>
    </row>
    <row r="46" spans="4:8" customFormat="1" x14ac:dyDescent="0.15">
      <c r="D46" s="196" t="s">
        <v>138</v>
      </c>
      <c r="E46">
        <v>45</v>
      </c>
      <c r="F46">
        <v>6.1</v>
      </c>
      <c r="G46">
        <v>45</v>
      </c>
      <c r="H46" s="197" t="s">
        <v>138</v>
      </c>
    </row>
    <row r="47" spans="4:8" customFormat="1" x14ac:dyDescent="0.15">
      <c r="D47" s="196" t="s">
        <v>45</v>
      </c>
      <c r="E47">
        <v>46</v>
      </c>
      <c r="F47">
        <v>6.2</v>
      </c>
      <c r="G47">
        <v>46</v>
      </c>
      <c r="H47" s="197" t="s">
        <v>45</v>
      </c>
    </row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3.83203125" style="81" customWidth="1"/>
    <col min="3" max="3" width="13.1640625" style="81" customWidth="1"/>
    <col min="4" max="4" width="39.6640625" style="81" customWidth="1"/>
    <col min="5" max="5" width="8.1640625" style="81" customWidth="1"/>
    <col min="6" max="6" width="24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2" customWidth="1"/>
    <col min="17" max="17" width="2.33203125" style="81" customWidth="1"/>
    <col min="18" max="18" width="2.33203125" style="73" customWidth="1"/>
    <col min="19" max="16384" width="11.5" style="81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3" t="s">
        <v>48</v>
      </c>
      <c r="L1" s="73"/>
      <c r="M1" s="83" t="s">
        <v>119</v>
      </c>
      <c r="N1" s="73"/>
      <c r="O1" s="83" t="s">
        <v>49</v>
      </c>
      <c r="P1" s="76"/>
      <c r="Q1" s="83" t="s">
        <v>50</v>
      </c>
      <c r="R1" s="71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0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0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8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1</v>
      </c>
      <c r="M6" s="81">
        <v>0</v>
      </c>
      <c r="N6" s="81">
        <v>1</v>
      </c>
      <c r="O6" s="81">
        <v>0</v>
      </c>
      <c r="P6" s="72">
        <v>1</v>
      </c>
      <c r="Q6" s="81">
        <v>0</v>
      </c>
      <c r="R6" s="73">
        <v>1</v>
      </c>
      <c r="S6"/>
      <c r="T6"/>
    </row>
    <row r="7" spans="1:23" ht="15" customHeight="1" thickBot="1" x14ac:dyDescent="0.2">
      <c r="F7" s="198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2">
        <v>0</v>
      </c>
      <c r="Q7" s="81">
        <v>0</v>
      </c>
      <c r="R7" s="73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9" t="s">
        <v>221</v>
      </c>
      <c r="D8" s="85" t="s">
        <v>160</v>
      </c>
      <c r="F8" s="198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0</v>
      </c>
      <c r="L8" s="81">
        <v>1</v>
      </c>
      <c r="M8" s="81">
        <v>0</v>
      </c>
      <c r="N8" s="81">
        <v>1</v>
      </c>
      <c r="O8" s="81">
        <v>0</v>
      </c>
      <c r="P8" s="72">
        <v>1</v>
      </c>
      <c r="Q8" s="81">
        <v>0</v>
      </c>
      <c r="R8" s="73">
        <v>1</v>
      </c>
      <c r="S8"/>
      <c r="T8"/>
      <c r="W8"/>
    </row>
    <row r="9" spans="1:23" ht="15" customHeight="1" x14ac:dyDescent="0.15">
      <c r="A9" s="124" t="s">
        <v>168</v>
      </c>
      <c r="B9" s="92"/>
      <c r="C9" s="80"/>
      <c r="D9" s="85" t="s">
        <v>160</v>
      </c>
      <c r="F9" s="198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0</v>
      </c>
      <c r="L9" s="81">
        <v>1</v>
      </c>
      <c r="M9" s="81">
        <v>0</v>
      </c>
      <c r="N9" s="81">
        <v>1</v>
      </c>
      <c r="O9" s="81">
        <v>0</v>
      </c>
      <c r="P9" s="72">
        <v>1</v>
      </c>
      <c r="Q9" s="81">
        <v>0</v>
      </c>
      <c r="R9" s="73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8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2">
        <v>0</v>
      </c>
      <c r="Q10" s="81">
        <v>0</v>
      </c>
      <c r="R10" s="73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8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2">
        <v>0</v>
      </c>
      <c r="Q11" s="81">
        <v>0</v>
      </c>
      <c r="R11" s="73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8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0</v>
      </c>
      <c r="L12" s="81">
        <v>1</v>
      </c>
      <c r="M12" s="81">
        <v>0</v>
      </c>
      <c r="N12" s="81">
        <v>1</v>
      </c>
      <c r="O12" s="81">
        <v>0</v>
      </c>
      <c r="P12" s="72">
        <v>1</v>
      </c>
      <c r="Q12" s="81">
        <v>0</v>
      </c>
      <c r="R12" s="73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8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2">
        <v>0</v>
      </c>
      <c r="Q13" s="81">
        <v>0</v>
      </c>
      <c r="R13" s="73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8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2">
        <v>0</v>
      </c>
      <c r="Q14" s="81">
        <v>0</v>
      </c>
      <c r="R14" s="73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8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1</v>
      </c>
      <c r="M15" s="81">
        <v>0</v>
      </c>
      <c r="N15" s="81">
        <v>1</v>
      </c>
      <c r="O15" s="81">
        <v>0</v>
      </c>
      <c r="P15" s="72">
        <v>1</v>
      </c>
      <c r="Q15" s="81">
        <v>0</v>
      </c>
      <c r="R15" s="73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8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0</v>
      </c>
      <c r="L16" s="81">
        <v>1</v>
      </c>
      <c r="M16" s="81">
        <v>0</v>
      </c>
      <c r="N16" s="81">
        <v>1</v>
      </c>
      <c r="O16" s="81">
        <v>0</v>
      </c>
      <c r="P16" s="72">
        <v>1</v>
      </c>
      <c r="Q16" s="81">
        <v>0</v>
      </c>
      <c r="R16" s="73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8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2">
        <v>0</v>
      </c>
      <c r="Q17" s="81">
        <v>0</v>
      </c>
      <c r="R17" s="73">
        <v>1</v>
      </c>
      <c r="S17"/>
      <c r="T17"/>
    </row>
    <row r="18" spans="1:20" ht="15" customHeight="1" thickBot="1" x14ac:dyDescent="0.2">
      <c r="B18" s="93"/>
      <c r="F18" s="198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0</v>
      </c>
      <c r="L18" s="81">
        <v>1</v>
      </c>
      <c r="M18" s="81">
        <v>0</v>
      </c>
      <c r="N18" s="81">
        <v>1</v>
      </c>
      <c r="O18" s="81">
        <v>0</v>
      </c>
      <c r="P18" s="72">
        <v>1</v>
      </c>
      <c r="Q18" s="81">
        <v>0</v>
      </c>
      <c r="R18" s="73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200" t="s">
        <v>221</v>
      </c>
      <c r="D19" s="85" t="s">
        <v>160</v>
      </c>
      <c r="F19" s="198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0</v>
      </c>
      <c r="L19" s="81">
        <v>1</v>
      </c>
      <c r="M19" s="81">
        <v>0</v>
      </c>
      <c r="N19" s="81">
        <v>1</v>
      </c>
      <c r="O19" s="81">
        <v>0</v>
      </c>
      <c r="P19" s="72">
        <v>1</v>
      </c>
      <c r="Q19" s="81">
        <v>0</v>
      </c>
      <c r="R19" s="73">
        <v>1</v>
      </c>
      <c r="S19"/>
      <c r="T19"/>
    </row>
    <row r="20" spans="1:20" ht="15" customHeight="1" x14ac:dyDescent="0.15">
      <c r="A20" s="124" t="s">
        <v>168</v>
      </c>
      <c r="B20" s="92"/>
      <c r="C20" s="80"/>
      <c r="D20" s="85" t="s">
        <v>160</v>
      </c>
      <c r="F20" s="198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2">
        <v>0</v>
      </c>
      <c r="Q20" s="81">
        <v>0</v>
      </c>
      <c r="R20" s="73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8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0</v>
      </c>
      <c r="L21" s="81">
        <v>1</v>
      </c>
      <c r="M21" s="81">
        <v>0</v>
      </c>
      <c r="N21" s="81">
        <v>1</v>
      </c>
      <c r="O21" s="81">
        <v>0</v>
      </c>
      <c r="P21" s="72">
        <v>1</v>
      </c>
      <c r="Q21" s="81">
        <v>0</v>
      </c>
      <c r="R21" s="73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8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0</v>
      </c>
      <c r="L22" s="81">
        <v>1</v>
      </c>
      <c r="M22" s="81">
        <v>0</v>
      </c>
      <c r="N22" s="81">
        <v>1</v>
      </c>
      <c r="O22" s="81">
        <v>0</v>
      </c>
      <c r="P22" s="72">
        <v>1</v>
      </c>
      <c r="Q22" s="81">
        <v>0</v>
      </c>
      <c r="R22" s="73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8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2">
        <v>0</v>
      </c>
      <c r="Q23" s="81">
        <v>0</v>
      </c>
      <c r="R23" s="73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8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0</v>
      </c>
      <c r="L24" s="81">
        <v>1</v>
      </c>
      <c r="M24" s="81">
        <v>0</v>
      </c>
      <c r="N24" s="81">
        <v>1</v>
      </c>
      <c r="O24" s="81">
        <v>0</v>
      </c>
      <c r="P24" s="72">
        <v>1</v>
      </c>
      <c r="Q24" s="81">
        <v>0</v>
      </c>
      <c r="R24" s="73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8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0</v>
      </c>
      <c r="L25" s="81">
        <v>1</v>
      </c>
      <c r="M25" s="81">
        <v>0</v>
      </c>
      <c r="N25" s="81">
        <v>1</v>
      </c>
      <c r="O25" s="81">
        <v>0</v>
      </c>
      <c r="P25" s="72">
        <v>1</v>
      </c>
      <c r="Q25" s="81">
        <v>0</v>
      </c>
      <c r="R25" s="73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8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2">
        <v>0</v>
      </c>
      <c r="Q26" s="81">
        <v>0</v>
      </c>
      <c r="R26" s="73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8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2">
        <v>0</v>
      </c>
      <c r="Q27" s="81">
        <v>0</v>
      </c>
      <c r="R27" s="73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8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2">
        <v>0</v>
      </c>
      <c r="Q28" s="81">
        <v>0</v>
      </c>
      <c r="R28" s="73">
        <v>1</v>
      </c>
      <c r="S28"/>
      <c r="T28"/>
    </row>
    <row r="29" spans="1:20" ht="15" customHeight="1" x14ac:dyDescent="0.15">
      <c r="F29" s="198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0</v>
      </c>
      <c r="L29" s="81">
        <v>1</v>
      </c>
      <c r="M29" s="81">
        <v>0</v>
      </c>
      <c r="N29" s="81">
        <v>1</v>
      </c>
      <c r="O29" s="81">
        <v>0</v>
      </c>
      <c r="P29" s="72">
        <v>1</v>
      </c>
      <c r="Q29" s="81">
        <v>0</v>
      </c>
      <c r="R29" s="73">
        <v>1</v>
      </c>
      <c r="S29"/>
      <c r="T29"/>
    </row>
    <row r="30" spans="1:20" ht="15" customHeight="1" x14ac:dyDescent="0.15">
      <c r="F30" s="198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0</v>
      </c>
      <c r="L30" s="81">
        <v>1</v>
      </c>
      <c r="M30" s="81">
        <v>0</v>
      </c>
      <c r="N30" s="81">
        <v>1</v>
      </c>
      <c r="O30" s="81">
        <v>0</v>
      </c>
      <c r="P30" s="72">
        <v>1</v>
      </c>
      <c r="Q30" s="81">
        <v>0</v>
      </c>
      <c r="R30" s="73">
        <v>1</v>
      </c>
      <c r="S30"/>
      <c r="T30"/>
    </row>
    <row r="31" spans="1:20" ht="15" customHeight="1" x14ac:dyDescent="0.15">
      <c r="A31" s="125"/>
      <c r="B31" s="136" t="s">
        <v>17</v>
      </c>
      <c r="C31" s="136" t="s">
        <v>1</v>
      </c>
      <c r="D31" s="136" t="s">
        <v>161</v>
      </c>
      <c r="E31" s="137" t="s">
        <v>163</v>
      </c>
      <c r="F31" s="198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2">
        <v>0</v>
      </c>
      <c r="Q31" s="81">
        <v>0</v>
      </c>
      <c r="R31" s="73">
        <v>1</v>
      </c>
      <c r="S31"/>
      <c r="T31"/>
    </row>
    <row r="32" spans="1:20" ht="15" customHeight="1" x14ac:dyDescent="0.15">
      <c r="A32" s="201" t="s">
        <v>221</v>
      </c>
      <c r="B32" s="93">
        <v>32</v>
      </c>
      <c r="C32" s="93">
        <v>42.8</v>
      </c>
      <c r="D32" s="93">
        <v>1369.6</v>
      </c>
      <c r="E32" s="127">
        <v>1</v>
      </c>
      <c r="F32" s="198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2">
        <v>0</v>
      </c>
      <c r="Q32" s="81">
        <v>0</v>
      </c>
      <c r="R32" s="73">
        <v>1</v>
      </c>
      <c r="S32"/>
      <c r="T32"/>
    </row>
    <row r="33" spans="1:20" ht="15" customHeight="1" x14ac:dyDescent="0.15">
      <c r="A33" s="126"/>
      <c r="B33" s="93"/>
      <c r="C33" s="93"/>
      <c r="D33" s="93"/>
      <c r="E33" s="127"/>
      <c r="F33" s="198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2">
        <v>0</v>
      </c>
      <c r="Q33" s="81">
        <v>0</v>
      </c>
      <c r="R33" s="73">
        <v>1</v>
      </c>
      <c r="S33"/>
      <c r="T33"/>
    </row>
    <row r="34" spans="1:20" ht="15" customHeight="1" x14ac:dyDescent="0.15">
      <c r="A34" s="128"/>
      <c r="B34" s="93"/>
      <c r="C34" s="93"/>
      <c r="D34" s="93"/>
      <c r="E34" s="127"/>
      <c r="F34" s="198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2">
        <v>0</v>
      </c>
      <c r="Q34" s="81">
        <v>0</v>
      </c>
      <c r="R34" s="73">
        <v>1</v>
      </c>
      <c r="S34"/>
      <c r="T34"/>
    </row>
    <row r="35" spans="1:20" ht="15" customHeight="1" x14ac:dyDescent="0.15">
      <c r="A35" s="129"/>
      <c r="B35" s="93"/>
      <c r="C35" s="93"/>
      <c r="D35" s="93"/>
      <c r="E35" s="127"/>
      <c r="F35" s="198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1</v>
      </c>
      <c r="N35" s="81">
        <v>0</v>
      </c>
      <c r="O35" s="81">
        <v>0</v>
      </c>
      <c r="P35" s="72">
        <v>0</v>
      </c>
      <c r="Q35" s="81">
        <v>0</v>
      </c>
      <c r="R35" s="73">
        <v>1</v>
      </c>
      <c r="S35"/>
      <c r="T35"/>
    </row>
    <row r="36" spans="1:20" ht="15" customHeight="1" x14ac:dyDescent="0.15">
      <c r="A36" s="130"/>
      <c r="B36" s="93"/>
      <c r="C36" s="93"/>
      <c r="D36" s="93"/>
      <c r="E36" s="127"/>
      <c r="F36" s="198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1</v>
      </c>
      <c r="M36" s="81">
        <v>0</v>
      </c>
      <c r="N36" s="81">
        <v>1</v>
      </c>
      <c r="O36" s="81">
        <v>0</v>
      </c>
      <c r="P36" s="72">
        <v>1</v>
      </c>
      <c r="Q36" s="81">
        <v>0</v>
      </c>
      <c r="R36" s="73">
        <v>1</v>
      </c>
      <c r="S36"/>
      <c r="T36"/>
    </row>
    <row r="37" spans="1:20" ht="15" customHeight="1" x14ac:dyDescent="0.15">
      <c r="A37" s="130"/>
      <c r="B37" s="93"/>
      <c r="C37" s="93"/>
      <c r="D37" s="93"/>
      <c r="E37" s="127"/>
      <c r="F37" s="198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2">
        <v>1</v>
      </c>
      <c r="Q37" s="81">
        <v>0</v>
      </c>
      <c r="R37" s="73">
        <v>1</v>
      </c>
      <c r="S37"/>
      <c r="T37"/>
    </row>
    <row r="38" spans="1:20" ht="15" customHeight="1" x14ac:dyDescent="0.15">
      <c r="A38" s="131"/>
      <c r="B38" s="93"/>
      <c r="C38" s="93"/>
      <c r="D38" s="93"/>
      <c r="E38" s="127"/>
      <c r="F38" s="198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0</v>
      </c>
      <c r="O38" s="81">
        <v>0</v>
      </c>
      <c r="P38" s="72">
        <v>0</v>
      </c>
      <c r="Q38" s="81">
        <v>0</v>
      </c>
      <c r="R38" s="73">
        <v>1</v>
      </c>
      <c r="S38"/>
      <c r="T38"/>
    </row>
    <row r="39" spans="1:20" ht="15" customHeight="1" x14ac:dyDescent="0.15">
      <c r="A39" s="131"/>
      <c r="B39" s="93"/>
      <c r="C39" s="93"/>
      <c r="D39" s="93"/>
      <c r="E39" s="127"/>
      <c r="F39" s="198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0</v>
      </c>
      <c r="O39" s="81">
        <v>0</v>
      </c>
      <c r="P39" s="72">
        <v>0</v>
      </c>
      <c r="Q39" s="81">
        <v>0</v>
      </c>
      <c r="R39" s="73">
        <v>1</v>
      </c>
      <c r="S39"/>
      <c r="T39"/>
    </row>
    <row r="40" spans="1:20" ht="15" customHeight="1" x14ac:dyDescent="0.15">
      <c r="A40" s="131"/>
      <c r="B40" s="93"/>
      <c r="C40" s="93"/>
      <c r="D40" s="93"/>
      <c r="E40" s="127"/>
      <c r="F40" s="198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0</v>
      </c>
      <c r="O40" s="81">
        <v>0</v>
      </c>
      <c r="P40" s="72">
        <v>0</v>
      </c>
      <c r="Q40" s="81">
        <v>0</v>
      </c>
      <c r="R40" s="73">
        <v>1</v>
      </c>
      <c r="S40"/>
      <c r="T40"/>
    </row>
    <row r="41" spans="1:20" ht="15" customHeight="1" thickBot="1" x14ac:dyDescent="0.2">
      <c r="A41" s="131"/>
      <c r="B41" s="93"/>
      <c r="C41" s="93"/>
      <c r="D41" s="94"/>
      <c r="E41" s="132"/>
      <c r="F41" s="198" t="s">
        <v>227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1</v>
      </c>
      <c r="M41" s="81">
        <v>0</v>
      </c>
      <c r="N41" s="81">
        <v>0</v>
      </c>
      <c r="O41" s="81">
        <v>0</v>
      </c>
      <c r="P41" s="72">
        <v>0</v>
      </c>
      <c r="Q41" s="81">
        <v>0</v>
      </c>
      <c r="R41" s="73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1369.6</v>
      </c>
      <c r="E42" s="135">
        <f>SUM(E32:E41)</f>
        <v>1</v>
      </c>
      <c r="F42" s="198" t="s">
        <v>228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1</v>
      </c>
      <c r="M42" s="81">
        <v>0</v>
      </c>
      <c r="N42" s="81">
        <v>0</v>
      </c>
      <c r="O42" s="81">
        <v>0</v>
      </c>
      <c r="P42" s="72">
        <v>0</v>
      </c>
      <c r="Q42" s="81">
        <v>0</v>
      </c>
      <c r="R42" s="73">
        <v>1</v>
      </c>
      <c r="S42"/>
      <c r="T42"/>
    </row>
    <row r="43" spans="1:20" ht="15" customHeight="1" x14ac:dyDescent="0.15">
      <c r="A43" s="81"/>
      <c r="F43" s="198" t="s">
        <v>229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1</v>
      </c>
      <c r="M43" s="81">
        <v>0</v>
      </c>
      <c r="N43" s="81">
        <v>0</v>
      </c>
      <c r="O43" s="81">
        <v>0</v>
      </c>
      <c r="P43" s="72">
        <v>0</v>
      </c>
      <c r="Q43" s="81">
        <v>0</v>
      </c>
      <c r="R43" s="73">
        <v>1</v>
      </c>
      <c r="S43"/>
      <c r="T43"/>
    </row>
    <row r="44" spans="1:20" ht="15" customHeight="1" x14ac:dyDescent="0.15">
      <c r="A44" s="81"/>
      <c r="F44" s="198" t="s">
        <v>230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1</v>
      </c>
      <c r="M44" s="81">
        <v>0</v>
      </c>
      <c r="N44" s="81">
        <v>0</v>
      </c>
      <c r="O44" s="81">
        <v>0</v>
      </c>
      <c r="P44" s="72">
        <v>0</v>
      </c>
      <c r="Q44" s="81">
        <v>0</v>
      </c>
      <c r="R44" s="73">
        <v>1</v>
      </c>
    </row>
    <row r="45" spans="1:20" ht="15" customHeight="1" x14ac:dyDescent="0.15">
      <c r="A45" s="81"/>
      <c r="F45" s="198" t="s">
        <v>231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>
        <v>1</v>
      </c>
      <c r="M45" s="81">
        <v>0</v>
      </c>
      <c r="N45" s="81">
        <v>0</v>
      </c>
      <c r="O45" s="81">
        <v>0</v>
      </c>
      <c r="P45" s="72">
        <v>0</v>
      </c>
      <c r="Q45" s="81">
        <v>0</v>
      </c>
      <c r="R45" s="73">
        <v>1</v>
      </c>
    </row>
    <row r="46" spans="1:20" ht="15" customHeight="1" x14ac:dyDescent="0.15">
      <c r="A46" s="81"/>
      <c r="F46" s="198" t="s">
        <v>232</v>
      </c>
      <c r="G46" s="81">
        <v>0</v>
      </c>
      <c r="H46" s="81">
        <v>0</v>
      </c>
      <c r="I46" s="81">
        <v>0</v>
      </c>
      <c r="J46" s="81">
        <v>0</v>
      </c>
      <c r="K46" s="81">
        <v>0</v>
      </c>
      <c r="L46" s="81">
        <v>1</v>
      </c>
      <c r="M46" s="81">
        <v>0</v>
      </c>
      <c r="N46" s="81">
        <v>0</v>
      </c>
      <c r="O46" s="81">
        <v>0</v>
      </c>
      <c r="P46" s="72">
        <v>0</v>
      </c>
      <c r="Q46" s="81">
        <v>0</v>
      </c>
      <c r="R46" s="73">
        <v>1</v>
      </c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" bestFit="1" customWidth="1"/>
    <col min="2" max="2" width="2.33203125" style="110" customWidth="1"/>
    <col min="3" max="5" width="7.83203125" style="110" customWidth="1"/>
    <col min="6" max="8" width="8.83203125" style="6"/>
    <col min="9" max="9" width="8.5" style="6" customWidth="1"/>
    <col min="10" max="10" width="13.33203125" style="6" customWidth="1"/>
    <col min="11" max="11" width="17" style="6" customWidth="1"/>
    <col min="12" max="12" width="11.6640625" style="6" customWidth="1"/>
    <col min="13" max="13" width="22" style="6" customWidth="1"/>
    <col min="14" max="14" width="9.33203125" style="6" customWidth="1"/>
    <col min="15" max="15" width="8.6640625" style="6" customWidth="1"/>
    <col min="16" max="18" width="8.5" style="6" customWidth="1"/>
    <col min="19" max="19" width="7" style="6" customWidth="1"/>
    <col min="20" max="20" width="12" style="6" customWidth="1"/>
    <col min="21" max="21" width="21.1640625" style="6" customWidth="1"/>
    <col min="22" max="22" width="9.83203125" style="6" customWidth="1"/>
    <col min="23" max="23" width="7.1640625" style="6" customWidth="1"/>
    <col min="24" max="24" width="10.33203125" style="6" customWidth="1"/>
    <col min="25" max="25" width="13.5" style="6" customWidth="1"/>
    <col min="26" max="26" width="9.1640625" style="6" customWidth="1"/>
    <col min="27" max="27" width="15.83203125" style="6" customWidth="1"/>
    <col min="28" max="28" width="20.5" style="6" customWidth="1"/>
    <col min="29" max="29" width="20" style="6" customWidth="1"/>
    <col min="30" max="30" width="18" style="6" customWidth="1"/>
    <col min="31" max="31" width="17.83203125" style="6" customWidth="1"/>
    <col min="32" max="32" width="16.1640625" style="6" customWidth="1"/>
    <col min="33" max="33" width="11.5" style="6" customWidth="1"/>
    <col min="34" max="34" width="12" style="6" customWidth="1"/>
    <col min="35" max="35" width="11.83203125" style="6" customWidth="1"/>
    <col min="36" max="37" width="16.5" style="6" customWidth="1"/>
    <col min="38" max="38" width="13.1640625" style="6" customWidth="1"/>
    <col min="39" max="39" width="7.6640625" customWidth="1"/>
    <col min="40" max="40" width="21.6640625" customWidth="1"/>
    <col min="41" max="41" width="11.83203125" customWidth="1"/>
    <col min="42" max="42" width="24" customWidth="1"/>
    <col min="43" max="43" width="9.6640625" customWidth="1"/>
    <col min="44" max="44" width="23.33203125" customWidth="1"/>
    <col min="45" max="45" width="20.33203125" customWidth="1"/>
    <col min="46" max="46" width="19.5" customWidth="1"/>
    <col min="47" max="47" width="13.1640625" customWidth="1"/>
    <col min="48" max="48" width="19.33203125" customWidth="1"/>
    <col min="49" max="49" width="11.5" customWidth="1"/>
    <col min="81" max="81" width="22.1640625" bestFit="1" customWidth="1"/>
  </cols>
  <sheetData>
    <row r="1" spans="1:49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192</v>
      </c>
      <c r="J1" s="203" t="s">
        <v>193</v>
      </c>
      <c r="K1" s="203" t="s">
        <v>194</v>
      </c>
      <c r="L1" s="203" t="s">
        <v>195</v>
      </c>
      <c r="M1" s="203" t="s">
        <v>196</v>
      </c>
      <c r="N1" s="203" t="s">
        <v>197</v>
      </c>
      <c r="O1" s="203" t="s">
        <v>198</v>
      </c>
      <c r="P1" s="203" t="s">
        <v>199</v>
      </c>
      <c r="Q1" s="203" t="s">
        <v>200</v>
      </c>
      <c r="R1" s="203" t="s">
        <v>201</v>
      </c>
      <c r="S1" s="203" t="s">
        <v>202</v>
      </c>
      <c r="T1" s="203" t="s">
        <v>203</v>
      </c>
      <c r="U1" s="203" t="s">
        <v>204</v>
      </c>
      <c r="V1" s="203" t="s">
        <v>205</v>
      </c>
      <c r="W1" s="203" t="s">
        <v>206</v>
      </c>
      <c r="X1" s="203" t="s">
        <v>207</v>
      </c>
      <c r="Y1" s="203" t="s">
        <v>208</v>
      </c>
      <c r="Z1" s="203" t="s">
        <v>209</v>
      </c>
      <c r="AA1" s="203" t="s">
        <v>210</v>
      </c>
      <c r="AB1" s="203" t="s">
        <v>211</v>
      </c>
      <c r="AC1" s="203" t="s">
        <v>212</v>
      </c>
      <c r="AD1" s="203" t="s">
        <v>213</v>
      </c>
      <c r="AE1" s="203" t="s">
        <v>214</v>
      </c>
      <c r="AF1" s="203" t="s">
        <v>215</v>
      </c>
      <c r="AG1" s="203" t="s">
        <v>216</v>
      </c>
      <c r="AH1" s="203" t="s">
        <v>217</v>
      </c>
      <c r="AI1" s="203" t="s">
        <v>218</v>
      </c>
      <c r="AJ1" s="203" t="s">
        <v>219</v>
      </c>
      <c r="AK1" s="203" t="s">
        <v>220</v>
      </c>
      <c r="AL1" s="203" t="s">
        <v>221</v>
      </c>
      <c r="AM1" s="203" t="s">
        <v>222</v>
      </c>
      <c r="AN1" s="203" t="s">
        <v>223</v>
      </c>
      <c r="AO1" s="203" t="s">
        <v>224</v>
      </c>
      <c r="AP1" s="203" t="s">
        <v>225</v>
      </c>
      <c r="AQ1" s="203" t="s">
        <v>226</v>
      </c>
      <c r="AR1" s="203" t="s">
        <v>227</v>
      </c>
      <c r="AS1" s="203" t="s">
        <v>228</v>
      </c>
      <c r="AT1" s="203" t="s">
        <v>229</v>
      </c>
      <c r="AU1" s="203" t="s">
        <v>230</v>
      </c>
      <c r="AV1" s="203" t="s">
        <v>231</v>
      </c>
      <c r="AW1" s="203" t="s">
        <v>232</v>
      </c>
    </row>
    <row r="2" spans="1:49" x14ac:dyDescent="0.15">
      <c r="A2" t="s">
        <v>38</v>
      </c>
      <c r="B2" s="11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9" x14ac:dyDescent="0.15">
      <c r="A3" t="s">
        <v>40</v>
      </c>
      <c r="B3" s="11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9" x14ac:dyDescent="0.15">
      <c r="A4" t="s">
        <v>41</v>
      </c>
      <c r="B4" s="11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9" x14ac:dyDescent="0.15">
      <c r="A5" s="202" t="s">
        <v>192</v>
      </c>
      <c r="B5" s="11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9" x14ac:dyDescent="0.15">
      <c r="A6" s="202" t="s">
        <v>193</v>
      </c>
      <c r="B6" s="11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9" x14ac:dyDescent="0.15">
      <c r="A7" s="202" t="s">
        <v>194</v>
      </c>
      <c r="B7" s="11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9" x14ac:dyDescent="0.15">
      <c r="A8" s="202" t="s">
        <v>195</v>
      </c>
      <c r="B8" s="11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9" x14ac:dyDescent="0.15">
      <c r="A9" s="202" t="s">
        <v>196</v>
      </c>
      <c r="B9" s="11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9" x14ac:dyDescent="0.15">
      <c r="A10" s="202" t="s">
        <v>197</v>
      </c>
      <c r="B10" s="11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9" x14ac:dyDescent="0.15">
      <c r="A11" s="202" t="s">
        <v>198</v>
      </c>
      <c r="B11" s="11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9" x14ac:dyDescent="0.15">
      <c r="A12" s="202" t="s">
        <v>199</v>
      </c>
      <c r="B12" s="11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9" x14ac:dyDescent="0.15">
      <c r="A13" s="202" t="s">
        <v>200</v>
      </c>
      <c r="B13" s="11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9" x14ac:dyDescent="0.15">
      <c r="A14" s="202" t="s">
        <v>201</v>
      </c>
      <c r="B14" s="11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9" x14ac:dyDescent="0.15">
      <c r="A15" s="202" t="s">
        <v>202</v>
      </c>
      <c r="B15" s="11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9" x14ac:dyDescent="0.15">
      <c r="A16" s="202" t="s">
        <v>203</v>
      </c>
      <c r="B16" s="11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204</v>
      </c>
      <c r="B17" s="11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205</v>
      </c>
      <c r="B18" s="11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206</v>
      </c>
      <c r="B19" s="11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207</v>
      </c>
      <c r="B20" s="11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208</v>
      </c>
      <c r="B21" s="11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209</v>
      </c>
      <c r="B22" s="11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210</v>
      </c>
      <c r="B23" s="11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211</v>
      </c>
      <c r="B24" s="11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212</v>
      </c>
      <c r="B25" s="11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213</v>
      </c>
      <c r="B26" s="11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214</v>
      </c>
      <c r="B27" s="11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215</v>
      </c>
      <c r="B28" s="11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216</v>
      </c>
      <c r="B29" s="11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217</v>
      </c>
      <c r="B30" s="11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218</v>
      </c>
      <c r="B31" s="11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219</v>
      </c>
      <c r="B32" s="11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220</v>
      </c>
      <c r="B33" s="11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221</v>
      </c>
      <c r="B34" s="11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222</v>
      </c>
      <c r="B35" s="11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223</v>
      </c>
      <c r="B36" s="110">
        <v>0</v>
      </c>
      <c r="C36"/>
      <c r="D36"/>
    </row>
    <row r="37" spans="1:38" ht="15" customHeight="1" x14ac:dyDescent="0.15">
      <c r="A37" s="202" t="s">
        <v>224</v>
      </c>
      <c r="B37" s="110">
        <v>0</v>
      </c>
      <c r="C37"/>
      <c r="D37"/>
    </row>
    <row r="38" spans="1:38" ht="15" customHeight="1" x14ac:dyDescent="0.15">
      <c r="A38" s="202" t="s">
        <v>225</v>
      </c>
      <c r="B38" s="110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2" t="s">
        <v>226</v>
      </c>
      <c r="B39" s="110">
        <v>0</v>
      </c>
      <c r="C39"/>
      <c r="D39"/>
    </row>
    <row r="40" spans="1:38" ht="15" customHeight="1" x14ac:dyDescent="0.15">
      <c r="A40" s="202" t="s">
        <v>227</v>
      </c>
      <c r="B40" s="110">
        <v>0</v>
      </c>
      <c r="C40"/>
      <c r="D40"/>
    </row>
    <row r="41" spans="1:38" ht="15" customHeight="1" x14ac:dyDescent="0.15">
      <c r="A41" s="202" t="s">
        <v>228</v>
      </c>
      <c r="B41" s="110">
        <v>0</v>
      </c>
      <c r="C41"/>
      <c r="D41"/>
    </row>
    <row r="42" spans="1:38" ht="15" customHeight="1" x14ac:dyDescent="0.15">
      <c r="A42" s="202" t="s">
        <v>229</v>
      </c>
      <c r="B42" s="110">
        <v>0</v>
      </c>
    </row>
    <row r="43" spans="1:38" ht="15" customHeight="1" x14ac:dyDescent="0.15">
      <c r="A43" s="202" t="s">
        <v>230</v>
      </c>
      <c r="B43" s="110">
        <v>0</v>
      </c>
    </row>
    <row r="44" spans="1:38" ht="15" customHeight="1" x14ac:dyDescent="0.15">
      <c r="A44" s="202" t="s">
        <v>231</v>
      </c>
      <c r="B44" s="110">
        <v>0</v>
      </c>
    </row>
    <row r="45" spans="1:38" ht="15" customHeight="1" x14ac:dyDescent="0.15">
      <c r="A45" s="202" t="s">
        <v>232</v>
      </c>
      <c r="B45" s="110">
        <v>0</v>
      </c>
    </row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2022-10-24T04:31:08Z</dcterms:modified>
</cp:coreProperties>
</file>