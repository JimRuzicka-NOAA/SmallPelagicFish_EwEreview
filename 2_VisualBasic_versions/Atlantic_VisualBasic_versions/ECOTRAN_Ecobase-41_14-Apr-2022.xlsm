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Atlantic/Atlantic_ECOTRAN_K-path_versions/"/>
    </mc:Choice>
  </mc:AlternateContent>
  <xr:revisionPtr revIDLastSave="0" documentId="13_ncr:1_{7003B93C-0784-E947-8BA1-CABCBB35D22B}" xr6:coauthVersionLast="45" xr6:coauthVersionMax="45" xr10:uidLastSave="{00000000-0000-0000-0000-000000000000}"/>
  <bookViews>
    <workbookView xWindow="0" yWindow="460" windowWidth="25600" windowHeight="14240" tabRatio="728" firstSheet="1" activeTab="3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Main!$C$2:$N$42</definedName>
    <definedName name="matDetritus">Detritus!$C$2:$E$42</definedName>
    <definedName name="matDiet">Diets!$B$2:$AM$42</definedName>
    <definedName name="matDiscards">Discards!$C$2:$C$41</definedName>
    <definedName name="matFishery">Fishing!$C$2:$C$41</definedName>
    <definedName name="matFishing">Fishing!#REF!</definedName>
    <definedName name="matMort">Mortalities!$A$1:$AR$41</definedName>
    <definedName name="matOut">MainOutputs!$A$2:$I$42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<sst xmlns="http://schemas.openxmlformats.org/spreadsheetml/2006/main" count="1144" uniqueCount="240">
  <si>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</si>
  <si>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</si>
  <si>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</si>
  <si>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</si>
  <si>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</si>
  <si>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</si>
  <si>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</si>
  <si>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</si>
  <si>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</si>
  <si>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</si>
  <si>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</si>
  <si>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</si>
  <si>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</si>
  <si>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</si>
  <si>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</si>
  <si>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</si>
  <si>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</si>
  <si>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</si>
  <si>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</si>
  <si>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</si>
  <si>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</si>
  <si>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</si>
  <si>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</si>
  <si>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</si>
  <si>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</si>
  <si>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</si>
  <si>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</si>
  <si>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</si>
  <si>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</si>
  <si>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</si>
  <si>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</si>
  <si>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</si>
  <si>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</si>
  <si>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</si>
  <si>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</si>
  <si>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</si>
  <si>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</si>
  <si>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</si>
  <si>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</si>
  <si>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</si>
  <si>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</si>
  <si>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</si>
  <si>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</si>
  <si>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</si>
  <si>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</si>
  <si>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</si>
  <si>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</si>
  <si>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</si>
  <si>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</si>
  <si>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</si>
  <si>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</si>
  <si>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</si>
  <si>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</si>
  <si>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</si>
  <si>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</si>
  <si>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</si>
  <si>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</si>
  <si>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</si>
  <si>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</si>
  <si>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</si>
  <si>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</si>
  <si>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</si>
  <si>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</si>
  <si>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</si>
  <si>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</si>
  <si>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</si>
  <si>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</si>
  <si>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</si>
  <si>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</si>
  <si>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</si>
  <si>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</si>
  <si>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</si>
  <si>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</si>
  <si>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</si>
  <si>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</si>
  <si>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</si>
  <si>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</si>
  <si>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</si>
  <si>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</si>
  <si>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</si>
  <si>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</si>
  <si>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</si>
  <si>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</si>
  <si>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</si>
  <si>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</si>
  <si>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</si>
  <si>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</si>
  <si>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</si>
  <si>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</si>
  <si>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</si>
  <si>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</si>
  <si>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</si>
  <si>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</si>
  <si>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</si>
  <si>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</si>
  <si>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</si>
  <si>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</si>
  <si>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</si>
  <si>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</si>
  <si>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</si>
  <si>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</si>
  <si>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</si>
  <si>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</si>
  <si>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</si>
  <si>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</si>
  <si>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</si>
  <si>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</si>
  <si>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</si>
  <si>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</si>
  <si>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</si>
  <si>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</si>
  <si>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</si>
  <si>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</si>
  <si>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</si>
  <si>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</si>
  <si>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</si>
  <si>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</si>
  <si>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</si>
  <si>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</si>
  <si>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</si>
  <si>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</si>
  <si>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</si>
  <si>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</si>
  <si>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</si>
  <si>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</si>
  <si>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</si>
  <si>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</si>
  <si>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</si>
  <si>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</si>
  <si>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</si>
  <si>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</si>
  <si>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</si>
  <si>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</si>
  <si>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</si>
  <si>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</si>
  <si>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</si>
  <si>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</si>
  <si>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</si>
  <si>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</si>
  <si>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</si>
  <si>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</si>
  <si>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</si>
  <si>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</si>
  <si>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</si>
  <si>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</si>
  <si>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</si>
  <si>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</si>
  <si>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</si>
  <si>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</si>
  <si>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</si>
  <si>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</si>
  <si>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</si>
  <si>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</si>
  <si>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</si>
  <si>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</si>
  <si>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</si>
  <si>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</si>
  <si>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</si>
  <si>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</si>
  <si>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</si>
  <si>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</si>
  <si>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</si>
  <si>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</si>
  <si>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</si>
  <si>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</si>
  <si>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</si>
  <si>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</si>
  <si>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</si>
  <si>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</si>
  <si>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</si>
  <si>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</si>
  <si>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</si>
  <si>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</si>
  <si>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</si>
  <si>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</si>
  <si>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</si>
  <si>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</si>
  <si>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</si>
  <si>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</si>
  <si>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</si>
  <si>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</si>
  <si>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</si>
  <si>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</si>
  <si>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</si>
  <si>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</si>
  <si>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Eastern Scotian Shelf</t>
  </si>
  <si>
    <t>Canada</t>
  </si>
  <si>
    <t>BOX(-63.5003249393449 42.3831207760406,-56.534812630828 45.7940675250566)</t>
  </si>
  <si>
    <t>continental shelf</t>
  </si>
  <si>
    <t>WetWeight</t>
  </si>
  <si>
    <t>; 7/3/03 11:20:26 AM</t>
  </si>
  <si>
    <t>Bundy A.(2004). Mass balance models of the eastern Scotian Shelf before and after the cod collapse and other ecosystem changes Canadian Technical Report of Fisheries and Aquatic Sciences</t>
  </si>
  <si>
    <t>Ceteaceans</t>
  </si>
  <si>
    <t>Grey Seals</t>
  </si>
  <si>
    <t>Seabirds</t>
  </si>
  <si>
    <t>Cod &amp;gt; 40 cm</t>
  </si>
  <si>
    <t>Juv Cod</t>
  </si>
  <si>
    <t>Silver hake</t>
  </si>
  <si>
    <t>Juv Silver Hake</t>
  </si>
  <si>
    <t>Haddock</t>
  </si>
  <si>
    <t>American plaice</t>
  </si>
  <si>
    <t>Halibut &amp;gt; 65 cm</t>
  </si>
  <si>
    <t>Juv Halibut</t>
  </si>
  <si>
    <t>Flounders</t>
  </si>
  <si>
    <t>Skates</t>
  </si>
  <si>
    <t>Dogfish</t>
  </si>
  <si>
    <t>Redfish</t>
  </si>
  <si>
    <t>Pollock</t>
  </si>
  <si>
    <t>Trans. Mackerel</t>
  </si>
  <si>
    <t>Dem. Piscivores</t>
  </si>
  <si>
    <t>Juv. Dem.Pisc.</t>
  </si>
  <si>
    <t>Large Demersals</t>
  </si>
  <si>
    <t>Juv LDFs</t>
  </si>
  <si>
    <t>Small Demersals</t>
  </si>
  <si>
    <t>Capelin</t>
  </si>
  <si>
    <t>Sandlance</t>
  </si>
  <si>
    <t>Trans. Pels</t>
  </si>
  <si>
    <t>Small Pelagics</t>
  </si>
  <si>
    <t>Small mesopels</t>
  </si>
  <si>
    <t>Squid</t>
  </si>
  <si>
    <t>Large Crabs</t>
  </si>
  <si>
    <t>Small Crabs</t>
  </si>
  <si>
    <t>Shrimp</t>
  </si>
  <si>
    <t>Echinoderms</t>
  </si>
  <si>
    <t>Polychaetes</t>
  </si>
  <si>
    <t>Bivalve Mollusc</t>
  </si>
  <si>
    <t>OBI</t>
  </si>
  <si>
    <t>LZP</t>
  </si>
  <si>
    <t>SZP</t>
  </si>
  <si>
    <t>Phytoplankton</t>
  </si>
  <si>
    <t>Detritus</t>
  </si>
  <si>
    <t>detritus_TerminalBenthic</t>
  </si>
  <si>
    <t>Fleet 1</t>
  </si>
  <si>
    <t>Import</t>
  </si>
  <si>
    <t>export</t>
  </si>
  <si>
    <t>sum</t>
  </si>
  <si>
    <t>TOTAL</t>
  </si>
  <si>
    <t>F Fleet 1</t>
  </si>
  <si>
    <t>&lt;&lt;--ba was 0.08450704</t>
  </si>
  <si>
    <t>&lt;&lt;--ba was 0.0594059378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</si>
</sst>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55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0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1F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  <fill>
      <patternFill patternType="solid">
        <fgColor rgb="FF287942"/>
        <bgColor indexed="64"/>
      </patternFill>
    </fill>
    <fill>
      <patternFill patternType="solid">
        <fgColor rgb="FFA08A28"/>
        <bgColor indexed="64"/>
      </patternFill>
    </fill>
    <fill>
      <patternFill patternType="solid">
        <fgColor rgb="FFEFA781"/>
        <bgColor indexed="64"/>
      </patternFill>
    </fill>
    <fill>
      <patternFill patternType="solid">
        <fgColor rgb="FF641BC8"/>
        <bgColor indexed="64"/>
      </patternFill>
    </fill>
    <fill>
      <patternFill patternType="solid">
        <fgColor rgb="FF75C098"/>
        <bgColor indexed="64"/>
      </patternFill>
    </fill>
    <fill>
      <patternFill patternType="solid">
        <fgColor rgb="FFD40536"/>
        <bgColor indexed="64"/>
      </patternFill>
    </fill>
    <fill>
      <patternFill patternType="solid">
        <fgColor rgb="FF131B55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64FF00"/>
        <bgColor indexed="64"/>
      </patternFill>
    </fill>
    <fill>
      <patternFill patternType="solid">
        <fgColor rgb="FFFFD200"/>
        <bgColor indexed="64"/>
      </patternFill>
    </fill>
    <fill>
      <patternFill patternType="solid">
        <fgColor rgb="FFFFF3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C9FF00"/>
        <bgColor indexed="64"/>
      </patternFill>
    </fill>
    <fill>
      <patternFill patternType="solid">
        <fgColor rgb="FF4FFF00"/>
        <bgColor indexed="64"/>
      </patternFill>
    </fill>
    <fill>
      <patternFill patternType="solid">
        <fgColor rgb="FFFF2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9A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99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51FF00"/>
        <bgColor indexed="64"/>
      </patternFill>
    </fill>
    <fill>
      <patternFill patternType="solid">
        <fgColor rgb="FF52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62FF00"/>
        <bgColor indexed="64"/>
      </patternFill>
    </fill>
    <fill>
      <patternFill patternType="solid">
        <fgColor rgb="FF3A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DA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CBFF00"/>
        <bgColor indexed="64"/>
      </patternFill>
    </fill>
    <fill>
      <patternFill patternType="solid">
        <fgColor rgb="FF40FF00"/>
        <bgColor indexed="64"/>
      </patternFill>
    </fill>
    <fill>
      <patternFill patternType="solid">
        <fgColor rgb="FFF4FF00"/>
        <bgColor indexed="64"/>
      </patternFill>
    </fill>
    <fill>
      <patternFill patternType="solid">
        <fgColor rgb="FF67FF00"/>
        <bgColor indexed="64"/>
      </patternFill>
    </fill>
    <fill>
      <patternFill patternType="solid">
        <fgColor rgb="FF7B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D7FF00"/>
        <bgColor indexed="64"/>
      </patternFill>
    </fill>
    <fill>
      <patternFill patternType="solid">
        <fgColor rgb="FFBA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EAFF00"/>
        <bgColor indexed="64"/>
      </patternFill>
    </fill>
    <fill>
      <patternFill patternType="solid">
        <fgColor rgb="FF41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60FF00"/>
        <bgColor indexed="64"/>
      </patternFill>
    </fill>
    <fill>
      <patternFill patternType="solid">
        <fgColor rgb="FF4EFF00"/>
        <bgColor indexed="64"/>
      </patternFill>
    </fill>
    <fill>
      <patternFill patternType="solid">
        <fgColor rgb="FFA3FF00"/>
        <bgColor indexed="64"/>
      </patternFill>
    </fill>
    <fill>
      <patternFill patternType="solid">
        <fgColor rgb="FF7AFF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A4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A0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38FF00"/>
        <bgColor indexed="64"/>
      </patternFill>
    </fill>
    <fill>
      <patternFill patternType="solid">
        <fgColor rgb="FFFF6E00"/>
        <bgColor indexed="64"/>
      </patternFill>
    </fill>
    <fill>
      <patternFill patternType="solid">
        <fgColor rgb="FFFFEA00"/>
        <bgColor indexed="64"/>
      </patternFill>
    </fill>
    <fill>
      <patternFill patternType="solid">
        <fgColor rgb="FFFFFF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78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4" borderId="2" xfId="0" applyFont="1" applyFill="1" applyBorder="1" applyAlignment="1">
      <alignment horizontal="center"/>
    </xf>
    <xf numFmtId="0" fontId="1" fillId="24" borderId="4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4" borderId="5" xfId="0" applyFill="1" applyBorder="1"/>
    <xf numFmtId="0" fontId="0" fillId="24" borderId="6" xfId="0" applyFill="1" applyBorder="1"/>
    <xf numFmtId="0" fontId="0" fillId="24" borderId="7" xfId="0" applyFill="1" applyBorder="1"/>
    <xf numFmtId="0" fontId="0" fillId="24" borderId="8" xfId="0" applyFill="1" applyBorder="1"/>
    <xf numFmtId="0" fontId="0" fillId="24" borderId="9" xfId="0" applyFill="1" applyBorder="1"/>
    <xf numFmtId="0" fontId="0" fillId="24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" fillId="0" borderId="0" xfId="0" applyFont="1" applyAlignment="1">
      <alignment horizontal="center"/>
    </xf>
    <xf numFmtId="0" fontId="0" fillId="36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8" borderId="0" xfId="0" applyFill="1"/>
    <xf numFmtId="0" fontId="0" fillId="39" borderId="0" xfId="0" applyFill="1"/>
    <xf numFmtId="0" fontId="0" fillId="0" borderId="0" xfId="0" applyFont="1" applyFill="1" applyAlignment="1">
      <alignment horizontal="center"/>
    </xf>
    <xf numFmtId="0" fontId="0" fillId="40" borderId="0" xfId="0" applyFill="1"/>
    <xf numFmtId="0" fontId="0" fillId="41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7" borderId="3" xfId="0" applyNumberFormat="1" applyFont="1" applyFill="1" applyBorder="1"/>
    <xf numFmtId="0" fontId="0" fillId="37" borderId="2" xfId="0" applyFont="1" applyFill="1" applyBorder="1"/>
    <xf numFmtId="0" fontId="0" fillId="37" borderId="3" xfId="0" applyFont="1" applyFill="1" applyBorder="1"/>
    <xf numFmtId="0" fontId="0" fillId="3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2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4" borderId="2" xfId="0" applyFill="1" applyBorder="1" applyAlignment="1">
      <alignment horizontal="center"/>
    </xf>
    <xf numFmtId="0" fontId="0" fillId="24" borderId="4" xfId="0" applyFill="1" applyBorder="1" applyAlignment="1">
      <alignment horizontal="center"/>
    </xf>
    <xf numFmtId="0" fontId="0" fillId="24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8" fillId="154" borderId="0" xfId="0" applyFont="1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61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1" t="s">
        <v>164</v>
      </c>
    </row>
    <row r="6" spans="2:4" ht="14" thickBot="1" x14ac:dyDescent="0.2">
      <c r="B6" s="45" t="s">
        <v>141</v>
      </c>
    </row>
    <row r="7" spans="2:4" x14ac:dyDescent="0.15">
      <c r="B7" s="61" t="s">
        <v>143</v>
      </c>
    </row>
    <row r="8" spans="2:4" x14ac:dyDescent="0.15">
      <c r="B8" s="61" t="s">
        <v>142</v>
      </c>
    </row>
    <row r="9" spans="2:4" x14ac:dyDescent="0.15">
      <c r="B9" s="61" t="s">
        <v>144</v>
      </c>
    </row>
    <row r="10" spans="2:4" x14ac:dyDescent="0.15">
      <c r="B10" s="61" t="s">
        <v>147</v>
      </c>
    </row>
    <row r="11" spans="2:4" x14ac:dyDescent="0.15">
      <c r="B11" s="61" t="s">
        <v>151</v>
      </c>
    </row>
    <row r="12" spans="2:4" x14ac:dyDescent="0.15">
      <c r="B12" s="61" t="s">
        <v>153</v>
      </c>
    </row>
    <row r="13" spans="2:4" x14ac:dyDescent="0.15">
      <c r="B13" s="61" t="s">
        <v>165</v>
      </c>
    </row>
    <row r="15" spans="2:4" ht="14" thickBot="1" x14ac:dyDescent="0.2"/>
    <row r="16" spans="2:4" ht="14" thickBot="1" x14ac:dyDescent="0.2">
      <c r="B16" s="46" t="s">
        <v>137</v>
      </c>
      <c r="C16" s="47"/>
      <c r="D16" s="29">
        <v>41373</v>
      </c>
    </row>
    <row r="17" spans="2:4" x14ac:dyDescent="0.15">
      <c r="B17" s="48" t="s">
        <v>58</v>
      </c>
      <c r="C17" s="32">
        <v>0</v>
      </c>
    </row>
    <row r="18" spans="2:4" x14ac:dyDescent="0.15">
      <c r="B18" s="48" t="s">
        <v>59</v>
      </c>
      <c r="C18" s="32">
        <v>1</v>
      </c>
    </row>
    <row r="19" spans="2:4" x14ac:dyDescent="0.15">
      <c r="B19" s="48" t="s">
        <v>60</v>
      </c>
      <c r="C19" s="32">
        <v>2</v>
      </c>
    </row>
    <row r="20" spans="2:4" ht="14" thickBot="1" x14ac:dyDescent="0.2">
      <c r="B20" s="49" t="s">
        <v>44</v>
      </c>
      <c r="C20" s="33">
        <v>3</v>
      </c>
    </row>
    <row r="21" spans="2:4" x14ac:dyDescent="0.15">
      <c r="B21" s="50" t="s">
        <v>140</v>
      </c>
    </row>
    <row r="22" spans="2:4" ht="14" thickBot="1" x14ac:dyDescent="0.2"/>
    <row r="23" spans="2:4" ht="14" thickBot="1" x14ac:dyDescent="0.2">
      <c r="B23" s="46" t="s">
        <v>65</v>
      </c>
      <c r="C23" s="47"/>
      <c r="D23" s="29" t="s">
        <v>148</v>
      </c>
    </row>
    <row r="24" spans="2:4" x14ac:dyDescent="0.15">
      <c r="B24" s="52" t="s">
        <v>38</v>
      </c>
      <c r="C24" s="30">
        <v>1</v>
      </c>
    </row>
    <row r="25" spans="2:4" x14ac:dyDescent="0.15">
      <c r="B25" s="48" t="s">
        <v>40</v>
      </c>
      <c r="C25" s="32">
        <v>1.1000000000000001</v>
      </c>
    </row>
    <row r="26" spans="2:4" x14ac:dyDescent="0.15">
      <c r="B26" s="48" t="s">
        <v>41</v>
      </c>
      <c r="C26" s="32">
        <v>1.2</v>
      </c>
    </row>
    <row r="27" spans="2:4" x14ac:dyDescent="0.15">
      <c r="B27" s="48"/>
      <c r="C27" s="32"/>
    </row>
    <row r="28" spans="2:4" x14ac:dyDescent="0.15">
      <c r="B28" s="48" t="s">
        <v>42</v>
      </c>
      <c r="C28" s="32">
        <v>2.1</v>
      </c>
    </row>
    <row r="29" spans="2:4" x14ac:dyDescent="0.15">
      <c r="B29" s="48" t="s">
        <v>43</v>
      </c>
      <c r="C29" s="32">
        <v>2.2000000000000002</v>
      </c>
    </row>
    <row r="30" spans="2:4" x14ac:dyDescent="0.15">
      <c r="B30" s="48" t="s">
        <v>67</v>
      </c>
      <c r="C30" s="32">
        <v>2.2999999999999998</v>
      </c>
    </row>
    <row r="31" spans="2:4" x14ac:dyDescent="0.15">
      <c r="B31" s="48"/>
      <c r="C31" s="32"/>
    </row>
    <row r="32" spans="2:4" x14ac:dyDescent="0.15">
      <c r="B32" s="48" t="s">
        <v>62</v>
      </c>
      <c r="C32" s="32">
        <v>3.11</v>
      </c>
    </row>
    <row r="33" spans="2:3" x14ac:dyDescent="0.15">
      <c r="B33" s="48" t="s">
        <v>61</v>
      </c>
      <c r="C33" s="32">
        <v>3.12</v>
      </c>
    </row>
    <row r="34" spans="2:3" x14ac:dyDescent="0.15">
      <c r="B34" s="48" t="s">
        <v>68</v>
      </c>
      <c r="C34" s="32">
        <v>3.13</v>
      </c>
    </row>
    <row r="35" spans="2:3" x14ac:dyDescent="0.15">
      <c r="B35" s="48"/>
      <c r="C35" s="32"/>
    </row>
    <row r="36" spans="2:3" x14ac:dyDescent="0.15">
      <c r="B36" s="48" t="s">
        <v>66</v>
      </c>
      <c r="C36" s="32">
        <v>3.21</v>
      </c>
    </row>
    <row r="37" spans="2:3" x14ac:dyDescent="0.15">
      <c r="B37" s="48" t="s">
        <v>63</v>
      </c>
      <c r="C37" s="32">
        <v>3.22</v>
      </c>
    </row>
    <row r="38" spans="2:3" x14ac:dyDescent="0.15">
      <c r="B38" s="48" t="s">
        <v>69</v>
      </c>
      <c r="C38" s="32">
        <v>3.23</v>
      </c>
    </row>
    <row r="39" spans="2:3" x14ac:dyDescent="0.15">
      <c r="B39" s="48"/>
      <c r="C39" s="32"/>
    </row>
    <row r="40" spans="2:3" x14ac:dyDescent="0.15">
      <c r="B40" s="48" t="s">
        <v>64</v>
      </c>
      <c r="C40" s="32">
        <v>8</v>
      </c>
    </row>
    <row r="41" spans="2:3" x14ac:dyDescent="0.15">
      <c r="B41" s="48"/>
      <c r="C41" s="32"/>
    </row>
    <row r="42" spans="2:3" x14ac:dyDescent="0.15">
      <c r="B42" s="48" t="s">
        <v>71</v>
      </c>
      <c r="C42" s="32">
        <v>4.0999999999999996</v>
      </c>
    </row>
    <row r="43" spans="2:3" x14ac:dyDescent="0.15">
      <c r="B43" s="48" t="s">
        <v>70</v>
      </c>
      <c r="C43" s="32">
        <v>4.2</v>
      </c>
    </row>
    <row r="44" spans="2:3" x14ac:dyDescent="0.15">
      <c r="B44" s="48" t="s">
        <v>72</v>
      </c>
      <c r="C44" s="32">
        <v>4.3</v>
      </c>
    </row>
    <row r="45" spans="2:3" x14ac:dyDescent="0.15">
      <c r="B45" s="31"/>
      <c r="C45" s="32"/>
    </row>
    <row r="46" spans="2:3" x14ac:dyDescent="0.15">
      <c r="B46" s="48" t="s">
        <v>138</v>
      </c>
      <c r="C46" s="32">
        <v>6.1</v>
      </c>
    </row>
    <row r="47" spans="2:3" x14ac:dyDescent="0.15">
      <c r="B47" s="48" t="s">
        <v>45</v>
      </c>
      <c r="C47" s="32">
        <v>6.2</v>
      </c>
    </row>
    <row r="48" spans="2:3" x14ac:dyDescent="0.15">
      <c r="B48" s="48"/>
      <c r="C48" s="32"/>
    </row>
    <row r="49" spans="2:4" x14ac:dyDescent="0.15">
      <c r="B49" s="48" t="s">
        <v>44</v>
      </c>
      <c r="C49" s="32">
        <v>5</v>
      </c>
    </row>
    <row r="50" spans="2:4" x14ac:dyDescent="0.15">
      <c r="B50" s="48"/>
      <c r="C50" s="32"/>
    </row>
    <row r="51" spans="2:4" ht="14" thickBot="1" x14ac:dyDescent="0.2">
      <c r="B51" s="49" t="s">
        <v>73</v>
      </c>
      <c r="C51" s="33">
        <v>7</v>
      </c>
    </row>
    <row r="53" spans="2:4" x14ac:dyDescent="0.15">
      <c r="B53" s="174" t="s">
        <v>171</v>
      </c>
      <c r="C53" s="107">
        <v>41</v>
      </c>
      <c r="D53" s="107"/>
    </row>
    <row r="54" spans="2:4" x14ac:dyDescent="0.15">
      <c r="B54" s="174" t="s">
        <v>172</v>
      </c>
      <c r="C54" s="174" t="s">
        <v>185</v>
      </c>
      <c r="D54" s="107"/>
    </row>
    <row r="55" spans="2:4" x14ac:dyDescent="0.15">
      <c r="B55" s="174" t="s">
        <v>173</v>
      </c>
      <c r="C55" s="174" t="s">
        <v>186</v>
      </c>
      <c r="D55" s="107"/>
    </row>
    <row r="56" spans="2:4" x14ac:dyDescent="0.15">
      <c r="B56" s="174" t="s">
        <v>174</v>
      </c>
      <c r="C56" s="107">
        <v>100000</v>
      </c>
      <c r="D56" s="107"/>
    </row>
    <row r="57" spans="2:4" x14ac:dyDescent="0.15">
      <c r="B57" s="174" t="s">
        <v>175</v>
      </c>
      <c r="C57" s="174" t="s">
        <v>187</v>
      </c>
      <c r="D57" s="107"/>
    </row>
    <row r="58" spans="2:4" x14ac:dyDescent="0.15">
      <c r="B58" s="174" t="s">
        <v>176</v>
      </c>
      <c r="C58" s="174" t="s">
        <v>188</v>
      </c>
      <c r="D58" s="107"/>
    </row>
    <row r="59" spans="2:4" x14ac:dyDescent="0.15">
      <c r="B59" s="174" t="s">
        <v>177</v>
      </c>
      <c r="C59" s="174" t="s">
        <v>189</v>
      </c>
      <c r="D59" s="107"/>
    </row>
    <row r="60" spans="2:4" x14ac:dyDescent="0.15">
      <c r="B60" s="174" t="s">
        <v>178</v>
      </c>
      <c r="C60" s="174" t="s">
        <v>190</v>
      </c>
      <c r="D60" s="107"/>
    </row>
    <row r="61" spans="2:4" x14ac:dyDescent="0.15">
      <c r="B61" s="174" t="s">
        <v>179</v>
      </c>
      <c r="C61" s="107">
        <v>39</v>
      </c>
      <c r="D61" s="107"/>
    </row>
    <row r="62" spans="2:4" x14ac:dyDescent="0.15">
      <c r="B62" s="174" t="s">
        <v>180</v>
      </c>
      <c r="C62" s="107">
        <v>1</v>
      </c>
      <c r="D62" s="107"/>
    </row>
    <row r="63" spans="2:4" x14ac:dyDescent="0.15">
      <c r="B63" s="174" t="s">
        <v>181</v>
      </c>
      <c r="C63" s="107">
        <v>1995</v>
      </c>
      <c r="D63" s="107"/>
    </row>
    <row r="64" spans="2:4" x14ac:dyDescent="0.15">
      <c r="B64" s="174" t="s">
        <v>182</v>
      </c>
      <c r="C64" s="107">
        <v>5</v>
      </c>
      <c r="D64" s="107"/>
    </row>
    <row r="65" spans="2:4" x14ac:dyDescent="0.15">
      <c r="B65" s="174" t="s">
        <v>183</v>
      </c>
      <c r="C65" s="174" t="s">
        <v>191</v>
      </c>
      <c r="D65" s="107"/>
    </row>
    <row r="66" spans="2:4" x14ac:dyDescent="0.15">
      <c r="B66" s="174" t="s">
        <v>184</v>
      </c>
      <c r="D66" s="107"/>
    </row>
    <row r="67" spans="2:4" x14ac:dyDescent="0.15">
      <c r="B67" s="107"/>
      <c r="C67" s="107"/>
      <c r="D67" s="107"/>
    </row>
    <row r="68" spans="2:4" x14ac:dyDescent="0.15">
      <c r="B68" s="107"/>
      <c r="C68" s="107"/>
      <c r="D68" s="107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topLeftCell="D1" workbookViewId="0">
      <pane ySplit="1" topLeftCell="A2" activePane="bottomLeft" state="frozenSplit"/>
      <selection activeCell="E1" sqref="E1"/>
      <selection pane="bottomLeft" activeCell="P15" sqref="P15"/>
    </sheetView>
  </sheetViews>
  <sheetFormatPr baseColWidth="10" defaultColWidth="8.83203125" defaultRowHeight="15" customHeight="1" x14ac:dyDescent="0.15"/>
  <cols>
    <col min="1" max="1" width="22.5" style="82" customWidth="1"/>
    <col min="2" max="3" width="3.33203125" style="82" customWidth="1"/>
    <col min="4" max="4" width="14.33203125" style="82" customWidth="1"/>
    <col min="5" max="5" width="21.6640625" style="82" bestFit="1" customWidth="1"/>
    <col min="6" max="6" width="2.33203125" style="82" bestFit="1" customWidth="1"/>
    <col min="7" max="7" width="12.83203125" style="82" bestFit="1" customWidth="1"/>
    <col min="8" max="8" width="11.83203125" style="82" customWidth="1"/>
    <col min="9" max="9" width="10.83203125" style="82" customWidth="1"/>
    <col min="10" max="11" width="13.83203125" style="82" customWidth="1"/>
    <col min="12" max="12" width="12.83203125" style="82" customWidth="1"/>
    <col min="13" max="14" width="3.83203125" style="82" customWidth="1"/>
    <col min="16" max="25" width="8.83203125" style="82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2"/>
  </cols>
  <sheetData>
    <row r="1" spans="1:46" s="99" customFormat="1" ht="15" customHeight="1" x14ac:dyDescent="0.15">
      <c r="A1" s="78" t="s">
        <v>18</v>
      </c>
      <c r="C1" s="79" t="s">
        <v>8</v>
      </c>
      <c r="D1" s="78" t="s">
        <v>23</v>
      </c>
      <c r="E1" s="78" t="s">
        <v>0</v>
      </c>
      <c r="F1" s="78" t="s">
        <v>7</v>
      </c>
      <c r="G1" s="80" t="s">
        <v>13</v>
      </c>
      <c r="H1" s="78" t="s">
        <v>1</v>
      </c>
      <c r="I1" s="78" t="s">
        <v>2</v>
      </c>
      <c r="J1" s="78" t="s">
        <v>14</v>
      </c>
      <c r="K1" s="78" t="s">
        <v>3</v>
      </c>
      <c r="L1" s="78" t="s">
        <v>4</v>
      </c>
      <c r="M1" s="78" t="s">
        <v>5</v>
      </c>
      <c r="N1" s="78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99">
        <v>1</v>
      </c>
      <c r="D2"/>
      <c r="E2" s="175" t="s">
        <v>192</v>
      </c>
      <c r="F2" s="82">
        <v>0</v>
      </c>
      <c r="G2" s="82">
        <v>0.26119999999999999</v>
      </c>
      <c r="H2" s="82">
        <v>0.04</v>
      </c>
      <c r="I2" s="6">
        <v>10.17</v>
      </c>
      <c r="J2" s="6">
        <v>0</v>
      </c>
      <c r="K2" s="6">
        <v>3.9331363499999997E-3</v>
      </c>
      <c r="L2" s="6">
        <v>0</v>
      </c>
      <c r="M2" s="82">
        <v>0.2</v>
      </c>
      <c r="N2" s="82">
        <v>-99</v>
      </c>
    </row>
    <row r="3" spans="1:46" ht="15" customHeight="1" x14ac:dyDescent="0.15">
      <c r="A3" s="1" t="s">
        <v>9</v>
      </c>
      <c r="B3" s="4">
        <v>38</v>
      </c>
      <c r="C3" s="82">
        <v>2</v>
      </c>
      <c r="D3"/>
      <c r="E3" s="175" t="s">
        <v>193</v>
      </c>
      <c r="F3" s="82">
        <v>0</v>
      </c>
      <c r="G3" s="82">
        <v>0.14199999999999999</v>
      </c>
      <c r="H3" s="82">
        <v>0.124</v>
      </c>
      <c r="I3" s="82">
        <v>11.8</v>
      </c>
      <c r="J3" s="82">
        <v>0.68150840000000001</v>
      </c>
      <c r="K3" s="82">
        <v>1.0508474E-2</v>
      </c>
      <c r="L3" s="277">
        <v>0</v>
      </c>
      <c r="M3" s="82">
        <v>0.2</v>
      </c>
      <c r="N3" s="82">
        <v>-99</v>
      </c>
      <c r="P3" s="60" t="s">
        <v>238</v>
      </c>
    </row>
    <row r="4" spans="1:46" ht="15" customHeight="1" x14ac:dyDescent="0.15">
      <c r="A4" s="1" t="s">
        <v>10</v>
      </c>
      <c r="B4" s="4">
        <v>2</v>
      </c>
      <c r="C4" s="82">
        <v>3</v>
      </c>
      <c r="D4"/>
      <c r="E4" s="175" t="s">
        <v>194</v>
      </c>
      <c r="F4" s="82">
        <v>0</v>
      </c>
      <c r="G4" s="82">
        <v>1.2E-2</v>
      </c>
      <c r="H4" s="82">
        <v>0.25</v>
      </c>
      <c r="I4" s="82">
        <v>55</v>
      </c>
      <c r="J4" s="82">
        <v>0.24341280000000001</v>
      </c>
      <c r="K4" s="82">
        <v>4.5454544000000001E-3</v>
      </c>
      <c r="L4" s="82">
        <v>0</v>
      </c>
      <c r="M4" s="82">
        <v>0.2</v>
      </c>
      <c r="N4" s="82">
        <v>-99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82">
        <v>4</v>
      </c>
      <c r="D5"/>
      <c r="E5" s="175" t="s">
        <v>195</v>
      </c>
      <c r="F5" s="82">
        <v>0</v>
      </c>
      <c r="G5" s="82">
        <v>7.2999999999999995E-2</v>
      </c>
      <c r="H5" s="82">
        <v>0.5</v>
      </c>
      <c r="I5" s="82">
        <v>1.95</v>
      </c>
      <c r="J5" s="82">
        <v>0.124141924</v>
      </c>
      <c r="K5" s="82">
        <v>0.25641024099999998</v>
      </c>
      <c r="L5" s="82">
        <v>0</v>
      </c>
      <c r="M5" s="82">
        <v>0.2</v>
      </c>
      <c r="N5" s="82">
        <v>-99</v>
      </c>
      <c r="P5" s="71"/>
      <c r="Q5" s="71"/>
      <c r="R5" s="71"/>
    </row>
    <row r="6" spans="1:46" ht="15" customHeight="1" thickBot="1" x14ac:dyDescent="0.2">
      <c r="B6" s="1"/>
      <c r="C6" s="82">
        <v>5</v>
      </c>
      <c r="D6"/>
      <c r="E6" s="175" t="s">
        <v>196</v>
      </c>
      <c r="F6" s="82">
        <v>0</v>
      </c>
      <c r="G6" s="82">
        <v>9.5000000000000001E-2</v>
      </c>
      <c r="H6" s="82">
        <v>1.4</v>
      </c>
      <c r="I6" s="82">
        <v>5</v>
      </c>
      <c r="J6" s="82">
        <v>0.97242683200000002</v>
      </c>
      <c r="K6" s="82">
        <v>0.28000000000000003</v>
      </c>
      <c r="L6" s="82">
        <v>0</v>
      </c>
      <c r="M6" s="82">
        <v>0.2</v>
      </c>
      <c r="N6" s="82">
        <v>-99</v>
      </c>
      <c r="P6" s="71"/>
      <c r="Q6" s="71"/>
      <c r="R6" s="71"/>
      <c r="W6" s="35" t="s">
        <v>31</v>
      </c>
      <c r="X6" s="51">
        <f>MAX(MainOutputs!G:G)</f>
        <v>0.98970329761505127</v>
      </c>
    </row>
    <row r="7" spans="1:46" ht="15" customHeight="1" x14ac:dyDescent="0.15">
      <c r="A7" s="2" t="s">
        <v>27</v>
      </c>
      <c r="B7" s="82">
        <f ca="1">COUNTIF(OFFSET(cornerDiets,1,1,NumLiving+NumDead+1,NumLiving+NumDead),"&gt;0")+NumLiving+NumDead+1</f>
        <v>518</v>
      </c>
      <c r="C7" s="82">
        <v>6</v>
      </c>
      <c r="D7"/>
      <c r="E7" s="175" t="s">
        <v>197</v>
      </c>
      <c r="F7" s="82">
        <v>0</v>
      </c>
      <c r="G7" s="82">
        <v>0.32916483299999999</v>
      </c>
      <c r="H7" s="82">
        <v>0.93437000000000003</v>
      </c>
      <c r="I7" s="82">
        <v>5.51</v>
      </c>
      <c r="J7" s="82">
        <v>0.316186458</v>
      </c>
      <c r="K7" s="82">
        <v>0.169577122</v>
      </c>
      <c r="L7" s="82">
        <v>0</v>
      </c>
      <c r="M7" s="82">
        <v>0.2</v>
      </c>
      <c r="N7" s="82">
        <v>-99</v>
      </c>
      <c r="P7" s="71"/>
      <c r="Q7" s="71"/>
      <c r="R7" s="71"/>
    </row>
    <row r="8" spans="1:46" ht="15" customHeight="1" x14ac:dyDescent="0.15">
      <c r="A8" s="2" t="s">
        <v>28</v>
      </c>
      <c r="B8" s="82">
        <f ca="1">COUNTIF(OFFSET(cornerFishing,1,2,NumLiving+NumDead,NumGears),"&gt;0")+NumDead*COUNTIF(OFFSET(cornerDiscards,1,2,NumLiving+NumDead,NumGears),"&gt;0")+NumLiving+NumDead+1</f>
        <v>64</v>
      </c>
      <c r="C8" s="82">
        <v>7</v>
      </c>
      <c r="D8"/>
      <c r="E8" s="175" t="s">
        <v>198</v>
      </c>
      <c r="F8" s="82">
        <v>0</v>
      </c>
      <c r="G8" s="82">
        <v>2.23</v>
      </c>
      <c r="H8" s="82">
        <v>1.0694600000000001</v>
      </c>
      <c r="I8" s="82">
        <v>5.8</v>
      </c>
      <c r="J8" s="82">
        <v>0.32195532300000002</v>
      </c>
      <c r="K8" s="82">
        <v>0.18438965099999999</v>
      </c>
      <c r="L8" s="82">
        <v>0</v>
      </c>
      <c r="M8" s="82">
        <v>0.2</v>
      </c>
      <c r="N8" s="82">
        <v>-99</v>
      </c>
      <c r="P8" s="71"/>
      <c r="Q8" s="71"/>
      <c r="R8" s="71"/>
    </row>
    <row r="9" spans="1:46" ht="15" customHeight="1" x14ac:dyDescent="0.15">
      <c r="B9" s="1"/>
      <c r="C9" s="82">
        <v>8</v>
      </c>
      <c r="D9"/>
      <c r="E9" s="175" t="s">
        <v>199</v>
      </c>
      <c r="F9" s="82">
        <v>0</v>
      </c>
      <c r="G9" s="82">
        <v>0.495</v>
      </c>
      <c r="H9" s="82">
        <v>0.55000000000000004</v>
      </c>
      <c r="I9" s="82">
        <v>4</v>
      </c>
      <c r="J9" s="82">
        <v>0.9616441</v>
      </c>
      <c r="K9" s="82">
        <v>0.13750000000000001</v>
      </c>
      <c r="L9" s="82">
        <v>0</v>
      </c>
      <c r="M9" s="82">
        <v>0.2</v>
      </c>
      <c r="N9" s="82">
        <v>-99</v>
      </c>
      <c r="P9" s="71"/>
      <c r="Q9" s="71"/>
      <c r="R9" s="71"/>
    </row>
    <row r="10" spans="1:46" ht="15" customHeight="1" x14ac:dyDescent="0.15">
      <c r="B10" s="1"/>
      <c r="C10" s="82">
        <v>9</v>
      </c>
      <c r="D10"/>
      <c r="E10" s="175" t="s">
        <v>200</v>
      </c>
      <c r="F10" s="82">
        <v>0</v>
      </c>
      <c r="G10" s="82">
        <v>0.60399999999999998</v>
      </c>
      <c r="H10" s="82">
        <v>0.21</v>
      </c>
      <c r="I10" s="82">
        <v>1.2</v>
      </c>
      <c r="J10" s="82">
        <v>0.989703059</v>
      </c>
      <c r="K10" s="82">
        <v>0.174999982</v>
      </c>
      <c r="L10" s="82">
        <v>0</v>
      </c>
      <c r="M10" s="82">
        <v>0.2</v>
      </c>
      <c r="N10" s="82">
        <v>-99</v>
      </c>
    </row>
    <row r="11" spans="1:46" ht="15" customHeight="1" x14ac:dyDescent="0.15">
      <c r="C11" s="82">
        <v>10</v>
      </c>
      <c r="D11"/>
      <c r="E11" s="175" t="s">
        <v>201</v>
      </c>
      <c r="F11" s="82">
        <v>0</v>
      </c>
      <c r="G11" s="82">
        <v>1.0999999999999999E-2</v>
      </c>
      <c r="H11" s="82">
        <v>0.5</v>
      </c>
      <c r="I11" s="82">
        <v>3.3333332499999999</v>
      </c>
      <c r="J11" s="82">
        <v>0.58751583100000004</v>
      </c>
      <c r="K11" s="82">
        <v>0.15</v>
      </c>
      <c r="L11" s="82">
        <v>0</v>
      </c>
      <c r="M11" s="82">
        <v>0.2</v>
      </c>
      <c r="N11" s="82">
        <v>-99</v>
      </c>
    </row>
    <row r="12" spans="1:46" ht="15" customHeight="1" x14ac:dyDescent="0.15">
      <c r="C12" s="82">
        <v>11</v>
      </c>
      <c r="D12"/>
      <c r="E12" s="175" t="s">
        <v>202</v>
      </c>
      <c r="F12" s="82">
        <v>0</v>
      </c>
      <c r="G12" s="82">
        <v>0.10100000000000001</v>
      </c>
      <c r="H12" s="82">
        <v>0.46</v>
      </c>
      <c r="I12" s="82">
        <v>2.75</v>
      </c>
      <c r="J12" s="82">
        <v>0.158104315</v>
      </c>
      <c r="K12" s="82">
        <v>0.16727273200000001</v>
      </c>
      <c r="L12" s="277">
        <v>0</v>
      </c>
      <c r="M12" s="82">
        <v>0.2</v>
      </c>
      <c r="N12" s="82">
        <v>-99</v>
      </c>
      <c r="P12" s="60" t="s">
        <v>239</v>
      </c>
    </row>
    <row r="13" spans="1:46" ht="15" customHeight="1" x14ac:dyDescent="0.15">
      <c r="C13" s="82">
        <v>12</v>
      </c>
      <c r="D13"/>
      <c r="E13" s="175" t="s">
        <v>203</v>
      </c>
      <c r="F13" s="82">
        <v>0</v>
      </c>
      <c r="G13" s="82">
        <v>0.66800000000000004</v>
      </c>
      <c r="H13" s="82">
        <v>0.31</v>
      </c>
      <c r="I13" s="82">
        <v>2.7</v>
      </c>
      <c r="J13" s="82">
        <v>0.88504640000000001</v>
      </c>
      <c r="K13" s="82">
        <v>0.11481481</v>
      </c>
      <c r="L13" s="82">
        <v>0</v>
      </c>
      <c r="M13" s="82">
        <v>0.2</v>
      </c>
      <c r="N13" s="82">
        <v>-99</v>
      </c>
    </row>
    <row r="14" spans="1:46" ht="15" customHeight="1" x14ac:dyDescent="0.15">
      <c r="C14" s="82">
        <v>13</v>
      </c>
      <c r="D14"/>
      <c r="E14" s="175" t="s">
        <v>204</v>
      </c>
      <c r="F14" s="82">
        <v>0</v>
      </c>
      <c r="G14" s="82">
        <v>9.8000000000000004E-2</v>
      </c>
      <c r="H14" s="82">
        <v>0.2</v>
      </c>
      <c r="I14" s="82">
        <v>1.88</v>
      </c>
      <c r="J14" s="82">
        <v>0.93990240000000003</v>
      </c>
      <c r="K14" s="82">
        <v>0.106382981</v>
      </c>
      <c r="L14" s="82">
        <v>0</v>
      </c>
      <c r="M14" s="82">
        <v>0.2</v>
      </c>
      <c r="N14" s="82">
        <v>-99</v>
      </c>
    </row>
    <row r="15" spans="1:46" ht="15" customHeight="1" x14ac:dyDescent="0.15">
      <c r="C15" s="82">
        <v>14</v>
      </c>
      <c r="D15"/>
      <c r="E15" s="175" t="s">
        <v>205</v>
      </c>
      <c r="F15" s="82">
        <v>0</v>
      </c>
      <c r="G15" s="82">
        <v>0.104617506</v>
      </c>
      <c r="H15" s="82">
        <v>0.21</v>
      </c>
      <c r="I15" s="82">
        <v>2</v>
      </c>
      <c r="J15" s="82">
        <v>0.13880159</v>
      </c>
      <c r="K15" s="82">
        <v>0.105</v>
      </c>
      <c r="L15" s="82">
        <v>0</v>
      </c>
      <c r="M15" s="82">
        <v>0.2</v>
      </c>
      <c r="N15" s="82">
        <v>-99</v>
      </c>
    </row>
    <row r="16" spans="1:46" ht="15" customHeight="1" x14ac:dyDescent="0.15">
      <c r="C16" s="82">
        <v>15</v>
      </c>
      <c r="D16"/>
      <c r="E16" s="175" t="s">
        <v>206</v>
      </c>
      <c r="F16" s="82">
        <v>0</v>
      </c>
      <c r="G16" s="82">
        <v>1.4</v>
      </c>
      <c r="H16" s="82">
        <v>0.3</v>
      </c>
      <c r="I16" s="82">
        <v>2</v>
      </c>
      <c r="J16" s="82">
        <v>0.96699667</v>
      </c>
      <c r="K16" s="82">
        <v>0.15</v>
      </c>
      <c r="L16" s="82">
        <v>0</v>
      </c>
      <c r="M16" s="82">
        <v>0.2</v>
      </c>
      <c r="N16" s="82">
        <v>-99</v>
      </c>
    </row>
    <row r="17" spans="1:22" ht="15" customHeight="1" x14ac:dyDescent="0.15">
      <c r="C17" s="82">
        <v>16</v>
      </c>
      <c r="D17"/>
      <c r="E17" s="175" t="s">
        <v>207</v>
      </c>
      <c r="F17" s="82">
        <v>0</v>
      </c>
      <c r="G17" s="82">
        <v>0.442</v>
      </c>
      <c r="H17" s="82">
        <v>0.30599999999999999</v>
      </c>
      <c r="I17" s="82">
        <v>3</v>
      </c>
      <c r="J17" s="82">
        <v>0.92765129999999996</v>
      </c>
      <c r="K17" s="82">
        <v>0.10199999999999999</v>
      </c>
      <c r="L17" s="82">
        <v>0</v>
      </c>
      <c r="M17" s="82">
        <v>0.2</v>
      </c>
      <c r="N17" s="82">
        <v>-99</v>
      </c>
      <c r="V17" s="1" t="s">
        <v>30</v>
      </c>
    </row>
    <row r="18" spans="1:22" ht="15" customHeight="1" x14ac:dyDescent="0.15">
      <c r="C18" s="82">
        <v>17</v>
      </c>
      <c r="D18"/>
      <c r="E18" s="175" t="s">
        <v>208</v>
      </c>
      <c r="F18" s="82">
        <v>0</v>
      </c>
      <c r="G18" s="82">
        <v>0.214</v>
      </c>
      <c r="H18" s="82">
        <v>0.28999999999999998</v>
      </c>
      <c r="I18" s="82">
        <v>2.2000000000000002</v>
      </c>
      <c r="J18" s="82">
        <v>0.75126403600000002</v>
      </c>
      <c r="K18" s="82">
        <v>0.13181817500000001</v>
      </c>
      <c r="L18" s="82">
        <v>0</v>
      </c>
      <c r="M18" s="82">
        <v>0.2</v>
      </c>
      <c r="N18" s="82">
        <v>-99</v>
      </c>
      <c r="V18" s="1"/>
    </row>
    <row r="19" spans="1:22" ht="15" customHeight="1" x14ac:dyDescent="0.15">
      <c r="C19" s="82">
        <v>18</v>
      </c>
      <c r="D19"/>
      <c r="E19" s="175" t="s">
        <v>209</v>
      </c>
      <c r="F19" s="82">
        <v>0</v>
      </c>
      <c r="G19" s="82">
        <v>4.8000000000000001E-2</v>
      </c>
      <c r="H19" s="82">
        <v>0.36299999999999999</v>
      </c>
      <c r="I19" s="82">
        <v>3</v>
      </c>
      <c r="J19" s="82">
        <v>0.7383478</v>
      </c>
      <c r="K19" s="82">
        <v>0.121</v>
      </c>
      <c r="L19" s="82">
        <v>0</v>
      </c>
      <c r="M19" s="82">
        <v>0.2</v>
      </c>
      <c r="N19" s="82">
        <v>-99</v>
      </c>
    </row>
    <row r="20" spans="1:22" ht="15" customHeight="1" thickBot="1" x14ac:dyDescent="0.2">
      <c r="C20" s="82">
        <v>19</v>
      </c>
      <c r="D20"/>
      <c r="E20" s="175" t="s">
        <v>210</v>
      </c>
      <c r="F20" s="82">
        <v>0</v>
      </c>
      <c r="G20" s="82">
        <v>7.8E-2</v>
      </c>
      <c r="H20" s="82">
        <v>0.78000003100000004</v>
      </c>
      <c r="I20" s="82">
        <v>5.2</v>
      </c>
      <c r="J20" s="82">
        <v>0.46556273100000001</v>
      </c>
      <c r="K20" s="82">
        <v>0.15</v>
      </c>
      <c r="L20" s="82">
        <v>0</v>
      </c>
      <c r="M20" s="82">
        <v>0.2</v>
      </c>
      <c r="N20" s="82">
        <v>0</v>
      </c>
    </row>
    <row r="21" spans="1:22" ht="15" customHeight="1" thickBot="1" x14ac:dyDescent="0.2">
      <c r="A21" s="46" t="s">
        <v>137</v>
      </c>
      <c r="B21" s="100"/>
      <c r="C21" s="82">
        <v>20</v>
      </c>
      <c r="D21"/>
      <c r="E21" s="175" t="s">
        <v>211</v>
      </c>
      <c r="F21" s="82">
        <v>0</v>
      </c>
      <c r="G21" s="82">
        <v>4.7E-2</v>
      </c>
      <c r="H21" s="82">
        <v>0.27400000000000002</v>
      </c>
      <c r="I21" s="82">
        <v>1.8266664699999999</v>
      </c>
      <c r="J21" s="82">
        <v>0.84736610000000001</v>
      </c>
      <c r="K21" s="82">
        <v>0.15</v>
      </c>
      <c r="L21" s="82">
        <v>0</v>
      </c>
      <c r="M21" s="82">
        <v>0.2</v>
      </c>
      <c r="N21" s="82">
        <v>-99</v>
      </c>
    </row>
    <row r="22" spans="1:22" ht="15" customHeight="1" x14ac:dyDescent="0.15">
      <c r="A22" s="101" t="s">
        <v>58</v>
      </c>
      <c r="B22" s="102">
        <v>0</v>
      </c>
      <c r="C22" s="82">
        <v>21</v>
      </c>
      <c r="D22"/>
      <c r="E22" s="175" t="s">
        <v>212</v>
      </c>
      <c r="F22" s="82">
        <v>0</v>
      </c>
      <c r="G22" s="82">
        <v>0.12</v>
      </c>
      <c r="H22" s="82">
        <v>0.6</v>
      </c>
      <c r="I22" s="82">
        <v>4</v>
      </c>
      <c r="J22" s="82">
        <v>0.93701064599999995</v>
      </c>
      <c r="K22" s="82">
        <v>0.15</v>
      </c>
      <c r="L22" s="82">
        <v>0</v>
      </c>
      <c r="M22" s="82">
        <v>0.2</v>
      </c>
      <c r="N22" s="82">
        <v>0</v>
      </c>
    </row>
    <row r="23" spans="1:22" ht="15" customHeight="1" x14ac:dyDescent="0.15">
      <c r="A23" s="101" t="s">
        <v>59</v>
      </c>
      <c r="B23" s="102">
        <v>1</v>
      </c>
      <c r="C23" s="82">
        <v>22</v>
      </c>
      <c r="D23"/>
      <c r="E23" s="175" t="s">
        <v>213</v>
      </c>
      <c r="F23" s="82">
        <v>0</v>
      </c>
      <c r="G23" s="82">
        <v>0.78</v>
      </c>
      <c r="H23" s="82">
        <v>0.65</v>
      </c>
      <c r="I23" s="82">
        <v>4.2699999999999996</v>
      </c>
      <c r="J23" s="82">
        <v>0.25653870000000001</v>
      </c>
      <c r="K23" s="82">
        <v>0.15222482400000001</v>
      </c>
      <c r="L23" s="82">
        <v>0</v>
      </c>
      <c r="M23" s="82">
        <v>0.2</v>
      </c>
      <c r="N23" s="82">
        <v>-99</v>
      </c>
    </row>
    <row r="24" spans="1:22" ht="15" customHeight="1" x14ac:dyDescent="0.15">
      <c r="A24" s="101" t="s">
        <v>60</v>
      </c>
      <c r="B24" s="102">
        <v>2</v>
      </c>
      <c r="C24" s="82">
        <v>23</v>
      </c>
      <c r="D24"/>
      <c r="E24" s="175" t="s">
        <v>214</v>
      </c>
      <c r="F24" s="82">
        <v>0</v>
      </c>
      <c r="G24" s="82">
        <v>2.9</v>
      </c>
      <c r="H24" s="82">
        <v>1.002</v>
      </c>
      <c r="I24" s="82">
        <v>6.68</v>
      </c>
      <c r="J24" s="82">
        <v>0.63895553400000005</v>
      </c>
      <c r="K24" s="82">
        <v>0.15</v>
      </c>
      <c r="L24" s="82">
        <v>0</v>
      </c>
      <c r="M24" s="82">
        <v>0.2</v>
      </c>
      <c r="N24" s="82">
        <v>0</v>
      </c>
    </row>
    <row r="25" spans="1:22" ht="15" customHeight="1" thickBot="1" x14ac:dyDescent="0.2">
      <c r="A25" s="103" t="s">
        <v>44</v>
      </c>
      <c r="B25" s="104">
        <v>3</v>
      </c>
      <c r="C25" s="82">
        <v>24</v>
      </c>
      <c r="D25"/>
      <c r="E25" s="175" t="s">
        <v>215</v>
      </c>
      <c r="F25" s="82">
        <v>0</v>
      </c>
      <c r="G25" s="82">
        <v>11.2</v>
      </c>
      <c r="H25" s="82">
        <v>0.62</v>
      </c>
      <c r="I25" s="82">
        <v>4.07</v>
      </c>
      <c r="J25" s="82">
        <v>0.716844857</v>
      </c>
      <c r="K25" s="82">
        <v>0.152334154</v>
      </c>
      <c r="L25" s="82">
        <v>0</v>
      </c>
      <c r="M25" s="82">
        <v>0.2</v>
      </c>
      <c r="N25" s="82">
        <v>-99</v>
      </c>
    </row>
    <row r="26" spans="1:22" ht="15" customHeight="1" x14ac:dyDescent="0.15">
      <c r="A26" s="105" t="s">
        <v>140</v>
      </c>
      <c r="C26" s="82">
        <v>25</v>
      </c>
      <c r="D26"/>
      <c r="E26" s="175" t="s">
        <v>216</v>
      </c>
      <c r="F26" s="82">
        <v>0</v>
      </c>
      <c r="G26" s="82">
        <v>4.6009175499999999E-2</v>
      </c>
      <c r="H26" s="82">
        <v>0.24</v>
      </c>
      <c r="I26" s="82">
        <v>2</v>
      </c>
      <c r="J26" s="82">
        <v>0.95</v>
      </c>
      <c r="K26" s="82">
        <v>0.12</v>
      </c>
      <c r="L26" s="82">
        <v>0</v>
      </c>
      <c r="M26" s="82">
        <v>0.2</v>
      </c>
      <c r="N26" s="82">
        <v>0</v>
      </c>
    </row>
    <row r="27" spans="1:22" ht="15" customHeight="1" x14ac:dyDescent="0.15">
      <c r="C27" s="82">
        <v>26</v>
      </c>
      <c r="D27"/>
      <c r="E27" s="175" t="s">
        <v>217</v>
      </c>
      <c r="F27" s="82">
        <v>0</v>
      </c>
      <c r="G27" s="82">
        <v>8.5</v>
      </c>
      <c r="H27" s="82">
        <v>0.46800000000000003</v>
      </c>
      <c r="I27" s="82">
        <v>4.5999999999999996</v>
      </c>
      <c r="J27" s="82">
        <v>0.19754116199999999</v>
      </c>
      <c r="K27" s="82">
        <v>0.101739131</v>
      </c>
      <c r="L27" s="82">
        <v>0</v>
      </c>
      <c r="M27" s="82">
        <v>0.2</v>
      </c>
      <c r="N27" s="82">
        <v>-99</v>
      </c>
    </row>
    <row r="28" spans="1:22" ht="15" customHeight="1" x14ac:dyDescent="0.15">
      <c r="C28" s="82">
        <v>27</v>
      </c>
      <c r="D28"/>
      <c r="E28" s="175" t="s">
        <v>218</v>
      </c>
      <c r="F28" s="82">
        <v>0</v>
      </c>
      <c r="G28" s="82">
        <v>0.42271462100000001</v>
      </c>
      <c r="H28" s="82">
        <v>1.4</v>
      </c>
      <c r="I28" s="82">
        <v>5</v>
      </c>
      <c r="J28" s="82">
        <v>0.95</v>
      </c>
      <c r="K28" s="82">
        <v>0.28000000000000003</v>
      </c>
      <c r="L28" s="82">
        <v>0</v>
      </c>
      <c r="M28" s="82">
        <v>0.2</v>
      </c>
      <c r="N28" s="82">
        <v>-99</v>
      </c>
    </row>
    <row r="29" spans="1:22" customFormat="1" ht="15" customHeight="1" x14ac:dyDescent="0.15">
      <c r="C29" s="82">
        <v>28</v>
      </c>
      <c r="E29" s="175" t="s">
        <v>219</v>
      </c>
      <c r="F29" s="82">
        <v>0</v>
      </c>
      <c r="G29" s="82">
        <v>0.52630840000000001</v>
      </c>
      <c r="H29" s="82">
        <v>0.66749999999999998</v>
      </c>
      <c r="I29" s="82">
        <v>4.45</v>
      </c>
      <c r="J29" s="82">
        <v>0.95</v>
      </c>
      <c r="K29" s="82">
        <v>0.15</v>
      </c>
      <c r="L29" s="82">
        <v>0</v>
      </c>
      <c r="M29" s="82">
        <v>0.2</v>
      </c>
      <c r="N29" s="82">
        <v>-99</v>
      </c>
    </row>
    <row r="30" spans="1:22" customFormat="1" ht="15" customHeight="1" x14ac:dyDescent="0.15">
      <c r="C30" s="82">
        <v>29</v>
      </c>
      <c r="E30" s="175" t="s">
        <v>220</v>
      </c>
      <c r="F30" s="82">
        <v>0</v>
      </c>
      <c r="G30" s="82">
        <v>0.308</v>
      </c>
      <c r="H30" s="82">
        <v>0.16</v>
      </c>
      <c r="I30" s="82">
        <v>1.2</v>
      </c>
      <c r="J30" s="82">
        <v>0.89882904299999999</v>
      </c>
      <c r="K30" s="82">
        <v>0.133333325</v>
      </c>
      <c r="L30" s="82">
        <v>0</v>
      </c>
      <c r="M30" s="82">
        <v>0.2</v>
      </c>
      <c r="N30" s="82">
        <v>-99</v>
      </c>
    </row>
    <row r="31" spans="1:22" customFormat="1" ht="15" customHeight="1" x14ac:dyDescent="0.15">
      <c r="C31" s="82">
        <v>30</v>
      </c>
      <c r="E31" s="175" t="s">
        <v>221</v>
      </c>
      <c r="F31" s="82">
        <v>0</v>
      </c>
      <c r="G31" s="82">
        <v>3.78</v>
      </c>
      <c r="H31" s="82">
        <v>0.3</v>
      </c>
      <c r="I31" s="82">
        <v>1.5</v>
      </c>
      <c r="J31" s="82">
        <v>0.29359263200000002</v>
      </c>
      <c r="K31" s="82">
        <v>0.2</v>
      </c>
      <c r="L31" s="82">
        <v>0</v>
      </c>
      <c r="M31" s="82">
        <v>0.2</v>
      </c>
      <c r="N31" s="82">
        <v>-99</v>
      </c>
    </row>
    <row r="32" spans="1:22" customFormat="1" ht="15" customHeight="1" x14ac:dyDescent="0.15">
      <c r="C32" s="82">
        <v>31</v>
      </c>
      <c r="E32" s="175" t="s">
        <v>222</v>
      </c>
      <c r="F32" s="82">
        <v>0</v>
      </c>
      <c r="G32" s="82">
        <v>13.57145</v>
      </c>
      <c r="H32" s="82">
        <v>1.7</v>
      </c>
      <c r="I32" s="82">
        <v>11.3</v>
      </c>
      <c r="J32" s="82">
        <v>0.95</v>
      </c>
      <c r="K32" s="82">
        <v>0.15044248099999999</v>
      </c>
      <c r="L32" s="82">
        <v>0</v>
      </c>
      <c r="M32" s="82">
        <v>0.2</v>
      </c>
      <c r="N32" s="82">
        <v>-99</v>
      </c>
    </row>
    <row r="33" spans="3:14" customFormat="1" ht="15" customHeight="1" x14ac:dyDescent="0.15">
      <c r="C33" s="82">
        <v>32</v>
      </c>
      <c r="E33" s="175" t="s">
        <v>223</v>
      </c>
      <c r="F33" s="82">
        <v>0</v>
      </c>
      <c r="G33" s="82">
        <v>63.7</v>
      </c>
      <c r="H33" s="82">
        <v>0.6</v>
      </c>
      <c r="I33" s="82">
        <v>6.7</v>
      </c>
      <c r="J33" s="82">
        <v>3.63816135E-2</v>
      </c>
      <c r="K33" s="82">
        <v>8.9552246000000002E-2</v>
      </c>
      <c r="L33" s="82">
        <v>0</v>
      </c>
      <c r="M33" s="82">
        <v>0.2</v>
      </c>
      <c r="N33" s="82">
        <v>-99</v>
      </c>
    </row>
    <row r="34" spans="3:14" customFormat="1" ht="15" customHeight="1" x14ac:dyDescent="0.15">
      <c r="C34" s="82">
        <v>33</v>
      </c>
      <c r="E34" s="175" t="s">
        <v>224</v>
      </c>
      <c r="F34" s="82">
        <v>0</v>
      </c>
      <c r="G34" s="82">
        <v>11.9</v>
      </c>
      <c r="H34" s="82">
        <v>2</v>
      </c>
      <c r="I34" s="82">
        <v>27.8</v>
      </c>
      <c r="J34" s="82">
        <v>0.46127653099999999</v>
      </c>
      <c r="K34" s="82">
        <v>7.1942450000000005E-2</v>
      </c>
      <c r="L34" s="82">
        <v>0</v>
      </c>
      <c r="M34" s="82">
        <v>0.2</v>
      </c>
      <c r="N34" s="82">
        <v>-99</v>
      </c>
    </row>
    <row r="35" spans="3:14" customFormat="1" ht="15" customHeight="1" x14ac:dyDescent="0.15">
      <c r="C35" s="82">
        <v>34</v>
      </c>
      <c r="E35" s="175" t="s">
        <v>225</v>
      </c>
      <c r="F35" s="82">
        <v>0</v>
      </c>
      <c r="G35" s="82">
        <v>57.4</v>
      </c>
      <c r="H35" s="82">
        <v>0.7</v>
      </c>
      <c r="I35" s="82">
        <v>7.7777770000000004</v>
      </c>
      <c r="J35" s="82">
        <v>5.8003896800000003E-3</v>
      </c>
      <c r="K35" s="82">
        <v>0.09</v>
      </c>
      <c r="L35" s="82">
        <v>0</v>
      </c>
      <c r="M35" s="82">
        <v>0.2</v>
      </c>
      <c r="N35" s="82">
        <v>-99</v>
      </c>
    </row>
    <row r="36" spans="3:14" customFormat="1" ht="15" customHeight="1" x14ac:dyDescent="0.15">
      <c r="C36" s="82">
        <v>35</v>
      </c>
      <c r="E36" s="175" t="s">
        <v>226</v>
      </c>
      <c r="F36" s="82">
        <v>0</v>
      </c>
      <c r="G36" s="82">
        <v>4.9000000000000004</v>
      </c>
      <c r="H36" s="82">
        <v>2.5</v>
      </c>
      <c r="I36" s="82">
        <v>12.5</v>
      </c>
      <c r="J36" s="82">
        <v>0.80526059999999999</v>
      </c>
      <c r="K36" s="82">
        <v>0.2</v>
      </c>
      <c r="L36" s="82">
        <v>0</v>
      </c>
      <c r="M36" s="82">
        <v>0.2</v>
      </c>
      <c r="N36" s="82">
        <v>-99</v>
      </c>
    </row>
    <row r="37" spans="3:14" customFormat="1" ht="15" customHeight="1" x14ac:dyDescent="0.15">
      <c r="C37" s="82">
        <v>36</v>
      </c>
      <c r="E37" s="175" t="s">
        <v>227</v>
      </c>
      <c r="F37" s="82">
        <v>0</v>
      </c>
      <c r="G37" s="82">
        <v>34.576439999999998</v>
      </c>
      <c r="H37" s="82">
        <v>3.04</v>
      </c>
      <c r="I37" s="82">
        <v>19.5</v>
      </c>
      <c r="J37" s="82">
        <v>0.95</v>
      </c>
      <c r="K37" s="82">
        <v>0.155897439</v>
      </c>
      <c r="L37" s="82">
        <v>0</v>
      </c>
      <c r="M37" s="82">
        <v>0.2</v>
      </c>
      <c r="N37" s="82">
        <v>-99</v>
      </c>
    </row>
    <row r="38" spans="3:14" customFormat="1" ht="15" customHeight="1" x14ac:dyDescent="0.15">
      <c r="C38" s="82">
        <v>37</v>
      </c>
      <c r="E38" s="175" t="s">
        <v>228</v>
      </c>
      <c r="F38" s="82">
        <v>0</v>
      </c>
      <c r="G38" s="82">
        <v>44</v>
      </c>
      <c r="H38" s="82">
        <v>8.4</v>
      </c>
      <c r="I38" s="82">
        <v>27.999998099999999</v>
      </c>
      <c r="J38" s="82">
        <v>0.95715004199999998</v>
      </c>
      <c r="K38" s="82">
        <v>0.3</v>
      </c>
      <c r="L38" s="82">
        <v>0</v>
      </c>
      <c r="M38" s="82">
        <v>0.2</v>
      </c>
      <c r="N38" s="82">
        <v>-99</v>
      </c>
    </row>
    <row r="39" spans="3:14" customFormat="1" ht="15" customHeight="1" x14ac:dyDescent="0.15">
      <c r="C39" s="82">
        <v>38</v>
      </c>
      <c r="E39" s="175" t="s">
        <v>229</v>
      </c>
      <c r="F39" s="82">
        <v>1</v>
      </c>
      <c r="G39" s="82">
        <v>43.562759999999997</v>
      </c>
      <c r="H39" s="82">
        <v>52.197629999999997</v>
      </c>
      <c r="I39" s="82">
        <v>0</v>
      </c>
      <c r="J39" s="82">
        <v>0.75542443999999997</v>
      </c>
      <c r="K39" s="82">
        <v>0</v>
      </c>
      <c r="L39" s="82">
        <v>0</v>
      </c>
      <c r="M39" s="82">
        <v>0</v>
      </c>
      <c r="N39" s="82">
        <v>-99</v>
      </c>
    </row>
    <row r="40" spans="3:14" customFormat="1" ht="15" customHeight="1" x14ac:dyDescent="0.15">
      <c r="C40" s="82">
        <v>39</v>
      </c>
      <c r="E40" s="175" t="s">
        <v>230</v>
      </c>
      <c r="F40" s="82">
        <v>2</v>
      </c>
      <c r="G40" s="82">
        <v>187</v>
      </c>
      <c r="H40" s="82">
        <v>0</v>
      </c>
      <c r="I40" s="82">
        <v>0</v>
      </c>
      <c r="J40" s="82">
        <v>0.99895822999999995</v>
      </c>
      <c r="K40" s="82">
        <v>0</v>
      </c>
      <c r="L40" s="82">
        <v>0.6379669</v>
      </c>
      <c r="M40" s="82">
        <v>0</v>
      </c>
      <c r="N40" s="82">
        <v>0</v>
      </c>
    </row>
    <row r="41" spans="3:14" customFormat="1" ht="15" customHeight="1" x14ac:dyDescent="0.15">
      <c r="C41" s="82">
        <v>40</v>
      </c>
      <c r="E41" s="175" t="s">
        <v>231</v>
      </c>
      <c r="F41" s="82">
        <v>2</v>
      </c>
      <c r="G41" s="82">
        <v>5</v>
      </c>
      <c r="H41" s="82">
        <v>0</v>
      </c>
      <c r="I41" s="82">
        <v>0</v>
      </c>
      <c r="J41" s="82">
        <v>0</v>
      </c>
      <c r="K41" s="82">
        <v>0</v>
      </c>
      <c r="L41" s="82">
        <v>0</v>
      </c>
      <c r="M41" s="82">
        <v>0</v>
      </c>
      <c r="N41" s="82">
        <v>0</v>
      </c>
    </row>
    <row r="42" spans="3:14" customFormat="1" ht="15" customHeight="1" x14ac:dyDescent="0.15">
      <c r="C42" s="82">
        <v>41</v>
      </c>
      <c r="E42" s="175" t="s">
        <v>232</v>
      </c>
      <c r="F42" s="82">
        <v>3</v>
      </c>
      <c r="G42" s="82">
        <v>0</v>
      </c>
      <c r="H42" s="82">
        <v>0</v>
      </c>
      <c r="I42" s="82">
        <v>0</v>
      </c>
      <c r="J42" s="82">
        <v>0</v>
      </c>
      <c r="K42" s="82">
        <v>0</v>
      </c>
      <c r="L42" s="82">
        <v>0</v>
      </c>
      <c r="M42" s="82">
        <v>0</v>
      </c>
      <c r="N42" s="82">
        <v>0</v>
      </c>
    </row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O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41" bestFit="1" customWidth="1"/>
    <col min="2" max="2" width="14.83203125" style="141" bestFit="1" customWidth="1"/>
    <col min="3" max="3" width="15.83203125" style="141" bestFit="1" customWidth="1"/>
    <col min="4" max="7" width="8.83203125" style="141" bestFit="1" customWidth="1"/>
    <col min="8" max="8" width="15.83203125" style="141" bestFit="1" customWidth="1"/>
    <col min="9" max="9" width="8.83203125" style="141" bestFit="1" customWidth="1"/>
    <col min="10" max="10" width="14.83203125" style="141" bestFit="1" customWidth="1"/>
    <col min="11" max="11" width="8.83203125" style="141" bestFit="1" customWidth="1"/>
    <col min="12" max="12" width="14.83203125" style="141" bestFit="1" customWidth="1"/>
    <col min="13" max="13" width="6.83203125" style="141" bestFit="1" customWidth="1"/>
    <col min="14" max="15" width="14.83203125" style="141" bestFit="1" customWidth="1"/>
    <col min="16" max="16" width="8.83203125" style="141" bestFit="1" customWidth="1"/>
    <col min="17" max="17" width="15.5" style="141" bestFit="1" customWidth="1"/>
    <col min="18" max="18" width="7.83203125" style="141" bestFit="1" customWidth="1"/>
    <col min="19" max="20" width="14.83203125" style="141" bestFit="1" customWidth="1"/>
    <col min="21" max="22" width="8.83203125" style="141" bestFit="1" customWidth="1"/>
    <col min="23" max="23" width="14.83203125" style="141" bestFit="1" customWidth="1"/>
    <col min="24" max="25" width="8.83203125" style="141" bestFit="1" customWidth="1"/>
    <col min="26" max="27" width="5.83203125" style="141" bestFit="1" customWidth="1"/>
    <col min="28" max="28" width="4.83203125" style="141" bestFit="1" customWidth="1"/>
    <col min="29" max="29" width="14.83203125" style="141" bestFit="1" customWidth="1"/>
    <col min="30" max="30" width="14.83203125" style="141" customWidth="1"/>
    <col min="31" max="31" width="8.83203125" style="141" customWidth="1"/>
    <col min="32" max="32" width="5.83203125" style="141" customWidth="1"/>
    <col min="33" max="34" width="2.33203125" style="141" customWidth="1"/>
    <col min="35" max="35" width="3.83203125" style="141" customWidth="1"/>
    <col min="36" max="36" width="2.33203125" style="141" customWidth="1"/>
    <col min="37" max="37" width="4.83203125" style="141" customWidth="1"/>
    <col min="38" max="41" width="2.33203125" style="141" customWidth="1"/>
    <col min="42" max="16384" width="8.83203125" style="141"/>
  </cols>
  <sheetData>
    <row r="1" spans="1:41" x14ac:dyDescent="0.15">
      <c r="A1" s="140" t="s">
        <v>19</v>
      </c>
      <c r="B1" s="177" t="s">
        <v>192</v>
      </c>
      <c r="C1" s="177" t="s">
        <v>193</v>
      </c>
      <c r="D1" s="177" t="s">
        <v>194</v>
      </c>
      <c r="E1" s="177" t="s">
        <v>195</v>
      </c>
      <c r="F1" s="177" t="s">
        <v>196</v>
      </c>
      <c r="G1" s="177" t="s">
        <v>197</v>
      </c>
      <c r="H1" s="177" t="s">
        <v>198</v>
      </c>
      <c r="I1" s="177" t="s">
        <v>199</v>
      </c>
      <c r="J1" s="177" t="s">
        <v>200</v>
      </c>
      <c r="K1" s="177" t="s">
        <v>201</v>
      </c>
      <c r="L1" s="177" t="s">
        <v>202</v>
      </c>
      <c r="M1" s="177" t="s">
        <v>203</v>
      </c>
      <c r="N1" s="177" t="s">
        <v>204</v>
      </c>
      <c r="O1" s="177" t="s">
        <v>205</v>
      </c>
      <c r="P1" s="177" t="s">
        <v>206</v>
      </c>
      <c r="Q1" s="177" t="s">
        <v>207</v>
      </c>
      <c r="R1" s="177" t="s">
        <v>208</v>
      </c>
      <c r="S1" s="177" t="s">
        <v>209</v>
      </c>
      <c r="T1" s="177" t="s">
        <v>210</v>
      </c>
      <c r="U1" s="177" t="s">
        <v>211</v>
      </c>
      <c r="V1" s="177" t="s">
        <v>212</v>
      </c>
      <c r="W1" s="177" t="s">
        <v>213</v>
      </c>
      <c r="X1" s="177" t="s">
        <v>214</v>
      </c>
      <c r="Y1" s="177" t="s">
        <v>215</v>
      </c>
      <c r="Z1" s="177" t="s">
        <v>216</v>
      </c>
      <c r="AA1" s="177" t="s">
        <v>217</v>
      </c>
      <c r="AB1" s="177" t="s">
        <v>218</v>
      </c>
      <c r="AC1" s="177" t="s">
        <v>219</v>
      </c>
      <c r="AD1" s="177" t="s">
        <v>220</v>
      </c>
      <c r="AE1" s="177" t="s">
        <v>221</v>
      </c>
      <c r="AF1" s="177" t="s">
        <v>222</v>
      </c>
      <c r="AG1" s="177" t="s">
        <v>223</v>
      </c>
      <c r="AH1" s="177" t="s">
        <v>224</v>
      </c>
      <c r="AI1" s="177" t="s">
        <v>225</v>
      </c>
      <c r="AJ1" s="177" t="s">
        <v>226</v>
      </c>
      <c r="AK1" s="177" t="s">
        <v>227</v>
      </c>
      <c r="AL1" s="177" t="s">
        <v>228</v>
      </c>
      <c r="AM1" s="177" t="s">
        <v>229</v>
      </c>
      <c r="AN1" s="177" t="s">
        <v>230</v>
      </c>
      <c r="AO1" s="177" t="s">
        <v>231</v>
      </c>
    </row>
    <row r="2" spans="1:41" customFormat="1" x14ac:dyDescent="0.15">
      <c r="A2" s="176" t="s">
        <v>192</v>
      </c>
      <c r="B2" s="141">
        <v>0</v>
      </c>
      <c r="C2" s="141">
        <v>0</v>
      </c>
      <c r="D2" s="141">
        <v>0</v>
      </c>
      <c r="E2" s="141">
        <v>0</v>
      </c>
      <c r="F2" s="141">
        <v>0</v>
      </c>
      <c r="G2" s="141">
        <v>0</v>
      </c>
      <c r="H2" s="141">
        <v>0</v>
      </c>
      <c r="I2" s="141">
        <v>0</v>
      </c>
      <c r="J2" s="141">
        <v>0</v>
      </c>
      <c r="K2" s="141">
        <v>0</v>
      </c>
      <c r="L2" s="141">
        <v>0</v>
      </c>
      <c r="M2" s="141">
        <v>0</v>
      </c>
      <c r="N2" s="141">
        <v>0</v>
      </c>
      <c r="O2" s="141">
        <v>0</v>
      </c>
      <c r="P2" s="141">
        <v>0</v>
      </c>
      <c r="Q2" s="141">
        <v>0</v>
      </c>
      <c r="R2" s="141">
        <v>0</v>
      </c>
      <c r="S2" s="141">
        <v>0</v>
      </c>
      <c r="T2" s="141">
        <v>0</v>
      </c>
      <c r="U2" s="141">
        <v>0</v>
      </c>
      <c r="V2" s="141">
        <v>0</v>
      </c>
      <c r="W2" s="141">
        <v>0</v>
      </c>
      <c r="X2" s="141">
        <v>0</v>
      </c>
      <c r="Y2" s="141">
        <v>0</v>
      </c>
      <c r="Z2" s="141">
        <v>0</v>
      </c>
      <c r="AA2" s="141">
        <v>0</v>
      </c>
      <c r="AB2" s="141">
        <v>0</v>
      </c>
      <c r="AC2" s="141">
        <v>0</v>
      </c>
      <c r="AD2" s="141">
        <v>0</v>
      </c>
      <c r="AE2" s="141">
        <v>0</v>
      </c>
      <c r="AF2" s="141">
        <v>0</v>
      </c>
      <c r="AG2" s="141">
        <v>0</v>
      </c>
      <c r="AH2" s="141">
        <v>0</v>
      </c>
      <c r="AI2" s="141">
        <v>0</v>
      </c>
      <c r="AJ2" s="141">
        <v>0</v>
      </c>
      <c r="AK2" s="141">
        <v>0</v>
      </c>
      <c r="AL2" s="141">
        <v>0</v>
      </c>
      <c r="AM2" s="141">
        <v>0</v>
      </c>
      <c r="AN2" s="141">
        <v>0</v>
      </c>
      <c r="AO2" s="141">
        <v>0</v>
      </c>
    </row>
    <row r="3" spans="1:41" customFormat="1" x14ac:dyDescent="0.15">
      <c r="A3" s="176" t="s">
        <v>193</v>
      </c>
      <c r="B3" s="141">
        <v>0</v>
      </c>
      <c r="C3" s="141">
        <v>0</v>
      </c>
      <c r="D3" s="141">
        <v>0</v>
      </c>
      <c r="E3" s="141">
        <v>0</v>
      </c>
      <c r="F3" s="141">
        <v>0</v>
      </c>
      <c r="G3" s="141">
        <v>0</v>
      </c>
      <c r="H3" s="141">
        <v>0</v>
      </c>
      <c r="I3" s="141">
        <v>0</v>
      </c>
      <c r="J3" s="141">
        <v>0</v>
      </c>
      <c r="K3" s="141">
        <v>0</v>
      </c>
      <c r="L3" s="141">
        <v>0</v>
      </c>
      <c r="M3" s="141">
        <v>0</v>
      </c>
      <c r="N3" s="141">
        <v>0</v>
      </c>
      <c r="O3" s="141">
        <v>0</v>
      </c>
      <c r="P3" s="141">
        <v>0</v>
      </c>
      <c r="Q3" s="141">
        <v>0</v>
      </c>
      <c r="R3" s="141">
        <v>0</v>
      </c>
      <c r="S3" s="141">
        <v>0</v>
      </c>
      <c r="T3" s="141">
        <v>0</v>
      </c>
      <c r="U3" s="141">
        <v>0</v>
      </c>
      <c r="V3" s="141">
        <v>0</v>
      </c>
      <c r="W3" s="141">
        <v>0</v>
      </c>
      <c r="X3" s="141">
        <v>0</v>
      </c>
      <c r="Y3" s="141">
        <v>0</v>
      </c>
      <c r="Z3" s="141">
        <v>0</v>
      </c>
      <c r="AA3" s="141">
        <v>0</v>
      </c>
      <c r="AB3" s="141">
        <v>0</v>
      </c>
      <c r="AC3" s="141">
        <v>0</v>
      </c>
      <c r="AD3" s="141">
        <v>0</v>
      </c>
      <c r="AE3" s="141">
        <v>0</v>
      </c>
      <c r="AF3" s="141">
        <v>0</v>
      </c>
      <c r="AG3" s="141">
        <v>0</v>
      </c>
      <c r="AH3" s="141">
        <v>0</v>
      </c>
      <c r="AI3" s="141">
        <v>0</v>
      </c>
      <c r="AJ3" s="141">
        <v>0</v>
      </c>
      <c r="AK3" s="141">
        <v>0</v>
      </c>
      <c r="AL3" s="141">
        <v>0</v>
      </c>
      <c r="AM3" s="141">
        <v>0</v>
      </c>
      <c r="AN3" s="141">
        <v>0</v>
      </c>
      <c r="AO3" s="141">
        <v>0</v>
      </c>
    </row>
    <row r="4" spans="1:41" customFormat="1" x14ac:dyDescent="0.15">
      <c r="A4" s="176" t="s">
        <v>194</v>
      </c>
      <c r="B4" s="141">
        <v>0</v>
      </c>
      <c r="C4" s="141">
        <v>0</v>
      </c>
      <c r="D4" s="141">
        <v>9.6700000000000009E-4</v>
      </c>
      <c r="E4" s="141">
        <v>0</v>
      </c>
      <c r="F4" s="141">
        <v>0</v>
      </c>
      <c r="G4" s="141">
        <v>0</v>
      </c>
      <c r="H4" s="141">
        <v>0</v>
      </c>
      <c r="I4" s="141">
        <v>0</v>
      </c>
      <c r="J4" s="141">
        <v>0</v>
      </c>
      <c r="K4" s="141">
        <v>0</v>
      </c>
      <c r="L4" s="141">
        <v>0</v>
      </c>
      <c r="M4" s="141">
        <v>0</v>
      </c>
      <c r="N4" s="141">
        <v>0</v>
      </c>
      <c r="O4" s="141">
        <v>0</v>
      </c>
      <c r="P4" s="141">
        <v>0</v>
      </c>
      <c r="Q4" s="141">
        <v>0</v>
      </c>
      <c r="R4" s="141">
        <v>0</v>
      </c>
      <c r="S4" s="141">
        <v>0</v>
      </c>
      <c r="T4" s="141">
        <v>0</v>
      </c>
      <c r="U4" s="141">
        <v>0</v>
      </c>
      <c r="V4" s="141">
        <v>0</v>
      </c>
      <c r="W4" s="141">
        <v>0</v>
      </c>
      <c r="X4" s="141">
        <v>0</v>
      </c>
      <c r="Y4" s="141">
        <v>0</v>
      </c>
      <c r="Z4" s="141">
        <v>1E-3</v>
      </c>
      <c r="AA4" s="141">
        <v>0</v>
      </c>
      <c r="AB4" s="141">
        <v>0</v>
      </c>
      <c r="AC4" s="141">
        <v>0</v>
      </c>
      <c r="AD4" s="141">
        <v>0</v>
      </c>
      <c r="AE4" s="141">
        <v>0</v>
      </c>
      <c r="AF4" s="141">
        <v>0</v>
      </c>
      <c r="AG4" s="141">
        <v>0</v>
      </c>
      <c r="AH4" s="141">
        <v>0</v>
      </c>
      <c r="AI4" s="141">
        <v>0</v>
      </c>
      <c r="AJ4" s="141">
        <v>0</v>
      </c>
      <c r="AK4" s="141">
        <v>0</v>
      </c>
      <c r="AL4" s="141">
        <v>0</v>
      </c>
      <c r="AM4" s="141">
        <v>0</v>
      </c>
      <c r="AN4" s="141">
        <v>0</v>
      </c>
      <c r="AO4" s="141">
        <v>0</v>
      </c>
    </row>
    <row r="5" spans="1:41" customFormat="1" x14ac:dyDescent="0.15">
      <c r="A5" s="176" t="s">
        <v>195</v>
      </c>
      <c r="B5" s="141">
        <v>0</v>
      </c>
      <c r="C5" s="141">
        <v>9.6635599458840666E-4</v>
      </c>
      <c r="D5" s="141">
        <v>0</v>
      </c>
      <c r="E5" s="141">
        <v>0</v>
      </c>
      <c r="F5" s="141">
        <v>0</v>
      </c>
      <c r="G5" s="141">
        <v>0</v>
      </c>
      <c r="H5" s="141">
        <v>0</v>
      </c>
      <c r="I5" s="141">
        <v>0</v>
      </c>
      <c r="J5" s="141">
        <v>0</v>
      </c>
      <c r="K5" s="141">
        <v>0</v>
      </c>
      <c r="L5" s="141">
        <v>0</v>
      </c>
      <c r="M5" s="141">
        <v>0</v>
      </c>
      <c r="N5" s="141">
        <v>0</v>
      </c>
      <c r="O5" s="141">
        <v>4.9400049400049402E-4</v>
      </c>
      <c r="P5" s="141">
        <v>0</v>
      </c>
      <c r="Q5" s="141">
        <v>0</v>
      </c>
      <c r="R5" s="141">
        <v>0</v>
      </c>
      <c r="S5" s="141">
        <v>8.929982140035718E-4</v>
      </c>
      <c r="T5" s="141">
        <v>0</v>
      </c>
      <c r="U5" s="141">
        <v>0</v>
      </c>
      <c r="V5" s="141">
        <v>0</v>
      </c>
      <c r="W5" s="141">
        <v>0</v>
      </c>
      <c r="X5" s="141">
        <v>0</v>
      </c>
      <c r="Y5" s="141">
        <v>0</v>
      </c>
      <c r="Z5" s="141">
        <v>0</v>
      </c>
      <c r="AA5" s="141">
        <v>0</v>
      </c>
      <c r="AB5" s="141">
        <v>0</v>
      </c>
      <c r="AC5" s="141">
        <v>0</v>
      </c>
      <c r="AD5" s="141">
        <v>0</v>
      </c>
      <c r="AE5" s="141">
        <v>0</v>
      </c>
      <c r="AF5" s="141">
        <v>0</v>
      </c>
      <c r="AG5" s="141">
        <v>0</v>
      </c>
      <c r="AH5" s="141">
        <v>0</v>
      </c>
      <c r="AI5" s="141">
        <v>0</v>
      </c>
      <c r="AJ5" s="141">
        <v>0</v>
      </c>
      <c r="AK5" s="141">
        <v>0</v>
      </c>
      <c r="AL5" s="141">
        <v>0</v>
      </c>
      <c r="AM5" s="141">
        <v>0</v>
      </c>
      <c r="AN5" s="141">
        <v>0</v>
      </c>
      <c r="AO5" s="141">
        <v>0</v>
      </c>
    </row>
    <row r="6" spans="1:41" customFormat="1" x14ac:dyDescent="0.15">
      <c r="A6" s="176" t="s">
        <v>196</v>
      </c>
      <c r="B6" s="141">
        <v>5.7259942740057268E-3</v>
      </c>
      <c r="C6" s="141">
        <v>1.4488583318863936E-2</v>
      </c>
      <c r="D6" s="141">
        <v>4.791000000000001E-3</v>
      </c>
      <c r="E6" s="141">
        <v>8.0089000000000007E-2</v>
      </c>
      <c r="F6" s="141">
        <v>1.9940000000000001E-3</v>
      </c>
      <c r="G6" s="141">
        <v>1.0031E-2</v>
      </c>
      <c r="H6" s="141">
        <v>0</v>
      </c>
      <c r="I6" s="141">
        <v>8.9899999999999995E-4</v>
      </c>
      <c r="J6" s="141">
        <v>0</v>
      </c>
      <c r="K6" s="141">
        <v>3.125E-2</v>
      </c>
      <c r="L6" s="141">
        <v>0</v>
      </c>
      <c r="M6" s="141">
        <v>0</v>
      </c>
      <c r="N6" s="141">
        <v>3.1099968900031102E-4</v>
      </c>
      <c r="O6" s="141">
        <v>5.437005437005437E-3</v>
      </c>
      <c r="P6" s="141">
        <v>0</v>
      </c>
      <c r="Q6" s="141">
        <v>1.2794310443863446E-3</v>
      </c>
      <c r="R6" s="141">
        <v>0</v>
      </c>
      <c r="S6" s="141">
        <v>2.0817958364083265E-2</v>
      </c>
      <c r="T6" s="141">
        <v>5.3647946352053652E-2</v>
      </c>
      <c r="U6" s="141">
        <v>2.2857999999999996E-2</v>
      </c>
      <c r="V6" s="141">
        <v>1.2043999999999999E-2</v>
      </c>
      <c r="W6" s="141">
        <v>5.0999949000051013E-4</v>
      </c>
      <c r="X6" s="141">
        <v>0</v>
      </c>
      <c r="Y6" s="141">
        <v>0</v>
      </c>
      <c r="Z6" s="141">
        <v>0</v>
      </c>
      <c r="AA6" s="141">
        <v>0</v>
      </c>
      <c r="AB6" s="141">
        <v>0</v>
      </c>
      <c r="AC6" s="141">
        <v>6.8849862300275405E-3</v>
      </c>
      <c r="AD6" s="141">
        <v>0</v>
      </c>
      <c r="AE6" s="141">
        <v>0</v>
      </c>
      <c r="AF6" s="141">
        <v>0</v>
      </c>
      <c r="AG6" s="141">
        <v>0</v>
      </c>
      <c r="AH6" s="141">
        <v>0</v>
      </c>
      <c r="AI6" s="141">
        <v>0</v>
      </c>
      <c r="AJ6" s="141">
        <v>0</v>
      </c>
      <c r="AK6" s="141">
        <v>0</v>
      </c>
      <c r="AL6" s="141">
        <v>0</v>
      </c>
      <c r="AM6" s="141">
        <v>0</v>
      </c>
      <c r="AN6" s="141">
        <v>0</v>
      </c>
      <c r="AO6" s="141">
        <v>0</v>
      </c>
    </row>
    <row r="7" spans="1:41" customFormat="1" x14ac:dyDescent="0.15">
      <c r="A7" s="176" t="s">
        <v>197</v>
      </c>
      <c r="B7" s="141">
        <v>0</v>
      </c>
      <c r="C7" s="141">
        <v>5.1864349709559651E-3</v>
      </c>
      <c r="D7" s="141">
        <v>0</v>
      </c>
      <c r="E7" s="141">
        <v>0</v>
      </c>
      <c r="F7" s="141">
        <v>0</v>
      </c>
      <c r="G7" s="141">
        <v>1.2184E-2</v>
      </c>
      <c r="H7" s="141">
        <v>0</v>
      </c>
      <c r="I7" s="141">
        <v>0</v>
      </c>
      <c r="J7" s="141">
        <v>0</v>
      </c>
      <c r="K7" s="141">
        <v>0</v>
      </c>
      <c r="L7" s="141">
        <v>0</v>
      </c>
      <c r="M7" s="141">
        <v>0</v>
      </c>
      <c r="N7" s="141">
        <v>0</v>
      </c>
      <c r="O7" s="141">
        <v>1.0870010870010871E-3</v>
      </c>
      <c r="P7" s="141">
        <v>0</v>
      </c>
      <c r="Q7" s="141">
        <v>0</v>
      </c>
      <c r="R7" s="141">
        <v>0</v>
      </c>
      <c r="S7" s="141">
        <v>1.0899978200043598E-4</v>
      </c>
      <c r="T7" s="141">
        <v>0</v>
      </c>
      <c r="U7" s="141">
        <v>0</v>
      </c>
      <c r="V7" s="141">
        <v>0</v>
      </c>
      <c r="W7" s="141">
        <v>0</v>
      </c>
      <c r="X7" s="141">
        <v>0</v>
      </c>
      <c r="Y7" s="141">
        <v>0</v>
      </c>
      <c r="Z7" s="141">
        <v>6.7000000000000004E-2</v>
      </c>
      <c r="AA7" s="141">
        <v>0</v>
      </c>
      <c r="AB7" s="141">
        <v>0</v>
      </c>
      <c r="AC7" s="141">
        <v>0</v>
      </c>
      <c r="AD7" s="141">
        <v>0</v>
      </c>
      <c r="AE7" s="141">
        <v>0</v>
      </c>
      <c r="AF7" s="141">
        <v>0</v>
      </c>
      <c r="AG7" s="141">
        <v>0</v>
      </c>
      <c r="AH7" s="141">
        <v>0</v>
      </c>
      <c r="AI7" s="141">
        <v>0</v>
      </c>
      <c r="AJ7" s="141">
        <v>0</v>
      </c>
      <c r="AK7" s="141">
        <v>0</v>
      </c>
      <c r="AL7" s="141">
        <v>0</v>
      </c>
      <c r="AM7" s="141">
        <v>0</v>
      </c>
      <c r="AN7" s="141">
        <v>0</v>
      </c>
      <c r="AO7" s="141">
        <v>0</v>
      </c>
    </row>
    <row r="8" spans="1:41" customFormat="1" x14ac:dyDescent="0.15">
      <c r="A8" s="176" t="s">
        <v>198</v>
      </c>
      <c r="B8" s="141">
        <v>6.6189933810066196E-3</v>
      </c>
      <c r="C8" s="141">
        <v>2.7247387747414635E-2</v>
      </c>
      <c r="D8" s="141">
        <v>0</v>
      </c>
      <c r="E8" s="141">
        <v>7.3030000000000005E-3</v>
      </c>
      <c r="F8" s="141">
        <v>1.9940000000000001E-3</v>
      </c>
      <c r="G8" s="141">
        <v>5.4433000000000002E-2</v>
      </c>
      <c r="H8" s="141">
        <v>1.2060998793900121E-2</v>
      </c>
      <c r="I8" s="141">
        <v>6.9899999999999997E-4</v>
      </c>
      <c r="J8" s="141">
        <v>5.9639940360059632E-3</v>
      </c>
      <c r="K8" s="141">
        <v>6.25E-2</v>
      </c>
      <c r="L8" s="141">
        <v>2.9440029440029442E-3</v>
      </c>
      <c r="M8" s="141">
        <v>0</v>
      </c>
      <c r="N8" s="141">
        <v>3.1389968610031392E-3</v>
      </c>
      <c r="O8" s="141">
        <v>0.19682919682919683</v>
      </c>
      <c r="P8" s="141">
        <v>0</v>
      </c>
      <c r="Q8" s="141">
        <v>2.9069904145614434E-2</v>
      </c>
      <c r="R8" s="141">
        <v>0</v>
      </c>
      <c r="S8" s="141">
        <v>0.12956674086651823</v>
      </c>
      <c r="T8" s="141">
        <v>5.971194028805972E-2</v>
      </c>
      <c r="U8" s="141">
        <v>4.4629999999999991E-3</v>
      </c>
      <c r="V8" s="141">
        <v>0</v>
      </c>
      <c r="W8" s="141">
        <v>1.4992985007014993E-2</v>
      </c>
      <c r="X8" s="141">
        <v>0</v>
      </c>
      <c r="Y8" s="141">
        <v>0</v>
      </c>
      <c r="Z8" s="141">
        <v>1.2E-2</v>
      </c>
      <c r="AA8" s="141">
        <v>0</v>
      </c>
      <c r="AB8" s="141">
        <v>0</v>
      </c>
      <c r="AC8" s="141">
        <v>4.7755904488191031E-2</v>
      </c>
      <c r="AD8" s="141">
        <v>0</v>
      </c>
      <c r="AE8" s="141">
        <v>0</v>
      </c>
      <c r="AF8" s="141">
        <v>0</v>
      </c>
      <c r="AG8" s="141">
        <v>0</v>
      </c>
      <c r="AH8" s="141">
        <v>0</v>
      </c>
      <c r="AI8" s="141">
        <v>0</v>
      </c>
      <c r="AJ8" s="141">
        <v>0</v>
      </c>
      <c r="AK8" s="141">
        <v>0</v>
      </c>
      <c r="AL8" s="141">
        <v>0</v>
      </c>
      <c r="AM8" s="141">
        <v>0</v>
      </c>
      <c r="AN8" s="141">
        <v>0</v>
      </c>
      <c r="AO8" s="141">
        <v>0</v>
      </c>
    </row>
    <row r="9" spans="1:41" customFormat="1" x14ac:dyDescent="0.15">
      <c r="A9" s="176" t="s">
        <v>199</v>
      </c>
      <c r="B9" s="141">
        <v>0</v>
      </c>
      <c r="C9" s="141">
        <v>4.4239799752257133E-3</v>
      </c>
      <c r="D9" s="141">
        <v>4.791000000000001E-3</v>
      </c>
      <c r="E9" s="141">
        <v>4.0860000000000011E-3</v>
      </c>
      <c r="F9" s="141">
        <v>0</v>
      </c>
      <c r="G9" s="141">
        <v>5.4871999999999997E-2</v>
      </c>
      <c r="H9" s="141">
        <v>4.4359995564000439E-4</v>
      </c>
      <c r="I9" s="141">
        <v>5.0000000000000001E-4</v>
      </c>
      <c r="J9" s="141">
        <v>0</v>
      </c>
      <c r="K9" s="141">
        <v>9.375E-2</v>
      </c>
      <c r="L9" s="141">
        <v>5.3100053100053109E-4</v>
      </c>
      <c r="M9" s="141">
        <v>0</v>
      </c>
      <c r="N9" s="141">
        <v>0</v>
      </c>
      <c r="O9" s="141">
        <v>1.6114016114016114E-2</v>
      </c>
      <c r="P9" s="141">
        <v>0</v>
      </c>
      <c r="Q9" s="141">
        <v>6.1714997432184435E-2</v>
      </c>
      <c r="R9" s="141">
        <v>0</v>
      </c>
      <c r="S9" s="141">
        <v>0.17907064185871624</v>
      </c>
      <c r="T9" s="141">
        <v>3.0201969798030203E-2</v>
      </c>
      <c r="U9" s="141">
        <v>2.5639999999999994E-3</v>
      </c>
      <c r="V9" s="141">
        <v>0</v>
      </c>
      <c r="W9" s="141">
        <v>0</v>
      </c>
      <c r="X9" s="141">
        <v>0</v>
      </c>
      <c r="Y9" s="141">
        <v>0</v>
      </c>
      <c r="Z9" s="141">
        <v>0</v>
      </c>
      <c r="AA9" s="141">
        <v>0</v>
      </c>
      <c r="AB9" s="141">
        <v>0</v>
      </c>
      <c r="AC9" s="141">
        <v>6.8849862300275405E-3</v>
      </c>
      <c r="AD9" s="141">
        <v>0</v>
      </c>
      <c r="AE9" s="141">
        <v>0</v>
      </c>
      <c r="AF9" s="141">
        <v>0</v>
      </c>
      <c r="AG9" s="141">
        <v>0</v>
      </c>
      <c r="AH9" s="141">
        <v>0</v>
      </c>
      <c r="AI9" s="141">
        <v>0</v>
      </c>
      <c r="AJ9" s="141">
        <v>0</v>
      </c>
      <c r="AK9" s="141">
        <v>0</v>
      </c>
      <c r="AL9" s="141">
        <v>0</v>
      </c>
      <c r="AM9" s="141">
        <v>0</v>
      </c>
      <c r="AN9" s="141">
        <v>0</v>
      </c>
      <c r="AO9" s="141">
        <v>0</v>
      </c>
    </row>
    <row r="10" spans="1:41" customFormat="1" x14ac:dyDescent="0.15">
      <c r="A10" s="176" t="s">
        <v>200</v>
      </c>
      <c r="B10" s="141">
        <v>0</v>
      </c>
      <c r="C10" s="141">
        <v>3.0072279831595237E-2</v>
      </c>
      <c r="D10" s="141">
        <v>0</v>
      </c>
      <c r="E10" s="141">
        <v>0.10801300000000001</v>
      </c>
      <c r="F10" s="141">
        <v>2.1100000000000001E-4</v>
      </c>
      <c r="G10" s="141">
        <v>0</v>
      </c>
      <c r="H10" s="141">
        <v>0</v>
      </c>
      <c r="I10" s="141">
        <v>1E-4</v>
      </c>
      <c r="J10" s="141">
        <v>7.0599929400070596E-4</v>
      </c>
      <c r="K10" s="141">
        <v>0.13125000000000001</v>
      </c>
      <c r="L10" s="141">
        <v>8.3420083420083432E-3</v>
      </c>
      <c r="M10" s="141">
        <v>0</v>
      </c>
      <c r="N10" s="141">
        <v>0</v>
      </c>
      <c r="O10" s="141">
        <v>0.14018214018214017</v>
      </c>
      <c r="P10" s="141">
        <v>0</v>
      </c>
      <c r="Q10" s="141">
        <v>0</v>
      </c>
      <c r="R10" s="141">
        <v>0</v>
      </c>
      <c r="S10" s="141">
        <v>1.8849962300075394E-3</v>
      </c>
      <c r="T10" s="141">
        <v>2.6078973921026084E-2</v>
      </c>
      <c r="U10" s="141">
        <v>1.9106999999999996E-2</v>
      </c>
      <c r="V10" s="141">
        <v>1.0061E-2</v>
      </c>
      <c r="W10" s="141">
        <v>0</v>
      </c>
      <c r="X10" s="141">
        <v>0</v>
      </c>
      <c r="Y10" s="141">
        <v>0</v>
      </c>
      <c r="Z10" s="141">
        <v>0</v>
      </c>
      <c r="AA10" s="141">
        <v>0</v>
      </c>
      <c r="AB10" s="141">
        <v>0</v>
      </c>
      <c r="AC10" s="141">
        <v>0</v>
      </c>
      <c r="AD10" s="141">
        <v>0</v>
      </c>
      <c r="AE10" s="141">
        <v>0</v>
      </c>
      <c r="AF10" s="141">
        <v>0</v>
      </c>
      <c r="AG10" s="141">
        <v>0</v>
      </c>
      <c r="AH10" s="141">
        <v>0</v>
      </c>
      <c r="AI10" s="141">
        <v>0</v>
      </c>
      <c r="AJ10" s="141">
        <v>0</v>
      </c>
      <c r="AK10" s="141">
        <v>0</v>
      </c>
      <c r="AL10" s="141">
        <v>0</v>
      </c>
      <c r="AM10" s="141">
        <v>0</v>
      </c>
      <c r="AN10" s="141">
        <v>0</v>
      </c>
      <c r="AO10" s="141">
        <v>0</v>
      </c>
    </row>
    <row r="11" spans="1:41" customFormat="1" x14ac:dyDescent="0.15">
      <c r="A11" s="176" t="s">
        <v>201</v>
      </c>
      <c r="B11" s="141">
        <v>0</v>
      </c>
      <c r="C11" s="141">
        <v>0</v>
      </c>
      <c r="D11" s="141">
        <v>0</v>
      </c>
      <c r="E11" s="141">
        <v>0</v>
      </c>
      <c r="F11" s="141">
        <v>0</v>
      </c>
      <c r="G11" s="141">
        <v>0</v>
      </c>
      <c r="H11" s="141">
        <v>0</v>
      </c>
      <c r="I11" s="141">
        <v>0</v>
      </c>
      <c r="J11" s="141">
        <v>0</v>
      </c>
      <c r="K11" s="141">
        <v>0</v>
      </c>
      <c r="L11" s="141">
        <v>0</v>
      </c>
      <c r="M11" s="141">
        <v>0</v>
      </c>
      <c r="N11" s="141">
        <v>0</v>
      </c>
      <c r="O11" s="141">
        <v>0</v>
      </c>
      <c r="P11" s="141">
        <v>0</v>
      </c>
      <c r="Q11" s="141">
        <v>0</v>
      </c>
      <c r="R11" s="141">
        <v>0</v>
      </c>
      <c r="S11" s="141">
        <v>0</v>
      </c>
      <c r="T11" s="141">
        <v>0</v>
      </c>
      <c r="U11" s="141">
        <v>0</v>
      </c>
      <c r="V11" s="141">
        <v>0</v>
      </c>
      <c r="W11" s="141">
        <v>0</v>
      </c>
      <c r="X11" s="141">
        <v>0</v>
      </c>
      <c r="Y11" s="141">
        <v>0</v>
      </c>
      <c r="Z11" s="141">
        <v>0</v>
      </c>
      <c r="AA11" s="141">
        <v>0</v>
      </c>
      <c r="AB11" s="141">
        <v>0</v>
      </c>
      <c r="AC11" s="141">
        <v>0</v>
      </c>
      <c r="AD11" s="141">
        <v>0</v>
      </c>
      <c r="AE11" s="141">
        <v>0</v>
      </c>
      <c r="AF11" s="141">
        <v>0</v>
      </c>
      <c r="AG11" s="141">
        <v>0</v>
      </c>
      <c r="AH11" s="141">
        <v>0</v>
      </c>
      <c r="AI11" s="141">
        <v>0</v>
      </c>
      <c r="AJ11" s="141">
        <v>0</v>
      </c>
      <c r="AK11" s="141">
        <v>0</v>
      </c>
      <c r="AL11" s="141">
        <v>0</v>
      </c>
      <c r="AM11" s="141">
        <v>0</v>
      </c>
      <c r="AN11" s="141">
        <v>0</v>
      </c>
      <c r="AO11" s="141">
        <v>0</v>
      </c>
    </row>
    <row r="12" spans="1:41" customFormat="1" x14ac:dyDescent="0.15">
      <c r="A12" s="176" t="s">
        <v>202</v>
      </c>
      <c r="B12" s="141">
        <v>0</v>
      </c>
      <c r="C12" s="141">
        <v>4.8317799729420333E-4</v>
      </c>
      <c r="D12" s="141">
        <v>0</v>
      </c>
      <c r="E12" s="141">
        <v>1.3510000000000002E-3</v>
      </c>
      <c r="F12" s="141">
        <v>0</v>
      </c>
      <c r="G12" s="141">
        <v>0</v>
      </c>
      <c r="H12" s="141">
        <v>0</v>
      </c>
      <c r="I12" s="141">
        <v>0</v>
      </c>
      <c r="J12" s="141">
        <v>0</v>
      </c>
      <c r="K12" s="141">
        <v>0</v>
      </c>
      <c r="L12" s="141">
        <v>0</v>
      </c>
      <c r="M12" s="141">
        <v>0</v>
      </c>
      <c r="N12" s="141">
        <v>0</v>
      </c>
      <c r="O12" s="141">
        <v>0</v>
      </c>
      <c r="P12" s="141">
        <v>0</v>
      </c>
      <c r="Q12" s="141">
        <v>0</v>
      </c>
      <c r="R12" s="141">
        <v>0</v>
      </c>
      <c r="S12" s="141">
        <v>9.9199801600396769E-4</v>
      </c>
      <c r="T12" s="141">
        <v>0</v>
      </c>
      <c r="U12" s="141">
        <v>0</v>
      </c>
      <c r="V12" s="141">
        <v>0</v>
      </c>
      <c r="W12" s="141">
        <v>0</v>
      </c>
      <c r="X12" s="141">
        <v>0</v>
      </c>
      <c r="Y12" s="141">
        <v>0</v>
      </c>
      <c r="Z12" s="141">
        <v>0</v>
      </c>
      <c r="AA12" s="141">
        <v>0</v>
      </c>
      <c r="AB12" s="141">
        <v>0</v>
      </c>
      <c r="AC12" s="141">
        <v>0</v>
      </c>
      <c r="AD12" s="141">
        <v>0</v>
      </c>
      <c r="AE12" s="141">
        <v>0</v>
      </c>
      <c r="AF12" s="141">
        <v>0</v>
      </c>
      <c r="AG12" s="141">
        <v>0</v>
      </c>
      <c r="AH12" s="141">
        <v>0</v>
      </c>
      <c r="AI12" s="141">
        <v>0</v>
      </c>
      <c r="AJ12" s="141">
        <v>0</v>
      </c>
      <c r="AK12" s="141">
        <v>0</v>
      </c>
      <c r="AL12" s="141">
        <v>0</v>
      </c>
      <c r="AM12" s="141">
        <v>0</v>
      </c>
      <c r="AN12" s="141">
        <v>0</v>
      </c>
      <c r="AO12" s="141">
        <v>0</v>
      </c>
    </row>
    <row r="13" spans="1:41" customFormat="1" x14ac:dyDescent="0.15">
      <c r="A13" s="176" t="s">
        <v>203</v>
      </c>
      <c r="B13" s="141">
        <v>0</v>
      </c>
      <c r="C13" s="141">
        <v>5.2183249707773813E-2</v>
      </c>
      <c r="D13" s="141">
        <v>0</v>
      </c>
      <c r="E13" s="141">
        <v>9.027000000000002E-3</v>
      </c>
      <c r="F13" s="141">
        <v>0</v>
      </c>
      <c r="G13" s="141">
        <v>0</v>
      </c>
      <c r="H13" s="141">
        <v>0</v>
      </c>
      <c r="I13" s="141">
        <v>1E-4</v>
      </c>
      <c r="J13" s="141">
        <v>1.0039989960010038E-3</v>
      </c>
      <c r="K13" s="141">
        <v>3.125E-2</v>
      </c>
      <c r="L13" s="141">
        <v>2.4535024535024541E-2</v>
      </c>
      <c r="M13" s="141">
        <v>0</v>
      </c>
      <c r="N13" s="141">
        <v>9.9599900400099595E-4</v>
      </c>
      <c r="O13" s="141">
        <v>6.1290061290061289E-3</v>
      </c>
      <c r="P13" s="141">
        <v>0</v>
      </c>
      <c r="Q13" s="141">
        <v>5.9999861394320198E-5</v>
      </c>
      <c r="R13" s="141">
        <v>0</v>
      </c>
      <c r="S13" s="141">
        <v>9.0763818472363034E-2</v>
      </c>
      <c r="T13" s="141">
        <v>9.6781903218096793E-2</v>
      </c>
      <c r="U13" s="141">
        <v>0</v>
      </c>
      <c r="V13" s="141">
        <v>0</v>
      </c>
      <c r="W13" s="141">
        <v>6.696993303006697E-3</v>
      </c>
      <c r="X13" s="141">
        <v>0</v>
      </c>
      <c r="Y13" s="141">
        <v>0</v>
      </c>
      <c r="Z13" s="141">
        <v>0.04</v>
      </c>
      <c r="AA13" s="141">
        <v>0</v>
      </c>
      <c r="AB13" s="141">
        <v>0</v>
      </c>
      <c r="AC13" s="141">
        <v>0</v>
      </c>
      <c r="AD13" s="141">
        <v>0</v>
      </c>
      <c r="AE13" s="141">
        <v>0</v>
      </c>
      <c r="AF13" s="141">
        <v>0</v>
      </c>
      <c r="AG13" s="141">
        <v>0</v>
      </c>
      <c r="AH13" s="141">
        <v>0</v>
      </c>
      <c r="AI13" s="141">
        <v>0</v>
      </c>
      <c r="AJ13" s="141">
        <v>0</v>
      </c>
      <c r="AK13" s="141">
        <v>0</v>
      </c>
      <c r="AL13" s="141">
        <v>0</v>
      </c>
      <c r="AM13" s="141">
        <v>0</v>
      </c>
      <c r="AN13" s="141">
        <v>0</v>
      </c>
      <c r="AO13" s="141">
        <v>0</v>
      </c>
    </row>
    <row r="14" spans="1:41" customFormat="1" x14ac:dyDescent="0.15">
      <c r="A14" s="176" t="s">
        <v>204</v>
      </c>
      <c r="B14" s="141">
        <v>0</v>
      </c>
      <c r="C14" s="141">
        <v>3.5084329803527761E-3</v>
      </c>
      <c r="D14" s="141">
        <v>0</v>
      </c>
      <c r="E14" s="141">
        <v>0</v>
      </c>
      <c r="F14" s="141">
        <v>0</v>
      </c>
      <c r="G14" s="141">
        <v>0</v>
      </c>
      <c r="H14" s="141">
        <v>0</v>
      </c>
      <c r="I14" s="141">
        <v>0</v>
      </c>
      <c r="J14" s="141">
        <v>0</v>
      </c>
      <c r="K14" s="141">
        <v>2.8125000000000001E-2</v>
      </c>
      <c r="L14" s="141">
        <v>0</v>
      </c>
      <c r="M14" s="141">
        <v>0</v>
      </c>
      <c r="N14" s="141">
        <v>9.9599900400099595E-4</v>
      </c>
      <c r="O14" s="141">
        <v>0</v>
      </c>
      <c r="P14" s="141">
        <v>0</v>
      </c>
      <c r="Q14" s="141">
        <v>0</v>
      </c>
      <c r="R14" s="141">
        <v>0</v>
      </c>
      <c r="S14" s="141">
        <v>1.8849962300075394E-3</v>
      </c>
      <c r="T14" s="141">
        <v>0</v>
      </c>
      <c r="U14" s="141">
        <v>1.8989999999999996E-3</v>
      </c>
      <c r="V14" s="141">
        <v>0</v>
      </c>
      <c r="W14" s="141">
        <v>0</v>
      </c>
      <c r="X14" s="141">
        <v>0</v>
      </c>
      <c r="Y14" s="141">
        <v>0</v>
      </c>
      <c r="Z14" s="141">
        <v>7.0000000000000001E-3</v>
      </c>
      <c r="AA14" s="141">
        <v>0</v>
      </c>
      <c r="AB14" s="141">
        <v>0</v>
      </c>
      <c r="AC14" s="141">
        <v>0</v>
      </c>
      <c r="AD14" s="141">
        <v>0</v>
      </c>
      <c r="AE14" s="141">
        <v>0</v>
      </c>
      <c r="AF14" s="141">
        <v>0</v>
      </c>
      <c r="AG14" s="141">
        <v>0</v>
      </c>
      <c r="AH14" s="141">
        <v>0</v>
      </c>
      <c r="AI14" s="141">
        <v>0</v>
      </c>
      <c r="AJ14" s="141">
        <v>0</v>
      </c>
      <c r="AK14" s="141">
        <v>0</v>
      </c>
      <c r="AL14" s="141">
        <v>0</v>
      </c>
      <c r="AM14" s="141">
        <v>0</v>
      </c>
      <c r="AN14" s="141">
        <v>0</v>
      </c>
      <c r="AO14" s="141">
        <v>0</v>
      </c>
    </row>
    <row r="15" spans="1:41" customFormat="1" x14ac:dyDescent="0.15">
      <c r="A15" s="176" t="s">
        <v>205</v>
      </c>
      <c r="B15" s="141">
        <v>0</v>
      </c>
      <c r="C15" s="141">
        <v>0</v>
      </c>
      <c r="D15" s="141">
        <v>0</v>
      </c>
      <c r="E15" s="141">
        <v>0</v>
      </c>
      <c r="F15" s="141">
        <v>0</v>
      </c>
      <c r="G15" s="141">
        <v>0</v>
      </c>
      <c r="H15" s="141">
        <v>0</v>
      </c>
      <c r="I15" s="141">
        <v>0</v>
      </c>
      <c r="J15" s="141">
        <v>0</v>
      </c>
      <c r="K15" s="141">
        <v>0</v>
      </c>
      <c r="L15" s="141">
        <v>0</v>
      </c>
      <c r="M15" s="141">
        <v>0</v>
      </c>
      <c r="N15" s="141">
        <v>0</v>
      </c>
      <c r="O15" s="141">
        <v>0</v>
      </c>
      <c r="P15" s="141">
        <v>0</v>
      </c>
      <c r="Q15" s="141">
        <v>0</v>
      </c>
      <c r="R15" s="141">
        <v>0</v>
      </c>
      <c r="S15" s="141">
        <v>2.9799940400119189E-4</v>
      </c>
      <c r="T15" s="141">
        <v>0</v>
      </c>
      <c r="U15" s="141">
        <v>0</v>
      </c>
      <c r="V15" s="141">
        <v>0</v>
      </c>
      <c r="W15" s="141">
        <v>0</v>
      </c>
      <c r="X15" s="141">
        <v>0</v>
      </c>
      <c r="Y15" s="141">
        <v>0</v>
      </c>
      <c r="Z15" s="141">
        <v>2.8000000000000001E-2</v>
      </c>
      <c r="AA15" s="141">
        <v>0</v>
      </c>
      <c r="AB15" s="141">
        <v>0</v>
      </c>
      <c r="AC15" s="141">
        <v>0</v>
      </c>
      <c r="AD15" s="141">
        <v>0</v>
      </c>
      <c r="AE15" s="141">
        <v>0</v>
      </c>
      <c r="AF15" s="141">
        <v>0</v>
      </c>
      <c r="AG15" s="141">
        <v>0</v>
      </c>
      <c r="AH15" s="141">
        <v>0</v>
      </c>
      <c r="AI15" s="141">
        <v>0</v>
      </c>
      <c r="AJ15" s="141">
        <v>0</v>
      </c>
      <c r="AK15" s="141">
        <v>0</v>
      </c>
      <c r="AL15" s="141">
        <v>0</v>
      </c>
      <c r="AM15" s="141">
        <v>0</v>
      </c>
      <c r="AN15" s="141">
        <v>0</v>
      </c>
      <c r="AO15" s="141">
        <v>0</v>
      </c>
    </row>
    <row r="16" spans="1:41" customFormat="1" x14ac:dyDescent="0.15">
      <c r="A16" s="176" t="s">
        <v>206</v>
      </c>
      <c r="B16" s="141">
        <v>3.9739960260039746E-3</v>
      </c>
      <c r="C16" s="141">
        <v>5.0680566316188835E-2</v>
      </c>
      <c r="D16" s="141">
        <v>0</v>
      </c>
      <c r="E16" s="141">
        <v>3.8080000000000006E-3</v>
      </c>
      <c r="F16" s="141">
        <v>4.8849999999999996E-3</v>
      </c>
      <c r="G16" s="141">
        <v>9.3700000000000001E-4</v>
      </c>
      <c r="H16" s="141">
        <v>0</v>
      </c>
      <c r="I16" s="141">
        <v>2.657E-2</v>
      </c>
      <c r="J16" s="141">
        <v>3.8799961200038796E-4</v>
      </c>
      <c r="K16" s="141">
        <v>0</v>
      </c>
      <c r="L16" s="141">
        <v>2.5811025811025814E-2</v>
      </c>
      <c r="M16" s="141">
        <v>6.7999999999999996E-3</v>
      </c>
      <c r="N16" s="141">
        <v>2.4419975580024424E-3</v>
      </c>
      <c r="O16" s="141">
        <v>1.3445013445013445E-2</v>
      </c>
      <c r="P16" s="141">
        <v>2.2100000000000002E-3</v>
      </c>
      <c r="Q16" s="141">
        <v>8.3880290328141316E-2</v>
      </c>
      <c r="R16" s="141">
        <v>0</v>
      </c>
      <c r="S16" s="141">
        <v>1.565596868806262E-2</v>
      </c>
      <c r="T16" s="141">
        <v>4.2391957608042395E-2</v>
      </c>
      <c r="U16" s="141">
        <v>9.5899999999999978E-4</v>
      </c>
      <c r="V16" s="141">
        <v>5.0100000000000003E-4</v>
      </c>
      <c r="W16" s="141">
        <v>5.0979949020050989E-3</v>
      </c>
      <c r="X16" s="141">
        <v>0</v>
      </c>
      <c r="Y16" s="141">
        <v>1E-3</v>
      </c>
      <c r="Z16" s="141">
        <v>5.8000000000000003E-2</v>
      </c>
      <c r="AA16" s="141">
        <v>0</v>
      </c>
      <c r="AB16" s="141">
        <v>0</v>
      </c>
      <c r="AC16" s="141">
        <v>0</v>
      </c>
      <c r="AD16" s="141">
        <v>0</v>
      </c>
      <c r="AE16" s="141">
        <v>0</v>
      </c>
      <c r="AF16" s="141">
        <v>0</v>
      </c>
      <c r="AG16" s="141">
        <v>0</v>
      </c>
      <c r="AH16" s="141">
        <v>0</v>
      </c>
      <c r="AI16" s="141">
        <v>0</v>
      </c>
      <c r="AJ16" s="141">
        <v>0</v>
      </c>
      <c r="AK16" s="141">
        <v>0</v>
      </c>
      <c r="AL16" s="141">
        <v>0</v>
      </c>
      <c r="AM16" s="141">
        <v>0</v>
      </c>
      <c r="AN16" s="141">
        <v>0</v>
      </c>
      <c r="AO16" s="141">
        <v>0</v>
      </c>
    </row>
    <row r="17" spans="1:41" customFormat="1" x14ac:dyDescent="0.15">
      <c r="A17" s="176" t="s">
        <v>207</v>
      </c>
      <c r="B17" s="141">
        <v>0</v>
      </c>
      <c r="C17" s="141">
        <v>3.3803149810702369E-3</v>
      </c>
      <c r="D17" s="141">
        <v>0</v>
      </c>
      <c r="E17" s="141">
        <v>2.0469000000000005E-2</v>
      </c>
      <c r="F17" s="141">
        <v>9.0709999999999992E-3</v>
      </c>
      <c r="G17" s="141">
        <v>6.5279999999999999E-3</v>
      </c>
      <c r="H17" s="141">
        <v>4.9999995000000498E-3</v>
      </c>
      <c r="I17" s="141">
        <v>0</v>
      </c>
      <c r="J17" s="141">
        <v>0</v>
      </c>
      <c r="K17" s="141">
        <v>0</v>
      </c>
      <c r="L17" s="141">
        <v>0</v>
      </c>
      <c r="M17" s="141">
        <v>0</v>
      </c>
      <c r="N17" s="141">
        <v>0</v>
      </c>
      <c r="O17" s="141">
        <v>0</v>
      </c>
      <c r="P17" s="141">
        <v>0</v>
      </c>
      <c r="Q17" s="141">
        <v>1.2353201462869301E-3</v>
      </c>
      <c r="R17" s="141">
        <v>0</v>
      </c>
      <c r="S17" s="141">
        <v>7.7299845400309185E-4</v>
      </c>
      <c r="T17" s="141">
        <v>1.2089987910012092E-3</v>
      </c>
      <c r="U17" s="141">
        <v>1.8929999999999995E-3</v>
      </c>
      <c r="V17" s="141">
        <v>1.0009999999999999E-3</v>
      </c>
      <c r="W17" s="141">
        <v>1.0989989010010989E-3</v>
      </c>
      <c r="X17" s="141">
        <v>0</v>
      </c>
      <c r="Y17" s="141">
        <v>0</v>
      </c>
      <c r="Z17" s="141">
        <v>6.0000000000000001E-3</v>
      </c>
      <c r="AA17" s="141">
        <v>0</v>
      </c>
      <c r="AB17" s="141">
        <v>0</v>
      </c>
      <c r="AC17" s="141">
        <v>6.8849862300275405E-3</v>
      </c>
      <c r="AD17" s="141">
        <v>0</v>
      </c>
      <c r="AE17" s="141">
        <v>0</v>
      </c>
      <c r="AF17" s="141">
        <v>0</v>
      </c>
      <c r="AG17" s="141">
        <v>0</v>
      </c>
      <c r="AH17" s="141">
        <v>0</v>
      </c>
      <c r="AI17" s="141">
        <v>0</v>
      </c>
      <c r="AJ17" s="141">
        <v>0</v>
      </c>
      <c r="AK17" s="141">
        <v>0</v>
      </c>
      <c r="AL17" s="141">
        <v>0</v>
      </c>
      <c r="AM17" s="141">
        <v>0</v>
      </c>
      <c r="AN17" s="141">
        <v>0</v>
      </c>
      <c r="AO17" s="141">
        <v>0</v>
      </c>
    </row>
    <row r="18" spans="1:41" customFormat="1" x14ac:dyDescent="0.15">
      <c r="A18" s="176" t="s">
        <v>208</v>
      </c>
      <c r="B18" s="141">
        <v>9.9999900000100009E-3</v>
      </c>
      <c r="C18" s="141">
        <v>9.6635599458840666E-4</v>
      </c>
      <c r="D18" s="141">
        <v>0</v>
      </c>
      <c r="E18" s="141">
        <v>0</v>
      </c>
      <c r="F18" s="141">
        <v>0</v>
      </c>
      <c r="G18" s="141">
        <v>0</v>
      </c>
      <c r="H18" s="141">
        <v>0</v>
      </c>
      <c r="I18" s="141">
        <v>0</v>
      </c>
      <c r="J18" s="141">
        <v>0</v>
      </c>
      <c r="K18" s="141">
        <v>0</v>
      </c>
      <c r="L18" s="141">
        <v>0</v>
      </c>
      <c r="M18" s="141">
        <v>0</v>
      </c>
      <c r="N18" s="141">
        <v>9.9599900400099595E-4</v>
      </c>
      <c r="O18" s="141">
        <v>1.285001285001285E-3</v>
      </c>
      <c r="P18" s="141">
        <v>0</v>
      </c>
      <c r="Q18" s="141">
        <v>0</v>
      </c>
      <c r="R18" s="141">
        <v>0</v>
      </c>
      <c r="S18" s="141">
        <v>3.969992060015879E-4</v>
      </c>
      <c r="T18" s="141">
        <v>0</v>
      </c>
      <c r="U18" s="141">
        <v>0</v>
      </c>
      <c r="V18" s="141">
        <v>0</v>
      </c>
      <c r="W18" s="141">
        <v>0</v>
      </c>
      <c r="X18" s="141">
        <v>0</v>
      </c>
      <c r="Y18" s="141">
        <v>0</v>
      </c>
      <c r="Z18" s="141">
        <v>0.14399999999999999</v>
      </c>
      <c r="AA18" s="141">
        <v>0</v>
      </c>
      <c r="AB18" s="141">
        <v>0</v>
      </c>
      <c r="AC18" s="141">
        <v>0</v>
      </c>
      <c r="AD18" s="141">
        <v>0</v>
      </c>
      <c r="AE18" s="141">
        <v>0</v>
      </c>
      <c r="AF18" s="141">
        <v>0</v>
      </c>
      <c r="AG18" s="141">
        <v>0</v>
      </c>
      <c r="AH18" s="141">
        <v>0</v>
      </c>
      <c r="AI18" s="141">
        <v>0</v>
      </c>
      <c r="AJ18" s="141">
        <v>0</v>
      </c>
      <c r="AK18" s="141">
        <v>0</v>
      </c>
      <c r="AL18" s="141">
        <v>0</v>
      </c>
      <c r="AM18" s="141">
        <v>0</v>
      </c>
      <c r="AN18" s="141">
        <v>0</v>
      </c>
      <c r="AO18" s="141">
        <v>0</v>
      </c>
    </row>
    <row r="19" spans="1:41" customFormat="1" x14ac:dyDescent="0.15">
      <c r="A19" s="176" t="s">
        <v>209</v>
      </c>
      <c r="B19" s="141">
        <v>1.9869980130019873E-3</v>
      </c>
      <c r="C19" s="141">
        <v>1.8360799897179525E-4</v>
      </c>
      <c r="D19" s="141">
        <v>0</v>
      </c>
      <c r="E19" s="141">
        <v>4.1200000000000004E-4</v>
      </c>
      <c r="F19" s="141">
        <v>0</v>
      </c>
      <c r="G19" s="141">
        <v>0</v>
      </c>
      <c r="H19" s="141">
        <v>0</v>
      </c>
      <c r="I19" s="141">
        <v>0</v>
      </c>
      <c r="J19" s="141">
        <v>0</v>
      </c>
      <c r="K19" s="141">
        <v>0</v>
      </c>
      <c r="L19" s="141">
        <v>0</v>
      </c>
      <c r="M19" s="141">
        <v>0</v>
      </c>
      <c r="N19" s="141">
        <v>0</v>
      </c>
      <c r="O19" s="141">
        <v>1.9800019800019799E-4</v>
      </c>
      <c r="P19" s="141">
        <v>0</v>
      </c>
      <c r="Q19" s="141">
        <v>0</v>
      </c>
      <c r="R19" s="141">
        <v>0</v>
      </c>
      <c r="S19" s="141">
        <v>2.9799940400119189E-4</v>
      </c>
      <c r="T19" s="141">
        <v>0</v>
      </c>
      <c r="U19" s="141">
        <v>0</v>
      </c>
      <c r="V19" s="141">
        <v>0</v>
      </c>
      <c r="W19" s="141">
        <v>0</v>
      </c>
      <c r="X19" s="141">
        <v>0</v>
      </c>
      <c r="Y19" s="141">
        <v>0</v>
      </c>
      <c r="Z19" s="141">
        <v>3.0000000000000001E-3</v>
      </c>
      <c r="AA19" s="141">
        <v>0</v>
      </c>
      <c r="AB19" s="141">
        <v>0</v>
      </c>
      <c r="AC19" s="141">
        <v>0</v>
      </c>
      <c r="AD19" s="141">
        <v>0</v>
      </c>
      <c r="AE19" s="141">
        <v>0</v>
      </c>
      <c r="AF19" s="141">
        <v>0</v>
      </c>
      <c r="AG19" s="141">
        <v>0</v>
      </c>
      <c r="AH19" s="141">
        <v>0</v>
      </c>
      <c r="AI19" s="141">
        <v>0</v>
      </c>
      <c r="AJ19" s="141">
        <v>0</v>
      </c>
      <c r="AK19" s="141">
        <v>0</v>
      </c>
      <c r="AL19" s="141">
        <v>0</v>
      </c>
      <c r="AM19" s="141">
        <v>0</v>
      </c>
      <c r="AN19" s="141">
        <v>0</v>
      </c>
      <c r="AO19" s="141">
        <v>0</v>
      </c>
    </row>
    <row r="20" spans="1:41" customFormat="1" x14ac:dyDescent="0.15">
      <c r="A20" s="176" t="s">
        <v>210</v>
      </c>
      <c r="B20" s="141">
        <v>1.9869980130019873E-3</v>
      </c>
      <c r="C20" s="141">
        <v>1.680493990589234E-3</v>
      </c>
      <c r="D20" s="141">
        <v>0</v>
      </c>
      <c r="E20" s="141">
        <v>1.2120000000000002E-3</v>
      </c>
      <c r="F20" s="141">
        <v>2.1100000000000001E-4</v>
      </c>
      <c r="G20" s="141">
        <v>0</v>
      </c>
      <c r="H20" s="141">
        <v>0</v>
      </c>
      <c r="I20" s="141">
        <v>0</v>
      </c>
      <c r="J20" s="141">
        <v>0</v>
      </c>
      <c r="K20" s="141">
        <v>6.25E-2</v>
      </c>
      <c r="L20" s="141">
        <v>0</v>
      </c>
      <c r="M20" s="141">
        <v>0</v>
      </c>
      <c r="N20" s="141">
        <v>0</v>
      </c>
      <c r="O20" s="141">
        <v>8.9000089000088999E-4</v>
      </c>
      <c r="P20" s="141">
        <v>0</v>
      </c>
      <c r="Q20" s="141">
        <v>0</v>
      </c>
      <c r="R20" s="141">
        <v>0</v>
      </c>
      <c r="S20" s="141">
        <v>2.3799952400095194E-3</v>
      </c>
      <c r="T20" s="141">
        <v>0</v>
      </c>
      <c r="U20" s="141">
        <v>0</v>
      </c>
      <c r="V20" s="141">
        <v>0</v>
      </c>
      <c r="W20" s="141">
        <v>0</v>
      </c>
      <c r="X20" s="141">
        <v>0</v>
      </c>
      <c r="Y20" s="141">
        <v>0</v>
      </c>
      <c r="Z20" s="141">
        <v>1.0999999999999999E-2</v>
      </c>
      <c r="AA20" s="141">
        <v>0</v>
      </c>
      <c r="AB20" s="141">
        <v>0</v>
      </c>
      <c r="AC20" s="141">
        <v>6.8849862300275405E-3</v>
      </c>
      <c r="AD20" s="141">
        <v>0</v>
      </c>
      <c r="AE20" s="141">
        <v>0</v>
      </c>
      <c r="AF20" s="141">
        <v>0</v>
      </c>
      <c r="AG20" s="141">
        <v>0</v>
      </c>
      <c r="AH20" s="141">
        <v>0</v>
      </c>
      <c r="AI20" s="141">
        <v>0</v>
      </c>
      <c r="AJ20" s="141">
        <v>0</v>
      </c>
      <c r="AK20" s="141">
        <v>0</v>
      </c>
      <c r="AL20" s="141">
        <v>0</v>
      </c>
      <c r="AM20" s="141">
        <v>0</v>
      </c>
      <c r="AN20" s="141">
        <v>0</v>
      </c>
      <c r="AO20" s="141">
        <v>0</v>
      </c>
    </row>
    <row r="21" spans="1:41" customFormat="1" x14ac:dyDescent="0.15">
      <c r="A21" s="176" t="s">
        <v>211</v>
      </c>
      <c r="B21" s="141">
        <v>9.9299900700099294E-4</v>
      </c>
      <c r="C21" s="141">
        <v>9.1803899485898191E-4</v>
      </c>
      <c r="D21" s="141">
        <v>0</v>
      </c>
      <c r="E21" s="141">
        <v>4.6300000000000003E-4</v>
      </c>
      <c r="F21" s="141">
        <v>0</v>
      </c>
      <c r="G21" s="141">
        <v>0</v>
      </c>
      <c r="H21" s="141">
        <v>0</v>
      </c>
      <c r="I21" s="141">
        <v>0</v>
      </c>
      <c r="J21" s="141">
        <v>0</v>
      </c>
      <c r="K21" s="141">
        <v>0</v>
      </c>
      <c r="L21" s="141">
        <v>0</v>
      </c>
      <c r="M21" s="141">
        <v>0</v>
      </c>
      <c r="N21" s="141">
        <v>0</v>
      </c>
      <c r="O21" s="141">
        <v>1.0900010900010901E-4</v>
      </c>
      <c r="P21" s="141">
        <v>0</v>
      </c>
      <c r="Q21" s="141">
        <v>0</v>
      </c>
      <c r="R21" s="141">
        <v>0</v>
      </c>
      <c r="S21" s="141">
        <v>9.9089801820396329E-3</v>
      </c>
      <c r="T21" s="141">
        <v>5.444994555005446E-3</v>
      </c>
      <c r="U21" s="141">
        <v>0</v>
      </c>
      <c r="V21" s="141">
        <v>0</v>
      </c>
      <c r="W21" s="141">
        <v>0</v>
      </c>
      <c r="X21" s="141">
        <v>0</v>
      </c>
      <c r="Y21" s="141">
        <v>0</v>
      </c>
      <c r="Z21" s="141">
        <v>1.0999999999999999E-2</v>
      </c>
      <c r="AA21" s="141">
        <v>0</v>
      </c>
      <c r="AB21" s="141">
        <v>0</v>
      </c>
      <c r="AC21" s="141">
        <v>0</v>
      </c>
      <c r="AD21" s="141">
        <v>0</v>
      </c>
      <c r="AE21" s="141">
        <v>0</v>
      </c>
      <c r="AF21" s="141">
        <v>0</v>
      </c>
      <c r="AG21" s="141">
        <v>0</v>
      </c>
      <c r="AH21" s="141">
        <v>0</v>
      </c>
      <c r="AI21" s="141">
        <v>0</v>
      </c>
      <c r="AJ21" s="141">
        <v>0</v>
      </c>
      <c r="AK21" s="141">
        <v>0</v>
      </c>
      <c r="AL21" s="141">
        <v>0</v>
      </c>
      <c r="AM21" s="141">
        <v>0</v>
      </c>
      <c r="AN21" s="141">
        <v>0</v>
      </c>
      <c r="AO21" s="141">
        <v>0</v>
      </c>
    </row>
    <row r="22" spans="1:41" customFormat="1" x14ac:dyDescent="0.15">
      <c r="A22" s="176" t="s">
        <v>212</v>
      </c>
      <c r="B22" s="141">
        <v>1.9869980130019873E-3</v>
      </c>
      <c r="C22" s="141">
        <v>8.2198279539689653E-3</v>
      </c>
      <c r="D22" s="141">
        <v>0</v>
      </c>
      <c r="E22" s="141">
        <v>3.0980000000000005E-3</v>
      </c>
      <c r="F22" s="141">
        <v>6.9800000000000005E-4</v>
      </c>
      <c r="G22" s="141">
        <v>0</v>
      </c>
      <c r="H22" s="141">
        <v>0</v>
      </c>
      <c r="I22" s="141">
        <v>1E-4</v>
      </c>
      <c r="J22" s="141">
        <v>1.3819986180013818E-3</v>
      </c>
      <c r="K22" s="141">
        <v>3.125E-2</v>
      </c>
      <c r="L22" s="141">
        <v>1.1581011581011581E-2</v>
      </c>
      <c r="M22" s="141">
        <v>0</v>
      </c>
      <c r="N22" s="141">
        <v>1.6829983170016832E-3</v>
      </c>
      <c r="O22" s="141">
        <v>4.2500042500042497E-4</v>
      </c>
      <c r="P22" s="141">
        <v>0</v>
      </c>
      <c r="Q22" s="141">
        <v>0</v>
      </c>
      <c r="R22" s="141">
        <v>0</v>
      </c>
      <c r="S22" s="141">
        <v>3.740492519014961E-2</v>
      </c>
      <c r="T22" s="141">
        <v>2.8349971650028352E-2</v>
      </c>
      <c r="U22" s="141">
        <v>1.7089999999999996E-3</v>
      </c>
      <c r="V22" s="141">
        <v>0</v>
      </c>
      <c r="W22" s="141">
        <v>2.7989972010027992E-3</v>
      </c>
      <c r="X22" s="141">
        <v>0</v>
      </c>
      <c r="Y22" s="141">
        <v>0</v>
      </c>
      <c r="Z22" s="141">
        <v>0.04</v>
      </c>
      <c r="AA22" s="141">
        <v>0</v>
      </c>
      <c r="AB22" s="141">
        <v>0</v>
      </c>
      <c r="AC22" s="141">
        <v>4.9719900560198883E-3</v>
      </c>
      <c r="AD22" s="141">
        <v>0</v>
      </c>
      <c r="AE22" s="141">
        <v>0</v>
      </c>
      <c r="AF22" s="141">
        <v>0</v>
      </c>
      <c r="AG22" s="141">
        <v>0</v>
      </c>
      <c r="AH22" s="141">
        <v>0</v>
      </c>
      <c r="AI22" s="141">
        <v>0</v>
      </c>
      <c r="AJ22" s="141">
        <v>0</v>
      </c>
      <c r="AK22" s="141">
        <v>0</v>
      </c>
      <c r="AL22" s="141">
        <v>0</v>
      </c>
      <c r="AM22" s="141">
        <v>0</v>
      </c>
      <c r="AN22" s="141">
        <v>0</v>
      </c>
      <c r="AO22" s="141">
        <v>0</v>
      </c>
    </row>
    <row r="23" spans="1:41" customFormat="1" x14ac:dyDescent="0.15">
      <c r="A23" s="176" t="s">
        <v>213</v>
      </c>
      <c r="B23" s="141">
        <v>0</v>
      </c>
      <c r="C23" s="141">
        <v>2.8977164837727883E-2</v>
      </c>
      <c r="D23" s="141">
        <v>7.8900000000000012E-3</v>
      </c>
      <c r="E23" s="141">
        <v>4.4080000000000005E-3</v>
      </c>
      <c r="F23" s="141">
        <v>5.5830000000000003E-3</v>
      </c>
      <c r="G23" s="141">
        <v>1.114E-3</v>
      </c>
      <c r="H23" s="141">
        <v>2.3478997652100235E-3</v>
      </c>
      <c r="I23" s="141">
        <v>1.199E-3</v>
      </c>
      <c r="J23" s="141">
        <v>6.5599934400065597E-4</v>
      </c>
      <c r="K23" s="141">
        <v>0</v>
      </c>
      <c r="L23" s="141">
        <v>2.1395021395021398E-2</v>
      </c>
      <c r="M23" s="141">
        <v>2.0000000000000001E-4</v>
      </c>
      <c r="N23" s="141">
        <v>1.2999987000012999E-4</v>
      </c>
      <c r="O23" s="141">
        <v>9.9000099000098993E-5</v>
      </c>
      <c r="P23" s="141">
        <v>2.8300000000000001E-3</v>
      </c>
      <c r="Q23" s="141">
        <v>0</v>
      </c>
      <c r="R23" s="141">
        <v>0</v>
      </c>
      <c r="S23" s="141">
        <v>1.3118973762052472E-2</v>
      </c>
      <c r="T23" s="141">
        <v>9.5939904060095942E-3</v>
      </c>
      <c r="U23" s="141">
        <v>1.7965999999999996E-2</v>
      </c>
      <c r="V23" s="141">
        <v>9.4610000000000007E-3</v>
      </c>
      <c r="W23" s="141">
        <v>3.497996502003498E-3</v>
      </c>
      <c r="X23" s="141">
        <v>0</v>
      </c>
      <c r="Y23" s="141">
        <v>0</v>
      </c>
      <c r="Z23" s="141">
        <v>0</v>
      </c>
      <c r="AA23" s="141">
        <v>0</v>
      </c>
      <c r="AB23" s="141">
        <v>0</v>
      </c>
      <c r="AC23" s="141">
        <v>0</v>
      </c>
      <c r="AD23" s="141">
        <v>0</v>
      </c>
      <c r="AE23" s="141">
        <v>0</v>
      </c>
      <c r="AF23" s="141">
        <v>0</v>
      </c>
      <c r="AG23" s="141">
        <v>0</v>
      </c>
      <c r="AH23" s="141">
        <v>0</v>
      </c>
      <c r="AI23" s="141">
        <v>0</v>
      </c>
      <c r="AJ23" s="141">
        <v>0</v>
      </c>
      <c r="AK23" s="141">
        <v>0</v>
      </c>
      <c r="AL23" s="141">
        <v>0</v>
      </c>
      <c r="AM23" s="141">
        <v>0</v>
      </c>
      <c r="AN23" s="141">
        <v>0</v>
      </c>
      <c r="AO23" s="141">
        <v>0</v>
      </c>
    </row>
    <row r="24" spans="1:41" customFormat="1" x14ac:dyDescent="0.15">
      <c r="A24" s="176" t="s">
        <v>214</v>
      </c>
      <c r="B24" s="141">
        <v>0</v>
      </c>
      <c r="C24" s="141">
        <v>0.22147923575971631</v>
      </c>
      <c r="D24" s="141">
        <v>0</v>
      </c>
      <c r="E24" s="141">
        <v>4.0600000000000011E-3</v>
      </c>
      <c r="F24" s="141">
        <v>1.4154999999999999E-2</v>
      </c>
      <c r="G24" s="141">
        <v>0.342775</v>
      </c>
      <c r="H24" s="141">
        <v>1.6774098322590168E-2</v>
      </c>
      <c r="I24" s="141">
        <v>0</v>
      </c>
      <c r="J24" s="141">
        <v>6.7514932485067514E-2</v>
      </c>
      <c r="K24" s="141">
        <v>0</v>
      </c>
      <c r="L24" s="141">
        <v>0.24162624162624166</v>
      </c>
      <c r="M24" s="141">
        <v>1.5E-3</v>
      </c>
      <c r="N24" s="141">
        <v>3.8179961820038184E-3</v>
      </c>
      <c r="O24" s="141">
        <v>0</v>
      </c>
      <c r="P24" s="141">
        <v>0</v>
      </c>
      <c r="Q24" s="141">
        <v>0</v>
      </c>
      <c r="R24" s="141">
        <v>0</v>
      </c>
      <c r="S24" s="141">
        <v>0</v>
      </c>
      <c r="T24" s="141">
        <v>0</v>
      </c>
      <c r="U24" s="141">
        <v>0</v>
      </c>
      <c r="V24" s="141">
        <v>0</v>
      </c>
      <c r="W24" s="141">
        <v>2.7989972010027992E-3</v>
      </c>
      <c r="X24" s="141">
        <v>2.5089E-2</v>
      </c>
      <c r="Y24" s="141">
        <v>0</v>
      </c>
      <c r="Z24" s="141">
        <v>0.04</v>
      </c>
      <c r="AA24" s="141">
        <v>0</v>
      </c>
      <c r="AB24" s="141">
        <v>0.01</v>
      </c>
      <c r="AC24" s="141">
        <v>0</v>
      </c>
      <c r="AD24" s="141">
        <v>0</v>
      </c>
      <c r="AE24" s="141">
        <v>0</v>
      </c>
      <c r="AF24" s="141">
        <v>0</v>
      </c>
      <c r="AG24" s="141">
        <v>0</v>
      </c>
      <c r="AH24" s="141">
        <v>0</v>
      </c>
      <c r="AI24" s="141">
        <v>0</v>
      </c>
      <c r="AJ24" s="141">
        <v>0</v>
      </c>
      <c r="AK24" s="141">
        <v>0</v>
      </c>
      <c r="AL24" s="141">
        <v>0</v>
      </c>
      <c r="AM24" s="141">
        <v>0</v>
      </c>
      <c r="AN24" s="141">
        <v>0</v>
      </c>
      <c r="AO24" s="141">
        <v>0</v>
      </c>
    </row>
    <row r="25" spans="1:41" customFormat="1" x14ac:dyDescent="0.15">
      <c r="A25" s="176" t="s">
        <v>215</v>
      </c>
      <c r="B25" s="141">
        <v>0.18875781124218879</v>
      </c>
      <c r="C25" s="141">
        <v>0.45917588242861518</v>
      </c>
      <c r="D25" s="141">
        <v>0.27655400000000008</v>
      </c>
      <c r="E25" s="141">
        <v>0.22026900000000002</v>
      </c>
      <c r="F25" s="141">
        <v>0.15401400000000001</v>
      </c>
      <c r="G25" s="141">
        <v>0.13881299999999999</v>
      </c>
      <c r="H25" s="141">
        <v>9.0502890949710896E-2</v>
      </c>
      <c r="I25" s="141">
        <v>5.3041999999999999E-2</v>
      </c>
      <c r="J25" s="141">
        <v>0.10833989166010834</v>
      </c>
      <c r="K25" s="141">
        <v>0.25</v>
      </c>
      <c r="L25" s="141">
        <v>0.28598628598628606</v>
      </c>
      <c r="M25" s="141">
        <v>5.1900000000000002E-2</v>
      </c>
      <c r="N25" s="141">
        <v>9.9277900722099285E-2</v>
      </c>
      <c r="O25" s="141">
        <v>3.8258038258038259E-2</v>
      </c>
      <c r="P25" s="141">
        <v>3.6700000000000001E-3</v>
      </c>
      <c r="Q25" s="141">
        <v>5.0603637900536083E-2</v>
      </c>
      <c r="R25" s="141">
        <v>0</v>
      </c>
      <c r="S25" s="141">
        <v>0.1092337815324369</v>
      </c>
      <c r="T25" s="141">
        <v>7.280792719207281E-2</v>
      </c>
      <c r="U25" s="141">
        <v>4.7399999999999984E-2</v>
      </c>
      <c r="V25" s="141">
        <v>0</v>
      </c>
      <c r="W25" s="141">
        <v>0.38582261417738589</v>
      </c>
      <c r="X25" s="141">
        <v>0.01</v>
      </c>
      <c r="Y25" s="141">
        <v>0</v>
      </c>
      <c r="Z25" s="141">
        <v>1E-3</v>
      </c>
      <c r="AA25" s="141">
        <v>0</v>
      </c>
      <c r="AB25" s="141">
        <v>0</v>
      </c>
      <c r="AC25" s="141">
        <v>0</v>
      </c>
      <c r="AD25" s="141">
        <v>0</v>
      </c>
      <c r="AE25" s="141">
        <v>0</v>
      </c>
      <c r="AF25" s="141">
        <v>0</v>
      </c>
      <c r="AG25" s="141">
        <v>0</v>
      </c>
      <c r="AH25" s="141">
        <v>0</v>
      </c>
      <c r="AI25" s="141">
        <v>0</v>
      </c>
      <c r="AJ25" s="141">
        <v>0</v>
      </c>
      <c r="AK25" s="141">
        <v>0</v>
      </c>
      <c r="AL25" s="141">
        <v>0</v>
      </c>
      <c r="AM25" s="141">
        <v>0</v>
      </c>
      <c r="AN25" s="141">
        <v>0</v>
      </c>
      <c r="AO25" s="141">
        <v>0</v>
      </c>
    </row>
    <row r="26" spans="1:41" customFormat="1" x14ac:dyDescent="0.15">
      <c r="A26" s="176" t="s">
        <v>216</v>
      </c>
      <c r="B26" s="141">
        <v>0</v>
      </c>
      <c r="C26" s="141">
        <v>0</v>
      </c>
      <c r="D26" s="141">
        <v>0</v>
      </c>
      <c r="E26" s="141">
        <v>0</v>
      </c>
      <c r="F26" s="141">
        <v>0</v>
      </c>
      <c r="G26" s="141">
        <v>0</v>
      </c>
      <c r="H26" s="141">
        <v>0</v>
      </c>
      <c r="I26" s="141">
        <v>0</v>
      </c>
      <c r="J26" s="141">
        <v>0</v>
      </c>
      <c r="K26" s="141">
        <v>0</v>
      </c>
      <c r="L26" s="141">
        <v>0</v>
      </c>
      <c r="M26" s="141">
        <v>0</v>
      </c>
      <c r="N26" s="141">
        <v>0</v>
      </c>
      <c r="O26" s="141">
        <v>0</v>
      </c>
      <c r="P26" s="141">
        <v>0</v>
      </c>
      <c r="Q26" s="141">
        <v>0</v>
      </c>
      <c r="R26" s="141">
        <v>0</v>
      </c>
      <c r="S26" s="141">
        <v>0</v>
      </c>
      <c r="T26" s="141">
        <v>0</v>
      </c>
      <c r="U26" s="141">
        <v>0</v>
      </c>
      <c r="V26" s="141">
        <v>0</v>
      </c>
      <c r="W26" s="141">
        <v>0</v>
      </c>
      <c r="X26" s="141">
        <v>0</v>
      </c>
      <c r="Y26" s="141">
        <v>0</v>
      </c>
      <c r="Z26" s="141">
        <v>5.0000000000000001E-3</v>
      </c>
      <c r="AA26" s="141">
        <v>0</v>
      </c>
      <c r="AB26" s="141">
        <v>0</v>
      </c>
      <c r="AC26" s="141">
        <v>0</v>
      </c>
      <c r="AD26" s="141">
        <v>0</v>
      </c>
      <c r="AE26" s="141">
        <v>0</v>
      </c>
      <c r="AF26" s="141">
        <v>0</v>
      </c>
      <c r="AG26" s="141">
        <v>0</v>
      </c>
      <c r="AH26" s="141">
        <v>0</v>
      </c>
      <c r="AI26" s="141">
        <v>0</v>
      </c>
      <c r="AJ26" s="141">
        <v>0</v>
      </c>
      <c r="AK26" s="141">
        <v>0</v>
      </c>
      <c r="AL26" s="141">
        <v>0</v>
      </c>
      <c r="AM26" s="141">
        <v>0</v>
      </c>
      <c r="AN26" s="141">
        <v>0</v>
      </c>
      <c r="AO26" s="141">
        <v>0</v>
      </c>
    </row>
    <row r="27" spans="1:41" customFormat="1" x14ac:dyDescent="0.15">
      <c r="A27" s="176" t="s">
        <v>217</v>
      </c>
      <c r="B27" s="141">
        <v>3.5321964678035327E-2</v>
      </c>
      <c r="C27" s="141">
        <v>8.306799953481922E-3</v>
      </c>
      <c r="D27" s="141">
        <v>9.2184000000000016E-2</v>
      </c>
      <c r="E27" s="141">
        <v>0.14021400000000003</v>
      </c>
      <c r="F27" s="141">
        <v>4.4658999999999997E-2</v>
      </c>
      <c r="G27" s="141">
        <v>6.8852999999999998E-2</v>
      </c>
      <c r="H27" s="141">
        <v>3.3554996644500333E-3</v>
      </c>
      <c r="I27" s="141">
        <v>8.5900000000000004E-3</v>
      </c>
      <c r="J27" s="141">
        <v>3.8799961200038796E-4</v>
      </c>
      <c r="K27" s="141">
        <v>8.7499999999999994E-2</v>
      </c>
      <c r="L27" s="141">
        <v>1.4721014721014723E-2</v>
      </c>
      <c r="M27" s="141">
        <v>0</v>
      </c>
      <c r="N27" s="141">
        <v>4.44999555000445E-3</v>
      </c>
      <c r="O27" s="141">
        <v>0.26118626118626115</v>
      </c>
      <c r="P27" s="141">
        <v>0</v>
      </c>
      <c r="Q27" s="141">
        <v>0.15416273586866389</v>
      </c>
      <c r="R27" s="141">
        <v>8.3330000000000001E-2</v>
      </c>
      <c r="S27" s="141">
        <v>0.1704606590786818</v>
      </c>
      <c r="T27" s="141">
        <v>5.812194187805813E-2</v>
      </c>
      <c r="U27" s="141">
        <v>6.6459999999999983E-3</v>
      </c>
      <c r="V27" s="141">
        <v>0</v>
      </c>
      <c r="W27" s="141">
        <v>6.6999933000067003E-4</v>
      </c>
      <c r="X27" s="141">
        <v>0</v>
      </c>
      <c r="Y27" s="141">
        <v>0</v>
      </c>
      <c r="Z27" s="141">
        <v>7.8E-2</v>
      </c>
      <c r="AA27" s="141">
        <v>0</v>
      </c>
      <c r="AB27" s="141">
        <v>0</v>
      </c>
      <c r="AC27" s="141">
        <v>0</v>
      </c>
      <c r="AD27" s="141">
        <v>0</v>
      </c>
      <c r="AE27" s="141">
        <v>0</v>
      </c>
      <c r="AF27" s="141">
        <v>0</v>
      </c>
      <c r="AG27" s="141">
        <v>0</v>
      </c>
      <c r="AH27" s="141">
        <v>0</v>
      </c>
      <c r="AI27" s="141">
        <v>0</v>
      </c>
      <c r="AJ27" s="141">
        <v>0</v>
      </c>
      <c r="AK27" s="141">
        <v>0</v>
      </c>
      <c r="AL27" s="141">
        <v>0</v>
      </c>
      <c r="AM27" s="141">
        <v>0</v>
      </c>
      <c r="AN27" s="141">
        <v>0</v>
      </c>
      <c r="AO27" s="141">
        <v>0</v>
      </c>
    </row>
    <row r="28" spans="1:41" customFormat="1" x14ac:dyDescent="0.15">
      <c r="A28" s="176" t="s">
        <v>218</v>
      </c>
      <c r="B28" s="141">
        <v>0</v>
      </c>
      <c r="C28" s="141">
        <v>0</v>
      </c>
      <c r="D28" s="141">
        <v>8.3290000000000013E-3</v>
      </c>
      <c r="E28" s="141">
        <v>0</v>
      </c>
      <c r="F28" s="141">
        <v>0</v>
      </c>
      <c r="G28" s="141">
        <v>3.9363000000000002E-2</v>
      </c>
      <c r="H28" s="141">
        <v>2.0999997900000209E-2</v>
      </c>
      <c r="I28" s="141">
        <v>1E-4</v>
      </c>
      <c r="J28" s="141">
        <v>0</v>
      </c>
      <c r="K28" s="141">
        <v>0</v>
      </c>
      <c r="L28" s="141">
        <v>0</v>
      </c>
      <c r="M28" s="141">
        <v>0</v>
      </c>
      <c r="N28" s="141">
        <v>0</v>
      </c>
      <c r="O28" s="141">
        <v>9.8900098900098904E-4</v>
      </c>
      <c r="P28" s="141">
        <v>3.0609999999999998E-2</v>
      </c>
      <c r="Q28" s="141">
        <v>2.2432228179309682E-3</v>
      </c>
      <c r="R28" s="141">
        <v>0</v>
      </c>
      <c r="S28" s="141">
        <v>0</v>
      </c>
      <c r="T28" s="141">
        <v>0</v>
      </c>
      <c r="U28" s="141">
        <v>0</v>
      </c>
      <c r="V28" s="141">
        <v>0</v>
      </c>
      <c r="W28" s="141">
        <v>0</v>
      </c>
      <c r="X28" s="141">
        <v>0</v>
      </c>
      <c r="Y28" s="141">
        <v>0</v>
      </c>
      <c r="Z28" s="141">
        <v>2.8000000000000001E-2</v>
      </c>
      <c r="AA28" s="141">
        <v>0</v>
      </c>
      <c r="AB28" s="141">
        <v>0.05</v>
      </c>
      <c r="AC28" s="141">
        <v>6.9869860260279495E-3</v>
      </c>
      <c r="AD28" s="141">
        <v>0</v>
      </c>
      <c r="AE28" s="141">
        <v>0</v>
      </c>
      <c r="AF28" s="141">
        <v>0</v>
      </c>
      <c r="AG28" s="141">
        <v>0</v>
      </c>
      <c r="AH28" s="141">
        <v>0</v>
      </c>
      <c r="AI28" s="141">
        <v>0</v>
      </c>
      <c r="AJ28" s="141">
        <v>0</v>
      </c>
      <c r="AK28" s="141">
        <v>0</v>
      </c>
      <c r="AL28" s="141">
        <v>0</v>
      </c>
      <c r="AM28" s="141">
        <v>0</v>
      </c>
      <c r="AN28" s="141">
        <v>0</v>
      </c>
      <c r="AO28" s="141">
        <v>0</v>
      </c>
    </row>
    <row r="29" spans="1:41" customFormat="1" x14ac:dyDescent="0.15">
      <c r="A29" s="176" t="s">
        <v>219</v>
      </c>
      <c r="B29" s="141">
        <v>4.9999950000050005E-3</v>
      </c>
      <c r="C29" s="141">
        <v>4.2199819763681014E-2</v>
      </c>
      <c r="D29" s="141">
        <v>1.0000000000000002E-2</v>
      </c>
      <c r="E29" s="141">
        <v>4.7580000000000009E-3</v>
      </c>
      <c r="F29" s="141">
        <v>5.2999999999999998E-4</v>
      </c>
      <c r="G29" s="141">
        <v>9.3720000000000001E-3</v>
      </c>
      <c r="H29" s="141">
        <v>2.4490997550900245E-3</v>
      </c>
      <c r="I29" s="141">
        <v>2.2980000000000001E-3</v>
      </c>
      <c r="J29" s="141">
        <v>1.1729988270011728E-3</v>
      </c>
      <c r="K29" s="141">
        <v>3.125E-2</v>
      </c>
      <c r="L29" s="141">
        <v>4.7790047790047798E-3</v>
      </c>
      <c r="M29" s="141">
        <v>0</v>
      </c>
      <c r="N29" s="141">
        <v>1.06999893000107E-3</v>
      </c>
      <c r="O29" s="141">
        <v>3.9840039840039844E-2</v>
      </c>
      <c r="P29" s="141">
        <v>4.0800000000000003E-3</v>
      </c>
      <c r="Q29" s="141">
        <v>2.4198595398824768E-2</v>
      </c>
      <c r="R29" s="141">
        <v>0</v>
      </c>
      <c r="S29" s="141">
        <v>7.8021843956312065E-2</v>
      </c>
      <c r="T29" s="141">
        <v>5.2749947250052755E-2</v>
      </c>
      <c r="U29" s="141">
        <v>2.0888999999999998E-2</v>
      </c>
      <c r="V29" s="141">
        <v>0</v>
      </c>
      <c r="W29" s="141">
        <v>1.8989981010018992E-3</v>
      </c>
      <c r="X29" s="141">
        <v>0</v>
      </c>
      <c r="Y29" s="141">
        <v>0</v>
      </c>
      <c r="Z29" s="141">
        <v>0</v>
      </c>
      <c r="AA29" s="141">
        <v>0</v>
      </c>
      <c r="AB29" s="141">
        <v>0.04</v>
      </c>
      <c r="AC29" s="141">
        <v>0</v>
      </c>
      <c r="AD29" s="141">
        <v>0</v>
      </c>
      <c r="AE29" s="141">
        <v>0</v>
      </c>
      <c r="AF29" s="141">
        <v>0</v>
      </c>
      <c r="AG29" s="141">
        <v>0</v>
      </c>
      <c r="AH29" s="141">
        <v>0</v>
      </c>
      <c r="AI29" s="141">
        <v>0</v>
      </c>
      <c r="AJ29" s="141">
        <v>0</v>
      </c>
      <c r="AK29" s="141">
        <v>0</v>
      </c>
      <c r="AL29" s="141">
        <v>0</v>
      </c>
      <c r="AM29" s="141">
        <v>0</v>
      </c>
      <c r="AN29" s="141">
        <v>0</v>
      </c>
      <c r="AO29" s="141">
        <v>0</v>
      </c>
    </row>
    <row r="30" spans="1:41" customFormat="1" x14ac:dyDescent="0.15">
      <c r="A30" s="176" t="s">
        <v>220</v>
      </c>
      <c r="B30" s="141">
        <v>0</v>
      </c>
      <c r="C30" s="141">
        <v>0</v>
      </c>
      <c r="D30" s="141">
        <v>0</v>
      </c>
      <c r="E30" s="141">
        <v>1.4090000000000003E-3</v>
      </c>
      <c r="F30" s="141">
        <v>4.9839999999999997E-3</v>
      </c>
      <c r="G30" s="141">
        <v>0</v>
      </c>
      <c r="H30" s="141">
        <v>0</v>
      </c>
      <c r="I30" s="141">
        <v>4.0000000000000002E-4</v>
      </c>
      <c r="J30" s="141">
        <v>0</v>
      </c>
      <c r="K30" s="141">
        <v>0</v>
      </c>
      <c r="L30" s="141">
        <v>0</v>
      </c>
      <c r="M30" s="141">
        <v>0</v>
      </c>
      <c r="N30" s="141">
        <v>2.4739975260024741E-3</v>
      </c>
      <c r="O30" s="141">
        <v>0</v>
      </c>
      <c r="P30" s="141">
        <v>0</v>
      </c>
      <c r="Q30" s="141">
        <v>0</v>
      </c>
      <c r="R30" s="141">
        <v>0</v>
      </c>
      <c r="S30" s="141">
        <v>8.7199825600348785E-4</v>
      </c>
      <c r="T30" s="141">
        <v>8.5709914290085717E-3</v>
      </c>
      <c r="U30" s="141">
        <v>9.4789999999999978E-3</v>
      </c>
      <c r="V30" s="141">
        <v>0</v>
      </c>
      <c r="W30" s="141">
        <v>2.4999975000025005E-4</v>
      </c>
      <c r="X30" s="141">
        <v>0</v>
      </c>
      <c r="Y30" s="141">
        <v>0</v>
      </c>
      <c r="Z30" s="141">
        <v>5.0000000000000001E-3</v>
      </c>
      <c r="AA30" s="141">
        <v>0</v>
      </c>
      <c r="AB30" s="141">
        <v>0</v>
      </c>
      <c r="AC30" s="141">
        <v>0</v>
      </c>
      <c r="AD30" s="141">
        <v>0</v>
      </c>
      <c r="AE30" s="141">
        <v>0</v>
      </c>
      <c r="AF30" s="141">
        <v>0</v>
      </c>
      <c r="AG30" s="141">
        <v>0</v>
      </c>
      <c r="AH30" s="141">
        <v>0</v>
      </c>
      <c r="AI30" s="141">
        <v>0</v>
      </c>
      <c r="AJ30" s="141">
        <v>0</v>
      </c>
      <c r="AK30" s="141">
        <v>0</v>
      </c>
      <c r="AL30" s="141">
        <v>0</v>
      </c>
      <c r="AM30" s="141">
        <v>0</v>
      </c>
      <c r="AN30" s="141">
        <v>0</v>
      </c>
      <c r="AO30" s="141">
        <v>0</v>
      </c>
    </row>
    <row r="31" spans="1:41" customFormat="1" x14ac:dyDescent="0.15">
      <c r="A31" s="176" t="s">
        <v>221</v>
      </c>
      <c r="B31" s="141">
        <v>0</v>
      </c>
      <c r="C31" s="141">
        <v>3.1889762521417335E-2</v>
      </c>
      <c r="D31" s="141">
        <v>1.5063000000000002E-2</v>
      </c>
      <c r="E31" s="141">
        <v>1.8312000000000002E-2</v>
      </c>
      <c r="F31" s="141">
        <v>2.8011000000000001E-2</v>
      </c>
      <c r="G31" s="141">
        <v>0</v>
      </c>
      <c r="H31" s="141">
        <v>9.2199990780000919E-5</v>
      </c>
      <c r="I31" s="141">
        <v>7.8910000000000004E-3</v>
      </c>
      <c r="J31" s="141">
        <v>1.2752987247012751E-2</v>
      </c>
      <c r="K31" s="141">
        <v>6.25E-2</v>
      </c>
      <c r="L31" s="141">
        <v>3.0420030420030423E-3</v>
      </c>
      <c r="M31" s="141">
        <v>1E-3</v>
      </c>
      <c r="N31" s="141">
        <v>5.2736947263052739E-2</v>
      </c>
      <c r="O31" s="141">
        <v>1.878001878001878E-3</v>
      </c>
      <c r="P31" s="141">
        <v>0</v>
      </c>
      <c r="Q31" s="141">
        <v>5.1369571331153271E-3</v>
      </c>
      <c r="R31" s="141">
        <v>0</v>
      </c>
      <c r="S31" s="141">
        <v>2.8829942340115313E-3</v>
      </c>
      <c r="T31" s="141">
        <v>1.376998623001377E-2</v>
      </c>
      <c r="U31" s="141">
        <v>0.12001499999999997</v>
      </c>
      <c r="V31" s="141">
        <v>3.2636999999999999E-2</v>
      </c>
      <c r="W31" s="141">
        <v>4.0980959019040981E-2</v>
      </c>
      <c r="X31" s="141">
        <v>0</v>
      </c>
      <c r="Y31" s="141">
        <v>0</v>
      </c>
      <c r="Z31" s="141">
        <v>0</v>
      </c>
      <c r="AA31" s="141">
        <v>0</v>
      </c>
      <c r="AB31" s="141">
        <v>0</v>
      </c>
      <c r="AC31" s="141">
        <v>1.166697666604667E-2</v>
      </c>
      <c r="AD31" s="141">
        <v>2.5349025349025351E-2</v>
      </c>
      <c r="AE31" s="141">
        <v>0</v>
      </c>
      <c r="AF31" s="141">
        <v>0</v>
      </c>
      <c r="AG31" s="141">
        <v>0</v>
      </c>
      <c r="AH31" s="141">
        <v>0</v>
      </c>
      <c r="AI31" s="141">
        <v>0</v>
      </c>
      <c r="AJ31" s="141">
        <v>0</v>
      </c>
      <c r="AK31" s="141">
        <v>0</v>
      </c>
      <c r="AL31" s="141">
        <v>0</v>
      </c>
      <c r="AM31" s="141">
        <v>0</v>
      </c>
      <c r="AN31" s="141">
        <v>0</v>
      </c>
      <c r="AO31" s="141">
        <v>0</v>
      </c>
    </row>
    <row r="32" spans="1:41" customFormat="1" x14ac:dyDescent="0.15">
      <c r="A32" s="176" t="s">
        <v>222</v>
      </c>
      <c r="B32" s="141">
        <v>0</v>
      </c>
      <c r="C32" s="141">
        <v>4.8317799729420333E-4</v>
      </c>
      <c r="D32" s="141">
        <v>1.5063000000000002E-2</v>
      </c>
      <c r="E32" s="141">
        <v>0.27569700000000008</v>
      </c>
      <c r="F32" s="141">
        <v>0.29945500000000003</v>
      </c>
      <c r="G32" s="141">
        <v>4.6286000000000001E-2</v>
      </c>
      <c r="H32" s="141">
        <v>0.57222594277740568</v>
      </c>
      <c r="I32" s="141">
        <v>2.9367999999999998E-2</v>
      </c>
      <c r="J32" s="141">
        <v>0.18718681281318716</v>
      </c>
      <c r="K32" s="141">
        <v>9.375E-2</v>
      </c>
      <c r="L32" s="141">
        <v>0.19481219481219486</v>
      </c>
      <c r="M32" s="141">
        <v>2.8299999999999999E-2</v>
      </c>
      <c r="N32" s="141">
        <v>8.5336914663085336E-2</v>
      </c>
      <c r="O32" s="141">
        <v>9.1445091445091442E-2</v>
      </c>
      <c r="P32" s="141">
        <v>0.56820599999999999</v>
      </c>
      <c r="Q32" s="141">
        <v>0.1490911075846324</v>
      </c>
      <c r="R32" s="141">
        <v>2.7779999999999999E-2</v>
      </c>
      <c r="S32" s="141">
        <v>0.12308575382849231</v>
      </c>
      <c r="T32" s="141">
        <v>0.33050866949133051</v>
      </c>
      <c r="U32" s="141">
        <v>0.26271999999999995</v>
      </c>
      <c r="V32" s="141">
        <v>0.26850299999999999</v>
      </c>
      <c r="W32" s="141">
        <v>9.0957909042090959E-2</v>
      </c>
      <c r="X32" s="141">
        <v>0.18123300000000001</v>
      </c>
      <c r="Y32" s="141">
        <v>0.13426099999999999</v>
      </c>
      <c r="Z32" s="141">
        <v>0</v>
      </c>
      <c r="AA32" s="141">
        <v>4.5999999999999999E-2</v>
      </c>
      <c r="AB32" s="141">
        <v>0</v>
      </c>
      <c r="AC32" s="141">
        <v>0</v>
      </c>
      <c r="AD32" s="141">
        <v>8.5112085112085109E-2</v>
      </c>
      <c r="AE32" s="141">
        <v>0</v>
      </c>
      <c r="AF32" s="141">
        <v>0</v>
      </c>
      <c r="AG32" s="141">
        <v>0</v>
      </c>
      <c r="AH32" s="141">
        <v>0</v>
      </c>
      <c r="AI32" s="141">
        <v>0</v>
      </c>
      <c r="AJ32" s="141">
        <v>0</v>
      </c>
      <c r="AK32" s="141">
        <v>0</v>
      </c>
      <c r="AL32" s="141">
        <v>0</v>
      </c>
      <c r="AM32" s="141">
        <v>0</v>
      </c>
      <c r="AN32" s="141">
        <v>0</v>
      </c>
      <c r="AO32" s="141">
        <v>0</v>
      </c>
    </row>
    <row r="33" spans="1:41" customFormat="1" x14ac:dyDescent="0.15">
      <c r="A33" s="176" t="s">
        <v>223</v>
      </c>
      <c r="B33" s="141">
        <v>0</v>
      </c>
      <c r="C33" s="141">
        <v>0</v>
      </c>
      <c r="D33" s="141">
        <v>1.5063000000000002E-2</v>
      </c>
      <c r="E33" s="141">
        <v>2.5608000000000002E-2</v>
      </c>
      <c r="F33" s="141">
        <v>1E-4</v>
      </c>
      <c r="G33" s="141">
        <v>0</v>
      </c>
      <c r="H33" s="141">
        <v>0</v>
      </c>
      <c r="I33" s="141">
        <v>2.3674000000000001E-2</v>
      </c>
      <c r="J33" s="141">
        <v>4.1659958340041658E-2</v>
      </c>
      <c r="K33" s="141">
        <v>3.1250000000000002E-3</v>
      </c>
      <c r="L33" s="141">
        <v>6.6350066350066364E-3</v>
      </c>
      <c r="M33" s="141">
        <v>1.2999999999999999E-3</v>
      </c>
      <c r="N33" s="141">
        <v>3.4899965100034907E-4</v>
      </c>
      <c r="O33" s="141">
        <v>0</v>
      </c>
      <c r="P33" s="141">
        <v>0</v>
      </c>
      <c r="Q33" s="141">
        <v>0</v>
      </c>
      <c r="R33" s="141">
        <v>0</v>
      </c>
      <c r="S33" s="141">
        <v>0</v>
      </c>
      <c r="T33" s="141">
        <v>2.0999979000021001E-5</v>
      </c>
      <c r="U33" s="141">
        <v>8.2812999999999984E-2</v>
      </c>
      <c r="V33" s="141">
        <v>3.8273000000000001E-2</v>
      </c>
      <c r="W33" s="141">
        <v>9.3959906040093962E-3</v>
      </c>
      <c r="X33" s="141">
        <v>0</v>
      </c>
      <c r="Y33" s="141">
        <v>6.1199999999999996E-3</v>
      </c>
      <c r="Z33" s="141">
        <v>0</v>
      </c>
      <c r="AA33" s="141">
        <v>0</v>
      </c>
      <c r="AB33" s="141">
        <v>0</v>
      </c>
      <c r="AC33" s="141">
        <v>0</v>
      </c>
      <c r="AD33" s="141">
        <v>0.243000243000243</v>
      </c>
      <c r="AE33" s="141">
        <v>0.153002</v>
      </c>
      <c r="AF33" s="141">
        <v>0</v>
      </c>
      <c r="AG33" s="141">
        <v>0</v>
      </c>
      <c r="AH33" s="141">
        <v>0</v>
      </c>
      <c r="AI33" s="141">
        <v>0</v>
      </c>
      <c r="AJ33" s="141">
        <v>0</v>
      </c>
      <c r="AK33" s="141">
        <v>0</v>
      </c>
      <c r="AL33" s="141">
        <v>0</v>
      </c>
      <c r="AM33" s="141">
        <v>0</v>
      </c>
      <c r="AN33" s="141">
        <v>0</v>
      </c>
      <c r="AO33" s="141">
        <v>0</v>
      </c>
    </row>
    <row r="34" spans="1:41" customFormat="1" x14ac:dyDescent="0.15">
      <c r="A34" s="176" t="s">
        <v>224</v>
      </c>
      <c r="B34" s="141">
        <v>0</v>
      </c>
      <c r="C34" s="141">
        <v>9.6635599458840666E-4</v>
      </c>
      <c r="D34" s="141">
        <v>1.5063000000000002E-2</v>
      </c>
      <c r="E34" s="141">
        <v>1.2730000000000002E-2</v>
      </c>
      <c r="F34" s="141">
        <v>3.3693000000000001E-2</v>
      </c>
      <c r="G34" s="141">
        <v>0</v>
      </c>
      <c r="H34" s="141">
        <v>0</v>
      </c>
      <c r="I34" s="141">
        <v>0.44111499999999998</v>
      </c>
      <c r="J34" s="141">
        <v>0.20825979174020823</v>
      </c>
      <c r="K34" s="141">
        <v>0</v>
      </c>
      <c r="L34" s="141">
        <v>1.1780011780011782E-3</v>
      </c>
      <c r="M34" s="141">
        <v>0.41749999999999998</v>
      </c>
      <c r="N34" s="141">
        <v>0.14089385910614088</v>
      </c>
      <c r="O34" s="141">
        <v>7.9100079100079105E-4</v>
      </c>
      <c r="P34" s="141">
        <v>4.8000000000000001E-4</v>
      </c>
      <c r="Q34" s="141">
        <v>1.2380271400335037E-4</v>
      </c>
      <c r="R34" s="141">
        <v>0</v>
      </c>
      <c r="S34" s="141">
        <v>0</v>
      </c>
      <c r="T34" s="141">
        <v>1.1972988027011973E-2</v>
      </c>
      <c r="U34" s="141">
        <v>0.12819499999999998</v>
      </c>
      <c r="V34" s="141">
        <v>0.305315</v>
      </c>
      <c r="W34" s="141">
        <v>4.297995702004298E-2</v>
      </c>
      <c r="X34" s="141">
        <v>0.29327700000000001</v>
      </c>
      <c r="Y34" s="141">
        <v>0</v>
      </c>
      <c r="Z34" s="141">
        <v>0</v>
      </c>
      <c r="AA34" s="141">
        <v>0</v>
      </c>
      <c r="AB34" s="141">
        <v>0</v>
      </c>
      <c r="AC34" s="141">
        <v>0</v>
      </c>
      <c r="AD34" s="141">
        <v>0.10800010800010801</v>
      </c>
      <c r="AE34" s="141">
        <v>0.14400099999999999</v>
      </c>
      <c r="AF34" s="141">
        <v>1.4999999999999999E-2</v>
      </c>
      <c r="AG34" s="141">
        <v>0</v>
      </c>
      <c r="AH34" s="141">
        <v>0</v>
      </c>
      <c r="AI34" s="141">
        <v>0</v>
      </c>
      <c r="AJ34" s="141">
        <v>0</v>
      </c>
      <c r="AK34" s="141">
        <v>0</v>
      </c>
      <c r="AL34" s="141">
        <v>0</v>
      </c>
      <c r="AM34" s="141">
        <v>0</v>
      </c>
      <c r="AN34" s="141">
        <v>0</v>
      </c>
      <c r="AO34" s="141">
        <v>0</v>
      </c>
    </row>
    <row r="35" spans="1:41" customFormat="1" x14ac:dyDescent="0.15">
      <c r="A35" s="176" t="s">
        <v>225</v>
      </c>
      <c r="B35" s="141">
        <v>0</v>
      </c>
      <c r="C35" s="141">
        <v>9.6635599458840666E-4</v>
      </c>
      <c r="D35" s="141">
        <v>1.5063000000000002E-2</v>
      </c>
      <c r="E35" s="141">
        <v>1.4630000000000003E-3</v>
      </c>
      <c r="F35" s="141">
        <v>3.9899999999999999E-4</v>
      </c>
      <c r="G35" s="141">
        <v>0</v>
      </c>
      <c r="H35" s="141">
        <v>0</v>
      </c>
      <c r="I35" s="141">
        <v>9.1900000000000003E-3</v>
      </c>
      <c r="J35" s="141">
        <v>1.3349986650013348E-2</v>
      </c>
      <c r="K35" s="141">
        <v>0</v>
      </c>
      <c r="L35" s="141">
        <v>6.6350066350066364E-3</v>
      </c>
      <c r="M35" s="141">
        <v>7.4000000000000003E-3</v>
      </c>
      <c r="N35" s="141">
        <v>3.3999966000034003E-5</v>
      </c>
      <c r="O35" s="141">
        <v>3.2620032620032623E-3</v>
      </c>
      <c r="P35" s="141">
        <v>0</v>
      </c>
      <c r="Q35" s="141">
        <v>0</v>
      </c>
      <c r="R35" s="141">
        <v>0</v>
      </c>
      <c r="S35" s="141">
        <v>0</v>
      </c>
      <c r="T35" s="141">
        <v>5.1099948900051103E-4</v>
      </c>
      <c r="U35" s="141">
        <v>1.2753999999999996E-2</v>
      </c>
      <c r="V35" s="141">
        <v>5.0876999999999999E-2</v>
      </c>
      <c r="W35" s="141">
        <v>6.7999932000068007E-4</v>
      </c>
      <c r="X35" s="141">
        <v>0</v>
      </c>
      <c r="Y35" s="141">
        <v>0</v>
      </c>
      <c r="Z35" s="141">
        <v>0</v>
      </c>
      <c r="AA35" s="141">
        <v>0</v>
      </c>
      <c r="AB35" s="141">
        <v>0</v>
      </c>
      <c r="AC35" s="141">
        <v>0</v>
      </c>
      <c r="AD35" s="141">
        <v>6.8360068360068362E-3</v>
      </c>
      <c r="AE35" s="141">
        <v>1.1769999999999999E-2</v>
      </c>
      <c r="AF35" s="141">
        <v>0</v>
      </c>
      <c r="AG35" s="141">
        <v>0</v>
      </c>
      <c r="AH35" s="141">
        <v>0</v>
      </c>
      <c r="AI35" s="141">
        <v>0</v>
      </c>
      <c r="AJ35" s="141">
        <v>0</v>
      </c>
      <c r="AK35" s="141">
        <v>0</v>
      </c>
      <c r="AL35" s="141">
        <v>0</v>
      </c>
      <c r="AM35" s="141">
        <v>0</v>
      </c>
      <c r="AN35" s="141">
        <v>0</v>
      </c>
      <c r="AO35" s="141">
        <v>0</v>
      </c>
    </row>
    <row r="36" spans="1:41" customFormat="1" x14ac:dyDescent="0.15">
      <c r="A36" s="176" t="s">
        <v>226</v>
      </c>
      <c r="B36" s="141">
        <v>0</v>
      </c>
      <c r="C36" s="141">
        <v>9.6635599458840666E-4</v>
      </c>
      <c r="D36" s="141">
        <v>1.5063000000000002E-2</v>
      </c>
      <c r="E36" s="141">
        <v>1.2392000000000002E-2</v>
      </c>
      <c r="F36" s="141">
        <v>6.2004999999999998E-2</v>
      </c>
      <c r="G36" s="141">
        <v>1.7799999999999999E-4</v>
      </c>
      <c r="H36" s="141">
        <v>3.3631996636800331E-3</v>
      </c>
      <c r="I36" s="141">
        <v>0.10868</v>
      </c>
      <c r="J36" s="141">
        <v>0.11688888311111688</v>
      </c>
      <c r="K36" s="141">
        <v>0</v>
      </c>
      <c r="L36" s="141">
        <v>0</v>
      </c>
      <c r="M36" s="141">
        <v>9.06E-2</v>
      </c>
      <c r="N36" s="141">
        <v>0.10762889237110763</v>
      </c>
      <c r="O36" s="141">
        <v>0.17676017676017677</v>
      </c>
      <c r="P36" s="141">
        <v>0.117131</v>
      </c>
      <c r="Q36" s="141">
        <v>1.0193695051545063E-2</v>
      </c>
      <c r="R36" s="141">
        <v>0</v>
      </c>
      <c r="S36" s="141">
        <v>8.5309829380341221E-3</v>
      </c>
      <c r="T36" s="141">
        <v>5.1170948829051176E-2</v>
      </c>
      <c r="U36" s="141">
        <v>0.13458699999999998</v>
      </c>
      <c r="V36" s="141">
        <v>2.9894E-2</v>
      </c>
      <c r="W36" s="141">
        <v>2.5987974012025992E-2</v>
      </c>
      <c r="X36" s="141">
        <v>0</v>
      </c>
      <c r="Y36" s="141">
        <v>4.1999999999999998E-5</v>
      </c>
      <c r="Z36" s="141">
        <v>5.0000000000000001E-3</v>
      </c>
      <c r="AA36" s="141">
        <v>0.1</v>
      </c>
      <c r="AB36" s="141">
        <v>0</v>
      </c>
      <c r="AC36" s="141">
        <v>0</v>
      </c>
      <c r="AD36" s="141">
        <v>0.28398828398828402</v>
      </c>
      <c r="AE36" s="141">
        <v>0.43458400000000003</v>
      </c>
      <c r="AF36" s="141">
        <v>1.4999999999999999E-2</v>
      </c>
      <c r="AG36" s="141">
        <v>0</v>
      </c>
      <c r="AH36" s="141">
        <v>0</v>
      </c>
      <c r="AI36" s="141">
        <v>0</v>
      </c>
      <c r="AJ36" s="141">
        <v>0</v>
      </c>
      <c r="AK36" s="141">
        <v>0</v>
      </c>
      <c r="AL36" s="141">
        <v>0</v>
      </c>
      <c r="AM36" s="141">
        <v>0</v>
      </c>
      <c r="AN36" s="141">
        <v>0</v>
      </c>
      <c r="AO36" s="141">
        <v>0</v>
      </c>
    </row>
    <row r="37" spans="1:41" customFormat="1" x14ac:dyDescent="0.15">
      <c r="A37" s="176" t="s">
        <v>227</v>
      </c>
      <c r="B37" s="141">
        <v>0.58638741361258651</v>
      </c>
      <c r="C37" s="141">
        <v>0</v>
      </c>
      <c r="D37" s="141">
        <v>0.43211100000000008</v>
      </c>
      <c r="E37" s="141">
        <v>2.8050000000000002E-2</v>
      </c>
      <c r="F37" s="141">
        <v>0.332451</v>
      </c>
      <c r="G37" s="141">
        <v>0.21332400000000001</v>
      </c>
      <c r="H37" s="141">
        <v>0.26938457306154268</v>
      </c>
      <c r="I37" s="141">
        <v>0.24852199999999999</v>
      </c>
      <c r="J37" s="141">
        <v>0.23238576761423235</v>
      </c>
      <c r="K37" s="141">
        <v>0</v>
      </c>
      <c r="L37" s="141">
        <v>0.14544614544614545</v>
      </c>
      <c r="M37" s="141">
        <v>0.39350000000000002</v>
      </c>
      <c r="N37" s="141">
        <v>0.47530152469847536</v>
      </c>
      <c r="O37" s="141">
        <v>1.5820015820015821E-3</v>
      </c>
      <c r="P37" s="141">
        <v>0.26638299999999998</v>
      </c>
      <c r="Q37" s="141">
        <v>0.40562059197587047</v>
      </c>
      <c r="R37" s="141">
        <v>0.58455000000000001</v>
      </c>
      <c r="S37" s="141">
        <v>6.9399861200277575E-4</v>
      </c>
      <c r="T37" s="141">
        <v>4.6381953618046388E-2</v>
      </c>
      <c r="U37" s="141">
        <v>8.9690999999999993E-2</v>
      </c>
      <c r="V37" s="141">
        <v>0.24143300000000001</v>
      </c>
      <c r="W37" s="141">
        <v>0.3588346411653589</v>
      </c>
      <c r="X37" s="141">
        <v>0.309168</v>
      </c>
      <c r="Y37" s="141">
        <v>0.72186399999999995</v>
      </c>
      <c r="Z37" s="141">
        <v>5.0000000000000001E-3</v>
      </c>
      <c r="AA37" s="141">
        <v>0.41099999999999998</v>
      </c>
      <c r="AB37" s="141">
        <v>0.45</v>
      </c>
      <c r="AC37" s="141">
        <v>0.3582192835614329</v>
      </c>
      <c r="AD37" s="141">
        <v>0.14771414771414773</v>
      </c>
      <c r="AE37" s="141">
        <v>0.156642</v>
      </c>
      <c r="AF37" s="141">
        <v>0.12</v>
      </c>
      <c r="AG37" s="141">
        <v>0</v>
      </c>
      <c r="AH37" s="141">
        <v>0</v>
      </c>
      <c r="AI37" s="141">
        <v>0</v>
      </c>
      <c r="AJ37" s="141">
        <v>0</v>
      </c>
      <c r="AK37" s="141">
        <v>0.02</v>
      </c>
      <c r="AL37" s="141">
        <v>0</v>
      </c>
      <c r="AM37" s="141">
        <v>0</v>
      </c>
      <c r="AN37" s="141">
        <v>0</v>
      </c>
      <c r="AO37" s="141">
        <v>0</v>
      </c>
    </row>
    <row r="38" spans="1:41" customFormat="1" x14ac:dyDescent="0.15">
      <c r="A38" s="176" t="s">
        <v>228</v>
      </c>
      <c r="B38" s="141">
        <v>3.598896401103599E-2</v>
      </c>
      <c r="C38" s="141">
        <v>0</v>
      </c>
      <c r="D38" s="141">
        <v>0</v>
      </c>
      <c r="E38" s="141">
        <v>1.1299000000000002E-2</v>
      </c>
      <c r="F38" s="141">
        <v>8.9700000000000001E-4</v>
      </c>
      <c r="G38" s="141">
        <v>9.3700000000000001E-4</v>
      </c>
      <c r="H38" s="141">
        <v>9.9999990000000996E-4</v>
      </c>
      <c r="I38" s="141">
        <v>3.6963000000000003E-2</v>
      </c>
      <c r="J38" s="141">
        <v>0</v>
      </c>
      <c r="K38" s="141">
        <v>0</v>
      </c>
      <c r="L38" s="141">
        <v>0</v>
      </c>
      <c r="M38" s="141">
        <v>0</v>
      </c>
      <c r="N38" s="141">
        <v>1.5935984064015935E-2</v>
      </c>
      <c r="O38" s="141">
        <v>1.285001285001285E-3</v>
      </c>
      <c r="P38" s="141">
        <v>4.4000000000000003E-3</v>
      </c>
      <c r="Q38" s="141">
        <v>2.1385710596869952E-2</v>
      </c>
      <c r="R38" s="141">
        <v>0.30434</v>
      </c>
      <c r="S38" s="141">
        <v>0</v>
      </c>
      <c r="T38" s="141">
        <v>0</v>
      </c>
      <c r="U38" s="141">
        <v>1.0443999999999998E-2</v>
      </c>
      <c r="V38" s="141">
        <v>0</v>
      </c>
      <c r="W38" s="141">
        <v>2.4999975000025005E-4</v>
      </c>
      <c r="X38" s="141">
        <v>0.18123300000000001</v>
      </c>
      <c r="Y38" s="141">
        <v>9.6712999999999993E-2</v>
      </c>
      <c r="Z38" s="141">
        <v>0</v>
      </c>
      <c r="AA38" s="141">
        <v>0.443</v>
      </c>
      <c r="AB38" s="141">
        <v>0.45</v>
      </c>
      <c r="AC38" s="141">
        <v>0.19949960100079805</v>
      </c>
      <c r="AD38" s="141">
        <v>0</v>
      </c>
      <c r="AE38" s="141">
        <v>0</v>
      </c>
      <c r="AF38" s="141">
        <v>0.24</v>
      </c>
      <c r="AG38" s="141">
        <v>0</v>
      </c>
      <c r="AH38" s="141">
        <v>0</v>
      </c>
      <c r="AI38" s="141">
        <v>0</v>
      </c>
      <c r="AJ38" s="141">
        <v>0</v>
      </c>
      <c r="AK38" s="141">
        <v>0.43</v>
      </c>
      <c r="AL38" s="141">
        <v>0</v>
      </c>
      <c r="AM38" s="141">
        <v>0</v>
      </c>
      <c r="AN38" s="141">
        <v>0</v>
      </c>
      <c r="AO38" s="141">
        <v>0</v>
      </c>
    </row>
    <row r="39" spans="1:41" x14ac:dyDescent="0.15">
      <c r="A39" s="176" t="s">
        <v>229</v>
      </c>
      <c r="B39" s="141">
        <v>0</v>
      </c>
      <c r="C39" s="141">
        <v>0</v>
      </c>
      <c r="D39" s="141">
        <v>0</v>
      </c>
      <c r="E39" s="141">
        <v>0</v>
      </c>
      <c r="F39" s="141">
        <v>0</v>
      </c>
      <c r="G39" s="141">
        <v>0</v>
      </c>
      <c r="H39" s="141">
        <v>0</v>
      </c>
      <c r="I39" s="141">
        <v>0</v>
      </c>
      <c r="J39" s="141">
        <v>0</v>
      </c>
      <c r="K39" s="141">
        <v>0</v>
      </c>
      <c r="L39" s="141">
        <v>0</v>
      </c>
      <c r="M39" s="141">
        <v>0</v>
      </c>
      <c r="N39" s="141">
        <v>0</v>
      </c>
      <c r="O39" s="141">
        <v>0</v>
      </c>
      <c r="P39" s="141">
        <v>0</v>
      </c>
      <c r="Q39" s="141">
        <v>0</v>
      </c>
      <c r="R39" s="141">
        <v>0</v>
      </c>
      <c r="S39" s="141">
        <v>0</v>
      </c>
      <c r="T39" s="141">
        <v>0</v>
      </c>
      <c r="U39" s="141">
        <v>0</v>
      </c>
      <c r="V39" s="141">
        <v>0</v>
      </c>
      <c r="W39" s="141">
        <v>3.7979962020037983E-3</v>
      </c>
      <c r="X39" s="141">
        <v>0</v>
      </c>
      <c r="Y39" s="141">
        <v>0</v>
      </c>
      <c r="Z39" s="141">
        <v>0</v>
      </c>
      <c r="AA39" s="141">
        <v>0</v>
      </c>
      <c r="AB39" s="141">
        <v>0</v>
      </c>
      <c r="AC39" s="141">
        <v>0</v>
      </c>
      <c r="AD39" s="141">
        <v>0</v>
      </c>
      <c r="AE39" s="141">
        <v>0</v>
      </c>
      <c r="AF39" s="141">
        <v>8.5000000000000006E-2</v>
      </c>
      <c r="AG39" s="141">
        <v>0</v>
      </c>
      <c r="AH39" s="141">
        <v>0</v>
      </c>
      <c r="AI39" s="141">
        <v>0.5</v>
      </c>
      <c r="AJ39" s="141">
        <v>0</v>
      </c>
      <c r="AK39" s="141">
        <v>0.37</v>
      </c>
      <c r="AL39" s="141">
        <v>1</v>
      </c>
      <c r="AM39" s="141">
        <v>0</v>
      </c>
      <c r="AN39" s="141">
        <v>0</v>
      </c>
      <c r="AO39" s="141">
        <v>0</v>
      </c>
    </row>
    <row r="40" spans="1:41" x14ac:dyDescent="0.15">
      <c r="A40" s="176" t="s">
        <v>230</v>
      </c>
      <c r="B40" s="141">
        <v>0</v>
      </c>
      <c r="C40" s="141">
        <v>0</v>
      </c>
      <c r="D40" s="141">
        <v>1.5549000000000002E-2</v>
      </c>
      <c r="E40" s="141">
        <v>0</v>
      </c>
      <c r="F40" s="141">
        <v>0</v>
      </c>
      <c r="G40" s="141">
        <v>0</v>
      </c>
      <c r="H40" s="141">
        <v>0</v>
      </c>
      <c r="I40" s="141">
        <v>0</v>
      </c>
      <c r="J40" s="141">
        <v>0</v>
      </c>
      <c r="K40" s="141">
        <v>0</v>
      </c>
      <c r="L40" s="141">
        <v>0</v>
      </c>
      <c r="M40" s="141">
        <v>0</v>
      </c>
      <c r="N40" s="141">
        <v>0</v>
      </c>
      <c r="O40" s="141">
        <v>0</v>
      </c>
      <c r="P40" s="141">
        <v>0</v>
      </c>
      <c r="Q40" s="141">
        <v>0</v>
      </c>
      <c r="R40" s="141">
        <v>0</v>
      </c>
      <c r="S40" s="141">
        <v>0</v>
      </c>
      <c r="T40" s="141">
        <v>0</v>
      </c>
      <c r="U40" s="141">
        <v>9.4899999999999976E-4</v>
      </c>
      <c r="V40" s="141">
        <v>0</v>
      </c>
      <c r="W40" s="141">
        <v>0</v>
      </c>
      <c r="X40" s="141">
        <v>0</v>
      </c>
      <c r="Y40" s="141">
        <v>0.04</v>
      </c>
      <c r="Z40" s="141">
        <v>0</v>
      </c>
      <c r="AA40" s="141">
        <v>0</v>
      </c>
      <c r="AB40" s="141">
        <v>0</v>
      </c>
      <c r="AC40" s="141">
        <v>0</v>
      </c>
      <c r="AD40" s="141">
        <v>0.10000010000010001</v>
      </c>
      <c r="AE40" s="141">
        <v>0.10000100000000001</v>
      </c>
      <c r="AF40" s="141">
        <v>0.52500000000000002</v>
      </c>
      <c r="AG40" s="141">
        <v>1</v>
      </c>
      <c r="AH40" s="141">
        <v>1</v>
      </c>
      <c r="AI40" s="141">
        <v>0.5</v>
      </c>
      <c r="AJ40" s="141">
        <v>1</v>
      </c>
      <c r="AK40" s="141">
        <v>0.18</v>
      </c>
      <c r="AL40" s="141">
        <v>0</v>
      </c>
      <c r="AM40" s="141">
        <v>0</v>
      </c>
      <c r="AN40" s="141">
        <v>0</v>
      </c>
      <c r="AO40" s="141">
        <v>0</v>
      </c>
    </row>
    <row r="41" spans="1:41" x14ac:dyDescent="0.15">
      <c r="A41" s="176" t="s">
        <v>231</v>
      </c>
      <c r="B41" s="141">
        <v>0</v>
      </c>
      <c r="C41" s="141">
        <v>0</v>
      </c>
      <c r="D41" s="141">
        <v>0</v>
      </c>
      <c r="E41" s="141">
        <v>0</v>
      </c>
      <c r="F41" s="141">
        <v>0</v>
      </c>
      <c r="G41" s="141">
        <v>0</v>
      </c>
      <c r="H41" s="141">
        <v>0</v>
      </c>
      <c r="I41" s="141">
        <v>0</v>
      </c>
      <c r="J41" s="141">
        <v>0</v>
      </c>
      <c r="K41" s="141">
        <v>0</v>
      </c>
      <c r="L41" s="141">
        <v>0</v>
      </c>
      <c r="M41" s="141">
        <v>0</v>
      </c>
      <c r="N41" s="141">
        <v>0</v>
      </c>
      <c r="O41" s="141">
        <v>0</v>
      </c>
      <c r="P41" s="141">
        <v>0</v>
      </c>
      <c r="Q41" s="141">
        <v>0</v>
      </c>
      <c r="R41" s="141">
        <v>0</v>
      </c>
      <c r="S41" s="141">
        <v>0</v>
      </c>
      <c r="T41" s="141">
        <v>0</v>
      </c>
      <c r="U41" s="141">
        <v>0</v>
      </c>
      <c r="V41" s="141">
        <v>0</v>
      </c>
      <c r="W41" s="141">
        <v>0</v>
      </c>
      <c r="X41" s="141">
        <v>0</v>
      </c>
      <c r="Y41" s="141">
        <v>0</v>
      </c>
      <c r="Z41" s="141">
        <v>0</v>
      </c>
      <c r="AA41" s="141">
        <v>0</v>
      </c>
      <c r="AB41" s="141">
        <v>0</v>
      </c>
      <c r="AC41" s="141">
        <v>0</v>
      </c>
      <c r="AD41" s="141">
        <v>0</v>
      </c>
      <c r="AE41" s="141">
        <v>0</v>
      </c>
      <c r="AF41" s="141">
        <v>0</v>
      </c>
      <c r="AG41" s="141">
        <v>0</v>
      </c>
      <c r="AH41" s="141">
        <v>0</v>
      </c>
      <c r="AI41" s="141">
        <v>0</v>
      </c>
      <c r="AJ41" s="141">
        <v>0</v>
      </c>
      <c r="AK41" s="141">
        <v>0</v>
      </c>
      <c r="AL41" s="141">
        <v>0</v>
      </c>
      <c r="AM41" s="141">
        <v>0</v>
      </c>
      <c r="AN41" s="141">
        <v>0</v>
      </c>
      <c r="AO41" s="141">
        <v>0</v>
      </c>
    </row>
    <row r="42" spans="1:41" x14ac:dyDescent="0.15">
      <c r="A42" s="176" t="s">
        <v>233</v>
      </c>
      <c r="B42" s="141">
        <v>0.11527088472911527</v>
      </c>
      <c r="C42" s="141">
        <v>0</v>
      </c>
      <c r="D42" s="141">
        <v>5.6456000000000006E-2</v>
      </c>
      <c r="E42" s="141">
        <v>0</v>
      </c>
      <c r="F42" s="141">
        <v>0</v>
      </c>
      <c r="G42" s="141">
        <v>0</v>
      </c>
      <c r="H42" s="141">
        <v>0</v>
      </c>
      <c r="I42" s="141">
        <v>0</v>
      </c>
      <c r="J42" s="141">
        <v>0</v>
      </c>
      <c r="K42" s="141">
        <v>0</v>
      </c>
      <c r="L42" s="141">
        <v>0</v>
      </c>
      <c r="M42" s="141">
        <v>0</v>
      </c>
      <c r="N42" s="141">
        <v>0</v>
      </c>
      <c r="O42" s="141">
        <v>0</v>
      </c>
      <c r="P42" s="141">
        <v>0</v>
      </c>
      <c r="Q42" s="141">
        <v>0</v>
      </c>
      <c r="R42" s="141">
        <v>0</v>
      </c>
      <c r="S42" s="141">
        <v>0</v>
      </c>
      <c r="T42" s="141">
        <v>0</v>
      </c>
      <c r="U42" s="141">
        <v>0</v>
      </c>
      <c r="V42" s="141">
        <v>0</v>
      </c>
      <c r="W42" s="141">
        <v>0</v>
      </c>
      <c r="X42" s="141">
        <v>0</v>
      </c>
      <c r="Y42" s="141">
        <v>0</v>
      </c>
      <c r="Z42" s="141">
        <v>0.40500000000000003</v>
      </c>
      <c r="AA42" s="141">
        <v>0</v>
      </c>
      <c r="AB42" s="141">
        <v>0</v>
      </c>
      <c r="AC42" s="141">
        <v>0.34335931328137348</v>
      </c>
      <c r="AD42" s="141">
        <v>0</v>
      </c>
      <c r="AE42" s="141">
        <v>0</v>
      </c>
      <c r="AF42" s="141">
        <v>0</v>
      </c>
      <c r="AG42" s="141">
        <v>0</v>
      </c>
      <c r="AH42" s="141">
        <v>0</v>
      </c>
      <c r="AI42" s="141">
        <v>0</v>
      </c>
      <c r="AJ42" s="141">
        <v>0</v>
      </c>
      <c r="AK42" s="141">
        <v>0</v>
      </c>
      <c r="AL42" s="141">
        <v>0</v>
      </c>
      <c r="AM42" s="141">
        <v>0</v>
      </c>
      <c r="AN42" s="141">
        <v>0</v>
      </c>
      <c r="AO42" s="141">
        <v>0</v>
      </c>
    </row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tabSelected="1" workbookViewId="0">
      <pane xSplit="2" ySplit="1" topLeftCell="C27" activePane="bottomRight" state="frozen"/>
      <selection pane="topRight" activeCell="C1" sqref="C1"/>
      <selection pane="bottomLeft" activeCell="A2" sqref="A2"/>
      <selection pane="bottomRight" activeCell="G45" sqref="G45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16.6640625" style="109" customWidth="1"/>
    <col min="5" max="6" width="16.6640625" style="108" customWidth="1"/>
    <col min="7" max="8" width="8.83203125" style="109"/>
  </cols>
  <sheetData>
    <row r="1" spans="1:8" ht="70" x14ac:dyDescent="0.15">
      <c r="A1" s="5" t="s">
        <v>20</v>
      </c>
      <c r="B1" s="1" t="s">
        <v>0</v>
      </c>
      <c r="C1" s="179" t="s">
        <v>230</v>
      </c>
      <c r="D1" s="179" t="s">
        <v>231</v>
      </c>
      <c r="E1" s="179" t="s">
        <v>234</v>
      </c>
      <c r="F1" s="179" t="s">
        <v>235</v>
      </c>
      <c r="G1"/>
      <c r="H1"/>
    </row>
    <row r="2" spans="1:8" x14ac:dyDescent="0.15">
      <c r="A2">
        <v>1</v>
      </c>
      <c r="B2" s="178" t="s">
        <v>192</v>
      </c>
      <c r="C2" s="109">
        <v>1</v>
      </c>
      <c r="D2" s="109">
        <v>0</v>
      </c>
      <c r="E2" s="108">
        <v>0</v>
      </c>
      <c r="F2" s="108">
        <v>1</v>
      </c>
      <c r="G2"/>
      <c r="H2"/>
    </row>
    <row r="3" spans="1:8" x14ac:dyDescent="0.15">
      <c r="A3">
        <v>2</v>
      </c>
      <c r="B3" s="178" t="s">
        <v>193</v>
      </c>
      <c r="C3" s="109">
        <v>1</v>
      </c>
      <c r="D3" s="109">
        <v>0</v>
      </c>
      <c r="E3" s="108">
        <v>0</v>
      </c>
      <c r="F3" s="108">
        <v>1</v>
      </c>
      <c r="G3"/>
      <c r="H3"/>
    </row>
    <row r="4" spans="1:8" x14ac:dyDescent="0.15">
      <c r="A4">
        <v>3</v>
      </c>
      <c r="B4" s="178" t="s">
        <v>194</v>
      </c>
      <c r="C4" s="109">
        <v>1</v>
      </c>
      <c r="D4" s="109">
        <v>0</v>
      </c>
      <c r="E4" s="108">
        <v>0</v>
      </c>
      <c r="F4" s="108">
        <v>1</v>
      </c>
      <c r="G4"/>
      <c r="H4"/>
    </row>
    <row r="5" spans="1:8" x14ac:dyDescent="0.15">
      <c r="A5">
        <v>4</v>
      </c>
      <c r="B5" s="178" t="s">
        <v>195</v>
      </c>
      <c r="C5" s="109">
        <v>1</v>
      </c>
      <c r="D5" s="109">
        <v>0</v>
      </c>
      <c r="E5" s="108">
        <v>0</v>
      </c>
      <c r="F5" s="108">
        <v>1</v>
      </c>
      <c r="G5"/>
      <c r="H5"/>
    </row>
    <row r="6" spans="1:8" x14ac:dyDescent="0.15">
      <c r="A6">
        <v>5</v>
      </c>
      <c r="B6" s="178" t="s">
        <v>196</v>
      </c>
      <c r="C6" s="109">
        <v>1</v>
      </c>
      <c r="D6" s="109">
        <v>0</v>
      </c>
      <c r="E6" s="108">
        <v>0</v>
      </c>
      <c r="F6" s="108">
        <v>1</v>
      </c>
      <c r="G6"/>
      <c r="H6"/>
    </row>
    <row r="7" spans="1:8" x14ac:dyDescent="0.15">
      <c r="A7">
        <v>6</v>
      </c>
      <c r="B7" s="178" t="s">
        <v>197</v>
      </c>
      <c r="C7" s="109">
        <v>1</v>
      </c>
      <c r="D7" s="109">
        <v>0</v>
      </c>
      <c r="E7" s="108">
        <v>0</v>
      </c>
      <c r="F7" s="108">
        <v>1</v>
      </c>
      <c r="G7"/>
      <c r="H7"/>
    </row>
    <row r="8" spans="1:8" x14ac:dyDescent="0.15">
      <c r="A8">
        <v>7</v>
      </c>
      <c r="B8" s="178" t="s">
        <v>198</v>
      </c>
      <c r="C8" s="109">
        <v>1</v>
      </c>
      <c r="D8" s="109">
        <v>0</v>
      </c>
      <c r="E8" s="108">
        <v>0</v>
      </c>
      <c r="F8" s="108">
        <v>1</v>
      </c>
      <c r="G8"/>
      <c r="H8"/>
    </row>
    <row r="9" spans="1:8" x14ac:dyDescent="0.15">
      <c r="A9">
        <v>8</v>
      </c>
      <c r="B9" s="178" t="s">
        <v>199</v>
      </c>
      <c r="C9" s="109">
        <v>1</v>
      </c>
      <c r="D9" s="109">
        <v>0</v>
      </c>
      <c r="E9" s="108">
        <v>0</v>
      </c>
      <c r="F9" s="108">
        <v>1</v>
      </c>
      <c r="G9"/>
      <c r="H9"/>
    </row>
    <row r="10" spans="1:8" x14ac:dyDescent="0.15">
      <c r="A10">
        <v>9</v>
      </c>
      <c r="B10" s="178" t="s">
        <v>200</v>
      </c>
      <c r="C10" s="109">
        <v>1</v>
      </c>
      <c r="D10" s="109">
        <v>0</v>
      </c>
      <c r="E10" s="108">
        <v>0</v>
      </c>
      <c r="F10" s="108">
        <v>1</v>
      </c>
      <c r="G10"/>
      <c r="H10"/>
    </row>
    <row r="11" spans="1:8" x14ac:dyDescent="0.15">
      <c r="A11">
        <v>10</v>
      </c>
      <c r="B11" s="178" t="s">
        <v>201</v>
      </c>
      <c r="C11" s="109">
        <v>1</v>
      </c>
      <c r="D11" s="109">
        <v>0</v>
      </c>
      <c r="E11" s="108">
        <v>0</v>
      </c>
      <c r="F11" s="108">
        <v>1</v>
      </c>
      <c r="G11"/>
      <c r="H11"/>
    </row>
    <row r="12" spans="1:8" x14ac:dyDescent="0.15">
      <c r="A12">
        <v>11</v>
      </c>
      <c r="B12" s="178" t="s">
        <v>202</v>
      </c>
      <c r="C12" s="109">
        <v>1</v>
      </c>
      <c r="D12" s="109">
        <v>0</v>
      </c>
      <c r="E12" s="108">
        <v>0</v>
      </c>
      <c r="F12" s="108">
        <v>1</v>
      </c>
      <c r="G12"/>
      <c r="H12"/>
    </row>
    <row r="13" spans="1:8" x14ac:dyDescent="0.15">
      <c r="A13">
        <v>12</v>
      </c>
      <c r="B13" s="178" t="s">
        <v>203</v>
      </c>
      <c r="C13" s="109">
        <v>1</v>
      </c>
      <c r="D13" s="109">
        <v>0</v>
      </c>
      <c r="E13" s="108">
        <v>0</v>
      </c>
      <c r="F13" s="108">
        <v>1</v>
      </c>
      <c r="G13"/>
      <c r="H13"/>
    </row>
    <row r="14" spans="1:8" x14ac:dyDescent="0.15">
      <c r="A14">
        <v>13</v>
      </c>
      <c r="B14" s="178" t="s">
        <v>204</v>
      </c>
      <c r="C14" s="109">
        <v>1</v>
      </c>
      <c r="D14" s="109">
        <v>0</v>
      </c>
      <c r="E14" s="108">
        <v>0</v>
      </c>
      <c r="F14" s="108">
        <v>1</v>
      </c>
      <c r="G14"/>
      <c r="H14"/>
    </row>
    <row r="15" spans="1:8" x14ac:dyDescent="0.15">
      <c r="A15">
        <v>14</v>
      </c>
      <c r="B15" s="178" t="s">
        <v>205</v>
      </c>
      <c r="C15" s="109">
        <v>1</v>
      </c>
      <c r="D15" s="109">
        <v>0</v>
      </c>
      <c r="E15" s="108">
        <v>0</v>
      </c>
      <c r="F15" s="108">
        <v>1</v>
      </c>
      <c r="G15"/>
      <c r="H15"/>
    </row>
    <row r="16" spans="1:8" x14ac:dyDescent="0.15">
      <c r="A16">
        <v>15</v>
      </c>
      <c r="B16" s="178" t="s">
        <v>206</v>
      </c>
      <c r="C16" s="109">
        <v>1</v>
      </c>
      <c r="D16" s="109">
        <v>0</v>
      </c>
      <c r="E16" s="108">
        <v>0</v>
      </c>
      <c r="F16" s="108">
        <v>1</v>
      </c>
      <c r="G16"/>
      <c r="H16"/>
    </row>
    <row r="17" spans="1:8" ht="15" customHeight="1" x14ac:dyDescent="0.15">
      <c r="A17">
        <v>16</v>
      </c>
      <c r="B17" s="178" t="s">
        <v>207</v>
      </c>
      <c r="C17" s="109">
        <v>1</v>
      </c>
      <c r="D17" s="109">
        <v>0</v>
      </c>
      <c r="E17" s="108">
        <v>0</v>
      </c>
      <c r="F17" s="108">
        <v>1</v>
      </c>
      <c r="G17"/>
      <c r="H17"/>
    </row>
    <row r="18" spans="1:8" ht="15" customHeight="1" x14ac:dyDescent="0.15">
      <c r="A18">
        <v>17</v>
      </c>
      <c r="B18" s="178" t="s">
        <v>208</v>
      </c>
      <c r="C18" s="109">
        <v>1</v>
      </c>
      <c r="D18" s="109">
        <v>0</v>
      </c>
      <c r="E18" s="108">
        <v>0</v>
      </c>
      <c r="F18" s="108">
        <v>1</v>
      </c>
      <c r="G18"/>
      <c r="H18"/>
    </row>
    <row r="19" spans="1:8" ht="15" customHeight="1" x14ac:dyDescent="0.15">
      <c r="A19">
        <v>18</v>
      </c>
      <c r="B19" s="178" t="s">
        <v>209</v>
      </c>
      <c r="C19" s="109">
        <v>1</v>
      </c>
      <c r="D19" s="109">
        <v>0</v>
      </c>
      <c r="E19" s="108">
        <v>0</v>
      </c>
      <c r="F19" s="108">
        <v>1</v>
      </c>
      <c r="G19"/>
      <c r="H19"/>
    </row>
    <row r="20" spans="1:8" ht="15" customHeight="1" x14ac:dyDescent="0.15">
      <c r="A20">
        <v>19</v>
      </c>
      <c r="B20" s="178" t="s">
        <v>210</v>
      </c>
      <c r="C20" s="109">
        <v>1</v>
      </c>
      <c r="D20" s="109">
        <v>0</v>
      </c>
      <c r="E20" s="108">
        <v>0</v>
      </c>
      <c r="F20" s="108">
        <v>1</v>
      </c>
      <c r="G20"/>
      <c r="H20"/>
    </row>
    <row r="21" spans="1:8" ht="15" customHeight="1" x14ac:dyDescent="0.15">
      <c r="A21">
        <v>20</v>
      </c>
      <c r="B21" s="178" t="s">
        <v>211</v>
      </c>
      <c r="C21" s="109">
        <v>1</v>
      </c>
      <c r="D21" s="109">
        <v>0</v>
      </c>
      <c r="E21" s="108">
        <v>0</v>
      </c>
      <c r="F21" s="108">
        <v>1</v>
      </c>
      <c r="G21"/>
      <c r="H21"/>
    </row>
    <row r="22" spans="1:8" ht="15" customHeight="1" x14ac:dyDescent="0.15">
      <c r="A22">
        <v>21</v>
      </c>
      <c r="B22" s="178" t="s">
        <v>212</v>
      </c>
      <c r="C22" s="109">
        <v>1</v>
      </c>
      <c r="D22" s="109">
        <v>0</v>
      </c>
      <c r="E22" s="108">
        <v>0</v>
      </c>
      <c r="F22" s="108">
        <v>1</v>
      </c>
      <c r="G22"/>
      <c r="H22"/>
    </row>
    <row r="23" spans="1:8" ht="15" customHeight="1" x14ac:dyDescent="0.15">
      <c r="A23">
        <v>22</v>
      </c>
      <c r="B23" s="178" t="s">
        <v>213</v>
      </c>
      <c r="C23" s="109">
        <v>1</v>
      </c>
      <c r="D23" s="109">
        <v>0</v>
      </c>
      <c r="E23" s="108">
        <v>0</v>
      </c>
      <c r="F23" s="108">
        <v>1</v>
      </c>
      <c r="G23"/>
      <c r="H23"/>
    </row>
    <row r="24" spans="1:8" ht="15" customHeight="1" x14ac:dyDescent="0.15">
      <c r="A24">
        <v>23</v>
      </c>
      <c r="B24" s="178" t="s">
        <v>214</v>
      </c>
      <c r="C24" s="109">
        <v>1</v>
      </c>
      <c r="D24" s="109">
        <v>0</v>
      </c>
      <c r="E24" s="108">
        <v>0</v>
      </c>
      <c r="F24" s="108">
        <v>1</v>
      </c>
      <c r="G24"/>
      <c r="H24"/>
    </row>
    <row r="25" spans="1:8" ht="15" customHeight="1" x14ac:dyDescent="0.15">
      <c r="A25">
        <v>24</v>
      </c>
      <c r="B25" s="178" t="s">
        <v>215</v>
      </c>
      <c r="C25" s="109">
        <v>1</v>
      </c>
      <c r="D25" s="109">
        <v>0</v>
      </c>
      <c r="E25" s="108">
        <v>0</v>
      </c>
      <c r="F25" s="108">
        <v>1</v>
      </c>
      <c r="G25"/>
      <c r="H25"/>
    </row>
    <row r="26" spans="1:8" ht="15" customHeight="1" x14ac:dyDescent="0.15">
      <c r="A26">
        <v>25</v>
      </c>
      <c r="B26" s="178" t="s">
        <v>216</v>
      </c>
      <c r="C26" s="109">
        <v>1</v>
      </c>
      <c r="D26" s="109">
        <v>0</v>
      </c>
      <c r="E26" s="108">
        <v>0</v>
      </c>
      <c r="F26" s="108">
        <v>1</v>
      </c>
      <c r="G26"/>
      <c r="H26"/>
    </row>
    <row r="27" spans="1:8" ht="15" customHeight="1" x14ac:dyDescent="0.15">
      <c r="A27">
        <v>26</v>
      </c>
      <c r="B27" s="178" t="s">
        <v>217</v>
      </c>
      <c r="C27" s="109">
        <v>1</v>
      </c>
      <c r="D27" s="109">
        <v>0</v>
      </c>
      <c r="E27" s="108">
        <v>0</v>
      </c>
      <c r="F27" s="108">
        <v>1</v>
      </c>
      <c r="G27"/>
      <c r="H27"/>
    </row>
    <row r="28" spans="1:8" ht="15" customHeight="1" x14ac:dyDescent="0.15">
      <c r="A28">
        <v>27</v>
      </c>
      <c r="B28" s="178" t="s">
        <v>218</v>
      </c>
      <c r="C28" s="109">
        <v>1</v>
      </c>
      <c r="D28" s="109">
        <v>0</v>
      </c>
      <c r="E28" s="108">
        <v>0</v>
      </c>
      <c r="F28" s="108">
        <v>1</v>
      </c>
      <c r="G28"/>
      <c r="H28"/>
    </row>
    <row r="29" spans="1:8" ht="15" customHeight="1" x14ac:dyDescent="0.15">
      <c r="A29">
        <v>28</v>
      </c>
      <c r="B29" s="178" t="s">
        <v>219</v>
      </c>
      <c r="C29" s="109">
        <v>1</v>
      </c>
      <c r="D29" s="109">
        <v>0</v>
      </c>
      <c r="E29" s="108">
        <v>0</v>
      </c>
      <c r="F29" s="108">
        <v>1</v>
      </c>
      <c r="G29"/>
      <c r="H29"/>
    </row>
    <row r="30" spans="1:8" ht="15" customHeight="1" x14ac:dyDescent="0.15">
      <c r="A30">
        <v>29</v>
      </c>
      <c r="B30" s="178" t="s">
        <v>220</v>
      </c>
      <c r="C30" s="109">
        <v>1</v>
      </c>
      <c r="D30" s="109">
        <v>0</v>
      </c>
      <c r="E30" s="108">
        <v>0</v>
      </c>
      <c r="F30" s="108">
        <v>1</v>
      </c>
      <c r="G30"/>
      <c r="H30"/>
    </row>
    <row r="31" spans="1:8" ht="15" customHeight="1" x14ac:dyDescent="0.15">
      <c r="A31">
        <v>30</v>
      </c>
      <c r="B31" s="178" t="s">
        <v>221</v>
      </c>
      <c r="C31" s="109">
        <v>1</v>
      </c>
      <c r="D31" s="109">
        <v>0</v>
      </c>
      <c r="E31" s="108">
        <v>0</v>
      </c>
      <c r="F31" s="108">
        <v>1</v>
      </c>
      <c r="G31"/>
      <c r="H31"/>
    </row>
    <row r="32" spans="1:8" ht="15" customHeight="1" x14ac:dyDescent="0.15">
      <c r="A32">
        <v>31</v>
      </c>
      <c r="B32" s="178" t="s">
        <v>222</v>
      </c>
      <c r="C32" s="109">
        <v>1</v>
      </c>
      <c r="D32" s="109">
        <v>0</v>
      </c>
      <c r="E32" s="108">
        <v>0</v>
      </c>
      <c r="F32" s="108">
        <v>1</v>
      </c>
    </row>
    <row r="33" spans="1:8" ht="15" customHeight="1" x14ac:dyDescent="0.15">
      <c r="A33">
        <v>32</v>
      </c>
      <c r="B33" s="178" t="s">
        <v>223</v>
      </c>
      <c r="C33" s="109">
        <v>1</v>
      </c>
      <c r="D33" s="109">
        <v>0</v>
      </c>
      <c r="E33" s="108">
        <v>0</v>
      </c>
      <c r="F33" s="108">
        <v>1</v>
      </c>
    </row>
    <row r="34" spans="1:8" ht="15" customHeight="1" x14ac:dyDescent="0.15">
      <c r="A34">
        <v>33</v>
      </c>
      <c r="B34" s="178" t="s">
        <v>224</v>
      </c>
      <c r="C34" s="109">
        <v>1</v>
      </c>
      <c r="D34" s="109">
        <v>0</v>
      </c>
      <c r="E34" s="108">
        <v>0</v>
      </c>
      <c r="F34" s="108">
        <v>1</v>
      </c>
    </row>
    <row r="35" spans="1:8" ht="15" customHeight="1" x14ac:dyDescent="0.15">
      <c r="A35">
        <v>34</v>
      </c>
      <c r="B35" s="178" t="s">
        <v>225</v>
      </c>
      <c r="C35" s="109">
        <v>1</v>
      </c>
      <c r="D35" s="109">
        <v>0</v>
      </c>
      <c r="E35" s="108">
        <v>0</v>
      </c>
      <c r="F35" s="108">
        <v>1</v>
      </c>
    </row>
    <row r="36" spans="1:8" ht="15" customHeight="1" x14ac:dyDescent="0.15">
      <c r="A36">
        <v>35</v>
      </c>
      <c r="B36" s="178" t="s">
        <v>226</v>
      </c>
      <c r="C36" s="109">
        <v>1</v>
      </c>
      <c r="D36" s="109">
        <v>0</v>
      </c>
      <c r="E36" s="109">
        <v>0</v>
      </c>
      <c r="F36" s="109">
        <v>1</v>
      </c>
      <c r="G36"/>
      <c r="H36"/>
    </row>
    <row r="37" spans="1:8" ht="15" customHeight="1" x14ac:dyDescent="0.15">
      <c r="A37">
        <v>36</v>
      </c>
      <c r="B37" s="178" t="s">
        <v>227</v>
      </c>
      <c r="C37" s="109">
        <v>1</v>
      </c>
      <c r="D37" s="109">
        <v>0</v>
      </c>
      <c r="E37" s="109">
        <v>0</v>
      </c>
      <c r="F37" s="109">
        <v>1</v>
      </c>
      <c r="G37"/>
      <c r="H37"/>
    </row>
    <row r="38" spans="1:8" ht="15" customHeight="1" x14ac:dyDescent="0.15">
      <c r="A38">
        <v>37</v>
      </c>
      <c r="B38" s="178" t="s">
        <v>228</v>
      </c>
      <c r="C38" s="109">
        <v>1</v>
      </c>
      <c r="D38" s="109">
        <v>0</v>
      </c>
      <c r="E38" s="109">
        <v>0</v>
      </c>
      <c r="F38" s="109">
        <v>1</v>
      </c>
      <c r="G38"/>
      <c r="H38"/>
    </row>
    <row r="39" spans="1:8" ht="15" customHeight="1" x14ac:dyDescent="0.15">
      <c r="A39">
        <v>38</v>
      </c>
      <c r="B39" s="178" t="s">
        <v>229</v>
      </c>
      <c r="C39" s="109">
        <v>1</v>
      </c>
      <c r="D39" s="109">
        <v>0</v>
      </c>
      <c r="E39" s="109">
        <v>0</v>
      </c>
      <c r="F39" s="109">
        <v>1</v>
      </c>
      <c r="G39"/>
      <c r="H39"/>
    </row>
    <row r="40" spans="1:8" ht="15" customHeight="1" x14ac:dyDescent="0.15">
      <c r="A40">
        <v>39</v>
      </c>
      <c r="B40" s="178" t="s">
        <v>230</v>
      </c>
      <c r="C40" s="109">
        <v>0</v>
      </c>
      <c r="D40" s="109">
        <v>1</v>
      </c>
      <c r="E40" s="109">
        <v>0</v>
      </c>
      <c r="F40" s="109">
        <v>1</v>
      </c>
      <c r="G40"/>
      <c r="H40"/>
    </row>
    <row r="41" spans="1:8" ht="15" customHeight="1" x14ac:dyDescent="0.15">
      <c r="A41">
        <v>40</v>
      </c>
      <c r="B41" s="178" t="s">
        <v>231</v>
      </c>
      <c r="C41" s="109">
        <v>0</v>
      </c>
      <c r="D41" s="109">
        <v>0</v>
      </c>
      <c r="E41" s="109">
        <v>1</v>
      </c>
      <c r="F41" s="109">
        <v>1</v>
      </c>
      <c r="G41"/>
      <c r="H41"/>
    </row>
    <row r="42" spans="1:8" ht="15" customHeight="1" x14ac:dyDescent="0.15">
      <c r="A42">
        <v>41</v>
      </c>
      <c r="B42" s="178" t="s">
        <v>232</v>
      </c>
      <c r="C42" s="109">
        <v>0</v>
      </c>
      <c r="D42" s="109">
        <v>1</v>
      </c>
      <c r="E42" s="109">
        <v>0</v>
      </c>
      <c r="F42" s="109">
        <v>1</v>
      </c>
      <c r="G42"/>
      <c r="H42"/>
    </row>
    <row r="43" spans="1:8" ht="15" customHeight="1" x14ac:dyDescent="0.15">
      <c r="C43"/>
      <c r="D43"/>
      <c r="E43" s="109"/>
      <c r="F43" s="109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09"/>
      <c r="F46" s="109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6640625" bestFit="1" customWidth="1"/>
    <col min="3" max="4" width="11.83203125" bestFit="1" customWidth="1"/>
    <col min="5" max="5" width="12.1640625" bestFit="1" customWidth="1"/>
  </cols>
  <sheetData>
    <row r="1" spans="1:5" s="110" customFormat="1" ht="112" x14ac:dyDescent="0.15">
      <c r="A1" s="5" t="s">
        <v>21</v>
      </c>
      <c r="B1" s="3" t="s">
        <v>0</v>
      </c>
      <c r="C1" s="181" t="s">
        <v>232</v>
      </c>
      <c r="D1" s="181" t="s">
        <v>236</v>
      </c>
      <c r="E1"/>
    </row>
    <row r="2" spans="1:5" ht="15" customHeight="1" x14ac:dyDescent="0.15">
      <c r="A2">
        <v>1</v>
      </c>
      <c r="B2" s="180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80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80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80" t="s">
        <v>195</v>
      </c>
      <c r="C5">
        <v>2.6800000000000001E-3</v>
      </c>
      <c r="D5">
        <v>2.6800000000000001E-3</v>
      </c>
    </row>
    <row r="6" spans="1:5" ht="15" customHeight="1" x14ac:dyDescent="0.15">
      <c r="A6">
        <v>5</v>
      </c>
      <c r="B6" s="180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80" t="s">
        <v>197</v>
      </c>
      <c r="C7">
        <v>6.0049999999999999E-2</v>
      </c>
      <c r="D7">
        <v>6.0049999999999999E-2</v>
      </c>
    </row>
    <row r="8" spans="1:5" ht="15" customHeight="1" x14ac:dyDescent="0.15">
      <c r="A8">
        <v>7</v>
      </c>
      <c r="B8" s="180" t="s">
        <v>198</v>
      </c>
      <c r="C8">
        <v>0.15261</v>
      </c>
      <c r="D8">
        <v>0.15261</v>
      </c>
    </row>
    <row r="9" spans="1:5" ht="15" customHeight="1" x14ac:dyDescent="0.15">
      <c r="A9">
        <v>8</v>
      </c>
      <c r="B9" s="180" t="s">
        <v>199</v>
      </c>
      <c r="C9">
        <v>1.23E-3</v>
      </c>
      <c r="D9">
        <v>1.23E-3</v>
      </c>
    </row>
    <row r="10" spans="1:5" ht="15" customHeight="1" x14ac:dyDescent="0.15">
      <c r="A10">
        <v>9</v>
      </c>
      <c r="B10" s="180" t="s">
        <v>200</v>
      </c>
      <c r="C10">
        <v>5.1799999999999997E-3</v>
      </c>
      <c r="D10">
        <v>5.1799999999999997E-3</v>
      </c>
    </row>
    <row r="11" spans="1:5" ht="15" customHeight="1" x14ac:dyDescent="0.15">
      <c r="A11">
        <v>10</v>
      </c>
      <c r="B11" s="180" t="s">
        <v>201</v>
      </c>
      <c r="C11">
        <v>3.2313369999999999E-3</v>
      </c>
      <c r="D11">
        <v>3.2313369999999999E-3</v>
      </c>
    </row>
    <row r="12" spans="1:5" ht="15" customHeight="1" x14ac:dyDescent="0.15">
      <c r="A12">
        <v>11</v>
      </c>
      <c r="B12" s="180" t="s">
        <v>202</v>
      </c>
      <c r="C12">
        <v>2.0075099999999999E-4</v>
      </c>
      <c r="D12">
        <v>2.0075099999999999E-4</v>
      </c>
    </row>
    <row r="13" spans="1:5" ht="15" customHeight="1" x14ac:dyDescent="0.15">
      <c r="A13">
        <v>12</v>
      </c>
      <c r="B13" s="180" t="s">
        <v>203</v>
      </c>
      <c r="C13">
        <v>5.8100000000000001E-3</v>
      </c>
      <c r="D13">
        <v>5.8100000000000001E-3</v>
      </c>
    </row>
    <row r="14" spans="1:5" ht="15" customHeight="1" x14ac:dyDescent="0.15">
      <c r="A14">
        <v>13</v>
      </c>
      <c r="B14" s="180" t="s">
        <v>204</v>
      </c>
      <c r="C14">
        <v>1.025E-2</v>
      </c>
      <c r="D14">
        <v>1.025E-2</v>
      </c>
    </row>
    <row r="15" spans="1:5" ht="15" customHeight="1" x14ac:dyDescent="0.15">
      <c r="A15">
        <v>14</v>
      </c>
      <c r="B15" s="180" t="s">
        <v>205</v>
      </c>
      <c r="C15">
        <v>4.2999999999999999E-4</v>
      </c>
      <c r="D15">
        <v>4.2999999999999999E-4</v>
      </c>
    </row>
    <row r="16" spans="1:5" ht="15" customHeight="1" x14ac:dyDescent="0.15">
      <c r="A16">
        <v>15</v>
      </c>
      <c r="B16" s="180" t="s">
        <v>206</v>
      </c>
      <c r="C16">
        <v>2.5427999999999999E-2</v>
      </c>
      <c r="D16">
        <v>2.5427999999999999E-2</v>
      </c>
    </row>
    <row r="17" spans="1:4" ht="15" customHeight="1" x14ac:dyDescent="0.15">
      <c r="A17">
        <v>16</v>
      </c>
      <c r="B17" s="180" t="s">
        <v>207</v>
      </c>
      <c r="C17">
        <v>1.285E-2</v>
      </c>
      <c r="D17">
        <v>1.285E-2</v>
      </c>
    </row>
    <row r="18" spans="1:4" ht="15" customHeight="1" x14ac:dyDescent="0.15">
      <c r="A18">
        <v>17</v>
      </c>
      <c r="B18" s="180" t="s">
        <v>208</v>
      </c>
      <c r="C18">
        <v>4.6800000000000001E-3</v>
      </c>
      <c r="D18">
        <v>4.6800000000000001E-3</v>
      </c>
    </row>
    <row r="19" spans="1:4" ht="15" customHeight="1" x14ac:dyDescent="0.15">
      <c r="A19">
        <v>18</v>
      </c>
      <c r="B19" s="180" t="s">
        <v>209</v>
      </c>
      <c r="C19">
        <v>6.8599999999999998E-3</v>
      </c>
      <c r="D19">
        <v>6.8599999999999998E-3</v>
      </c>
    </row>
    <row r="20" spans="1:4" ht="15" customHeight="1" x14ac:dyDescent="0.15">
      <c r="A20">
        <v>19</v>
      </c>
      <c r="B20" s="180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80" t="s">
        <v>211</v>
      </c>
      <c r="C21">
        <v>2E-3</v>
      </c>
      <c r="D21">
        <v>2E-3</v>
      </c>
    </row>
    <row r="22" spans="1:4" ht="15" customHeight="1" x14ac:dyDescent="0.15">
      <c r="A22">
        <v>21</v>
      </c>
      <c r="B22" s="180" t="s">
        <v>212</v>
      </c>
      <c r="C22">
        <v>0</v>
      </c>
      <c r="D22">
        <v>0</v>
      </c>
    </row>
    <row r="23" spans="1:4" ht="15" customHeight="1" x14ac:dyDescent="0.15">
      <c r="A23">
        <v>22</v>
      </c>
      <c r="B23" s="180" t="s">
        <v>213</v>
      </c>
      <c r="C23">
        <v>0</v>
      </c>
      <c r="D23">
        <v>0</v>
      </c>
    </row>
    <row r="24" spans="1:4" ht="15" customHeight="1" x14ac:dyDescent="0.15">
      <c r="A24">
        <v>23</v>
      </c>
      <c r="B24" s="180" t="s">
        <v>214</v>
      </c>
      <c r="C24">
        <v>0</v>
      </c>
      <c r="D24">
        <v>0</v>
      </c>
    </row>
    <row r="25" spans="1:4" ht="15" customHeight="1" x14ac:dyDescent="0.15">
      <c r="A25">
        <v>24</v>
      </c>
      <c r="B25" s="180" t="s">
        <v>215</v>
      </c>
      <c r="C25">
        <v>0</v>
      </c>
      <c r="D25">
        <v>0</v>
      </c>
    </row>
    <row r="26" spans="1:4" ht="15" customHeight="1" x14ac:dyDescent="0.15">
      <c r="A26">
        <v>25</v>
      </c>
      <c r="B26" s="180" t="s">
        <v>216</v>
      </c>
      <c r="C26">
        <v>1.0030000000000001E-2</v>
      </c>
      <c r="D26">
        <v>1.0030000000000001E-2</v>
      </c>
    </row>
    <row r="27" spans="1:4" ht="15" customHeight="1" x14ac:dyDescent="0.15">
      <c r="A27">
        <v>26</v>
      </c>
      <c r="B27" s="180" t="s">
        <v>217</v>
      </c>
      <c r="C27">
        <v>2.597E-2</v>
      </c>
      <c r="D27">
        <v>2.597E-2</v>
      </c>
    </row>
    <row r="28" spans="1:4" ht="15" customHeight="1" x14ac:dyDescent="0.15">
      <c r="A28">
        <v>27</v>
      </c>
      <c r="B28" s="180" t="s">
        <v>218</v>
      </c>
      <c r="C28">
        <v>0</v>
      </c>
      <c r="D28">
        <v>0</v>
      </c>
    </row>
    <row r="29" spans="1:4" ht="15" customHeight="1" x14ac:dyDescent="0.15">
      <c r="A29">
        <v>28</v>
      </c>
      <c r="B29" s="180" t="s">
        <v>219</v>
      </c>
      <c r="C29">
        <v>8.3400000000000002E-3</v>
      </c>
      <c r="D29">
        <v>8.3400000000000002E-3</v>
      </c>
    </row>
    <row r="30" spans="1:4" ht="15" customHeight="1" x14ac:dyDescent="0.15">
      <c r="A30">
        <v>29</v>
      </c>
      <c r="B30" s="180" t="s">
        <v>220</v>
      </c>
      <c r="C30">
        <v>3.4770000000000002E-2</v>
      </c>
      <c r="D30">
        <v>3.4770000000000002E-2</v>
      </c>
    </row>
    <row r="31" spans="1:4" ht="15" customHeight="1" x14ac:dyDescent="0.15">
      <c r="A31">
        <v>30</v>
      </c>
      <c r="B31" s="180" t="s">
        <v>221</v>
      </c>
      <c r="C31">
        <v>5.6999999999999998E-4</v>
      </c>
      <c r="D31">
        <v>5.6999999999999998E-4</v>
      </c>
    </row>
    <row r="32" spans="1:4" ht="15" customHeight="1" x14ac:dyDescent="0.15">
      <c r="A32">
        <v>31</v>
      </c>
      <c r="B32" s="180" t="s">
        <v>222</v>
      </c>
      <c r="C32">
        <v>3.4299999999999997E-2</v>
      </c>
      <c r="D32">
        <v>3.4299999999999997E-2</v>
      </c>
    </row>
    <row r="33" spans="1:4" ht="15" customHeight="1" x14ac:dyDescent="0.15">
      <c r="A33">
        <v>32</v>
      </c>
      <c r="B33" s="180" t="s">
        <v>223</v>
      </c>
      <c r="C33">
        <v>2.343E-3</v>
      </c>
      <c r="D33">
        <v>2.343E-3</v>
      </c>
    </row>
    <row r="34" spans="1:4" ht="15" customHeight="1" x14ac:dyDescent="0.15">
      <c r="A34">
        <v>33</v>
      </c>
      <c r="B34" s="180" t="s">
        <v>224</v>
      </c>
      <c r="C34">
        <v>0</v>
      </c>
      <c r="D34">
        <v>0</v>
      </c>
    </row>
    <row r="35" spans="1:4" ht="15" customHeight="1" x14ac:dyDescent="0.15">
      <c r="A35">
        <v>34</v>
      </c>
      <c r="B35" s="180" t="s">
        <v>225</v>
      </c>
      <c r="C35">
        <v>8.0100000000000005E-2</v>
      </c>
      <c r="D35">
        <v>8.0100000000000005E-2</v>
      </c>
    </row>
    <row r="36" spans="1:4" ht="15" customHeight="1" x14ac:dyDescent="0.15">
      <c r="A36">
        <v>35</v>
      </c>
      <c r="B36" s="180" t="s">
        <v>226</v>
      </c>
      <c r="C36">
        <v>0</v>
      </c>
      <c r="D36">
        <v>0</v>
      </c>
    </row>
    <row r="37" spans="1:4" ht="15" customHeight="1" x14ac:dyDescent="0.15">
      <c r="A37">
        <v>36</v>
      </c>
      <c r="B37" s="180" t="s">
        <v>227</v>
      </c>
      <c r="C37">
        <v>0</v>
      </c>
      <c r="D37">
        <v>0</v>
      </c>
    </row>
    <row r="38" spans="1:4" ht="15" customHeight="1" x14ac:dyDescent="0.15">
      <c r="A38">
        <v>37</v>
      </c>
      <c r="B38" s="180" t="s">
        <v>228</v>
      </c>
      <c r="C38">
        <v>0</v>
      </c>
      <c r="D38">
        <v>0</v>
      </c>
    </row>
    <row r="39" spans="1:4" ht="15" customHeight="1" x14ac:dyDescent="0.15">
      <c r="A39">
        <v>38</v>
      </c>
      <c r="B39" s="180" t="s">
        <v>229</v>
      </c>
      <c r="C39">
        <v>0</v>
      </c>
      <c r="D39">
        <v>0</v>
      </c>
    </row>
    <row r="40" spans="1:4" ht="15" customHeight="1" x14ac:dyDescent="0.15">
      <c r="A40">
        <v>39</v>
      </c>
      <c r="B40" s="180" t="s">
        <v>230</v>
      </c>
      <c r="C40">
        <v>0</v>
      </c>
      <c r="D40">
        <v>0</v>
      </c>
    </row>
    <row r="41" spans="1:4" ht="15" customHeight="1" x14ac:dyDescent="0.15">
      <c r="A41">
        <v>40</v>
      </c>
      <c r="B41" s="180" t="s">
        <v>231</v>
      </c>
      <c r="C41">
        <v>0</v>
      </c>
      <c r="D41">
        <v>0</v>
      </c>
    </row>
    <row r="42" spans="1:4" ht="15" customHeight="1" x14ac:dyDescent="0.15"/>
    <row r="43" spans="1:4" ht="15" customHeight="1" x14ac:dyDescent="0.15"/>
    <row r="44" spans="1:4" ht="15" customHeight="1" x14ac:dyDescent="0.15"/>
    <row r="45" spans="1:4" ht="15" customHeight="1" x14ac:dyDescent="0.15"/>
    <row r="46" spans="1:4" ht="15" customHeight="1" x14ac:dyDescent="0.15"/>
    <row r="47" spans="1:4" ht="15" customHeight="1" x14ac:dyDescent="0.15"/>
    <row r="48" spans="1:4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4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6640625" bestFit="1" customWidth="1"/>
    <col min="3" max="4" width="2.33203125" bestFit="1" customWidth="1"/>
    <col min="5" max="5" width="12.1640625" bestFit="1" customWidth="1"/>
  </cols>
  <sheetData>
    <row r="1" spans="1:4" s="110" customFormat="1" ht="112" x14ac:dyDescent="0.15">
      <c r="A1" s="5" t="s">
        <v>22</v>
      </c>
      <c r="B1" s="3" t="s">
        <v>0</v>
      </c>
      <c r="C1" s="183" t="s">
        <v>232</v>
      </c>
      <c r="D1" s="183" t="s">
        <v>236</v>
      </c>
    </row>
    <row r="2" spans="1:4" x14ac:dyDescent="0.15">
      <c r="A2">
        <v>1</v>
      </c>
      <c r="B2" s="182" t="s">
        <v>192</v>
      </c>
      <c r="C2">
        <v>0</v>
      </c>
      <c r="D2">
        <v>0</v>
      </c>
    </row>
    <row r="3" spans="1:4" x14ac:dyDescent="0.15">
      <c r="A3">
        <v>2</v>
      </c>
      <c r="B3" s="182" t="s">
        <v>193</v>
      </c>
      <c r="C3">
        <v>0</v>
      </c>
      <c r="D3">
        <v>0</v>
      </c>
    </row>
    <row r="4" spans="1:4" x14ac:dyDescent="0.15">
      <c r="A4">
        <v>3</v>
      </c>
      <c r="B4" s="182" t="s">
        <v>194</v>
      </c>
      <c r="C4">
        <v>0</v>
      </c>
      <c r="D4">
        <v>0</v>
      </c>
    </row>
    <row r="5" spans="1:4" x14ac:dyDescent="0.15">
      <c r="A5">
        <v>4</v>
      </c>
      <c r="B5" s="182" t="s">
        <v>195</v>
      </c>
      <c r="C5">
        <v>0</v>
      </c>
      <c r="D5">
        <v>0</v>
      </c>
    </row>
    <row r="6" spans="1:4" x14ac:dyDescent="0.15">
      <c r="A6">
        <v>5</v>
      </c>
      <c r="B6" s="182" t="s">
        <v>196</v>
      </c>
      <c r="C6">
        <v>0</v>
      </c>
      <c r="D6">
        <v>0</v>
      </c>
    </row>
    <row r="7" spans="1:4" x14ac:dyDescent="0.15">
      <c r="A7">
        <v>6</v>
      </c>
      <c r="B7" s="182" t="s">
        <v>197</v>
      </c>
      <c r="C7">
        <v>0</v>
      </c>
      <c r="D7">
        <v>0</v>
      </c>
    </row>
    <row r="8" spans="1:4" x14ac:dyDescent="0.15">
      <c r="A8">
        <v>7</v>
      </c>
      <c r="B8" s="182" t="s">
        <v>198</v>
      </c>
      <c r="C8">
        <v>0</v>
      </c>
      <c r="D8">
        <v>0</v>
      </c>
    </row>
    <row r="9" spans="1:4" x14ac:dyDescent="0.15">
      <c r="A9">
        <v>8</v>
      </c>
      <c r="B9" s="182" t="s">
        <v>199</v>
      </c>
      <c r="C9">
        <v>0</v>
      </c>
      <c r="D9">
        <v>0</v>
      </c>
    </row>
    <row r="10" spans="1:4" x14ac:dyDescent="0.15">
      <c r="A10">
        <v>9</v>
      </c>
      <c r="B10" s="182" t="s">
        <v>200</v>
      </c>
      <c r="C10">
        <v>0</v>
      </c>
      <c r="D10">
        <v>0</v>
      </c>
    </row>
    <row r="11" spans="1:4" x14ac:dyDescent="0.15">
      <c r="A11">
        <v>10</v>
      </c>
      <c r="B11" s="182" t="s">
        <v>201</v>
      </c>
      <c r="C11">
        <v>0</v>
      </c>
      <c r="D11">
        <v>0</v>
      </c>
    </row>
    <row r="12" spans="1:4" x14ac:dyDescent="0.15">
      <c r="A12">
        <v>11</v>
      </c>
      <c r="B12" s="182" t="s">
        <v>202</v>
      </c>
      <c r="C12">
        <v>0</v>
      </c>
      <c r="D12">
        <v>0</v>
      </c>
    </row>
    <row r="13" spans="1:4" x14ac:dyDescent="0.15">
      <c r="A13">
        <v>12</v>
      </c>
      <c r="B13" s="182" t="s">
        <v>203</v>
      </c>
      <c r="C13">
        <v>0</v>
      </c>
      <c r="D13">
        <v>0</v>
      </c>
    </row>
    <row r="14" spans="1:4" x14ac:dyDescent="0.15">
      <c r="A14">
        <v>13</v>
      </c>
      <c r="B14" s="182" t="s">
        <v>204</v>
      </c>
      <c r="C14">
        <v>0</v>
      </c>
      <c r="D14">
        <v>0</v>
      </c>
    </row>
    <row r="15" spans="1:4" x14ac:dyDescent="0.15">
      <c r="A15">
        <v>14</v>
      </c>
      <c r="B15" s="182" t="s">
        <v>205</v>
      </c>
      <c r="C15">
        <v>0</v>
      </c>
      <c r="D15">
        <v>0</v>
      </c>
    </row>
    <row r="16" spans="1:4" x14ac:dyDescent="0.15">
      <c r="A16">
        <v>15</v>
      </c>
      <c r="B16" s="182" t="s">
        <v>206</v>
      </c>
      <c r="C16">
        <v>0</v>
      </c>
      <c r="D16">
        <v>0</v>
      </c>
    </row>
    <row r="17" spans="1:4" x14ac:dyDescent="0.15">
      <c r="A17">
        <v>16</v>
      </c>
      <c r="B17" s="182" t="s">
        <v>207</v>
      </c>
      <c r="C17">
        <v>0</v>
      </c>
      <c r="D17">
        <v>0</v>
      </c>
    </row>
    <row r="18" spans="1:4" x14ac:dyDescent="0.15">
      <c r="A18">
        <v>17</v>
      </c>
      <c r="B18" s="182" t="s">
        <v>208</v>
      </c>
      <c r="C18">
        <v>0</v>
      </c>
      <c r="D18">
        <v>0</v>
      </c>
    </row>
    <row r="19" spans="1:4" x14ac:dyDescent="0.15">
      <c r="A19">
        <v>18</v>
      </c>
      <c r="B19" s="182" t="s">
        <v>209</v>
      </c>
      <c r="C19">
        <v>0</v>
      </c>
      <c r="D19">
        <v>0</v>
      </c>
    </row>
    <row r="20" spans="1:4" x14ac:dyDescent="0.15">
      <c r="A20">
        <v>19</v>
      </c>
      <c r="B20" s="182" t="s">
        <v>210</v>
      </c>
      <c r="C20">
        <v>0</v>
      </c>
      <c r="D20">
        <v>0</v>
      </c>
    </row>
    <row r="21" spans="1:4" x14ac:dyDescent="0.15">
      <c r="A21">
        <v>20</v>
      </c>
      <c r="B21" s="182" t="s">
        <v>211</v>
      </c>
      <c r="C21">
        <v>0</v>
      </c>
      <c r="D21">
        <v>0</v>
      </c>
    </row>
    <row r="22" spans="1:4" x14ac:dyDescent="0.15">
      <c r="A22">
        <v>21</v>
      </c>
      <c r="B22" s="182" t="s">
        <v>212</v>
      </c>
      <c r="C22">
        <v>0</v>
      </c>
      <c r="D22">
        <v>0</v>
      </c>
    </row>
    <row r="23" spans="1:4" x14ac:dyDescent="0.15">
      <c r="A23">
        <v>22</v>
      </c>
      <c r="B23" s="182" t="s">
        <v>213</v>
      </c>
      <c r="C23">
        <v>0</v>
      </c>
      <c r="D23">
        <v>0</v>
      </c>
    </row>
    <row r="24" spans="1:4" x14ac:dyDescent="0.15">
      <c r="A24">
        <v>23</v>
      </c>
      <c r="B24" s="182" t="s">
        <v>214</v>
      </c>
      <c r="C24">
        <v>0</v>
      </c>
      <c r="D24">
        <v>0</v>
      </c>
    </row>
    <row r="25" spans="1:4" x14ac:dyDescent="0.15">
      <c r="A25">
        <v>24</v>
      </c>
      <c r="B25" s="182" t="s">
        <v>215</v>
      </c>
      <c r="C25">
        <v>0</v>
      </c>
      <c r="D25">
        <v>0</v>
      </c>
    </row>
    <row r="26" spans="1:4" x14ac:dyDescent="0.15">
      <c r="A26">
        <v>25</v>
      </c>
      <c r="B26" s="182" t="s">
        <v>216</v>
      </c>
      <c r="C26">
        <v>0</v>
      </c>
      <c r="D26">
        <v>0</v>
      </c>
    </row>
    <row r="27" spans="1:4" x14ac:dyDescent="0.15">
      <c r="A27">
        <v>26</v>
      </c>
      <c r="B27" s="182" t="s">
        <v>217</v>
      </c>
      <c r="C27">
        <v>0</v>
      </c>
      <c r="D27">
        <v>0</v>
      </c>
    </row>
    <row r="28" spans="1:4" x14ac:dyDescent="0.15">
      <c r="A28">
        <v>27</v>
      </c>
      <c r="B28" s="182" t="s">
        <v>218</v>
      </c>
      <c r="C28">
        <v>0</v>
      </c>
      <c r="D28">
        <v>0</v>
      </c>
    </row>
    <row r="29" spans="1:4" x14ac:dyDescent="0.15">
      <c r="A29">
        <v>28</v>
      </c>
      <c r="B29" s="182" t="s">
        <v>219</v>
      </c>
      <c r="C29">
        <v>0</v>
      </c>
      <c r="D29">
        <v>0</v>
      </c>
    </row>
    <row r="30" spans="1:4" x14ac:dyDescent="0.15">
      <c r="A30">
        <v>29</v>
      </c>
      <c r="B30" s="182" t="s">
        <v>220</v>
      </c>
      <c r="C30">
        <v>0</v>
      </c>
      <c r="D30">
        <v>0</v>
      </c>
    </row>
    <row r="31" spans="1:4" x14ac:dyDescent="0.15">
      <c r="A31">
        <v>30</v>
      </c>
      <c r="B31" s="182" t="s">
        <v>221</v>
      </c>
      <c r="C31">
        <v>0</v>
      </c>
      <c r="D31">
        <v>0</v>
      </c>
    </row>
    <row r="32" spans="1:4" x14ac:dyDescent="0.15">
      <c r="A32">
        <v>31</v>
      </c>
      <c r="B32" s="182" t="s">
        <v>222</v>
      </c>
      <c r="C32">
        <v>0</v>
      </c>
      <c r="D32">
        <v>0</v>
      </c>
    </row>
    <row r="33" spans="1:4" x14ac:dyDescent="0.15">
      <c r="A33">
        <v>32</v>
      </c>
      <c r="B33" s="182" t="s">
        <v>223</v>
      </c>
      <c r="C33">
        <v>0</v>
      </c>
      <c r="D33">
        <v>0</v>
      </c>
    </row>
    <row r="34" spans="1:4" x14ac:dyDescent="0.15">
      <c r="A34">
        <v>33</v>
      </c>
      <c r="B34" s="182" t="s">
        <v>224</v>
      </c>
      <c r="C34">
        <v>0</v>
      </c>
      <c r="D34">
        <v>0</v>
      </c>
    </row>
    <row r="35" spans="1:4" x14ac:dyDescent="0.15">
      <c r="A35">
        <v>34</v>
      </c>
      <c r="B35" s="182" t="s">
        <v>225</v>
      </c>
      <c r="C35">
        <v>0</v>
      </c>
      <c r="D35">
        <v>0</v>
      </c>
    </row>
    <row r="36" spans="1:4" x14ac:dyDescent="0.15">
      <c r="A36">
        <v>35</v>
      </c>
      <c r="B36" s="182" t="s">
        <v>226</v>
      </c>
      <c r="C36">
        <v>0</v>
      </c>
      <c r="D36">
        <v>0</v>
      </c>
    </row>
    <row r="37" spans="1:4" x14ac:dyDescent="0.15">
      <c r="A37">
        <v>36</v>
      </c>
      <c r="B37" s="182" t="s">
        <v>227</v>
      </c>
      <c r="C37">
        <v>0</v>
      </c>
      <c r="D37">
        <v>0</v>
      </c>
    </row>
    <row r="38" spans="1:4" x14ac:dyDescent="0.15">
      <c r="A38">
        <v>37</v>
      </c>
      <c r="B38" s="182" t="s">
        <v>228</v>
      </c>
      <c r="C38">
        <v>0</v>
      </c>
      <c r="D38">
        <v>0</v>
      </c>
    </row>
    <row r="39" spans="1:4" x14ac:dyDescent="0.15">
      <c r="A39">
        <v>38</v>
      </c>
      <c r="B39" s="182" t="s">
        <v>229</v>
      </c>
      <c r="C39">
        <v>0</v>
      </c>
      <c r="D39">
        <v>0</v>
      </c>
    </row>
    <row r="40" spans="1:4" x14ac:dyDescent="0.15">
      <c r="A40">
        <v>39</v>
      </c>
      <c r="B40" s="182" t="s">
        <v>230</v>
      </c>
      <c r="C40">
        <v>0</v>
      </c>
      <c r="D40">
        <v>0</v>
      </c>
    </row>
    <row r="41" spans="1:4" x14ac:dyDescent="0.15">
      <c r="A41">
        <v>40</v>
      </c>
      <c r="B41" s="182" t="s">
        <v>231</v>
      </c>
      <c r="C41">
        <v>0</v>
      </c>
      <c r="D4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6.6640625" bestFit="1" customWidth="1"/>
    <col min="6" max="6" width="4.83203125" bestFit="1" customWidth="1"/>
    <col min="7" max="9" width="3.83203125" bestFit="1" customWidth="1"/>
    <col min="10" max="11" width="4.83203125" style="109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1" customFormat="1" ht="14" thickBot="1" x14ac:dyDescent="0.2">
      <c r="D1" s="112" t="s">
        <v>8</v>
      </c>
      <c r="E1" s="112" t="s">
        <v>0</v>
      </c>
      <c r="F1" s="113" t="s">
        <v>99</v>
      </c>
      <c r="G1" s="114" t="s">
        <v>84</v>
      </c>
      <c r="H1" s="114" t="s">
        <v>85</v>
      </c>
      <c r="I1" s="114" t="s">
        <v>86</v>
      </c>
      <c r="J1" s="114" t="s">
        <v>87</v>
      </c>
      <c r="K1" s="114" t="s">
        <v>88</v>
      </c>
      <c r="L1" s="115" t="s">
        <v>89</v>
      </c>
      <c r="M1" s="115" t="s">
        <v>93</v>
      </c>
      <c r="N1" s="115" t="s">
        <v>92</v>
      </c>
      <c r="O1" s="115" t="s">
        <v>90</v>
      </c>
      <c r="P1" s="115" t="s">
        <v>91</v>
      </c>
      <c r="Q1" s="116" t="s">
        <v>94</v>
      </c>
      <c r="R1" s="116" t="s">
        <v>95</v>
      </c>
      <c r="S1" s="116" t="s">
        <v>96</v>
      </c>
      <c r="T1" s="116" t="s">
        <v>97</v>
      </c>
      <c r="U1" s="116" t="s">
        <v>98</v>
      </c>
      <c r="V1" s="114" t="s">
        <v>100</v>
      </c>
      <c r="W1" s="114" t="s">
        <v>101</v>
      </c>
      <c r="X1" s="114" t="s">
        <v>102</v>
      </c>
      <c r="Y1" s="114" t="s">
        <v>134</v>
      </c>
      <c r="Z1" s="115" t="s">
        <v>103</v>
      </c>
      <c r="AA1" s="115" t="s">
        <v>104</v>
      </c>
      <c r="AB1" s="115" t="s">
        <v>105</v>
      </c>
      <c r="AC1" s="117" t="s">
        <v>135</v>
      </c>
      <c r="AD1" s="116" t="s">
        <v>106</v>
      </c>
      <c r="AE1" s="116" t="s">
        <v>107</v>
      </c>
      <c r="AF1" s="116" t="s">
        <v>108</v>
      </c>
      <c r="AG1" s="116" t="s">
        <v>136</v>
      </c>
      <c r="AH1" s="114" t="s">
        <v>109</v>
      </c>
      <c r="AI1" s="114" t="s">
        <v>111</v>
      </c>
      <c r="AJ1" s="114" t="s">
        <v>110</v>
      </c>
      <c r="AK1" s="115" t="s">
        <v>115</v>
      </c>
      <c r="AL1" s="115" t="s">
        <v>116</v>
      </c>
      <c r="AM1" s="115" t="s">
        <v>117</v>
      </c>
      <c r="AN1" s="116" t="s">
        <v>112</v>
      </c>
      <c r="AO1" s="116" t="s">
        <v>113</v>
      </c>
      <c r="AP1" s="116" t="s">
        <v>114</v>
      </c>
    </row>
    <row r="2" spans="1:42" x14ac:dyDescent="0.15">
      <c r="A2" s="118" t="s">
        <v>74</v>
      </c>
      <c r="B2" s="119">
        <v>1</v>
      </c>
      <c r="D2">
        <v>1</v>
      </c>
      <c r="E2" s="184" t="s">
        <v>192</v>
      </c>
      <c r="F2">
        <v>0.98</v>
      </c>
      <c r="G2">
        <v>0.8</v>
      </c>
      <c r="H2">
        <v>0.8</v>
      </c>
      <c r="I2">
        <v>0.8</v>
      </c>
      <c r="J2" s="109">
        <v>0.25</v>
      </c>
      <c r="K2" s="109">
        <v>0.05</v>
      </c>
    </row>
    <row r="3" spans="1:42" x14ac:dyDescent="0.15">
      <c r="A3" s="118" t="s">
        <v>75</v>
      </c>
      <c r="B3" s="120">
        <v>1</v>
      </c>
      <c r="D3">
        <v>2</v>
      </c>
      <c r="E3" s="184" t="s">
        <v>193</v>
      </c>
      <c r="F3">
        <v>0.98</v>
      </c>
      <c r="G3">
        <v>0.8</v>
      </c>
      <c r="H3">
        <v>0.8</v>
      </c>
      <c r="I3">
        <v>0.8</v>
      </c>
      <c r="J3" s="109">
        <v>0.25</v>
      </c>
      <c r="K3" s="109">
        <v>0.05</v>
      </c>
    </row>
    <row r="4" spans="1:42" x14ac:dyDescent="0.15">
      <c r="A4" s="118" t="s">
        <v>76</v>
      </c>
      <c r="B4" s="120">
        <v>1</v>
      </c>
      <c r="D4">
        <v>3</v>
      </c>
      <c r="E4" s="184" t="s">
        <v>194</v>
      </c>
      <c r="F4">
        <v>0.98</v>
      </c>
      <c r="G4">
        <v>0.8</v>
      </c>
      <c r="H4">
        <v>0.8</v>
      </c>
      <c r="I4">
        <v>0.8</v>
      </c>
      <c r="J4" s="109">
        <v>0.25</v>
      </c>
      <c r="K4" s="109">
        <v>0.05</v>
      </c>
    </row>
    <row r="5" spans="1:42" x14ac:dyDescent="0.15">
      <c r="A5" s="118" t="s">
        <v>77</v>
      </c>
      <c r="B5" s="120">
        <v>1</v>
      </c>
      <c r="D5">
        <v>4</v>
      </c>
      <c r="E5" s="184" t="s">
        <v>195</v>
      </c>
      <c r="F5">
        <v>0.98</v>
      </c>
      <c r="G5">
        <v>0.8</v>
      </c>
      <c r="H5">
        <v>0.8</v>
      </c>
      <c r="I5">
        <v>0.8</v>
      </c>
      <c r="J5" s="109">
        <v>0.25</v>
      </c>
      <c r="K5" s="109">
        <v>0.05</v>
      </c>
    </row>
    <row r="6" spans="1:42" x14ac:dyDescent="0.15">
      <c r="A6" s="118" t="s">
        <v>78</v>
      </c>
      <c r="B6" s="120">
        <v>1</v>
      </c>
      <c r="D6">
        <v>5</v>
      </c>
      <c r="E6" s="184" t="s">
        <v>196</v>
      </c>
      <c r="F6">
        <v>0.98</v>
      </c>
      <c r="G6">
        <v>0.8</v>
      </c>
      <c r="H6">
        <v>0.8</v>
      </c>
      <c r="I6">
        <v>0.8</v>
      </c>
      <c r="J6" s="109">
        <v>0.25</v>
      </c>
      <c r="K6" s="109">
        <v>0.05</v>
      </c>
    </row>
    <row r="7" spans="1:42" x14ac:dyDescent="0.15">
      <c r="A7" s="118" t="s">
        <v>79</v>
      </c>
      <c r="B7" s="120">
        <v>1</v>
      </c>
      <c r="D7">
        <v>6</v>
      </c>
      <c r="E7" s="184" t="s">
        <v>197</v>
      </c>
      <c r="F7">
        <v>0.98</v>
      </c>
      <c r="G7">
        <v>0.8</v>
      </c>
      <c r="H7">
        <v>0.8</v>
      </c>
      <c r="I7">
        <v>0.8</v>
      </c>
      <c r="J7" s="109">
        <v>0.25</v>
      </c>
      <c r="K7" s="109">
        <v>0.05</v>
      </c>
    </row>
    <row r="8" spans="1:42" x14ac:dyDescent="0.15">
      <c r="A8" s="118" t="s">
        <v>80</v>
      </c>
      <c r="B8" s="120">
        <v>1</v>
      </c>
      <c r="D8">
        <v>7</v>
      </c>
      <c r="E8" s="184" t="s">
        <v>198</v>
      </c>
      <c r="F8">
        <v>0.98</v>
      </c>
      <c r="G8">
        <v>0.8</v>
      </c>
      <c r="H8">
        <v>0.8</v>
      </c>
      <c r="I8">
        <v>0.8</v>
      </c>
      <c r="J8" s="109">
        <v>0.25</v>
      </c>
      <c r="K8" s="109">
        <v>0.05</v>
      </c>
    </row>
    <row r="9" spans="1:42" x14ac:dyDescent="0.15">
      <c r="A9" s="118" t="s">
        <v>81</v>
      </c>
      <c r="B9" s="120">
        <v>0.1</v>
      </c>
      <c r="C9" s="60" t="s">
        <v>150</v>
      </c>
      <c r="D9">
        <v>8</v>
      </c>
      <c r="E9" s="184" t="s">
        <v>199</v>
      </c>
      <c r="F9">
        <v>0.98</v>
      </c>
      <c r="G9">
        <v>0.8</v>
      </c>
      <c r="H9">
        <v>0.8</v>
      </c>
      <c r="I9">
        <v>0.8</v>
      </c>
      <c r="J9" s="109">
        <v>0.25</v>
      </c>
      <c r="K9" s="109">
        <v>0.05</v>
      </c>
    </row>
    <row r="10" spans="1:42" ht="14" thickBot="1" x14ac:dyDescent="0.2">
      <c r="A10" s="118" t="s">
        <v>149</v>
      </c>
      <c r="B10" s="121">
        <f>1/3</f>
        <v>0.33333333333333331</v>
      </c>
      <c r="C10" s="60" t="s">
        <v>150</v>
      </c>
      <c r="D10">
        <v>9</v>
      </c>
      <c r="E10" s="184" t="s">
        <v>200</v>
      </c>
      <c r="F10">
        <v>0.98</v>
      </c>
      <c r="G10">
        <v>0.8</v>
      </c>
      <c r="H10">
        <v>0.8</v>
      </c>
      <c r="I10">
        <v>0.8</v>
      </c>
      <c r="J10" s="109">
        <v>0.25</v>
      </c>
      <c r="K10" s="109">
        <v>0.05</v>
      </c>
    </row>
    <row r="11" spans="1:42" x14ac:dyDescent="0.15">
      <c r="D11">
        <v>10</v>
      </c>
      <c r="E11" s="184" t="s">
        <v>201</v>
      </c>
      <c r="F11">
        <v>0.98</v>
      </c>
      <c r="G11">
        <v>0.8</v>
      </c>
      <c r="H11">
        <v>0.8</v>
      </c>
      <c r="I11">
        <v>0.8</v>
      </c>
      <c r="J11" s="109">
        <v>0.25</v>
      </c>
      <c r="K11" s="109">
        <v>0.05</v>
      </c>
    </row>
    <row r="12" spans="1:42" x14ac:dyDescent="0.15">
      <c r="D12">
        <v>11</v>
      </c>
      <c r="E12" s="184" t="s">
        <v>202</v>
      </c>
      <c r="F12">
        <v>0.98</v>
      </c>
      <c r="G12">
        <v>0.8</v>
      </c>
      <c r="H12">
        <v>0.8</v>
      </c>
      <c r="I12">
        <v>0.8</v>
      </c>
      <c r="J12" s="109">
        <v>0.25</v>
      </c>
      <c r="K12" s="109">
        <v>0.05</v>
      </c>
    </row>
    <row r="13" spans="1:42" x14ac:dyDescent="0.15">
      <c r="D13">
        <v>12</v>
      </c>
      <c r="E13" s="184" t="s">
        <v>203</v>
      </c>
      <c r="F13">
        <v>0.98</v>
      </c>
      <c r="G13">
        <v>0.8</v>
      </c>
      <c r="H13">
        <v>0.8</v>
      </c>
      <c r="I13">
        <v>0.8</v>
      </c>
      <c r="J13" s="109">
        <v>0.25</v>
      </c>
      <c r="K13" s="109">
        <v>0.05</v>
      </c>
    </row>
    <row r="14" spans="1:42" x14ac:dyDescent="0.15">
      <c r="D14">
        <v>13</v>
      </c>
      <c r="E14" s="184" t="s">
        <v>204</v>
      </c>
      <c r="F14">
        <v>0.98</v>
      </c>
      <c r="G14">
        <v>0.8</v>
      </c>
      <c r="H14">
        <v>0.8</v>
      </c>
      <c r="I14">
        <v>0.8</v>
      </c>
      <c r="J14" s="109">
        <v>0.25</v>
      </c>
      <c r="K14" s="109">
        <v>0.05</v>
      </c>
    </row>
    <row r="15" spans="1:42" x14ac:dyDescent="0.15">
      <c r="D15">
        <v>14</v>
      </c>
      <c r="E15" s="184" t="s">
        <v>205</v>
      </c>
      <c r="F15">
        <v>0.98</v>
      </c>
      <c r="G15">
        <v>0.8</v>
      </c>
      <c r="H15">
        <v>0.8</v>
      </c>
      <c r="I15">
        <v>0.8</v>
      </c>
      <c r="J15" s="109">
        <v>0.25</v>
      </c>
      <c r="K15" s="109">
        <v>0.05</v>
      </c>
    </row>
    <row r="16" spans="1:42" x14ac:dyDescent="0.15">
      <c r="D16">
        <v>15</v>
      </c>
      <c r="E16" s="184" t="s">
        <v>206</v>
      </c>
      <c r="F16">
        <v>0.98</v>
      </c>
      <c r="G16">
        <v>0.8</v>
      </c>
      <c r="H16">
        <v>0.8</v>
      </c>
      <c r="I16">
        <v>0.8</v>
      </c>
      <c r="J16" s="109">
        <v>0.25</v>
      </c>
      <c r="K16" s="109">
        <v>0.05</v>
      </c>
    </row>
    <row r="17" spans="4:33" ht="15" customHeight="1" x14ac:dyDescent="0.15">
      <c r="D17">
        <v>16</v>
      </c>
      <c r="E17" s="184" t="s">
        <v>207</v>
      </c>
      <c r="F17">
        <v>0.98</v>
      </c>
      <c r="G17">
        <v>0.8</v>
      </c>
      <c r="H17">
        <v>0.8</v>
      </c>
      <c r="I17">
        <v>0.8</v>
      </c>
      <c r="J17" s="109">
        <v>0.25</v>
      </c>
      <c r="K17" s="109">
        <v>0.05</v>
      </c>
    </row>
    <row r="18" spans="4:33" ht="15" customHeight="1" x14ac:dyDescent="0.15">
      <c r="D18">
        <v>17</v>
      </c>
      <c r="E18" s="184" t="s">
        <v>208</v>
      </c>
      <c r="F18">
        <v>0.98</v>
      </c>
      <c r="G18">
        <v>0.8</v>
      </c>
      <c r="H18">
        <v>0.8</v>
      </c>
      <c r="I18">
        <v>0.8</v>
      </c>
      <c r="J18" s="109">
        <v>0.25</v>
      </c>
      <c r="K18" s="109">
        <v>0.05</v>
      </c>
    </row>
    <row r="19" spans="4:33" ht="15" customHeight="1" x14ac:dyDescent="0.15">
      <c r="D19">
        <v>18</v>
      </c>
      <c r="E19" s="184" t="s">
        <v>209</v>
      </c>
      <c r="F19">
        <v>0.98</v>
      </c>
      <c r="G19">
        <v>0.8</v>
      </c>
      <c r="H19">
        <v>0.8</v>
      </c>
      <c r="I19">
        <v>0.8</v>
      </c>
      <c r="J19" s="109">
        <v>0.25</v>
      </c>
      <c r="K19" s="109">
        <v>0.05</v>
      </c>
    </row>
    <row r="20" spans="4:33" ht="15" customHeight="1" x14ac:dyDescent="0.15">
      <c r="D20">
        <v>19</v>
      </c>
      <c r="E20" s="184" t="s">
        <v>210</v>
      </c>
      <c r="F20">
        <v>0.98</v>
      </c>
      <c r="G20">
        <v>0.8</v>
      </c>
      <c r="H20">
        <v>0.8</v>
      </c>
      <c r="I20">
        <v>0.8</v>
      </c>
      <c r="J20" s="109">
        <v>0.25</v>
      </c>
      <c r="K20" s="109">
        <v>0.05</v>
      </c>
    </row>
    <row r="21" spans="4:33" ht="15" customHeight="1" x14ac:dyDescent="0.15">
      <c r="D21">
        <v>20</v>
      </c>
      <c r="E21" s="184" t="s">
        <v>211</v>
      </c>
      <c r="F21">
        <v>0.98</v>
      </c>
      <c r="G21">
        <v>0.8</v>
      </c>
      <c r="H21">
        <v>0.8</v>
      </c>
      <c r="I21">
        <v>0.8</v>
      </c>
      <c r="J21" s="109">
        <v>0.25</v>
      </c>
      <c r="K21" s="109">
        <v>0.05</v>
      </c>
    </row>
    <row r="22" spans="4:33" ht="15" customHeight="1" x14ac:dyDescent="0.15">
      <c r="D22">
        <v>21</v>
      </c>
      <c r="E22" s="184" t="s">
        <v>212</v>
      </c>
      <c r="F22">
        <v>0.98</v>
      </c>
      <c r="G22">
        <v>0.8</v>
      </c>
      <c r="H22">
        <v>0.8</v>
      </c>
      <c r="I22">
        <v>0.8</v>
      </c>
      <c r="J22" s="109">
        <v>0.25</v>
      </c>
      <c r="K22" s="109">
        <v>0.05</v>
      </c>
    </row>
    <row r="23" spans="4:33" ht="15" customHeight="1" x14ac:dyDescent="0.15">
      <c r="D23">
        <v>22</v>
      </c>
      <c r="E23" s="184" t="s">
        <v>213</v>
      </c>
      <c r="F23">
        <v>0.98</v>
      </c>
      <c r="G23">
        <v>0.8</v>
      </c>
      <c r="H23">
        <v>0.8</v>
      </c>
      <c r="I23">
        <v>0.8</v>
      </c>
      <c r="J23" s="109">
        <v>0.25</v>
      </c>
      <c r="K23" s="109">
        <v>0.05</v>
      </c>
    </row>
    <row r="24" spans="4:33" ht="15" customHeight="1" x14ac:dyDescent="0.15">
      <c r="D24">
        <v>23</v>
      </c>
      <c r="E24" s="184" t="s">
        <v>214</v>
      </c>
      <c r="F24">
        <v>0.98</v>
      </c>
      <c r="G24">
        <v>0.8</v>
      </c>
      <c r="H24">
        <v>0.8</v>
      </c>
      <c r="I24">
        <v>0.8</v>
      </c>
      <c r="J24" s="109">
        <v>0.25</v>
      </c>
      <c r="K24" s="109">
        <v>0.05</v>
      </c>
    </row>
    <row r="25" spans="4:33" ht="15" customHeight="1" x14ac:dyDescent="0.15">
      <c r="D25">
        <v>24</v>
      </c>
      <c r="E25" s="184" t="s">
        <v>215</v>
      </c>
      <c r="F25">
        <v>0.98</v>
      </c>
      <c r="G25">
        <v>0.8</v>
      </c>
      <c r="H25">
        <v>0.8</v>
      </c>
      <c r="I25">
        <v>0.8</v>
      </c>
      <c r="J25" s="109">
        <v>0.25</v>
      </c>
      <c r="K25" s="109">
        <v>0.05</v>
      </c>
    </row>
    <row r="26" spans="4:33" ht="15" customHeight="1" x14ac:dyDescent="0.15">
      <c r="D26">
        <v>25</v>
      </c>
      <c r="E26" s="184" t="s">
        <v>216</v>
      </c>
      <c r="F26">
        <v>0.98</v>
      </c>
      <c r="G26">
        <v>0.8</v>
      </c>
      <c r="H26">
        <v>0.8</v>
      </c>
      <c r="I26">
        <v>0.8</v>
      </c>
      <c r="J26" s="109">
        <v>0.25</v>
      </c>
      <c r="K26" s="109">
        <v>0.05</v>
      </c>
    </row>
    <row r="27" spans="4:33" ht="15" customHeight="1" x14ac:dyDescent="0.15">
      <c r="D27">
        <v>26</v>
      </c>
      <c r="E27" s="184" t="s">
        <v>217</v>
      </c>
      <c r="F27">
        <v>0.98</v>
      </c>
      <c r="G27">
        <v>0.8</v>
      </c>
      <c r="H27">
        <v>0.8</v>
      </c>
      <c r="I27">
        <v>0.8</v>
      </c>
      <c r="J27" s="109">
        <v>0.25</v>
      </c>
      <c r="K27" s="109">
        <v>0.05</v>
      </c>
    </row>
    <row r="28" spans="4:33" ht="15" customHeight="1" x14ac:dyDescent="0.15">
      <c r="D28">
        <v>27</v>
      </c>
      <c r="E28" s="184" t="s">
        <v>218</v>
      </c>
      <c r="F28">
        <v>0.98</v>
      </c>
      <c r="G28">
        <v>0.8</v>
      </c>
      <c r="H28">
        <v>0.8</v>
      </c>
      <c r="I28">
        <v>0.8</v>
      </c>
      <c r="J28" s="109">
        <v>0.25</v>
      </c>
      <c r="K28" s="109">
        <v>0.05</v>
      </c>
    </row>
    <row r="29" spans="4:33" ht="15" customHeight="1" x14ac:dyDescent="0.15">
      <c r="D29">
        <v>28</v>
      </c>
      <c r="E29" s="184" t="s">
        <v>219</v>
      </c>
      <c r="F29">
        <v>0.98</v>
      </c>
      <c r="G29">
        <v>0.8</v>
      </c>
      <c r="H29">
        <v>0.8</v>
      </c>
      <c r="I29">
        <v>0.8</v>
      </c>
      <c r="J29" s="109">
        <v>0.25</v>
      </c>
      <c r="K29" s="109">
        <v>0.05</v>
      </c>
      <c r="Y29"/>
      <c r="AC29"/>
      <c r="AG29"/>
    </row>
    <row r="30" spans="4:33" ht="15" customHeight="1" x14ac:dyDescent="0.15">
      <c r="D30">
        <v>29</v>
      </c>
      <c r="E30" s="184" t="s">
        <v>220</v>
      </c>
      <c r="F30">
        <v>0.98</v>
      </c>
      <c r="G30">
        <v>0.8</v>
      </c>
      <c r="H30">
        <v>0.8</v>
      </c>
      <c r="I30">
        <v>0.8</v>
      </c>
      <c r="J30" s="109">
        <v>0.25</v>
      </c>
      <c r="K30" s="109">
        <v>0.05</v>
      </c>
      <c r="Y30"/>
      <c r="AC30"/>
      <c r="AG30"/>
    </row>
    <row r="31" spans="4:33" ht="15" customHeight="1" x14ac:dyDescent="0.15">
      <c r="D31">
        <v>30</v>
      </c>
      <c r="E31" s="184" t="s">
        <v>221</v>
      </c>
      <c r="F31">
        <v>0.98</v>
      </c>
      <c r="G31">
        <v>0.8</v>
      </c>
      <c r="H31">
        <v>0.8</v>
      </c>
      <c r="I31">
        <v>0.8</v>
      </c>
      <c r="J31" s="109">
        <v>0.25</v>
      </c>
      <c r="K31" s="109">
        <v>0.05</v>
      </c>
      <c r="Y31"/>
      <c r="AC31"/>
      <c r="AG31"/>
    </row>
    <row r="32" spans="4:33" ht="15" customHeight="1" x14ac:dyDescent="0.15">
      <c r="D32">
        <v>31</v>
      </c>
      <c r="E32" s="184" t="s">
        <v>222</v>
      </c>
      <c r="F32">
        <v>0.98</v>
      </c>
      <c r="G32">
        <v>0.8</v>
      </c>
      <c r="H32">
        <v>0.8</v>
      </c>
      <c r="I32">
        <v>0.8</v>
      </c>
      <c r="J32" s="109">
        <v>0.25</v>
      </c>
      <c r="K32" s="109">
        <v>0.05</v>
      </c>
      <c r="Y32"/>
      <c r="AC32"/>
      <c r="AG32"/>
    </row>
    <row r="33" spans="4:33" ht="15" customHeight="1" x14ac:dyDescent="0.15">
      <c r="D33">
        <v>32</v>
      </c>
      <c r="E33" s="184" t="s">
        <v>223</v>
      </c>
      <c r="F33">
        <v>0.98</v>
      </c>
      <c r="G33">
        <v>0.8</v>
      </c>
      <c r="H33">
        <v>0.8</v>
      </c>
      <c r="I33">
        <v>0.8</v>
      </c>
      <c r="J33" s="109">
        <v>0.25</v>
      </c>
      <c r="K33" s="109">
        <v>0.05</v>
      </c>
      <c r="Y33"/>
      <c r="AC33"/>
      <c r="AG33"/>
    </row>
    <row r="34" spans="4:33" ht="15" customHeight="1" x14ac:dyDescent="0.15">
      <c r="D34">
        <v>33</v>
      </c>
      <c r="E34" s="184" t="s">
        <v>224</v>
      </c>
      <c r="F34">
        <v>0.98</v>
      </c>
      <c r="G34">
        <v>0.8</v>
      </c>
      <c r="H34">
        <v>0.8</v>
      </c>
      <c r="I34">
        <v>0.8</v>
      </c>
      <c r="J34" s="109">
        <v>0.25</v>
      </c>
      <c r="K34" s="109">
        <v>0.05</v>
      </c>
      <c r="Y34"/>
      <c r="AC34"/>
      <c r="AG34"/>
    </row>
    <row r="35" spans="4:33" ht="15" customHeight="1" x14ac:dyDescent="0.15">
      <c r="D35">
        <v>34</v>
      </c>
      <c r="E35" s="184" t="s">
        <v>225</v>
      </c>
      <c r="F35">
        <v>0.98</v>
      </c>
      <c r="G35">
        <v>0.8</v>
      </c>
      <c r="H35">
        <v>0.8</v>
      </c>
      <c r="I35">
        <v>0.8</v>
      </c>
      <c r="J35" s="109">
        <v>0.25</v>
      </c>
      <c r="K35" s="109">
        <v>0.05</v>
      </c>
      <c r="Y35"/>
      <c r="AC35"/>
      <c r="AG35"/>
    </row>
    <row r="36" spans="4:33" ht="15" customHeight="1" x14ac:dyDescent="0.15">
      <c r="D36">
        <v>35</v>
      </c>
      <c r="E36" s="184" t="s">
        <v>226</v>
      </c>
      <c r="F36">
        <v>0.98</v>
      </c>
      <c r="G36">
        <v>0.8</v>
      </c>
      <c r="H36">
        <v>0.8</v>
      </c>
      <c r="I36">
        <v>0.8</v>
      </c>
      <c r="J36" s="109">
        <v>0.25</v>
      </c>
      <c r="K36" s="109">
        <v>0.05</v>
      </c>
      <c r="Y36"/>
      <c r="AC36"/>
      <c r="AG36"/>
    </row>
    <row r="37" spans="4:33" ht="15" customHeight="1" x14ac:dyDescent="0.15">
      <c r="D37">
        <v>36</v>
      </c>
      <c r="E37" s="184" t="s">
        <v>227</v>
      </c>
      <c r="F37">
        <v>0.98</v>
      </c>
      <c r="G37">
        <v>0.8</v>
      </c>
      <c r="H37">
        <v>0.8</v>
      </c>
      <c r="I37">
        <v>0.8</v>
      </c>
      <c r="J37" s="109">
        <v>0.25</v>
      </c>
      <c r="K37" s="109">
        <v>0.05</v>
      </c>
      <c r="Y37"/>
      <c r="AC37"/>
      <c r="AG37"/>
    </row>
    <row r="38" spans="4:33" ht="15" customHeight="1" x14ac:dyDescent="0.15">
      <c r="D38">
        <v>37</v>
      </c>
      <c r="E38" s="184" t="s">
        <v>228</v>
      </c>
      <c r="F38">
        <v>0.98</v>
      </c>
      <c r="G38">
        <v>0.8</v>
      </c>
      <c r="H38">
        <v>0.8</v>
      </c>
      <c r="I38">
        <v>0.8</v>
      </c>
      <c r="J38" s="109">
        <v>0.25</v>
      </c>
      <c r="K38" s="109">
        <v>0.05</v>
      </c>
      <c r="Y38"/>
      <c r="AC38"/>
      <c r="AG38"/>
    </row>
    <row r="39" spans="4:33" ht="15" customHeight="1" x14ac:dyDescent="0.15">
      <c r="D39">
        <v>38</v>
      </c>
      <c r="E39" s="184" t="s">
        <v>229</v>
      </c>
      <c r="F39">
        <v>0.98</v>
      </c>
      <c r="G39">
        <v>0.8</v>
      </c>
      <c r="H39">
        <v>0.8</v>
      </c>
      <c r="I39">
        <v>0</v>
      </c>
      <c r="J39" s="109">
        <v>0</v>
      </c>
      <c r="K39" s="109">
        <v>0</v>
      </c>
    </row>
    <row r="40" spans="4:33" ht="15" customHeight="1" x14ac:dyDescent="0.15">
      <c r="D40">
        <v>39</v>
      </c>
      <c r="E40" s="184" t="s">
        <v>230</v>
      </c>
      <c r="F40">
        <v>0.98</v>
      </c>
      <c r="G40">
        <v>0.8</v>
      </c>
      <c r="H40">
        <v>0</v>
      </c>
      <c r="I40">
        <v>0</v>
      </c>
      <c r="J40" s="109">
        <v>0</v>
      </c>
      <c r="K40" s="109">
        <v>0</v>
      </c>
      <c r="Y40"/>
      <c r="AC40"/>
      <c r="AG40"/>
    </row>
    <row r="41" spans="4:33" ht="15" customHeight="1" x14ac:dyDescent="0.15">
      <c r="D41">
        <v>40</v>
      </c>
      <c r="E41" s="184" t="s">
        <v>231</v>
      </c>
      <c r="F41">
        <v>0.98</v>
      </c>
      <c r="G41">
        <v>0.8</v>
      </c>
      <c r="H41">
        <v>0</v>
      </c>
      <c r="I41">
        <v>0</v>
      </c>
      <c r="J41" s="109">
        <v>0</v>
      </c>
      <c r="K41" s="109">
        <v>0</v>
      </c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O42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38" width="3.83203125" style="107" customWidth="1"/>
    <col min="39" max="41" width="2.33203125" style="107" customWidth="1"/>
    <col min="42" max="16384" width="10.83203125" style="107"/>
  </cols>
  <sheetData>
    <row r="1" spans="1:41" x14ac:dyDescent="0.15">
      <c r="A1" s="62" t="s">
        <v>118</v>
      </c>
      <c r="B1" s="186" t="s">
        <v>192</v>
      </c>
      <c r="C1" s="186" t="s">
        <v>193</v>
      </c>
      <c r="D1" s="186" t="s">
        <v>194</v>
      </c>
      <c r="E1" s="186" t="s">
        <v>195</v>
      </c>
      <c r="F1" s="186" t="s">
        <v>196</v>
      </c>
      <c r="G1" s="186" t="s">
        <v>197</v>
      </c>
      <c r="H1" s="186" t="s">
        <v>198</v>
      </c>
      <c r="I1" s="186" t="s">
        <v>199</v>
      </c>
      <c r="J1" s="186" t="s">
        <v>200</v>
      </c>
      <c r="K1" s="186" t="s">
        <v>201</v>
      </c>
      <c r="L1" s="186" t="s">
        <v>202</v>
      </c>
      <c r="M1" s="186" t="s">
        <v>203</v>
      </c>
      <c r="N1" s="186" t="s">
        <v>204</v>
      </c>
      <c r="O1" s="186" t="s">
        <v>205</v>
      </c>
      <c r="P1" s="186" t="s">
        <v>206</v>
      </c>
      <c r="Q1" s="186" t="s">
        <v>207</v>
      </c>
      <c r="R1" s="186" t="s">
        <v>208</v>
      </c>
      <c r="S1" s="186" t="s">
        <v>209</v>
      </c>
      <c r="T1" s="186" t="s">
        <v>210</v>
      </c>
      <c r="U1" s="186" t="s">
        <v>211</v>
      </c>
      <c r="V1" s="186" t="s">
        <v>212</v>
      </c>
      <c r="W1" s="186" t="s">
        <v>213</v>
      </c>
      <c r="X1" s="186" t="s">
        <v>214</v>
      </c>
      <c r="Y1" s="186" t="s">
        <v>215</v>
      </c>
      <c r="Z1" s="186" t="s">
        <v>216</v>
      </c>
      <c r="AA1" s="186" t="s">
        <v>217</v>
      </c>
      <c r="AB1" s="186" t="s">
        <v>218</v>
      </c>
      <c r="AC1" s="186" t="s">
        <v>219</v>
      </c>
      <c r="AD1" s="186" t="s">
        <v>220</v>
      </c>
      <c r="AE1" s="186" t="s">
        <v>221</v>
      </c>
      <c r="AF1" s="186" t="s">
        <v>222</v>
      </c>
      <c r="AG1" s="186" t="s">
        <v>223</v>
      </c>
      <c r="AH1" s="186" t="s">
        <v>224</v>
      </c>
      <c r="AI1" s="186" t="s">
        <v>225</v>
      </c>
      <c r="AJ1" s="186" t="s">
        <v>226</v>
      </c>
      <c r="AK1" s="186" t="s">
        <v>227</v>
      </c>
      <c r="AL1" s="186" t="s">
        <v>228</v>
      </c>
      <c r="AM1" s="186" t="s">
        <v>229</v>
      </c>
      <c r="AN1" s="186" t="s">
        <v>230</v>
      </c>
      <c r="AO1" s="186" t="s">
        <v>231</v>
      </c>
    </row>
    <row r="2" spans="1:41" customFormat="1" x14ac:dyDescent="0.15">
      <c r="A2" s="185" t="s">
        <v>192</v>
      </c>
      <c r="B2" s="107">
        <v>0</v>
      </c>
      <c r="C2" s="107">
        <v>0</v>
      </c>
      <c r="D2" s="107">
        <v>0</v>
      </c>
      <c r="E2" s="107">
        <v>0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  <c r="AH2" s="107">
        <v>0</v>
      </c>
      <c r="AI2" s="107">
        <v>0</v>
      </c>
      <c r="AJ2" s="107">
        <v>0</v>
      </c>
      <c r="AK2" s="107">
        <v>0</v>
      </c>
      <c r="AL2" s="107">
        <v>0</v>
      </c>
      <c r="AM2" s="107">
        <v>0</v>
      </c>
      <c r="AN2" s="107">
        <v>0</v>
      </c>
      <c r="AO2" s="107">
        <v>0</v>
      </c>
    </row>
    <row r="3" spans="1:41" customFormat="1" x14ac:dyDescent="0.15">
      <c r="A3" s="185" t="s">
        <v>193</v>
      </c>
      <c r="B3" s="107"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  <c r="AI3" s="107">
        <v>0</v>
      </c>
      <c r="AJ3" s="107">
        <v>0</v>
      </c>
      <c r="AK3" s="107">
        <v>0</v>
      </c>
      <c r="AL3" s="107">
        <v>0</v>
      </c>
      <c r="AM3" s="107">
        <v>0</v>
      </c>
      <c r="AN3" s="107">
        <v>0</v>
      </c>
      <c r="AO3" s="107">
        <v>0</v>
      </c>
    </row>
    <row r="4" spans="1:41" customFormat="1" x14ac:dyDescent="0.15">
      <c r="A4" s="185" t="s">
        <v>194</v>
      </c>
      <c r="B4" s="107">
        <v>0</v>
      </c>
      <c r="C4" s="107">
        <v>0</v>
      </c>
      <c r="D4" s="107">
        <v>0.8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0.8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  <c r="AI4" s="107">
        <v>0</v>
      </c>
      <c r="AJ4" s="107">
        <v>0</v>
      </c>
      <c r="AK4" s="107">
        <v>0</v>
      </c>
      <c r="AL4" s="107">
        <v>0</v>
      </c>
      <c r="AM4" s="107">
        <v>0</v>
      </c>
      <c r="AN4" s="107">
        <v>0</v>
      </c>
      <c r="AO4" s="107">
        <v>0</v>
      </c>
    </row>
    <row r="5" spans="1:41" customFormat="1" x14ac:dyDescent="0.15">
      <c r="A5" s="185" t="s">
        <v>195</v>
      </c>
      <c r="B5" s="107">
        <v>0</v>
      </c>
      <c r="C5" s="107">
        <v>0.8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0.8</v>
      </c>
      <c r="P5" s="107">
        <v>0</v>
      </c>
      <c r="Q5" s="107">
        <v>0</v>
      </c>
      <c r="R5" s="107">
        <v>0</v>
      </c>
      <c r="S5" s="107">
        <v>0.8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  <c r="AI5" s="107">
        <v>0</v>
      </c>
      <c r="AJ5" s="107">
        <v>0</v>
      </c>
      <c r="AK5" s="107">
        <v>0</v>
      </c>
      <c r="AL5" s="107">
        <v>0</v>
      </c>
      <c r="AM5" s="107">
        <v>0</v>
      </c>
      <c r="AN5" s="107">
        <v>0</v>
      </c>
      <c r="AO5" s="107">
        <v>0</v>
      </c>
    </row>
    <row r="6" spans="1:41" customFormat="1" x14ac:dyDescent="0.15">
      <c r="A6" s="185" t="s">
        <v>196</v>
      </c>
      <c r="B6" s="107">
        <v>0.8</v>
      </c>
      <c r="C6" s="107">
        <v>0.8</v>
      </c>
      <c r="D6" s="107">
        <v>0.8</v>
      </c>
      <c r="E6" s="107">
        <v>0.8</v>
      </c>
      <c r="F6" s="107">
        <v>0.8</v>
      </c>
      <c r="G6" s="107">
        <v>0.8</v>
      </c>
      <c r="H6" s="107">
        <v>0</v>
      </c>
      <c r="I6" s="107">
        <v>0.8</v>
      </c>
      <c r="J6" s="107">
        <v>0</v>
      </c>
      <c r="K6" s="107">
        <v>0.8</v>
      </c>
      <c r="L6" s="107">
        <v>0</v>
      </c>
      <c r="M6" s="107">
        <v>0</v>
      </c>
      <c r="N6" s="107">
        <v>0.8</v>
      </c>
      <c r="O6" s="107">
        <v>0.8</v>
      </c>
      <c r="P6" s="107">
        <v>0</v>
      </c>
      <c r="Q6" s="107">
        <v>0.8</v>
      </c>
      <c r="R6" s="107">
        <v>0</v>
      </c>
      <c r="S6" s="107">
        <v>0.8</v>
      </c>
      <c r="T6" s="107">
        <v>0.8</v>
      </c>
      <c r="U6" s="107">
        <v>0.8</v>
      </c>
      <c r="V6" s="107">
        <v>0.8</v>
      </c>
      <c r="W6" s="107">
        <v>0.8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0.8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  <c r="AI6" s="107">
        <v>0</v>
      </c>
      <c r="AJ6" s="107">
        <v>0</v>
      </c>
      <c r="AK6" s="107">
        <v>0</v>
      </c>
      <c r="AL6" s="107">
        <v>0</v>
      </c>
      <c r="AM6" s="107">
        <v>0</v>
      </c>
      <c r="AN6" s="107">
        <v>0</v>
      </c>
      <c r="AO6" s="107">
        <v>0</v>
      </c>
    </row>
    <row r="7" spans="1:41" customFormat="1" x14ac:dyDescent="0.15">
      <c r="A7" s="185" t="s">
        <v>197</v>
      </c>
      <c r="B7" s="107">
        <v>0</v>
      </c>
      <c r="C7" s="107">
        <v>0.8</v>
      </c>
      <c r="D7" s="107">
        <v>0</v>
      </c>
      <c r="E7" s="107">
        <v>0</v>
      </c>
      <c r="F7" s="107">
        <v>0</v>
      </c>
      <c r="G7" s="107">
        <v>0.8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0.8</v>
      </c>
      <c r="P7" s="107">
        <v>0</v>
      </c>
      <c r="Q7" s="107">
        <v>0</v>
      </c>
      <c r="R7" s="107">
        <v>0</v>
      </c>
      <c r="S7" s="107">
        <v>0.8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0.8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  <c r="AI7" s="107">
        <v>0</v>
      </c>
      <c r="AJ7" s="107">
        <v>0</v>
      </c>
      <c r="AK7" s="107">
        <v>0</v>
      </c>
      <c r="AL7" s="107">
        <v>0</v>
      </c>
      <c r="AM7" s="107">
        <v>0</v>
      </c>
      <c r="AN7" s="107">
        <v>0</v>
      </c>
      <c r="AO7" s="107">
        <v>0</v>
      </c>
    </row>
    <row r="8" spans="1:41" customFormat="1" x14ac:dyDescent="0.15">
      <c r="A8" s="185" t="s">
        <v>198</v>
      </c>
      <c r="B8" s="107">
        <v>0.8</v>
      </c>
      <c r="C8" s="107">
        <v>0.8</v>
      </c>
      <c r="D8" s="107">
        <v>0</v>
      </c>
      <c r="E8" s="107">
        <v>0.8</v>
      </c>
      <c r="F8" s="107">
        <v>0.8</v>
      </c>
      <c r="G8" s="107">
        <v>0.8</v>
      </c>
      <c r="H8" s="107">
        <v>0.8</v>
      </c>
      <c r="I8" s="107">
        <v>0.8</v>
      </c>
      <c r="J8" s="107">
        <v>0.8</v>
      </c>
      <c r="K8" s="107">
        <v>0.8</v>
      </c>
      <c r="L8" s="107">
        <v>0.8</v>
      </c>
      <c r="M8" s="107">
        <v>0</v>
      </c>
      <c r="N8" s="107">
        <v>0.8</v>
      </c>
      <c r="O8" s="107">
        <v>0.8</v>
      </c>
      <c r="P8" s="107">
        <v>0</v>
      </c>
      <c r="Q8" s="107">
        <v>0.8</v>
      </c>
      <c r="R8" s="107">
        <v>0</v>
      </c>
      <c r="S8" s="107">
        <v>0.8</v>
      </c>
      <c r="T8" s="107">
        <v>0.8</v>
      </c>
      <c r="U8" s="107">
        <v>0.8</v>
      </c>
      <c r="V8" s="107">
        <v>0</v>
      </c>
      <c r="W8" s="107">
        <v>0.8</v>
      </c>
      <c r="X8" s="107">
        <v>0</v>
      </c>
      <c r="Y8" s="107">
        <v>0</v>
      </c>
      <c r="Z8" s="107">
        <v>0.8</v>
      </c>
      <c r="AA8" s="107">
        <v>0</v>
      </c>
      <c r="AB8" s="107">
        <v>0</v>
      </c>
      <c r="AC8" s="107">
        <v>0.8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  <c r="AI8" s="107">
        <v>0</v>
      </c>
      <c r="AJ8" s="107">
        <v>0</v>
      </c>
      <c r="AK8" s="107">
        <v>0</v>
      </c>
      <c r="AL8" s="107">
        <v>0</v>
      </c>
      <c r="AM8" s="107">
        <v>0</v>
      </c>
      <c r="AN8" s="107">
        <v>0</v>
      </c>
      <c r="AO8" s="107">
        <v>0</v>
      </c>
    </row>
    <row r="9" spans="1:41" customFormat="1" x14ac:dyDescent="0.15">
      <c r="A9" s="185" t="s">
        <v>199</v>
      </c>
      <c r="B9" s="107">
        <v>0</v>
      </c>
      <c r="C9" s="107">
        <v>0.8</v>
      </c>
      <c r="D9" s="107">
        <v>0.8</v>
      </c>
      <c r="E9" s="107">
        <v>0.8</v>
      </c>
      <c r="F9" s="107">
        <v>0</v>
      </c>
      <c r="G9" s="107">
        <v>0.8</v>
      </c>
      <c r="H9" s="107">
        <v>0.8</v>
      </c>
      <c r="I9" s="107">
        <v>0.8</v>
      </c>
      <c r="J9" s="107">
        <v>0</v>
      </c>
      <c r="K9" s="107">
        <v>0.8</v>
      </c>
      <c r="L9" s="107">
        <v>0.8</v>
      </c>
      <c r="M9" s="107">
        <v>0</v>
      </c>
      <c r="N9" s="107">
        <v>0</v>
      </c>
      <c r="O9" s="107">
        <v>0.8</v>
      </c>
      <c r="P9" s="107">
        <v>0</v>
      </c>
      <c r="Q9" s="107">
        <v>0.8</v>
      </c>
      <c r="R9" s="107">
        <v>0</v>
      </c>
      <c r="S9" s="107">
        <v>0.8</v>
      </c>
      <c r="T9" s="107">
        <v>0.8</v>
      </c>
      <c r="U9" s="107">
        <v>0.8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0.8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  <c r="AI9" s="107">
        <v>0</v>
      </c>
      <c r="AJ9" s="107">
        <v>0</v>
      </c>
      <c r="AK9" s="107">
        <v>0</v>
      </c>
      <c r="AL9" s="107">
        <v>0</v>
      </c>
      <c r="AM9" s="107">
        <v>0</v>
      </c>
      <c r="AN9" s="107">
        <v>0</v>
      </c>
      <c r="AO9" s="107">
        <v>0</v>
      </c>
    </row>
    <row r="10" spans="1:41" customFormat="1" x14ac:dyDescent="0.15">
      <c r="A10" s="185" t="s">
        <v>200</v>
      </c>
      <c r="B10" s="107">
        <v>0</v>
      </c>
      <c r="C10" s="107">
        <v>0.8</v>
      </c>
      <c r="D10" s="107">
        <v>0</v>
      </c>
      <c r="E10" s="107">
        <v>0.8</v>
      </c>
      <c r="F10" s="107">
        <v>0.8</v>
      </c>
      <c r="G10" s="107">
        <v>0</v>
      </c>
      <c r="H10" s="107">
        <v>0</v>
      </c>
      <c r="I10" s="107">
        <v>0.8</v>
      </c>
      <c r="J10" s="107">
        <v>0.8</v>
      </c>
      <c r="K10" s="107">
        <v>0.8</v>
      </c>
      <c r="L10" s="107">
        <v>0.8</v>
      </c>
      <c r="M10" s="107">
        <v>0</v>
      </c>
      <c r="N10" s="107">
        <v>0</v>
      </c>
      <c r="O10" s="107">
        <v>0.8</v>
      </c>
      <c r="P10" s="107">
        <v>0</v>
      </c>
      <c r="Q10" s="107">
        <v>0</v>
      </c>
      <c r="R10" s="107">
        <v>0</v>
      </c>
      <c r="S10" s="107">
        <v>0.8</v>
      </c>
      <c r="T10" s="107">
        <v>0.8</v>
      </c>
      <c r="U10" s="107">
        <v>0.8</v>
      </c>
      <c r="V10" s="107">
        <v>0.8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  <c r="AI10" s="107">
        <v>0</v>
      </c>
      <c r="AJ10" s="107">
        <v>0</v>
      </c>
      <c r="AK10" s="107">
        <v>0</v>
      </c>
      <c r="AL10" s="107">
        <v>0</v>
      </c>
      <c r="AM10" s="107">
        <v>0</v>
      </c>
      <c r="AN10" s="107">
        <v>0</v>
      </c>
      <c r="AO10" s="107">
        <v>0</v>
      </c>
    </row>
    <row r="11" spans="1:41" customFormat="1" x14ac:dyDescent="0.15">
      <c r="A11" s="185" t="s">
        <v>201</v>
      </c>
      <c r="B11" s="107">
        <v>0</v>
      </c>
      <c r="C11" s="107">
        <v>0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</v>
      </c>
      <c r="J11" s="107">
        <v>0</v>
      </c>
      <c r="K11" s="107">
        <v>0</v>
      </c>
      <c r="L11" s="107">
        <v>0</v>
      </c>
      <c r="M11" s="107">
        <v>0</v>
      </c>
      <c r="N11" s="107">
        <v>0</v>
      </c>
      <c r="O11" s="107">
        <v>0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  <c r="AI11" s="107">
        <v>0</v>
      </c>
      <c r="AJ11" s="107">
        <v>0</v>
      </c>
      <c r="AK11" s="107">
        <v>0</v>
      </c>
      <c r="AL11" s="107">
        <v>0</v>
      </c>
      <c r="AM11" s="107">
        <v>0</v>
      </c>
      <c r="AN11" s="107">
        <v>0</v>
      </c>
      <c r="AO11" s="107">
        <v>0</v>
      </c>
    </row>
    <row r="12" spans="1:41" customFormat="1" x14ac:dyDescent="0.15">
      <c r="A12" s="185" t="s">
        <v>202</v>
      </c>
      <c r="B12" s="107">
        <v>0</v>
      </c>
      <c r="C12" s="107">
        <v>0.8</v>
      </c>
      <c r="D12" s="107">
        <v>0</v>
      </c>
      <c r="E12" s="107">
        <v>0.8</v>
      </c>
      <c r="F12" s="107">
        <v>0</v>
      </c>
      <c r="G12" s="107">
        <v>0</v>
      </c>
      <c r="H12" s="107">
        <v>0</v>
      </c>
      <c r="I12" s="107">
        <v>0</v>
      </c>
      <c r="J12" s="107">
        <v>0</v>
      </c>
      <c r="K12" s="107">
        <v>0</v>
      </c>
      <c r="L12" s="107">
        <v>0</v>
      </c>
      <c r="M12" s="107">
        <v>0</v>
      </c>
      <c r="N12" s="107">
        <v>0</v>
      </c>
      <c r="O12" s="107">
        <v>0</v>
      </c>
      <c r="P12" s="107">
        <v>0</v>
      </c>
      <c r="Q12" s="107">
        <v>0</v>
      </c>
      <c r="R12" s="107">
        <v>0</v>
      </c>
      <c r="S12" s="107">
        <v>0.8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  <c r="AI12" s="107">
        <v>0</v>
      </c>
      <c r="AJ12" s="107">
        <v>0</v>
      </c>
      <c r="AK12" s="107">
        <v>0</v>
      </c>
      <c r="AL12" s="107">
        <v>0</v>
      </c>
      <c r="AM12" s="107">
        <v>0</v>
      </c>
      <c r="AN12" s="107">
        <v>0</v>
      </c>
      <c r="AO12" s="107">
        <v>0</v>
      </c>
    </row>
    <row r="13" spans="1:41" customFormat="1" x14ac:dyDescent="0.15">
      <c r="A13" s="185" t="s">
        <v>203</v>
      </c>
      <c r="B13" s="107">
        <v>0</v>
      </c>
      <c r="C13" s="107">
        <v>0.8</v>
      </c>
      <c r="D13" s="107">
        <v>0</v>
      </c>
      <c r="E13" s="107">
        <v>0.8</v>
      </c>
      <c r="F13" s="107">
        <v>0</v>
      </c>
      <c r="G13" s="107">
        <v>0</v>
      </c>
      <c r="H13" s="107">
        <v>0</v>
      </c>
      <c r="I13" s="107">
        <v>0.8</v>
      </c>
      <c r="J13" s="107">
        <v>0.8</v>
      </c>
      <c r="K13" s="107">
        <v>0.8</v>
      </c>
      <c r="L13" s="107">
        <v>0.8</v>
      </c>
      <c r="M13" s="107">
        <v>0</v>
      </c>
      <c r="N13" s="107">
        <v>0.8</v>
      </c>
      <c r="O13" s="107">
        <v>0.8</v>
      </c>
      <c r="P13" s="107">
        <v>0</v>
      </c>
      <c r="Q13" s="107">
        <v>0.8</v>
      </c>
      <c r="R13" s="107">
        <v>0</v>
      </c>
      <c r="S13" s="107">
        <v>0.8</v>
      </c>
      <c r="T13" s="107">
        <v>0.8</v>
      </c>
      <c r="U13" s="107">
        <v>0</v>
      </c>
      <c r="V13" s="107">
        <v>0</v>
      </c>
      <c r="W13" s="107">
        <v>0.8</v>
      </c>
      <c r="X13" s="107">
        <v>0</v>
      </c>
      <c r="Y13" s="107">
        <v>0</v>
      </c>
      <c r="Z13" s="107">
        <v>0.8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  <c r="AI13" s="107">
        <v>0</v>
      </c>
      <c r="AJ13" s="107">
        <v>0</v>
      </c>
      <c r="AK13" s="107">
        <v>0</v>
      </c>
      <c r="AL13" s="107">
        <v>0</v>
      </c>
      <c r="AM13" s="107">
        <v>0</v>
      </c>
      <c r="AN13" s="107">
        <v>0</v>
      </c>
      <c r="AO13" s="107">
        <v>0</v>
      </c>
    </row>
    <row r="14" spans="1:41" customFormat="1" x14ac:dyDescent="0.15">
      <c r="A14" s="185" t="s">
        <v>204</v>
      </c>
      <c r="B14" s="107">
        <v>0</v>
      </c>
      <c r="C14" s="107">
        <v>0.8</v>
      </c>
      <c r="D14" s="107">
        <v>0</v>
      </c>
      <c r="E14" s="107">
        <v>0</v>
      </c>
      <c r="F14" s="107">
        <v>0</v>
      </c>
      <c r="G14" s="107">
        <v>0</v>
      </c>
      <c r="H14" s="107">
        <v>0</v>
      </c>
      <c r="I14" s="107">
        <v>0</v>
      </c>
      <c r="J14" s="107">
        <v>0</v>
      </c>
      <c r="K14" s="107">
        <v>0.8</v>
      </c>
      <c r="L14" s="107">
        <v>0</v>
      </c>
      <c r="M14" s="107">
        <v>0</v>
      </c>
      <c r="N14" s="107">
        <v>0.8</v>
      </c>
      <c r="O14" s="107">
        <v>0</v>
      </c>
      <c r="P14" s="107">
        <v>0</v>
      </c>
      <c r="Q14" s="107">
        <v>0</v>
      </c>
      <c r="R14" s="107">
        <v>0</v>
      </c>
      <c r="S14" s="107">
        <v>0.8</v>
      </c>
      <c r="T14" s="107">
        <v>0</v>
      </c>
      <c r="U14" s="107">
        <v>0.8</v>
      </c>
      <c r="V14" s="107">
        <v>0</v>
      </c>
      <c r="W14" s="107">
        <v>0</v>
      </c>
      <c r="X14" s="107">
        <v>0</v>
      </c>
      <c r="Y14" s="107">
        <v>0</v>
      </c>
      <c r="Z14" s="107">
        <v>0.8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  <c r="AI14" s="107">
        <v>0</v>
      </c>
      <c r="AJ14" s="107">
        <v>0</v>
      </c>
      <c r="AK14" s="107">
        <v>0</v>
      </c>
      <c r="AL14" s="107">
        <v>0</v>
      </c>
      <c r="AM14" s="107">
        <v>0</v>
      </c>
      <c r="AN14" s="107">
        <v>0</v>
      </c>
      <c r="AO14" s="107">
        <v>0</v>
      </c>
    </row>
    <row r="15" spans="1:41" customFormat="1" x14ac:dyDescent="0.15">
      <c r="A15" s="185" t="s">
        <v>205</v>
      </c>
      <c r="B15" s="107">
        <v>0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0</v>
      </c>
      <c r="P15" s="107">
        <v>0</v>
      </c>
      <c r="Q15" s="107">
        <v>0</v>
      </c>
      <c r="R15" s="107">
        <v>0</v>
      </c>
      <c r="S15" s="107">
        <v>0.8</v>
      </c>
      <c r="T15" s="107">
        <v>0</v>
      </c>
      <c r="U15" s="107">
        <v>0</v>
      </c>
      <c r="V15" s="107">
        <v>0</v>
      </c>
      <c r="W15" s="107">
        <v>0</v>
      </c>
      <c r="X15" s="107">
        <v>0</v>
      </c>
      <c r="Y15" s="107">
        <v>0</v>
      </c>
      <c r="Z15" s="107">
        <v>0.8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  <c r="AI15" s="107">
        <v>0</v>
      </c>
      <c r="AJ15" s="107">
        <v>0</v>
      </c>
      <c r="AK15" s="107">
        <v>0</v>
      </c>
      <c r="AL15" s="107">
        <v>0</v>
      </c>
      <c r="AM15" s="107">
        <v>0</v>
      </c>
      <c r="AN15" s="107">
        <v>0</v>
      </c>
      <c r="AO15" s="107">
        <v>0</v>
      </c>
    </row>
    <row r="16" spans="1:41" customFormat="1" x14ac:dyDescent="0.15">
      <c r="A16" s="185" t="s">
        <v>206</v>
      </c>
      <c r="B16" s="107">
        <v>0.8</v>
      </c>
      <c r="C16" s="107">
        <v>0.8</v>
      </c>
      <c r="D16" s="107">
        <v>0</v>
      </c>
      <c r="E16" s="107">
        <v>0.8</v>
      </c>
      <c r="F16" s="107">
        <v>0.8</v>
      </c>
      <c r="G16" s="107">
        <v>0.8</v>
      </c>
      <c r="H16" s="107">
        <v>0</v>
      </c>
      <c r="I16" s="107">
        <v>0.8</v>
      </c>
      <c r="J16" s="107">
        <v>0.8</v>
      </c>
      <c r="K16" s="107">
        <v>0</v>
      </c>
      <c r="L16" s="107">
        <v>0.8</v>
      </c>
      <c r="M16" s="107">
        <v>0.8</v>
      </c>
      <c r="N16" s="107">
        <v>0.8</v>
      </c>
      <c r="O16" s="107">
        <v>0.8</v>
      </c>
      <c r="P16" s="107">
        <v>0.8</v>
      </c>
      <c r="Q16" s="107">
        <v>0.8</v>
      </c>
      <c r="R16" s="107">
        <v>0</v>
      </c>
      <c r="S16" s="107">
        <v>0.8</v>
      </c>
      <c r="T16" s="107">
        <v>0.8</v>
      </c>
      <c r="U16" s="107">
        <v>0.8</v>
      </c>
      <c r="V16" s="107">
        <v>0.8</v>
      </c>
      <c r="W16" s="107">
        <v>0.8</v>
      </c>
      <c r="X16" s="107">
        <v>0</v>
      </c>
      <c r="Y16" s="107">
        <v>0.8</v>
      </c>
      <c r="Z16" s="107">
        <v>0.8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  <c r="AI16" s="107">
        <v>0</v>
      </c>
      <c r="AJ16" s="107">
        <v>0</v>
      </c>
      <c r="AK16" s="107">
        <v>0</v>
      </c>
      <c r="AL16" s="107">
        <v>0</v>
      </c>
      <c r="AM16" s="107">
        <v>0</v>
      </c>
      <c r="AN16" s="107">
        <v>0</v>
      </c>
      <c r="AO16" s="107">
        <v>0</v>
      </c>
    </row>
    <row r="17" spans="1:41" customFormat="1" x14ac:dyDescent="0.15">
      <c r="A17" s="185" t="s">
        <v>207</v>
      </c>
      <c r="B17" s="107">
        <v>0</v>
      </c>
      <c r="C17" s="107">
        <v>0.8</v>
      </c>
      <c r="D17" s="107">
        <v>0</v>
      </c>
      <c r="E17" s="107">
        <v>0.8</v>
      </c>
      <c r="F17" s="107">
        <v>0.8</v>
      </c>
      <c r="G17" s="107">
        <v>0.8</v>
      </c>
      <c r="H17" s="107">
        <v>0.8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0.8</v>
      </c>
      <c r="R17" s="107">
        <v>0</v>
      </c>
      <c r="S17" s="107">
        <v>0.8</v>
      </c>
      <c r="T17" s="107">
        <v>0.8</v>
      </c>
      <c r="U17" s="107">
        <v>0.8</v>
      </c>
      <c r="V17" s="107">
        <v>0.8</v>
      </c>
      <c r="W17" s="107">
        <v>0.8</v>
      </c>
      <c r="X17" s="107">
        <v>0</v>
      </c>
      <c r="Y17" s="107">
        <v>0</v>
      </c>
      <c r="Z17" s="107">
        <v>0.8</v>
      </c>
      <c r="AA17" s="107">
        <v>0</v>
      </c>
      <c r="AB17" s="107">
        <v>0</v>
      </c>
      <c r="AC17" s="107">
        <v>0.8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  <c r="AI17" s="107">
        <v>0</v>
      </c>
      <c r="AJ17" s="107">
        <v>0</v>
      </c>
      <c r="AK17" s="107">
        <v>0</v>
      </c>
      <c r="AL17" s="107">
        <v>0</v>
      </c>
      <c r="AM17" s="107">
        <v>0</v>
      </c>
      <c r="AN17" s="107">
        <v>0</v>
      </c>
      <c r="AO17" s="107">
        <v>0</v>
      </c>
    </row>
    <row r="18" spans="1:41" customFormat="1" x14ac:dyDescent="0.15">
      <c r="A18" s="185" t="s">
        <v>208</v>
      </c>
      <c r="B18" s="107">
        <v>0.8</v>
      </c>
      <c r="C18" s="107">
        <v>0.8</v>
      </c>
      <c r="D18" s="107">
        <v>0</v>
      </c>
      <c r="E18" s="107">
        <v>0</v>
      </c>
      <c r="F18" s="107">
        <v>0</v>
      </c>
      <c r="G18" s="107">
        <v>0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0.8</v>
      </c>
      <c r="O18" s="107">
        <v>0.8</v>
      </c>
      <c r="P18" s="107">
        <v>0</v>
      </c>
      <c r="Q18" s="107">
        <v>0</v>
      </c>
      <c r="R18" s="107">
        <v>0</v>
      </c>
      <c r="S18" s="107">
        <v>0.8</v>
      </c>
      <c r="T18" s="107">
        <v>0</v>
      </c>
      <c r="U18" s="107">
        <v>0</v>
      </c>
      <c r="V18" s="107">
        <v>0</v>
      </c>
      <c r="W18" s="107">
        <v>0</v>
      </c>
      <c r="X18" s="107">
        <v>0</v>
      </c>
      <c r="Y18" s="107">
        <v>0</v>
      </c>
      <c r="Z18" s="107">
        <v>0.8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  <c r="AI18" s="107">
        <v>0</v>
      </c>
      <c r="AJ18" s="107">
        <v>0</v>
      </c>
      <c r="AK18" s="107">
        <v>0</v>
      </c>
      <c r="AL18" s="107">
        <v>0</v>
      </c>
      <c r="AM18" s="107">
        <v>0</v>
      </c>
      <c r="AN18" s="107">
        <v>0</v>
      </c>
      <c r="AO18" s="107">
        <v>0</v>
      </c>
    </row>
    <row r="19" spans="1:41" customFormat="1" x14ac:dyDescent="0.15">
      <c r="A19" s="185" t="s">
        <v>209</v>
      </c>
      <c r="B19" s="107">
        <v>0.8</v>
      </c>
      <c r="C19" s="107">
        <v>0.8</v>
      </c>
      <c r="D19" s="107">
        <v>0</v>
      </c>
      <c r="E19" s="107">
        <v>0.8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0.8</v>
      </c>
      <c r="P19" s="107">
        <v>0</v>
      </c>
      <c r="Q19" s="107">
        <v>0</v>
      </c>
      <c r="R19" s="107">
        <v>0</v>
      </c>
      <c r="S19" s="107">
        <v>0.8</v>
      </c>
      <c r="T19" s="107">
        <v>0</v>
      </c>
      <c r="U19" s="107">
        <v>0</v>
      </c>
      <c r="V19" s="107">
        <v>0</v>
      </c>
      <c r="W19" s="107">
        <v>0</v>
      </c>
      <c r="X19" s="107">
        <v>0</v>
      </c>
      <c r="Y19" s="107">
        <v>0</v>
      </c>
      <c r="Z19" s="107">
        <v>0.8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  <c r="AI19" s="107">
        <v>0</v>
      </c>
      <c r="AJ19" s="107">
        <v>0</v>
      </c>
      <c r="AK19" s="107">
        <v>0</v>
      </c>
      <c r="AL19" s="107">
        <v>0</v>
      </c>
      <c r="AM19" s="107">
        <v>0</v>
      </c>
      <c r="AN19" s="107">
        <v>0</v>
      </c>
      <c r="AO19" s="107">
        <v>0</v>
      </c>
    </row>
    <row r="20" spans="1:41" customFormat="1" x14ac:dyDescent="0.15">
      <c r="A20" s="185" t="s">
        <v>210</v>
      </c>
      <c r="B20" s="107">
        <v>0.8</v>
      </c>
      <c r="C20" s="107">
        <v>0.8</v>
      </c>
      <c r="D20" s="107">
        <v>0</v>
      </c>
      <c r="E20" s="107">
        <v>0.8</v>
      </c>
      <c r="F20" s="107">
        <v>0.8</v>
      </c>
      <c r="G20" s="107">
        <v>0</v>
      </c>
      <c r="H20" s="107">
        <v>0</v>
      </c>
      <c r="I20" s="107">
        <v>0</v>
      </c>
      <c r="J20" s="107">
        <v>0</v>
      </c>
      <c r="K20" s="107">
        <v>0.8</v>
      </c>
      <c r="L20" s="107">
        <v>0</v>
      </c>
      <c r="M20" s="107">
        <v>0</v>
      </c>
      <c r="N20" s="107">
        <v>0</v>
      </c>
      <c r="O20" s="107">
        <v>0.8</v>
      </c>
      <c r="P20" s="107">
        <v>0</v>
      </c>
      <c r="Q20" s="107">
        <v>0</v>
      </c>
      <c r="R20" s="107">
        <v>0</v>
      </c>
      <c r="S20" s="107">
        <v>0.8</v>
      </c>
      <c r="T20" s="107">
        <v>0</v>
      </c>
      <c r="U20" s="107">
        <v>0</v>
      </c>
      <c r="V20" s="107">
        <v>0</v>
      </c>
      <c r="W20" s="107">
        <v>0</v>
      </c>
      <c r="X20" s="107">
        <v>0</v>
      </c>
      <c r="Y20" s="107">
        <v>0</v>
      </c>
      <c r="Z20" s="107">
        <v>0.8</v>
      </c>
      <c r="AA20" s="107">
        <v>0</v>
      </c>
      <c r="AB20" s="107">
        <v>0</v>
      </c>
      <c r="AC20" s="107">
        <v>0.8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  <c r="AI20" s="107">
        <v>0</v>
      </c>
      <c r="AJ20" s="107">
        <v>0</v>
      </c>
      <c r="AK20" s="107">
        <v>0</v>
      </c>
      <c r="AL20" s="107">
        <v>0</v>
      </c>
      <c r="AM20" s="107">
        <v>0</v>
      </c>
      <c r="AN20" s="107">
        <v>0</v>
      </c>
      <c r="AO20" s="107">
        <v>0</v>
      </c>
    </row>
    <row r="21" spans="1:41" customFormat="1" x14ac:dyDescent="0.15">
      <c r="A21" s="185" t="s">
        <v>211</v>
      </c>
      <c r="B21" s="107">
        <v>0.8</v>
      </c>
      <c r="C21" s="107">
        <v>0.8</v>
      </c>
      <c r="D21" s="107">
        <v>0</v>
      </c>
      <c r="E21" s="107">
        <v>0.8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0.8</v>
      </c>
      <c r="P21" s="107">
        <v>0</v>
      </c>
      <c r="Q21" s="107">
        <v>0</v>
      </c>
      <c r="R21" s="107">
        <v>0</v>
      </c>
      <c r="S21" s="107">
        <v>0.8</v>
      </c>
      <c r="T21" s="107">
        <v>0.8</v>
      </c>
      <c r="U21" s="107">
        <v>0</v>
      </c>
      <c r="V21" s="107">
        <v>0</v>
      </c>
      <c r="W21" s="107">
        <v>0</v>
      </c>
      <c r="X21" s="107">
        <v>0</v>
      </c>
      <c r="Y21" s="107">
        <v>0</v>
      </c>
      <c r="Z21" s="107">
        <v>0.8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  <c r="AI21" s="107">
        <v>0</v>
      </c>
      <c r="AJ21" s="107">
        <v>0</v>
      </c>
      <c r="AK21" s="107">
        <v>0</v>
      </c>
      <c r="AL21" s="107">
        <v>0</v>
      </c>
      <c r="AM21" s="107">
        <v>0</v>
      </c>
      <c r="AN21" s="107">
        <v>0</v>
      </c>
      <c r="AO21" s="107">
        <v>0</v>
      </c>
    </row>
    <row r="22" spans="1:41" customFormat="1" x14ac:dyDescent="0.15">
      <c r="A22" s="185" t="s">
        <v>212</v>
      </c>
      <c r="B22" s="107">
        <v>0.8</v>
      </c>
      <c r="C22" s="107">
        <v>0.8</v>
      </c>
      <c r="D22" s="107">
        <v>0</v>
      </c>
      <c r="E22" s="107">
        <v>0.8</v>
      </c>
      <c r="F22" s="107">
        <v>0.8</v>
      </c>
      <c r="G22" s="107">
        <v>0</v>
      </c>
      <c r="H22" s="107">
        <v>0</v>
      </c>
      <c r="I22" s="107">
        <v>0.8</v>
      </c>
      <c r="J22" s="107">
        <v>0.8</v>
      </c>
      <c r="K22" s="107">
        <v>0.8</v>
      </c>
      <c r="L22" s="107">
        <v>0.8</v>
      </c>
      <c r="M22" s="107">
        <v>0</v>
      </c>
      <c r="N22" s="107">
        <v>0.8</v>
      </c>
      <c r="O22" s="107">
        <v>0.8</v>
      </c>
      <c r="P22" s="107">
        <v>0</v>
      </c>
      <c r="Q22" s="107">
        <v>0</v>
      </c>
      <c r="R22" s="107">
        <v>0</v>
      </c>
      <c r="S22" s="107">
        <v>0.8</v>
      </c>
      <c r="T22" s="107">
        <v>0.8</v>
      </c>
      <c r="U22" s="107">
        <v>0.8</v>
      </c>
      <c r="V22" s="107">
        <v>0</v>
      </c>
      <c r="W22" s="107">
        <v>0.8</v>
      </c>
      <c r="X22" s="107">
        <v>0</v>
      </c>
      <c r="Y22" s="107">
        <v>0</v>
      </c>
      <c r="Z22" s="107">
        <v>0.8</v>
      </c>
      <c r="AA22" s="107">
        <v>0</v>
      </c>
      <c r="AB22" s="107">
        <v>0</v>
      </c>
      <c r="AC22" s="107">
        <v>0.8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  <c r="AI22" s="107">
        <v>0</v>
      </c>
      <c r="AJ22" s="107">
        <v>0</v>
      </c>
      <c r="AK22" s="107">
        <v>0</v>
      </c>
      <c r="AL22" s="107">
        <v>0</v>
      </c>
      <c r="AM22" s="107">
        <v>0</v>
      </c>
      <c r="AN22" s="107">
        <v>0</v>
      </c>
      <c r="AO22" s="107">
        <v>0</v>
      </c>
    </row>
    <row r="23" spans="1:41" customFormat="1" x14ac:dyDescent="0.15">
      <c r="A23" s="185" t="s">
        <v>213</v>
      </c>
      <c r="B23" s="107">
        <v>0</v>
      </c>
      <c r="C23" s="107">
        <v>0.8</v>
      </c>
      <c r="D23" s="107">
        <v>0.8</v>
      </c>
      <c r="E23" s="107">
        <v>0.8</v>
      </c>
      <c r="F23" s="107">
        <v>0.8</v>
      </c>
      <c r="G23" s="107">
        <v>0.8</v>
      </c>
      <c r="H23" s="107">
        <v>0.8</v>
      </c>
      <c r="I23" s="107">
        <v>0.8</v>
      </c>
      <c r="J23" s="107">
        <v>0.8</v>
      </c>
      <c r="K23" s="107">
        <v>0</v>
      </c>
      <c r="L23" s="107">
        <v>0.8</v>
      </c>
      <c r="M23" s="107">
        <v>0.8</v>
      </c>
      <c r="N23" s="107">
        <v>0.8</v>
      </c>
      <c r="O23" s="107">
        <v>0.8</v>
      </c>
      <c r="P23" s="107">
        <v>0.8</v>
      </c>
      <c r="Q23" s="107">
        <v>0</v>
      </c>
      <c r="R23" s="107">
        <v>0</v>
      </c>
      <c r="S23" s="107">
        <v>0.8</v>
      </c>
      <c r="T23" s="107">
        <v>0.8</v>
      </c>
      <c r="U23" s="107">
        <v>0.8</v>
      </c>
      <c r="V23" s="107">
        <v>0.8</v>
      </c>
      <c r="W23" s="107">
        <v>0.8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  <c r="AI23" s="107">
        <v>0</v>
      </c>
      <c r="AJ23" s="107">
        <v>0</v>
      </c>
      <c r="AK23" s="107">
        <v>0</v>
      </c>
      <c r="AL23" s="107">
        <v>0</v>
      </c>
      <c r="AM23" s="107">
        <v>0</v>
      </c>
      <c r="AN23" s="107">
        <v>0</v>
      </c>
      <c r="AO23" s="107">
        <v>0</v>
      </c>
    </row>
    <row r="24" spans="1:41" customFormat="1" x14ac:dyDescent="0.15">
      <c r="A24" s="185" t="s">
        <v>214</v>
      </c>
      <c r="B24" s="107">
        <v>0</v>
      </c>
      <c r="C24" s="107">
        <v>0.8</v>
      </c>
      <c r="D24" s="107">
        <v>0</v>
      </c>
      <c r="E24" s="107">
        <v>0.8</v>
      </c>
      <c r="F24" s="107">
        <v>0.8</v>
      </c>
      <c r="G24" s="107">
        <v>0.8</v>
      </c>
      <c r="H24" s="107">
        <v>0.8</v>
      </c>
      <c r="I24" s="107">
        <v>0</v>
      </c>
      <c r="J24" s="107">
        <v>0.8</v>
      </c>
      <c r="K24" s="107">
        <v>0</v>
      </c>
      <c r="L24" s="107">
        <v>0.8</v>
      </c>
      <c r="M24" s="107">
        <v>0.8</v>
      </c>
      <c r="N24" s="107">
        <v>0.8</v>
      </c>
      <c r="O24" s="107">
        <v>0</v>
      </c>
      <c r="P24" s="107">
        <v>0</v>
      </c>
      <c r="Q24" s="107">
        <v>0</v>
      </c>
      <c r="R24" s="107">
        <v>0</v>
      </c>
      <c r="S24" s="107">
        <v>0</v>
      </c>
      <c r="T24" s="107">
        <v>0</v>
      </c>
      <c r="U24" s="107">
        <v>0</v>
      </c>
      <c r="V24" s="107">
        <v>0</v>
      </c>
      <c r="W24" s="107">
        <v>0.8</v>
      </c>
      <c r="X24" s="107">
        <v>0.8</v>
      </c>
      <c r="Y24" s="107">
        <v>0</v>
      </c>
      <c r="Z24" s="107">
        <v>0.8</v>
      </c>
      <c r="AA24" s="107">
        <v>0</v>
      </c>
      <c r="AB24" s="107">
        <v>0.8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  <c r="AI24" s="107">
        <v>0</v>
      </c>
      <c r="AJ24" s="107">
        <v>0</v>
      </c>
      <c r="AK24" s="107">
        <v>0</v>
      </c>
      <c r="AL24" s="107">
        <v>0</v>
      </c>
      <c r="AM24" s="107">
        <v>0</v>
      </c>
      <c r="AN24" s="107">
        <v>0</v>
      </c>
      <c r="AO24" s="107">
        <v>0</v>
      </c>
    </row>
    <row r="25" spans="1:41" customFormat="1" x14ac:dyDescent="0.15">
      <c r="A25" s="185" t="s">
        <v>215</v>
      </c>
      <c r="B25" s="107">
        <v>0.8</v>
      </c>
      <c r="C25" s="107">
        <v>0.8</v>
      </c>
      <c r="D25" s="107">
        <v>0.8</v>
      </c>
      <c r="E25" s="107">
        <v>0.8</v>
      </c>
      <c r="F25" s="107">
        <v>0.8</v>
      </c>
      <c r="G25" s="107">
        <v>0.8</v>
      </c>
      <c r="H25" s="107">
        <v>0.8</v>
      </c>
      <c r="I25" s="107">
        <v>0.8</v>
      </c>
      <c r="J25" s="107">
        <v>0.8</v>
      </c>
      <c r="K25" s="107">
        <v>0.8</v>
      </c>
      <c r="L25" s="107">
        <v>0.8</v>
      </c>
      <c r="M25" s="107">
        <v>0.8</v>
      </c>
      <c r="N25" s="107">
        <v>0.8</v>
      </c>
      <c r="O25" s="107">
        <v>0.8</v>
      </c>
      <c r="P25" s="107">
        <v>0.8</v>
      </c>
      <c r="Q25" s="107">
        <v>0.8</v>
      </c>
      <c r="R25" s="107">
        <v>0</v>
      </c>
      <c r="S25" s="107">
        <v>0.8</v>
      </c>
      <c r="T25" s="107">
        <v>0.8</v>
      </c>
      <c r="U25" s="107">
        <v>0.8</v>
      </c>
      <c r="V25" s="107">
        <v>0</v>
      </c>
      <c r="W25" s="107">
        <v>0.8</v>
      </c>
      <c r="X25" s="107">
        <v>0.8</v>
      </c>
      <c r="Y25" s="107">
        <v>0</v>
      </c>
      <c r="Z25" s="107">
        <v>0.8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  <c r="AI25" s="107">
        <v>0</v>
      </c>
      <c r="AJ25" s="107">
        <v>0</v>
      </c>
      <c r="AK25" s="107">
        <v>0</v>
      </c>
      <c r="AL25" s="107">
        <v>0</v>
      </c>
      <c r="AM25" s="107">
        <v>0</v>
      </c>
      <c r="AN25" s="107">
        <v>0</v>
      </c>
      <c r="AO25" s="107">
        <v>0</v>
      </c>
    </row>
    <row r="26" spans="1:41" customFormat="1" x14ac:dyDescent="0.15">
      <c r="A26" s="185" t="s">
        <v>216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0</v>
      </c>
      <c r="I26" s="107">
        <v>0</v>
      </c>
      <c r="J26" s="107">
        <v>0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0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</v>
      </c>
      <c r="W26" s="107">
        <v>0</v>
      </c>
      <c r="X26" s="107">
        <v>0</v>
      </c>
      <c r="Y26" s="107">
        <v>0</v>
      </c>
      <c r="Z26" s="107">
        <v>0.8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  <c r="AI26" s="107">
        <v>0</v>
      </c>
      <c r="AJ26" s="107">
        <v>0</v>
      </c>
      <c r="AK26" s="107">
        <v>0</v>
      </c>
      <c r="AL26" s="107">
        <v>0</v>
      </c>
      <c r="AM26" s="107">
        <v>0</v>
      </c>
      <c r="AN26" s="107">
        <v>0</v>
      </c>
      <c r="AO26" s="107">
        <v>0</v>
      </c>
    </row>
    <row r="27" spans="1:41" customFormat="1" x14ac:dyDescent="0.15">
      <c r="A27" s="185" t="s">
        <v>217</v>
      </c>
      <c r="B27" s="107">
        <v>0.8</v>
      </c>
      <c r="C27" s="107">
        <v>0.8</v>
      </c>
      <c r="D27" s="107">
        <v>0.8</v>
      </c>
      <c r="E27" s="107">
        <v>0.8</v>
      </c>
      <c r="F27" s="107">
        <v>0.8</v>
      </c>
      <c r="G27" s="107">
        <v>0.8</v>
      </c>
      <c r="H27" s="107">
        <v>0.8</v>
      </c>
      <c r="I27" s="107">
        <v>0.8</v>
      </c>
      <c r="J27" s="107">
        <v>0.8</v>
      </c>
      <c r="K27" s="107">
        <v>0.8</v>
      </c>
      <c r="L27" s="107">
        <v>0.8</v>
      </c>
      <c r="M27" s="107">
        <v>0</v>
      </c>
      <c r="N27" s="107">
        <v>0.8</v>
      </c>
      <c r="O27" s="107">
        <v>0.8</v>
      </c>
      <c r="P27" s="107">
        <v>0</v>
      </c>
      <c r="Q27" s="107">
        <v>0.8</v>
      </c>
      <c r="R27" s="107">
        <v>0.8</v>
      </c>
      <c r="S27" s="107">
        <v>0.8</v>
      </c>
      <c r="T27" s="107">
        <v>0.8</v>
      </c>
      <c r="U27" s="107">
        <v>0.8</v>
      </c>
      <c r="V27" s="107">
        <v>0</v>
      </c>
      <c r="W27" s="107">
        <v>0.8</v>
      </c>
      <c r="X27" s="107">
        <v>0</v>
      </c>
      <c r="Y27" s="107">
        <v>0</v>
      </c>
      <c r="Z27" s="107">
        <v>0.8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  <c r="AI27" s="107">
        <v>0</v>
      </c>
      <c r="AJ27" s="107">
        <v>0</v>
      </c>
      <c r="AK27" s="107">
        <v>0</v>
      </c>
      <c r="AL27" s="107">
        <v>0</v>
      </c>
      <c r="AM27" s="107">
        <v>0</v>
      </c>
      <c r="AN27" s="107">
        <v>0</v>
      </c>
      <c r="AO27" s="107">
        <v>0</v>
      </c>
    </row>
    <row r="28" spans="1:41" customFormat="1" x14ac:dyDescent="0.15">
      <c r="A28" s="185" t="s">
        <v>218</v>
      </c>
      <c r="B28" s="107">
        <v>0</v>
      </c>
      <c r="C28" s="107">
        <v>0</v>
      </c>
      <c r="D28" s="107">
        <v>0.8</v>
      </c>
      <c r="E28" s="107">
        <v>0</v>
      </c>
      <c r="F28" s="107">
        <v>0</v>
      </c>
      <c r="G28" s="107">
        <v>0.8</v>
      </c>
      <c r="H28" s="107">
        <v>0.8</v>
      </c>
      <c r="I28" s="107">
        <v>0.8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0.8</v>
      </c>
      <c r="P28" s="107">
        <v>0.8</v>
      </c>
      <c r="Q28" s="107">
        <v>0.8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0.8</v>
      </c>
      <c r="AA28" s="107">
        <v>0</v>
      </c>
      <c r="AB28" s="107">
        <v>0.8</v>
      </c>
      <c r="AC28" s="107">
        <v>0.8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  <c r="AI28" s="107">
        <v>0</v>
      </c>
      <c r="AJ28" s="107">
        <v>0</v>
      </c>
      <c r="AK28" s="107">
        <v>0</v>
      </c>
      <c r="AL28" s="107">
        <v>0</v>
      </c>
      <c r="AM28" s="107">
        <v>0</v>
      </c>
      <c r="AN28" s="107">
        <v>0</v>
      </c>
      <c r="AO28" s="107">
        <v>0</v>
      </c>
    </row>
    <row r="29" spans="1:41" customFormat="1" x14ac:dyDescent="0.15">
      <c r="A29" s="185" t="s">
        <v>219</v>
      </c>
      <c r="B29" s="107">
        <v>0.8</v>
      </c>
      <c r="C29" s="107">
        <v>0.8</v>
      </c>
      <c r="D29" s="107">
        <v>0.8</v>
      </c>
      <c r="E29" s="107">
        <v>0.8</v>
      </c>
      <c r="F29" s="107">
        <v>0.8</v>
      </c>
      <c r="G29" s="107">
        <v>0.8</v>
      </c>
      <c r="H29" s="107">
        <v>0.8</v>
      </c>
      <c r="I29" s="107">
        <v>0.8</v>
      </c>
      <c r="J29" s="107">
        <v>0.8</v>
      </c>
      <c r="K29" s="107">
        <v>0.8</v>
      </c>
      <c r="L29" s="107">
        <v>0.8</v>
      </c>
      <c r="M29" s="107">
        <v>0</v>
      </c>
      <c r="N29" s="107">
        <v>0.8</v>
      </c>
      <c r="O29" s="107">
        <v>0.8</v>
      </c>
      <c r="P29" s="107">
        <v>0.8</v>
      </c>
      <c r="Q29" s="107">
        <v>0.8</v>
      </c>
      <c r="R29" s="107">
        <v>0</v>
      </c>
      <c r="S29" s="107">
        <v>0.8</v>
      </c>
      <c r="T29" s="107">
        <v>0.8</v>
      </c>
      <c r="U29" s="107">
        <v>0.8</v>
      </c>
      <c r="V29" s="107">
        <v>0</v>
      </c>
      <c r="W29" s="107">
        <v>0.8</v>
      </c>
      <c r="X29" s="107">
        <v>0</v>
      </c>
      <c r="Y29" s="107">
        <v>0</v>
      </c>
      <c r="Z29" s="107">
        <v>0</v>
      </c>
      <c r="AA29" s="107">
        <v>0</v>
      </c>
      <c r="AB29" s="107">
        <v>0.8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  <c r="AI29" s="107">
        <v>0</v>
      </c>
      <c r="AJ29" s="107">
        <v>0</v>
      </c>
      <c r="AK29" s="107">
        <v>0</v>
      </c>
      <c r="AL29" s="107">
        <v>0</v>
      </c>
      <c r="AM29" s="107">
        <v>0</v>
      </c>
      <c r="AN29" s="107">
        <v>0</v>
      </c>
      <c r="AO29" s="107">
        <v>0</v>
      </c>
    </row>
    <row r="30" spans="1:41" customFormat="1" x14ac:dyDescent="0.15">
      <c r="A30" s="185" t="s">
        <v>220</v>
      </c>
      <c r="B30" s="107">
        <v>0</v>
      </c>
      <c r="C30" s="107">
        <v>0</v>
      </c>
      <c r="D30" s="107">
        <v>0</v>
      </c>
      <c r="E30" s="107">
        <v>0.8</v>
      </c>
      <c r="F30" s="107">
        <v>0.8</v>
      </c>
      <c r="G30" s="107">
        <v>0</v>
      </c>
      <c r="H30" s="107">
        <v>0</v>
      </c>
      <c r="I30" s="107">
        <v>0.8</v>
      </c>
      <c r="J30" s="107">
        <v>0</v>
      </c>
      <c r="K30" s="107">
        <v>0</v>
      </c>
      <c r="L30" s="107">
        <v>0</v>
      </c>
      <c r="M30" s="107">
        <v>0</v>
      </c>
      <c r="N30" s="107">
        <v>0.8</v>
      </c>
      <c r="O30" s="107">
        <v>0</v>
      </c>
      <c r="P30" s="107">
        <v>0</v>
      </c>
      <c r="Q30" s="107">
        <v>0</v>
      </c>
      <c r="R30" s="107">
        <v>0</v>
      </c>
      <c r="S30" s="107">
        <v>0.8</v>
      </c>
      <c r="T30" s="107">
        <v>0.8</v>
      </c>
      <c r="U30" s="107">
        <v>0.8</v>
      </c>
      <c r="V30" s="107">
        <v>0</v>
      </c>
      <c r="W30" s="107">
        <v>0.8</v>
      </c>
      <c r="X30" s="107">
        <v>0</v>
      </c>
      <c r="Y30" s="107">
        <v>0</v>
      </c>
      <c r="Z30" s="107">
        <v>0.8</v>
      </c>
      <c r="AA30" s="107">
        <v>0</v>
      </c>
      <c r="AB30" s="107">
        <v>0</v>
      </c>
      <c r="AC30" s="107">
        <v>0</v>
      </c>
      <c r="AD30" s="107">
        <v>0</v>
      </c>
      <c r="AE30" s="107">
        <v>0</v>
      </c>
      <c r="AF30" s="107">
        <v>0</v>
      </c>
      <c r="AG30" s="107">
        <v>0</v>
      </c>
      <c r="AH30" s="107">
        <v>0</v>
      </c>
      <c r="AI30" s="107">
        <v>0</v>
      </c>
      <c r="AJ30" s="107">
        <v>0</v>
      </c>
      <c r="AK30" s="107">
        <v>0</v>
      </c>
      <c r="AL30" s="107">
        <v>0</v>
      </c>
      <c r="AM30" s="107">
        <v>0</v>
      </c>
      <c r="AN30" s="107">
        <v>0</v>
      </c>
      <c r="AO30" s="107">
        <v>0</v>
      </c>
    </row>
    <row r="31" spans="1:41" customFormat="1" x14ac:dyDescent="0.15">
      <c r="A31" s="185" t="s">
        <v>221</v>
      </c>
      <c r="B31" s="107">
        <v>0</v>
      </c>
      <c r="C31" s="107">
        <v>0.8</v>
      </c>
      <c r="D31" s="107">
        <v>0.8</v>
      </c>
      <c r="E31" s="107">
        <v>0.8</v>
      </c>
      <c r="F31" s="107">
        <v>0.8</v>
      </c>
      <c r="G31" s="107">
        <v>0</v>
      </c>
      <c r="H31" s="107">
        <v>0.8</v>
      </c>
      <c r="I31" s="107">
        <v>0.8</v>
      </c>
      <c r="J31" s="107">
        <v>0.8</v>
      </c>
      <c r="K31" s="107">
        <v>0.8</v>
      </c>
      <c r="L31" s="107">
        <v>0.8</v>
      </c>
      <c r="M31" s="107">
        <v>0.8</v>
      </c>
      <c r="N31" s="107">
        <v>0.8</v>
      </c>
      <c r="O31" s="107">
        <v>0.8</v>
      </c>
      <c r="P31" s="107">
        <v>0</v>
      </c>
      <c r="Q31" s="107">
        <v>0.8</v>
      </c>
      <c r="R31" s="107">
        <v>0</v>
      </c>
      <c r="S31" s="107">
        <v>0.8</v>
      </c>
      <c r="T31" s="107">
        <v>0.8</v>
      </c>
      <c r="U31" s="107">
        <v>0.8</v>
      </c>
      <c r="V31" s="107">
        <v>0.8</v>
      </c>
      <c r="W31" s="107">
        <v>0.8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0.8</v>
      </c>
      <c r="AD31" s="107">
        <v>0.8</v>
      </c>
      <c r="AE31" s="107">
        <v>0</v>
      </c>
      <c r="AF31" s="107">
        <v>0</v>
      </c>
      <c r="AG31" s="107">
        <v>0</v>
      </c>
      <c r="AH31" s="107">
        <v>0</v>
      </c>
      <c r="AI31" s="107">
        <v>0</v>
      </c>
      <c r="AJ31" s="107">
        <v>0</v>
      </c>
      <c r="AK31" s="107">
        <v>0</v>
      </c>
      <c r="AL31" s="107">
        <v>0</v>
      </c>
      <c r="AM31" s="107">
        <v>0</v>
      </c>
      <c r="AN31" s="107">
        <v>0</v>
      </c>
      <c r="AO31" s="107">
        <v>0</v>
      </c>
    </row>
    <row r="32" spans="1:41" customFormat="1" x14ac:dyDescent="0.15">
      <c r="A32" s="185" t="s">
        <v>222</v>
      </c>
      <c r="B32" s="107">
        <v>0</v>
      </c>
      <c r="C32" s="107">
        <v>0.8</v>
      </c>
      <c r="D32" s="107">
        <v>0.8</v>
      </c>
      <c r="E32" s="107">
        <v>0.8</v>
      </c>
      <c r="F32" s="107">
        <v>0.8</v>
      </c>
      <c r="G32" s="107">
        <v>0.8</v>
      </c>
      <c r="H32" s="107">
        <v>0.8</v>
      </c>
      <c r="I32" s="107">
        <v>0.8</v>
      </c>
      <c r="J32" s="107">
        <v>0.8</v>
      </c>
      <c r="K32" s="107">
        <v>0.8</v>
      </c>
      <c r="L32" s="107">
        <v>0.8</v>
      </c>
      <c r="M32" s="107">
        <v>0.8</v>
      </c>
      <c r="N32" s="107">
        <v>0.8</v>
      </c>
      <c r="O32" s="107">
        <v>0.8</v>
      </c>
      <c r="P32" s="107">
        <v>0.8</v>
      </c>
      <c r="Q32" s="107">
        <v>0.8</v>
      </c>
      <c r="R32" s="107">
        <v>0.8</v>
      </c>
      <c r="S32" s="107">
        <v>0.8</v>
      </c>
      <c r="T32" s="107">
        <v>0.8</v>
      </c>
      <c r="U32" s="107">
        <v>0.8</v>
      </c>
      <c r="V32" s="107">
        <v>0.8</v>
      </c>
      <c r="W32" s="107">
        <v>0.8</v>
      </c>
      <c r="X32" s="107">
        <v>0.8</v>
      </c>
      <c r="Y32" s="107">
        <v>0.8</v>
      </c>
      <c r="Z32" s="107">
        <v>0</v>
      </c>
      <c r="AA32" s="107">
        <v>0.8</v>
      </c>
      <c r="AB32" s="107">
        <v>0</v>
      </c>
      <c r="AC32" s="107">
        <v>0</v>
      </c>
      <c r="AD32" s="107">
        <v>0.8</v>
      </c>
      <c r="AE32" s="107">
        <v>0</v>
      </c>
      <c r="AF32" s="107">
        <v>0</v>
      </c>
      <c r="AG32" s="107">
        <v>0</v>
      </c>
      <c r="AH32" s="107">
        <v>0</v>
      </c>
      <c r="AI32" s="107">
        <v>0</v>
      </c>
      <c r="AJ32" s="107">
        <v>0</v>
      </c>
      <c r="AK32" s="107">
        <v>0</v>
      </c>
      <c r="AL32" s="107">
        <v>0</v>
      </c>
      <c r="AM32" s="107">
        <v>0</v>
      </c>
      <c r="AN32" s="107">
        <v>0</v>
      </c>
      <c r="AO32" s="107">
        <v>0</v>
      </c>
    </row>
    <row r="33" spans="1:41" x14ac:dyDescent="0.15">
      <c r="A33" s="185" t="s">
        <v>223</v>
      </c>
      <c r="B33" s="107">
        <v>0</v>
      </c>
      <c r="C33" s="107">
        <v>0</v>
      </c>
      <c r="D33" s="107">
        <v>0.8</v>
      </c>
      <c r="E33" s="107">
        <v>0.8</v>
      </c>
      <c r="F33" s="107">
        <v>0.8</v>
      </c>
      <c r="G33" s="107">
        <v>0</v>
      </c>
      <c r="H33" s="107">
        <v>0</v>
      </c>
      <c r="I33" s="107">
        <v>0.8</v>
      </c>
      <c r="J33" s="107">
        <v>0.8</v>
      </c>
      <c r="K33" s="107">
        <v>0.8</v>
      </c>
      <c r="L33" s="107">
        <v>0.8</v>
      </c>
      <c r="M33" s="107">
        <v>0.8</v>
      </c>
      <c r="N33" s="107">
        <v>0.8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0.8</v>
      </c>
      <c r="U33" s="107">
        <v>0.8</v>
      </c>
      <c r="V33" s="107">
        <v>0.8</v>
      </c>
      <c r="W33" s="107">
        <v>0.8</v>
      </c>
      <c r="X33" s="107">
        <v>0</v>
      </c>
      <c r="Y33" s="107">
        <v>0.8</v>
      </c>
      <c r="Z33" s="107">
        <v>0</v>
      </c>
      <c r="AA33" s="107">
        <v>0</v>
      </c>
      <c r="AB33" s="107">
        <v>0</v>
      </c>
      <c r="AC33" s="107">
        <v>0</v>
      </c>
      <c r="AD33" s="107">
        <v>0.8</v>
      </c>
      <c r="AE33" s="107">
        <v>0.8</v>
      </c>
      <c r="AF33" s="107">
        <v>0</v>
      </c>
      <c r="AG33" s="107">
        <v>0</v>
      </c>
      <c r="AH33" s="107">
        <v>0</v>
      </c>
      <c r="AI33" s="107">
        <v>0</v>
      </c>
      <c r="AJ33" s="107">
        <v>0</v>
      </c>
      <c r="AK33" s="107">
        <v>0</v>
      </c>
      <c r="AL33" s="107">
        <v>0</v>
      </c>
      <c r="AM33" s="107">
        <v>0</v>
      </c>
      <c r="AN33" s="107">
        <v>0</v>
      </c>
      <c r="AO33" s="107">
        <v>0</v>
      </c>
    </row>
    <row r="34" spans="1:41" x14ac:dyDescent="0.15">
      <c r="A34" s="185" t="s">
        <v>224</v>
      </c>
      <c r="B34" s="107">
        <v>0</v>
      </c>
      <c r="C34" s="107">
        <v>0.8</v>
      </c>
      <c r="D34" s="107">
        <v>0.8</v>
      </c>
      <c r="E34" s="107">
        <v>0.8</v>
      </c>
      <c r="F34" s="107">
        <v>0.8</v>
      </c>
      <c r="G34" s="107">
        <v>0</v>
      </c>
      <c r="H34" s="107">
        <v>0</v>
      </c>
      <c r="I34" s="107">
        <v>0.8</v>
      </c>
      <c r="J34" s="107">
        <v>0.8</v>
      </c>
      <c r="K34" s="107">
        <v>0</v>
      </c>
      <c r="L34" s="107">
        <v>0.8</v>
      </c>
      <c r="M34" s="107">
        <v>0.8</v>
      </c>
      <c r="N34" s="107">
        <v>0.8</v>
      </c>
      <c r="O34" s="107">
        <v>0.8</v>
      </c>
      <c r="P34" s="107">
        <v>0.8</v>
      </c>
      <c r="Q34" s="107">
        <v>0.8</v>
      </c>
      <c r="R34" s="107">
        <v>0</v>
      </c>
      <c r="S34" s="107">
        <v>0</v>
      </c>
      <c r="T34" s="107">
        <v>0.8</v>
      </c>
      <c r="U34" s="107">
        <v>0.8</v>
      </c>
      <c r="V34" s="107">
        <v>0.8</v>
      </c>
      <c r="W34" s="107">
        <v>0.8</v>
      </c>
      <c r="X34" s="107">
        <v>0.8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0.8</v>
      </c>
      <c r="AE34" s="107">
        <v>0.8</v>
      </c>
      <c r="AF34" s="107">
        <v>0.8</v>
      </c>
      <c r="AG34" s="107">
        <v>0</v>
      </c>
      <c r="AH34" s="107">
        <v>0</v>
      </c>
      <c r="AI34" s="107">
        <v>0</v>
      </c>
      <c r="AJ34" s="107">
        <v>0</v>
      </c>
      <c r="AK34" s="107">
        <v>0</v>
      </c>
      <c r="AL34" s="107">
        <v>0</v>
      </c>
      <c r="AM34" s="107">
        <v>0</v>
      </c>
      <c r="AN34" s="107">
        <v>0</v>
      </c>
      <c r="AO34" s="107">
        <v>0</v>
      </c>
    </row>
    <row r="35" spans="1:41" x14ac:dyDescent="0.15">
      <c r="A35" s="185" t="s">
        <v>225</v>
      </c>
      <c r="B35" s="107">
        <v>0</v>
      </c>
      <c r="C35" s="107">
        <v>0.8</v>
      </c>
      <c r="D35" s="107">
        <v>0.8</v>
      </c>
      <c r="E35" s="107">
        <v>0.8</v>
      </c>
      <c r="F35" s="107">
        <v>0.8</v>
      </c>
      <c r="G35" s="107">
        <v>0</v>
      </c>
      <c r="H35" s="107">
        <v>0</v>
      </c>
      <c r="I35" s="107">
        <v>0.8</v>
      </c>
      <c r="J35" s="107">
        <v>0.8</v>
      </c>
      <c r="K35" s="107">
        <v>0</v>
      </c>
      <c r="L35" s="107">
        <v>0.8</v>
      </c>
      <c r="M35" s="107">
        <v>0.8</v>
      </c>
      <c r="N35" s="107">
        <v>0.8</v>
      </c>
      <c r="O35" s="107">
        <v>0.8</v>
      </c>
      <c r="P35" s="107">
        <v>0</v>
      </c>
      <c r="Q35" s="107">
        <v>0</v>
      </c>
      <c r="R35" s="107">
        <v>0</v>
      </c>
      <c r="S35" s="107">
        <v>0</v>
      </c>
      <c r="T35" s="107">
        <v>0.8</v>
      </c>
      <c r="U35" s="107">
        <v>0.8</v>
      </c>
      <c r="V35" s="107">
        <v>0.8</v>
      </c>
      <c r="W35" s="107">
        <v>0.8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0.8</v>
      </c>
      <c r="AE35" s="107">
        <v>0.8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</row>
    <row r="36" spans="1:41" x14ac:dyDescent="0.15">
      <c r="A36" s="185" t="s">
        <v>226</v>
      </c>
      <c r="B36" s="107">
        <v>0</v>
      </c>
      <c r="C36" s="107">
        <v>0.8</v>
      </c>
      <c r="D36" s="107">
        <v>0.8</v>
      </c>
      <c r="E36" s="107">
        <v>0.8</v>
      </c>
      <c r="F36" s="107">
        <v>0.8</v>
      </c>
      <c r="G36" s="107">
        <v>0.8</v>
      </c>
      <c r="H36" s="107">
        <v>0.8</v>
      </c>
      <c r="I36" s="107">
        <v>0.8</v>
      </c>
      <c r="J36" s="107">
        <v>0.8</v>
      </c>
      <c r="K36" s="107">
        <v>0</v>
      </c>
      <c r="L36" s="107">
        <v>0</v>
      </c>
      <c r="M36" s="107">
        <v>0.8</v>
      </c>
      <c r="N36" s="107">
        <v>0.8</v>
      </c>
      <c r="O36" s="107">
        <v>0.8</v>
      </c>
      <c r="P36" s="107">
        <v>0.8</v>
      </c>
      <c r="Q36" s="107">
        <v>0.8</v>
      </c>
      <c r="R36" s="107">
        <v>0</v>
      </c>
      <c r="S36" s="107">
        <v>0.8</v>
      </c>
      <c r="T36" s="107">
        <v>0.8</v>
      </c>
      <c r="U36" s="107">
        <v>0.8</v>
      </c>
      <c r="V36" s="107">
        <v>0.8</v>
      </c>
      <c r="W36" s="107">
        <v>0.8</v>
      </c>
      <c r="X36" s="107">
        <v>0</v>
      </c>
      <c r="Y36" s="107">
        <v>0.8</v>
      </c>
      <c r="Z36" s="107">
        <v>0.8</v>
      </c>
      <c r="AA36" s="107">
        <v>0.8</v>
      </c>
      <c r="AB36" s="107">
        <v>0</v>
      </c>
      <c r="AC36" s="107">
        <v>0</v>
      </c>
      <c r="AD36" s="107">
        <v>0.8</v>
      </c>
      <c r="AE36" s="107">
        <v>0.8</v>
      </c>
      <c r="AF36" s="107">
        <v>0.8</v>
      </c>
      <c r="AG36" s="107">
        <v>0</v>
      </c>
      <c r="AH36" s="107">
        <v>0</v>
      </c>
      <c r="AI36" s="107">
        <v>0</v>
      </c>
      <c r="AJ36" s="107">
        <v>0</v>
      </c>
      <c r="AK36" s="107">
        <v>0</v>
      </c>
      <c r="AL36" s="107">
        <v>0</v>
      </c>
      <c r="AM36" s="107">
        <v>0</v>
      </c>
      <c r="AN36" s="107">
        <v>0</v>
      </c>
      <c r="AO36" s="107">
        <v>0</v>
      </c>
    </row>
    <row r="37" spans="1:41" x14ac:dyDescent="0.15">
      <c r="A37" s="185" t="s">
        <v>227</v>
      </c>
      <c r="B37" s="107">
        <v>0.8</v>
      </c>
      <c r="C37" s="107">
        <v>0</v>
      </c>
      <c r="D37" s="107">
        <v>0.8</v>
      </c>
      <c r="E37" s="107">
        <v>0.8</v>
      </c>
      <c r="F37" s="107">
        <v>0.8</v>
      </c>
      <c r="G37" s="107">
        <v>0.8</v>
      </c>
      <c r="H37" s="107">
        <v>0.8</v>
      </c>
      <c r="I37" s="107">
        <v>0.8</v>
      </c>
      <c r="J37" s="107">
        <v>0.8</v>
      </c>
      <c r="K37" s="107">
        <v>0</v>
      </c>
      <c r="L37" s="107">
        <v>0.8</v>
      </c>
      <c r="M37" s="107">
        <v>0.8</v>
      </c>
      <c r="N37" s="107">
        <v>0.8</v>
      </c>
      <c r="O37" s="107">
        <v>0.8</v>
      </c>
      <c r="P37" s="107">
        <v>0.8</v>
      </c>
      <c r="Q37" s="107">
        <v>0.8</v>
      </c>
      <c r="R37" s="107">
        <v>0.8</v>
      </c>
      <c r="S37" s="107">
        <v>0.8</v>
      </c>
      <c r="T37" s="107">
        <v>0.8</v>
      </c>
      <c r="U37" s="107">
        <v>0.8</v>
      </c>
      <c r="V37" s="107">
        <v>0.8</v>
      </c>
      <c r="W37" s="107">
        <v>0.8</v>
      </c>
      <c r="X37" s="107">
        <v>0.8</v>
      </c>
      <c r="Y37" s="107">
        <v>0.8</v>
      </c>
      <c r="Z37" s="107">
        <v>0.8</v>
      </c>
      <c r="AA37" s="107">
        <v>0.8</v>
      </c>
      <c r="AB37" s="107">
        <v>0.8</v>
      </c>
      <c r="AC37" s="107">
        <v>0.8</v>
      </c>
      <c r="AD37" s="107">
        <v>0.8</v>
      </c>
      <c r="AE37" s="107">
        <v>0.8</v>
      </c>
      <c r="AF37" s="107">
        <v>0.8</v>
      </c>
      <c r="AG37" s="107">
        <v>0</v>
      </c>
      <c r="AH37" s="107">
        <v>0</v>
      </c>
      <c r="AI37" s="107">
        <v>0</v>
      </c>
      <c r="AJ37" s="107">
        <v>0</v>
      </c>
      <c r="AK37" s="107">
        <v>0.8</v>
      </c>
      <c r="AL37" s="107">
        <v>0</v>
      </c>
      <c r="AM37" s="107">
        <v>0</v>
      </c>
      <c r="AN37" s="107">
        <v>0</v>
      </c>
      <c r="AO37" s="107">
        <v>0</v>
      </c>
    </row>
    <row r="38" spans="1:41" x14ac:dyDescent="0.15">
      <c r="A38" s="185" t="s">
        <v>228</v>
      </c>
      <c r="B38" s="107">
        <v>0.8</v>
      </c>
      <c r="C38" s="107">
        <v>0</v>
      </c>
      <c r="D38" s="107">
        <v>0</v>
      </c>
      <c r="E38" s="107">
        <v>0.8</v>
      </c>
      <c r="F38" s="107">
        <v>0.8</v>
      </c>
      <c r="G38" s="107">
        <v>0.8</v>
      </c>
      <c r="H38" s="107">
        <v>0.8</v>
      </c>
      <c r="I38" s="107">
        <v>0.8</v>
      </c>
      <c r="J38" s="107">
        <v>0</v>
      </c>
      <c r="K38" s="107">
        <v>0</v>
      </c>
      <c r="L38" s="107">
        <v>0</v>
      </c>
      <c r="M38" s="107">
        <v>0</v>
      </c>
      <c r="N38" s="107">
        <v>0.8</v>
      </c>
      <c r="O38" s="107">
        <v>0.8</v>
      </c>
      <c r="P38" s="107">
        <v>0.8</v>
      </c>
      <c r="Q38" s="107">
        <v>0.8</v>
      </c>
      <c r="R38" s="107">
        <v>0.8</v>
      </c>
      <c r="S38" s="107">
        <v>0</v>
      </c>
      <c r="T38" s="107">
        <v>0</v>
      </c>
      <c r="U38" s="107">
        <v>0.8</v>
      </c>
      <c r="V38" s="107">
        <v>0</v>
      </c>
      <c r="W38" s="107">
        <v>0.8</v>
      </c>
      <c r="X38" s="107">
        <v>0.8</v>
      </c>
      <c r="Y38" s="107">
        <v>0.8</v>
      </c>
      <c r="Z38" s="107">
        <v>0</v>
      </c>
      <c r="AA38" s="107">
        <v>0.8</v>
      </c>
      <c r="AB38" s="107">
        <v>0.8</v>
      </c>
      <c r="AC38" s="107">
        <v>0.8</v>
      </c>
      <c r="AD38" s="107">
        <v>0</v>
      </c>
      <c r="AE38" s="107">
        <v>0</v>
      </c>
      <c r="AF38" s="107">
        <v>0.8</v>
      </c>
      <c r="AG38" s="107">
        <v>0</v>
      </c>
      <c r="AH38" s="107">
        <v>0</v>
      </c>
      <c r="AI38" s="107">
        <v>0</v>
      </c>
      <c r="AJ38" s="107">
        <v>0</v>
      </c>
      <c r="AK38" s="107">
        <v>0.8</v>
      </c>
      <c r="AL38" s="107">
        <v>0</v>
      </c>
      <c r="AM38" s="107">
        <v>0</v>
      </c>
      <c r="AN38" s="107">
        <v>0</v>
      </c>
      <c r="AO38" s="107">
        <v>0</v>
      </c>
    </row>
    <row r="39" spans="1:41" x14ac:dyDescent="0.15">
      <c r="A39" s="185" t="s">
        <v>229</v>
      </c>
      <c r="B39" s="107">
        <v>0</v>
      </c>
      <c r="C39" s="107">
        <v>0</v>
      </c>
      <c r="D39" s="107">
        <v>0</v>
      </c>
      <c r="E39" s="107">
        <v>0</v>
      </c>
      <c r="F39" s="107">
        <v>0</v>
      </c>
      <c r="G39" s="107">
        <v>0</v>
      </c>
      <c r="H39" s="107">
        <v>0</v>
      </c>
      <c r="I39" s="107">
        <v>0</v>
      </c>
      <c r="J39" s="107">
        <v>0</v>
      </c>
      <c r="K39" s="107">
        <v>0</v>
      </c>
      <c r="L39" s="107">
        <v>0</v>
      </c>
      <c r="M39" s="107">
        <v>0</v>
      </c>
      <c r="N39" s="107">
        <v>0</v>
      </c>
      <c r="O39" s="107">
        <v>0</v>
      </c>
      <c r="P39" s="107">
        <v>0</v>
      </c>
      <c r="Q39" s="107">
        <v>0</v>
      </c>
      <c r="R39" s="107">
        <v>0</v>
      </c>
      <c r="S39" s="107">
        <v>0</v>
      </c>
      <c r="T39" s="107">
        <v>0</v>
      </c>
      <c r="U39" s="107">
        <v>0</v>
      </c>
      <c r="V39" s="107">
        <v>0</v>
      </c>
      <c r="W39" s="107">
        <v>0.8</v>
      </c>
      <c r="X39" s="107">
        <v>0</v>
      </c>
      <c r="Y39" s="107">
        <v>0</v>
      </c>
      <c r="Z39" s="107">
        <v>0</v>
      </c>
      <c r="AA39" s="107">
        <v>0</v>
      </c>
      <c r="AB39" s="107">
        <v>0</v>
      </c>
      <c r="AC39" s="107">
        <v>0</v>
      </c>
      <c r="AD39" s="107">
        <v>0</v>
      </c>
      <c r="AE39" s="107">
        <v>0</v>
      </c>
      <c r="AF39" s="107">
        <v>0.8</v>
      </c>
      <c r="AG39" s="107">
        <v>0</v>
      </c>
      <c r="AH39" s="107">
        <v>0</v>
      </c>
      <c r="AI39" s="107">
        <v>0.8</v>
      </c>
      <c r="AJ39" s="107">
        <v>0</v>
      </c>
      <c r="AK39" s="107">
        <v>0.8</v>
      </c>
      <c r="AL39" s="107">
        <v>0.8</v>
      </c>
      <c r="AM39" s="107">
        <v>0</v>
      </c>
      <c r="AN39" s="107">
        <v>0</v>
      </c>
      <c r="AO39" s="107">
        <v>0</v>
      </c>
    </row>
    <row r="40" spans="1:41" x14ac:dyDescent="0.15">
      <c r="A40" s="185" t="s">
        <v>230</v>
      </c>
      <c r="B40" s="107">
        <v>0</v>
      </c>
      <c r="C40" s="107">
        <v>0</v>
      </c>
      <c r="D40" s="107">
        <v>0.8</v>
      </c>
      <c r="E40" s="107">
        <v>0</v>
      </c>
      <c r="F40" s="107">
        <v>0</v>
      </c>
      <c r="G40" s="107">
        <v>0</v>
      </c>
      <c r="H40" s="107">
        <v>0</v>
      </c>
      <c r="I40" s="107">
        <v>0</v>
      </c>
      <c r="J40" s="107">
        <v>0</v>
      </c>
      <c r="K40" s="107">
        <v>0</v>
      </c>
      <c r="L40" s="107">
        <v>0</v>
      </c>
      <c r="M40" s="107">
        <v>0</v>
      </c>
      <c r="N40" s="107">
        <v>0</v>
      </c>
      <c r="O40" s="107">
        <v>0</v>
      </c>
      <c r="P40" s="107">
        <v>0</v>
      </c>
      <c r="Q40" s="107">
        <v>0</v>
      </c>
      <c r="R40" s="107">
        <v>0</v>
      </c>
      <c r="S40" s="107">
        <v>0</v>
      </c>
      <c r="T40" s="107">
        <v>0</v>
      </c>
      <c r="U40" s="107">
        <v>0.8</v>
      </c>
      <c r="V40" s="107">
        <v>0</v>
      </c>
      <c r="W40" s="107">
        <v>0</v>
      </c>
      <c r="X40" s="107">
        <v>0</v>
      </c>
      <c r="Y40" s="107">
        <v>0.8</v>
      </c>
      <c r="Z40" s="107">
        <v>0</v>
      </c>
      <c r="AA40" s="107">
        <v>0</v>
      </c>
      <c r="AB40" s="107">
        <v>0</v>
      </c>
      <c r="AC40" s="107">
        <v>0</v>
      </c>
      <c r="AD40" s="107">
        <v>0.8</v>
      </c>
      <c r="AE40" s="107">
        <v>0.8</v>
      </c>
      <c r="AF40" s="107">
        <v>0.8</v>
      </c>
      <c r="AG40" s="107">
        <v>0.8</v>
      </c>
      <c r="AH40" s="107">
        <v>0.8</v>
      </c>
      <c r="AI40" s="107">
        <v>0.8</v>
      </c>
      <c r="AJ40" s="107">
        <v>0.8</v>
      </c>
      <c r="AK40" s="107">
        <v>0.8</v>
      </c>
      <c r="AL40" s="107">
        <v>0</v>
      </c>
      <c r="AM40" s="107">
        <v>0</v>
      </c>
      <c r="AN40" s="107">
        <v>0</v>
      </c>
      <c r="AO40" s="107">
        <v>0</v>
      </c>
    </row>
    <row r="41" spans="1:41" x14ac:dyDescent="0.15">
      <c r="A41" s="185" t="s">
        <v>231</v>
      </c>
      <c r="B41" s="107">
        <v>0</v>
      </c>
      <c r="C41" s="107">
        <v>0</v>
      </c>
      <c r="D41" s="107">
        <v>0</v>
      </c>
      <c r="E41" s="107">
        <v>0</v>
      </c>
      <c r="F41" s="107">
        <v>0</v>
      </c>
      <c r="G41" s="107">
        <v>0</v>
      </c>
      <c r="H41" s="107">
        <v>0</v>
      </c>
      <c r="I41" s="107">
        <v>0</v>
      </c>
      <c r="J41" s="107">
        <v>0</v>
      </c>
      <c r="K41" s="107">
        <v>0</v>
      </c>
      <c r="L41" s="107">
        <v>0</v>
      </c>
      <c r="M41" s="107">
        <v>0</v>
      </c>
      <c r="N41" s="107">
        <v>0</v>
      </c>
      <c r="O41" s="107">
        <v>0</v>
      </c>
      <c r="P41" s="107">
        <v>0</v>
      </c>
      <c r="Q41" s="107">
        <v>0</v>
      </c>
      <c r="R41" s="107">
        <v>0</v>
      </c>
      <c r="S41" s="107">
        <v>0</v>
      </c>
      <c r="T41" s="107">
        <v>0</v>
      </c>
      <c r="U41" s="107">
        <v>0</v>
      </c>
      <c r="V41" s="107">
        <v>0</v>
      </c>
      <c r="W41" s="107">
        <v>0</v>
      </c>
      <c r="X41" s="107">
        <v>0</v>
      </c>
      <c r="Y41" s="107">
        <v>0</v>
      </c>
      <c r="Z41" s="107">
        <v>0</v>
      </c>
      <c r="AA41" s="107">
        <v>0</v>
      </c>
      <c r="AB41" s="107">
        <v>0</v>
      </c>
      <c r="AC41" s="107">
        <v>0</v>
      </c>
      <c r="AD41" s="107">
        <v>0</v>
      </c>
      <c r="AE41" s="107">
        <v>0</v>
      </c>
      <c r="AF41" s="107">
        <v>0</v>
      </c>
      <c r="AG41" s="107">
        <v>0</v>
      </c>
      <c r="AH41" s="107">
        <v>0</v>
      </c>
      <c r="AI41" s="107">
        <v>0</v>
      </c>
      <c r="AJ41" s="107">
        <v>0</v>
      </c>
      <c r="AK41" s="107">
        <v>0</v>
      </c>
      <c r="AL41" s="107">
        <v>0</v>
      </c>
      <c r="AM41" s="107">
        <v>0</v>
      </c>
      <c r="AN41" s="107">
        <v>0</v>
      </c>
      <c r="AO41" s="107">
        <v>0</v>
      </c>
    </row>
    <row r="42" spans="1:41" x14ac:dyDescent="0.15">
      <c r="A42" s="185" t="s">
        <v>233</v>
      </c>
      <c r="B42" s="107">
        <v>0.8</v>
      </c>
      <c r="C42" s="107">
        <v>0</v>
      </c>
      <c r="D42" s="107">
        <v>0.8</v>
      </c>
      <c r="E42" s="107">
        <v>0</v>
      </c>
      <c r="F42" s="107">
        <v>0</v>
      </c>
      <c r="G42" s="107">
        <v>0</v>
      </c>
      <c r="H42" s="107">
        <v>0</v>
      </c>
      <c r="I42" s="107">
        <v>0</v>
      </c>
      <c r="J42" s="107">
        <v>0</v>
      </c>
      <c r="K42" s="107">
        <v>0</v>
      </c>
      <c r="L42" s="107">
        <v>0</v>
      </c>
      <c r="M42" s="107">
        <v>0</v>
      </c>
      <c r="N42" s="107">
        <v>0</v>
      </c>
      <c r="O42" s="107">
        <v>0</v>
      </c>
      <c r="P42" s="107">
        <v>0</v>
      </c>
      <c r="Q42" s="107">
        <v>0</v>
      </c>
      <c r="R42" s="107">
        <v>0</v>
      </c>
      <c r="S42" s="107">
        <v>0</v>
      </c>
      <c r="T42" s="107">
        <v>0</v>
      </c>
      <c r="U42" s="107">
        <v>0</v>
      </c>
      <c r="V42" s="107">
        <v>0</v>
      </c>
      <c r="W42" s="107">
        <v>0</v>
      </c>
      <c r="X42" s="107">
        <v>0</v>
      </c>
      <c r="Y42" s="107">
        <v>0</v>
      </c>
      <c r="Z42" s="107">
        <v>0.8</v>
      </c>
      <c r="AA42" s="107">
        <v>0</v>
      </c>
      <c r="AB42" s="107">
        <v>0</v>
      </c>
      <c r="AC42" s="107">
        <v>0.8</v>
      </c>
      <c r="AD42" s="107">
        <v>0</v>
      </c>
      <c r="AE42" s="107">
        <v>0</v>
      </c>
      <c r="AF42" s="107">
        <v>0</v>
      </c>
      <c r="AG42" s="107">
        <v>0</v>
      </c>
      <c r="AH42" s="107">
        <v>0</v>
      </c>
      <c r="AI42" s="107">
        <v>0</v>
      </c>
      <c r="AJ42" s="107">
        <v>0</v>
      </c>
      <c r="AK42" s="107">
        <v>0</v>
      </c>
      <c r="AL42" s="107">
        <v>0</v>
      </c>
      <c r="AM42" s="107">
        <v>0</v>
      </c>
      <c r="AN42" s="107">
        <v>0</v>
      </c>
      <c r="AO42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O42"/>
  <sheetViews>
    <sheetView workbookViewId="0">
      <selection activeCell="A3" sqref="A3"/>
    </sheetView>
  </sheetViews>
  <sheetFormatPr baseColWidth="10" defaultRowHeight="13" x14ac:dyDescent="0.15"/>
  <cols>
    <col min="1" max="1" width="21.6640625" style="107" bestFit="1" customWidth="1"/>
    <col min="2" max="41" width="2.33203125" style="107" customWidth="1"/>
    <col min="42" max="16384" width="10.83203125" style="107"/>
  </cols>
  <sheetData>
    <row r="1" spans="1:41" x14ac:dyDescent="0.15">
      <c r="A1" s="62" t="s">
        <v>139</v>
      </c>
      <c r="B1" s="188" t="s">
        <v>192</v>
      </c>
      <c r="C1" s="188" t="s">
        <v>193</v>
      </c>
      <c r="D1" s="188" t="s">
        <v>194</v>
      </c>
      <c r="E1" s="188" t="s">
        <v>195</v>
      </c>
      <c r="F1" s="188" t="s">
        <v>196</v>
      </c>
      <c r="G1" s="188" t="s">
        <v>197</v>
      </c>
      <c r="H1" s="188" t="s">
        <v>198</v>
      </c>
      <c r="I1" s="188" t="s">
        <v>199</v>
      </c>
      <c r="J1" s="188" t="s">
        <v>200</v>
      </c>
      <c r="K1" s="188" t="s">
        <v>201</v>
      </c>
      <c r="L1" s="188" t="s">
        <v>202</v>
      </c>
      <c r="M1" s="188" t="s">
        <v>203</v>
      </c>
      <c r="N1" s="188" t="s">
        <v>204</v>
      </c>
      <c r="O1" s="188" t="s">
        <v>205</v>
      </c>
      <c r="P1" s="188" t="s">
        <v>206</v>
      </c>
      <c r="Q1" s="188" t="s">
        <v>207</v>
      </c>
      <c r="R1" s="188" t="s">
        <v>208</v>
      </c>
      <c r="S1" s="188" t="s">
        <v>209</v>
      </c>
      <c r="T1" s="188" t="s">
        <v>210</v>
      </c>
      <c r="U1" s="188" t="s">
        <v>211</v>
      </c>
      <c r="V1" s="188" t="s">
        <v>212</v>
      </c>
      <c r="W1" s="188" t="s">
        <v>213</v>
      </c>
      <c r="X1" s="188" t="s">
        <v>214</v>
      </c>
      <c r="Y1" s="188" t="s">
        <v>215</v>
      </c>
      <c r="Z1" s="188" t="s">
        <v>216</v>
      </c>
      <c r="AA1" s="188" t="s">
        <v>217</v>
      </c>
      <c r="AB1" s="188" t="s">
        <v>218</v>
      </c>
      <c r="AC1" s="188" t="s">
        <v>219</v>
      </c>
      <c r="AD1" s="188" t="s">
        <v>220</v>
      </c>
      <c r="AE1" s="188" t="s">
        <v>221</v>
      </c>
      <c r="AF1" s="188" t="s">
        <v>222</v>
      </c>
      <c r="AG1" s="188" t="s">
        <v>223</v>
      </c>
      <c r="AH1" s="188" t="s">
        <v>224</v>
      </c>
      <c r="AI1" s="188" t="s">
        <v>225</v>
      </c>
      <c r="AJ1" s="188" t="s">
        <v>226</v>
      </c>
      <c r="AK1" s="188" t="s">
        <v>227</v>
      </c>
      <c r="AL1" s="188" t="s">
        <v>228</v>
      </c>
      <c r="AM1" s="188" t="s">
        <v>229</v>
      </c>
      <c r="AN1" s="188" t="s">
        <v>230</v>
      </c>
      <c r="AO1" s="188" t="s">
        <v>231</v>
      </c>
    </row>
    <row r="2" spans="1:41" customFormat="1" x14ac:dyDescent="0.15">
      <c r="A2" s="187" t="s">
        <v>192</v>
      </c>
      <c r="B2" s="107">
        <v>0</v>
      </c>
      <c r="C2" s="107">
        <v>0</v>
      </c>
      <c r="D2" s="107">
        <v>0</v>
      </c>
      <c r="E2" s="107">
        <v>0</v>
      </c>
      <c r="F2" s="107">
        <v>0</v>
      </c>
      <c r="G2" s="107">
        <v>0</v>
      </c>
      <c r="H2" s="107">
        <v>0</v>
      </c>
      <c r="I2" s="107">
        <v>0</v>
      </c>
      <c r="J2" s="107">
        <v>0</v>
      </c>
      <c r="K2" s="107">
        <v>0</v>
      </c>
      <c r="L2" s="107">
        <v>0</v>
      </c>
      <c r="M2" s="107">
        <v>0</v>
      </c>
      <c r="N2" s="107">
        <v>0</v>
      </c>
      <c r="O2" s="107">
        <v>0</v>
      </c>
      <c r="P2" s="107">
        <v>0</v>
      </c>
      <c r="Q2" s="107">
        <v>0</v>
      </c>
      <c r="R2" s="107">
        <v>0</v>
      </c>
      <c r="S2" s="107">
        <v>0</v>
      </c>
      <c r="T2" s="107">
        <v>0</v>
      </c>
      <c r="U2" s="107">
        <v>0</v>
      </c>
      <c r="V2" s="107">
        <v>0</v>
      </c>
      <c r="W2" s="107">
        <v>0</v>
      </c>
      <c r="X2" s="107">
        <v>0</v>
      </c>
      <c r="Y2" s="107">
        <v>0</v>
      </c>
      <c r="Z2" s="107">
        <v>0</v>
      </c>
      <c r="AA2" s="107">
        <v>0</v>
      </c>
      <c r="AB2" s="107">
        <v>0</v>
      </c>
      <c r="AC2" s="107">
        <v>0</v>
      </c>
      <c r="AD2" s="107">
        <v>0</v>
      </c>
      <c r="AE2" s="107">
        <v>0</v>
      </c>
      <c r="AF2" s="107">
        <v>0</v>
      </c>
      <c r="AG2" s="107">
        <v>0</v>
      </c>
      <c r="AH2" s="107">
        <v>0</v>
      </c>
      <c r="AI2" s="107">
        <v>0</v>
      </c>
      <c r="AJ2" s="107">
        <v>0</v>
      </c>
      <c r="AK2" s="107">
        <v>0</v>
      </c>
      <c r="AL2" s="107">
        <v>0</v>
      </c>
      <c r="AM2" s="107">
        <v>0</v>
      </c>
      <c r="AN2" s="107">
        <v>0</v>
      </c>
      <c r="AO2" s="107">
        <v>0</v>
      </c>
    </row>
    <row r="3" spans="1:41" customFormat="1" x14ac:dyDescent="0.15">
      <c r="A3" s="187" t="s">
        <v>193</v>
      </c>
      <c r="B3" s="107">
        <v>0</v>
      </c>
      <c r="C3" s="107">
        <v>0</v>
      </c>
      <c r="D3" s="107">
        <v>0</v>
      </c>
      <c r="E3" s="107">
        <v>0</v>
      </c>
      <c r="F3" s="107">
        <v>0</v>
      </c>
      <c r="G3" s="107">
        <v>0</v>
      </c>
      <c r="H3" s="107">
        <v>0</v>
      </c>
      <c r="I3" s="107">
        <v>0</v>
      </c>
      <c r="J3" s="107">
        <v>0</v>
      </c>
      <c r="K3" s="107">
        <v>0</v>
      </c>
      <c r="L3" s="107">
        <v>0</v>
      </c>
      <c r="M3" s="107">
        <v>0</v>
      </c>
      <c r="N3" s="107">
        <v>0</v>
      </c>
      <c r="O3" s="107">
        <v>0</v>
      </c>
      <c r="P3" s="107">
        <v>0</v>
      </c>
      <c r="Q3" s="107">
        <v>0</v>
      </c>
      <c r="R3" s="107">
        <v>0</v>
      </c>
      <c r="S3" s="107">
        <v>0</v>
      </c>
      <c r="T3" s="107">
        <v>0</v>
      </c>
      <c r="U3" s="107">
        <v>0</v>
      </c>
      <c r="V3" s="107">
        <v>0</v>
      </c>
      <c r="W3" s="107">
        <v>0</v>
      </c>
      <c r="X3" s="107">
        <v>0</v>
      </c>
      <c r="Y3" s="107">
        <v>0</v>
      </c>
      <c r="Z3" s="107">
        <v>0</v>
      </c>
      <c r="AA3" s="107">
        <v>0</v>
      </c>
      <c r="AB3" s="107">
        <v>0</v>
      </c>
      <c r="AC3" s="107">
        <v>0</v>
      </c>
      <c r="AD3" s="107">
        <v>0</v>
      </c>
      <c r="AE3" s="107">
        <v>0</v>
      </c>
      <c r="AF3" s="107">
        <v>0</v>
      </c>
      <c r="AG3" s="107">
        <v>0</v>
      </c>
      <c r="AH3" s="107">
        <v>0</v>
      </c>
      <c r="AI3" s="107">
        <v>0</v>
      </c>
      <c r="AJ3" s="107">
        <v>0</v>
      </c>
      <c r="AK3" s="107">
        <v>0</v>
      </c>
      <c r="AL3" s="107">
        <v>0</v>
      </c>
      <c r="AM3" s="107">
        <v>0</v>
      </c>
      <c r="AN3" s="107">
        <v>0</v>
      </c>
      <c r="AO3" s="107">
        <v>0</v>
      </c>
    </row>
    <row r="4" spans="1:41" customFormat="1" x14ac:dyDescent="0.15">
      <c r="A4" s="187" t="s">
        <v>194</v>
      </c>
      <c r="B4" s="107">
        <v>0</v>
      </c>
      <c r="C4" s="107">
        <v>0</v>
      </c>
      <c r="D4" s="107">
        <v>1</v>
      </c>
      <c r="E4" s="107">
        <v>0</v>
      </c>
      <c r="F4" s="107">
        <v>0</v>
      </c>
      <c r="G4" s="107">
        <v>0</v>
      </c>
      <c r="H4" s="107">
        <v>0</v>
      </c>
      <c r="I4" s="107">
        <v>0</v>
      </c>
      <c r="J4" s="107">
        <v>0</v>
      </c>
      <c r="K4" s="107">
        <v>0</v>
      </c>
      <c r="L4" s="107">
        <v>0</v>
      </c>
      <c r="M4" s="107">
        <v>0</v>
      </c>
      <c r="N4" s="107">
        <v>0</v>
      </c>
      <c r="O4" s="107">
        <v>0</v>
      </c>
      <c r="P4" s="107">
        <v>0</v>
      </c>
      <c r="Q4" s="107">
        <v>0</v>
      </c>
      <c r="R4" s="107">
        <v>0</v>
      </c>
      <c r="S4" s="107">
        <v>0</v>
      </c>
      <c r="T4" s="107">
        <v>0</v>
      </c>
      <c r="U4" s="107">
        <v>0</v>
      </c>
      <c r="V4" s="107">
        <v>0</v>
      </c>
      <c r="W4" s="107">
        <v>0</v>
      </c>
      <c r="X4" s="107">
        <v>0</v>
      </c>
      <c r="Y4" s="107">
        <v>0</v>
      </c>
      <c r="Z4" s="107">
        <v>1</v>
      </c>
      <c r="AA4" s="107">
        <v>0</v>
      </c>
      <c r="AB4" s="107">
        <v>0</v>
      </c>
      <c r="AC4" s="107">
        <v>0</v>
      </c>
      <c r="AD4" s="107">
        <v>0</v>
      </c>
      <c r="AE4" s="107">
        <v>0</v>
      </c>
      <c r="AF4" s="107">
        <v>0</v>
      </c>
      <c r="AG4" s="107">
        <v>0</v>
      </c>
      <c r="AH4" s="107">
        <v>0</v>
      </c>
      <c r="AI4" s="107">
        <v>0</v>
      </c>
      <c r="AJ4" s="107">
        <v>0</v>
      </c>
      <c r="AK4" s="107">
        <v>0</v>
      </c>
      <c r="AL4" s="107">
        <v>0</v>
      </c>
      <c r="AM4" s="107">
        <v>0</v>
      </c>
      <c r="AN4" s="107">
        <v>0</v>
      </c>
      <c r="AO4" s="107">
        <v>0</v>
      </c>
    </row>
    <row r="5" spans="1:41" customFormat="1" x14ac:dyDescent="0.15">
      <c r="A5" s="187" t="s">
        <v>195</v>
      </c>
      <c r="B5" s="107">
        <v>0</v>
      </c>
      <c r="C5" s="107">
        <v>1</v>
      </c>
      <c r="D5" s="107">
        <v>0</v>
      </c>
      <c r="E5" s="107">
        <v>0</v>
      </c>
      <c r="F5" s="107">
        <v>0</v>
      </c>
      <c r="G5" s="107">
        <v>0</v>
      </c>
      <c r="H5" s="107">
        <v>0</v>
      </c>
      <c r="I5" s="107">
        <v>0</v>
      </c>
      <c r="J5" s="107">
        <v>0</v>
      </c>
      <c r="K5" s="107">
        <v>0</v>
      </c>
      <c r="L5" s="107">
        <v>0</v>
      </c>
      <c r="M5" s="107">
        <v>0</v>
      </c>
      <c r="N5" s="107">
        <v>0</v>
      </c>
      <c r="O5" s="107">
        <v>1</v>
      </c>
      <c r="P5" s="107">
        <v>0</v>
      </c>
      <c r="Q5" s="107">
        <v>0</v>
      </c>
      <c r="R5" s="107">
        <v>0</v>
      </c>
      <c r="S5" s="107">
        <v>1</v>
      </c>
      <c r="T5" s="107">
        <v>0</v>
      </c>
      <c r="U5" s="107">
        <v>0</v>
      </c>
      <c r="V5" s="107">
        <v>0</v>
      </c>
      <c r="W5" s="107">
        <v>0</v>
      </c>
      <c r="X5" s="107">
        <v>0</v>
      </c>
      <c r="Y5" s="107">
        <v>0</v>
      </c>
      <c r="Z5" s="107">
        <v>0</v>
      </c>
      <c r="AA5" s="107">
        <v>0</v>
      </c>
      <c r="AB5" s="107">
        <v>0</v>
      </c>
      <c r="AC5" s="107">
        <v>0</v>
      </c>
      <c r="AD5" s="107">
        <v>0</v>
      </c>
      <c r="AE5" s="107">
        <v>0</v>
      </c>
      <c r="AF5" s="107">
        <v>0</v>
      </c>
      <c r="AG5" s="107">
        <v>0</v>
      </c>
      <c r="AH5" s="107">
        <v>0</v>
      </c>
      <c r="AI5" s="107">
        <v>0</v>
      </c>
      <c r="AJ5" s="107">
        <v>0</v>
      </c>
      <c r="AK5" s="107">
        <v>0</v>
      </c>
      <c r="AL5" s="107">
        <v>0</v>
      </c>
      <c r="AM5" s="107">
        <v>0</v>
      </c>
      <c r="AN5" s="107">
        <v>0</v>
      </c>
      <c r="AO5" s="107">
        <v>0</v>
      </c>
    </row>
    <row r="6" spans="1:41" customFormat="1" x14ac:dyDescent="0.15">
      <c r="A6" s="187" t="s">
        <v>196</v>
      </c>
      <c r="B6" s="107">
        <v>1</v>
      </c>
      <c r="C6" s="107">
        <v>1</v>
      </c>
      <c r="D6" s="107">
        <v>1</v>
      </c>
      <c r="E6" s="107">
        <v>1</v>
      </c>
      <c r="F6" s="107">
        <v>1</v>
      </c>
      <c r="G6" s="107">
        <v>1</v>
      </c>
      <c r="H6" s="107">
        <v>0</v>
      </c>
      <c r="I6" s="107">
        <v>1</v>
      </c>
      <c r="J6" s="107">
        <v>0</v>
      </c>
      <c r="K6" s="107">
        <v>1</v>
      </c>
      <c r="L6" s="107">
        <v>0</v>
      </c>
      <c r="M6" s="107">
        <v>0</v>
      </c>
      <c r="N6" s="107">
        <v>1</v>
      </c>
      <c r="O6" s="107">
        <v>1</v>
      </c>
      <c r="P6" s="107">
        <v>0</v>
      </c>
      <c r="Q6" s="107">
        <v>1</v>
      </c>
      <c r="R6" s="107">
        <v>0</v>
      </c>
      <c r="S6" s="107">
        <v>1</v>
      </c>
      <c r="T6" s="107">
        <v>1</v>
      </c>
      <c r="U6" s="107">
        <v>1</v>
      </c>
      <c r="V6" s="107">
        <v>1</v>
      </c>
      <c r="W6" s="107">
        <v>1</v>
      </c>
      <c r="X6" s="107">
        <v>0</v>
      </c>
      <c r="Y6" s="107">
        <v>0</v>
      </c>
      <c r="Z6" s="107">
        <v>0</v>
      </c>
      <c r="AA6" s="107">
        <v>0</v>
      </c>
      <c r="AB6" s="107">
        <v>0</v>
      </c>
      <c r="AC6" s="107">
        <v>1</v>
      </c>
      <c r="AD6" s="107">
        <v>0</v>
      </c>
      <c r="AE6" s="107">
        <v>0</v>
      </c>
      <c r="AF6" s="107">
        <v>0</v>
      </c>
      <c r="AG6" s="107">
        <v>0</v>
      </c>
      <c r="AH6" s="107">
        <v>0</v>
      </c>
      <c r="AI6" s="107">
        <v>0</v>
      </c>
      <c r="AJ6" s="107">
        <v>0</v>
      </c>
      <c r="AK6" s="107">
        <v>0</v>
      </c>
      <c r="AL6" s="107">
        <v>0</v>
      </c>
      <c r="AM6" s="107">
        <v>0</v>
      </c>
      <c r="AN6" s="107">
        <v>0</v>
      </c>
      <c r="AO6" s="107">
        <v>0</v>
      </c>
    </row>
    <row r="7" spans="1:41" customFormat="1" x14ac:dyDescent="0.15">
      <c r="A7" s="187" t="s">
        <v>197</v>
      </c>
      <c r="B7" s="107">
        <v>0</v>
      </c>
      <c r="C7" s="107">
        <v>1</v>
      </c>
      <c r="D7" s="107">
        <v>0</v>
      </c>
      <c r="E7" s="107">
        <v>0</v>
      </c>
      <c r="F7" s="107">
        <v>0</v>
      </c>
      <c r="G7" s="107">
        <v>1</v>
      </c>
      <c r="H7" s="107">
        <v>0</v>
      </c>
      <c r="I7" s="107">
        <v>0</v>
      </c>
      <c r="J7" s="107">
        <v>0</v>
      </c>
      <c r="K7" s="107">
        <v>0</v>
      </c>
      <c r="L7" s="107">
        <v>0</v>
      </c>
      <c r="M7" s="107">
        <v>0</v>
      </c>
      <c r="N7" s="107">
        <v>0</v>
      </c>
      <c r="O7" s="107">
        <v>1</v>
      </c>
      <c r="P7" s="107">
        <v>0</v>
      </c>
      <c r="Q7" s="107">
        <v>0</v>
      </c>
      <c r="R7" s="107">
        <v>0</v>
      </c>
      <c r="S7" s="107">
        <v>1</v>
      </c>
      <c r="T7" s="107">
        <v>0</v>
      </c>
      <c r="U7" s="107">
        <v>0</v>
      </c>
      <c r="V7" s="107">
        <v>0</v>
      </c>
      <c r="W7" s="107">
        <v>0</v>
      </c>
      <c r="X7" s="107">
        <v>0</v>
      </c>
      <c r="Y7" s="107">
        <v>0</v>
      </c>
      <c r="Z7" s="107">
        <v>1</v>
      </c>
      <c r="AA7" s="107">
        <v>0</v>
      </c>
      <c r="AB7" s="107">
        <v>0</v>
      </c>
      <c r="AC7" s="107">
        <v>0</v>
      </c>
      <c r="AD7" s="107">
        <v>0</v>
      </c>
      <c r="AE7" s="107">
        <v>0</v>
      </c>
      <c r="AF7" s="107">
        <v>0</v>
      </c>
      <c r="AG7" s="107">
        <v>0</v>
      </c>
      <c r="AH7" s="107">
        <v>0</v>
      </c>
      <c r="AI7" s="107">
        <v>0</v>
      </c>
      <c r="AJ7" s="107">
        <v>0</v>
      </c>
      <c r="AK7" s="107">
        <v>0</v>
      </c>
      <c r="AL7" s="107">
        <v>0</v>
      </c>
      <c r="AM7" s="107">
        <v>0</v>
      </c>
      <c r="AN7" s="107">
        <v>0</v>
      </c>
      <c r="AO7" s="107">
        <v>0</v>
      </c>
    </row>
    <row r="8" spans="1:41" customFormat="1" x14ac:dyDescent="0.15">
      <c r="A8" s="187" t="s">
        <v>198</v>
      </c>
      <c r="B8" s="107">
        <v>1</v>
      </c>
      <c r="C8" s="107">
        <v>1</v>
      </c>
      <c r="D8" s="107">
        <v>0</v>
      </c>
      <c r="E8" s="107">
        <v>1</v>
      </c>
      <c r="F8" s="107">
        <v>1</v>
      </c>
      <c r="G8" s="107">
        <v>1</v>
      </c>
      <c r="H8" s="107">
        <v>1</v>
      </c>
      <c r="I8" s="107">
        <v>1</v>
      </c>
      <c r="J8" s="107">
        <v>1</v>
      </c>
      <c r="K8" s="107">
        <v>1</v>
      </c>
      <c r="L8" s="107">
        <v>1</v>
      </c>
      <c r="M8" s="107">
        <v>0</v>
      </c>
      <c r="N8" s="107">
        <v>1</v>
      </c>
      <c r="O8" s="107">
        <v>1</v>
      </c>
      <c r="P8" s="107">
        <v>0</v>
      </c>
      <c r="Q8" s="107">
        <v>1</v>
      </c>
      <c r="R8" s="107">
        <v>0</v>
      </c>
      <c r="S8" s="107">
        <v>1</v>
      </c>
      <c r="T8" s="107">
        <v>1</v>
      </c>
      <c r="U8" s="107">
        <v>1</v>
      </c>
      <c r="V8" s="107">
        <v>0</v>
      </c>
      <c r="W8" s="107">
        <v>1</v>
      </c>
      <c r="X8" s="107">
        <v>0</v>
      </c>
      <c r="Y8" s="107">
        <v>0</v>
      </c>
      <c r="Z8" s="107">
        <v>1</v>
      </c>
      <c r="AA8" s="107">
        <v>0</v>
      </c>
      <c r="AB8" s="107">
        <v>0</v>
      </c>
      <c r="AC8" s="107">
        <v>1</v>
      </c>
      <c r="AD8" s="107">
        <v>0</v>
      </c>
      <c r="AE8" s="107">
        <v>0</v>
      </c>
      <c r="AF8" s="107">
        <v>0</v>
      </c>
      <c r="AG8" s="107">
        <v>0</v>
      </c>
      <c r="AH8" s="107">
        <v>0</v>
      </c>
      <c r="AI8" s="107">
        <v>0</v>
      </c>
      <c r="AJ8" s="107">
        <v>0</v>
      </c>
      <c r="AK8" s="107">
        <v>0</v>
      </c>
      <c r="AL8" s="107">
        <v>0</v>
      </c>
      <c r="AM8" s="107">
        <v>0</v>
      </c>
      <c r="AN8" s="107">
        <v>0</v>
      </c>
      <c r="AO8" s="107">
        <v>0</v>
      </c>
    </row>
    <row r="9" spans="1:41" customFormat="1" x14ac:dyDescent="0.15">
      <c r="A9" s="187" t="s">
        <v>199</v>
      </c>
      <c r="B9" s="107">
        <v>0</v>
      </c>
      <c r="C9" s="107">
        <v>1</v>
      </c>
      <c r="D9" s="107">
        <v>1</v>
      </c>
      <c r="E9" s="107">
        <v>1</v>
      </c>
      <c r="F9" s="107">
        <v>0</v>
      </c>
      <c r="G9" s="107">
        <v>1</v>
      </c>
      <c r="H9" s="107">
        <v>1</v>
      </c>
      <c r="I9" s="107">
        <v>1</v>
      </c>
      <c r="J9" s="107">
        <v>0</v>
      </c>
      <c r="K9" s="107">
        <v>1</v>
      </c>
      <c r="L9" s="107">
        <v>1</v>
      </c>
      <c r="M9" s="107">
        <v>0</v>
      </c>
      <c r="N9" s="107">
        <v>0</v>
      </c>
      <c r="O9" s="107">
        <v>1</v>
      </c>
      <c r="P9" s="107">
        <v>0</v>
      </c>
      <c r="Q9" s="107">
        <v>1</v>
      </c>
      <c r="R9" s="107">
        <v>0</v>
      </c>
      <c r="S9" s="107">
        <v>1</v>
      </c>
      <c r="T9" s="107">
        <v>1</v>
      </c>
      <c r="U9" s="107">
        <v>1</v>
      </c>
      <c r="V9" s="107">
        <v>0</v>
      </c>
      <c r="W9" s="107">
        <v>0</v>
      </c>
      <c r="X9" s="107">
        <v>0</v>
      </c>
      <c r="Y9" s="107">
        <v>0</v>
      </c>
      <c r="Z9" s="107">
        <v>0</v>
      </c>
      <c r="AA9" s="107">
        <v>0</v>
      </c>
      <c r="AB9" s="107">
        <v>0</v>
      </c>
      <c r="AC9" s="107">
        <v>1</v>
      </c>
      <c r="AD9" s="107">
        <v>0</v>
      </c>
      <c r="AE9" s="107">
        <v>0</v>
      </c>
      <c r="AF9" s="107">
        <v>0</v>
      </c>
      <c r="AG9" s="107">
        <v>0</v>
      </c>
      <c r="AH9" s="107">
        <v>0</v>
      </c>
      <c r="AI9" s="107">
        <v>0</v>
      </c>
      <c r="AJ9" s="107">
        <v>0</v>
      </c>
      <c r="AK9" s="107">
        <v>0</v>
      </c>
      <c r="AL9" s="107">
        <v>0</v>
      </c>
      <c r="AM9" s="107">
        <v>0</v>
      </c>
      <c r="AN9" s="107">
        <v>0</v>
      </c>
      <c r="AO9" s="107">
        <v>0</v>
      </c>
    </row>
    <row r="10" spans="1:41" customFormat="1" x14ac:dyDescent="0.15">
      <c r="A10" s="187" t="s">
        <v>200</v>
      </c>
      <c r="B10" s="107">
        <v>0</v>
      </c>
      <c r="C10" s="107">
        <v>1</v>
      </c>
      <c r="D10" s="107">
        <v>0</v>
      </c>
      <c r="E10" s="107">
        <v>1</v>
      </c>
      <c r="F10" s="107">
        <v>1</v>
      </c>
      <c r="G10" s="107">
        <v>0</v>
      </c>
      <c r="H10" s="107">
        <v>0</v>
      </c>
      <c r="I10" s="107">
        <v>1</v>
      </c>
      <c r="J10" s="107">
        <v>1</v>
      </c>
      <c r="K10" s="107">
        <v>1</v>
      </c>
      <c r="L10" s="107">
        <v>1</v>
      </c>
      <c r="M10" s="107">
        <v>0</v>
      </c>
      <c r="N10" s="107">
        <v>0</v>
      </c>
      <c r="O10" s="107">
        <v>1</v>
      </c>
      <c r="P10" s="107">
        <v>0</v>
      </c>
      <c r="Q10" s="107">
        <v>0</v>
      </c>
      <c r="R10" s="107">
        <v>0</v>
      </c>
      <c r="S10" s="107">
        <v>1</v>
      </c>
      <c r="T10" s="107">
        <v>1</v>
      </c>
      <c r="U10" s="107">
        <v>1</v>
      </c>
      <c r="V10" s="107">
        <v>1</v>
      </c>
      <c r="W10" s="107">
        <v>0</v>
      </c>
      <c r="X10" s="107">
        <v>0</v>
      </c>
      <c r="Y10" s="107">
        <v>0</v>
      </c>
      <c r="Z10" s="107">
        <v>0</v>
      </c>
      <c r="AA10" s="107">
        <v>0</v>
      </c>
      <c r="AB10" s="107">
        <v>0</v>
      </c>
      <c r="AC10" s="107">
        <v>0</v>
      </c>
      <c r="AD10" s="107">
        <v>0</v>
      </c>
      <c r="AE10" s="107">
        <v>0</v>
      </c>
      <c r="AF10" s="107">
        <v>0</v>
      </c>
      <c r="AG10" s="107">
        <v>0</v>
      </c>
      <c r="AH10" s="107">
        <v>0</v>
      </c>
      <c r="AI10" s="107">
        <v>0</v>
      </c>
      <c r="AJ10" s="107">
        <v>0</v>
      </c>
      <c r="AK10" s="107">
        <v>0</v>
      </c>
      <c r="AL10" s="107">
        <v>0</v>
      </c>
      <c r="AM10" s="107">
        <v>0</v>
      </c>
      <c r="AN10" s="107">
        <v>0</v>
      </c>
      <c r="AO10" s="107">
        <v>0</v>
      </c>
    </row>
    <row r="11" spans="1:41" customFormat="1" x14ac:dyDescent="0.15">
      <c r="A11" s="187" t="s">
        <v>201</v>
      </c>
      <c r="B11" s="107">
        <v>0</v>
      </c>
      <c r="C11" s="107">
        <v>0</v>
      </c>
      <c r="D11" s="107">
        <v>0</v>
      </c>
      <c r="E11" s="107">
        <v>0</v>
      </c>
      <c r="F11" s="107">
        <v>0</v>
      </c>
      <c r="G11" s="107">
        <v>0</v>
      </c>
      <c r="H11" s="107">
        <v>0</v>
      </c>
      <c r="I11" s="107">
        <v>0</v>
      </c>
      <c r="J11" s="107">
        <v>0</v>
      </c>
      <c r="K11" s="107">
        <v>0</v>
      </c>
      <c r="L11" s="107">
        <v>0</v>
      </c>
      <c r="M11" s="107">
        <v>0</v>
      </c>
      <c r="N11" s="107">
        <v>0</v>
      </c>
      <c r="O11" s="107">
        <v>0</v>
      </c>
      <c r="P11" s="107">
        <v>0</v>
      </c>
      <c r="Q11" s="107">
        <v>0</v>
      </c>
      <c r="R11" s="107">
        <v>0</v>
      </c>
      <c r="S11" s="107">
        <v>0</v>
      </c>
      <c r="T11" s="107">
        <v>0</v>
      </c>
      <c r="U11" s="107">
        <v>0</v>
      </c>
      <c r="V11" s="107">
        <v>0</v>
      </c>
      <c r="W11" s="107">
        <v>0</v>
      </c>
      <c r="X11" s="107">
        <v>0</v>
      </c>
      <c r="Y11" s="107">
        <v>0</v>
      </c>
      <c r="Z11" s="107">
        <v>0</v>
      </c>
      <c r="AA11" s="107">
        <v>0</v>
      </c>
      <c r="AB11" s="107">
        <v>0</v>
      </c>
      <c r="AC11" s="107">
        <v>0</v>
      </c>
      <c r="AD11" s="107">
        <v>0</v>
      </c>
      <c r="AE11" s="107">
        <v>0</v>
      </c>
      <c r="AF11" s="107">
        <v>0</v>
      </c>
      <c r="AG11" s="107">
        <v>0</v>
      </c>
      <c r="AH11" s="107">
        <v>0</v>
      </c>
      <c r="AI11" s="107">
        <v>0</v>
      </c>
      <c r="AJ11" s="107">
        <v>0</v>
      </c>
      <c r="AK11" s="107">
        <v>0</v>
      </c>
      <c r="AL11" s="107">
        <v>0</v>
      </c>
      <c r="AM11" s="107">
        <v>0</v>
      </c>
      <c r="AN11" s="107">
        <v>0</v>
      </c>
      <c r="AO11" s="107">
        <v>0</v>
      </c>
    </row>
    <row r="12" spans="1:41" customFormat="1" x14ac:dyDescent="0.15">
      <c r="A12" s="187" t="s">
        <v>202</v>
      </c>
      <c r="B12" s="107">
        <v>0</v>
      </c>
      <c r="C12" s="107">
        <v>1</v>
      </c>
      <c r="D12" s="107">
        <v>0</v>
      </c>
      <c r="E12" s="107">
        <v>1</v>
      </c>
      <c r="F12" s="107">
        <v>0</v>
      </c>
      <c r="G12" s="107">
        <v>0</v>
      </c>
      <c r="H12" s="107">
        <v>0</v>
      </c>
      <c r="I12" s="107">
        <v>0</v>
      </c>
      <c r="J12" s="107">
        <v>0</v>
      </c>
      <c r="K12" s="107">
        <v>0</v>
      </c>
      <c r="L12" s="107">
        <v>0</v>
      </c>
      <c r="M12" s="107">
        <v>0</v>
      </c>
      <c r="N12" s="107">
        <v>0</v>
      </c>
      <c r="O12" s="107">
        <v>0</v>
      </c>
      <c r="P12" s="107">
        <v>0</v>
      </c>
      <c r="Q12" s="107">
        <v>0</v>
      </c>
      <c r="R12" s="107">
        <v>0</v>
      </c>
      <c r="S12" s="107">
        <v>1</v>
      </c>
      <c r="T12" s="107">
        <v>0</v>
      </c>
      <c r="U12" s="107">
        <v>0</v>
      </c>
      <c r="V12" s="107">
        <v>0</v>
      </c>
      <c r="W12" s="107">
        <v>0</v>
      </c>
      <c r="X12" s="107">
        <v>0</v>
      </c>
      <c r="Y12" s="107">
        <v>0</v>
      </c>
      <c r="Z12" s="107">
        <v>0</v>
      </c>
      <c r="AA12" s="107">
        <v>0</v>
      </c>
      <c r="AB12" s="107">
        <v>0</v>
      </c>
      <c r="AC12" s="107">
        <v>0</v>
      </c>
      <c r="AD12" s="107">
        <v>0</v>
      </c>
      <c r="AE12" s="107">
        <v>0</v>
      </c>
      <c r="AF12" s="107">
        <v>0</v>
      </c>
      <c r="AG12" s="107">
        <v>0</v>
      </c>
      <c r="AH12" s="107">
        <v>0</v>
      </c>
      <c r="AI12" s="107">
        <v>0</v>
      </c>
      <c r="AJ12" s="107">
        <v>0</v>
      </c>
      <c r="AK12" s="107">
        <v>0</v>
      </c>
      <c r="AL12" s="107">
        <v>0</v>
      </c>
      <c r="AM12" s="107">
        <v>0</v>
      </c>
      <c r="AN12" s="107">
        <v>0</v>
      </c>
      <c r="AO12" s="107">
        <v>0</v>
      </c>
    </row>
    <row r="13" spans="1:41" customFormat="1" x14ac:dyDescent="0.15">
      <c r="A13" s="187" t="s">
        <v>203</v>
      </c>
      <c r="B13" s="107">
        <v>0</v>
      </c>
      <c r="C13" s="107">
        <v>1</v>
      </c>
      <c r="D13" s="107">
        <v>0</v>
      </c>
      <c r="E13" s="107">
        <v>1</v>
      </c>
      <c r="F13" s="107">
        <v>0</v>
      </c>
      <c r="G13" s="107">
        <v>0</v>
      </c>
      <c r="H13" s="107">
        <v>0</v>
      </c>
      <c r="I13" s="107">
        <v>1</v>
      </c>
      <c r="J13" s="107">
        <v>1</v>
      </c>
      <c r="K13" s="107">
        <v>1</v>
      </c>
      <c r="L13" s="107">
        <v>1</v>
      </c>
      <c r="M13" s="107">
        <v>0</v>
      </c>
      <c r="N13" s="107">
        <v>1</v>
      </c>
      <c r="O13" s="107">
        <v>1</v>
      </c>
      <c r="P13" s="107">
        <v>0</v>
      </c>
      <c r="Q13" s="107">
        <v>1</v>
      </c>
      <c r="R13" s="107">
        <v>0</v>
      </c>
      <c r="S13" s="107">
        <v>1</v>
      </c>
      <c r="T13" s="107">
        <v>1</v>
      </c>
      <c r="U13" s="107">
        <v>0</v>
      </c>
      <c r="V13" s="107">
        <v>0</v>
      </c>
      <c r="W13" s="107">
        <v>1</v>
      </c>
      <c r="X13" s="107">
        <v>0</v>
      </c>
      <c r="Y13" s="107">
        <v>0</v>
      </c>
      <c r="Z13" s="107">
        <v>1</v>
      </c>
      <c r="AA13" s="107">
        <v>0</v>
      </c>
      <c r="AB13" s="107">
        <v>0</v>
      </c>
      <c r="AC13" s="107">
        <v>0</v>
      </c>
      <c r="AD13" s="107">
        <v>0</v>
      </c>
      <c r="AE13" s="107">
        <v>0</v>
      </c>
      <c r="AF13" s="107">
        <v>0</v>
      </c>
      <c r="AG13" s="107">
        <v>0</v>
      </c>
      <c r="AH13" s="107">
        <v>0</v>
      </c>
      <c r="AI13" s="107">
        <v>0</v>
      </c>
      <c r="AJ13" s="107">
        <v>0</v>
      </c>
      <c r="AK13" s="107">
        <v>0</v>
      </c>
      <c r="AL13" s="107">
        <v>0</v>
      </c>
      <c r="AM13" s="107">
        <v>0</v>
      </c>
      <c r="AN13" s="107">
        <v>0</v>
      </c>
      <c r="AO13" s="107">
        <v>0</v>
      </c>
    </row>
    <row r="14" spans="1:41" customFormat="1" x14ac:dyDescent="0.15">
      <c r="A14" s="187" t="s">
        <v>204</v>
      </c>
      <c r="B14" s="107">
        <v>0</v>
      </c>
      <c r="C14" s="107">
        <v>1</v>
      </c>
      <c r="D14" s="107">
        <v>0</v>
      </c>
      <c r="E14" s="107">
        <v>0</v>
      </c>
      <c r="F14" s="107">
        <v>0</v>
      </c>
      <c r="G14" s="107">
        <v>0</v>
      </c>
      <c r="H14" s="107">
        <v>0</v>
      </c>
      <c r="I14" s="107">
        <v>0</v>
      </c>
      <c r="J14" s="107">
        <v>0</v>
      </c>
      <c r="K14" s="107">
        <v>1</v>
      </c>
      <c r="L14" s="107">
        <v>0</v>
      </c>
      <c r="M14" s="107">
        <v>0</v>
      </c>
      <c r="N14" s="107">
        <v>1</v>
      </c>
      <c r="O14" s="107">
        <v>0</v>
      </c>
      <c r="P14" s="107">
        <v>0</v>
      </c>
      <c r="Q14" s="107">
        <v>0</v>
      </c>
      <c r="R14" s="107">
        <v>0</v>
      </c>
      <c r="S14" s="107">
        <v>1</v>
      </c>
      <c r="T14" s="107">
        <v>0</v>
      </c>
      <c r="U14" s="107">
        <v>1</v>
      </c>
      <c r="V14" s="107">
        <v>0</v>
      </c>
      <c r="W14" s="107">
        <v>0</v>
      </c>
      <c r="X14" s="107">
        <v>0</v>
      </c>
      <c r="Y14" s="107">
        <v>0</v>
      </c>
      <c r="Z14" s="107">
        <v>1</v>
      </c>
      <c r="AA14" s="107">
        <v>0</v>
      </c>
      <c r="AB14" s="107">
        <v>0</v>
      </c>
      <c r="AC14" s="107">
        <v>0</v>
      </c>
      <c r="AD14" s="107">
        <v>0</v>
      </c>
      <c r="AE14" s="107">
        <v>0</v>
      </c>
      <c r="AF14" s="107">
        <v>0</v>
      </c>
      <c r="AG14" s="107">
        <v>0</v>
      </c>
      <c r="AH14" s="107">
        <v>0</v>
      </c>
      <c r="AI14" s="107">
        <v>0</v>
      </c>
      <c r="AJ14" s="107">
        <v>0</v>
      </c>
      <c r="AK14" s="107">
        <v>0</v>
      </c>
      <c r="AL14" s="107">
        <v>0</v>
      </c>
      <c r="AM14" s="107">
        <v>0</v>
      </c>
      <c r="AN14" s="107">
        <v>0</v>
      </c>
      <c r="AO14" s="107">
        <v>0</v>
      </c>
    </row>
    <row r="15" spans="1:41" customFormat="1" x14ac:dyDescent="0.15">
      <c r="A15" s="187" t="s">
        <v>205</v>
      </c>
      <c r="B15" s="107">
        <v>0</v>
      </c>
      <c r="C15" s="107">
        <v>0</v>
      </c>
      <c r="D15" s="107">
        <v>0</v>
      </c>
      <c r="E15" s="107">
        <v>0</v>
      </c>
      <c r="F15" s="107">
        <v>0</v>
      </c>
      <c r="G15" s="107">
        <v>0</v>
      </c>
      <c r="H15" s="107">
        <v>0</v>
      </c>
      <c r="I15" s="107">
        <v>0</v>
      </c>
      <c r="J15" s="107">
        <v>0</v>
      </c>
      <c r="K15" s="107">
        <v>0</v>
      </c>
      <c r="L15" s="107">
        <v>0</v>
      </c>
      <c r="M15" s="107">
        <v>0</v>
      </c>
      <c r="N15" s="107">
        <v>0</v>
      </c>
      <c r="O15" s="107">
        <v>0</v>
      </c>
      <c r="P15" s="107">
        <v>0</v>
      </c>
      <c r="Q15" s="107">
        <v>0</v>
      </c>
      <c r="R15" s="107">
        <v>0</v>
      </c>
      <c r="S15" s="107">
        <v>1</v>
      </c>
      <c r="T15" s="107">
        <v>0</v>
      </c>
      <c r="U15" s="107">
        <v>0</v>
      </c>
      <c r="V15" s="107">
        <v>0</v>
      </c>
      <c r="W15" s="107">
        <v>0</v>
      </c>
      <c r="X15" s="107">
        <v>0</v>
      </c>
      <c r="Y15" s="107">
        <v>0</v>
      </c>
      <c r="Z15" s="107">
        <v>1</v>
      </c>
      <c r="AA15" s="107">
        <v>0</v>
      </c>
      <c r="AB15" s="107">
        <v>0</v>
      </c>
      <c r="AC15" s="107">
        <v>0</v>
      </c>
      <c r="AD15" s="107">
        <v>0</v>
      </c>
      <c r="AE15" s="107">
        <v>0</v>
      </c>
      <c r="AF15" s="107">
        <v>0</v>
      </c>
      <c r="AG15" s="107">
        <v>0</v>
      </c>
      <c r="AH15" s="107">
        <v>0</v>
      </c>
      <c r="AI15" s="107">
        <v>0</v>
      </c>
      <c r="AJ15" s="107">
        <v>0</v>
      </c>
      <c r="AK15" s="107">
        <v>0</v>
      </c>
      <c r="AL15" s="107">
        <v>0</v>
      </c>
      <c r="AM15" s="107">
        <v>0</v>
      </c>
      <c r="AN15" s="107">
        <v>0</v>
      </c>
      <c r="AO15" s="107">
        <v>0</v>
      </c>
    </row>
    <row r="16" spans="1:41" customFormat="1" x14ac:dyDescent="0.15">
      <c r="A16" s="187" t="s">
        <v>206</v>
      </c>
      <c r="B16" s="107">
        <v>1</v>
      </c>
      <c r="C16" s="107">
        <v>1</v>
      </c>
      <c r="D16" s="107">
        <v>0</v>
      </c>
      <c r="E16" s="107">
        <v>1</v>
      </c>
      <c r="F16" s="107">
        <v>1</v>
      </c>
      <c r="G16" s="107">
        <v>1</v>
      </c>
      <c r="H16" s="107">
        <v>0</v>
      </c>
      <c r="I16" s="107">
        <v>1</v>
      </c>
      <c r="J16" s="107">
        <v>1</v>
      </c>
      <c r="K16" s="107">
        <v>0</v>
      </c>
      <c r="L16" s="107">
        <v>1</v>
      </c>
      <c r="M16" s="107">
        <v>1</v>
      </c>
      <c r="N16" s="107">
        <v>1</v>
      </c>
      <c r="O16" s="107">
        <v>1</v>
      </c>
      <c r="P16" s="107">
        <v>1</v>
      </c>
      <c r="Q16" s="107">
        <v>1</v>
      </c>
      <c r="R16" s="107">
        <v>0</v>
      </c>
      <c r="S16" s="107">
        <v>1</v>
      </c>
      <c r="T16" s="107">
        <v>1</v>
      </c>
      <c r="U16" s="107">
        <v>1</v>
      </c>
      <c r="V16" s="107">
        <v>1</v>
      </c>
      <c r="W16" s="107">
        <v>1</v>
      </c>
      <c r="X16" s="107">
        <v>0</v>
      </c>
      <c r="Y16" s="107">
        <v>1</v>
      </c>
      <c r="Z16" s="107">
        <v>1</v>
      </c>
      <c r="AA16" s="107">
        <v>0</v>
      </c>
      <c r="AB16" s="107">
        <v>0</v>
      </c>
      <c r="AC16" s="107">
        <v>0</v>
      </c>
      <c r="AD16" s="107">
        <v>0</v>
      </c>
      <c r="AE16" s="107">
        <v>0</v>
      </c>
      <c r="AF16" s="107">
        <v>0</v>
      </c>
      <c r="AG16" s="107">
        <v>0</v>
      </c>
      <c r="AH16" s="107">
        <v>0</v>
      </c>
      <c r="AI16" s="107">
        <v>0</v>
      </c>
      <c r="AJ16" s="107">
        <v>0</v>
      </c>
      <c r="AK16" s="107">
        <v>0</v>
      </c>
      <c r="AL16" s="107">
        <v>0</v>
      </c>
      <c r="AM16" s="107">
        <v>0</v>
      </c>
      <c r="AN16" s="107">
        <v>0</v>
      </c>
      <c r="AO16" s="107">
        <v>0</v>
      </c>
    </row>
    <row r="17" spans="1:41" customFormat="1" x14ac:dyDescent="0.15">
      <c r="A17" s="187" t="s">
        <v>207</v>
      </c>
      <c r="B17" s="107">
        <v>0</v>
      </c>
      <c r="C17" s="107">
        <v>1</v>
      </c>
      <c r="D17" s="107">
        <v>0</v>
      </c>
      <c r="E17" s="107">
        <v>1</v>
      </c>
      <c r="F17" s="107">
        <v>1</v>
      </c>
      <c r="G17" s="107">
        <v>1</v>
      </c>
      <c r="H17" s="107">
        <v>1</v>
      </c>
      <c r="I17" s="107">
        <v>0</v>
      </c>
      <c r="J17" s="107">
        <v>0</v>
      </c>
      <c r="K17" s="107">
        <v>0</v>
      </c>
      <c r="L17" s="107">
        <v>0</v>
      </c>
      <c r="M17" s="107">
        <v>0</v>
      </c>
      <c r="N17" s="107">
        <v>0</v>
      </c>
      <c r="O17" s="107">
        <v>0</v>
      </c>
      <c r="P17" s="107">
        <v>0</v>
      </c>
      <c r="Q17" s="107">
        <v>1</v>
      </c>
      <c r="R17" s="107">
        <v>0</v>
      </c>
      <c r="S17" s="107">
        <v>1</v>
      </c>
      <c r="T17" s="107">
        <v>1</v>
      </c>
      <c r="U17" s="107">
        <v>1</v>
      </c>
      <c r="V17" s="107">
        <v>1</v>
      </c>
      <c r="W17" s="107">
        <v>1</v>
      </c>
      <c r="X17" s="107">
        <v>0</v>
      </c>
      <c r="Y17" s="107">
        <v>0</v>
      </c>
      <c r="Z17" s="107">
        <v>1</v>
      </c>
      <c r="AA17" s="107">
        <v>0</v>
      </c>
      <c r="AB17" s="107">
        <v>0</v>
      </c>
      <c r="AC17" s="107">
        <v>1</v>
      </c>
      <c r="AD17" s="107">
        <v>0</v>
      </c>
      <c r="AE17" s="107">
        <v>0</v>
      </c>
      <c r="AF17" s="107">
        <v>0</v>
      </c>
      <c r="AG17" s="107">
        <v>0</v>
      </c>
      <c r="AH17" s="107">
        <v>0</v>
      </c>
      <c r="AI17" s="107">
        <v>0</v>
      </c>
      <c r="AJ17" s="107">
        <v>0</v>
      </c>
      <c r="AK17" s="107">
        <v>0</v>
      </c>
      <c r="AL17" s="107">
        <v>0</v>
      </c>
      <c r="AM17" s="107">
        <v>0</v>
      </c>
      <c r="AN17" s="107">
        <v>0</v>
      </c>
      <c r="AO17" s="107">
        <v>0</v>
      </c>
    </row>
    <row r="18" spans="1:41" customFormat="1" x14ac:dyDescent="0.15">
      <c r="A18" s="187" t="s">
        <v>208</v>
      </c>
      <c r="B18" s="107">
        <v>1</v>
      </c>
      <c r="C18" s="107">
        <v>1</v>
      </c>
      <c r="D18" s="107">
        <v>0</v>
      </c>
      <c r="E18" s="107">
        <v>0</v>
      </c>
      <c r="F18" s="107">
        <v>0</v>
      </c>
      <c r="G18" s="107">
        <v>0</v>
      </c>
      <c r="H18" s="107">
        <v>0</v>
      </c>
      <c r="I18" s="107">
        <v>0</v>
      </c>
      <c r="J18" s="107">
        <v>0</v>
      </c>
      <c r="K18" s="107">
        <v>0</v>
      </c>
      <c r="L18" s="107">
        <v>0</v>
      </c>
      <c r="M18" s="107">
        <v>0</v>
      </c>
      <c r="N18" s="107">
        <v>1</v>
      </c>
      <c r="O18" s="107">
        <v>1</v>
      </c>
      <c r="P18" s="107">
        <v>0</v>
      </c>
      <c r="Q18" s="107">
        <v>0</v>
      </c>
      <c r="R18" s="107">
        <v>0</v>
      </c>
      <c r="S18" s="107">
        <v>1</v>
      </c>
      <c r="T18" s="107">
        <v>0</v>
      </c>
      <c r="U18" s="107">
        <v>0</v>
      </c>
      <c r="V18" s="107">
        <v>0</v>
      </c>
      <c r="W18" s="107">
        <v>0</v>
      </c>
      <c r="X18" s="107">
        <v>0</v>
      </c>
      <c r="Y18" s="107">
        <v>0</v>
      </c>
      <c r="Z18" s="107">
        <v>1</v>
      </c>
      <c r="AA18" s="107">
        <v>0</v>
      </c>
      <c r="AB18" s="107">
        <v>0</v>
      </c>
      <c r="AC18" s="107">
        <v>0</v>
      </c>
      <c r="AD18" s="107">
        <v>0</v>
      </c>
      <c r="AE18" s="107">
        <v>0</v>
      </c>
      <c r="AF18" s="107">
        <v>0</v>
      </c>
      <c r="AG18" s="107">
        <v>0</v>
      </c>
      <c r="AH18" s="107">
        <v>0</v>
      </c>
      <c r="AI18" s="107">
        <v>0</v>
      </c>
      <c r="AJ18" s="107">
        <v>0</v>
      </c>
      <c r="AK18" s="107">
        <v>0</v>
      </c>
      <c r="AL18" s="107">
        <v>0</v>
      </c>
      <c r="AM18" s="107">
        <v>0</v>
      </c>
      <c r="AN18" s="107">
        <v>0</v>
      </c>
      <c r="AO18" s="107">
        <v>0</v>
      </c>
    </row>
    <row r="19" spans="1:41" customFormat="1" x14ac:dyDescent="0.15">
      <c r="A19" s="187" t="s">
        <v>209</v>
      </c>
      <c r="B19" s="107">
        <v>1</v>
      </c>
      <c r="C19" s="107">
        <v>1</v>
      </c>
      <c r="D19" s="107">
        <v>0</v>
      </c>
      <c r="E19" s="107">
        <v>1</v>
      </c>
      <c r="F19" s="107">
        <v>0</v>
      </c>
      <c r="G19" s="107">
        <v>0</v>
      </c>
      <c r="H19" s="107">
        <v>0</v>
      </c>
      <c r="I19" s="107">
        <v>0</v>
      </c>
      <c r="J19" s="107">
        <v>0</v>
      </c>
      <c r="K19" s="107">
        <v>0</v>
      </c>
      <c r="L19" s="107">
        <v>0</v>
      </c>
      <c r="M19" s="107">
        <v>0</v>
      </c>
      <c r="N19" s="107">
        <v>0</v>
      </c>
      <c r="O19" s="107">
        <v>1</v>
      </c>
      <c r="P19" s="107">
        <v>0</v>
      </c>
      <c r="Q19" s="107">
        <v>0</v>
      </c>
      <c r="R19" s="107">
        <v>0</v>
      </c>
      <c r="S19" s="107">
        <v>1</v>
      </c>
      <c r="T19" s="107">
        <v>0</v>
      </c>
      <c r="U19" s="107">
        <v>0</v>
      </c>
      <c r="V19" s="107">
        <v>0</v>
      </c>
      <c r="W19" s="107">
        <v>0</v>
      </c>
      <c r="X19" s="107">
        <v>0</v>
      </c>
      <c r="Y19" s="107">
        <v>0</v>
      </c>
      <c r="Z19" s="107">
        <v>1</v>
      </c>
      <c r="AA19" s="107">
        <v>0</v>
      </c>
      <c r="AB19" s="107">
        <v>0</v>
      </c>
      <c r="AC19" s="107">
        <v>0</v>
      </c>
      <c r="AD19" s="107">
        <v>0</v>
      </c>
      <c r="AE19" s="107">
        <v>0</v>
      </c>
      <c r="AF19" s="107">
        <v>0</v>
      </c>
      <c r="AG19" s="107">
        <v>0</v>
      </c>
      <c r="AH19" s="107">
        <v>0</v>
      </c>
      <c r="AI19" s="107">
        <v>0</v>
      </c>
      <c r="AJ19" s="107">
        <v>0</v>
      </c>
      <c r="AK19" s="107">
        <v>0</v>
      </c>
      <c r="AL19" s="107">
        <v>0</v>
      </c>
      <c r="AM19" s="107">
        <v>0</v>
      </c>
      <c r="AN19" s="107">
        <v>0</v>
      </c>
      <c r="AO19" s="107">
        <v>0</v>
      </c>
    </row>
    <row r="20" spans="1:41" customFormat="1" x14ac:dyDescent="0.15">
      <c r="A20" s="187" t="s">
        <v>210</v>
      </c>
      <c r="B20" s="107">
        <v>1</v>
      </c>
      <c r="C20" s="107">
        <v>1</v>
      </c>
      <c r="D20" s="107">
        <v>0</v>
      </c>
      <c r="E20" s="107">
        <v>1</v>
      </c>
      <c r="F20" s="107">
        <v>1</v>
      </c>
      <c r="G20" s="107">
        <v>0</v>
      </c>
      <c r="H20" s="107">
        <v>0</v>
      </c>
      <c r="I20" s="107">
        <v>0</v>
      </c>
      <c r="J20" s="107">
        <v>0</v>
      </c>
      <c r="K20" s="107">
        <v>1</v>
      </c>
      <c r="L20" s="107">
        <v>0</v>
      </c>
      <c r="M20" s="107">
        <v>0</v>
      </c>
      <c r="N20" s="107">
        <v>0</v>
      </c>
      <c r="O20" s="107">
        <v>1</v>
      </c>
      <c r="P20" s="107">
        <v>0</v>
      </c>
      <c r="Q20" s="107">
        <v>0</v>
      </c>
      <c r="R20" s="107">
        <v>0</v>
      </c>
      <c r="S20" s="107">
        <v>1</v>
      </c>
      <c r="T20" s="107">
        <v>0</v>
      </c>
      <c r="U20" s="107">
        <v>0</v>
      </c>
      <c r="V20" s="107">
        <v>0</v>
      </c>
      <c r="W20" s="107">
        <v>0</v>
      </c>
      <c r="X20" s="107">
        <v>0</v>
      </c>
      <c r="Y20" s="107">
        <v>0</v>
      </c>
      <c r="Z20" s="107">
        <v>1</v>
      </c>
      <c r="AA20" s="107">
        <v>0</v>
      </c>
      <c r="AB20" s="107">
        <v>0</v>
      </c>
      <c r="AC20" s="107">
        <v>1</v>
      </c>
      <c r="AD20" s="107">
        <v>0</v>
      </c>
      <c r="AE20" s="107">
        <v>0</v>
      </c>
      <c r="AF20" s="107">
        <v>0</v>
      </c>
      <c r="AG20" s="107">
        <v>0</v>
      </c>
      <c r="AH20" s="107">
        <v>0</v>
      </c>
      <c r="AI20" s="107">
        <v>0</v>
      </c>
      <c r="AJ20" s="107">
        <v>0</v>
      </c>
      <c r="AK20" s="107">
        <v>0</v>
      </c>
      <c r="AL20" s="107">
        <v>0</v>
      </c>
      <c r="AM20" s="107">
        <v>0</v>
      </c>
      <c r="AN20" s="107">
        <v>0</v>
      </c>
      <c r="AO20" s="107">
        <v>0</v>
      </c>
    </row>
    <row r="21" spans="1:41" customFormat="1" x14ac:dyDescent="0.15">
      <c r="A21" s="187" t="s">
        <v>211</v>
      </c>
      <c r="B21" s="107">
        <v>1</v>
      </c>
      <c r="C21" s="107">
        <v>1</v>
      </c>
      <c r="D21" s="107">
        <v>0</v>
      </c>
      <c r="E21" s="107">
        <v>1</v>
      </c>
      <c r="F21" s="107">
        <v>0</v>
      </c>
      <c r="G21" s="107">
        <v>0</v>
      </c>
      <c r="H21" s="107">
        <v>0</v>
      </c>
      <c r="I21" s="107">
        <v>0</v>
      </c>
      <c r="J21" s="107">
        <v>0</v>
      </c>
      <c r="K21" s="107">
        <v>0</v>
      </c>
      <c r="L21" s="107">
        <v>0</v>
      </c>
      <c r="M21" s="107">
        <v>0</v>
      </c>
      <c r="N21" s="107">
        <v>0</v>
      </c>
      <c r="O21" s="107">
        <v>1</v>
      </c>
      <c r="P21" s="107">
        <v>0</v>
      </c>
      <c r="Q21" s="107">
        <v>0</v>
      </c>
      <c r="R21" s="107">
        <v>0</v>
      </c>
      <c r="S21" s="107">
        <v>1</v>
      </c>
      <c r="T21" s="107">
        <v>1</v>
      </c>
      <c r="U21" s="107">
        <v>0</v>
      </c>
      <c r="V21" s="107">
        <v>0</v>
      </c>
      <c r="W21" s="107">
        <v>0</v>
      </c>
      <c r="X21" s="107">
        <v>0</v>
      </c>
      <c r="Y21" s="107">
        <v>0</v>
      </c>
      <c r="Z21" s="107">
        <v>1</v>
      </c>
      <c r="AA21" s="107">
        <v>0</v>
      </c>
      <c r="AB21" s="107">
        <v>0</v>
      </c>
      <c r="AC21" s="107">
        <v>0</v>
      </c>
      <c r="AD21" s="107">
        <v>0</v>
      </c>
      <c r="AE21" s="107">
        <v>0</v>
      </c>
      <c r="AF21" s="107">
        <v>0</v>
      </c>
      <c r="AG21" s="107">
        <v>0</v>
      </c>
      <c r="AH21" s="107">
        <v>0</v>
      </c>
      <c r="AI21" s="107">
        <v>0</v>
      </c>
      <c r="AJ21" s="107">
        <v>0</v>
      </c>
      <c r="AK21" s="107">
        <v>0</v>
      </c>
      <c r="AL21" s="107">
        <v>0</v>
      </c>
      <c r="AM21" s="107">
        <v>0</v>
      </c>
      <c r="AN21" s="107">
        <v>0</v>
      </c>
      <c r="AO21" s="107">
        <v>0</v>
      </c>
    </row>
    <row r="22" spans="1:41" customFormat="1" x14ac:dyDescent="0.15">
      <c r="A22" s="187" t="s">
        <v>212</v>
      </c>
      <c r="B22" s="107">
        <v>1</v>
      </c>
      <c r="C22" s="107">
        <v>1</v>
      </c>
      <c r="D22" s="107">
        <v>0</v>
      </c>
      <c r="E22" s="107">
        <v>1</v>
      </c>
      <c r="F22" s="107">
        <v>1</v>
      </c>
      <c r="G22" s="107">
        <v>0</v>
      </c>
      <c r="H22" s="107">
        <v>0</v>
      </c>
      <c r="I22" s="107">
        <v>1</v>
      </c>
      <c r="J22" s="107">
        <v>1</v>
      </c>
      <c r="K22" s="107">
        <v>1</v>
      </c>
      <c r="L22" s="107">
        <v>1</v>
      </c>
      <c r="M22" s="107">
        <v>0</v>
      </c>
      <c r="N22" s="107">
        <v>1</v>
      </c>
      <c r="O22" s="107">
        <v>1</v>
      </c>
      <c r="P22" s="107">
        <v>0</v>
      </c>
      <c r="Q22" s="107">
        <v>0</v>
      </c>
      <c r="R22" s="107">
        <v>0</v>
      </c>
      <c r="S22" s="107">
        <v>1</v>
      </c>
      <c r="T22" s="107">
        <v>1</v>
      </c>
      <c r="U22" s="107">
        <v>1</v>
      </c>
      <c r="V22" s="107">
        <v>0</v>
      </c>
      <c r="W22" s="107">
        <v>1</v>
      </c>
      <c r="X22" s="107">
        <v>0</v>
      </c>
      <c r="Y22" s="107">
        <v>0</v>
      </c>
      <c r="Z22" s="107">
        <v>1</v>
      </c>
      <c r="AA22" s="107">
        <v>0</v>
      </c>
      <c r="AB22" s="107">
        <v>0</v>
      </c>
      <c r="AC22" s="107">
        <v>1</v>
      </c>
      <c r="AD22" s="107">
        <v>0</v>
      </c>
      <c r="AE22" s="107">
        <v>0</v>
      </c>
      <c r="AF22" s="107">
        <v>0</v>
      </c>
      <c r="AG22" s="107">
        <v>0</v>
      </c>
      <c r="AH22" s="107">
        <v>0</v>
      </c>
      <c r="AI22" s="107">
        <v>0</v>
      </c>
      <c r="AJ22" s="107">
        <v>0</v>
      </c>
      <c r="AK22" s="107">
        <v>0</v>
      </c>
      <c r="AL22" s="107">
        <v>0</v>
      </c>
      <c r="AM22" s="107">
        <v>0</v>
      </c>
      <c r="AN22" s="107">
        <v>0</v>
      </c>
      <c r="AO22" s="107">
        <v>0</v>
      </c>
    </row>
    <row r="23" spans="1:41" customFormat="1" x14ac:dyDescent="0.15">
      <c r="A23" s="187" t="s">
        <v>213</v>
      </c>
      <c r="B23" s="107">
        <v>0</v>
      </c>
      <c r="C23" s="107">
        <v>1</v>
      </c>
      <c r="D23" s="107">
        <v>1</v>
      </c>
      <c r="E23" s="107">
        <v>1</v>
      </c>
      <c r="F23" s="107">
        <v>1</v>
      </c>
      <c r="G23" s="107">
        <v>1</v>
      </c>
      <c r="H23" s="107">
        <v>1</v>
      </c>
      <c r="I23" s="107">
        <v>1</v>
      </c>
      <c r="J23" s="107">
        <v>1</v>
      </c>
      <c r="K23" s="107">
        <v>0</v>
      </c>
      <c r="L23" s="107">
        <v>1</v>
      </c>
      <c r="M23" s="107">
        <v>1</v>
      </c>
      <c r="N23" s="107">
        <v>1</v>
      </c>
      <c r="O23" s="107">
        <v>1</v>
      </c>
      <c r="P23" s="107">
        <v>1</v>
      </c>
      <c r="Q23" s="107">
        <v>0</v>
      </c>
      <c r="R23" s="107">
        <v>0</v>
      </c>
      <c r="S23" s="107">
        <v>1</v>
      </c>
      <c r="T23" s="107">
        <v>1</v>
      </c>
      <c r="U23" s="107">
        <v>1</v>
      </c>
      <c r="V23" s="107">
        <v>1</v>
      </c>
      <c r="W23" s="107">
        <v>1</v>
      </c>
      <c r="X23" s="107">
        <v>0</v>
      </c>
      <c r="Y23" s="107">
        <v>0</v>
      </c>
      <c r="Z23" s="107">
        <v>0</v>
      </c>
      <c r="AA23" s="107">
        <v>0</v>
      </c>
      <c r="AB23" s="107">
        <v>0</v>
      </c>
      <c r="AC23" s="107">
        <v>0</v>
      </c>
      <c r="AD23" s="107">
        <v>0</v>
      </c>
      <c r="AE23" s="107">
        <v>0</v>
      </c>
      <c r="AF23" s="107">
        <v>0</v>
      </c>
      <c r="AG23" s="107">
        <v>0</v>
      </c>
      <c r="AH23" s="107">
        <v>0</v>
      </c>
      <c r="AI23" s="107">
        <v>0</v>
      </c>
      <c r="AJ23" s="107">
        <v>0</v>
      </c>
      <c r="AK23" s="107">
        <v>0</v>
      </c>
      <c r="AL23" s="107">
        <v>0</v>
      </c>
      <c r="AM23" s="107">
        <v>0</v>
      </c>
      <c r="AN23" s="107">
        <v>0</v>
      </c>
      <c r="AO23" s="107">
        <v>0</v>
      </c>
    </row>
    <row r="24" spans="1:41" customFormat="1" x14ac:dyDescent="0.15">
      <c r="A24" s="187" t="s">
        <v>214</v>
      </c>
      <c r="B24" s="107">
        <v>0</v>
      </c>
      <c r="C24" s="107">
        <v>1</v>
      </c>
      <c r="D24" s="107">
        <v>0</v>
      </c>
      <c r="E24" s="107">
        <v>1</v>
      </c>
      <c r="F24" s="107">
        <v>1</v>
      </c>
      <c r="G24" s="107">
        <v>1</v>
      </c>
      <c r="H24" s="107">
        <v>1</v>
      </c>
      <c r="I24" s="107">
        <v>0</v>
      </c>
      <c r="J24" s="107">
        <v>1</v>
      </c>
      <c r="K24" s="107">
        <v>0</v>
      </c>
      <c r="L24" s="107">
        <v>1</v>
      </c>
      <c r="M24" s="107">
        <v>1</v>
      </c>
      <c r="N24" s="107">
        <v>1</v>
      </c>
      <c r="O24" s="107">
        <v>0</v>
      </c>
      <c r="P24" s="107">
        <v>0</v>
      </c>
      <c r="Q24" s="107">
        <v>0</v>
      </c>
      <c r="R24" s="107">
        <v>0</v>
      </c>
      <c r="S24" s="107">
        <v>0</v>
      </c>
      <c r="T24" s="107">
        <v>0</v>
      </c>
      <c r="U24" s="107">
        <v>0</v>
      </c>
      <c r="V24" s="107">
        <v>0</v>
      </c>
      <c r="W24" s="107">
        <v>1</v>
      </c>
      <c r="X24" s="107">
        <v>1</v>
      </c>
      <c r="Y24" s="107">
        <v>0</v>
      </c>
      <c r="Z24" s="107">
        <v>1</v>
      </c>
      <c r="AA24" s="107">
        <v>0</v>
      </c>
      <c r="AB24" s="107">
        <v>1</v>
      </c>
      <c r="AC24" s="107">
        <v>0</v>
      </c>
      <c r="AD24" s="107">
        <v>0</v>
      </c>
      <c r="AE24" s="107">
        <v>0</v>
      </c>
      <c r="AF24" s="107">
        <v>0</v>
      </c>
      <c r="AG24" s="107">
        <v>0</v>
      </c>
      <c r="AH24" s="107">
        <v>0</v>
      </c>
      <c r="AI24" s="107">
        <v>0</v>
      </c>
      <c r="AJ24" s="107">
        <v>0</v>
      </c>
      <c r="AK24" s="107">
        <v>0</v>
      </c>
      <c r="AL24" s="107">
        <v>0</v>
      </c>
      <c r="AM24" s="107">
        <v>0</v>
      </c>
      <c r="AN24" s="107">
        <v>0</v>
      </c>
      <c r="AO24" s="107">
        <v>0</v>
      </c>
    </row>
    <row r="25" spans="1:41" customFormat="1" x14ac:dyDescent="0.15">
      <c r="A25" s="187" t="s">
        <v>215</v>
      </c>
      <c r="B25" s="107">
        <v>1</v>
      </c>
      <c r="C25" s="107">
        <v>1</v>
      </c>
      <c r="D25" s="107">
        <v>1</v>
      </c>
      <c r="E25" s="107">
        <v>1</v>
      </c>
      <c r="F25" s="107">
        <v>1</v>
      </c>
      <c r="G25" s="107">
        <v>1</v>
      </c>
      <c r="H25" s="107">
        <v>1</v>
      </c>
      <c r="I25" s="107">
        <v>1</v>
      </c>
      <c r="J25" s="107">
        <v>1</v>
      </c>
      <c r="K25" s="107">
        <v>1</v>
      </c>
      <c r="L25" s="107">
        <v>1</v>
      </c>
      <c r="M25" s="107">
        <v>1</v>
      </c>
      <c r="N25" s="107">
        <v>1</v>
      </c>
      <c r="O25" s="107">
        <v>1</v>
      </c>
      <c r="P25" s="107">
        <v>1</v>
      </c>
      <c r="Q25" s="107">
        <v>1</v>
      </c>
      <c r="R25" s="107">
        <v>0</v>
      </c>
      <c r="S25" s="107">
        <v>1</v>
      </c>
      <c r="T25" s="107">
        <v>1</v>
      </c>
      <c r="U25" s="107">
        <v>1</v>
      </c>
      <c r="V25" s="107">
        <v>0</v>
      </c>
      <c r="W25" s="107">
        <v>1</v>
      </c>
      <c r="X25" s="107">
        <v>1</v>
      </c>
      <c r="Y25" s="107">
        <v>0</v>
      </c>
      <c r="Z25" s="107">
        <v>1</v>
      </c>
      <c r="AA25" s="107">
        <v>0</v>
      </c>
      <c r="AB25" s="107">
        <v>0</v>
      </c>
      <c r="AC25" s="107">
        <v>0</v>
      </c>
      <c r="AD25" s="107">
        <v>0</v>
      </c>
      <c r="AE25" s="107">
        <v>0</v>
      </c>
      <c r="AF25" s="107">
        <v>0</v>
      </c>
      <c r="AG25" s="107">
        <v>0</v>
      </c>
      <c r="AH25" s="107">
        <v>0</v>
      </c>
      <c r="AI25" s="107">
        <v>0</v>
      </c>
      <c r="AJ25" s="107">
        <v>0</v>
      </c>
      <c r="AK25" s="107">
        <v>0</v>
      </c>
      <c r="AL25" s="107">
        <v>0</v>
      </c>
      <c r="AM25" s="107">
        <v>0</v>
      </c>
      <c r="AN25" s="107">
        <v>0</v>
      </c>
      <c r="AO25" s="107">
        <v>0</v>
      </c>
    </row>
    <row r="26" spans="1:41" customFormat="1" x14ac:dyDescent="0.15">
      <c r="A26" s="187" t="s">
        <v>216</v>
      </c>
      <c r="B26" s="107">
        <v>0</v>
      </c>
      <c r="C26" s="107">
        <v>0</v>
      </c>
      <c r="D26" s="107">
        <v>0</v>
      </c>
      <c r="E26" s="107">
        <v>0</v>
      </c>
      <c r="F26" s="107">
        <v>0</v>
      </c>
      <c r="G26" s="107">
        <v>0</v>
      </c>
      <c r="H26" s="107">
        <v>0</v>
      </c>
      <c r="I26" s="107">
        <v>0</v>
      </c>
      <c r="J26" s="107">
        <v>0</v>
      </c>
      <c r="K26" s="107">
        <v>0</v>
      </c>
      <c r="L26" s="107">
        <v>0</v>
      </c>
      <c r="M26" s="107">
        <v>0</v>
      </c>
      <c r="N26" s="107">
        <v>0</v>
      </c>
      <c r="O26" s="107">
        <v>0</v>
      </c>
      <c r="P26" s="107">
        <v>0</v>
      </c>
      <c r="Q26" s="107">
        <v>0</v>
      </c>
      <c r="R26" s="107">
        <v>0</v>
      </c>
      <c r="S26" s="107">
        <v>0</v>
      </c>
      <c r="T26" s="107">
        <v>0</v>
      </c>
      <c r="U26" s="107">
        <v>0</v>
      </c>
      <c r="V26" s="107">
        <v>0</v>
      </c>
      <c r="W26" s="107">
        <v>0</v>
      </c>
      <c r="X26" s="107">
        <v>0</v>
      </c>
      <c r="Y26" s="107">
        <v>0</v>
      </c>
      <c r="Z26" s="107">
        <v>1</v>
      </c>
      <c r="AA26" s="107">
        <v>0</v>
      </c>
      <c r="AB26" s="107">
        <v>0</v>
      </c>
      <c r="AC26" s="107">
        <v>0</v>
      </c>
      <c r="AD26" s="107">
        <v>0</v>
      </c>
      <c r="AE26" s="107">
        <v>0</v>
      </c>
      <c r="AF26" s="107">
        <v>0</v>
      </c>
      <c r="AG26" s="107">
        <v>0</v>
      </c>
      <c r="AH26" s="107">
        <v>0</v>
      </c>
      <c r="AI26" s="107">
        <v>0</v>
      </c>
      <c r="AJ26" s="107">
        <v>0</v>
      </c>
      <c r="AK26" s="107">
        <v>0</v>
      </c>
      <c r="AL26" s="107">
        <v>0</v>
      </c>
      <c r="AM26" s="107">
        <v>0</v>
      </c>
      <c r="AN26" s="107">
        <v>0</v>
      </c>
      <c r="AO26" s="107">
        <v>0</v>
      </c>
    </row>
    <row r="27" spans="1:41" customFormat="1" x14ac:dyDescent="0.15">
      <c r="A27" s="187" t="s">
        <v>217</v>
      </c>
      <c r="B27" s="107">
        <v>1</v>
      </c>
      <c r="C27" s="107">
        <v>1</v>
      </c>
      <c r="D27" s="107">
        <v>1</v>
      </c>
      <c r="E27" s="107">
        <v>1</v>
      </c>
      <c r="F27" s="107">
        <v>1</v>
      </c>
      <c r="G27" s="107">
        <v>1</v>
      </c>
      <c r="H27" s="107">
        <v>1</v>
      </c>
      <c r="I27" s="107">
        <v>1</v>
      </c>
      <c r="J27" s="107">
        <v>1</v>
      </c>
      <c r="K27" s="107">
        <v>1</v>
      </c>
      <c r="L27" s="107">
        <v>1</v>
      </c>
      <c r="M27" s="107">
        <v>0</v>
      </c>
      <c r="N27" s="107">
        <v>1</v>
      </c>
      <c r="O27" s="107">
        <v>1</v>
      </c>
      <c r="P27" s="107">
        <v>0</v>
      </c>
      <c r="Q27" s="107">
        <v>1</v>
      </c>
      <c r="R27" s="107">
        <v>1</v>
      </c>
      <c r="S27" s="107">
        <v>1</v>
      </c>
      <c r="T27" s="107">
        <v>1</v>
      </c>
      <c r="U27" s="107">
        <v>1</v>
      </c>
      <c r="V27" s="107">
        <v>0</v>
      </c>
      <c r="W27" s="107">
        <v>1</v>
      </c>
      <c r="X27" s="107">
        <v>0</v>
      </c>
      <c r="Y27" s="107">
        <v>0</v>
      </c>
      <c r="Z27" s="107">
        <v>1</v>
      </c>
      <c r="AA27" s="107">
        <v>0</v>
      </c>
      <c r="AB27" s="107">
        <v>0</v>
      </c>
      <c r="AC27" s="107">
        <v>0</v>
      </c>
      <c r="AD27" s="107">
        <v>0</v>
      </c>
      <c r="AE27" s="107">
        <v>0</v>
      </c>
      <c r="AF27" s="107">
        <v>0</v>
      </c>
      <c r="AG27" s="107">
        <v>0</v>
      </c>
      <c r="AH27" s="107">
        <v>0</v>
      </c>
      <c r="AI27" s="107">
        <v>0</v>
      </c>
      <c r="AJ27" s="107">
        <v>0</v>
      </c>
      <c r="AK27" s="107">
        <v>0</v>
      </c>
      <c r="AL27" s="107">
        <v>0</v>
      </c>
      <c r="AM27" s="107">
        <v>0</v>
      </c>
      <c r="AN27" s="107">
        <v>0</v>
      </c>
      <c r="AO27" s="107">
        <v>0</v>
      </c>
    </row>
    <row r="28" spans="1:41" customFormat="1" x14ac:dyDescent="0.15">
      <c r="A28" s="187" t="s">
        <v>218</v>
      </c>
      <c r="B28" s="107">
        <v>0</v>
      </c>
      <c r="C28" s="107">
        <v>0</v>
      </c>
      <c r="D28" s="107">
        <v>1</v>
      </c>
      <c r="E28" s="107">
        <v>0</v>
      </c>
      <c r="F28" s="107">
        <v>0</v>
      </c>
      <c r="G28" s="107">
        <v>1</v>
      </c>
      <c r="H28" s="107">
        <v>1</v>
      </c>
      <c r="I28" s="107">
        <v>1</v>
      </c>
      <c r="J28" s="107">
        <v>0</v>
      </c>
      <c r="K28" s="107">
        <v>0</v>
      </c>
      <c r="L28" s="107">
        <v>0</v>
      </c>
      <c r="M28" s="107">
        <v>0</v>
      </c>
      <c r="N28" s="107">
        <v>0</v>
      </c>
      <c r="O28" s="107">
        <v>1</v>
      </c>
      <c r="P28" s="107">
        <v>1</v>
      </c>
      <c r="Q28" s="107">
        <v>1</v>
      </c>
      <c r="R28" s="107">
        <v>0</v>
      </c>
      <c r="S28" s="107">
        <v>0</v>
      </c>
      <c r="T28" s="107">
        <v>0</v>
      </c>
      <c r="U28" s="107">
        <v>0</v>
      </c>
      <c r="V28" s="107">
        <v>0</v>
      </c>
      <c r="W28" s="107">
        <v>0</v>
      </c>
      <c r="X28" s="107">
        <v>0</v>
      </c>
      <c r="Y28" s="107">
        <v>0</v>
      </c>
      <c r="Z28" s="107">
        <v>1</v>
      </c>
      <c r="AA28" s="107">
        <v>0</v>
      </c>
      <c r="AB28" s="107">
        <v>1</v>
      </c>
      <c r="AC28" s="107">
        <v>1</v>
      </c>
      <c r="AD28" s="107">
        <v>0</v>
      </c>
      <c r="AE28" s="107">
        <v>0</v>
      </c>
      <c r="AF28" s="107">
        <v>0</v>
      </c>
      <c r="AG28" s="107">
        <v>0</v>
      </c>
      <c r="AH28" s="107">
        <v>0</v>
      </c>
      <c r="AI28" s="107">
        <v>0</v>
      </c>
      <c r="AJ28" s="107">
        <v>0</v>
      </c>
      <c r="AK28" s="107">
        <v>0</v>
      </c>
      <c r="AL28" s="107">
        <v>0</v>
      </c>
      <c r="AM28" s="107">
        <v>0</v>
      </c>
      <c r="AN28" s="107">
        <v>0</v>
      </c>
      <c r="AO28" s="107">
        <v>0</v>
      </c>
    </row>
    <row r="29" spans="1:41" customFormat="1" x14ac:dyDescent="0.15">
      <c r="A29" s="187" t="s">
        <v>219</v>
      </c>
      <c r="B29" s="107">
        <v>1</v>
      </c>
      <c r="C29" s="107">
        <v>1</v>
      </c>
      <c r="D29" s="107">
        <v>1</v>
      </c>
      <c r="E29" s="107">
        <v>1</v>
      </c>
      <c r="F29" s="107">
        <v>1</v>
      </c>
      <c r="G29" s="107">
        <v>1</v>
      </c>
      <c r="H29" s="107">
        <v>1</v>
      </c>
      <c r="I29" s="107">
        <v>1</v>
      </c>
      <c r="J29" s="107">
        <v>1</v>
      </c>
      <c r="K29" s="107">
        <v>1</v>
      </c>
      <c r="L29" s="107">
        <v>1</v>
      </c>
      <c r="M29" s="107">
        <v>0</v>
      </c>
      <c r="N29" s="107">
        <v>1</v>
      </c>
      <c r="O29" s="107">
        <v>1</v>
      </c>
      <c r="P29" s="107">
        <v>1</v>
      </c>
      <c r="Q29" s="107">
        <v>1</v>
      </c>
      <c r="R29" s="107">
        <v>0</v>
      </c>
      <c r="S29" s="107">
        <v>1</v>
      </c>
      <c r="T29" s="107">
        <v>1</v>
      </c>
      <c r="U29" s="107">
        <v>1</v>
      </c>
      <c r="V29" s="107">
        <v>0</v>
      </c>
      <c r="W29" s="107">
        <v>1</v>
      </c>
      <c r="X29" s="107">
        <v>0</v>
      </c>
      <c r="Y29" s="107">
        <v>0</v>
      </c>
      <c r="Z29" s="107">
        <v>0</v>
      </c>
      <c r="AA29" s="107">
        <v>0</v>
      </c>
      <c r="AB29" s="107">
        <v>1</v>
      </c>
      <c r="AC29" s="107">
        <v>0</v>
      </c>
      <c r="AD29" s="107">
        <v>0</v>
      </c>
      <c r="AE29" s="107">
        <v>0</v>
      </c>
      <c r="AF29" s="107">
        <v>0</v>
      </c>
      <c r="AG29" s="107">
        <v>0</v>
      </c>
      <c r="AH29" s="107">
        <v>0</v>
      </c>
      <c r="AI29" s="107">
        <v>0</v>
      </c>
      <c r="AJ29" s="107">
        <v>0</v>
      </c>
      <c r="AK29" s="107">
        <v>0</v>
      </c>
      <c r="AL29" s="107">
        <v>0</v>
      </c>
      <c r="AM29" s="107">
        <v>0</v>
      </c>
      <c r="AN29" s="107">
        <v>0</v>
      </c>
      <c r="AO29" s="107">
        <v>0</v>
      </c>
    </row>
    <row r="30" spans="1:41" customFormat="1" x14ac:dyDescent="0.15">
      <c r="A30" s="187" t="s">
        <v>220</v>
      </c>
      <c r="B30" s="107">
        <v>0</v>
      </c>
      <c r="C30" s="107">
        <v>0</v>
      </c>
      <c r="D30" s="107">
        <v>0</v>
      </c>
      <c r="E30" s="107">
        <v>1</v>
      </c>
      <c r="F30" s="107">
        <v>1</v>
      </c>
      <c r="G30" s="107">
        <v>0</v>
      </c>
      <c r="H30" s="107">
        <v>0</v>
      </c>
      <c r="I30" s="107">
        <v>1</v>
      </c>
      <c r="J30" s="107">
        <v>0</v>
      </c>
      <c r="K30" s="107">
        <v>0</v>
      </c>
      <c r="L30" s="107">
        <v>0</v>
      </c>
      <c r="M30" s="107">
        <v>0</v>
      </c>
      <c r="N30" s="107">
        <v>1</v>
      </c>
      <c r="O30" s="107">
        <v>0</v>
      </c>
      <c r="P30" s="107">
        <v>0</v>
      </c>
      <c r="Q30" s="107">
        <v>0</v>
      </c>
      <c r="R30" s="107">
        <v>0</v>
      </c>
      <c r="S30" s="107">
        <v>1</v>
      </c>
      <c r="T30" s="107">
        <v>1</v>
      </c>
      <c r="U30" s="107">
        <v>1</v>
      </c>
      <c r="V30" s="107">
        <v>0</v>
      </c>
      <c r="W30" s="107">
        <v>1</v>
      </c>
      <c r="X30" s="107">
        <v>0</v>
      </c>
      <c r="Y30" s="107">
        <v>0</v>
      </c>
      <c r="Z30" s="107">
        <v>1</v>
      </c>
      <c r="AA30" s="107">
        <v>0</v>
      </c>
      <c r="AB30" s="107">
        <v>0</v>
      </c>
      <c r="AC30" s="107">
        <v>0</v>
      </c>
      <c r="AD30" s="107">
        <v>0</v>
      </c>
      <c r="AE30" s="107">
        <v>0</v>
      </c>
      <c r="AF30" s="107">
        <v>0</v>
      </c>
      <c r="AG30" s="107">
        <v>0</v>
      </c>
      <c r="AH30" s="107">
        <v>0</v>
      </c>
      <c r="AI30" s="107">
        <v>0</v>
      </c>
      <c r="AJ30" s="107">
        <v>0</v>
      </c>
      <c r="AK30" s="107">
        <v>0</v>
      </c>
      <c r="AL30" s="107">
        <v>0</v>
      </c>
      <c r="AM30" s="107">
        <v>0</v>
      </c>
      <c r="AN30" s="107">
        <v>0</v>
      </c>
      <c r="AO30" s="107">
        <v>0</v>
      </c>
    </row>
    <row r="31" spans="1:41" customFormat="1" x14ac:dyDescent="0.15">
      <c r="A31" s="187" t="s">
        <v>221</v>
      </c>
      <c r="B31" s="107">
        <v>0</v>
      </c>
      <c r="C31" s="107">
        <v>1</v>
      </c>
      <c r="D31" s="107">
        <v>1</v>
      </c>
      <c r="E31" s="107">
        <v>1</v>
      </c>
      <c r="F31" s="107">
        <v>1</v>
      </c>
      <c r="G31" s="107">
        <v>0</v>
      </c>
      <c r="H31" s="107">
        <v>1</v>
      </c>
      <c r="I31" s="107">
        <v>1</v>
      </c>
      <c r="J31" s="107">
        <v>1</v>
      </c>
      <c r="K31" s="107">
        <v>1</v>
      </c>
      <c r="L31" s="107">
        <v>1</v>
      </c>
      <c r="M31" s="107">
        <v>1</v>
      </c>
      <c r="N31" s="107">
        <v>1</v>
      </c>
      <c r="O31" s="107">
        <v>1</v>
      </c>
      <c r="P31" s="107">
        <v>0</v>
      </c>
      <c r="Q31" s="107">
        <v>1</v>
      </c>
      <c r="R31" s="107">
        <v>0</v>
      </c>
      <c r="S31" s="107">
        <v>1</v>
      </c>
      <c r="T31" s="107">
        <v>1</v>
      </c>
      <c r="U31" s="107">
        <v>1</v>
      </c>
      <c r="V31" s="107">
        <v>1</v>
      </c>
      <c r="W31" s="107">
        <v>1</v>
      </c>
      <c r="X31" s="107">
        <v>0</v>
      </c>
      <c r="Y31" s="107">
        <v>0</v>
      </c>
      <c r="Z31" s="107">
        <v>0</v>
      </c>
      <c r="AA31" s="107">
        <v>0</v>
      </c>
      <c r="AB31" s="107">
        <v>0</v>
      </c>
      <c r="AC31" s="107">
        <v>1</v>
      </c>
      <c r="AD31" s="107">
        <v>1</v>
      </c>
      <c r="AE31" s="107">
        <v>0</v>
      </c>
      <c r="AF31" s="107">
        <v>0</v>
      </c>
      <c r="AG31" s="107">
        <v>0</v>
      </c>
      <c r="AH31" s="107">
        <v>0</v>
      </c>
      <c r="AI31" s="107">
        <v>0</v>
      </c>
      <c r="AJ31" s="107">
        <v>0</v>
      </c>
      <c r="AK31" s="107">
        <v>0</v>
      </c>
      <c r="AL31" s="107">
        <v>0</v>
      </c>
      <c r="AM31" s="107">
        <v>0</v>
      </c>
      <c r="AN31" s="107">
        <v>0</v>
      </c>
      <c r="AO31" s="107">
        <v>0</v>
      </c>
    </row>
    <row r="32" spans="1:41" x14ac:dyDescent="0.15">
      <c r="A32" s="187" t="s">
        <v>222</v>
      </c>
      <c r="B32" s="107">
        <v>0</v>
      </c>
      <c r="C32" s="107">
        <v>1</v>
      </c>
      <c r="D32" s="107">
        <v>1</v>
      </c>
      <c r="E32" s="107">
        <v>1</v>
      </c>
      <c r="F32" s="107">
        <v>1</v>
      </c>
      <c r="G32" s="107">
        <v>1</v>
      </c>
      <c r="H32" s="107">
        <v>1</v>
      </c>
      <c r="I32" s="107">
        <v>1</v>
      </c>
      <c r="J32" s="107">
        <v>1</v>
      </c>
      <c r="K32" s="107">
        <v>1</v>
      </c>
      <c r="L32" s="107">
        <v>1</v>
      </c>
      <c r="M32" s="107">
        <v>1</v>
      </c>
      <c r="N32" s="107">
        <v>1</v>
      </c>
      <c r="O32" s="107">
        <v>1</v>
      </c>
      <c r="P32" s="107">
        <v>1</v>
      </c>
      <c r="Q32" s="107">
        <v>1</v>
      </c>
      <c r="R32" s="107">
        <v>1</v>
      </c>
      <c r="S32" s="107">
        <v>1</v>
      </c>
      <c r="T32" s="107">
        <v>1</v>
      </c>
      <c r="U32" s="107">
        <v>1</v>
      </c>
      <c r="V32" s="107">
        <v>1</v>
      </c>
      <c r="W32" s="107">
        <v>1</v>
      </c>
      <c r="X32" s="107">
        <v>1</v>
      </c>
      <c r="Y32" s="107">
        <v>1</v>
      </c>
      <c r="Z32" s="107">
        <v>0</v>
      </c>
      <c r="AA32" s="107">
        <v>1</v>
      </c>
      <c r="AB32" s="107">
        <v>0</v>
      </c>
      <c r="AC32" s="107">
        <v>0</v>
      </c>
      <c r="AD32" s="107">
        <v>1</v>
      </c>
      <c r="AE32" s="107">
        <v>0</v>
      </c>
      <c r="AF32" s="107">
        <v>0</v>
      </c>
      <c r="AG32" s="107">
        <v>0</v>
      </c>
      <c r="AH32" s="107">
        <v>0</v>
      </c>
      <c r="AI32" s="107">
        <v>0</v>
      </c>
      <c r="AJ32" s="107">
        <v>0</v>
      </c>
      <c r="AK32" s="107">
        <v>0</v>
      </c>
      <c r="AL32" s="107">
        <v>0</v>
      </c>
      <c r="AM32" s="107">
        <v>0</v>
      </c>
      <c r="AN32" s="107">
        <v>0</v>
      </c>
      <c r="AO32" s="107">
        <v>0</v>
      </c>
    </row>
    <row r="33" spans="1:41" x14ac:dyDescent="0.15">
      <c r="A33" s="187" t="s">
        <v>223</v>
      </c>
      <c r="B33" s="107">
        <v>0</v>
      </c>
      <c r="C33" s="107">
        <v>0</v>
      </c>
      <c r="D33" s="107">
        <v>1</v>
      </c>
      <c r="E33" s="107">
        <v>1</v>
      </c>
      <c r="F33" s="107">
        <v>1</v>
      </c>
      <c r="G33" s="107">
        <v>0</v>
      </c>
      <c r="H33" s="107">
        <v>0</v>
      </c>
      <c r="I33" s="107">
        <v>1</v>
      </c>
      <c r="J33" s="107">
        <v>1</v>
      </c>
      <c r="K33" s="107">
        <v>1</v>
      </c>
      <c r="L33" s="107">
        <v>1</v>
      </c>
      <c r="M33" s="107">
        <v>1</v>
      </c>
      <c r="N33" s="107">
        <v>1</v>
      </c>
      <c r="O33" s="107">
        <v>0</v>
      </c>
      <c r="P33" s="107">
        <v>0</v>
      </c>
      <c r="Q33" s="107">
        <v>0</v>
      </c>
      <c r="R33" s="107">
        <v>0</v>
      </c>
      <c r="S33" s="107">
        <v>0</v>
      </c>
      <c r="T33" s="107">
        <v>1</v>
      </c>
      <c r="U33" s="107">
        <v>1</v>
      </c>
      <c r="V33" s="107">
        <v>1</v>
      </c>
      <c r="W33" s="107">
        <v>1</v>
      </c>
      <c r="X33" s="107">
        <v>0</v>
      </c>
      <c r="Y33" s="107">
        <v>1</v>
      </c>
      <c r="Z33" s="107">
        <v>0</v>
      </c>
      <c r="AA33" s="107">
        <v>0</v>
      </c>
      <c r="AB33" s="107">
        <v>0</v>
      </c>
      <c r="AC33" s="107">
        <v>0</v>
      </c>
      <c r="AD33" s="107">
        <v>1</v>
      </c>
      <c r="AE33" s="107">
        <v>1</v>
      </c>
      <c r="AF33" s="107">
        <v>0</v>
      </c>
      <c r="AG33" s="107">
        <v>0</v>
      </c>
      <c r="AH33" s="107">
        <v>0</v>
      </c>
      <c r="AI33" s="107">
        <v>0</v>
      </c>
      <c r="AJ33" s="107">
        <v>0</v>
      </c>
      <c r="AK33" s="107">
        <v>0</v>
      </c>
      <c r="AL33" s="107">
        <v>0</v>
      </c>
      <c r="AM33" s="107">
        <v>0</v>
      </c>
      <c r="AN33" s="107">
        <v>0</v>
      </c>
      <c r="AO33" s="107">
        <v>0</v>
      </c>
    </row>
    <row r="34" spans="1:41" x14ac:dyDescent="0.15">
      <c r="A34" s="187" t="s">
        <v>224</v>
      </c>
      <c r="B34" s="107">
        <v>0</v>
      </c>
      <c r="C34" s="107">
        <v>1</v>
      </c>
      <c r="D34" s="107">
        <v>1</v>
      </c>
      <c r="E34" s="107">
        <v>1</v>
      </c>
      <c r="F34" s="107">
        <v>1</v>
      </c>
      <c r="G34" s="107">
        <v>0</v>
      </c>
      <c r="H34" s="107">
        <v>0</v>
      </c>
      <c r="I34" s="107">
        <v>1</v>
      </c>
      <c r="J34" s="107">
        <v>1</v>
      </c>
      <c r="K34" s="107">
        <v>0</v>
      </c>
      <c r="L34" s="107">
        <v>1</v>
      </c>
      <c r="M34" s="107">
        <v>1</v>
      </c>
      <c r="N34" s="107">
        <v>1</v>
      </c>
      <c r="O34" s="107">
        <v>1</v>
      </c>
      <c r="P34" s="107">
        <v>1</v>
      </c>
      <c r="Q34" s="107">
        <v>1</v>
      </c>
      <c r="R34" s="107">
        <v>0</v>
      </c>
      <c r="S34" s="107">
        <v>0</v>
      </c>
      <c r="T34" s="107">
        <v>1</v>
      </c>
      <c r="U34" s="107">
        <v>1</v>
      </c>
      <c r="V34" s="107">
        <v>1</v>
      </c>
      <c r="W34" s="107">
        <v>1</v>
      </c>
      <c r="X34" s="107">
        <v>1</v>
      </c>
      <c r="Y34" s="107">
        <v>0</v>
      </c>
      <c r="Z34" s="107">
        <v>0</v>
      </c>
      <c r="AA34" s="107">
        <v>0</v>
      </c>
      <c r="AB34" s="107">
        <v>0</v>
      </c>
      <c r="AC34" s="107">
        <v>0</v>
      </c>
      <c r="AD34" s="107">
        <v>1</v>
      </c>
      <c r="AE34" s="107">
        <v>1</v>
      </c>
      <c r="AF34" s="107">
        <v>1</v>
      </c>
      <c r="AG34" s="107">
        <v>0</v>
      </c>
      <c r="AH34" s="107">
        <v>0</v>
      </c>
      <c r="AI34" s="107">
        <v>0</v>
      </c>
      <c r="AJ34" s="107">
        <v>0</v>
      </c>
      <c r="AK34" s="107">
        <v>0</v>
      </c>
      <c r="AL34" s="107">
        <v>0</v>
      </c>
      <c r="AM34" s="107">
        <v>0</v>
      </c>
      <c r="AN34" s="107">
        <v>0</v>
      </c>
      <c r="AO34" s="107">
        <v>0</v>
      </c>
    </row>
    <row r="35" spans="1:41" x14ac:dyDescent="0.15">
      <c r="A35" s="187" t="s">
        <v>225</v>
      </c>
      <c r="B35" s="107">
        <v>0</v>
      </c>
      <c r="C35" s="107">
        <v>1</v>
      </c>
      <c r="D35" s="107">
        <v>1</v>
      </c>
      <c r="E35" s="107">
        <v>1</v>
      </c>
      <c r="F35" s="107">
        <v>1</v>
      </c>
      <c r="G35" s="107">
        <v>0</v>
      </c>
      <c r="H35" s="107">
        <v>0</v>
      </c>
      <c r="I35" s="107">
        <v>1</v>
      </c>
      <c r="J35" s="107">
        <v>1</v>
      </c>
      <c r="K35" s="107">
        <v>0</v>
      </c>
      <c r="L35" s="107">
        <v>1</v>
      </c>
      <c r="M35" s="107">
        <v>1</v>
      </c>
      <c r="N35" s="107">
        <v>1</v>
      </c>
      <c r="O35" s="107">
        <v>1</v>
      </c>
      <c r="P35" s="107">
        <v>0</v>
      </c>
      <c r="Q35" s="107">
        <v>0</v>
      </c>
      <c r="R35" s="107">
        <v>0</v>
      </c>
      <c r="S35" s="107">
        <v>0</v>
      </c>
      <c r="T35" s="107">
        <v>1</v>
      </c>
      <c r="U35" s="107">
        <v>1</v>
      </c>
      <c r="V35" s="107">
        <v>1</v>
      </c>
      <c r="W35" s="107">
        <v>1</v>
      </c>
      <c r="X35" s="107">
        <v>0</v>
      </c>
      <c r="Y35" s="107">
        <v>0</v>
      </c>
      <c r="Z35" s="107">
        <v>0</v>
      </c>
      <c r="AA35" s="107">
        <v>0</v>
      </c>
      <c r="AB35" s="107">
        <v>0</v>
      </c>
      <c r="AC35" s="107">
        <v>0</v>
      </c>
      <c r="AD35" s="107">
        <v>1</v>
      </c>
      <c r="AE35" s="107">
        <v>1</v>
      </c>
      <c r="AF35" s="107">
        <v>0</v>
      </c>
      <c r="AG35" s="107">
        <v>0</v>
      </c>
      <c r="AH35" s="107">
        <v>0</v>
      </c>
      <c r="AI35" s="107">
        <v>0</v>
      </c>
      <c r="AJ35" s="107">
        <v>0</v>
      </c>
      <c r="AK35" s="107">
        <v>0</v>
      </c>
      <c r="AL35" s="107">
        <v>0</v>
      </c>
      <c r="AM35" s="107">
        <v>0</v>
      </c>
      <c r="AN35" s="107">
        <v>0</v>
      </c>
      <c r="AO35" s="107">
        <v>0</v>
      </c>
    </row>
    <row r="36" spans="1:41" x14ac:dyDescent="0.15">
      <c r="A36" s="187" t="s">
        <v>226</v>
      </c>
      <c r="B36" s="107">
        <v>0</v>
      </c>
      <c r="C36" s="107">
        <v>1</v>
      </c>
      <c r="D36" s="107">
        <v>1</v>
      </c>
      <c r="E36" s="107">
        <v>1</v>
      </c>
      <c r="F36" s="107">
        <v>1</v>
      </c>
      <c r="G36" s="107">
        <v>1</v>
      </c>
      <c r="H36" s="107">
        <v>1</v>
      </c>
      <c r="I36" s="107">
        <v>1</v>
      </c>
      <c r="J36" s="107">
        <v>1</v>
      </c>
      <c r="K36" s="107">
        <v>0</v>
      </c>
      <c r="L36" s="107">
        <v>0</v>
      </c>
      <c r="M36" s="107">
        <v>1</v>
      </c>
      <c r="N36" s="107">
        <v>1</v>
      </c>
      <c r="O36" s="107">
        <v>1</v>
      </c>
      <c r="P36" s="107">
        <v>1</v>
      </c>
      <c r="Q36" s="107">
        <v>1</v>
      </c>
      <c r="R36" s="107">
        <v>0</v>
      </c>
      <c r="S36" s="107">
        <v>1</v>
      </c>
      <c r="T36" s="107">
        <v>1</v>
      </c>
      <c r="U36" s="107">
        <v>1</v>
      </c>
      <c r="V36" s="107">
        <v>1</v>
      </c>
      <c r="W36" s="107">
        <v>1</v>
      </c>
      <c r="X36" s="107">
        <v>0</v>
      </c>
      <c r="Y36" s="107">
        <v>1</v>
      </c>
      <c r="Z36" s="107">
        <v>1</v>
      </c>
      <c r="AA36" s="107">
        <v>1</v>
      </c>
      <c r="AB36" s="107">
        <v>0</v>
      </c>
      <c r="AC36" s="107">
        <v>0</v>
      </c>
      <c r="AD36" s="107">
        <v>1</v>
      </c>
      <c r="AE36" s="107">
        <v>1</v>
      </c>
      <c r="AF36" s="107">
        <v>1</v>
      </c>
      <c r="AG36" s="107">
        <v>0</v>
      </c>
      <c r="AH36" s="107">
        <v>0</v>
      </c>
      <c r="AI36" s="107">
        <v>0</v>
      </c>
      <c r="AJ36" s="107">
        <v>0</v>
      </c>
      <c r="AK36" s="107">
        <v>0</v>
      </c>
      <c r="AL36" s="107">
        <v>0</v>
      </c>
      <c r="AM36" s="107">
        <v>0</v>
      </c>
      <c r="AN36" s="107">
        <v>0</v>
      </c>
      <c r="AO36" s="107">
        <v>0</v>
      </c>
    </row>
    <row r="37" spans="1:41" x14ac:dyDescent="0.15">
      <c r="A37" s="187" t="s">
        <v>227</v>
      </c>
      <c r="B37" s="107">
        <v>1</v>
      </c>
      <c r="C37" s="107">
        <v>0</v>
      </c>
      <c r="D37" s="107">
        <v>1</v>
      </c>
      <c r="E37" s="107">
        <v>1</v>
      </c>
      <c r="F37" s="107">
        <v>1</v>
      </c>
      <c r="G37" s="107">
        <v>1</v>
      </c>
      <c r="H37" s="107">
        <v>1</v>
      </c>
      <c r="I37" s="107">
        <v>1</v>
      </c>
      <c r="J37" s="107">
        <v>1</v>
      </c>
      <c r="K37" s="107">
        <v>0</v>
      </c>
      <c r="L37" s="107">
        <v>1</v>
      </c>
      <c r="M37" s="107">
        <v>1</v>
      </c>
      <c r="N37" s="107">
        <v>1</v>
      </c>
      <c r="O37" s="107">
        <v>1</v>
      </c>
      <c r="P37" s="107">
        <v>1</v>
      </c>
      <c r="Q37" s="107">
        <v>1</v>
      </c>
      <c r="R37" s="107">
        <v>1</v>
      </c>
      <c r="S37" s="107">
        <v>1</v>
      </c>
      <c r="T37" s="107">
        <v>1</v>
      </c>
      <c r="U37" s="107">
        <v>1</v>
      </c>
      <c r="V37" s="107">
        <v>1</v>
      </c>
      <c r="W37" s="107">
        <v>1</v>
      </c>
      <c r="X37" s="107">
        <v>1</v>
      </c>
      <c r="Y37" s="107">
        <v>1</v>
      </c>
      <c r="Z37" s="107">
        <v>1</v>
      </c>
      <c r="AA37" s="107">
        <v>1</v>
      </c>
      <c r="AB37" s="107">
        <v>1</v>
      </c>
      <c r="AC37" s="107">
        <v>1</v>
      </c>
      <c r="AD37" s="107">
        <v>1</v>
      </c>
      <c r="AE37" s="107">
        <v>1</v>
      </c>
      <c r="AF37" s="107">
        <v>1</v>
      </c>
      <c r="AG37" s="107">
        <v>0</v>
      </c>
      <c r="AH37" s="107">
        <v>0</v>
      </c>
      <c r="AI37" s="107">
        <v>0</v>
      </c>
      <c r="AJ37" s="107">
        <v>0</v>
      </c>
      <c r="AK37" s="107">
        <v>1</v>
      </c>
      <c r="AL37" s="107">
        <v>0</v>
      </c>
      <c r="AM37" s="107">
        <v>0</v>
      </c>
      <c r="AN37" s="107">
        <v>0</v>
      </c>
      <c r="AO37" s="107">
        <v>0</v>
      </c>
    </row>
    <row r="38" spans="1:41" x14ac:dyDescent="0.15">
      <c r="A38" s="187" t="s">
        <v>228</v>
      </c>
      <c r="B38" s="107">
        <v>1</v>
      </c>
      <c r="C38" s="107">
        <v>0</v>
      </c>
      <c r="D38" s="107">
        <v>0</v>
      </c>
      <c r="E38" s="107">
        <v>1</v>
      </c>
      <c r="F38" s="107">
        <v>1</v>
      </c>
      <c r="G38" s="107">
        <v>1</v>
      </c>
      <c r="H38" s="107">
        <v>1</v>
      </c>
      <c r="I38" s="107">
        <v>1</v>
      </c>
      <c r="J38" s="107">
        <v>0</v>
      </c>
      <c r="K38" s="107">
        <v>0</v>
      </c>
      <c r="L38" s="107">
        <v>0</v>
      </c>
      <c r="M38" s="107">
        <v>0</v>
      </c>
      <c r="N38" s="107">
        <v>1</v>
      </c>
      <c r="O38" s="107">
        <v>1</v>
      </c>
      <c r="P38" s="107">
        <v>1</v>
      </c>
      <c r="Q38" s="107">
        <v>1</v>
      </c>
      <c r="R38" s="107">
        <v>1</v>
      </c>
      <c r="S38" s="107">
        <v>0</v>
      </c>
      <c r="T38" s="107">
        <v>0</v>
      </c>
      <c r="U38" s="107">
        <v>1</v>
      </c>
      <c r="V38" s="107">
        <v>0</v>
      </c>
      <c r="W38" s="107">
        <v>1</v>
      </c>
      <c r="X38" s="107">
        <v>1</v>
      </c>
      <c r="Y38" s="107">
        <v>1</v>
      </c>
      <c r="Z38" s="107">
        <v>0</v>
      </c>
      <c r="AA38" s="107">
        <v>1</v>
      </c>
      <c r="AB38" s="107">
        <v>1</v>
      </c>
      <c r="AC38" s="107">
        <v>1</v>
      </c>
      <c r="AD38" s="107">
        <v>0</v>
      </c>
      <c r="AE38" s="107">
        <v>0</v>
      </c>
      <c r="AF38" s="107">
        <v>1</v>
      </c>
      <c r="AG38" s="107">
        <v>0</v>
      </c>
      <c r="AH38" s="107">
        <v>0</v>
      </c>
      <c r="AI38" s="107">
        <v>0</v>
      </c>
      <c r="AJ38" s="107">
        <v>0</v>
      </c>
      <c r="AK38" s="107">
        <v>1</v>
      </c>
      <c r="AL38" s="107">
        <v>0</v>
      </c>
      <c r="AM38" s="107">
        <v>0</v>
      </c>
      <c r="AN38" s="107">
        <v>0</v>
      </c>
      <c r="AO38" s="107">
        <v>0</v>
      </c>
    </row>
    <row r="39" spans="1:41" x14ac:dyDescent="0.15">
      <c r="A39" s="187" t="s">
        <v>229</v>
      </c>
      <c r="B39" s="107">
        <v>0</v>
      </c>
      <c r="C39" s="107">
        <v>0</v>
      </c>
      <c r="D39" s="107">
        <v>0</v>
      </c>
      <c r="E39" s="107">
        <v>0</v>
      </c>
      <c r="F39" s="107">
        <v>0</v>
      </c>
      <c r="G39" s="107">
        <v>0</v>
      </c>
      <c r="H39" s="107">
        <v>0</v>
      </c>
      <c r="I39" s="107">
        <v>0</v>
      </c>
      <c r="J39" s="107">
        <v>0</v>
      </c>
      <c r="K39" s="107">
        <v>0</v>
      </c>
      <c r="L39" s="107">
        <v>0</v>
      </c>
      <c r="M39" s="107">
        <v>0</v>
      </c>
      <c r="N39" s="107">
        <v>0</v>
      </c>
      <c r="O39" s="107">
        <v>0</v>
      </c>
      <c r="P39" s="107">
        <v>0</v>
      </c>
      <c r="Q39" s="107">
        <v>0</v>
      </c>
      <c r="R39" s="107">
        <v>0</v>
      </c>
      <c r="S39" s="107">
        <v>0</v>
      </c>
      <c r="T39" s="107">
        <v>0</v>
      </c>
      <c r="U39" s="107">
        <v>0</v>
      </c>
      <c r="V39" s="107">
        <v>0</v>
      </c>
      <c r="W39" s="107">
        <v>1</v>
      </c>
      <c r="X39" s="107">
        <v>0</v>
      </c>
      <c r="Y39" s="107">
        <v>0</v>
      </c>
      <c r="Z39" s="107">
        <v>0</v>
      </c>
      <c r="AA39" s="107">
        <v>0</v>
      </c>
      <c r="AB39" s="107">
        <v>0</v>
      </c>
      <c r="AC39" s="107">
        <v>0</v>
      </c>
      <c r="AD39" s="107">
        <v>0</v>
      </c>
      <c r="AE39" s="107">
        <v>0</v>
      </c>
      <c r="AF39" s="107">
        <v>1</v>
      </c>
      <c r="AG39" s="107">
        <v>0</v>
      </c>
      <c r="AH39" s="107">
        <v>0</v>
      </c>
      <c r="AI39" s="107">
        <v>1</v>
      </c>
      <c r="AJ39" s="107">
        <v>0</v>
      </c>
      <c r="AK39" s="107">
        <v>1</v>
      </c>
      <c r="AL39" s="107">
        <v>1</v>
      </c>
      <c r="AM39" s="107">
        <v>0</v>
      </c>
      <c r="AN39" s="107">
        <v>0</v>
      </c>
      <c r="AO39" s="107">
        <v>0</v>
      </c>
    </row>
    <row r="40" spans="1:41" x14ac:dyDescent="0.15">
      <c r="A40" s="187" t="s">
        <v>230</v>
      </c>
      <c r="B40" s="107">
        <v>0</v>
      </c>
      <c r="C40" s="107">
        <v>0</v>
      </c>
      <c r="D40" s="107">
        <v>1</v>
      </c>
      <c r="E40" s="107">
        <v>0</v>
      </c>
      <c r="F40" s="107">
        <v>0</v>
      </c>
      <c r="G40" s="107">
        <v>0</v>
      </c>
      <c r="H40" s="107">
        <v>0</v>
      </c>
      <c r="I40" s="107">
        <v>0</v>
      </c>
      <c r="J40" s="107">
        <v>0</v>
      </c>
      <c r="K40" s="107">
        <v>0</v>
      </c>
      <c r="L40" s="107">
        <v>0</v>
      </c>
      <c r="M40" s="107">
        <v>0</v>
      </c>
      <c r="N40" s="107">
        <v>0</v>
      </c>
      <c r="O40" s="107">
        <v>0</v>
      </c>
      <c r="P40" s="107">
        <v>0</v>
      </c>
      <c r="Q40" s="107">
        <v>0</v>
      </c>
      <c r="R40" s="107">
        <v>0</v>
      </c>
      <c r="S40" s="107">
        <v>0</v>
      </c>
      <c r="T40" s="107">
        <v>0</v>
      </c>
      <c r="U40" s="107">
        <v>1</v>
      </c>
      <c r="V40" s="107">
        <v>0</v>
      </c>
      <c r="W40" s="107">
        <v>0</v>
      </c>
      <c r="X40" s="107">
        <v>0</v>
      </c>
      <c r="Y40" s="107">
        <v>1</v>
      </c>
      <c r="Z40" s="107">
        <v>0</v>
      </c>
      <c r="AA40" s="107">
        <v>0</v>
      </c>
      <c r="AB40" s="107">
        <v>0</v>
      </c>
      <c r="AC40" s="107">
        <v>0</v>
      </c>
      <c r="AD40" s="107">
        <v>1</v>
      </c>
      <c r="AE40" s="107">
        <v>1</v>
      </c>
      <c r="AF40" s="107">
        <v>1</v>
      </c>
      <c r="AG40" s="107">
        <v>1</v>
      </c>
      <c r="AH40" s="107">
        <v>1</v>
      </c>
      <c r="AI40" s="107">
        <v>1</v>
      </c>
      <c r="AJ40" s="107">
        <v>1</v>
      </c>
      <c r="AK40" s="107">
        <v>1</v>
      </c>
      <c r="AL40" s="107">
        <v>0</v>
      </c>
      <c r="AM40" s="107">
        <v>0</v>
      </c>
      <c r="AN40" s="107">
        <v>0</v>
      </c>
      <c r="AO40" s="107">
        <v>0</v>
      </c>
    </row>
    <row r="41" spans="1:41" x14ac:dyDescent="0.15">
      <c r="A41" s="187" t="s">
        <v>231</v>
      </c>
      <c r="B41" s="107">
        <v>0</v>
      </c>
      <c r="C41" s="107">
        <v>0</v>
      </c>
      <c r="D41" s="107">
        <v>0</v>
      </c>
      <c r="E41" s="107">
        <v>0</v>
      </c>
      <c r="F41" s="107">
        <v>0</v>
      </c>
      <c r="G41" s="107">
        <v>0</v>
      </c>
      <c r="H41" s="107">
        <v>0</v>
      </c>
      <c r="I41" s="107">
        <v>0</v>
      </c>
      <c r="J41" s="107">
        <v>0</v>
      </c>
      <c r="K41" s="107">
        <v>0</v>
      </c>
      <c r="L41" s="107">
        <v>0</v>
      </c>
      <c r="M41" s="107">
        <v>0</v>
      </c>
      <c r="N41" s="107">
        <v>0</v>
      </c>
      <c r="O41" s="107">
        <v>0</v>
      </c>
      <c r="P41" s="107">
        <v>0</v>
      </c>
      <c r="Q41" s="107">
        <v>0</v>
      </c>
      <c r="R41" s="107">
        <v>0</v>
      </c>
      <c r="S41" s="107">
        <v>0</v>
      </c>
      <c r="T41" s="107">
        <v>0</v>
      </c>
      <c r="U41" s="107">
        <v>0</v>
      </c>
      <c r="V41" s="107">
        <v>0</v>
      </c>
      <c r="W41" s="107">
        <v>0</v>
      </c>
      <c r="X41" s="107">
        <v>0</v>
      </c>
      <c r="Y41" s="107">
        <v>0</v>
      </c>
      <c r="Z41" s="107">
        <v>0</v>
      </c>
      <c r="AA41" s="107">
        <v>0</v>
      </c>
      <c r="AB41" s="107">
        <v>0</v>
      </c>
      <c r="AC41" s="107">
        <v>0</v>
      </c>
      <c r="AD41" s="107">
        <v>0</v>
      </c>
      <c r="AE41" s="107">
        <v>0</v>
      </c>
      <c r="AF41" s="107">
        <v>0</v>
      </c>
      <c r="AG41" s="107">
        <v>0</v>
      </c>
      <c r="AH41" s="107">
        <v>0</v>
      </c>
      <c r="AI41" s="107">
        <v>0</v>
      </c>
      <c r="AJ41" s="107">
        <v>0</v>
      </c>
      <c r="AK41" s="107">
        <v>0</v>
      </c>
      <c r="AL41" s="107">
        <v>0</v>
      </c>
      <c r="AM41" s="107">
        <v>0</v>
      </c>
      <c r="AN41" s="107">
        <v>0</v>
      </c>
      <c r="AO41" s="107">
        <v>0</v>
      </c>
    </row>
    <row r="42" spans="1:41" x14ac:dyDescent="0.15">
      <c r="A42" s="187" t="s">
        <v>233</v>
      </c>
      <c r="B42" s="107">
        <v>1</v>
      </c>
      <c r="C42" s="107">
        <v>0</v>
      </c>
      <c r="D42" s="107">
        <v>1</v>
      </c>
      <c r="E42" s="107">
        <v>0</v>
      </c>
      <c r="F42" s="107">
        <v>0</v>
      </c>
      <c r="G42" s="107">
        <v>0</v>
      </c>
      <c r="H42" s="107">
        <v>0</v>
      </c>
      <c r="I42" s="107">
        <v>0</v>
      </c>
      <c r="J42" s="107">
        <v>0</v>
      </c>
      <c r="K42" s="107">
        <v>0</v>
      </c>
      <c r="L42" s="107">
        <v>0</v>
      </c>
      <c r="M42" s="107">
        <v>0</v>
      </c>
      <c r="N42" s="107">
        <v>0</v>
      </c>
      <c r="O42" s="107">
        <v>0</v>
      </c>
      <c r="P42" s="107">
        <v>0</v>
      </c>
      <c r="Q42" s="107">
        <v>0</v>
      </c>
      <c r="R42" s="107">
        <v>0</v>
      </c>
      <c r="S42" s="107">
        <v>0</v>
      </c>
      <c r="T42" s="107">
        <v>0</v>
      </c>
      <c r="U42" s="107">
        <v>0</v>
      </c>
      <c r="V42" s="107">
        <v>0</v>
      </c>
      <c r="W42" s="107">
        <v>0</v>
      </c>
      <c r="X42" s="107">
        <v>0</v>
      </c>
      <c r="Y42" s="107">
        <v>0</v>
      </c>
      <c r="Z42" s="107">
        <v>1</v>
      </c>
      <c r="AA42" s="107">
        <v>0</v>
      </c>
      <c r="AB42" s="107">
        <v>0</v>
      </c>
      <c r="AC42" s="107">
        <v>1</v>
      </c>
      <c r="AD42" s="107">
        <v>0</v>
      </c>
      <c r="AE42" s="107">
        <v>0</v>
      </c>
      <c r="AF42" s="107">
        <v>0</v>
      </c>
      <c r="AG42" s="107">
        <v>0</v>
      </c>
      <c r="AH42" s="107">
        <v>0</v>
      </c>
      <c r="AI42" s="107">
        <v>0</v>
      </c>
      <c r="AJ42" s="107">
        <v>0</v>
      </c>
      <c r="AK42" s="107">
        <v>0</v>
      </c>
      <c r="AL42" s="107">
        <v>0</v>
      </c>
      <c r="AM42" s="107">
        <v>0</v>
      </c>
      <c r="AN42" s="107">
        <v>0</v>
      </c>
      <c r="AO42" s="10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90" t="s">
        <v>232</v>
      </c>
    </row>
    <row r="2" spans="1:3" x14ac:dyDescent="0.15">
      <c r="A2">
        <v>1</v>
      </c>
      <c r="B2" s="189" t="s">
        <v>192</v>
      </c>
      <c r="C2">
        <v>0</v>
      </c>
    </row>
    <row r="3" spans="1:3" x14ac:dyDescent="0.15">
      <c r="A3">
        <v>2</v>
      </c>
      <c r="B3" s="189" t="s">
        <v>193</v>
      </c>
      <c r="C3">
        <v>0</v>
      </c>
    </row>
    <row r="4" spans="1:3" x14ac:dyDescent="0.15">
      <c r="A4">
        <v>3</v>
      </c>
      <c r="B4" s="189" t="s">
        <v>194</v>
      </c>
      <c r="C4">
        <v>0</v>
      </c>
    </row>
    <row r="5" spans="1:3" x14ac:dyDescent="0.15">
      <c r="A5">
        <v>4</v>
      </c>
      <c r="B5" s="189" t="s">
        <v>195</v>
      </c>
      <c r="C5">
        <v>0.8</v>
      </c>
    </row>
    <row r="6" spans="1:3" x14ac:dyDescent="0.15">
      <c r="A6">
        <v>5</v>
      </c>
      <c r="B6" s="189" t="s">
        <v>196</v>
      </c>
      <c r="C6">
        <v>0</v>
      </c>
    </row>
    <row r="7" spans="1:3" x14ac:dyDescent="0.15">
      <c r="A7">
        <v>6</v>
      </c>
      <c r="B7" s="189" t="s">
        <v>197</v>
      </c>
      <c r="C7">
        <v>0.8</v>
      </c>
    </row>
    <row r="8" spans="1:3" x14ac:dyDescent="0.15">
      <c r="A8">
        <v>7</v>
      </c>
      <c r="B8" s="189" t="s">
        <v>198</v>
      </c>
      <c r="C8">
        <v>0.8</v>
      </c>
    </row>
    <row r="9" spans="1:3" x14ac:dyDescent="0.15">
      <c r="A9">
        <v>8</v>
      </c>
      <c r="B9" s="189" t="s">
        <v>199</v>
      </c>
      <c r="C9">
        <v>0.8</v>
      </c>
    </row>
    <row r="10" spans="1:3" x14ac:dyDescent="0.15">
      <c r="A10">
        <v>9</v>
      </c>
      <c r="B10" s="189" t="s">
        <v>200</v>
      </c>
      <c r="C10">
        <v>0.8</v>
      </c>
    </row>
    <row r="11" spans="1:3" x14ac:dyDescent="0.15">
      <c r="A11">
        <v>10</v>
      </c>
      <c r="B11" s="189" t="s">
        <v>201</v>
      </c>
      <c r="C11">
        <v>0.8</v>
      </c>
    </row>
    <row r="12" spans="1:3" x14ac:dyDescent="0.15">
      <c r="A12">
        <v>11</v>
      </c>
      <c r="B12" s="189" t="s">
        <v>202</v>
      </c>
      <c r="C12">
        <v>0.8</v>
      </c>
    </row>
    <row r="13" spans="1:3" x14ac:dyDescent="0.15">
      <c r="A13">
        <v>12</v>
      </c>
      <c r="B13" s="189" t="s">
        <v>203</v>
      </c>
      <c r="C13">
        <v>0.8</v>
      </c>
    </row>
    <row r="14" spans="1:3" x14ac:dyDescent="0.15">
      <c r="A14">
        <v>13</v>
      </c>
      <c r="B14" s="189" t="s">
        <v>204</v>
      </c>
      <c r="C14">
        <v>0.8</v>
      </c>
    </row>
    <row r="15" spans="1:3" x14ac:dyDescent="0.15">
      <c r="A15">
        <v>14</v>
      </c>
      <c r="B15" s="189" t="s">
        <v>205</v>
      </c>
      <c r="C15">
        <v>0.8</v>
      </c>
    </row>
    <row r="16" spans="1:3" x14ac:dyDescent="0.15">
      <c r="A16">
        <v>15</v>
      </c>
      <c r="B16" s="189" t="s">
        <v>206</v>
      </c>
      <c r="C16">
        <v>0.8</v>
      </c>
    </row>
    <row r="17" spans="1:3" x14ac:dyDescent="0.15">
      <c r="A17">
        <v>16</v>
      </c>
      <c r="B17" s="189" t="s">
        <v>207</v>
      </c>
      <c r="C17">
        <v>0.8</v>
      </c>
    </row>
    <row r="18" spans="1:3" x14ac:dyDescent="0.15">
      <c r="A18">
        <v>17</v>
      </c>
      <c r="B18" s="189" t="s">
        <v>208</v>
      </c>
      <c r="C18">
        <v>0.8</v>
      </c>
    </row>
    <row r="19" spans="1:3" x14ac:dyDescent="0.15">
      <c r="A19">
        <v>18</v>
      </c>
      <c r="B19" s="189" t="s">
        <v>209</v>
      </c>
      <c r="C19">
        <v>0.8</v>
      </c>
    </row>
    <row r="20" spans="1:3" x14ac:dyDescent="0.15">
      <c r="A20">
        <v>19</v>
      </c>
      <c r="B20" s="189" t="s">
        <v>210</v>
      </c>
      <c r="C20">
        <v>0</v>
      </c>
    </row>
    <row r="21" spans="1:3" x14ac:dyDescent="0.15">
      <c r="A21">
        <v>20</v>
      </c>
      <c r="B21" s="189" t="s">
        <v>211</v>
      </c>
      <c r="C21">
        <v>0.8</v>
      </c>
    </row>
    <row r="22" spans="1:3" x14ac:dyDescent="0.15">
      <c r="A22">
        <v>21</v>
      </c>
      <c r="B22" s="189" t="s">
        <v>212</v>
      </c>
      <c r="C22">
        <v>0</v>
      </c>
    </row>
    <row r="23" spans="1:3" x14ac:dyDescent="0.15">
      <c r="A23">
        <v>22</v>
      </c>
      <c r="B23" s="189" t="s">
        <v>213</v>
      </c>
      <c r="C23">
        <v>0</v>
      </c>
    </row>
    <row r="24" spans="1:3" x14ac:dyDescent="0.15">
      <c r="A24">
        <v>23</v>
      </c>
      <c r="B24" s="189" t="s">
        <v>214</v>
      </c>
      <c r="C24">
        <v>0</v>
      </c>
    </row>
    <row r="25" spans="1:3" x14ac:dyDescent="0.15">
      <c r="A25">
        <v>24</v>
      </c>
      <c r="B25" s="189" t="s">
        <v>215</v>
      </c>
      <c r="C25">
        <v>0</v>
      </c>
    </row>
    <row r="26" spans="1:3" x14ac:dyDescent="0.15">
      <c r="A26">
        <v>25</v>
      </c>
      <c r="B26" s="189" t="s">
        <v>216</v>
      </c>
      <c r="C26">
        <v>0.8</v>
      </c>
    </row>
    <row r="27" spans="1:3" x14ac:dyDescent="0.15">
      <c r="A27">
        <v>26</v>
      </c>
      <c r="B27" s="189" t="s">
        <v>217</v>
      </c>
      <c r="C27">
        <v>0.8</v>
      </c>
    </row>
    <row r="28" spans="1:3" x14ac:dyDescent="0.15">
      <c r="A28">
        <v>27</v>
      </c>
      <c r="B28" s="189" t="s">
        <v>218</v>
      </c>
      <c r="C28">
        <v>0</v>
      </c>
    </row>
    <row r="29" spans="1:3" x14ac:dyDescent="0.15">
      <c r="A29">
        <v>28</v>
      </c>
      <c r="B29" s="189" t="s">
        <v>219</v>
      </c>
      <c r="C29">
        <v>0.8</v>
      </c>
    </row>
    <row r="30" spans="1:3" x14ac:dyDescent="0.15">
      <c r="A30">
        <v>29</v>
      </c>
      <c r="B30" s="189" t="s">
        <v>220</v>
      </c>
      <c r="C30">
        <v>0.8</v>
      </c>
    </row>
    <row r="31" spans="1:3" x14ac:dyDescent="0.15">
      <c r="A31">
        <v>30</v>
      </c>
      <c r="B31" s="189" t="s">
        <v>221</v>
      </c>
      <c r="C31">
        <v>0.8</v>
      </c>
    </row>
    <row r="32" spans="1:3" x14ac:dyDescent="0.15">
      <c r="A32">
        <v>31</v>
      </c>
      <c r="B32" s="189" t="s">
        <v>222</v>
      </c>
      <c r="C32">
        <v>0.8</v>
      </c>
    </row>
    <row r="33" spans="1:3" x14ac:dyDescent="0.15">
      <c r="A33">
        <v>32</v>
      </c>
      <c r="B33" s="189" t="s">
        <v>223</v>
      </c>
      <c r="C33">
        <v>0.8</v>
      </c>
    </row>
    <row r="34" spans="1:3" x14ac:dyDescent="0.15">
      <c r="A34">
        <v>33</v>
      </c>
      <c r="B34" s="189" t="s">
        <v>224</v>
      </c>
      <c r="C34">
        <v>0</v>
      </c>
    </row>
    <row r="35" spans="1:3" x14ac:dyDescent="0.15">
      <c r="A35">
        <v>34</v>
      </c>
      <c r="B35" s="189" t="s">
        <v>225</v>
      </c>
      <c r="C35">
        <v>0.8</v>
      </c>
    </row>
    <row r="36" spans="1:3" x14ac:dyDescent="0.15">
      <c r="A36">
        <v>35</v>
      </c>
      <c r="B36" s="189" t="s">
        <v>226</v>
      </c>
      <c r="C36">
        <v>0</v>
      </c>
    </row>
    <row r="37" spans="1:3" x14ac:dyDescent="0.15">
      <c r="A37">
        <v>36</v>
      </c>
      <c r="B37" s="189" t="s">
        <v>227</v>
      </c>
      <c r="C37">
        <v>0</v>
      </c>
    </row>
    <row r="38" spans="1:3" x14ac:dyDescent="0.15">
      <c r="A38">
        <v>37</v>
      </c>
      <c r="B38" s="189" t="s">
        <v>228</v>
      </c>
      <c r="C38">
        <v>0</v>
      </c>
    </row>
    <row r="39" spans="1:3" x14ac:dyDescent="0.15">
      <c r="A39">
        <v>38</v>
      </c>
      <c r="B39" s="189" t="s">
        <v>229</v>
      </c>
      <c r="C39">
        <v>0</v>
      </c>
    </row>
    <row r="40" spans="1:3" x14ac:dyDescent="0.15">
      <c r="A40">
        <v>39</v>
      </c>
      <c r="B40" s="189" t="s">
        <v>230</v>
      </c>
      <c r="C40">
        <v>0</v>
      </c>
    </row>
    <row r="41" spans="1:3" x14ac:dyDescent="0.15">
      <c r="A41">
        <v>40</v>
      </c>
      <c r="B41" s="189" t="s">
        <v>231</v>
      </c>
      <c r="C4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41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6640625" bestFit="1" customWidth="1"/>
    <col min="3" max="3" width="3.83203125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92" t="s">
        <v>232</v>
      </c>
    </row>
    <row r="2" spans="1:3" x14ac:dyDescent="0.15">
      <c r="A2">
        <v>1</v>
      </c>
      <c r="B2" s="191" t="s">
        <v>192</v>
      </c>
      <c r="C2">
        <v>0</v>
      </c>
    </row>
    <row r="3" spans="1:3" x14ac:dyDescent="0.15">
      <c r="A3">
        <v>2</v>
      </c>
      <c r="B3" s="191" t="s">
        <v>193</v>
      </c>
      <c r="C3">
        <v>0</v>
      </c>
    </row>
    <row r="4" spans="1:3" x14ac:dyDescent="0.15">
      <c r="A4">
        <v>3</v>
      </c>
      <c r="B4" s="191" t="s">
        <v>194</v>
      </c>
      <c r="C4">
        <v>0</v>
      </c>
    </row>
    <row r="5" spans="1:3" x14ac:dyDescent="0.15">
      <c r="A5">
        <v>4</v>
      </c>
      <c r="B5" s="191" t="s">
        <v>195</v>
      </c>
      <c r="C5">
        <v>0.8</v>
      </c>
    </row>
    <row r="6" spans="1:3" x14ac:dyDescent="0.15">
      <c r="A6">
        <v>5</v>
      </c>
      <c r="B6" s="191" t="s">
        <v>196</v>
      </c>
      <c r="C6">
        <v>0</v>
      </c>
    </row>
    <row r="7" spans="1:3" x14ac:dyDescent="0.15">
      <c r="A7">
        <v>6</v>
      </c>
      <c r="B7" s="191" t="s">
        <v>197</v>
      </c>
      <c r="C7">
        <v>0.8</v>
      </c>
    </row>
    <row r="8" spans="1:3" x14ac:dyDescent="0.15">
      <c r="A8">
        <v>7</v>
      </c>
      <c r="B8" s="191" t="s">
        <v>198</v>
      </c>
      <c r="C8">
        <v>0.8</v>
      </c>
    </row>
    <row r="9" spans="1:3" x14ac:dyDescent="0.15">
      <c r="A9">
        <v>8</v>
      </c>
      <c r="B9" s="191" t="s">
        <v>199</v>
      </c>
      <c r="C9">
        <v>0.8</v>
      </c>
    </row>
    <row r="10" spans="1:3" x14ac:dyDescent="0.15">
      <c r="A10">
        <v>9</v>
      </c>
      <c r="B10" s="191" t="s">
        <v>200</v>
      </c>
      <c r="C10">
        <v>0.8</v>
      </c>
    </row>
    <row r="11" spans="1:3" x14ac:dyDescent="0.15">
      <c r="A11">
        <v>10</v>
      </c>
      <c r="B11" s="191" t="s">
        <v>201</v>
      </c>
      <c r="C11">
        <v>0.8</v>
      </c>
    </row>
    <row r="12" spans="1:3" x14ac:dyDescent="0.15">
      <c r="A12">
        <v>11</v>
      </c>
      <c r="B12" s="191" t="s">
        <v>202</v>
      </c>
      <c r="C12">
        <v>0.8</v>
      </c>
    </row>
    <row r="13" spans="1:3" x14ac:dyDescent="0.15">
      <c r="A13">
        <v>12</v>
      </c>
      <c r="B13" s="191" t="s">
        <v>203</v>
      </c>
      <c r="C13">
        <v>0.8</v>
      </c>
    </row>
    <row r="14" spans="1:3" x14ac:dyDescent="0.15">
      <c r="A14">
        <v>13</v>
      </c>
      <c r="B14" s="191" t="s">
        <v>204</v>
      </c>
      <c r="C14">
        <v>0.8</v>
      </c>
    </row>
    <row r="15" spans="1:3" x14ac:dyDescent="0.15">
      <c r="A15">
        <v>14</v>
      </c>
      <c r="B15" s="191" t="s">
        <v>205</v>
      </c>
      <c r="C15">
        <v>0.8</v>
      </c>
    </row>
    <row r="16" spans="1:3" x14ac:dyDescent="0.15">
      <c r="A16">
        <v>15</v>
      </c>
      <c r="B16" s="191" t="s">
        <v>206</v>
      </c>
      <c r="C16">
        <v>0.8</v>
      </c>
    </row>
    <row r="17" spans="1:3" x14ac:dyDescent="0.15">
      <c r="A17">
        <v>16</v>
      </c>
      <c r="B17" s="191" t="s">
        <v>207</v>
      </c>
      <c r="C17">
        <v>0.8</v>
      </c>
    </row>
    <row r="18" spans="1:3" x14ac:dyDescent="0.15">
      <c r="A18">
        <v>17</v>
      </c>
      <c r="B18" s="191" t="s">
        <v>208</v>
      </c>
      <c r="C18">
        <v>0.8</v>
      </c>
    </row>
    <row r="19" spans="1:3" x14ac:dyDescent="0.15">
      <c r="A19">
        <v>18</v>
      </c>
      <c r="B19" s="191" t="s">
        <v>209</v>
      </c>
      <c r="C19">
        <v>0.8</v>
      </c>
    </row>
    <row r="20" spans="1:3" x14ac:dyDescent="0.15">
      <c r="A20">
        <v>19</v>
      </c>
      <c r="B20" s="191" t="s">
        <v>210</v>
      </c>
      <c r="C20">
        <v>0</v>
      </c>
    </row>
    <row r="21" spans="1:3" x14ac:dyDescent="0.15">
      <c r="A21">
        <v>20</v>
      </c>
      <c r="B21" s="191" t="s">
        <v>211</v>
      </c>
      <c r="C21">
        <v>0.8</v>
      </c>
    </row>
    <row r="22" spans="1:3" x14ac:dyDescent="0.15">
      <c r="A22">
        <v>21</v>
      </c>
      <c r="B22" s="191" t="s">
        <v>212</v>
      </c>
      <c r="C22">
        <v>0</v>
      </c>
    </row>
    <row r="23" spans="1:3" x14ac:dyDescent="0.15">
      <c r="A23">
        <v>22</v>
      </c>
      <c r="B23" s="191" t="s">
        <v>213</v>
      </c>
      <c r="C23">
        <v>0</v>
      </c>
    </row>
    <row r="24" spans="1:3" x14ac:dyDescent="0.15">
      <c r="A24">
        <v>23</v>
      </c>
      <c r="B24" s="191" t="s">
        <v>214</v>
      </c>
      <c r="C24">
        <v>0</v>
      </c>
    </row>
    <row r="25" spans="1:3" x14ac:dyDescent="0.15">
      <c r="A25">
        <v>24</v>
      </c>
      <c r="B25" s="191" t="s">
        <v>215</v>
      </c>
      <c r="C25">
        <v>0</v>
      </c>
    </row>
    <row r="26" spans="1:3" x14ac:dyDescent="0.15">
      <c r="A26">
        <v>25</v>
      </c>
      <c r="B26" s="191" t="s">
        <v>216</v>
      </c>
      <c r="C26">
        <v>0.8</v>
      </c>
    </row>
    <row r="27" spans="1:3" x14ac:dyDescent="0.15">
      <c r="A27">
        <v>26</v>
      </c>
      <c r="B27" s="191" t="s">
        <v>217</v>
      </c>
      <c r="C27">
        <v>0.8</v>
      </c>
    </row>
    <row r="28" spans="1:3" x14ac:dyDescent="0.15">
      <c r="A28">
        <v>27</v>
      </c>
      <c r="B28" s="191" t="s">
        <v>218</v>
      </c>
      <c r="C28">
        <v>0</v>
      </c>
    </row>
    <row r="29" spans="1:3" x14ac:dyDescent="0.15">
      <c r="A29">
        <v>28</v>
      </c>
      <c r="B29" s="191" t="s">
        <v>219</v>
      </c>
      <c r="C29">
        <v>0.8</v>
      </c>
    </row>
    <row r="30" spans="1:3" x14ac:dyDescent="0.15">
      <c r="A30">
        <v>29</v>
      </c>
      <c r="B30" s="191" t="s">
        <v>220</v>
      </c>
      <c r="C30">
        <v>0.8</v>
      </c>
    </row>
    <row r="31" spans="1:3" x14ac:dyDescent="0.15">
      <c r="A31">
        <v>30</v>
      </c>
      <c r="B31" s="191" t="s">
        <v>221</v>
      </c>
      <c r="C31">
        <v>0.8</v>
      </c>
    </row>
    <row r="32" spans="1:3" x14ac:dyDescent="0.15">
      <c r="A32">
        <v>31</v>
      </c>
      <c r="B32" s="191" t="s">
        <v>222</v>
      </c>
      <c r="C32">
        <v>0.8</v>
      </c>
    </row>
    <row r="33" spans="1:3" x14ac:dyDescent="0.15">
      <c r="A33">
        <v>32</v>
      </c>
      <c r="B33" s="191" t="s">
        <v>223</v>
      </c>
      <c r="C33">
        <v>0.8</v>
      </c>
    </row>
    <row r="34" spans="1:3" x14ac:dyDescent="0.15">
      <c r="A34">
        <v>33</v>
      </c>
      <c r="B34" s="191" t="s">
        <v>224</v>
      </c>
      <c r="C34">
        <v>0</v>
      </c>
    </row>
    <row r="35" spans="1:3" x14ac:dyDescent="0.15">
      <c r="A35">
        <v>34</v>
      </c>
      <c r="B35" s="191" t="s">
        <v>225</v>
      </c>
      <c r="C35">
        <v>0.8</v>
      </c>
    </row>
    <row r="36" spans="1:3" x14ac:dyDescent="0.15">
      <c r="A36">
        <v>35</v>
      </c>
      <c r="B36" s="191" t="s">
        <v>226</v>
      </c>
      <c r="C36">
        <v>0</v>
      </c>
    </row>
    <row r="37" spans="1:3" x14ac:dyDescent="0.15">
      <c r="A37">
        <v>36</v>
      </c>
      <c r="B37" s="191" t="s">
        <v>227</v>
      </c>
      <c r="C37">
        <v>0</v>
      </c>
    </row>
    <row r="38" spans="1:3" x14ac:dyDescent="0.15">
      <c r="A38">
        <v>37</v>
      </c>
      <c r="B38" s="191" t="s">
        <v>228</v>
      </c>
      <c r="C38">
        <v>0</v>
      </c>
    </row>
    <row r="39" spans="1:3" x14ac:dyDescent="0.15">
      <c r="A39">
        <v>38</v>
      </c>
      <c r="B39" s="191" t="s">
        <v>229</v>
      </c>
      <c r="C39">
        <v>0</v>
      </c>
    </row>
    <row r="40" spans="1:3" x14ac:dyDescent="0.15">
      <c r="A40">
        <v>39</v>
      </c>
      <c r="B40" s="191" t="s">
        <v>230</v>
      </c>
      <c r="C40">
        <v>0</v>
      </c>
    </row>
    <row r="41" spans="1:3" x14ac:dyDescent="0.15">
      <c r="A41">
        <v>40</v>
      </c>
      <c r="B41" s="191" t="s">
        <v>231</v>
      </c>
      <c r="C4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5" sqref="K5"/>
    </sheetView>
  </sheetViews>
  <sheetFormatPr baseColWidth="10" defaultColWidth="8.83203125" defaultRowHeight="15" customHeight="1" x14ac:dyDescent="0.15"/>
  <cols>
    <col min="1" max="1" width="8.83203125" style="82"/>
    <col min="2" max="2" width="41.83203125" style="82" bestFit="1" customWidth="1"/>
    <col min="3" max="3" width="9.33203125" style="82" bestFit="1" customWidth="1"/>
    <col min="4" max="4" width="13" style="82" bestFit="1" customWidth="1"/>
    <col min="5" max="6" width="9.33203125" style="82" bestFit="1" customWidth="1"/>
    <col min="7" max="7" width="9.33203125" style="98" bestFit="1" customWidth="1"/>
    <col min="8" max="8" width="9.33203125" style="82" bestFit="1" customWidth="1"/>
    <col min="9" max="9" width="11" style="82" customWidth="1"/>
    <col min="10" max="10" width="8.83203125" style="82"/>
    <col min="15" max="16384" width="8.83203125" style="82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4" t="s">
        <v>14</v>
      </c>
      <c r="H1" s="1" t="s">
        <v>26</v>
      </c>
      <c r="I1" s="1" t="s">
        <v>24</v>
      </c>
    </row>
    <row r="2" spans="1:10" ht="15" customHeight="1" x14ac:dyDescent="0.15">
      <c r="A2" s="144">
        <v>1</v>
      </c>
      <c r="B2" s="144" t="s">
        <v>192</v>
      </c>
      <c r="C2" s="8">
        <v>3.7081911563873291</v>
      </c>
      <c r="D2" s="9">
        <v>0.26120001077651978</v>
      </c>
      <c r="E2" s="9">
        <v>3.9999999105930328E-2</v>
      </c>
      <c r="F2" s="9">
        <v>10.170000076293945</v>
      </c>
      <c r="G2" s="7">
        <v>0</v>
      </c>
      <c r="H2" s="9">
        <v>3.9331363514065742E-3</v>
      </c>
      <c r="I2">
        <v>0</v>
      </c>
      <c r="J2"/>
    </row>
    <row r="3" spans="1:10" ht="15" customHeight="1" x14ac:dyDescent="0.15">
      <c r="A3" s="145">
        <v>2</v>
      </c>
      <c r="B3" s="145" t="s">
        <v>193</v>
      </c>
      <c r="C3" s="8">
        <v>4.3564453125</v>
      </c>
      <c r="D3" s="9">
        <v>0.14200000464916229</v>
      </c>
      <c r="E3" s="9">
        <v>0.12399999797344208</v>
      </c>
      <c r="F3" s="9">
        <v>11.800000190734863</v>
      </c>
      <c r="G3" s="9">
        <v>0</v>
      </c>
      <c r="H3" s="9">
        <v>1.0508473962545395E-2</v>
      </c>
      <c r="I3">
        <v>0</v>
      </c>
      <c r="J3"/>
    </row>
    <row r="4" spans="1:10" ht="15" customHeight="1" x14ac:dyDescent="0.15">
      <c r="A4" s="146">
        <v>3</v>
      </c>
      <c r="B4" s="146" t="s">
        <v>194</v>
      </c>
      <c r="C4" s="8">
        <v>3.7901933193206787</v>
      </c>
      <c r="D4" s="9">
        <v>1.2000000104308128E-2</v>
      </c>
      <c r="E4" s="9">
        <v>0.25</v>
      </c>
      <c r="F4" s="9">
        <v>55</v>
      </c>
      <c r="G4" s="9">
        <v>0.24341279268264771</v>
      </c>
      <c r="H4" s="9">
        <v>4.5454544015228748E-3</v>
      </c>
      <c r="I4">
        <v>0</v>
      </c>
      <c r="J4"/>
    </row>
    <row r="5" spans="1:10" ht="15" customHeight="1" x14ac:dyDescent="0.15">
      <c r="A5" s="147">
        <v>4</v>
      </c>
      <c r="B5" s="147" t="s">
        <v>195</v>
      </c>
      <c r="C5" s="8">
        <v>4.0122370719909668</v>
      </c>
      <c r="D5" s="9">
        <v>7.2999998927116394E-2</v>
      </c>
      <c r="E5" s="9">
        <v>0.5</v>
      </c>
      <c r="F5" s="9">
        <v>1.9500000476837158</v>
      </c>
      <c r="G5" s="9">
        <v>0.12414192408323288</v>
      </c>
      <c r="H5" s="9">
        <v>0.25641024112701416</v>
      </c>
      <c r="I5">
        <v>2.6799999177455902E-3</v>
      </c>
      <c r="J5"/>
    </row>
    <row r="6" spans="1:10" ht="15" customHeight="1" x14ac:dyDescent="0.15">
      <c r="A6" s="148">
        <v>5</v>
      </c>
      <c r="B6" s="148" t="s">
        <v>196</v>
      </c>
      <c r="C6" s="8">
        <v>3.64096999168396</v>
      </c>
      <c r="D6" s="9">
        <v>9.4999998807907104E-2</v>
      </c>
      <c r="E6" s="9">
        <v>1.3999999761581421</v>
      </c>
      <c r="F6" s="9">
        <v>5</v>
      </c>
      <c r="G6" s="9">
        <v>0.97242629528045654</v>
      </c>
      <c r="H6" s="9">
        <v>0.2800000011920929</v>
      </c>
      <c r="I6">
        <v>0</v>
      </c>
      <c r="J6"/>
    </row>
    <row r="7" spans="1:10" ht="15" customHeight="1" x14ac:dyDescent="0.15">
      <c r="A7" s="149">
        <v>6</v>
      </c>
      <c r="B7" s="149" t="s">
        <v>197</v>
      </c>
      <c r="C7" s="8">
        <v>4.1042747497558594</v>
      </c>
      <c r="D7" s="9">
        <v>0.32916483283042908</v>
      </c>
      <c r="E7" s="9">
        <v>0.93436998128890991</v>
      </c>
      <c r="F7" s="9">
        <v>5.5100002288818359</v>
      </c>
      <c r="G7" s="9">
        <v>0.31618645787239075</v>
      </c>
      <c r="H7" s="9">
        <v>0.16957712173461914</v>
      </c>
      <c r="I7">
        <v>6.0049999505281448E-2</v>
      </c>
      <c r="J7"/>
    </row>
    <row r="8" spans="1:10" ht="15" customHeight="1" x14ac:dyDescent="0.15">
      <c r="A8" s="150">
        <v>7</v>
      </c>
      <c r="B8" s="150" t="s">
        <v>198</v>
      </c>
      <c r="C8" s="8">
        <v>3.5911450386047363</v>
      </c>
      <c r="D8" s="9">
        <v>2.2300000190734863</v>
      </c>
      <c r="E8" s="9">
        <v>1.0694600343704224</v>
      </c>
      <c r="F8" s="9">
        <v>5.8000001907348633</v>
      </c>
      <c r="G8" s="9">
        <v>0.3219551146030426</v>
      </c>
      <c r="H8" s="9">
        <v>0.18438965082168579</v>
      </c>
      <c r="I8">
        <v>0.15261000394821167</v>
      </c>
      <c r="J8"/>
    </row>
    <row r="9" spans="1:10" ht="15" customHeight="1" x14ac:dyDescent="0.15">
      <c r="A9" s="151">
        <v>8</v>
      </c>
      <c r="B9" s="151" t="s">
        <v>199</v>
      </c>
      <c r="C9" s="8">
        <v>3.2648937702178955</v>
      </c>
      <c r="D9" s="9">
        <v>0.49500000476837158</v>
      </c>
      <c r="E9" s="9">
        <v>0.55000001192092896</v>
      </c>
      <c r="F9" s="9">
        <v>4</v>
      </c>
      <c r="G9" s="9">
        <v>0.96164315938949585</v>
      </c>
      <c r="H9" s="9">
        <v>0.13750000298023224</v>
      </c>
      <c r="I9">
        <v>1.230000052601099E-3</v>
      </c>
      <c r="J9"/>
    </row>
    <row r="10" spans="1:10" ht="15" customHeight="1" x14ac:dyDescent="0.15">
      <c r="A10" s="152">
        <v>9</v>
      </c>
      <c r="B10" s="152" t="s">
        <v>200</v>
      </c>
      <c r="C10" s="8">
        <v>3.4521453380584717</v>
      </c>
      <c r="D10" s="9">
        <v>0.60399997234344482</v>
      </c>
      <c r="E10" s="9">
        <v>0.20999999344348907</v>
      </c>
      <c r="F10" s="9">
        <v>1.2000000476837158</v>
      </c>
      <c r="G10" s="9">
        <v>0.98970329761505127</v>
      </c>
      <c r="H10" s="9">
        <v>0.17499998211860657</v>
      </c>
      <c r="I10">
        <v>5.1799998618662357E-3</v>
      </c>
      <c r="J10"/>
    </row>
    <row r="11" spans="1:10" ht="15" customHeight="1" x14ac:dyDescent="0.15">
      <c r="A11" s="153">
        <v>10</v>
      </c>
      <c r="B11" s="153" t="s">
        <v>201</v>
      </c>
      <c r="C11" s="8">
        <v>4.2965631484985352</v>
      </c>
      <c r="D11" s="9">
        <v>1.0999999940395355E-2</v>
      </c>
      <c r="E11" s="9">
        <v>0.5</v>
      </c>
      <c r="F11" s="9">
        <v>3.3333332538604736</v>
      </c>
      <c r="G11" s="9">
        <v>0.58751583099365234</v>
      </c>
      <c r="H11" s="9">
        <v>0.15000000596046448</v>
      </c>
      <c r="I11">
        <v>3.2313370611518621E-3</v>
      </c>
      <c r="J11"/>
    </row>
    <row r="12" spans="1:10" ht="15" customHeight="1" x14ac:dyDescent="0.15">
      <c r="A12" s="154">
        <v>11</v>
      </c>
      <c r="B12" s="154" t="s">
        <v>202</v>
      </c>
      <c r="C12" s="8">
        <v>4.0146312713623047</v>
      </c>
      <c r="D12" s="9">
        <v>0.10100000351667404</v>
      </c>
      <c r="E12" s="9">
        <v>0.46000000834465027</v>
      </c>
      <c r="F12" s="9">
        <v>2.75</v>
      </c>
      <c r="G12" s="9">
        <v>2.8960971161723137E-2</v>
      </c>
      <c r="H12" s="9">
        <v>0.16727273166179657</v>
      </c>
      <c r="I12">
        <v>2.0075100474059582E-4</v>
      </c>
      <c r="J12"/>
    </row>
    <row r="13" spans="1:10" ht="15" customHeight="1" x14ac:dyDescent="0.15">
      <c r="A13" s="155">
        <v>12</v>
      </c>
      <c r="B13" s="155" t="s">
        <v>203</v>
      </c>
      <c r="C13" s="8">
        <v>3.2764904499053955</v>
      </c>
      <c r="D13" s="9">
        <v>0.6679999828338623</v>
      </c>
      <c r="E13" s="9">
        <v>0.31000000238418579</v>
      </c>
      <c r="F13" s="9">
        <v>2.7000000476837158</v>
      </c>
      <c r="G13" s="9">
        <v>0.88504600524902344</v>
      </c>
      <c r="H13" s="9">
        <v>0.11481481045484543</v>
      </c>
      <c r="I13">
        <v>5.8100000023841858E-3</v>
      </c>
      <c r="J13"/>
    </row>
    <row r="14" spans="1:10" ht="15" customHeight="1" x14ac:dyDescent="0.15">
      <c r="A14" s="156">
        <v>13</v>
      </c>
      <c r="B14" s="156" t="s">
        <v>204</v>
      </c>
      <c r="C14" s="8">
        <v>3.4717097282409668</v>
      </c>
      <c r="D14" s="9">
        <v>9.7999997437000275E-2</v>
      </c>
      <c r="E14" s="9">
        <v>0.20000000298023224</v>
      </c>
      <c r="F14" s="9">
        <v>1.8799999952316284</v>
      </c>
      <c r="G14" s="9">
        <v>0.93990242481231689</v>
      </c>
      <c r="H14" s="9">
        <v>0.10638298094272614</v>
      </c>
      <c r="I14">
        <v>1.0250000283122063E-2</v>
      </c>
      <c r="J14"/>
    </row>
    <row r="15" spans="1:10" ht="15" customHeight="1" x14ac:dyDescent="0.15">
      <c r="A15" s="157">
        <v>14</v>
      </c>
      <c r="B15" s="157" t="s">
        <v>205</v>
      </c>
      <c r="C15" s="8">
        <v>4.0523419380187988</v>
      </c>
      <c r="D15" s="9">
        <v>0.10461750626564026</v>
      </c>
      <c r="E15" s="9">
        <v>0.20999999344348907</v>
      </c>
      <c r="F15" s="9">
        <v>2</v>
      </c>
      <c r="G15" s="9">
        <v>0.13880160450935364</v>
      </c>
      <c r="H15" s="9">
        <v>0.10499999672174454</v>
      </c>
      <c r="I15">
        <v>4.2999998549930751E-4</v>
      </c>
      <c r="J15"/>
    </row>
    <row r="16" spans="1:10" ht="15" customHeight="1" x14ac:dyDescent="0.15">
      <c r="A16" s="158">
        <v>15</v>
      </c>
      <c r="B16" s="158" t="s">
        <v>206</v>
      </c>
      <c r="C16" s="8">
        <v>3.4357454776763916</v>
      </c>
      <c r="D16" s="9">
        <v>1.3999999761581421</v>
      </c>
      <c r="E16" s="9">
        <v>0.30000001192092896</v>
      </c>
      <c r="F16" s="9">
        <v>2</v>
      </c>
      <c r="G16" s="9">
        <v>0.96699601411819458</v>
      </c>
      <c r="H16" s="9">
        <v>0.15000000596046448</v>
      </c>
      <c r="I16">
        <v>2.5428000837564468E-2</v>
      </c>
      <c r="J16"/>
    </row>
    <row r="17" spans="1:10" ht="15" customHeight="1" x14ac:dyDescent="0.15">
      <c r="A17" s="159">
        <v>16</v>
      </c>
      <c r="B17" s="159" t="s">
        <v>207</v>
      </c>
      <c r="C17" s="8">
        <v>3.8003926277160645</v>
      </c>
      <c r="D17" s="9">
        <v>0.44200000166893005</v>
      </c>
      <c r="E17" s="9">
        <v>0.3059999942779541</v>
      </c>
      <c r="F17" s="9">
        <v>3</v>
      </c>
      <c r="G17" s="9">
        <v>0.92765098810195923</v>
      </c>
      <c r="H17" s="9">
        <v>0.10199999809265137</v>
      </c>
      <c r="I17">
        <v>1.2849999591708183E-2</v>
      </c>
      <c r="J17"/>
    </row>
    <row r="18" spans="1:10" ht="15" customHeight="1" x14ac:dyDescent="0.15">
      <c r="A18" s="160">
        <v>17</v>
      </c>
      <c r="B18" s="160" t="s">
        <v>208</v>
      </c>
      <c r="C18" s="8">
        <v>3.3815433979034424</v>
      </c>
      <c r="D18" s="9">
        <v>0.21400000154972076</v>
      </c>
      <c r="E18" s="9">
        <v>0.28999999165534973</v>
      </c>
      <c r="F18" s="9">
        <v>2.2000000476837158</v>
      </c>
      <c r="G18" s="9">
        <v>0.75126361846923828</v>
      </c>
      <c r="H18" s="9">
        <v>0.13181817531585693</v>
      </c>
      <c r="I18">
        <v>4.6799997799098492E-3</v>
      </c>
      <c r="J18"/>
    </row>
    <row r="19" spans="1:10" ht="15" customHeight="1" x14ac:dyDescent="0.15">
      <c r="A19" s="161">
        <v>18</v>
      </c>
      <c r="B19" s="161" t="s">
        <v>209</v>
      </c>
      <c r="C19" s="8">
        <v>4.2385759353637695</v>
      </c>
      <c r="D19" s="9">
        <v>4.8000000417232513E-2</v>
      </c>
      <c r="E19" s="9">
        <v>0.36300000548362732</v>
      </c>
      <c r="F19" s="9">
        <v>3</v>
      </c>
      <c r="G19" s="9">
        <v>0.73834747076034546</v>
      </c>
      <c r="H19" s="9">
        <v>0.12099999934434891</v>
      </c>
      <c r="I19">
        <v>6.8600000813603401E-3</v>
      </c>
      <c r="J19"/>
    </row>
    <row r="20" spans="1:10" ht="15" customHeight="1" x14ac:dyDescent="0.15">
      <c r="A20" s="162">
        <v>19</v>
      </c>
      <c r="B20" s="162" t="s">
        <v>210</v>
      </c>
      <c r="C20" s="8">
        <v>3.9460275173187256</v>
      </c>
      <c r="D20" s="9">
        <v>7.8000001609325409E-2</v>
      </c>
      <c r="E20" s="9">
        <v>0.78000003099441528</v>
      </c>
      <c r="F20" s="9">
        <v>5.1999998092651367</v>
      </c>
      <c r="G20" s="9">
        <v>0.46556216478347778</v>
      </c>
      <c r="H20" s="9">
        <v>0.15000000596046448</v>
      </c>
      <c r="I20">
        <v>0</v>
      </c>
      <c r="J20"/>
    </row>
    <row r="21" spans="1:10" ht="15" customHeight="1" x14ac:dyDescent="0.15">
      <c r="A21" s="163">
        <v>20</v>
      </c>
      <c r="B21" s="163" t="s">
        <v>211</v>
      </c>
      <c r="C21" s="8">
        <v>3.504786491394043</v>
      </c>
      <c r="D21" s="9">
        <v>4.6999998390674591E-2</v>
      </c>
      <c r="E21" s="9">
        <v>0.27399998903274536</v>
      </c>
      <c r="F21" s="9">
        <v>1.8266664743423462</v>
      </c>
      <c r="G21" s="9">
        <v>0.8473656177520752</v>
      </c>
      <c r="H21" s="9">
        <v>0.15000000596046448</v>
      </c>
      <c r="I21">
        <v>2.0000000949949026E-3</v>
      </c>
      <c r="J21"/>
    </row>
    <row r="22" spans="1:10" ht="15" customHeight="1" x14ac:dyDescent="0.15">
      <c r="A22" s="164">
        <v>21</v>
      </c>
      <c r="B22" s="164" t="s">
        <v>212</v>
      </c>
      <c r="C22" s="8">
        <v>3.3162384033203125</v>
      </c>
      <c r="D22" s="9">
        <v>0.11999999731779099</v>
      </c>
      <c r="E22" s="9">
        <v>0.60000002384185791</v>
      </c>
      <c r="F22" s="9">
        <v>4</v>
      </c>
      <c r="G22" s="9">
        <v>0.93700993061065674</v>
      </c>
      <c r="H22" s="9">
        <v>0.15000000596046448</v>
      </c>
      <c r="I22">
        <v>0</v>
      </c>
      <c r="J22"/>
    </row>
    <row r="23" spans="1:10" ht="15" customHeight="1" x14ac:dyDescent="0.15">
      <c r="A23" s="165">
        <v>22</v>
      </c>
      <c r="B23" s="165" t="s">
        <v>213</v>
      </c>
      <c r="C23" s="8">
        <v>3.8232009410858154</v>
      </c>
      <c r="D23" s="9">
        <v>0.77999997138977051</v>
      </c>
      <c r="E23" s="9">
        <v>0.64999997615814209</v>
      </c>
      <c r="F23" s="9">
        <v>4.2699999809265137</v>
      </c>
      <c r="G23" s="9">
        <v>0.25653865933418274</v>
      </c>
      <c r="H23" s="9">
        <v>0.1522248238325119</v>
      </c>
      <c r="I23">
        <v>0</v>
      </c>
      <c r="J23"/>
    </row>
    <row r="24" spans="1:10" ht="15" customHeight="1" x14ac:dyDescent="0.15">
      <c r="A24" s="166">
        <v>23</v>
      </c>
      <c r="B24" s="166" t="s">
        <v>214</v>
      </c>
      <c r="C24" s="8">
        <v>3.2679710388183594</v>
      </c>
      <c r="D24" s="9">
        <v>2.9000000953674316</v>
      </c>
      <c r="E24" s="9">
        <v>1.0019999742507935</v>
      </c>
      <c r="F24" s="9">
        <v>6.679999828338623</v>
      </c>
      <c r="G24" s="9">
        <v>0.63895547389984131</v>
      </c>
      <c r="H24" s="9">
        <v>0.15000000596046448</v>
      </c>
      <c r="I24">
        <v>0</v>
      </c>
      <c r="J24"/>
    </row>
    <row r="25" spans="1:10" ht="15" customHeight="1" x14ac:dyDescent="0.15">
      <c r="A25" s="167">
        <v>24</v>
      </c>
      <c r="B25" s="167" t="s">
        <v>215</v>
      </c>
      <c r="C25" s="8">
        <v>3.3526637554168701</v>
      </c>
      <c r="D25" s="9">
        <v>11.199999809265137</v>
      </c>
      <c r="E25" s="9">
        <v>0.62000000476837158</v>
      </c>
      <c r="F25" s="9">
        <v>4.070000171661377</v>
      </c>
      <c r="G25" s="9">
        <v>0.71684455871582031</v>
      </c>
      <c r="H25" s="9">
        <v>0.15233415365219116</v>
      </c>
      <c r="I25">
        <v>0</v>
      </c>
      <c r="J25"/>
    </row>
    <row r="26" spans="1:10" ht="15" customHeight="1" x14ac:dyDescent="0.15">
      <c r="A26" s="168">
        <v>25</v>
      </c>
      <c r="B26" s="168" t="s">
        <v>216</v>
      </c>
      <c r="C26" s="8">
        <v>4.4551424980163574</v>
      </c>
      <c r="D26" s="9">
        <v>4.6009175479412079E-2</v>
      </c>
      <c r="E26" s="9">
        <v>0.23999999463558197</v>
      </c>
      <c r="F26" s="9">
        <v>2</v>
      </c>
      <c r="G26" s="9">
        <v>0.94999992847442627</v>
      </c>
      <c r="H26" s="9">
        <v>0.11999999731779099</v>
      </c>
      <c r="I26">
        <v>1.0029999539256096E-2</v>
      </c>
      <c r="J26"/>
    </row>
    <row r="27" spans="1:10" ht="15" customHeight="1" x14ac:dyDescent="0.15">
      <c r="A27" s="169">
        <v>26</v>
      </c>
      <c r="B27" s="169" t="s">
        <v>217</v>
      </c>
      <c r="C27" s="8">
        <v>3.2091991901397705</v>
      </c>
      <c r="D27" s="9">
        <v>8.5</v>
      </c>
      <c r="E27" s="9">
        <v>0.46799999475479126</v>
      </c>
      <c r="F27" s="9">
        <v>4.5999999046325684</v>
      </c>
      <c r="G27" s="9">
        <v>0.1975410133600235</v>
      </c>
      <c r="H27" s="9">
        <v>0.10173913091421127</v>
      </c>
      <c r="I27">
        <v>2.5970000773668289E-2</v>
      </c>
      <c r="J27"/>
    </row>
    <row r="28" spans="1:10" ht="15" customHeight="1" x14ac:dyDescent="0.15">
      <c r="A28" s="170">
        <v>27</v>
      </c>
      <c r="B28" s="170" t="s">
        <v>218</v>
      </c>
      <c r="C28" s="8">
        <v>3.3456978797912598</v>
      </c>
      <c r="D28" s="9">
        <v>0.42271462082862854</v>
      </c>
      <c r="E28" s="9">
        <v>1.3999999761581421</v>
      </c>
      <c r="F28" s="9">
        <v>5</v>
      </c>
      <c r="G28" s="9">
        <v>0.94999992847442627</v>
      </c>
      <c r="H28" s="9">
        <v>0.2800000011920929</v>
      </c>
      <c r="I28">
        <v>0</v>
      </c>
      <c r="J28"/>
    </row>
    <row r="29" spans="1:10" ht="15" customHeight="1" x14ac:dyDescent="0.15">
      <c r="A29" s="171">
        <v>28</v>
      </c>
      <c r="B29" s="171" t="s">
        <v>219</v>
      </c>
      <c r="C29" s="8">
        <v>3.4775242805480957</v>
      </c>
      <c r="D29" s="9">
        <v>0.52630841732025146</v>
      </c>
      <c r="E29" s="9">
        <v>0.66750001907348633</v>
      </c>
      <c r="F29" s="9">
        <v>4.4499998092651367</v>
      </c>
      <c r="G29" s="9">
        <v>0.94999963045120239</v>
      </c>
      <c r="H29" s="9">
        <v>0.15000000596046448</v>
      </c>
      <c r="I29">
        <v>8.3400001749396324E-3</v>
      </c>
      <c r="J29"/>
    </row>
    <row r="30" spans="1:10" ht="15" customHeight="1" x14ac:dyDescent="0.15">
      <c r="A30" s="172">
        <v>29</v>
      </c>
      <c r="B30" s="172" t="s">
        <v>220</v>
      </c>
      <c r="C30" s="8">
        <v>3.0303490161895752</v>
      </c>
      <c r="D30" s="9">
        <v>0.30799999833106995</v>
      </c>
      <c r="E30" s="9">
        <v>0.15999999642372131</v>
      </c>
      <c r="F30" s="9">
        <v>1.2000000476837158</v>
      </c>
      <c r="G30" s="9">
        <v>0.89882892370223999</v>
      </c>
      <c r="H30" s="9">
        <v>0.13333332538604736</v>
      </c>
      <c r="I30">
        <v>3.4770000725984573E-2</v>
      </c>
      <c r="J30"/>
    </row>
    <row r="31" spans="1:10" ht="15" customHeight="1" x14ac:dyDescent="0.15">
      <c r="A31" s="173">
        <v>30</v>
      </c>
      <c r="B31" s="173" t="s">
        <v>221</v>
      </c>
      <c r="C31" s="8">
        <v>2.9719264507293701</v>
      </c>
      <c r="D31" s="9">
        <v>3.7799999713897705</v>
      </c>
      <c r="E31" s="9">
        <v>0.30000001192092896</v>
      </c>
      <c r="F31" s="9">
        <v>1.5</v>
      </c>
      <c r="G31" s="9">
        <v>0.2935924232006073</v>
      </c>
      <c r="H31" s="9">
        <v>0.20000000298023224</v>
      </c>
      <c r="I31">
        <v>5.6999997468665242E-4</v>
      </c>
      <c r="J31"/>
    </row>
    <row r="32" spans="1:10" ht="15" customHeight="1" x14ac:dyDescent="0.15">
      <c r="A32" s="201">
        <v>31</v>
      </c>
      <c r="B32" s="201" t="s">
        <v>222</v>
      </c>
      <c r="C32" s="8">
        <v>2.4451019763946533</v>
      </c>
      <c r="D32" s="9">
        <v>13.571450233459473</v>
      </c>
      <c r="E32" s="9">
        <v>1.7000000476837158</v>
      </c>
      <c r="F32" s="9">
        <v>11.300000190734863</v>
      </c>
      <c r="G32" s="9">
        <v>0.94999992847442627</v>
      </c>
      <c r="H32" s="9">
        <v>0.15044248104095459</v>
      </c>
      <c r="I32">
        <v>3.4299999475479126E-2</v>
      </c>
      <c r="J32"/>
    </row>
    <row r="33" spans="1:10" ht="15" customHeight="1" x14ac:dyDescent="0.15">
      <c r="A33" s="202">
        <v>32</v>
      </c>
      <c r="B33" s="202" t="s">
        <v>223</v>
      </c>
      <c r="C33" s="8">
        <v>2</v>
      </c>
      <c r="D33" s="9">
        <v>63.700000762939453</v>
      </c>
      <c r="E33" s="9">
        <v>0.60000002384185791</v>
      </c>
      <c r="F33" s="9">
        <v>6.6999998092651367</v>
      </c>
      <c r="G33" s="9">
        <v>3.6381613463163376E-2</v>
      </c>
      <c r="H33" s="9">
        <v>8.9552246034145355E-2</v>
      </c>
      <c r="I33">
        <v>2.3429999127984047E-3</v>
      </c>
      <c r="J33"/>
    </row>
    <row r="34" spans="1:10" ht="15" customHeight="1" x14ac:dyDescent="0.15">
      <c r="A34" s="203">
        <v>33</v>
      </c>
      <c r="B34" s="203" t="s">
        <v>224</v>
      </c>
      <c r="C34" s="8">
        <v>2</v>
      </c>
      <c r="D34" s="9">
        <v>11.899999618530273</v>
      </c>
      <c r="E34" s="9">
        <v>2</v>
      </c>
      <c r="F34" s="9">
        <v>27.799999237060547</v>
      </c>
      <c r="G34" s="9">
        <v>0.46127653121948242</v>
      </c>
      <c r="H34" s="9">
        <v>7.1942448616027832E-2</v>
      </c>
      <c r="I34">
        <v>0</v>
      </c>
      <c r="J34"/>
    </row>
    <row r="35" spans="1:10" ht="15" customHeight="1" x14ac:dyDescent="0.15">
      <c r="A35" s="204">
        <v>34</v>
      </c>
      <c r="B35" s="204" t="s">
        <v>225</v>
      </c>
      <c r="C35" s="8">
        <v>2</v>
      </c>
      <c r="D35" s="9">
        <v>57.400001525878906</v>
      </c>
      <c r="E35" s="9">
        <v>0.69999998807907104</v>
      </c>
      <c r="F35" s="9">
        <v>7.7777771949768066</v>
      </c>
      <c r="G35" s="9">
        <v>5.8003892190754414E-3</v>
      </c>
      <c r="H35" s="9">
        <v>9.0000003576278687E-2</v>
      </c>
      <c r="I35">
        <v>8.0099999904632568E-2</v>
      </c>
      <c r="J35"/>
    </row>
    <row r="36" spans="1:10" ht="15" customHeight="1" x14ac:dyDescent="0.15">
      <c r="A36" s="205">
        <v>35</v>
      </c>
      <c r="B36" s="205" t="s">
        <v>226</v>
      </c>
      <c r="C36" s="8">
        <v>2</v>
      </c>
      <c r="D36" s="9">
        <v>4.9000000953674316</v>
      </c>
      <c r="E36" s="9">
        <v>2.5</v>
      </c>
      <c r="F36" s="9">
        <v>12.5</v>
      </c>
      <c r="G36" s="9">
        <v>0.80526059865951538</v>
      </c>
      <c r="H36" s="9">
        <v>0.20000000298023224</v>
      </c>
      <c r="I36">
        <v>0</v>
      </c>
      <c r="J36"/>
    </row>
    <row r="37" spans="1:10" ht="15" customHeight="1" x14ac:dyDescent="0.15">
      <c r="A37" s="206">
        <v>36</v>
      </c>
      <c r="B37" s="206" t="s">
        <v>227</v>
      </c>
      <c r="C37" s="8">
        <v>2.4591834545135498</v>
      </c>
      <c r="D37" s="9">
        <v>34.576438903808594</v>
      </c>
      <c r="E37" s="9">
        <v>3.0399999618530273</v>
      </c>
      <c r="F37" s="9">
        <v>19.5</v>
      </c>
      <c r="G37" s="9">
        <v>0.94999998807907104</v>
      </c>
      <c r="H37" s="9">
        <v>0.15589743852615356</v>
      </c>
      <c r="I37">
        <v>0</v>
      </c>
      <c r="J37"/>
    </row>
    <row r="38" spans="1:10" ht="15" customHeight="1" x14ac:dyDescent="0.15">
      <c r="A38" s="207">
        <v>37</v>
      </c>
      <c r="B38" s="207" t="s">
        <v>228</v>
      </c>
      <c r="C38" s="8">
        <v>2</v>
      </c>
      <c r="D38" s="9">
        <v>44</v>
      </c>
      <c r="E38" s="9">
        <v>8.3999996185302734</v>
      </c>
      <c r="F38" s="9">
        <v>27.999998092651367</v>
      </c>
      <c r="G38" s="9">
        <v>0.95715004205703735</v>
      </c>
      <c r="H38" s="9">
        <v>0.30000001192092896</v>
      </c>
      <c r="I38">
        <v>0</v>
      </c>
      <c r="J38"/>
    </row>
    <row r="39" spans="1:10" ht="15" customHeight="1" x14ac:dyDescent="0.15">
      <c r="A39" s="208">
        <v>38</v>
      </c>
      <c r="B39" s="208" t="s">
        <v>229</v>
      </c>
      <c r="C39" s="8">
        <v>1</v>
      </c>
      <c r="D39" s="9">
        <v>43.562759399414062</v>
      </c>
      <c r="E39" s="9">
        <v>52.1976318359375</v>
      </c>
      <c r="F39" s="10"/>
      <c r="G39" s="9">
        <v>0.75542443990707397</v>
      </c>
      <c r="H39" s="10"/>
      <c r="I39">
        <v>0</v>
      </c>
      <c r="J39"/>
    </row>
    <row r="40" spans="1:10" ht="15" customHeight="1" x14ac:dyDescent="0.15">
      <c r="A40" s="209">
        <v>39</v>
      </c>
      <c r="B40" s="209" t="s">
        <v>230</v>
      </c>
      <c r="C40" s="8">
        <v>1</v>
      </c>
      <c r="D40" s="9">
        <v>187</v>
      </c>
      <c r="E40" s="10"/>
      <c r="F40" s="10"/>
      <c r="G40" s="9">
        <v>0.90665864944458008</v>
      </c>
      <c r="H40" s="10"/>
      <c r="I40">
        <v>0</v>
      </c>
      <c r="J40"/>
    </row>
    <row r="41" spans="1:10" ht="15" customHeight="1" x14ac:dyDescent="0.15">
      <c r="A41" s="210">
        <v>40</v>
      </c>
      <c r="B41" s="210" t="s">
        <v>231</v>
      </c>
      <c r="C41" s="8">
        <v>1</v>
      </c>
      <c r="D41" s="9">
        <v>5</v>
      </c>
      <c r="E41" s="10"/>
      <c r="F41" s="10"/>
      <c r="G41" s="7">
        <v>0</v>
      </c>
      <c r="H41" s="10"/>
      <c r="I41">
        <v>0</v>
      </c>
      <c r="J41"/>
    </row>
    <row r="42" spans="1:10" ht="15" customHeight="1" x14ac:dyDescent="0.15">
      <c r="A42" s="211">
        <v>41</v>
      </c>
      <c r="B42" s="211" t="s">
        <v>232</v>
      </c>
      <c r="C42" s="8">
        <v>4.2641787528991699</v>
      </c>
      <c r="D42" s="10"/>
      <c r="E42" s="10"/>
      <c r="F42" s="10"/>
      <c r="G42" s="10"/>
      <c r="H42" s="10"/>
      <c r="I42">
        <v>0.48991310596466064</v>
      </c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2" bestFit="1" customWidth="1"/>
    <col min="2" max="4" width="9.5" style="82" bestFit="1" customWidth="1"/>
    <col min="5" max="7" width="9" style="82" bestFit="1" customWidth="1"/>
    <col min="8" max="16" width="12.6640625" style="82" bestFit="1" customWidth="1"/>
    <col min="17" max="17" width="12.33203125" style="82" bestFit="1" customWidth="1"/>
    <col min="18" max="18" width="8.83203125" style="82"/>
    <col min="19" max="21" width="9.33203125" style="82" bestFit="1" customWidth="1"/>
    <col min="22" max="23" width="8.83203125" style="82"/>
    <col min="24" max="24" width="9.33203125" style="82" bestFit="1" customWidth="1"/>
    <col min="25" max="27" width="8.83203125" style="82"/>
    <col min="28" max="58" width="9" style="82" bestFit="1" customWidth="1"/>
    <col min="59" max="59" width="12.33203125" style="82" bestFit="1" customWidth="1"/>
    <col min="60" max="60" width="9" style="82" bestFit="1" customWidth="1"/>
    <col min="61" max="61" width="11.33203125" style="82" bestFit="1" customWidth="1"/>
    <col min="62" max="77" width="9" style="82" bestFit="1" customWidth="1"/>
    <col min="78" max="78" width="12.33203125" style="82" bestFit="1" customWidth="1"/>
    <col min="79" max="79" width="9" style="82" bestFit="1" customWidth="1"/>
    <col min="80" max="80" width="12.33203125" style="82" bestFit="1" customWidth="1"/>
    <col min="81" max="107" width="9" style="82" bestFit="1" customWidth="1"/>
    <col min="108" max="108" width="11.33203125" style="82" bestFit="1" customWidth="1"/>
    <col min="109" max="124" width="9" style="82" bestFit="1" customWidth="1"/>
    <col min="125" max="125" width="10.33203125" style="82" bestFit="1" customWidth="1"/>
    <col min="126" max="129" width="9.33203125" style="82" bestFit="1" customWidth="1"/>
    <col min="130" max="130" width="9" style="82" bestFit="1" customWidth="1"/>
    <col min="131" max="134" width="9.33203125" style="82" bestFit="1" customWidth="1"/>
    <col min="135" max="165" width="9" style="82" bestFit="1" customWidth="1"/>
    <col min="166" max="166" width="12.33203125" style="82" bestFit="1" customWidth="1"/>
    <col min="167" max="170" width="9" style="82" bestFit="1" customWidth="1"/>
    <col min="171" max="176" width="8.83203125" style="82"/>
    <col min="177" max="177" width="13.83203125" style="82" bestFit="1" customWidth="1"/>
    <col min="178" max="16384" width="8.83203125" style="82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237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 t="s">
        <v>222</v>
      </c>
      <c r="AJ1" t="s">
        <v>223</v>
      </c>
      <c r="AK1" t="s">
        <v>224</v>
      </c>
      <c r="AL1" t="s">
        <v>225</v>
      </c>
      <c r="AM1" t="s">
        <v>226</v>
      </c>
      <c r="AN1" t="s">
        <v>227</v>
      </c>
      <c r="AO1" t="s">
        <v>228</v>
      </c>
      <c r="AP1" t="s">
        <v>229</v>
      </c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3.9999999105930328E-2</v>
      </c>
      <c r="C2">
        <v>3.9999999105930328E-2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0.12399999797344208</v>
      </c>
      <c r="C3">
        <v>0.12399999797344208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0.25</v>
      </c>
      <c r="C4">
        <v>0.18914680182933807</v>
      </c>
      <c r="D4"/>
      <c r="E4"/>
      <c r="F4"/>
      <c r="G4" s="222">
        <v>5.3185004740953445E-2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 s="25">
        <v>7.6681971549987793E-3</v>
      </c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0.5</v>
      </c>
      <c r="C5">
        <v>0.43792903423309326</v>
      </c>
      <c r="D5" s="212">
        <v>3.6712329834699631E-2</v>
      </c>
      <c r="E5"/>
      <c r="F5" s="226">
        <v>2.2181181237101555E-2</v>
      </c>
      <c r="G5"/>
      <c r="H5"/>
      <c r="I5"/>
      <c r="J5"/>
      <c r="K5"/>
      <c r="L5"/>
      <c r="M5"/>
      <c r="N5"/>
      <c r="O5"/>
      <c r="P5"/>
      <c r="Q5"/>
      <c r="R5" s="14">
        <v>1.4159205602481961E-3</v>
      </c>
      <c r="S5"/>
      <c r="T5"/>
      <c r="U5"/>
      <c r="V5" s="12">
        <v>1.7615305259823799E-3</v>
      </c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1.3999999761581421</v>
      </c>
      <c r="C6">
        <v>3.860318660736084E-2</v>
      </c>
      <c r="D6"/>
      <c r="E6" s="240">
        <v>0.16011109948158264</v>
      </c>
      <c r="F6" s="106">
        <v>0.25554811954498291</v>
      </c>
      <c r="G6" s="220">
        <v>3.3284846693277359E-2</v>
      </c>
      <c r="H6" s="232">
        <v>0.12000706046819687</v>
      </c>
      <c r="I6" s="22">
        <v>9.9700000137090683E-3</v>
      </c>
      <c r="J6" s="243">
        <v>0.19150745868682861</v>
      </c>
      <c r="K6"/>
      <c r="L6" s="17">
        <v>1.8737051635980606E-2</v>
      </c>
      <c r="M6"/>
      <c r="N6" s="22">
        <v>1.2061404064297676E-2</v>
      </c>
      <c r="O6"/>
      <c r="P6"/>
      <c r="Q6" s="11">
        <v>6.0314295114949346E-4</v>
      </c>
      <c r="R6" s="22">
        <v>1.1974862776696682E-2</v>
      </c>
      <c r="S6"/>
      <c r="T6" s="17">
        <v>1.7858164384961128E-2</v>
      </c>
      <c r="U6"/>
      <c r="V6" s="63">
        <v>3.1555641442537308E-2</v>
      </c>
      <c r="W6" s="244">
        <v>0.22904853522777557</v>
      </c>
      <c r="X6" s="16">
        <v>2.0657213404774666E-2</v>
      </c>
      <c r="Y6" s="20">
        <v>6.0853898525238037E-2</v>
      </c>
      <c r="Z6" s="17">
        <v>1.7880044877529144E-2</v>
      </c>
      <c r="AA6"/>
      <c r="AB6"/>
      <c r="AC6"/>
      <c r="AD6"/>
      <c r="AE6"/>
      <c r="AF6" s="241">
        <v>0.16973826289176941</v>
      </c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0.93436998128890991</v>
      </c>
      <c r="C7">
        <v>0.63893485069274902</v>
      </c>
      <c r="D7" s="213">
        <v>0.18243139982223511</v>
      </c>
      <c r="E7"/>
      <c r="F7" s="24">
        <v>2.6401333510875702E-2</v>
      </c>
      <c r="G7"/>
      <c r="H7"/>
      <c r="I7"/>
      <c r="J7" s="212">
        <v>6.7133843898773193E-2</v>
      </c>
      <c r="K7"/>
      <c r="L7"/>
      <c r="M7"/>
      <c r="N7"/>
      <c r="O7"/>
      <c r="P7"/>
      <c r="Q7"/>
      <c r="R7" s="11">
        <v>6.9095677463337779E-4</v>
      </c>
      <c r="S7"/>
      <c r="T7"/>
      <c r="U7"/>
      <c r="V7" s="11">
        <v>4.7684221499366686E-5</v>
      </c>
      <c r="W7"/>
      <c r="X7"/>
      <c r="Y7"/>
      <c r="Z7"/>
      <c r="AA7"/>
      <c r="AB7"/>
      <c r="AC7" s="21">
        <v>1.8729917705059052E-2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1.0694600343704224</v>
      </c>
      <c r="C8">
        <v>0.72514188289642334</v>
      </c>
      <c r="D8" s="76">
        <v>6.8434976041316986E-2</v>
      </c>
      <c r="E8" s="22">
        <v>7.8846290707588196E-3</v>
      </c>
      <c r="F8" s="21">
        <v>2.047341875731945E-2</v>
      </c>
      <c r="G8"/>
      <c r="H8" s="11">
        <v>4.6618029591627419E-4</v>
      </c>
      <c r="I8" s="11">
        <v>4.2473094072192907E-4</v>
      </c>
      <c r="J8" s="64">
        <v>4.4271316379308701E-2</v>
      </c>
      <c r="K8" s="76">
        <v>6.9953784346580505E-2</v>
      </c>
      <c r="L8" s="11">
        <v>6.2063679797574878E-4</v>
      </c>
      <c r="M8" s="14">
        <v>1.9384318729862571E-3</v>
      </c>
      <c r="N8" s="11">
        <v>1.0276532266288996E-3</v>
      </c>
      <c r="O8" s="11">
        <v>3.6668017855845392E-4</v>
      </c>
      <c r="P8"/>
      <c r="Q8" s="11">
        <v>2.5934024597518146E-4</v>
      </c>
      <c r="R8" s="19">
        <v>1.8467964604496956E-2</v>
      </c>
      <c r="S8"/>
      <c r="T8" s="16">
        <v>1.7285512760281563E-2</v>
      </c>
      <c r="U8"/>
      <c r="V8" s="22">
        <v>8.3666415885090828E-3</v>
      </c>
      <c r="W8" s="15">
        <v>1.0860612615942955E-2</v>
      </c>
      <c r="X8" s="11">
        <v>1.71822146512568E-4</v>
      </c>
      <c r="Y8"/>
      <c r="Z8" s="63">
        <v>2.2392662242054939E-2</v>
      </c>
      <c r="AA8"/>
      <c r="AB8"/>
      <c r="AC8" s="11">
        <v>4.9516611034050584E-4</v>
      </c>
      <c r="AD8"/>
      <c r="AE8"/>
      <c r="AF8" s="28">
        <v>5.0155956298112869E-2</v>
      </c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0.55000001192092896</v>
      </c>
      <c r="C9">
        <v>2.1096263080835342E-2</v>
      </c>
      <c r="D9" s="12">
        <v>2.48484848998487E-3</v>
      </c>
      <c r="E9"/>
      <c r="F9" s="24">
        <v>1.4975396916270256E-2</v>
      </c>
      <c r="G9" s="18">
        <v>6.3880006782710552E-3</v>
      </c>
      <c r="H9" s="14">
        <v>1.1750346748158336E-3</v>
      </c>
      <c r="I9"/>
      <c r="J9" s="258">
        <v>0.20105302333831787</v>
      </c>
      <c r="K9" s="63">
        <v>1.1590952984988689E-2</v>
      </c>
      <c r="L9" s="12">
        <v>2.0000000949949026E-3</v>
      </c>
      <c r="M9"/>
      <c r="N9" s="18">
        <v>6.9444449618458748E-3</v>
      </c>
      <c r="O9" s="11">
        <v>2.9795031878165901E-4</v>
      </c>
      <c r="P9"/>
      <c r="Q9"/>
      <c r="R9" s="18">
        <v>6.8113463930785656E-3</v>
      </c>
      <c r="S9"/>
      <c r="T9" s="233">
        <v>0.16532137989997864</v>
      </c>
      <c r="U9"/>
      <c r="V9" s="73">
        <v>5.2093278616666794E-2</v>
      </c>
      <c r="W9" s="226">
        <v>2.4747313931584358E-2</v>
      </c>
      <c r="X9" s="11">
        <v>4.4470286229625344E-4</v>
      </c>
      <c r="Y9"/>
      <c r="Z9"/>
      <c r="AA9"/>
      <c r="AB9"/>
      <c r="AC9"/>
      <c r="AD9"/>
      <c r="AE9"/>
      <c r="AF9" s="65">
        <v>3.2576031982898712E-2</v>
      </c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0.20999999344348907</v>
      </c>
      <c r="C10">
        <v>2.1623075008392334E-3</v>
      </c>
      <c r="D10" s="64">
        <v>8.5761593654751778E-3</v>
      </c>
      <c r="E10"/>
      <c r="F10" s="251">
        <v>8.3425693213939667E-2</v>
      </c>
      <c r="G10"/>
      <c r="H10" s="241">
        <v>2.5456378236413002E-2</v>
      </c>
      <c r="I10" s="11">
        <v>1.659354311414063E-4</v>
      </c>
      <c r="J10"/>
      <c r="K10"/>
      <c r="L10" s="14">
        <v>3.2781457412056625E-4</v>
      </c>
      <c r="M10" s="12">
        <v>8.4719923324882984E-4</v>
      </c>
      <c r="N10" s="13">
        <v>7.9677151516079903E-3</v>
      </c>
      <c r="O10" s="19">
        <v>3.8360808975994587E-3</v>
      </c>
      <c r="P10"/>
      <c r="Q10"/>
      <c r="R10" s="247">
        <v>4.8561278730630875E-2</v>
      </c>
      <c r="S10"/>
      <c r="T10"/>
      <c r="U10"/>
      <c r="V10" s="14">
        <v>4.4940307270735502E-4</v>
      </c>
      <c r="W10" s="234">
        <v>1.7512639984488487E-2</v>
      </c>
      <c r="X10" s="17">
        <v>2.7158933226019144E-3</v>
      </c>
      <c r="Y10" s="13">
        <v>7.99549650400877E-3</v>
      </c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0.5</v>
      </c>
      <c r="C11">
        <v>0.20624208450317383</v>
      </c>
      <c r="D11" s="214">
        <v>0.29375791549682617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0.46000000834465027</v>
      </c>
      <c r="C12">
        <v>0.44667795300483704</v>
      </c>
      <c r="D12" s="12">
        <v>1.987633528187871E-3</v>
      </c>
      <c r="E12"/>
      <c r="F12" s="19">
        <v>8.0159706994891167E-3</v>
      </c>
      <c r="G12"/>
      <c r="H12" s="12">
        <v>1.9041076302528381E-3</v>
      </c>
      <c r="I12"/>
      <c r="J12"/>
      <c r="K12"/>
      <c r="L12"/>
      <c r="M12"/>
      <c r="N12"/>
      <c r="O12"/>
      <c r="P12"/>
      <c r="Q12"/>
      <c r="R12"/>
      <c r="S12"/>
      <c r="T12"/>
      <c r="U12"/>
      <c r="V12" s="12">
        <v>1.4143337029963732E-3</v>
      </c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0.31000000238418579</v>
      </c>
      <c r="C13">
        <v>3.563573956489563E-2</v>
      </c>
      <c r="D13" s="24">
        <v>8.6976047605276108E-3</v>
      </c>
      <c r="E13"/>
      <c r="F13" s="257">
        <v>0.13089559972286224</v>
      </c>
      <c r="G13"/>
      <c r="H13" s="23">
        <v>1.9236429361626506E-3</v>
      </c>
      <c r="I13"/>
      <c r="J13"/>
      <c r="K13"/>
      <c r="L13" s="11">
        <v>2.9640717548318207E-4</v>
      </c>
      <c r="M13" s="12">
        <v>1.0893690632656217E-3</v>
      </c>
      <c r="N13" s="23">
        <v>1.7153194639831781E-3</v>
      </c>
      <c r="O13" s="223">
        <v>1.0201501660048962E-2</v>
      </c>
      <c r="P13"/>
      <c r="Q13" s="11">
        <v>2.7470485656522214E-4</v>
      </c>
      <c r="R13" s="23">
        <v>1.9197645597159863E-3</v>
      </c>
      <c r="S13"/>
      <c r="T13" s="11">
        <v>1.1910152534255758E-4</v>
      </c>
      <c r="U13"/>
      <c r="V13" s="66">
        <v>1.9565852358937263E-2</v>
      </c>
      <c r="W13" s="249">
        <v>5.8764588087797165E-2</v>
      </c>
      <c r="X13"/>
      <c r="Y13"/>
      <c r="Z13" s="245">
        <v>3.3390726894140244E-2</v>
      </c>
      <c r="AA13"/>
      <c r="AB13"/>
      <c r="AC13" s="19">
        <v>5.5100810714066029E-3</v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0.20000000298023224</v>
      </c>
      <c r="C14">
        <v>1.2019515037536621E-2</v>
      </c>
      <c r="D14" s="215">
        <v>0.10459183901548386</v>
      </c>
      <c r="E14"/>
      <c r="F14" s="233">
        <v>5.9987049549818039E-2</v>
      </c>
      <c r="G14"/>
      <c r="H14"/>
      <c r="I14"/>
      <c r="J14"/>
      <c r="K14"/>
      <c r="L14"/>
      <c r="M14"/>
      <c r="N14" s="224">
        <v>1.0522959753870964E-2</v>
      </c>
      <c r="O14"/>
      <c r="P14"/>
      <c r="Q14" s="15">
        <v>1.8724779365584254E-3</v>
      </c>
      <c r="R14"/>
      <c r="S14"/>
      <c r="T14"/>
      <c r="U14"/>
      <c r="V14" s="17">
        <v>2.7697901241481304E-3</v>
      </c>
      <c r="W14"/>
      <c r="X14" s="22">
        <v>1.663627102971077E-3</v>
      </c>
      <c r="Y14"/>
      <c r="Z14"/>
      <c r="AA14"/>
      <c r="AB14"/>
      <c r="AC14" s="223">
        <v>6.5727401524782181E-3</v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0.20999999344348907</v>
      </c>
      <c r="C15">
        <v>0.18085165321826935</v>
      </c>
      <c r="D15" s="21">
        <v>4.1102105751633644E-3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 s="14">
        <v>4.1017911280505359E-4</v>
      </c>
      <c r="W15"/>
      <c r="X15"/>
      <c r="Y15"/>
      <c r="Z15"/>
      <c r="AA15"/>
      <c r="AB15"/>
      <c r="AC15" s="229">
        <v>2.4627944454550743E-2</v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0.30000001192092896</v>
      </c>
      <c r="C16">
        <v>9.901195764541626E-3</v>
      </c>
      <c r="D16" s="143">
        <v>1.8162857741117477E-2</v>
      </c>
      <c r="E16" s="26">
        <v>7.5403847731649876E-3</v>
      </c>
      <c r="F16" s="254">
        <v>6.0657400637865067E-2</v>
      </c>
      <c r="G16"/>
      <c r="H16" s="14">
        <v>3.8719200529158115E-4</v>
      </c>
      <c r="I16" s="23">
        <v>1.6574107576161623E-3</v>
      </c>
      <c r="J16" s="12">
        <v>1.2138823512941599E-3</v>
      </c>
      <c r="K16"/>
      <c r="L16" s="252">
        <v>3.7577573210000992E-2</v>
      </c>
      <c r="M16" s="11">
        <v>2.008729352382943E-4</v>
      </c>
      <c r="N16"/>
      <c r="O16" s="19">
        <v>5.1207235082983971E-3</v>
      </c>
      <c r="P16" s="142">
        <v>8.7603433057665825E-3</v>
      </c>
      <c r="Q16" s="14">
        <v>3.2136688241735101E-4</v>
      </c>
      <c r="R16" s="23">
        <v>2.0094052888453007E-3</v>
      </c>
      <c r="S16" s="16">
        <v>4.4200001284480095E-3</v>
      </c>
      <c r="T16" s="242">
        <v>7.9446613788604736E-2</v>
      </c>
      <c r="U16"/>
      <c r="V16" s="23">
        <v>1.6103283269330859E-3</v>
      </c>
      <c r="W16" s="64">
        <v>1.2281555682420731E-2</v>
      </c>
      <c r="X16" s="11">
        <v>5.880952812731266E-5</v>
      </c>
      <c r="Y16" s="11">
        <v>1.7177141853608191E-4</v>
      </c>
      <c r="Z16" s="64">
        <v>1.2128129601478577E-2</v>
      </c>
      <c r="AA16"/>
      <c r="AB16" s="245">
        <v>3.2560002058744431E-2</v>
      </c>
      <c r="AC16" s="18">
        <v>3.8121894467622042E-3</v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0.3059999942779541</v>
      </c>
      <c r="C17">
        <v>2.2138796746730804E-2</v>
      </c>
      <c r="D17" s="73">
        <v>2.9072396457195282E-2</v>
      </c>
      <c r="E17"/>
      <c r="F17" s="64">
        <v>1.2814606539905071E-2</v>
      </c>
      <c r="G17"/>
      <c r="H17" s="63">
        <v>6.5922229550778866E-3</v>
      </c>
      <c r="I17" s="25">
        <v>9.7482465207576752E-3</v>
      </c>
      <c r="J17" s="237">
        <v>2.6786927133798599E-2</v>
      </c>
      <c r="K17" s="253">
        <v>0.14631220698356628</v>
      </c>
      <c r="L17"/>
      <c r="M17"/>
      <c r="N17"/>
      <c r="O17"/>
      <c r="P17"/>
      <c r="Q17"/>
      <c r="R17"/>
      <c r="S17"/>
      <c r="T17" s="18">
        <v>3.7059602327644825E-3</v>
      </c>
      <c r="U17"/>
      <c r="V17" s="11">
        <v>2.5183657999150455E-4</v>
      </c>
      <c r="W17" s="12">
        <v>1.1094342917203903E-3</v>
      </c>
      <c r="X17" s="14">
        <v>3.6769305006600916E-4</v>
      </c>
      <c r="Y17" s="12">
        <v>1.087058917619288E-3</v>
      </c>
      <c r="Z17" s="24">
        <v>8.2812793552875519E-3</v>
      </c>
      <c r="AA17"/>
      <c r="AB17"/>
      <c r="AC17" s="12">
        <v>1.2491181259974837E-3</v>
      </c>
      <c r="AD17"/>
      <c r="AE17"/>
      <c r="AF17" s="138">
        <v>3.6482207477092743E-2</v>
      </c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0.28999999165534973</v>
      </c>
      <c r="C18">
        <v>7.2133548557758331E-2</v>
      </c>
      <c r="D18" s="216">
        <v>2.1869158372282982E-2</v>
      </c>
      <c r="E18" s="246">
        <v>0.12413091212511063</v>
      </c>
      <c r="F18" s="26">
        <v>7.5664776377379894E-3</v>
      </c>
      <c r="G18"/>
      <c r="H18"/>
      <c r="I18"/>
      <c r="J18"/>
      <c r="K18"/>
      <c r="L18"/>
      <c r="M18"/>
      <c r="N18"/>
      <c r="O18"/>
      <c r="P18"/>
      <c r="Q18" s="12">
        <v>8.5748988203704357E-4</v>
      </c>
      <c r="R18" s="12">
        <v>1.2563890777528286E-3</v>
      </c>
      <c r="S18"/>
      <c r="T18"/>
      <c r="U18"/>
      <c r="V18" s="11">
        <v>2.6713963598012924E-4</v>
      </c>
      <c r="W18"/>
      <c r="X18"/>
      <c r="Y18"/>
      <c r="Z18"/>
      <c r="AA18"/>
      <c r="AB18"/>
      <c r="AC18" s="238">
        <v>6.1918895691633224E-2</v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0.36300000548362732</v>
      </c>
      <c r="C19">
        <v>9.4979867339134216E-2</v>
      </c>
      <c r="D19" s="217">
        <v>0.14291666448116302</v>
      </c>
      <c r="E19" s="231">
        <v>0.10996394604444504</v>
      </c>
      <c r="F19" s="19">
        <v>6.4094499684870243E-3</v>
      </c>
      <c r="G19"/>
      <c r="H19" s="12">
        <v>1.2218375923112035E-3</v>
      </c>
      <c r="I19"/>
      <c r="J19"/>
      <c r="K19"/>
      <c r="L19"/>
      <c r="M19"/>
      <c r="N19"/>
      <c r="O19"/>
      <c r="P19"/>
      <c r="Q19"/>
      <c r="R19" s="14">
        <v>8.6309527978301048E-4</v>
      </c>
      <c r="S19"/>
      <c r="T19"/>
      <c r="U19"/>
      <c r="V19" s="14">
        <v>8.9399825083091855E-4</v>
      </c>
      <c r="W19"/>
      <c r="X19"/>
      <c r="Y19"/>
      <c r="Z19"/>
      <c r="AA19"/>
      <c r="AB19"/>
      <c r="AC19" s="16">
        <v>5.7511478662490845E-3</v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0.78000003099441528</v>
      </c>
      <c r="C20">
        <v>0.41686153411865234</v>
      </c>
      <c r="D20"/>
      <c r="E20" s="232">
        <v>6.767011433839798E-2</v>
      </c>
      <c r="F20" s="28">
        <v>3.6100458353757858E-2</v>
      </c>
      <c r="G20"/>
      <c r="H20" s="14">
        <v>2.211900195106864E-3</v>
      </c>
      <c r="I20" s="14">
        <v>1.2849358608946204E-3</v>
      </c>
      <c r="J20"/>
      <c r="K20"/>
      <c r="L20"/>
      <c r="M20"/>
      <c r="N20" s="13">
        <v>2.9380343854427338E-2</v>
      </c>
      <c r="O20"/>
      <c r="P20"/>
      <c r="Q20"/>
      <c r="R20" s="12">
        <v>2.3874274920672178E-3</v>
      </c>
      <c r="S20"/>
      <c r="T20"/>
      <c r="U20"/>
      <c r="V20" s="23">
        <v>4.3938374146819115E-3</v>
      </c>
      <c r="W20"/>
      <c r="X20"/>
      <c r="Y20"/>
      <c r="Z20"/>
      <c r="AA20"/>
      <c r="AB20"/>
      <c r="AC20" s="16">
        <v>1.2976947240531445E-2</v>
      </c>
      <c r="AD20"/>
      <c r="AE20"/>
      <c r="AF20" s="242">
        <v>0.20673249661922455</v>
      </c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>
        <v>0.27399998903274536</v>
      </c>
      <c r="C21">
        <v>4.1821818798780441E-2</v>
      </c>
      <c r="D21" s="218">
        <v>4.2553193867206573E-2</v>
      </c>
      <c r="E21" s="230">
        <v>5.6123550981283188E-2</v>
      </c>
      <c r="F21" s="138">
        <v>3.2729070633649826E-2</v>
      </c>
      <c r="G21"/>
      <c r="H21" s="23">
        <v>1.4022990362718701E-3</v>
      </c>
      <c r="I21"/>
      <c r="J21"/>
      <c r="K21"/>
      <c r="L21"/>
      <c r="M21"/>
      <c r="N21"/>
      <c r="O21"/>
      <c r="P21"/>
      <c r="Q21"/>
      <c r="R21" s="14">
        <v>4.8524767044000328E-4</v>
      </c>
      <c r="S21"/>
      <c r="T21"/>
      <c r="U21"/>
      <c r="V21" s="225">
        <v>3.0359428375959396E-2</v>
      </c>
      <c r="W21" s="227">
        <v>4.698915034532547E-2</v>
      </c>
      <c r="X21"/>
      <c r="Y21"/>
      <c r="Z21"/>
      <c r="AA21"/>
      <c r="AB21"/>
      <c r="AC21" s="74">
        <v>2.1536210551857948E-2</v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>
        <v>0.60000002384185791</v>
      </c>
      <c r="C22">
        <v>3.7794042378664017E-2</v>
      </c>
      <c r="D22"/>
      <c r="E22" s="212">
        <v>4.3985579162836075E-2</v>
      </c>
      <c r="F22" s="239">
        <v>0.11477620154619217</v>
      </c>
      <c r="G22"/>
      <c r="H22" s="23">
        <v>3.675003070384264E-3</v>
      </c>
      <c r="I22" s="12">
        <v>2.7629167307168245E-3</v>
      </c>
      <c r="J22"/>
      <c r="K22"/>
      <c r="L22" s="14">
        <v>1.6499999910593033E-3</v>
      </c>
      <c r="M22" s="17">
        <v>8.3472719416022301E-3</v>
      </c>
      <c r="N22" s="16">
        <v>9.5486119389533997E-3</v>
      </c>
      <c r="O22" s="226">
        <v>2.6805216446518898E-2</v>
      </c>
      <c r="P22"/>
      <c r="Q22" s="12">
        <v>2.5839630980044603E-3</v>
      </c>
      <c r="R22" s="14">
        <v>7.4104138184338808E-4</v>
      </c>
      <c r="S22"/>
      <c r="T22"/>
      <c r="U22"/>
      <c r="V22" s="216">
        <v>4.4885911047458649E-2</v>
      </c>
      <c r="W22" s="235">
        <v>9.5822922885417938E-2</v>
      </c>
      <c r="X22" s="14">
        <v>1.2226944090798497E-3</v>
      </c>
      <c r="Y22"/>
      <c r="Z22" s="137">
        <v>7.7686168253421783E-2</v>
      </c>
      <c r="AA22"/>
      <c r="AB22"/>
      <c r="AC22" s="68">
        <v>3.0672784894704819E-2</v>
      </c>
      <c r="AD22"/>
      <c r="AE22"/>
      <c r="AF22" s="236">
        <v>9.7039669752120972E-2</v>
      </c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213</v>
      </c>
      <c r="B23">
        <v>0.64999997615814209</v>
      </c>
      <c r="C23">
        <v>0.48324984312057495</v>
      </c>
      <c r="D23"/>
      <c r="E23"/>
      <c r="F23" s="250">
        <v>6.2248900532722473E-2</v>
      </c>
      <c r="G23" s="15">
        <v>6.6761551424860954E-3</v>
      </c>
      <c r="H23" s="14">
        <v>8.0446014180779457E-4</v>
      </c>
      <c r="I23" s="23">
        <v>3.3999038860201836E-3</v>
      </c>
      <c r="J23" s="12">
        <v>2.5903333444148302E-3</v>
      </c>
      <c r="K23" s="143">
        <v>3.8932997733354568E-2</v>
      </c>
      <c r="L23" s="12">
        <v>3.0436157248914242E-3</v>
      </c>
      <c r="M23" s="11">
        <v>6.0957478126510978E-4</v>
      </c>
      <c r="N23"/>
      <c r="O23" s="18">
        <v>7.6185483485460281E-3</v>
      </c>
      <c r="P23" s="11">
        <v>4.6246152487583458E-4</v>
      </c>
      <c r="Q23" s="11">
        <v>3.0706636607646942E-5</v>
      </c>
      <c r="R23" s="11">
        <v>2.6556779630482197E-5</v>
      </c>
      <c r="S23" s="16">
        <v>1.0158974677324295E-2</v>
      </c>
      <c r="T23"/>
      <c r="U23"/>
      <c r="V23" s="12">
        <v>2.4219641927629709E-3</v>
      </c>
      <c r="W23" s="22">
        <v>4.9888757057487965E-3</v>
      </c>
      <c r="X23" s="12">
        <v>1.9774883985519409E-3</v>
      </c>
      <c r="Y23" s="15">
        <v>5.8221537619829178E-3</v>
      </c>
      <c r="Z23" s="220">
        <v>1.4936445280909538E-2</v>
      </c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214</v>
      </c>
      <c r="B24">
        <v>1.0019999742507935</v>
      </c>
      <c r="C24">
        <v>0.36176660656929016</v>
      </c>
      <c r="D24"/>
      <c r="E24"/>
      <c r="F24" s="261">
        <v>0.1279691755771637</v>
      </c>
      <c r="G24"/>
      <c r="H24" s="11">
        <v>1.9929002155549824E-4</v>
      </c>
      <c r="I24" s="14">
        <v>2.3184914607554674E-3</v>
      </c>
      <c r="J24" s="238">
        <v>0.21437598764896393</v>
      </c>
      <c r="K24" s="216">
        <v>7.4812471866607666E-2</v>
      </c>
      <c r="L24"/>
      <c r="M24" s="19">
        <v>1.6874076798558235E-2</v>
      </c>
      <c r="N24"/>
      <c r="O24" s="220">
        <v>2.3141961544752121E-2</v>
      </c>
      <c r="P24" s="11">
        <v>9.3289656797423959E-4</v>
      </c>
      <c r="Q24" s="11">
        <v>2.425612328806892E-4</v>
      </c>
      <c r="R24"/>
      <c r="S24"/>
      <c r="T24"/>
      <c r="U24"/>
      <c r="V24"/>
      <c r="W24"/>
      <c r="X24"/>
      <c r="Y24"/>
      <c r="Z24" s="12">
        <v>3.2145997975021601E-3</v>
      </c>
      <c r="AA24" s="262">
        <v>0.16759449243545532</v>
      </c>
      <c r="AB24"/>
      <c r="AC24" s="14">
        <v>1.2692186282947659E-3</v>
      </c>
      <c r="AD24"/>
      <c r="AE24" s="22">
        <v>7.288182619959116E-3</v>
      </c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215</v>
      </c>
      <c r="B25">
        <v>0.62000000476837158</v>
      </c>
      <c r="C25">
        <v>0.17555637657642365</v>
      </c>
      <c r="D25"/>
      <c r="E25" s="212">
        <v>4.4769380241632462E-2</v>
      </c>
      <c r="F25" s="225">
        <v>6.8695999681949615E-2</v>
      </c>
      <c r="G25" s="26">
        <v>1.6296932473778725E-2</v>
      </c>
      <c r="H25" s="12">
        <v>2.7995798736810684E-3</v>
      </c>
      <c r="I25" s="15">
        <v>6.5318443812429905E-3</v>
      </c>
      <c r="J25" s="27">
        <v>2.2479010745882988E-2</v>
      </c>
      <c r="K25" s="77">
        <v>0.10451468080282211</v>
      </c>
      <c r="L25" s="16">
        <v>9.3770679086446762E-3</v>
      </c>
      <c r="M25" s="18">
        <v>7.0111388340592384E-3</v>
      </c>
      <c r="N25" s="14">
        <v>8.1845244858413935E-4</v>
      </c>
      <c r="O25" s="18">
        <v>7.0922044105827808E-3</v>
      </c>
      <c r="P25" s="17">
        <v>8.3577530458569527E-3</v>
      </c>
      <c r="Q25" s="14">
        <v>1.6331212827935815E-3</v>
      </c>
      <c r="R25" s="14">
        <v>7.1472511626780033E-4</v>
      </c>
      <c r="S25" s="14">
        <v>9.1750000137835741E-4</v>
      </c>
      <c r="T25" s="15">
        <v>5.9911096468567848E-3</v>
      </c>
      <c r="U25"/>
      <c r="V25" s="14">
        <v>1.4044343261048198E-3</v>
      </c>
      <c r="W25" s="12">
        <v>2.6366875972598791E-3</v>
      </c>
      <c r="X25" s="11">
        <v>3.6334354081191123E-4</v>
      </c>
      <c r="Y25"/>
      <c r="Z25" s="263">
        <v>0.11473400145769119</v>
      </c>
      <c r="AA25" s="24">
        <v>1.7296427860856056E-2</v>
      </c>
      <c r="AB25"/>
      <c r="AC25" s="11">
        <v>8.2159258454339579E-6</v>
      </c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216</v>
      </c>
      <c r="B26">
        <v>0.23999999463558197</v>
      </c>
      <c r="C26">
        <v>1.2000016868114471E-2</v>
      </c>
      <c r="D26" s="219">
        <v>0.21799997985363007</v>
      </c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 s="64">
        <v>1.0000000707805157E-2</v>
      </c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217</v>
      </c>
      <c r="B27">
        <v>0.46799999475479126</v>
      </c>
      <c r="C27">
        <v>0.37555080652236938</v>
      </c>
      <c r="D27" s="23">
        <v>3.0552942771464586E-3</v>
      </c>
      <c r="E27" s="220">
        <v>1.1038755066692829E-2</v>
      </c>
      <c r="F27" s="12">
        <v>1.63751479703933E-3</v>
      </c>
      <c r="G27" s="16">
        <v>7.1578170172870159E-3</v>
      </c>
      <c r="H27" s="23">
        <v>2.3481722455471754E-3</v>
      </c>
      <c r="I27" s="23">
        <v>2.4956499692052603E-3</v>
      </c>
      <c r="J27" s="25">
        <v>1.4691595919430256E-2</v>
      </c>
      <c r="K27" s="18">
        <v>5.1058861427009106E-3</v>
      </c>
      <c r="L27" s="12">
        <v>2.0009647123515606E-3</v>
      </c>
      <c r="M27" s="11">
        <v>3.3084954338846728E-5</v>
      </c>
      <c r="N27" s="11">
        <v>3.7745098234154284E-4</v>
      </c>
      <c r="O27" s="14">
        <v>4.8103078734129667E-4</v>
      </c>
      <c r="P27"/>
      <c r="Q27" s="11">
        <v>9.6454961749259382E-5</v>
      </c>
      <c r="R27" s="17">
        <v>6.4293309114873409E-3</v>
      </c>
      <c r="S27"/>
      <c r="T27" s="68">
        <v>2.4049386382102966E-2</v>
      </c>
      <c r="U27" s="15">
        <v>4.6155019663274288E-3</v>
      </c>
      <c r="V27" s="23">
        <v>2.8878040611743927E-3</v>
      </c>
      <c r="W27" s="23">
        <v>2.7734427712857723E-3</v>
      </c>
      <c r="X27" s="11">
        <v>6.7127199145033956E-5</v>
      </c>
      <c r="Y27"/>
      <c r="Z27" s="11">
        <v>2.6252935640513897E-4</v>
      </c>
      <c r="AA27"/>
      <c r="AB27"/>
      <c r="AC27" s="14">
        <v>8.4440375212579966E-4</v>
      </c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218</v>
      </c>
      <c r="B28">
        <v>1.3999999761581421</v>
      </c>
      <c r="C28">
        <v>7.0000097155570984E-2</v>
      </c>
      <c r="D28"/>
      <c r="E28"/>
      <c r="F28"/>
      <c r="G28" s="15">
        <v>1.3004378415644169E-2</v>
      </c>
      <c r="H28"/>
      <c r="I28"/>
      <c r="J28" s="241">
        <v>0.16889080405235291</v>
      </c>
      <c r="K28" s="260">
        <v>0.64254695177078247</v>
      </c>
      <c r="L28" s="11">
        <v>4.6840109280310571E-4</v>
      </c>
      <c r="M28"/>
      <c r="N28"/>
      <c r="O28"/>
      <c r="P28"/>
      <c r="Q28"/>
      <c r="R28" s="11">
        <v>4.89535101223737E-4</v>
      </c>
      <c r="S28" s="256">
        <v>0.20275618135929108</v>
      </c>
      <c r="T28" s="23">
        <v>7.0366947911679745E-3</v>
      </c>
      <c r="U28"/>
      <c r="V28"/>
      <c r="W28"/>
      <c r="X28"/>
      <c r="Y28"/>
      <c r="Z28"/>
      <c r="AA28"/>
      <c r="AB28"/>
      <c r="AC28" s="12">
        <v>6.0951621271669865E-3</v>
      </c>
      <c r="AD28"/>
      <c r="AE28" s="259">
        <v>0.25</v>
      </c>
      <c r="AF28" s="24">
        <v>3.8711760193109512E-2</v>
      </c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219</v>
      </c>
      <c r="B29">
        <v>0.66750001907348633</v>
      </c>
      <c r="C29">
        <v>3.3375248312950134E-2</v>
      </c>
      <c r="D29" s="220">
        <v>1.5846222639083862E-2</v>
      </c>
      <c r="E29" s="13">
        <v>2.5236167013645172E-2</v>
      </c>
      <c r="F29" s="254">
        <v>0.13435092568397522</v>
      </c>
      <c r="G29" s="21">
        <v>1.2540176510810852E-2</v>
      </c>
      <c r="H29" s="14">
        <v>1.2868905905634165E-3</v>
      </c>
      <c r="I29" s="11">
        <v>4.7833169810473919E-4</v>
      </c>
      <c r="J29" s="228">
        <v>3.2296612858772278E-2</v>
      </c>
      <c r="K29" s="248">
        <v>6.0186494141817093E-2</v>
      </c>
      <c r="L29" s="17">
        <v>8.6451973766088486E-3</v>
      </c>
      <c r="M29" s="14">
        <v>1.6153827309608459E-3</v>
      </c>
      <c r="N29" s="12">
        <v>2.1771138999611139E-3</v>
      </c>
      <c r="O29" s="12">
        <v>2.5220357347279787E-3</v>
      </c>
      <c r="P29"/>
      <c r="Q29" s="11">
        <v>3.7456478457897902E-4</v>
      </c>
      <c r="R29" s="220">
        <v>1.5838490799069405E-2</v>
      </c>
      <c r="S29" s="223">
        <v>2.1705903112888336E-2</v>
      </c>
      <c r="T29" s="67">
        <v>6.0966793447732925E-2</v>
      </c>
      <c r="U29"/>
      <c r="V29" s="25">
        <v>2.1347075700759888E-2</v>
      </c>
      <c r="W29" s="143">
        <v>4.0651794523000717E-2</v>
      </c>
      <c r="X29" s="23">
        <v>3.407488577067852E-3</v>
      </c>
      <c r="Y29"/>
      <c r="Z29" s="19">
        <v>1.2017292901873589E-2</v>
      </c>
      <c r="AA29"/>
      <c r="AB29"/>
      <c r="AC29"/>
      <c r="AD29"/>
      <c r="AE29" s="255">
        <v>0.16063380241394043</v>
      </c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220</v>
      </c>
      <c r="B30">
        <v>0.15999999642372131</v>
      </c>
      <c r="C30">
        <v>1.618737168610096E-2</v>
      </c>
      <c r="D30" s="221">
        <v>0.1128896102309227</v>
      </c>
      <c r="E30"/>
      <c r="F30"/>
      <c r="G30"/>
      <c r="H30" s="12">
        <v>6.5120513318106532E-4</v>
      </c>
      <c r="I30" s="228">
        <v>7.6863639988005161E-3</v>
      </c>
      <c r="J30"/>
      <c r="K30"/>
      <c r="L30" s="16">
        <v>2.5714284274727106E-3</v>
      </c>
      <c r="M30"/>
      <c r="N30"/>
      <c r="O30"/>
      <c r="P30"/>
      <c r="Q30" s="15">
        <v>1.4799002092331648E-3</v>
      </c>
      <c r="R30"/>
      <c r="S30"/>
      <c r="T30"/>
      <c r="U30"/>
      <c r="V30" s="14">
        <v>4.0768750477582216E-4</v>
      </c>
      <c r="W30" s="70">
        <v>1.1286994442343712E-2</v>
      </c>
      <c r="X30" s="16">
        <v>2.6422196533530951E-3</v>
      </c>
      <c r="Y30"/>
      <c r="Z30" s="19">
        <v>2.7034061495214701E-3</v>
      </c>
      <c r="AA30"/>
      <c r="AB30"/>
      <c r="AC30" s="15">
        <v>1.4938045060262084E-3</v>
      </c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221</v>
      </c>
      <c r="B31">
        <v>0.30000001192092896</v>
      </c>
      <c r="C31">
        <v>0.211922287940979</v>
      </c>
      <c r="D31" s="11">
        <v>1.5079363947734237E-4</v>
      </c>
      <c r="E31"/>
      <c r="F31" s="28">
        <v>1.4136107638478279E-2</v>
      </c>
      <c r="G31" s="22">
        <v>2.6300477329641581E-3</v>
      </c>
      <c r="H31" s="14">
        <v>6.8960676435381174E-4</v>
      </c>
      <c r="I31" s="18">
        <v>3.5199006088078022E-3</v>
      </c>
      <c r="J31"/>
      <c r="K31" s="14">
        <v>3.1548007973469794E-4</v>
      </c>
      <c r="L31" s="17">
        <v>4.1333809494972229E-3</v>
      </c>
      <c r="M31" s="22">
        <v>2.4453348014503717E-3</v>
      </c>
      <c r="N31" s="14">
        <v>6.0626107733696699E-4</v>
      </c>
      <c r="O31" s="11">
        <v>2.2352286032401025E-4</v>
      </c>
      <c r="P31" s="14">
        <v>4.7714289394207299E-4</v>
      </c>
      <c r="Q31" s="22">
        <v>2.5704375002533197E-3</v>
      </c>
      <c r="R31" s="11">
        <v>1.0395336721558124E-4</v>
      </c>
      <c r="S31"/>
      <c r="T31" s="23">
        <v>1.8020118586719036E-3</v>
      </c>
      <c r="U31"/>
      <c r="V31" s="11">
        <v>1.0982835374306887E-4</v>
      </c>
      <c r="W31" s="23">
        <v>1.4775415183976293E-3</v>
      </c>
      <c r="X31" s="15">
        <v>2.7258428744971752E-3</v>
      </c>
      <c r="Y31" s="17">
        <v>4.1443812660872936E-3</v>
      </c>
      <c r="Z31" s="138">
        <v>3.6108773201704025E-2</v>
      </c>
      <c r="AA31"/>
      <c r="AB31"/>
      <c r="AC31"/>
      <c r="AD31"/>
      <c r="AE31"/>
      <c r="AF31" s="220">
        <v>7.2288103401660919E-3</v>
      </c>
      <c r="AG31" s="22">
        <v>2.478571143001318E-3</v>
      </c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222</v>
      </c>
      <c r="B32">
        <v>1.7000000476837158</v>
      </c>
      <c r="C32">
        <v>8.5000127553939819E-2</v>
      </c>
      <c r="D32" s="14">
        <v>2.5273642968386412E-3</v>
      </c>
      <c r="E32"/>
      <c r="F32" s="11">
        <v>5.9655605582520366E-5</v>
      </c>
      <c r="G32" s="11">
        <v>7.3253636946901679E-4</v>
      </c>
      <c r="H32" s="14">
        <v>2.8917670715600252E-3</v>
      </c>
      <c r="I32" s="23">
        <v>1.0480907745659351E-2</v>
      </c>
      <c r="J32" s="12">
        <v>6.1856941320002079E-3</v>
      </c>
      <c r="K32" s="270">
        <v>0.54534852504730225</v>
      </c>
      <c r="L32" s="14">
        <v>4.2846300639212132E-3</v>
      </c>
      <c r="M32" s="23">
        <v>9.9969422444701195E-3</v>
      </c>
      <c r="N32" s="11">
        <v>2.5328909396193922E-4</v>
      </c>
      <c r="O32" s="14">
        <v>3.9869793690741062E-3</v>
      </c>
      <c r="P32" s="14">
        <v>3.7609746214002371E-3</v>
      </c>
      <c r="Q32" s="11">
        <v>1.1584961321204901E-3</v>
      </c>
      <c r="R32" s="11">
        <v>1.4098356477916241E-3</v>
      </c>
      <c r="S32" s="264">
        <v>0.11722968518733978</v>
      </c>
      <c r="T32" s="22">
        <v>1.4566962607204914E-2</v>
      </c>
      <c r="U32" s="11">
        <v>9.6370134269818664E-4</v>
      </c>
      <c r="V32" s="11">
        <v>1.3060024939477444E-3</v>
      </c>
      <c r="W32" s="23">
        <v>9.8776714876294136E-3</v>
      </c>
      <c r="X32" s="11">
        <v>1.661972957663238E-3</v>
      </c>
      <c r="Y32" s="23">
        <v>9.4965118914842606E-3</v>
      </c>
      <c r="Z32" s="17">
        <v>2.2322183474898338E-2</v>
      </c>
      <c r="AA32" s="266">
        <v>0.25869348645210266</v>
      </c>
      <c r="AB32" s="242">
        <v>0.45095795392990112</v>
      </c>
      <c r="AC32"/>
      <c r="AD32" s="74">
        <v>0.13252820074558258</v>
      </c>
      <c r="AE32"/>
      <c r="AF32"/>
      <c r="AG32" s="14">
        <v>2.3179119452834129E-3</v>
      </c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223</v>
      </c>
      <c r="B33">
        <v>0.60000002384185791</v>
      </c>
      <c r="C33">
        <v>0.57817107439041138</v>
      </c>
      <c r="D33" s="11">
        <v>3.6781788367079571E-5</v>
      </c>
      <c r="E33"/>
      <c r="F33"/>
      <c r="G33" s="11">
        <v>1.5606876695528626E-4</v>
      </c>
      <c r="H33" s="11">
        <v>5.7226043281843886E-5</v>
      </c>
      <c r="I33" s="11">
        <v>7.4568282570908195E-7</v>
      </c>
      <c r="J33"/>
      <c r="K33"/>
      <c r="L33" s="14">
        <v>7.3586369398981333E-4</v>
      </c>
      <c r="M33" s="11">
        <v>4.7402098425664008E-4</v>
      </c>
      <c r="N33" s="11">
        <v>1.7987964611165808E-6</v>
      </c>
      <c r="O33" s="11">
        <v>2.893050441343803E-5</v>
      </c>
      <c r="P33" s="11">
        <v>3.6808163713430986E-5</v>
      </c>
      <c r="Q33" s="11">
        <v>1.0094144045069697E-6</v>
      </c>
      <c r="R33"/>
      <c r="S33"/>
      <c r="T33"/>
      <c r="U33"/>
      <c r="V33"/>
      <c r="W33" s="11">
        <v>1.3371416685004078E-7</v>
      </c>
      <c r="X33" s="11">
        <v>1.1161336442455649E-4</v>
      </c>
      <c r="Y33" s="11">
        <v>2.8839937294833362E-4</v>
      </c>
      <c r="Z33" s="11">
        <v>4.9127609236165881E-4</v>
      </c>
      <c r="AA33"/>
      <c r="AB33" s="22">
        <v>4.3794987723231316E-3</v>
      </c>
      <c r="AC33"/>
      <c r="AD33"/>
      <c r="AE33"/>
      <c r="AF33"/>
      <c r="AG33" s="14">
        <v>1.4099352993071079E-3</v>
      </c>
      <c r="AH33" s="220">
        <v>1.3618858531117439E-2</v>
      </c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 t="s">
        <v>224</v>
      </c>
      <c r="B34">
        <v>2</v>
      </c>
      <c r="C34">
        <v>1.0774469375610352</v>
      </c>
      <c r="D34"/>
      <c r="E34"/>
      <c r="F34" s="11">
        <v>1.3606942957267165E-4</v>
      </c>
      <c r="G34" s="11">
        <v>8.3542696665972471E-4</v>
      </c>
      <c r="H34" s="11">
        <v>1.5227861877065152E-4</v>
      </c>
      <c r="I34" s="11">
        <v>1.3448887038975954E-3</v>
      </c>
      <c r="J34"/>
      <c r="K34"/>
      <c r="L34" s="13">
        <v>7.3395609855651855E-2</v>
      </c>
      <c r="M34" s="23">
        <v>1.2684596702456474E-2</v>
      </c>
      <c r="N34"/>
      <c r="O34" s="11">
        <v>2.7494945243233815E-5</v>
      </c>
      <c r="P34" s="25">
        <v>6.3277564942836761E-2</v>
      </c>
      <c r="Q34" s="14">
        <v>2.1813686471432447E-3</v>
      </c>
      <c r="R34" s="11">
        <v>1.390798843203811E-5</v>
      </c>
      <c r="S34" s="11">
        <v>1.1294117575744167E-4</v>
      </c>
      <c r="T34" s="11">
        <v>1.3795161066809669E-5</v>
      </c>
      <c r="U34"/>
      <c r="V34"/>
      <c r="W34" s="11">
        <v>4.0808779885992408E-4</v>
      </c>
      <c r="X34" s="11">
        <v>9.2487118672579527E-4</v>
      </c>
      <c r="Y34" s="23">
        <v>1.2315226718783379E-2</v>
      </c>
      <c r="Z34" s="23">
        <v>1.2029331177473068E-2</v>
      </c>
      <c r="AA34" s="268">
        <v>0.47742539644241333</v>
      </c>
      <c r="AB34"/>
      <c r="AC34"/>
      <c r="AD34"/>
      <c r="AE34"/>
      <c r="AF34"/>
      <c r="AG34" s="14">
        <v>3.3543563913553953E-3</v>
      </c>
      <c r="AH34" s="223">
        <v>6.8612247705459595E-2</v>
      </c>
      <c r="AI34" s="250">
        <v>0.19330765306949615</v>
      </c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 t="s">
        <v>225</v>
      </c>
      <c r="B35">
        <v>0.69999998807907104</v>
      </c>
      <c r="C35">
        <v>0.69593971967697144</v>
      </c>
      <c r="D35" s="14">
        <v>1.3954703463241458E-3</v>
      </c>
      <c r="E35"/>
      <c r="F35" s="11">
        <v>2.8209515221533366E-5</v>
      </c>
      <c r="G35" s="11">
        <v>1.7319826292805374E-4</v>
      </c>
      <c r="H35" s="11">
        <v>3.6281892334955046E-6</v>
      </c>
      <c r="I35" s="11">
        <v>3.3018291105690878E-6</v>
      </c>
      <c r="J35"/>
      <c r="K35"/>
      <c r="L35" s="11">
        <v>3.1700695399194956E-4</v>
      </c>
      <c r="M35" s="11">
        <v>1.6857264563441277E-4</v>
      </c>
      <c r="N35"/>
      <c r="O35" s="11">
        <v>3.2105803256854415E-5</v>
      </c>
      <c r="P35" s="11">
        <v>2.3251984384842217E-4</v>
      </c>
      <c r="Q35" s="11">
        <v>1.0913159087522217E-7</v>
      </c>
      <c r="R35" s="11">
        <v>1.1890683708770666E-5</v>
      </c>
      <c r="S35"/>
      <c r="T35"/>
      <c r="U35"/>
      <c r="V35"/>
      <c r="W35" s="11">
        <v>3.6108256153966067E-6</v>
      </c>
      <c r="X35" s="11">
        <v>1.9076189346378669E-5</v>
      </c>
      <c r="Y35" s="11">
        <v>4.2545225005596876E-4</v>
      </c>
      <c r="Z35" s="11">
        <v>3.9456543163396418E-5</v>
      </c>
      <c r="AA35"/>
      <c r="AB35"/>
      <c r="AC35"/>
      <c r="AD35"/>
      <c r="AE35"/>
      <c r="AF35"/>
      <c r="AG35" s="11">
        <v>4.4017211621394381E-5</v>
      </c>
      <c r="AH35" s="14">
        <v>1.1626463383436203E-3</v>
      </c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 t="s">
        <v>226</v>
      </c>
      <c r="B36">
        <v>2.5</v>
      </c>
      <c r="C36">
        <v>0.48684850335121155</v>
      </c>
      <c r="D36"/>
      <c r="E36"/>
      <c r="F36" s="11">
        <v>3.3045432064682245E-4</v>
      </c>
      <c r="G36" s="11">
        <v>2.0288939122110605E-3</v>
      </c>
      <c r="H36" s="11">
        <v>3.6000029649585485E-4</v>
      </c>
      <c r="I36" s="14">
        <v>6.0106883756816387E-3</v>
      </c>
      <c r="J36" s="11">
        <v>6.5885367803275585E-5</v>
      </c>
      <c r="K36" s="12">
        <v>8.8774748146533966E-3</v>
      </c>
      <c r="L36" s="19">
        <v>4.3915592133998871E-2</v>
      </c>
      <c r="M36" s="22">
        <v>1.7290011048316956E-2</v>
      </c>
      <c r="N36"/>
      <c r="O36"/>
      <c r="P36" s="17">
        <v>3.3348195254802704E-2</v>
      </c>
      <c r="Q36" s="14">
        <v>4.0468457154929638E-3</v>
      </c>
      <c r="R36" s="12">
        <v>7.5478400103747845E-3</v>
      </c>
      <c r="S36" s="24">
        <v>6.693200021982193E-2</v>
      </c>
      <c r="T36" s="14">
        <v>2.7585385832935572E-3</v>
      </c>
      <c r="U36"/>
      <c r="V36" s="11">
        <v>2.5070642004720867E-4</v>
      </c>
      <c r="W36" s="14">
        <v>4.2357016354799271E-3</v>
      </c>
      <c r="X36" s="11">
        <v>2.3581103887408972E-3</v>
      </c>
      <c r="Y36" s="14">
        <v>2.9283917974680662E-3</v>
      </c>
      <c r="Z36" s="22">
        <v>1.7664395272731781E-2</v>
      </c>
      <c r="AA36"/>
      <c r="AB36" s="11">
        <v>3.9072000072337687E-4</v>
      </c>
      <c r="AC36" s="11">
        <v>9.3896276666782796E-5</v>
      </c>
      <c r="AD36" s="267">
        <v>0.79795920848846436</v>
      </c>
      <c r="AE36"/>
      <c r="AF36"/>
      <c r="AG36" s="22">
        <v>2.1420832723379135E-2</v>
      </c>
      <c r="AH36" s="254">
        <v>0.50287574529647827</v>
      </c>
      <c r="AI36" s="265">
        <v>0.46946141123771667</v>
      </c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 t="s">
        <v>227</v>
      </c>
      <c r="B37">
        <v>3.0399999618530273</v>
      </c>
      <c r="C37">
        <v>0.15200003981590271</v>
      </c>
      <c r="D37"/>
      <c r="E37" s="16">
        <v>4.5050386339426041E-2</v>
      </c>
      <c r="F37"/>
      <c r="G37" s="14">
        <v>8.2481969147920609E-3</v>
      </c>
      <c r="H37" s="11">
        <v>1.1548089241841808E-4</v>
      </c>
      <c r="I37" s="14">
        <v>4.5671048574149609E-3</v>
      </c>
      <c r="J37" s="12">
        <v>1.1189855635166168E-2</v>
      </c>
      <c r="K37" s="223">
        <v>0.10076861828565598</v>
      </c>
      <c r="L37" s="12">
        <v>1.4231470413506031E-2</v>
      </c>
      <c r="M37" s="14">
        <v>4.8713288269937038E-3</v>
      </c>
      <c r="N37"/>
      <c r="O37" s="11">
        <v>1.1683583725243807E-3</v>
      </c>
      <c r="P37" s="23">
        <v>2.0526017993688583E-2</v>
      </c>
      <c r="Q37" s="11">
        <v>2.5326365139335394E-3</v>
      </c>
      <c r="R37" s="11">
        <v>9.5732857516850345E-6</v>
      </c>
      <c r="S37" s="22">
        <v>2.1571693941950798E-2</v>
      </c>
      <c r="T37" s="23">
        <v>1.5555474907159805E-2</v>
      </c>
      <c r="U37" s="14">
        <v>7.9593546688556671E-3</v>
      </c>
      <c r="V37" s="11">
        <v>2.890285941248294E-6</v>
      </c>
      <c r="W37" s="11">
        <v>5.4408499272540212E-4</v>
      </c>
      <c r="X37" s="11">
        <v>2.2270280169323087E-4</v>
      </c>
      <c r="Y37" s="14">
        <v>3.3516418188810349E-3</v>
      </c>
      <c r="Z37" s="18">
        <v>3.4565001726150513E-2</v>
      </c>
      <c r="AA37" s="269">
        <v>0.17321629822254181</v>
      </c>
      <c r="AB37" s="272">
        <v>0.95167255401611328</v>
      </c>
      <c r="AC37" s="11">
        <v>1.3306511391419917E-5</v>
      </c>
      <c r="AD37" s="266">
        <v>0.46477025747299194</v>
      </c>
      <c r="AE37" s="15">
        <v>2.7507398277521133E-2</v>
      </c>
      <c r="AF37" s="22">
        <v>2.4264369159936905E-2</v>
      </c>
      <c r="AG37" s="11">
        <v>1.57896988093853E-3</v>
      </c>
      <c r="AH37" s="22">
        <v>2.5686860084533691E-2</v>
      </c>
      <c r="AI37" s="271">
        <v>0.53223776817321777</v>
      </c>
      <c r="AJ37"/>
      <c r="AK37"/>
      <c r="AL37"/>
      <c r="AM37"/>
      <c r="AN37" s="261">
        <v>0.38999998569488525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 t="s">
        <v>228</v>
      </c>
      <c r="B38">
        <v>8.3999996185302734</v>
      </c>
      <c r="C38">
        <v>0.35993963479995728</v>
      </c>
      <c r="D38"/>
      <c r="E38" s="11">
        <v>2.1727553103119135E-3</v>
      </c>
      <c r="F38"/>
      <c r="G38"/>
      <c r="H38" s="11">
        <v>3.6554836697177961E-5</v>
      </c>
      <c r="I38" s="11">
        <v>9.6835228760028258E-6</v>
      </c>
      <c r="J38" s="11">
        <v>3.8623529690084979E-5</v>
      </c>
      <c r="K38" s="11">
        <v>2.9395453748293221E-4</v>
      </c>
      <c r="L38" s="11">
        <v>1.6633350169286132E-3</v>
      </c>
      <c r="M38"/>
      <c r="N38"/>
      <c r="O38"/>
      <c r="P38"/>
      <c r="Q38" s="11">
        <v>6.6728302044793963E-5</v>
      </c>
      <c r="R38" s="11">
        <v>6.1106197790650185E-6</v>
      </c>
      <c r="S38" s="11">
        <v>2.8000000747852027E-4</v>
      </c>
      <c r="T38" s="11">
        <v>6.4448756165802479E-4</v>
      </c>
      <c r="U38" s="11">
        <v>3.2564380671828985E-3</v>
      </c>
      <c r="V38"/>
      <c r="W38"/>
      <c r="X38" s="11">
        <v>2.0378456611069851E-5</v>
      </c>
      <c r="Y38"/>
      <c r="Z38" s="11">
        <v>1.8923843526863493E-5</v>
      </c>
      <c r="AA38" s="15">
        <v>7.9791948199272156E-2</v>
      </c>
      <c r="AB38" s="18">
        <v>0.10019467025995255</v>
      </c>
      <c r="AC38"/>
      <c r="AD38" s="28">
        <v>0.39366587996482849</v>
      </c>
      <c r="AE38" s="14">
        <v>2.1616088226437569E-2</v>
      </c>
      <c r="AF38" s="14">
        <v>1.0619147680699825E-2</v>
      </c>
      <c r="AG38"/>
      <c r="AH38"/>
      <c r="AI38" s="139">
        <v>0.83649486303329468</v>
      </c>
      <c r="AJ38"/>
      <c r="AK38"/>
      <c r="AL38"/>
      <c r="AM38"/>
      <c r="AN38" s="275">
        <v>6.5891690254211426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 t="s">
        <v>229</v>
      </c>
      <c r="B39">
        <v>52.1976318359375</v>
      </c>
      <c r="C39">
        <v>12.766264915466309</v>
      </c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 s="11">
        <v>2.9037657077424228E-4</v>
      </c>
      <c r="AA39"/>
      <c r="AB39"/>
      <c r="AC39"/>
      <c r="AD39"/>
      <c r="AE39"/>
      <c r="AF39"/>
      <c r="AG39"/>
      <c r="AH39"/>
      <c r="AI39" s="23">
        <v>0.29923215508460999</v>
      </c>
      <c r="AJ39"/>
      <c r="AK39"/>
      <c r="AL39" s="273">
        <v>5.1241521835327148</v>
      </c>
      <c r="AM39"/>
      <c r="AN39" s="274">
        <v>5.7266578674316406</v>
      </c>
      <c r="AO39" s="276">
        <v>28.281034469604492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 t="s">
        <v>230</v>
      </c>
      <c r="B40"/>
      <c r="C40">
        <v>0.90665864944458008</v>
      </c>
      <c r="D40"/>
      <c r="E40"/>
      <c r="F40"/>
      <c r="G40" s="9">
        <v>1.0262341238558292E-2</v>
      </c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 s="9">
        <v>8.1474805483594537E-5</v>
      </c>
      <c r="Y40"/>
      <c r="Z40"/>
      <c r="AA40"/>
      <c r="AB40" s="9">
        <v>1.8233599662780762</v>
      </c>
      <c r="AC40"/>
      <c r="AD40"/>
      <c r="AE40"/>
      <c r="AF40"/>
      <c r="AG40" s="9">
        <v>3.6960035562515259E-2</v>
      </c>
      <c r="AH40" s="9">
        <v>0.5670056939125061</v>
      </c>
      <c r="AI40" s="9">
        <v>80.512626647949219</v>
      </c>
      <c r="AJ40" s="9">
        <v>426.78997802734375</v>
      </c>
      <c r="AK40" s="9">
        <v>330.81997680664062</v>
      </c>
      <c r="AL40" s="9">
        <v>223.22221374511719</v>
      </c>
      <c r="AM40" s="9">
        <v>61.25</v>
      </c>
      <c r="AN40" s="9">
        <v>121.36330413818359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 t="s">
        <v>231</v>
      </c>
      <c r="B41"/>
      <c r="C41">
        <v>0</v>
      </c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topLeftCell="A17"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3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1" t="s">
        <v>166</v>
      </c>
    </row>
    <row r="2" spans="1:12" x14ac:dyDescent="0.15">
      <c r="A2" s="1" t="s">
        <v>37</v>
      </c>
      <c r="B2" s="38">
        <v>3</v>
      </c>
      <c r="C2" s="36"/>
      <c r="D2" t="s">
        <v>38</v>
      </c>
      <c r="E2">
        <v>1</v>
      </c>
      <c r="F2">
        <v>1</v>
      </c>
      <c r="G2">
        <v>1</v>
      </c>
      <c r="H2" t="s">
        <v>38</v>
      </c>
      <c r="J2" s="54"/>
      <c r="K2" s="55"/>
      <c r="L2" s="61" t="s">
        <v>167</v>
      </c>
    </row>
    <row r="3" spans="1:12" ht="14" thickBot="1" x14ac:dyDescent="0.2">
      <c r="A3" s="1" t="s">
        <v>39</v>
      </c>
      <c r="B3" s="39">
        <v>0</v>
      </c>
      <c r="C3" s="36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6"/>
      <c r="K3" s="57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6"/>
      <c r="K4" s="57"/>
    </row>
    <row r="5" spans="1:12" x14ac:dyDescent="0.15">
      <c r="D5" s="193" t="s">
        <v>192</v>
      </c>
      <c r="E5">
        <v>4</v>
      </c>
      <c r="F5">
        <v>3.13</v>
      </c>
      <c r="G5">
        <v>4</v>
      </c>
      <c r="H5" s="194" t="s">
        <v>192</v>
      </c>
      <c r="J5" s="56"/>
      <c r="K5" s="57"/>
    </row>
    <row r="6" spans="1:12" ht="14" thickBot="1" x14ac:dyDescent="0.2">
      <c r="A6" s="40" t="s">
        <v>121</v>
      </c>
      <c r="D6" s="193" t="s">
        <v>193</v>
      </c>
      <c r="E6">
        <v>5</v>
      </c>
      <c r="F6">
        <v>3.13</v>
      </c>
      <c r="G6">
        <v>5</v>
      </c>
      <c r="H6" s="194" t="s">
        <v>193</v>
      </c>
      <c r="J6" s="56"/>
      <c r="K6" s="57"/>
    </row>
    <row r="7" spans="1:12" x14ac:dyDescent="0.15">
      <c r="A7" s="35" t="s">
        <v>126</v>
      </c>
      <c r="B7" s="42">
        <v>1</v>
      </c>
      <c r="C7" s="37"/>
      <c r="D7" s="193" t="s">
        <v>194</v>
      </c>
      <c r="E7">
        <v>6</v>
      </c>
      <c r="F7">
        <v>3.13</v>
      </c>
      <c r="G7">
        <v>6</v>
      </c>
      <c r="H7" s="194" t="s">
        <v>194</v>
      </c>
      <c r="J7" s="56"/>
      <c r="K7" s="57"/>
    </row>
    <row r="8" spans="1:12" x14ac:dyDescent="0.15">
      <c r="A8" s="35" t="s">
        <v>38</v>
      </c>
      <c r="B8" s="43">
        <v>1</v>
      </c>
      <c r="C8" s="37"/>
      <c r="D8" s="193" t="s">
        <v>195</v>
      </c>
      <c r="E8">
        <v>7</v>
      </c>
      <c r="F8">
        <v>3.22</v>
      </c>
      <c r="G8">
        <v>7</v>
      </c>
      <c r="H8" s="194" t="s">
        <v>195</v>
      </c>
      <c r="J8" s="56"/>
      <c r="K8" s="57"/>
    </row>
    <row r="9" spans="1:12" x14ac:dyDescent="0.15">
      <c r="A9" s="35" t="s">
        <v>40</v>
      </c>
      <c r="B9" s="43">
        <v>1.1000000000000001</v>
      </c>
      <c r="C9" s="37"/>
      <c r="D9" s="193" t="s">
        <v>196</v>
      </c>
      <c r="E9">
        <v>8</v>
      </c>
      <c r="F9">
        <v>3.22</v>
      </c>
      <c r="G9">
        <v>8</v>
      </c>
      <c r="H9" s="194" t="s">
        <v>196</v>
      </c>
      <c r="J9" s="56"/>
      <c r="K9" s="57"/>
    </row>
    <row r="10" spans="1:12" x14ac:dyDescent="0.15">
      <c r="A10" s="35" t="s">
        <v>41</v>
      </c>
      <c r="B10" s="43">
        <v>1.2</v>
      </c>
      <c r="C10" s="37"/>
      <c r="D10" s="193" t="s">
        <v>197</v>
      </c>
      <c r="E10">
        <v>9</v>
      </c>
      <c r="F10">
        <v>3.12</v>
      </c>
      <c r="G10">
        <v>9</v>
      </c>
      <c r="H10" s="194" t="s">
        <v>197</v>
      </c>
      <c r="J10" s="56"/>
      <c r="K10" s="57"/>
    </row>
    <row r="11" spans="1:12" ht="12" customHeight="1" x14ac:dyDescent="0.15">
      <c r="A11" s="41" t="s">
        <v>127</v>
      </c>
      <c r="B11" s="43">
        <v>2</v>
      </c>
      <c r="C11" s="37"/>
      <c r="D11" s="193" t="s">
        <v>198</v>
      </c>
      <c r="E11">
        <v>10</v>
      </c>
      <c r="F11">
        <v>3.12</v>
      </c>
      <c r="G11">
        <v>10</v>
      </c>
      <c r="H11" s="194" t="s">
        <v>198</v>
      </c>
      <c r="J11" s="56"/>
      <c r="K11" s="57"/>
    </row>
    <row r="12" spans="1:12" x14ac:dyDescent="0.15">
      <c r="A12" s="35" t="s">
        <v>42</v>
      </c>
      <c r="B12" s="43">
        <v>2.1</v>
      </c>
      <c r="C12" s="37"/>
      <c r="D12" s="193" t="s">
        <v>199</v>
      </c>
      <c r="E12">
        <v>11</v>
      </c>
      <c r="F12">
        <v>3.22</v>
      </c>
      <c r="G12">
        <v>11</v>
      </c>
      <c r="H12" s="194" t="s">
        <v>199</v>
      </c>
      <c r="J12" s="56"/>
      <c r="K12" s="57"/>
    </row>
    <row r="13" spans="1:12" x14ac:dyDescent="0.15">
      <c r="A13" s="35" t="s">
        <v>43</v>
      </c>
      <c r="B13" s="43">
        <v>2.2000000000000002</v>
      </c>
      <c r="C13" s="37"/>
      <c r="D13" s="193" t="s">
        <v>200</v>
      </c>
      <c r="E13">
        <v>12</v>
      </c>
      <c r="F13">
        <v>3.22</v>
      </c>
      <c r="G13">
        <v>12</v>
      </c>
      <c r="H13" s="194" t="s">
        <v>200</v>
      </c>
      <c r="J13" s="56"/>
      <c r="K13" s="57"/>
    </row>
    <row r="14" spans="1:12" x14ac:dyDescent="0.15">
      <c r="A14" s="35" t="s">
        <v>67</v>
      </c>
      <c r="B14" s="43">
        <v>2.2999999999999998</v>
      </c>
      <c r="C14" s="37"/>
      <c r="D14" s="193" t="s">
        <v>201</v>
      </c>
      <c r="E14">
        <v>13</v>
      </c>
      <c r="F14">
        <v>3.12</v>
      </c>
      <c r="G14">
        <v>13</v>
      </c>
      <c r="H14" s="194" t="s">
        <v>201</v>
      </c>
      <c r="J14" s="56"/>
      <c r="K14" s="57"/>
    </row>
    <row r="15" spans="1:12" x14ac:dyDescent="0.15">
      <c r="A15" s="41" t="s">
        <v>128</v>
      </c>
      <c r="B15" s="43">
        <v>3</v>
      </c>
      <c r="C15" s="37"/>
      <c r="D15" s="193" t="s">
        <v>202</v>
      </c>
      <c r="E15">
        <v>14</v>
      </c>
      <c r="F15">
        <v>3.22</v>
      </c>
      <c r="G15">
        <v>14</v>
      </c>
      <c r="H15" s="194" t="s">
        <v>202</v>
      </c>
      <c r="J15" s="56"/>
      <c r="K15" s="57"/>
    </row>
    <row r="16" spans="1:12" x14ac:dyDescent="0.15">
      <c r="A16" s="35" t="s">
        <v>62</v>
      </c>
      <c r="B16" s="43">
        <v>3.11</v>
      </c>
      <c r="C16" s="37"/>
      <c r="D16" s="193" t="s">
        <v>203</v>
      </c>
      <c r="E16">
        <v>15</v>
      </c>
      <c r="F16">
        <v>3.22</v>
      </c>
      <c r="G16">
        <v>15</v>
      </c>
      <c r="H16" s="194" t="s">
        <v>203</v>
      </c>
      <c r="J16" s="56"/>
      <c r="K16" s="57"/>
    </row>
    <row r="17" spans="1:12" x14ac:dyDescent="0.15">
      <c r="A17" s="35" t="s">
        <v>61</v>
      </c>
      <c r="B17" s="43">
        <v>3.12</v>
      </c>
      <c r="C17" s="37"/>
      <c r="D17" s="193" t="s">
        <v>204</v>
      </c>
      <c r="E17">
        <v>16</v>
      </c>
      <c r="F17">
        <v>3.22</v>
      </c>
      <c r="G17">
        <v>16</v>
      </c>
      <c r="H17" s="194" t="s">
        <v>204</v>
      </c>
      <c r="J17" s="56"/>
      <c r="K17" s="57"/>
    </row>
    <row r="18" spans="1:12" x14ac:dyDescent="0.15">
      <c r="A18" s="35" t="s">
        <v>68</v>
      </c>
      <c r="B18" s="43">
        <v>3.13</v>
      </c>
      <c r="C18" s="37"/>
      <c r="D18" s="193" t="s">
        <v>205</v>
      </c>
      <c r="E18">
        <v>17</v>
      </c>
      <c r="F18">
        <v>3.22</v>
      </c>
      <c r="G18">
        <v>17</v>
      </c>
      <c r="H18" s="194" t="s">
        <v>205</v>
      </c>
      <c r="J18" s="56"/>
      <c r="K18" s="57"/>
    </row>
    <row r="19" spans="1:12" x14ac:dyDescent="0.15">
      <c r="A19" s="35" t="s">
        <v>66</v>
      </c>
      <c r="B19" s="43">
        <v>3.21</v>
      </c>
      <c r="C19" s="37"/>
      <c r="D19" s="193" t="s">
        <v>206</v>
      </c>
      <c r="E19">
        <v>18</v>
      </c>
      <c r="F19">
        <v>3</v>
      </c>
      <c r="G19">
        <v>18</v>
      </c>
      <c r="H19" s="194" t="s">
        <v>206</v>
      </c>
      <c r="J19" s="56"/>
      <c r="K19" s="57"/>
    </row>
    <row r="20" spans="1:12" x14ac:dyDescent="0.15">
      <c r="A20" s="35" t="s">
        <v>63</v>
      </c>
      <c r="B20" s="43">
        <v>3.22</v>
      </c>
      <c r="C20" s="37"/>
      <c r="D20" s="193" t="s">
        <v>207</v>
      </c>
      <c r="E20">
        <v>19</v>
      </c>
      <c r="F20">
        <v>3.22</v>
      </c>
      <c r="G20">
        <v>19</v>
      </c>
      <c r="H20" s="194" t="s">
        <v>207</v>
      </c>
      <c r="J20" s="56"/>
      <c r="K20" s="57"/>
    </row>
    <row r="21" spans="1:12" ht="14" thickBot="1" x14ac:dyDescent="0.2">
      <c r="A21" s="35" t="s">
        <v>69</v>
      </c>
      <c r="B21" s="43">
        <v>3.23</v>
      </c>
      <c r="C21" s="37"/>
      <c r="D21" s="193" t="s">
        <v>208</v>
      </c>
      <c r="E21">
        <v>20</v>
      </c>
      <c r="F21">
        <v>3.12</v>
      </c>
      <c r="G21">
        <v>20</v>
      </c>
      <c r="H21" s="194" t="s">
        <v>208</v>
      </c>
      <c r="J21" s="58"/>
      <c r="K21" s="59"/>
      <c r="L21" s="61" t="s">
        <v>152</v>
      </c>
    </row>
    <row r="22" spans="1:12" x14ac:dyDescent="0.15">
      <c r="A22" s="35" t="s">
        <v>64</v>
      </c>
      <c r="B22" s="43">
        <v>8</v>
      </c>
      <c r="C22" s="37"/>
      <c r="D22" s="193" t="s">
        <v>209</v>
      </c>
      <c r="E22">
        <v>21</v>
      </c>
      <c r="F22">
        <v>3.2</v>
      </c>
      <c r="G22">
        <v>21</v>
      </c>
      <c r="H22" s="194" t="s">
        <v>209</v>
      </c>
    </row>
    <row r="23" spans="1:12" x14ac:dyDescent="0.15">
      <c r="A23" s="35" t="s">
        <v>129</v>
      </c>
      <c r="B23" s="43">
        <v>4</v>
      </c>
      <c r="C23" s="37"/>
      <c r="D23" s="193" t="s">
        <v>210</v>
      </c>
      <c r="E23">
        <v>22</v>
      </c>
      <c r="F23">
        <v>3.2</v>
      </c>
      <c r="G23">
        <v>22</v>
      </c>
      <c r="H23" s="194" t="s">
        <v>210</v>
      </c>
    </row>
    <row r="24" spans="1:12" x14ac:dyDescent="0.15">
      <c r="A24" s="35" t="s">
        <v>122</v>
      </c>
      <c r="B24" s="43">
        <v>4.0999999999999996</v>
      </c>
      <c r="C24" s="37"/>
      <c r="D24" s="193" t="s">
        <v>211</v>
      </c>
      <c r="E24">
        <v>23</v>
      </c>
      <c r="F24">
        <v>3.2</v>
      </c>
      <c r="G24">
        <v>23</v>
      </c>
      <c r="H24" s="194" t="s">
        <v>211</v>
      </c>
    </row>
    <row r="25" spans="1:12" x14ac:dyDescent="0.15">
      <c r="A25" s="35" t="s">
        <v>70</v>
      </c>
      <c r="B25" s="43">
        <v>4.2</v>
      </c>
      <c r="C25" s="37"/>
      <c r="D25" s="193" t="s">
        <v>212</v>
      </c>
      <c r="E25">
        <v>24</v>
      </c>
      <c r="F25">
        <v>3.22</v>
      </c>
      <c r="G25">
        <v>24</v>
      </c>
      <c r="H25" s="194" t="s">
        <v>212</v>
      </c>
    </row>
    <row r="26" spans="1:12" x14ac:dyDescent="0.15">
      <c r="A26" s="35" t="s">
        <v>123</v>
      </c>
      <c r="B26" s="43">
        <v>4.3</v>
      </c>
      <c r="C26" s="37"/>
      <c r="D26" s="193" t="s">
        <v>213</v>
      </c>
      <c r="E26">
        <v>25</v>
      </c>
      <c r="F26">
        <v>3.2</v>
      </c>
      <c r="G26">
        <v>25</v>
      </c>
      <c r="H26" s="194" t="s">
        <v>213</v>
      </c>
    </row>
    <row r="27" spans="1:12" x14ac:dyDescent="0.15">
      <c r="A27" s="35" t="s">
        <v>125</v>
      </c>
      <c r="B27" s="43">
        <v>6.1</v>
      </c>
      <c r="D27" s="193" t="s">
        <v>214</v>
      </c>
      <c r="E27">
        <v>26</v>
      </c>
      <c r="F27">
        <v>3.12</v>
      </c>
      <c r="G27">
        <v>26</v>
      </c>
      <c r="H27" s="194" t="s">
        <v>214</v>
      </c>
    </row>
    <row r="28" spans="1:12" x14ac:dyDescent="0.15">
      <c r="A28" s="35" t="s">
        <v>124</v>
      </c>
      <c r="B28" s="43">
        <v>6.2</v>
      </c>
      <c r="D28" s="193" t="s">
        <v>215</v>
      </c>
      <c r="E28">
        <v>27</v>
      </c>
      <c r="F28">
        <v>3.12</v>
      </c>
      <c r="G28">
        <v>27</v>
      </c>
      <c r="H28" s="194" t="s">
        <v>215</v>
      </c>
    </row>
    <row r="29" spans="1:12" x14ac:dyDescent="0.15">
      <c r="A29" s="35" t="s">
        <v>44</v>
      </c>
      <c r="B29" s="43">
        <v>5</v>
      </c>
      <c r="D29" s="193" t="s">
        <v>216</v>
      </c>
      <c r="E29">
        <v>28</v>
      </c>
      <c r="F29">
        <v>3.1</v>
      </c>
      <c r="G29">
        <v>28</v>
      </c>
      <c r="H29" s="194" t="s">
        <v>216</v>
      </c>
    </row>
    <row r="30" spans="1:12" x14ac:dyDescent="0.15">
      <c r="A30" s="35" t="s">
        <v>73</v>
      </c>
      <c r="B30" s="43">
        <v>7</v>
      </c>
      <c r="D30" s="193" t="s">
        <v>217</v>
      </c>
      <c r="E30">
        <v>29</v>
      </c>
      <c r="F30">
        <v>3.12</v>
      </c>
      <c r="G30">
        <v>29</v>
      </c>
      <c r="H30" s="194" t="s">
        <v>217</v>
      </c>
    </row>
    <row r="31" spans="1:12" x14ac:dyDescent="0.15">
      <c r="A31" s="35" t="s">
        <v>169</v>
      </c>
      <c r="B31" s="43">
        <v>3.14</v>
      </c>
      <c r="D31" s="193" t="s">
        <v>218</v>
      </c>
      <c r="E31">
        <v>30</v>
      </c>
      <c r="F31">
        <v>3.12</v>
      </c>
      <c r="G31">
        <v>30</v>
      </c>
      <c r="H31" s="194" t="s">
        <v>218</v>
      </c>
    </row>
    <row r="32" spans="1:12" ht="12" customHeight="1" thickBot="1" x14ac:dyDescent="0.2">
      <c r="A32" s="41" t="s">
        <v>170</v>
      </c>
      <c r="B32" s="44">
        <v>9</v>
      </c>
      <c r="D32" s="193" t="s">
        <v>219</v>
      </c>
      <c r="E32">
        <v>31</v>
      </c>
      <c r="F32">
        <v>3.12</v>
      </c>
      <c r="G32">
        <v>31</v>
      </c>
      <c r="H32" s="194" t="s">
        <v>219</v>
      </c>
    </row>
    <row r="33" spans="4:8" customFormat="1" ht="12" customHeight="1" x14ac:dyDescent="0.15">
      <c r="D33" s="193" t="s">
        <v>220</v>
      </c>
      <c r="E33">
        <v>32</v>
      </c>
      <c r="F33">
        <v>3.21</v>
      </c>
      <c r="G33">
        <v>32</v>
      </c>
      <c r="H33" s="194" t="s">
        <v>220</v>
      </c>
    </row>
    <row r="34" spans="4:8" customFormat="1" ht="12" customHeight="1" x14ac:dyDescent="0.15">
      <c r="D34" s="193" t="s">
        <v>221</v>
      </c>
      <c r="E34">
        <v>33</v>
      </c>
      <c r="F34">
        <v>3.21</v>
      </c>
      <c r="G34">
        <v>33</v>
      </c>
      <c r="H34" s="194" t="s">
        <v>221</v>
      </c>
    </row>
    <row r="35" spans="4:8" customFormat="1" x14ac:dyDescent="0.15">
      <c r="D35" s="193" t="s">
        <v>222</v>
      </c>
      <c r="E35">
        <v>34</v>
      </c>
      <c r="F35">
        <v>3</v>
      </c>
      <c r="G35">
        <v>34</v>
      </c>
      <c r="H35" s="194" t="s">
        <v>222</v>
      </c>
    </row>
    <row r="36" spans="4:8" customFormat="1" x14ac:dyDescent="0.15">
      <c r="D36" s="193" t="s">
        <v>223</v>
      </c>
      <c r="E36">
        <v>35</v>
      </c>
      <c r="F36">
        <v>3.21</v>
      </c>
      <c r="G36">
        <v>35</v>
      </c>
      <c r="H36" s="194" t="s">
        <v>223</v>
      </c>
    </row>
    <row r="37" spans="4:8" customFormat="1" ht="12" customHeight="1" x14ac:dyDescent="0.15">
      <c r="D37" s="193" t="s">
        <v>224</v>
      </c>
      <c r="E37">
        <v>36</v>
      </c>
      <c r="F37">
        <v>3.21</v>
      </c>
      <c r="G37">
        <v>36</v>
      </c>
      <c r="H37" s="194" t="s">
        <v>224</v>
      </c>
    </row>
    <row r="38" spans="4:8" customFormat="1" x14ac:dyDescent="0.15">
      <c r="D38" s="193" t="s">
        <v>225</v>
      </c>
      <c r="E38">
        <v>37</v>
      </c>
      <c r="F38">
        <v>3.21</v>
      </c>
      <c r="G38">
        <v>37</v>
      </c>
      <c r="H38" s="194" t="s">
        <v>225</v>
      </c>
    </row>
    <row r="39" spans="4:8" customFormat="1" x14ac:dyDescent="0.15">
      <c r="D39" s="193" t="s">
        <v>226</v>
      </c>
      <c r="E39">
        <v>38</v>
      </c>
      <c r="F39">
        <v>3</v>
      </c>
      <c r="G39">
        <v>38</v>
      </c>
      <c r="H39" s="194" t="s">
        <v>226</v>
      </c>
    </row>
    <row r="40" spans="4:8" customFormat="1" x14ac:dyDescent="0.15">
      <c r="D40" s="193" t="s">
        <v>227</v>
      </c>
      <c r="E40">
        <v>39</v>
      </c>
      <c r="F40">
        <v>3.11</v>
      </c>
      <c r="G40">
        <v>39</v>
      </c>
      <c r="H40" s="194" t="s">
        <v>227</v>
      </c>
    </row>
    <row r="41" spans="4:8" customFormat="1" x14ac:dyDescent="0.15">
      <c r="D41" s="193" t="s">
        <v>228</v>
      </c>
      <c r="E41">
        <v>40</v>
      </c>
      <c r="F41">
        <v>3.11</v>
      </c>
      <c r="G41">
        <v>40</v>
      </c>
      <c r="H41" s="194" t="s">
        <v>228</v>
      </c>
    </row>
    <row r="42" spans="4:8" customFormat="1" x14ac:dyDescent="0.15">
      <c r="D42" s="193" t="s">
        <v>229</v>
      </c>
      <c r="E42">
        <v>41</v>
      </c>
      <c r="F42">
        <v>2</v>
      </c>
      <c r="G42">
        <v>41</v>
      </c>
      <c r="H42" s="194" t="s">
        <v>229</v>
      </c>
    </row>
    <row r="43" spans="4:8" customFormat="1" x14ac:dyDescent="0.15">
      <c r="D43" s="193" t="s">
        <v>230</v>
      </c>
      <c r="E43">
        <v>42</v>
      </c>
      <c r="F43">
        <v>4.0999999999999996</v>
      </c>
      <c r="G43">
        <v>42</v>
      </c>
      <c r="H43" s="194" t="s">
        <v>230</v>
      </c>
    </row>
    <row r="44" spans="4:8" customFormat="1" x14ac:dyDescent="0.15">
      <c r="D44" s="193" t="s">
        <v>231</v>
      </c>
      <c r="E44">
        <v>43</v>
      </c>
      <c r="F44">
        <v>4.3</v>
      </c>
      <c r="G44">
        <v>43</v>
      </c>
      <c r="H44" s="194" t="s">
        <v>231</v>
      </c>
    </row>
    <row r="45" spans="4:8" customFormat="1" x14ac:dyDescent="0.15">
      <c r="D45" s="193" t="s">
        <v>232</v>
      </c>
      <c r="E45">
        <v>44</v>
      </c>
      <c r="F45">
        <v>5</v>
      </c>
      <c r="G45">
        <v>44</v>
      </c>
      <c r="H45" s="194" t="s">
        <v>232</v>
      </c>
    </row>
    <row r="46" spans="4:8" customFormat="1" x14ac:dyDescent="0.15">
      <c r="D46" s="193" t="s">
        <v>138</v>
      </c>
      <c r="E46">
        <v>45</v>
      </c>
      <c r="F46">
        <v>6.1</v>
      </c>
      <c r="G46">
        <v>45</v>
      </c>
      <c r="H46" s="194" t="s">
        <v>138</v>
      </c>
    </row>
    <row r="47" spans="4:8" customFormat="1" x14ac:dyDescent="0.15">
      <c r="D47" s="193" t="s">
        <v>45</v>
      </c>
      <c r="E47">
        <v>46</v>
      </c>
      <c r="F47">
        <v>6.2</v>
      </c>
      <c r="G47">
        <v>46</v>
      </c>
      <c r="H47" s="194" t="s">
        <v>45</v>
      </c>
    </row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opLeftCell="B1"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83" bestFit="1" customWidth="1"/>
    <col min="2" max="2" width="8.83203125" style="82" customWidth="1"/>
    <col min="3" max="3" width="13.1640625" style="82" customWidth="1"/>
    <col min="4" max="4" width="39.6640625" style="82" customWidth="1"/>
    <col min="5" max="5" width="8.1640625" style="82" customWidth="1"/>
    <col min="6" max="6" width="21.6640625" style="82" bestFit="1" customWidth="1"/>
    <col min="7" max="9" width="2.33203125" style="82" customWidth="1"/>
    <col min="10" max="10" width="2.33203125" style="82" bestFit="1" customWidth="1"/>
    <col min="11" max="15" width="2.33203125" style="82" customWidth="1"/>
    <col min="16" max="16" width="2.33203125" style="71" customWidth="1"/>
    <col min="17" max="17" width="2.33203125" style="82" customWidth="1"/>
    <col min="18" max="18" width="2.33203125" style="72" customWidth="1"/>
    <col min="19" max="16384" width="11.5" style="82"/>
  </cols>
  <sheetData>
    <row r="1" spans="1:23" ht="15" customHeight="1" thickBot="1" x14ac:dyDescent="0.2">
      <c r="F1" s="1"/>
      <c r="G1" s="69" t="s">
        <v>46</v>
      </c>
      <c r="H1" s="69" t="s">
        <v>47</v>
      </c>
      <c r="I1" s="69" t="s">
        <v>120</v>
      </c>
      <c r="J1" s="69" t="s">
        <v>132</v>
      </c>
      <c r="K1" s="84" t="s">
        <v>48</v>
      </c>
      <c r="L1" s="72"/>
      <c r="M1" s="84" t="s">
        <v>119</v>
      </c>
      <c r="N1" s="72"/>
      <c r="O1" s="84" t="s">
        <v>49</v>
      </c>
      <c r="P1" s="75"/>
      <c r="Q1" s="84" t="s">
        <v>50</v>
      </c>
      <c r="R1" s="69" t="s">
        <v>154</v>
      </c>
    </row>
    <row r="2" spans="1:23" ht="15" customHeight="1" x14ac:dyDescent="0.15">
      <c r="A2" s="84" t="s">
        <v>51</v>
      </c>
      <c r="B2" s="85">
        <v>0.5</v>
      </c>
      <c r="C2" s="83" t="s">
        <v>52</v>
      </c>
      <c r="D2" s="86"/>
      <c r="F2" s="1"/>
      <c r="G2" s="87"/>
      <c r="H2" s="87"/>
      <c r="I2" s="87" t="s">
        <v>133</v>
      </c>
      <c r="J2" s="87" t="s">
        <v>133</v>
      </c>
      <c r="K2" s="87" t="s">
        <v>52</v>
      </c>
      <c r="L2" s="87" t="s">
        <v>53</v>
      </c>
      <c r="M2" s="87" t="s">
        <v>52</v>
      </c>
      <c r="N2" s="87" t="s">
        <v>53</v>
      </c>
      <c r="O2" s="87" t="s">
        <v>52</v>
      </c>
      <c r="P2" s="88" t="s">
        <v>53</v>
      </c>
      <c r="Q2" s="87"/>
      <c r="R2" s="89" t="s">
        <v>155</v>
      </c>
    </row>
    <row r="3" spans="1:23" ht="15" customHeight="1" thickBot="1" x14ac:dyDescent="0.2">
      <c r="A3" s="84" t="s">
        <v>54</v>
      </c>
      <c r="B3" s="90">
        <v>0.5</v>
      </c>
      <c r="C3" s="83" t="s">
        <v>53</v>
      </c>
      <c r="D3" s="86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36">
        <v>0</v>
      </c>
      <c r="R3" s="37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36">
        <v>0</v>
      </c>
      <c r="R4" s="108">
        <v>0</v>
      </c>
    </row>
    <row r="5" spans="1:23" ht="15" customHeight="1" x14ac:dyDescent="0.15">
      <c r="A5" s="84" t="s">
        <v>55</v>
      </c>
      <c r="B5" s="91">
        <v>0.5</v>
      </c>
      <c r="C5" s="83" t="s">
        <v>52</v>
      </c>
      <c r="D5" s="86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36">
        <v>0</v>
      </c>
      <c r="R5" s="108">
        <v>0</v>
      </c>
    </row>
    <row r="6" spans="1:23" ht="15" customHeight="1" thickBot="1" x14ac:dyDescent="0.2">
      <c r="A6" s="84"/>
      <c r="B6" s="92">
        <v>0.5</v>
      </c>
      <c r="C6" s="83" t="s">
        <v>53</v>
      </c>
      <c r="D6" s="86"/>
      <c r="F6" s="195" t="s">
        <v>192</v>
      </c>
      <c r="G6" s="82">
        <v>0</v>
      </c>
      <c r="H6" s="82">
        <v>0</v>
      </c>
      <c r="I6" s="82">
        <v>0</v>
      </c>
      <c r="J6" s="82">
        <v>0</v>
      </c>
      <c r="K6" s="82">
        <v>1</v>
      </c>
      <c r="L6" s="82">
        <v>0</v>
      </c>
      <c r="M6" s="82">
        <v>1</v>
      </c>
      <c r="N6" s="82">
        <v>0</v>
      </c>
      <c r="O6" s="82">
        <v>1</v>
      </c>
      <c r="P6" s="71">
        <v>0</v>
      </c>
      <c r="Q6" s="82">
        <v>0</v>
      </c>
      <c r="R6" s="72">
        <v>1</v>
      </c>
      <c r="S6"/>
      <c r="T6"/>
    </row>
    <row r="7" spans="1:23" ht="15" customHeight="1" thickBot="1" x14ac:dyDescent="0.2">
      <c r="F7" s="195" t="s">
        <v>193</v>
      </c>
      <c r="G7" s="82">
        <v>0</v>
      </c>
      <c r="H7" s="82">
        <v>0</v>
      </c>
      <c r="I7" s="82">
        <v>0</v>
      </c>
      <c r="J7" s="82">
        <v>0</v>
      </c>
      <c r="K7" s="82">
        <v>1</v>
      </c>
      <c r="L7" s="82">
        <v>0</v>
      </c>
      <c r="M7" s="82">
        <v>1</v>
      </c>
      <c r="N7" s="82">
        <v>0</v>
      </c>
      <c r="O7" s="82">
        <v>1</v>
      </c>
      <c r="P7" s="71">
        <v>0</v>
      </c>
      <c r="Q7" s="82">
        <v>0</v>
      </c>
      <c r="R7" s="72">
        <v>1</v>
      </c>
      <c r="S7"/>
      <c r="T7"/>
    </row>
    <row r="8" spans="1:23" ht="15" customHeight="1" x14ac:dyDescent="0.15">
      <c r="A8" s="84" t="s">
        <v>56</v>
      </c>
      <c r="B8" s="91">
        <v>1</v>
      </c>
      <c r="C8" s="196" t="s">
        <v>229</v>
      </c>
      <c r="D8" s="86" t="s">
        <v>160</v>
      </c>
      <c r="F8" s="195" t="s">
        <v>194</v>
      </c>
      <c r="G8" s="82">
        <v>0</v>
      </c>
      <c r="H8" s="82">
        <v>0</v>
      </c>
      <c r="I8" s="82">
        <v>0</v>
      </c>
      <c r="J8" s="82">
        <v>0</v>
      </c>
      <c r="K8" s="82">
        <v>1</v>
      </c>
      <c r="L8" s="82">
        <v>0</v>
      </c>
      <c r="M8" s="82">
        <v>1</v>
      </c>
      <c r="N8" s="82">
        <v>0</v>
      </c>
      <c r="O8" s="82">
        <v>1</v>
      </c>
      <c r="P8" s="71">
        <v>0</v>
      </c>
      <c r="Q8" s="82">
        <v>0</v>
      </c>
      <c r="R8" s="72">
        <v>1</v>
      </c>
      <c r="S8"/>
      <c r="T8"/>
      <c r="W8"/>
    </row>
    <row r="9" spans="1:23" ht="15" customHeight="1" x14ac:dyDescent="0.15">
      <c r="A9" s="122" t="s">
        <v>168</v>
      </c>
      <c r="B9" s="93"/>
      <c r="C9" s="81"/>
      <c r="D9" s="86" t="s">
        <v>160</v>
      </c>
      <c r="F9" s="195" t="s">
        <v>195</v>
      </c>
      <c r="G9" s="82">
        <v>0</v>
      </c>
      <c r="H9" s="82">
        <v>0</v>
      </c>
      <c r="I9" s="82">
        <v>0</v>
      </c>
      <c r="J9" s="82">
        <v>0</v>
      </c>
      <c r="K9" s="82">
        <v>1</v>
      </c>
      <c r="L9" s="82">
        <v>0</v>
      </c>
      <c r="M9" s="82">
        <v>1</v>
      </c>
      <c r="N9" s="82">
        <v>0</v>
      </c>
      <c r="O9" s="82">
        <v>1</v>
      </c>
      <c r="P9" s="71">
        <v>0</v>
      </c>
      <c r="Q9" s="82">
        <v>0</v>
      </c>
      <c r="R9" s="72">
        <v>1</v>
      </c>
      <c r="S9"/>
      <c r="T9"/>
      <c r="W9"/>
    </row>
    <row r="10" spans="1:23" ht="15" customHeight="1" x14ac:dyDescent="0.15">
      <c r="B10" s="93"/>
      <c r="C10" s="81"/>
      <c r="D10" s="86" t="s">
        <v>160</v>
      </c>
      <c r="F10" s="195" t="s">
        <v>196</v>
      </c>
      <c r="G10" s="82">
        <v>0</v>
      </c>
      <c r="H10" s="82">
        <v>0</v>
      </c>
      <c r="I10" s="82">
        <v>0</v>
      </c>
      <c r="J10" s="82">
        <v>0</v>
      </c>
      <c r="K10" s="82">
        <v>1</v>
      </c>
      <c r="L10" s="82">
        <v>0</v>
      </c>
      <c r="M10" s="82">
        <v>1</v>
      </c>
      <c r="N10" s="82">
        <v>0</v>
      </c>
      <c r="O10" s="82">
        <v>1</v>
      </c>
      <c r="P10" s="71">
        <v>0</v>
      </c>
      <c r="Q10" s="82">
        <v>0</v>
      </c>
      <c r="R10" s="72">
        <v>1</v>
      </c>
      <c r="S10"/>
      <c r="T10"/>
      <c r="W10"/>
    </row>
    <row r="11" spans="1:23" ht="15" customHeight="1" x14ac:dyDescent="0.15">
      <c r="A11" s="84"/>
      <c r="B11" s="93"/>
      <c r="C11" s="96"/>
      <c r="D11" s="86" t="s">
        <v>160</v>
      </c>
      <c r="F11" s="195" t="s">
        <v>197</v>
      </c>
      <c r="G11" s="82">
        <v>0</v>
      </c>
      <c r="H11" s="82">
        <v>0</v>
      </c>
      <c r="I11" s="82">
        <v>0</v>
      </c>
      <c r="J11" s="82">
        <v>0</v>
      </c>
      <c r="K11" s="82">
        <v>1</v>
      </c>
      <c r="L11" s="82">
        <v>0</v>
      </c>
      <c r="M11" s="82">
        <v>1</v>
      </c>
      <c r="N11" s="82">
        <v>0</v>
      </c>
      <c r="O11" s="82">
        <v>1</v>
      </c>
      <c r="P11" s="71">
        <v>0</v>
      </c>
      <c r="Q11" s="82">
        <v>0</v>
      </c>
      <c r="R11" s="72">
        <v>1</v>
      </c>
      <c r="S11"/>
      <c r="T11"/>
      <c r="W11"/>
    </row>
    <row r="12" spans="1:23" ht="15" customHeight="1" x14ac:dyDescent="0.15">
      <c r="B12" s="93"/>
      <c r="C12" s="97"/>
      <c r="D12" s="86" t="s">
        <v>160</v>
      </c>
      <c r="F12" s="195" t="s">
        <v>198</v>
      </c>
      <c r="G12" s="82">
        <v>0</v>
      </c>
      <c r="H12" s="82">
        <v>0</v>
      </c>
      <c r="I12" s="82">
        <v>0</v>
      </c>
      <c r="J12" s="82">
        <v>0</v>
      </c>
      <c r="K12" s="82">
        <v>1</v>
      </c>
      <c r="L12" s="82">
        <v>0</v>
      </c>
      <c r="M12" s="82">
        <v>1</v>
      </c>
      <c r="N12" s="82">
        <v>0</v>
      </c>
      <c r="O12" s="82">
        <v>1</v>
      </c>
      <c r="P12" s="71">
        <v>0</v>
      </c>
      <c r="Q12" s="82">
        <v>0</v>
      </c>
      <c r="R12" s="72">
        <v>1</v>
      </c>
      <c r="S12"/>
      <c r="T12"/>
      <c r="W12"/>
    </row>
    <row r="13" spans="1:23" ht="15" customHeight="1" x14ac:dyDescent="0.15">
      <c r="B13" s="93"/>
      <c r="C13" s="97"/>
      <c r="D13" s="86" t="s">
        <v>160</v>
      </c>
      <c r="F13" s="195" t="s">
        <v>199</v>
      </c>
      <c r="G13" s="82">
        <v>0</v>
      </c>
      <c r="H13" s="82">
        <v>0</v>
      </c>
      <c r="I13" s="82">
        <v>0</v>
      </c>
      <c r="J13" s="82">
        <v>0</v>
      </c>
      <c r="K13" s="82">
        <v>1</v>
      </c>
      <c r="L13" s="82">
        <v>0</v>
      </c>
      <c r="M13" s="82">
        <v>1</v>
      </c>
      <c r="N13" s="82">
        <v>0</v>
      </c>
      <c r="O13" s="82">
        <v>1</v>
      </c>
      <c r="P13" s="71">
        <v>0</v>
      </c>
      <c r="Q13" s="82">
        <v>0</v>
      </c>
      <c r="R13" s="72">
        <v>1</v>
      </c>
      <c r="S13"/>
      <c r="T13"/>
      <c r="W13"/>
    </row>
    <row r="14" spans="1:23" ht="15" customHeight="1" x14ac:dyDescent="0.15">
      <c r="B14" s="93"/>
      <c r="C14" s="81"/>
      <c r="D14" s="86" t="s">
        <v>160</v>
      </c>
      <c r="F14" s="195" t="s">
        <v>200</v>
      </c>
      <c r="G14" s="82">
        <v>0</v>
      </c>
      <c r="H14" s="82">
        <v>0</v>
      </c>
      <c r="I14" s="82">
        <v>0</v>
      </c>
      <c r="J14" s="82">
        <v>0</v>
      </c>
      <c r="K14" s="82">
        <v>1</v>
      </c>
      <c r="L14" s="82">
        <v>0</v>
      </c>
      <c r="M14" s="82">
        <v>1</v>
      </c>
      <c r="N14" s="82">
        <v>0</v>
      </c>
      <c r="O14" s="82">
        <v>1</v>
      </c>
      <c r="P14" s="71">
        <v>0</v>
      </c>
      <c r="Q14" s="82">
        <v>0</v>
      </c>
      <c r="R14" s="72">
        <v>1</v>
      </c>
      <c r="S14"/>
      <c r="T14"/>
      <c r="W14"/>
    </row>
    <row r="15" spans="1:23" ht="15" customHeight="1" x14ac:dyDescent="0.15">
      <c r="B15" s="93"/>
      <c r="C15" s="81"/>
      <c r="D15" s="86" t="s">
        <v>160</v>
      </c>
      <c r="F15" s="195" t="s">
        <v>201</v>
      </c>
      <c r="G15" s="82">
        <v>0</v>
      </c>
      <c r="H15" s="82">
        <v>0</v>
      </c>
      <c r="I15" s="82">
        <v>0</v>
      </c>
      <c r="J15" s="82">
        <v>0</v>
      </c>
      <c r="K15" s="82">
        <v>1</v>
      </c>
      <c r="L15" s="82">
        <v>0</v>
      </c>
      <c r="M15" s="82">
        <v>1</v>
      </c>
      <c r="N15" s="82">
        <v>0</v>
      </c>
      <c r="O15" s="82">
        <v>1</v>
      </c>
      <c r="P15" s="71">
        <v>0</v>
      </c>
      <c r="Q15" s="82">
        <v>0</v>
      </c>
      <c r="R15" s="72">
        <v>1</v>
      </c>
      <c r="S15"/>
      <c r="T15"/>
      <c r="W15"/>
    </row>
    <row r="16" spans="1:23" ht="15" customHeight="1" x14ac:dyDescent="0.15">
      <c r="B16" s="93"/>
      <c r="C16" s="81"/>
      <c r="D16" s="86" t="s">
        <v>160</v>
      </c>
      <c r="F16" s="195" t="s">
        <v>202</v>
      </c>
      <c r="G16" s="82">
        <v>0</v>
      </c>
      <c r="H16" s="82">
        <v>0</v>
      </c>
      <c r="I16" s="82">
        <v>0</v>
      </c>
      <c r="J16" s="82">
        <v>0</v>
      </c>
      <c r="K16" s="82">
        <v>1</v>
      </c>
      <c r="L16" s="82">
        <v>0</v>
      </c>
      <c r="M16" s="82">
        <v>1</v>
      </c>
      <c r="N16" s="82">
        <v>0</v>
      </c>
      <c r="O16" s="82">
        <v>1</v>
      </c>
      <c r="P16" s="71">
        <v>0</v>
      </c>
      <c r="Q16" s="82">
        <v>0</v>
      </c>
      <c r="R16" s="72">
        <v>1</v>
      </c>
      <c r="S16"/>
      <c r="T16"/>
    </row>
    <row r="17" spans="1:20" ht="15" customHeight="1" thickBot="1" x14ac:dyDescent="0.2">
      <c r="B17" s="92"/>
      <c r="C17" s="81"/>
      <c r="D17" s="86" t="s">
        <v>160</v>
      </c>
      <c r="F17" s="195" t="s">
        <v>203</v>
      </c>
      <c r="G17" s="82">
        <v>0</v>
      </c>
      <c r="H17" s="82">
        <v>0</v>
      </c>
      <c r="I17" s="82">
        <v>0</v>
      </c>
      <c r="J17" s="82">
        <v>0</v>
      </c>
      <c r="K17" s="82">
        <v>1</v>
      </c>
      <c r="L17" s="82">
        <v>0</v>
      </c>
      <c r="M17" s="82">
        <v>1</v>
      </c>
      <c r="N17" s="82">
        <v>0</v>
      </c>
      <c r="O17" s="82">
        <v>1</v>
      </c>
      <c r="P17" s="71">
        <v>0</v>
      </c>
      <c r="Q17" s="82">
        <v>0</v>
      </c>
      <c r="R17" s="72">
        <v>1</v>
      </c>
      <c r="S17"/>
      <c r="T17"/>
    </row>
    <row r="18" spans="1:20" ht="15" customHeight="1" thickBot="1" x14ac:dyDescent="0.2">
      <c r="B18" s="94"/>
      <c r="F18" s="195" t="s">
        <v>204</v>
      </c>
      <c r="G18" s="82">
        <v>0</v>
      </c>
      <c r="H18" s="82">
        <v>0</v>
      </c>
      <c r="I18" s="82">
        <v>0</v>
      </c>
      <c r="J18" s="82">
        <v>0</v>
      </c>
      <c r="K18" s="82">
        <v>1</v>
      </c>
      <c r="L18" s="82">
        <v>0</v>
      </c>
      <c r="M18" s="82">
        <v>1</v>
      </c>
      <c r="N18" s="82">
        <v>0</v>
      </c>
      <c r="O18" s="82">
        <v>1</v>
      </c>
      <c r="P18" s="71">
        <v>0</v>
      </c>
      <c r="Q18" s="82">
        <v>0</v>
      </c>
      <c r="R18" s="72">
        <v>1</v>
      </c>
      <c r="S18"/>
      <c r="T18"/>
    </row>
    <row r="19" spans="1:20" ht="15" customHeight="1" x14ac:dyDescent="0.15">
      <c r="A19" s="84" t="s">
        <v>57</v>
      </c>
      <c r="B19" s="91">
        <v>1</v>
      </c>
      <c r="C19" s="197" t="s">
        <v>229</v>
      </c>
      <c r="D19" s="86" t="s">
        <v>160</v>
      </c>
      <c r="F19" s="195" t="s">
        <v>205</v>
      </c>
      <c r="G19" s="82">
        <v>0</v>
      </c>
      <c r="H19" s="82">
        <v>0</v>
      </c>
      <c r="I19" s="82">
        <v>0</v>
      </c>
      <c r="J19" s="82">
        <v>0</v>
      </c>
      <c r="K19" s="82">
        <v>1</v>
      </c>
      <c r="L19" s="82">
        <v>0</v>
      </c>
      <c r="M19" s="82">
        <v>1</v>
      </c>
      <c r="N19" s="82">
        <v>0</v>
      </c>
      <c r="O19" s="82">
        <v>1</v>
      </c>
      <c r="P19" s="71">
        <v>0</v>
      </c>
      <c r="Q19" s="82">
        <v>0</v>
      </c>
      <c r="R19" s="72">
        <v>1</v>
      </c>
      <c r="S19"/>
      <c r="T19"/>
    </row>
    <row r="20" spans="1:20" ht="15" customHeight="1" x14ac:dyDescent="0.15">
      <c r="A20" s="122" t="s">
        <v>168</v>
      </c>
      <c r="B20" s="93"/>
      <c r="C20" s="81"/>
      <c r="D20" s="86" t="s">
        <v>160</v>
      </c>
      <c r="F20" s="195" t="s">
        <v>206</v>
      </c>
      <c r="G20" s="82">
        <v>0</v>
      </c>
      <c r="H20" s="82">
        <v>0</v>
      </c>
      <c r="I20" s="82">
        <v>0</v>
      </c>
      <c r="J20" s="82">
        <v>0</v>
      </c>
      <c r="K20" s="82">
        <v>1</v>
      </c>
      <c r="L20" s="82">
        <v>0</v>
      </c>
      <c r="M20" s="82">
        <v>1</v>
      </c>
      <c r="N20" s="82">
        <v>0</v>
      </c>
      <c r="O20" s="82">
        <v>1</v>
      </c>
      <c r="P20" s="71">
        <v>0</v>
      </c>
      <c r="Q20" s="82">
        <v>0</v>
      </c>
      <c r="R20" s="72">
        <v>1</v>
      </c>
      <c r="S20"/>
      <c r="T20"/>
    </row>
    <row r="21" spans="1:20" ht="15" customHeight="1" x14ac:dyDescent="0.15">
      <c r="B21" s="93"/>
      <c r="C21" s="81"/>
      <c r="D21" s="86" t="s">
        <v>160</v>
      </c>
      <c r="F21" s="195" t="s">
        <v>207</v>
      </c>
      <c r="G21" s="82">
        <v>0</v>
      </c>
      <c r="H21" s="82">
        <v>0</v>
      </c>
      <c r="I21" s="82">
        <v>0</v>
      </c>
      <c r="J21" s="82">
        <v>0</v>
      </c>
      <c r="K21" s="82">
        <v>1</v>
      </c>
      <c r="L21" s="82">
        <v>0</v>
      </c>
      <c r="M21" s="82">
        <v>1</v>
      </c>
      <c r="N21" s="82">
        <v>0</v>
      </c>
      <c r="O21" s="82">
        <v>1</v>
      </c>
      <c r="P21" s="71">
        <v>0</v>
      </c>
      <c r="Q21" s="82">
        <v>0</v>
      </c>
      <c r="R21" s="72">
        <v>1</v>
      </c>
      <c r="S21"/>
      <c r="T21"/>
    </row>
    <row r="22" spans="1:20" ht="15" customHeight="1" x14ac:dyDescent="0.15">
      <c r="A22" s="82"/>
      <c r="B22" s="93"/>
      <c r="C22" s="96"/>
      <c r="D22" s="86" t="s">
        <v>160</v>
      </c>
      <c r="F22" s="195" t="s">
        <v>208</v>
      </c>
      <c r="G22" s="82">
        <v>0</v>
      </c>
      <c r="H22" s="82">
        <v>0</v>
      </c>
      <c r="I22" s="82">
        <v>0</v>
      </c>
      <c r="J22" s="82">
        <v>0</v>
      </c>
      <c r="K22" s="82">
        <v>1</v>
      </c>
      <c r="L22" s="82">
        <v>0</v>
      </c>
      <c r="M22" s="82">
        <v>1</v>
      </c>
      <c r="N22" s="82">
        <v>0</v>
      </c>
      <c r="O22" s="82">
        <v>1</v>
      </c>
      <c r="P22" s="71">
        <v>0</v>
      </c>
      <c r="Q22" s="82">
        <v>0</v>
      </c>
      <c r="R22" s="72">
        <v>1</v>
      </c>
      <c r="S22"/>
      <c r="T22"/>
    </row>
    <row r="23" spans="1:20" ht="15" customHeight="1" x14ac:dyDescent="0.15">
      <c r="A23" s="82"/>
      <c r="B23" s="93"/>
      <c r="C23" s="97"/>
      <c r="D23" s="86" t="s">
        <v>160</v>
      </c>
      <c r="F23" s="195" t="s">
        <v>209</v>
      </c>
      <c r="G23" s="82">
        <v>0</v>
      </c>
      <c r="H23" s="82">
        <v>0</v>
      </c>
      <c r="I23" s="82">
        <v>0</v>
      </c>
      <c r="J23" s="82">
        <v>0</v>
      </c>
      <c r="K23" s="82">
        <v>1</v>
      </c>
      <c r="L23" s="82">
        <v>0</v>
      </c>
      <c r="M23" s="82">
        <v>1</v>
      </c>
      <c r="N23" s="82">
        <v>0</v>
      </c>
      <c r="O23" s="82">
        <v>1</v>
      </c>
      <c r="P23" s="71">
        <v>0</v>
      </c>
      <c r="Q23" s="82">
        <v>0</v>
      </c>
      <c r="R23" s="72">
        <v>1</v>
      </c>
      <c r="S23"/>
      <c r="T23"/>
    </row>
    <row r="24" spans="1:20" ht="15" customHeight="1" x14ac:dyDescent="0.15">
      <c r="A24" s="82"/>
      <c r="B24" s="93"/>
      <c r="C24" s="97"/>
      <c r="D24" s="86" t="s">
        <v>160</v>
      </c>
      <c r="F24" s="195" t="s">
        <v>210</v>
      </c>
      <c r="G24" s="82">
        <v>0</v>
      </c>
      <c r="H24" s="82">
        <v>0</v>
      </c>
      <c r="I24" s="82">
        <v>0</v>
      </c>
      <c r="J24" s="82">
        <v>0</v>
      </c>
      <c r="K24" s="82">
        <v>1</v>
      </c>
      <c r="L24" s="82">
        <v>0</v>
      </c>
      <c r="M24" s="82">
        <v>1</v>
      </c>
      <c r="N24" s="82">
        <v>0</v>
      </c>
      <c r="O24" s="82">
        <v>1</v>
      </c>
      <c r="P24" s="71">
        <v>0</v>
      </c>
      <c r="Q24" s="82">
        <v>0</v>
      </c>
      <c r="R24" s="72">
        <v>1</v>
      </c>
      <c r="S24"/>
      <c r="T24"/>
    </row>
    <row r="25" spans="1:20" ht="15" customHeight="1" x14ac:dyDescent="0.15">
      <c r="A25" s="82"/>
      <c r="B25" s="93"/>
      <c r="C25" s="81"/>
      <c r="D25" s="86" t="s">
        <v>160</v>
      </c>
      <c r="F25" s="195" t="s">
        <v>211</v>
      </c>
      <c r="G25" s="82">
        <v>0</v>
      </c>
      <c r="H25" s="82">
        <v>0</v>
      </c>
      <c r="I25" s="82">
        <v>0</v>
      </c>
      <c r="J25" s="82">
        <v>0</v>
      </c>
      <c r="K25" s="82">
        <v>1</v>
      </c>
      <c r="L25" s="82">
        <v>0</v>
      </c>
      <c r="M25" s="82">
        <v>1</v>
      </c>
      <c r="N25" s="82">
        <v>0</v>
      </c>
      <c r="O25" s="82">
        <v>1</v>
      </c>
      <c r="P25" s="71">
        <v>0</v>
      </c>
      <c r="Q25" s="82">
        <v>0</v>
      </c>
      <c r="R25" s="72">
        <v>1</v>
      </c>
      <c r="S25"/>
      <c r="T25"/>
    </row>
    <row r="26" spans="1:20" ht="15" customHeight="1" x14ac:dyDescent="0.15">
      <c r="B26" s="93"/>
      <c r="C26" s="81"/>
      <c r="D26" s="86" t="s">
        <v>160</v>
      </c>
      <c r="F26" s="195" t="s">
        <v>212</v>
      </c>
      <c r="G26" s="82">
        <v>0</v>
      </c>
      <c r="H26" s="82">
        <v>0</v>
      </c>
      <c r="I26" s="82">
        <v>0</v>
      </c>
      <c r="J26" s="82">
        <v>0</v>
      </c>
      <c r="K26" s="82">
        <v>1</v>
      </c>
      <c r="L26" s="82">
        <v>0</v>
      </c>
      <c r="M26" s="82">
        <v>1</v>
      </c>
      <c r="N26" s="82">
        <v>0</v>
      </c>
      <c r="O26" s="82">
        <v>1</v>
      </c>
      <c r="P26" s="71">
        <v>0</v>
      </c>
      <c r="Q26" s="82">
        <v>0</v>
      </c>
      <c r="R26" s="72">
        <v>1</v>
      </c>
      <c r="S26"/>
      <c r="T26"/>
    </row>
    <row r="27" spans="1:20" ht="15" customHeight="1" x14ac:dyDescent="0.15">
      <c r="B27" s="93"/>
      <c r="C27" s="81"/>
      <c r="D27" s="86" t="s">
        <v>160</v>
      </c>
      <c r="F27" s="195" t="s">
        <v>213</v>
      </c>
      <c r="G27" s="82">
        <v>0</v>
      </c>
      <c r="H27" s="82">
        <v>0</v>
      </c>
      <c r="I27" s="82">
        <v>0</v>
      </c>
      <c r="J27" s="82">
        <v>0</v>
      </c>
      <c r="K27" s="82">
        <v>1</v>
      </c>
      <c r="L27" s="82">
        <v>0</v>
      </c>
      <c r="M27" s="82">
        <v>1</v>
      </c>
      <c r="N27" s="82">
        <v>0</v>
      </c>
      <c r="O27" s="82">
        <v>1</v>
      </c>
      <c r="P27" s="71">
        <v>0</v>
      </c>
      <c r="Q27" s="82">
        <v>0</v>
      </c>
      <c r="R27" s="72">
        <v>1</v>
      </c>
      <c r="S27"/>
      <c r="T27"/>
    </row>
    <row r="28" spans="1:20" ht="15" customHeight="1" thickBot="1" x14ac:dyDescent="0.2">
      <c r="B28" s="92"/>
      <c r="C28" s="81"/>
      <c r="D28" s="86" t="s">
        <v>160</v>
      </c>
      <c r="F28" s="195" t="s">
        <v>214</v>
      </c>
      <c r="G28" s="82">
        <v>0</v>
      </c>
      <c r="H28" s="82">
        <v>0</v>
      </c>
      <c r="I28" s="82">
        <v>0</v>
      </c>
      <c r="J28" s="82">
        <v>0</v>
      </c>
      <c r="K28" s="82">
        <v>1</v>
      </c>
      <c r="L28" s="82">
        <v>0</v>
      </c>
      <c r="M28" s="82">
        <v>1</v>
      </c>
      <c r="N28" s="82">
        <v>0</v>
      </c>
      <c r="O28" s="82">
        <v>1</v>
      </c>
      <c r="P28" s="71">
        <v>0</v>
      </c>
      <c r="Q28" s="82">
        <v>0</v>
      </c>
      <c r="R28" s="72">
        <v>1</v>
      </c>
      <c r="S28"/>
      <c r="T28"/>
    </row>
    <row r="29" spans="1:20" ht="15" customHeight="1" x14ac:dyDescent="0.15">
      <c r="F29" s="195" t="s">
        <v>215</v>
      </c>
      <c r="G29" s="82">
        <v>0</v>
      </c>
      <c r="H29" s="82">
        <v>0</v>
      </c>
      <c r="I29" s="82">
        <v>0</v>
      </c>
      <c r="J29" s="82">
        <v>0</v>
      </c>
      <c r="K29" s="82">
        <v>1</v>
      </c>
      <c r="L29" s="82">
        <v>0</v>
      </c>
      <c r="M29" s="82">
        <v>1</v>
      </c>
      <c r="N29" s="82">
        <v>0</v>
      </c>
      <c r="O29" s="82">
        <v>1</v>
      </c>
      <c r="P29" s="71">
        <v>0</v>
      </c>
      <c r="Q29" s="82">
        <v>0</v>
      </c>
      <c r="R29" s="72">
        <v>1</v>
      </c>
      <c r="S29"/>
      <c r="T29"/>
    </row>
    <row r="30" spans="1:20" ht="15" customHeight="1" x14ac:dyDescent="0.15">
      <c r="F30" s="195" t="s">
        <v>216</v>
      </c>
      <c r="G30" s="82">
        <v>0</v>
      </c>
      <c r="H30" s="82">
        <v>0</v>
      </c>
      <c r="I30" s="82">
        <v>0</v>
      </c>
      <c r="J30" s="82">
        <v>0</v>
      </c>
      <c r="K30" s="82">
        <v>1</v>
      </c>
      <c r="L30" s="82">
        <v>0</v>
      </c>
      <c r="M30" s="82">
        <v>1</v>
      </c>
      <c r="N30" s="82">
        <v>0</v>
      </c>
      <c r="O30" s="82">
        <v>1</v>
      </c>
      <c r="P30" s="71">
        <v>0</v>
      </c>
      <c r="Q30" s="82">
        <v>0</v>
      </c>
      <c r="R30" s="72">
        <v>1</v>
      </c>
      <c r="S30"/>
      <c r="T30"/>
    </row>
    <row r="31" spans="1:20" ht="15" customHeight="1" x14ac:dyDescent="0.15">
      <c r="A31" s="123"/>
      <c r="B31" s="134" t="s">
        <v>17</v>
      </c>
      <c r="C31" s="134" t="s">
        <v>1</v>
      </c>
      <c r="D31" s="134" t="s">
        <v>161</v>
      </c>
      <c r="E31" s="135" t="s">
        <v>163</v>
      </c>
      <c r="F31" s="195" t="s">
        <v>217</v>
      </c>
      <c r="G31" s="82">
        <v>0</v>
      </c>
      <c r="H31" s="82">
        <v>0</v>
      </c>
      <c r="I31" s="82">
        <v>0</v>
      </c>
      <c r="J31" s="82">
        <v>0</v>
      </c>
      <c r="K31" s="82">
        <v>1</v>
      </c>
      <c r="L31" s="82">
        <v>0</v>
      </c>
      <c r="M31" s="82">
        <v>1</v>
      </c>
      <c r="N31" s="82">
        <v>0</v>
      </c>
      <c r="O31" s="82">
        <v>1</v>
      </c>
      <c r="P31" s="71">
        <v>0</v>
      </c>
      <c r="Q31" s="82">
        <v>0</v>
      </c>
      <c r="R31" s="72">
        <v>1</v>
      </c>
      <c r="S31"/>
      <c r="T31"/>
    </row>
    <row r="32" spans="1:20" ht="15" customHeight="1" x14ac:dyDescent="0.15">
      <c r="A32" s="198" t="s">
        <v>229</v>
      </c>
      <c r="B32" s="94">
        <v>43.562759999999997</v>
      </c>
      <c r="C32" s="94">
        <v>52.197629999999997</v>
      </c>
      <c r="D32" s="94">
        <v>2273.8728282587999</v>
      </c>
      <c r="E32" s="125">
        <v>1</v>
      </c>
      <c r="F32" s="195" t="s">
        <v>218</v>
      </c>
      <c r="G32" s="82">
        <v>0</v>
      </c>
      <c r="H32" s="82">
        <v>0</v>
      </c>
      <c r="I32" s="82">
        <v>0</v>
      </c>
      <c r="J32" s="82">
        <v>0</v>
      </c>
      <c r="K32" s="82">
        <v>1</v>
      </c>
      <c r="L32" s="82">
        <v>0</v>
      </c>
      <c r="M32" s="82">
        <v>1</v>
      </c>
      <c r="N32" s="82">
        <v>0</v>
      </c>
      <c r="O32" s="82">
        <v>1</v>
      </c>
      <c r="P32" s="71">
        <v>0</v>
      </c>
      <c r="Q32" s="82">
        <v>0</v>
      </c>
      <c r="R32" s="72">
        <v>1</v>
      </c>
      <c r="S32"/>
      <c r="T32"/>
    </row>
    <row r="33" spans="1:20" ht="15" customHeight="1" x14ac:dyDescent="0.15">
      <c r="A33" s="124"/>
      <c r="B33" s="94"/>
      <c r="C33" s="94"/>
      <c r="D33" s="94"/>
      <c r="E33" s="125"/>
      <c r="F33" s="195" t="s">
        <v>219</v>
      </c>
      <c r="G33" s="82">
        <v>0</v>
      </c>
      <c r="H33" s="82">
        <v>0</v>
      </c>
      <c r="I33" s="82">
        <v>0</v>
      </c>
      <c r="J33" s="82">
        <v>0</v>
      </c>
      <c r="K33" s="82">
        <v>1</v>
      </c>
      <c r="L33" s="82">
        <v>0</v>
      </c>
      <c r="M33" s="82">
        <v>1</v>
      </c>
      <c r="N33" s="82">
        <v>0</v>
      </c>
      <c r="O33" s="82">
        <v>1</v>
      </c>
      <c r="P33" s="71">
        <v>0</v>
      </c>
      <c r="Q33" s="82">
        <v>0</v>
      </c>
      <c r="R33" s="72">
        <v>1</v>
      </c>
      <c r="S33"/>
      <c r="T33"/>
    </row>
    <row r="34" spans="1:20" ht="15" customHeight="1" x14ac:dyDescent="0.15">
      <c r="A34" s="126"/>
      <c r="B34" s="94"/>
      <c r="C34" s="94"/>
      <c r="D34" s="94"/>
      <c r="E34" s="125"/>
      <c r="F34" s="195" t="s">
        <v>220</v>
      </c>
      <c r="G34" s="82">
        <v>0</v>
      </c>
      <c r="H34" s="82">
        <v>0</v>
      </c>
      <c r="I34" s="82">
        <v>0</v>
      </c>
      <c r="J34" s="82">
        <v>0</v>
      </c>
      <c r="K34" s="82">
        <v>1</v>
      </c>
      <c r="L34" s="82">
        <v>0</v>
      </c>
      <c r="M34" s="82">
        <v>1</v>
      </c>
      <c r="N34" s="82">
        <v>0</v>
      </c>
      <c r="O34" s="82">
        <v>1</v>
      </c>
      <c r="P34" s="71">
        <v>0</v>
      </c>
      <c r="Q34" s="82">
        <v>0</v>
      </c>
      <c r="R34" s="72">
        <v>1</v>
      </c>
      <c r="S34"/>
      <c r="T34"/>
    </row>
    <row r="35" spans="1:20" ht="15" customHeight="1" x14ac:dyDescent="0.15">
      <c r="A35" s="127"/>
      <c r="B35" s="94"/>
      <c r="C35" s="94"/>
      <c r="D35" s="94"/>
      <c r="E35" s="125"/>
      <c r="F35" s="195" t="s">
        <v>221</v>
      </c>
      <c r="G35" s="82">
        <v>0</v>
      </c>
      <c r="H35" s="82">
        <v>0</v>
      </c>
      <c r="I35" s="82">
        <v>0</v>
      </c>
      <c r="J35" s="82">
        <v>0</v>
      </c>
      <c r="K35" s="82">
        <v>1</v>
      </c>
      <c r="L35" s="82">
        <v>0</v>
      </c>
      <c r="M35" s="82">
        <v>1</v>
      </c>
      <c r="N35" s="82">
        <v>0</v>
      </c>
      <c r="O35" s="82">
        <v>1</v>
      </c>
      <c r="P35" s="71">
        <v>0</v>
      </c>
      <c r="Q35" s="82">
        <v>0</v>
      </c>
      <c r="R35" s="72">
        <v>1</v>
      </c>
      <c r="S35"/>
      <c r="T35"/>
    </row>
    <row r="36" spans="1:20" ht="15" customHeight="1" x14ac:dyDescent="0.15">
      <c r="A36" s="128"/>
      <c r="B36" s="94"/>
      <c r="C36" s="94"/>
      <c r="D36" s="94"/>
      <c r="E36" s="125"/>
      <c r="F36" s="195" t="s">
        <v>222</v>
      </c>
      <c r="G36" s="82">
        <v>0</v>
      </c>
      <c r="H36" s="82">
        <v>0</v>
      </c>
      <c r="I36" s="82">
        <v>0</v>
      </c>
      <c r="J36" s="82">
        <v>0</v>
      </c>
      <c r="K36" s="82">
        <v>1</v>
      </c>
      <c r="L36" s="82">
        <v>0</v>
      </c>
      <c r="M36" s="82">
        <v>1</v>
      </c>
      <c r="N36" s="82">
        <v>0</v>
      </c>
      <c r="O36" s="82">
        <v>1</v>
      </c>
      <c r="P36" s="71">
        <v>0</v>
      </c>
      <c r="Q36" s="82">
        <v>0</v>
      </c>
      <c r="R36" s="72">
        <v>1</v>
      </c>
      <c r="S36"/>
      <c r="T36"/>
    </row>
    <row r="37" spans="1:20" ht="15" customHeight="1" x14ac:dyDescent="0.15">
      <c r="A37" s="128"/>
      <c r="B37" s="94"/>
      <c r="C37" s="94"/>
      <c r="D37" s="94"/>
      <c r="E37" s="125"/>
      <c r="F37" s="195" t="s">
        <v>223</v>
      </c>
      <c r="G37" s="82">
        <v>0</v>
      </c>
      <c r="H37" s="82">
        <v>0</v>
      </c>
      <c r="I37" s="82">
        <v>0</v>
      </c>
      <c r="J37" s="82">
        <v>0</v>
      </c>
      <c r="K37" s="82">
        <v>1</v>
      </c>
      <c r="L37" s="82">
        <v>0</v>
      </c>
      <c r="M37" s="82">
        <v>1</v>
      </c>
      <c r="N37" s="82">
        <v>0</v>
      </c>
      <c r="O37" s="82">
        <v>1</v>
      </c>
      <c r="P37" s="71">
        <v>0</v>
      </c>
      <c r="Q37" s="82">
        <v>0</v>
      </c>
      <c r="R37" s="72">
        <v>1</v>
      </c>
      <c r="S37"/>
      <c r="T37"/>
    </row>
    <row r="38" spans="1:20" ht="15" customHeight="1" x14ac:dyDescent="0.15">
      <c r="A38" s="129"/>
      <c r="B38" s="94"/>
      <c r="C38" s="94"/>
      <c r="D38" s="94"/>
      <c r="E38" s="125"/>
      <c r="F38" s="195" t="s">
        <v>224</v>
      </c>
      <c r="G38" s="82">
        <v>0</v>
      </c>
      <c r="H38" s="82">
        <v>0</v>
      </c>
      <c r="I38" s="82">
        <v>0</v>
      </c>
      <c r="J38" s="82">
        <v>0</v>
      </c>
      <c r="K38" s="82">
        <v>1</v>
      </c>
      <c r="L38" s="82">
        <v>0</v>
      </c>
      <c r="M38" s="82">
        <v>1</v>
      </c>
      <c r="N38" s="82">
        <v>0</v>
      </c>
      <c r="O38" s="82">
        <v>1</v>
      </c>
      <c r="P38" s="71">
        <v>0</v>
      </c>
      <c r="Q38" s="82">
        <v>0</v>
      </c>
      <c r="R38" s="72">
        <v>1</v>
      </c>
      <c r="S38"/>
      <c r="T38"/>
    </row>
    <row r="39" spans="1:20" ht="15" customHeight="1" x14ac:dyDescent="0.15">
      <c r="A39" s="129"/>
      <c r="B39" s="94"/>
      <c r="C39" s="94"/>
      <c r="D39" s="94"/>
      <c r="E39" s="125"/>
      <c r="F39" s="195" t="s">
        <v>225</v>
      </c>
      <c r="G39" s="82">
        <v>0</v>
      </c>
      <c r="H39" s="82">
        <v>0</v>
      </c>
      <c r="I39" s="82">
        <v>0</v>
      </c>
      <c r="J39" s="82">
        <v>0</v>
      </c>
      <c r="K39" s="82">
        <v>1</v>
      </c>
      <c r="L39" s="82">
        <v>0</v>
      </c>
      <c r="M39" s="82">
        <v>1</v>
      </c>
      <c r="N39" s="82">
        <v>0</v>
      </c>
      <c r="O39" s="82">
        <v>1</v>
      </c>
      <c r="P39" s="71">
        <v>0</v>
      </c>
      <c r="Q39" s="82">
        <v>0</v>
      </c>
      <c r="R39" s="72">
        <v>1</v>
      </c>
      <c r="S39"/>
      <c r="T39"/>
    </row>
    <row r="40" spans="1:20" ht="15" customHeight="1" x14ac:dyDescent="0.15">
      <c r="A40" s="129"/>
      <c r="B40" s="94"/>
      <c r="C40" s="94"/>
      <c r="D40" s="94"/>
      <c r="E40" s="125"/>
      <c r="F40" s="195" t="s">
        <v>226</v>
      </c>
      <c r="G40" s="82">
        <v>0</v>
      </c>
      <c r="H40" s="82">
        <v>0</v>
      </c>
      <c r="I40" s="82">
        <v>0</v>
      </c>
      <c r="J40" s="82">
        <v>0</v>
      </c>
      <c r="K40" s="82">
        <v>1</v>
      </c>
      <c r="L40" s="82">
        <v>0</v>
      </c>
      <c r="M40" s="82">
        <v>1</v>
      </c>
      <c r="N40" s="82">
        <v>0</v>
      </c>
      <c r="O40" s="82">
        <v>1</v>
      </c>
      <c r="P40" s="71">
        <v>0</v>
      </c>
      <c r="Q40" s="82">
        <v>0</v>
      </c>
      <c r="R40" s="72">
        <v>1</v>
      </c>
      <c r="S40"/>
      <c r="T40"/>
    </row>
    <row r="41" spans="1:20" ht="15" customHeight="1" thickBot="1" x14ac:dyDescent="0.2">
      <c r="A41" s="129"/>
      <c r="B41" s="94"/>
      <c r="C41" s="94"/>
      <c r="D41" s="95"/>
      <c r="E41" s="130"/>
      <c r="F41" s="195" t="s">
        <v>227</v>
      </c>
      <c r="G41" s="82">
        <v>0</v>
      </c>
      <c r="H41" s="82">
        <v>0</v>
      </c>
      <c r="I41" s="82">
        <v>0</v>
      </c>
      <c r="J41" s="82">
        <v>0</v>
      </c>
      <c r="K41" s="82">
        <v>1</v>
      </c>
      <c r="L41" s="82">
        <v>0</v>
      </c>
      <c r="M41" s="82">
        <v>1</v>
      </c>
      <c r="N41" s="82">
        <v>0</v>
      </c>
      <c r="O41" s="82">
        <v>1</v>
      </c>
      <c r="P41" s="71">
        <v>0</v>
      </c>
      <c r="Q41" s="82">
        <v>0</v>
      </c>
      <c r="R41" s="72">
        <v>1</v>
      </c>
      <c r="S41"/>
      <c r="T41"/>
    </row>
    <row r="42" spans="1:20" ht="15" customHeight="1" x14ac:dyDescent="0.15">
      <c r="A42" s="131"/>
      <c r="B42" s="132"/>
      <c r="C42" s="132" t="s">
        <v>162</v>
      </c>
      <c r="D42" s="132">
        <f>SUM(D32:D41)</f>
        <v>2273.8728282587999</v>
      </c>
      <c r="E42" s="133">
        <f>SUM(E32:E41)</f>
        <v>1</v>
      </c>
      <c r="F42" s="195" t="s">
        <v>228</v>
      </c>
      <c r="G42" s="82">
        <v>0</v>
      </c>
      <c r="H42" s="82">
        <v>0</v>
      </c>
      <c r="I42" s="82">
        <v>0</v>
      </c>
      <c r="J42" s="82">
        <v>0</v>
      </c>
      <c r="K42" s="82">
        <v>1</v>
      </c>
      <c r="L42" s="82">
        <v>0</v>
      </c>
      <c r="M42" s="82">
        <v>1</v>
      </c>
      <c r="N42" s="82">
        <v>0</v>
      </c>
      <c r="O42" s="82">
        <v>1</v>
      </c>
      <c r="P42" s="71">
        <v>0</v>
      </c>
      <c r="Q42" s="82">
        <v>0</v>
      </c>
      <c r="R42" s="72">
        <v>1</v>
      </c>
      <c r="S42"/>
      <c r="T42"/>
    </row>
    <row r="43" spans="1:20" ht="15" customHeight="1" x14ac:dyDescent="0.15">
      <c r="A43" s="82"/>
      <c r="F43" s="195" t="s">
        <v>229</v>
      </c>
      <c r="G43" s="82">
        <v>0</v>
      </c>
      <c r="H43" s="82">
        <v>0</v>
      </c>
      <c r="I43" s="82">
        <v>0</v>
      </c>
      <c r="J43" s="82">
        <v>0</v>
      </c>
      <c r="K43" s="82">
        <v>0</v>
      </c>
      <c r="L43" s="82">
        <v>0</v>
      </c>
      <c r="M43" s="82">
        <v>1</v>
      </c>
      <c r="N43" s="82">
        <v>0</v>
      </c>
      <c r="O43" s="82">
        <v>0</v>
      </c>
      <c r="P43" s="71">
        <v>0</v>
      </c>
      <c r="Q43" s="82">
        <v>0</v>
      </c>
      <c r="R43" s="72">
        <v>1</v>
      </c>
      <c r="S43"/>
      <c r="T43"/>
    </row>
    <row r="44" spans="1:20" ht="15" customHeight="1" x14ac:dyDescent="0.15">
      <c r="A44" s="82"/>
      <c r="F44" s="195" t="s">
        <v>230</v>
      </c>
      <c r="G44" s="82">
        <v>0</v>
      </c>
      <c r="H44" s="82">
        <v>0</v>
      </c>
      <c r="I44" s="82">
        <v>0</v>
      </c>
      <c r="J44" s="82">
        <v>0</v>
      </c>
      <c r="K44" s="82">
        <v>0</v>
      </c>
      <c r="L44" s="82">
        <v>1</v>
      </c>
      <c r="M44" s="82">
        <v>0</v>
      </c>
      <c r="N44" s="82">
        <v>1</v>
      </c>
      <c r="O44" s="82">
        <v>0</v>
      </c>
      <c r="P44" s="71">
        <v>1</v>
      </c>
      <c r="Q44" s="82">
        <v>0</v>
      </c>
      <c r="R44" s="72">
        <v>1</v>
      </c>
    </row>
    <row r="45" spans="1:20" ht="15" customHeight="1" x14ac:dyDescent="0.15">
      <c r="A45" s="82"/>
      <c r="F45" s="195" t="s">
        <v>231</v>
      </c>
      <c r="G45" s="82">
        <v>0</v>
      </c>
      <c r="H45" s="82">
        <v>0</v>
      </c>
      <c r="I45" s="82">
        <v>0</v>
      </c>
      <c r="J45" s="82">
        <v>0</v>
      </c>
      <c r="K45" s="82">
        <v>0</v>
      </c>
      <c r="L45" s="82">
        <v>1</v>
      </c>
      <c r="M45" s="82">
        <v>0</v>
      </c>
      <c r="N45" s="82">
        <v>1</v>
      </c>
      <c r="O45" s="82">
        <v>0</v>
      </c>
      <c r="P45" s="71">
        <v>1</v>
      </c>
      <c r="Q45" s="82">
        <v>0</v>
      </c>
      <c r="R45" s="72">
        <v>1</v>
      </c>
    </row>
    <row r="46" spans="1:20" ht="15" customHeight="1" x14ac:dyDescent="0.15">
      <c r="A46" s="82"/>
      <c r="F46" s="195" t="s">
        <v>232</v>
      </c>
      <c r="G46" s="82">
        <v>0</v>
      </c>
      <c r="H46" s="82">
        <v>0</v>
      </c>
      <c r="I46" s="82">
        <v>0</v>
      </c>
      <c r="J46" s="82">
        <v>0</v>
      </c>
      <c r="K46" s="82">
        <v>0</v>
      </c>
      <c r="L46" s="82">
        <v>1</v>
      </c>
      <c r="M46" s="82">
        <v>0</v>
      </c>
      <c r="N46" s="82">
        <v>0</v>
      </c>
      <c r="O46" s="82">
        <v>0</v>
      </c>
      <c r="P46" s="71">
        <v>0</v>
      </c>
      <c r="Q46" s="82">
        <v>0</v>
      </c>
      <c r="R46" s="72">
        <v>1</v>
      </c>
    </row>
    <row r="47" spans="1:20" ht="15" customHeight="1" x14ac:dyDescent="0.15">
      <c r="A47" s="82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2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2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2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2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2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2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2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2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2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2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2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2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2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2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2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2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2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2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2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2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2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2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2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2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2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2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2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2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2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2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2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2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2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2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2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2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2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2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2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2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2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2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2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2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2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2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2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2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2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2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2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2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2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2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2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2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2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2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2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2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2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2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2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2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2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2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2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2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2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2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2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2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2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2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2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2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2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2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2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2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2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2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2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2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2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2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2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2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2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2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2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2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2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2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2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2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2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2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2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2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2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2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2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2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2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2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2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2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2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2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2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2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2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2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2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2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2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2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2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2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2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2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2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W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108" customWidth="1"/>
    <col min="3" max="5" width="7.83203125" style="108" customWidth="1"/>
    <col min="6" max="8" width="8.83203125" style="6"/>
    <col min="9" max="9" width="11.1640625" style="6" customWidth="1"/>
    <col min="10" max="10" width="10.5" style="6" customWidth="1"/>
    <col min="11" max="11" width="8.5" style="6" customWidth="1"/>
    <col min="12" max="12" width="14.33203125" style="6" customWidth="1"/>
    <col min="13" max="13" width="7.6640625" style="6" customWidth="1"/>
    <col min="14" max="14" width="10.33203125" style="6" customWidth="1"/>
    <col min="15" max="15" width="13.6640625" style="6" customWidth="1"/>
    <col min="16" max="16" width="8.5" style="6" customWidth="1"/>
    <col min="17" max="17" width="14.5" style="6" customWidth="1"/>
    <col min="18" max="18" width="16.6640625" style="6" customWidth="1"/>
    <col min="19" max="19" width="10.1640625" style="6" customWidth="1"/>
    <col min="20" max="20" width="9.5" style="6" customWidth="1"/>
    <col min="21" max="21" width="7.1640625" style="6" customWidth="1"/>
    <col min="22" max="24" width="7.5" style="6" customWidth="1"/>
    <col min="25" max="25" width="14.5" style="6" customWidth="1"/>
    <col min="26" max="26" width="14.6640625" style="6" customWidth="1"/>
    <col min="27" max="27" width="13.6640625" style="6" customWidth="1"/>
    <col min="28" max="28" width="15.33203125" style="6" customWidth="1"/>
    <col min="29" max="29" width="8.83203125" style="6" customWidth="1"/>
    <col min="30" max="30" width="15.5" style="6" customWidth="1"/>
    <col min="31" max="31" width="7.5" style="6" customWidth="1"/>
    <col min="32" max="32" width="10" style="6" customWidth="1"/>
    <col min="33" max="33" width="10.6640625" style="6" customWidth="1"/>
    <col min="34" max="34" width="13.6640625" style="6" customWidth="1"/>
    <col min="35" max="35" width="14.5" style="6" customWidth="1"/>
    <col min="36" max="36" width="6" style="6" customWidth="1"/>
    <col min="37" max="37" width="11.33203125" style="6" customWidth="1"/>
    <col min="38" max="38" width="11.5" style="6" customWidth="1"/>
    <col min="39" max="39" width="7.1640625" customWidth="1"/>
    <col min="40" max="40" width="12.1640625" customWidth="1"/>
    <col min="41" max="41" width="11.5" customWidth="1"/>
    <col min="42" max="42" width="13.83203125" customWidth="1"/>
    <col min="43" max="44" width="4.5" customWidth="1"/>
    <col min="45" max="45" width="4.83203125" customWidth="1"/>
    <col min="46" max="46" width="13.1640625" customWidth="1"/>
    <col min="47" max="47" width="7.6640625" customWidth="1"/>
    <col min="48" max="48" width="21.6640625" customWidth="1"/>
    <col min="49" max="49" width="7" customWidth="1"/>
    <col min="81" max="81" width="22.1640625" bestFit="1" customWidth="1"/>
  </cols>
  <sheetData>
    <row r="1" spans="1:49" x14ac:dyDescent="0.15">
      <c r="A1" s="4" t="s">
        <v>156</v>
      </c>
      <c r="B1" s="36" t="s">
        <v>157</v>
      </c>
      <c r="C1" s="36" t="s">
        <v>17</v>
      </c>
      <c r="D1" s="36" t="s">
        <v>158</v>
      </c>
      <c r="E1" s="36" t="s">
        <v>159</v>
      </c>
      <c r="F1" t="s">
        <v>38</v>
      </c>
      <c r="G1" t="s">
        <v>40</v>
      </c>
      <c r="H1" t="s">
        <v>41</v>
      </c>
      <c r="I1" s="200" t="s">
        <v>192</v>
      </c>
      <c r="J1" s="200" t="s">
        <v>193</v>
      </c>
      <c r="K1" s="200" t="s">
        <v>194</v>
      </c>
      <c r="L1" s="200" t="s">
        <v>195</v>
      </c>
      <c r="M1" s="200" t="s">
        <v>196</v>
      </c>
      <c r="N1" s="200" t="s">
        <v>197</v>
      </c>
      <c r="O1" s="200" t="s">
        <v>198</v>
      </c>
      <c r="P1" s="200" t="s">
        <v>199</v>
      </c>
      <c r="Q1" s="200" t="s">
        <v>200</v>
      </c>
      <c r="R1" s="200" t="s">
        <v>201</v>
      </c>
      <c r="S1" s="200" t="s">
        <v>202</v>
      </c>
      <c r="T1" s="200" t="s">
        <v>203</v>
      </c>
      <c r="U1" s="200" t="s">
        <v>204</v>
      </c>
      <c r="V1" s="200" t="s">
        <v>205</v>
      </c>
      <c r="W1" s="200" t="s">
        <v>206</v>
      </c>
      <c r="X1" s="200" t="s">
        <v>207</v>
      </c>
      <c r="Y1" s="200" t="s">
        <v>208</v>
      </c>
      <c r="Z1" s="200" t="s">
        <v>209</v>
      </c>
      <c r="AA1" s="200" t="s">
        <v>210</v>
      </c>
      <c r="AB1" s="200" t="s">
        <v>211</v>
      </c>
      <c r="AC1" s="200" t="s">
        <v>212</v>
      </c>
      <c r="AD1" s="200" t="s">
        <v>213</v>
      </c>
      <c r="AE1" s="200" t="s">
        <v>214</v>
      </c>
      <c r="AF1" s="200" t="s">
        <v>215</v>
      </c>
      <c r="AG1" s="200" t="s">
        <v>216</v>
      </c>
      <c r="AH1" s="200" t="s">
        <v>217</v>
      </c>
      <c r="AI1" s="200" t="s">
        <v>218</v>
      </c>
      <c r="AJ1" s="200" t="s">
        <v>219</v>
      </c>
      <c r="AK1" s="200" t="s">
        <v>220</v>
      </c>
      <c r="AL1" s="200" t="s">
        <v>221</v>
      </c>
      <c r="AM1" s="200" t="s">
        <v>222</v>
      </c>
      <c r="AN1" s="200" t="s">
        <v>223</v>
      </c>
      <c r="AO1" s="200" t="s">
        <v>224</v>
      </c>
      <c r="AP1" s="200" t="s">
        <v>225</v>
      </c>
      <c r="AQ1" s="200" t="s">
        <v>226</v>
      </c>
      <c r="AR1" s="200" t="s">
        <v>227</v>
      </c>
      <c r="AS1" s="200" t="s">
        <v>228</v>
      </c>
      <c r="AT1" s="200" t="s">
        <v>229</v>
      </c>
      <c r="AU1" s="200" t="s">
        <v>230</v>
      </c>
      <c r="AV1" s="200" t="s">
        <v>231</v>
      </c>
      <c r="AW1" s="200" t="s">
        <v>232</v>
      </c>
    </row>
    <row r="2" spans="1:49" x14ac:dyDescent="0.15">
      <c r="A2" t="s">
        <v>38</v>
      </c>
      <c r="B2" s="108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9" x14ac:dyDescent="0.15">
      <c r="A3" t="s">
        <v>40</v>
      </c>
      <c r="B3" s="108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9" x14ac:dyDescent="0.15">
      <c r="A4" t="s">
        <v>41</v>
      </c>
      <c r="B4" s="108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9" x14ac:dyDescent="0.15">
      <c r="A5" s="199" t="s">
        <v>192</v>
      </c>
      <c r="B5" s="108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9" x14ac:dyDescent="0.15">
      <c r="A6" s="199" t="s">
        <v>193</v>
      </c>
      <c r="B6" s="108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9" x14ac:dyDescent="0.15">
      <c r="A7" s="199" t="s">
        <v>194</v>
      </c>
      <c r="B7" s="108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9" x14ac:dyDescent="0.15">
      <c r="A8" s="199" t="s">
        <v>195</v>
      </c>
      <c r="B8" s="108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9" x14ac:dyDescent="0.15">
      <c r="A9" s="199" t="s">
        <v>196</v>
      </c>
      <c r="B9" s="108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9" x14ac:dyDescent="0.15">
      <c r="A10" s="199" t="s">
        <v>197</v>
      </c>
      <c r="B10" s="108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9" x14ac:dyDescent="0.15">
      <c r="A11" s="199" t="s">
        <v>198</v>
      </c>
      <c r="B11" s="108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9" x14ac:dyDescent="0.15">
      <c r="A12" s="199" t="s">
        <v>199</v>
      </c>
      <c r="B12" s="108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9" x14ac:dyDescent="0.15">
      <c r="A13" s="199" t="s">
        <v>200</v>
      </c>
      <c r="B13" s="108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9" x14ac:dyDescent="0.15">
      <c r="A14" s="199" t="s">
        <v>201</v>
      </c>
      <c r="B14" s="108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9" x14ac:dyDescent="0.15">
      <c r="A15" s="199" t="s">
        <v>202</v>
      </c>
      <c r="B15" s="108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9" x14ac:dyDescent="0.15">
      <c r="A16" s="199" t="s">
        <v>203</v>
      </c>
      <c r="B16" s="108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99" t="s">
        <v>204</v>
      </c>
      <c r="B17" s="108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99" t="s">
        <v>205</v>
      </c>
      <c r="B18" s="108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99" t="s">
        <v>206</v>
      </c>
      <c r="B19" s="108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99" t="s">
        <v>207</v>
      </c>
      <c r="B20" s="108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99" t="s">
        <v>208</v>
      </c>
      <c r="B21" s="108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99" t="s">
        <v>209</v>
      </c>
      <c r="B22" s="108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99" t="s">
        <v>210</v>
      </c>
      <c r="B23" s="108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99" t="s">
        <v>211</v>
      </c>
      <c r="B24" s="108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99" t="s">
        <v>212</v>
      </c>
      <c r="B25" s="108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99" t="s">
        <v>213</v>
      </c>
      <c r="B26" s="108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99" t="s">
        <v>214</v>
      </c>
      <c r="B27" s="108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99" t="s">
        <v>215</v>
      </c>
      <c r="B28" s="108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99" t="s">
        <v>216</v>
      </c>
      <c r="B29" s="108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99" t="s">
        <v>217</v>
      </c>
      <c r="B30" s="108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99" t="s">
        <v>218</v>
      </c>
      <c r="B31" s="108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99" t="s">
        <v>219</v>
      </c>
      <c r="B32" s="108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99" t="s">
        <v>220</v>
      </c>
      <c r="B33" s="108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99" t="s">
        <v>221</v>
      </c>
      <c r="B34" s="108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99" t="s">
        <v>222</v>
      </c>
      <c r="B35" s="108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99" t="s">
        <v>223</v>
      </c>
      <c r="B36" s="108">
        <v>0</v>
      </c>
      <c r="C36"/>
      <c r="D36"/>
    </row>
    <row r="37" spans="1:38" ht="15" customHeight="1" x14ac:dyDescent="0.15">
      <c r="A37" s="199" t="s">
        <v>224</v>
      </c>
      <c r="B37" s="108">
        <v>0</v>
      </c>
      <c r="C37"/>
      <c r="D37"/>
    </row>
    <row r="38" spans="1:38" ht="15" customHeight="1" x14ac:dyDescent="0.15">
      <c r="A38" s="199" t="s">
        <v>225</v>
      </c>
      <c r="B38" s="108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A39" s="199" t="s">
        <v>226</v>
      </c>
      <c r="B39" s="108">
        <v>0</v>
      </c>
      <c r="C39"/>
      <c r="D39"/>
    </row>
    <row r="40" spans="1:38" ht="15" customHeight="1" x14ac:dyDescent="0.15">
      <c r="A40" s="199" t="s">
        <v>227</v>
      </c>
      <c r="B40" s="108">
        <v>0</v>
      </c>
      <c r="C40"/>
      <c r="D40"/>
    </row>
    <row r="41" spans="1:38" ht="15" customHeight="1" x14ac:dyDescent="0.15">
      <c r="A41" s="199" t="s">
        <v>228</v>
      </c>
      <c r="B41" s="108">
        <v>0</v>
      </c>
      <c r="C41"/>
      <c r="D41"/>
    </row>
    <row r="42" spans="1:38" ht="15" customHeight="1" x14ac:dyDescent="0.15">
      <c r="A42" s="199" t="s">
        <v>229</v>
      </c>
      <c r="B42" s="108">
        <v>0</v>
      </c>
    </row>
    <row r="43" spans="1:38" ht="15" customHeight="1" x14ac:dyDescent="0.15">
      <c r="A43" s="199" t="s">
        <v>230</v>
      </c>
      <c r="B43" s="108">
        <v>0</v>
      </c>
    </row>
    <row r="44" spans="1:38" ht="15" customHeight="1" x14ac:dyDescent="0.15">
      <c r="A44" s="199" t="s">
        <v>231</v>
      </c>
      <c r="B44" s="108">
        <v>0</v>
      </c>
    </row>
    <row r="45" spans="1:38" ht="15" customHeight="1" x14ac:dyDescent="0.15">
      <c r="A45" s="199" t="s">
        <v>232</v>
      </c>
      <c r="B45" s="108">
        <v>0</v>
      </c>
    </row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2022-10-24T04:09:31Z</dcterms:modified>
</cp:coreProperties>
</file>