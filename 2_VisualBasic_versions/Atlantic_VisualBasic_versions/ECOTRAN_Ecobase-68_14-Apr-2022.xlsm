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E0DD88ED-277F-894E-99D8-0D8D35189523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Main!$C$2:$N$24</definedName>
    <definedName name="matDetritus">Detritus!$C$2:$E$24</definedName>
    <definedName name="matDiet">Diets!$B$2:$U$24</definedName>
    <definedName name="matDiscards">Discards!$C$2:$C$23</definedName>
    <definedName name="matFishery">Fishing!$C$2:$C$23</definedName>
    <definedName name="matFishing">Fishing!#REF!</definedName>
    <definedName name="matMort">Mortalities!$A$1:$Z$23</definedName>
    <definedName name="matOut">MainOutputs!$A$2:$I$24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<sst xmlns="http://schemas.openxmlformats.org/spreadsheetml/2006/main" count="764" uniqueCount="220">
  <si>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</si>
  <si>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</si>
  <si>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</si>
  <si>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</si>
  <si>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</si>
  <si>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</si>
  <si>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</si>
  <si>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</si>
  <si>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</si>
  <si>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</si>
  <si>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</si>
  <si>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</si>
  <si>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</si>
  <si>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</si>
  <si>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</si>
  <si>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</si>
  <si>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</si>
  <si>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</si>
  <si>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</si>
  <si>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</si>
  <si>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</si>
  <si>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</si>
  <si>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</si>
  <si>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</si>
  <si>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</si>
  <si>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</si>
  <si>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</si>
  <si>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</si>
  <si>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</si>
  <si>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</si>
  <si>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</si>
  <si>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</si>
  <si>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</si>
  <si>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</si>
  <si>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</si>
  <si>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</si>
  <si>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</si>
  <si>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</si>
  <si>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</si>
  <si>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</si>
  <si>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</si>
  <si>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</si>
  <si>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</si>
  <si>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</si>
  <si>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</si>
  <si>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</si>
  <si>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</si>
  <si>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</si>
  <si>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</si>
  <si>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</si>
  <si>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</si>
  <si>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</si>
  <si>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</si>
  <si>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</si>
  <si>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</si>
  <si>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</si>
  <si>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</si>
  <si>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</si>
  <si>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</si>
  <si>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</si>
  <si>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</si>
  <si>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</si>
  <si>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</si>
  <si>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</si>
  <si>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</si>
  <si>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</si>
  <si>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</si>
  <si>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</si>
  <si>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</si>
  <si>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</si>
  <si>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</si>
  <si>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</si>
  <si>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</si>
  <si>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</si>
  <si>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</si>
  <si>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</si>
  <si>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</si>
  <si>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</si>
  <si>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</si>
  <si>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</si>
  <si>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</si>
  <si>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</si>
  <si>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</si>
  <si>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</si>
  <si>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</si>
  <si>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</si>
  <si>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</si>
  <si>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</si>
  <si>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</si>
  <si>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</si>
  <si>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</si>
  <si>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</si>
  <si>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</si>
  <si>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</si>
  <si>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</si>
  <si>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</si>
  <si>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</si>
  <si>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</si>
  <si>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</si>
  <si>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</si>
  <si>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</si>
  <si>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</si>
  <si>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</si>
  <si>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</si>
  <si>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</si>
  <si>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</si>
  <si>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</si>
  <si>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</si>
  <si>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</si>
  <si>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</si>
  <si>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</si>
  <si>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</si>
  <si>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</si>
  <si>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</si>
  <si>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</si>
  <si>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</si>
  <si>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</si>
  <si>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</si>
  <si>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</si>
  <si>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</si>
  <si>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</si>
  <si>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</si>
  <si>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</si>
  <si>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</si>
  <si>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</si>
  <si>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</si>
  <si>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</si>
  <si>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</si>
  <si>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</si>
  <si>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</si>
  <si>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</si>
  <si>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</si>
  <si>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</si>
  <si>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</si>
  <si>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</si>
  <si>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</si>
  <si>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</si>
  <si>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</si>
  <si>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</si>
  <si>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</si>
  <si>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</si>
  <si>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</si>
  <si>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</si>
  <si>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</si>
  <si>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</si>
  <si>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</si>
  <si>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</si>
  <si>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</si>
  <si>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</si>
  <si>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</si>
  <si>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</si>
  <si>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</si>
  <si>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</si>
  <si>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</si>
  <si>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</si>
  <si>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</si>
  <si>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</si>
  <si>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</si>
  <si>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</si>
  <si>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</si>
  <si>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</si>
  <si>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</si>
  <si>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</si>
  <si>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</si>
  <si>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</si>
  <si>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</si>
  <si>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</si>
  <si>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</si>
  <si>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</si>
  <si>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</si>
  <si>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</si>
  <si>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</si>
  <si>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</si>
  <si>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</si>
  <si>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</si>
  <si>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</si>
  <si>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</si>
  <si>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</si>
  <si>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</si>
  <si>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</si>
  <si>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</si>
  <si>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</si>
  <si>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</si>
  <si>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</si>
  <si>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</si>
  <si>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Icelandic shelf</t>
  </si>
  <si>
    <t>Iceland</t>
  </si>
  <si>
    <t>BOX(-28 61,-10 68)</t>
  </si>
  <si>
    <t>open ocean</t>
  </si>
  <si>
    <t>WetWeight</t>
  </si>
  <si>
    <t>Created: 24/04/2006 01:09:16 a.m.; 24/04/2006 01:09:32 a.m.; 24/04/2006 01:12:02 a.m.; 19/07/2006 10:45:14 a.m.</t>
  </si>
  <si>
    <t xml:space="preserve">Samb B.(1999). Icelandic Shelf </t>
  </si>
  <si>
    <t>Marine mammals</t>
  </si>
  <si>
    <t>Seabirds</t>
  </si>
  <si>
    <t>Cod</t>
  </si>
  <si>
    <t>Juvenile cod</t>
  </si>
  <si>
    <t>Haddock</t>
  </si>
  <si>
    <t>Saithe</t>
  </si>
  <si>
    <t>Redfish</t>
  </si>
  <si>
    <t>Grrenland halibut</t>
  </si>
  <si>
    <t>Other flatfish</t>
  </si>
  <si>
    <t>Other dem fish</t>
  </si>
  <si>
    <t>Herring</t>
  </si>
  <si>
    <t>Capelin</t>
  </si>
  <si>
    <t>Other pelagics</t>
  </si>
  <si>
    <t>Nephros</t>
  </si>
  <si>
    <t>Nothern shrimp</t>
  </si>
  <si>
    <t>Molluscs</t>
  </si>
  <si>
    <t>Benthos</t>
  </si>
  <si>
    <t>Nekton</t>
  </si>
  <si>
    <t>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</si>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</sst>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0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FF6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2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5" borderId="3" xfId="0" applyNumberFormat="1" applyFont="1" applyFill="1" applyBorder="1"/>
    <xf numFmtId="0" fontId="0" fillId="35" borderId="2" xfId="0" applyFont="1" applyFill="1" applyBorder="1"/>
    <xf numFmtId="0" fontId="0" fillId="35" borderId="3" xfId="0" applyFont="1" applyFill="1" applyBorder="1"/>
    <xf numFmtId="0" fontId="0" fillId="3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96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58" t="s">
        <v>171</v>
      </c>
      <c r="C53" s="102">
        <v>68</v>
      </c>
      <c r="D53" s="102"/>
    </row>
    <row r="54" spans="2:4" x14ac:dyDescent="0.15">
      <c r="B54" s="158" t="s">
        <v>172</v>
      </c>
      <c r="C54" s="158" t="s">
        <v>185</v>
      </c>
      <c r="D54" s="102"/>
    </row>
    <row r="55" spans="2:4" x14ac:dyDescent="0.15">
      <c r="B55" s="158" t="s">
        <v>173</v>
      </c>
      <c r="C55" s="158" t="s">
        <v>186</v>
      </c>
      <c r="D55" s="102"/>
    </row>
    <row r="56" spans="2:4" x14ac:dyDescent="0.15">
      <c r="B56" s="158" t="s">
        <v>174</v>
      </c>
      <c r="C56" s="102">
        <v>103000</v>
      </c>
      <c r="D56" s="102"/>
    </row>
    <row r="57" spans="2:4" x14ac:dyDescent="0.15">
      <c r="B57" s="158" t="s">
        <v>175</v>
      </c>
      <c r="C57" s="158" t="s">
        <v>187</v>
      </c>
      <c r="D57" s="102"/>
    </row>
    <row r="58" spans="2:4" x14ac:dyDescent="0.15">
      <c r="B58" s="158" t="s">
        <v>176</v>
      </c>
      <c r="C58" s="158" t="s">
        <v>188</v>
      </c>
      <c r="D58" s="102"/>
    </row>
    <row r="59" spans="2:4" x14ac:dyDescent="0.15">
      <c r="B59" s="158" t="s">
        <v>177</v>
      </c>
      <c r="C59" s="158" t="s">
        <v>189</v>
      </c>
      <c r="D59" s="102"/>
    </row>
    <row r="60" spans="2:4" x14ac:dyDescent="0.15">
      <c r="B60" s="158" t="s">
        <v>178</v>
      </c>
      <c r="C60" s="158" t="s">
        <v>190</v>
      </c>
      <c r="D60" s="102"/>
    </row>
    <row r="61" spans="2:4" x14ac:dyDescent="0.15">
      <c r="B61" s="158" t="s">
        <v>179</v>
      </c>
      <c r="C61" s="102">
        <v>21</v>
      </c>
      <c r="D61" s="102"/>
    </row>
    <row r="62" spans="2:4" x14ac:dyDescent="0.15">
      <c r="B62" s="158" t="s">
        <v>180</v>
      </c>
      <c r="C62" s="102">
        <v>1</v>
      </c>
      <c r="D62" s="102"/>
    </row>
    <row r="63" spans="2:4" x14ac:dyDescent="0.15">
      <c r="B63" s="158" t="s">
        <v>181</v>
      </c>
      <c r="C63" s="102">
        <v>1997</v>
      </c>
      <c r="D63" s="102"/>
    </row>
    <row r="64" spans="2:4" x14ac:dyDescent="0.15">
      <c r="B64" s="158" t="s">
        <v>182</v>
      </c>
      <c r="C64" s="102">
        <v>1</v>
      </c>
      <c r="D64" s="102"/>
    </row>
    <row r="65" spans="2:4" x14ac:dyDescent="0.15">
      <c r="B65" s="158" t="s">
        <v>183</v>
      </c>
      <c r="C65" s="158" t="s">
        <v>191</v>
      </c>
      <c r="D65" s="102"/>
    </row>
    <row r="66" spans="2:4" x14ac:dyDescent="0.15">
      <c r="B66" s="158" t="s">
        <v>184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1.6640625" style="77" bestFit="1" customWidth="1"/>
    <col min="6" max="6" width="2.33203125" style="77" bestFit="1" customWidth="1"/>
    <col min="7" max="7" width="11.83203125" style="77" bestFit="1" customWidth="1"/>
    <col min="8" max="8" width="6.83203125" style="77" customWidth="1"/>
    <col min="9" max="9" width="3.83203125" style="77" customWidth="1"/>
    <col min="10" max="10" width="11.83203125" style="77" customWidth="1"/>
    <col min="11" max="11" width="14.83203125" style="77" customWidth="1"/>
    <col min="12" max="12" width="2.33203125" style="77" customWidth="1"/>
    <col min="13" max="13" width="3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59" t="s">
        <v>192</v>
      </c>
      <c r="F2" s="77">
        <v>0</v>
      </c>
      <c r="G2" s="77">
        <v>1.7450000000000001</v>
      </c>
      <c r="H2" s="77">
        <v>0.01</v>
      </c>
      <c r="I2" s="6">
        <v>5</v>
      </c>
      <c r="J2" s="6">
        <v>0</v>
      </c>
      <c r="K2" s="6">
        <v>1.9999998600000002E-3</v>
      </c>
      <c r="L2" s="6">
        <v>0</v>
      </c>
      <c r="M2" s="77">
        <v>0.2</v>
      </c>
      <c r="N2" s="77">
        <v>0</v>
      </c>
    </row>
    <row r="3" spans="1:46" ht="15" customHeight="1" x14ac:dyDescent="0.15">
      <c r="A3" s="1" t="s">
        <v>9</v>
      </c>
      <c r="B3" s="4">
        <v>20</v>
      </c>
      <c r="C3" s="77">
        <v>2</v>
      </c>
      <c r="D3"/>
      <c r="E3" s="159" t="s">
        <v>193</v>
      </c>
      <c r="F3" s="77">
        <v>0</v>
      </c>
      <c r="G3" s="77">
        <v>1.7000000000000001E-2</v>
      </c>
      <c r="H3" s="77">
        <v>0.01</v>
      </c>
      <c r="I3" s="77">
        <v>35</v>
      </c>
      <c r="J3" s="77">
        <v>0</v>
      </c>
      <c r="K3" s="77">
        <v>2.8571428300000002E-4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59" t="s">
        <v>194</v>
      </c>
      <c r="F4" s="77">
        <v>0</v>
      </c>
      <c r="G4" s="77">
        <v>1.3</v>
      </c>
      <c r="H4" s="77">
        <v>0.41</v>
      </c>
      <c r="I4" s="77">
        <v>3.1</v>
      </c>
      <c r="J4" s="77">
        <v>0.89171034100000002</v>
      </c>
      <c r="K4" s="77">
        <v>0.132258072</v>
      </c>
      <c r="L4" s="77">
        <v>0</v>
      </c>
      <c r="M4" s="77">
        <v>0.2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59" t="s">
        <v>195</v>
      </c>
      <c r="F5" s="77">
        <v>0</v>
      </c>
      <c r="G5" s="77">
        <v>1.3360478899999999</v>
      </c>
      <c r="H5" s="77">
        <v>0.35</v>
      </c>
      <c r="I5" s="77">
        <v>3.1</v>
      </c>
      <c r="J5" s="77">
        <v>0.95</v>
      </c>
      <c r="K5" s="77">
        <v>0.11290322999999999</v>
      </c>
      <c r="L5" s="77">
        <v>0</v>
      </c>
      <c r="M5" s="77">
        <v>0.2</v>
      </c>
      <c r="N5" s="77">
        <v>0</v>
      </c>
      <c r="P5" s="69"/>
      <c r="Q5" s="69"/>
      <c r="R5" s="69"/>
    </row>
    <row r="6" spans="1:46" ht="15" customHeight="1" thickBot="1" x14ac:dyDescent="0.2">
      <c r="B6" s="1"/>
      <c r="C6" s="77">
        <v>5</v>
      </c>
      <c r="D6"/>
      <c r="E6" s="159" t="s">
        <v>196</v>
      </c>
      <c r="F6" s="77">
        <v>0</v>
      </c>
      <c r="G6" s="77">
        <v>0.2</v>
      </c>
      <c r="H6" s="77">
        <v>0.79800000000000004</v>
      </c>
      <c r="I6" s="77">
        <v>3.8</v>
      </c>
      <c r="J6" s="77">
        <v>0.98357766899999999</v>
      </c>
      <c r="K6" s="77">
        <v>0.21</v>
      </c>
      <c r="L6" s="77">
        <v>0</v>
      </c>
      <c r="M6" s="77">
        <v>0.2</v>
      </c>
      <c r="N6" s="77">
        <v>0</v>
      </c>
      <c r="P6" s="69"/>
      <c r="Q6" s="69"/>
      <c r="R6" s="69"/>
      <c r="W6" s="35" t="s">
        <v>31</v>
      </c>
      <c r="X6" s="51">
        <f>MAX(MainOutputs!G:G)</f>
        <v>0.9835776686668396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143</v>
      </c>
      <c r="C7" s="77">
        <v>6</v>
      </c>
      <c r="D7"/>
      <c r="E7" s="159" t="s">
        <v>197</v>
      </c>
      <c r="F7" s="77">
        <v>0</v>
      </c>
      <c r="G7" s="77">
        <v>0.21299999999999999</v>
      </c>
      <c r="H7" s="77">
        <v>0.68600000000000005</v>
      </c>
      <c r="I7" s="77">
        <v>3.3</v>
      </c>
      <c r="J7" s="77">
        <v>0.87987110000000002</v>
      </c>
      <c r="K7" s="77">
        <v>0.20787878300000001</v>
      </c>
      <c r="L7" s="77">
        <v>0</v>
      </c>
      <c r="M7" s="77">
        <v>0.2</v>
      </c>
      <c r="N7" s="77">
        <v>0</v>
      </c>
      <c r="P7" s="69"/>
      <c r="Q7" s="69"/>
      <c r="R7" s="69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35</v>
      </c>
      <c r="C8" s="77">
        <v>7</v>
      </c>
      <c r="D8"/>
      <c r="E8" s="159" t="s">
        <v>198</v>
      </c>
      <c r="F8" s="77">
        <v>0</v>
      </c>
      <c r="G8" s="77">
        <v>2.133</v>
      </c>
      <c r="H8" s="77">
        <v>0.35</v>
      </c>
      <c r="I8" s="77">
        <v>4.5</v>
      </c>
      <c r="J8" s="77">
        <v>0.95349454899999997</v>
      </c>
      <c r="K8" s="77">
        <v>7.7777769999999996E-2</v>
      </c>
      <c r="L8" s="77">
        <v>0</v>
      </c>
      <c r="M8" s="77">
        <v>0.2</v>
      </c>
      <c r="N8" s="77">
        <v>0</v>
      </c>
      <c r="P8" s="69"/>
      <c r="Q8" s="69"/>
      <c r="R8" s="69"/>
    </row>
    <row r="9" spans="1:46" ht="15" customHeight="1" x14ac:dyDescent="0.15">
      <c r="B9" s="1"/>
      <c r="C9" s="77">
        <v>8</v>
      </c>
      <c r="D9"/>
      <c r="E9" s="159" t="s">
        <v>199</v>
      </c>
      <c r="F9" s="77">
        <v>0</v>
      </c>
      <c r="G9" s="77">
        <v>0.153</v>
      </c>
      <c r="H9" s="77">
        <v>0.61799999999999999</v>
      </c>
      <c r="I9" s="77">
        <v>3.5</v>
      </c>
      <c r="J9" s="77">
        <v>0.63614445900000005</v>
      </c>
      <c r="K9" s="77">
        <v>0.17657141400000001</v>
      </c>
      <c r="L9" s="77">
        <v>0</v>
      </c>
      <c r="M9" s="77">
        <v>0.2</v>
      </c>
      <c r="N9" s="77">
        <v>0</v>
      </c>
      <c r="P9" s="69"/>
      <c r="Q9" s="69"/>
      <c r="R9" s="69"/>
    </row>
    <row r="10" spans="1:46" ht="15" customHeight="1" x14ac:dyDescent="0.15">
      <c r="B10" s="1"/>
      <c r="C10" s="77">
        <v>9</v>
      </c>
      <c r="D10"/>
      <c r="E10" s="159" t="s">
        <v>200</v>
      </c>
      <c r="F10" s="77">
        <v>0</v>
      </c>
      <c r="G10" s="77">
        <v>0.85187995400000005</v>
      </c>
      <c r="H10" s="77">
        <v>0.3</v>
      </c>
      <c r="I10" s="77">
        <v>3.6</v>
      </c>
      <c r="J10" s="77">
        <v>0.95</v>
      </c>
      <c r="K10" s="77">
        <v>8.3333335800000005E-2</v>
      </c>
      <c r="L10" s="77">
        <v>0</v>
      </c>
      <c r="M10" s="77">
        <v>0.2</v>
      </c>
      <c r="N10" s="77">
        <v>0</v>
      </c>
    </row>
    <row r="11" spans="1:46" ht="15" customHeight="1" x14ac:dyDescent="0.15">
      <c r="C11" s="77">
        <v>10</v>
      </c>
      <c r="D11"/>
      <c r="E11" s="159" t="s">
        <v>201</v>
      </c>
      <c r="F11" s="77">
        <v>0</v>
      </c>
      <c r="G11" s="77">
        <v>1.29796171</v>
      </c>
      <c r="H11" s="77">
        <v>0.45</v>
      </c>
      <c r="I11" s="77">
        <v>3</v>
      </c>
      <c r="J11" s="77">
        <v>0.95</v>
      </c>
      <c r="K11" s="77">
        <v>0.149999991</v>
      </c>
      <c r="L11" s="77">
        <v>0</v>
      </c>
      <c r="M11" s="77">
        <v>0.2</v>
      </c>
      <c r="N11" s="77">
        <v>0</v>
      </c>
    </row>
    <row r="12" spans="1:46" ht="15" customHeight="1" x14ac:dyDescent="0.15">
      <c r="C12" s="77">
        <v>11</v>
      </c>
      <c r="D12"/>
      <c r="E12" s="159" t="s">
        <v>202</v>
      </c>
      <c r="F12" s="77">
        <v>0</v>
      </c>
      <c r="G12" s="77">
        <v>0.86726206500000003</v>
      </c>
      <c r="H12" s="77">
        <v>0.69920000000000004</v>
      </c>
      <c r="I12" s="77">
        <v>4.5999999999999996</v>
      </c>
      <c r="J12" s="77">
        <v>0.95</v>
      </c>
      <c r="K12" s="77">
        <v>0.152</v>
      </c>
      <c r="L12" s="77">
        <v>0</v>
      </c>
      <c r="M12" s="77">
        <v>0.2</v>
      </c>
      <c r="N12" s="77">
        <v>0</v>
      </c>
    </row>
    <row r="13" spans="1:46" ht="15" customHeight="1" x14ac:dyDescent="0.15">
      <c r="C13" s="77">
        <v>12</v>
      </c>
      <c r="D13"/>
      <c r="E13" s="159" t="s">
        <v>203</v>
      </c>
      <c r="F13" s="77">
        <v>0</v>
      </c>
      <c r="G13" s="77">
        <v>2.6920000000000002</v>
      </c>
      <c r="H13" s="77">
        <v>1.95</v>
      </c>
      <c r="I13" s="77">
        <v>5</v>
      </c>
      <c r="J13" s="77">
        <v>0.94083459999999997</v>
      </c>
      <c r="K13" s="77">
        <v>0.39000001499999998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59" t="s">
        <v>204</v>
      </c>
      <c r="F14" s="77">
        <v>0</v>
      </c>
      <c r="G14" s="77">
        <v>6.7307610000000002</v>
      </c>
      <c r="H14" s="77">
        <v>0.58499999999999996</v>
      </c>
      <c r="I14" s="77">
        <v>4.5</v>
      </c>
      <c r="J14" s="77">
        <v>0.94699999999999995</v>
      </c>
      <c r="K14" s="77">
        <v>0.13</v>
      </c>
      <c r="L14" s="77">
        <v>0</v>
      </c>
      <c r="M14" s="77">
        <v>0.2</v>
      </c>
      <c r="N14" s="77">
        <v>0</v>
      </c>
    </row>
    <row r="15" spans="1:46" ht="15" customHeight="1" x14ac:dyDescent="0.15">
      <c r="C15" s="77">
        <v>14</v>
      </c>
      <c r="D15"/>
      <c r="E15" s="159" t="s">
        <v>205</v>
      </c>
      <c r="F15" s="77">
        <v>0</v>
      </c>
      <c r="G15" s="77">
        <v>1.2999999999999999E-2</v>
      </c>
      <c r="H15" s="77">
        <v>0.37</v>
      </c>
      <c r="I15" s="77">
        <v>2</v>
      </c>
      <c r="J15" s="77">
        <v>0</v>
      </c>
      <c r="K15" s="77">
        <v>0.185</v>
      </c>
      <c r="L15" s="77">
        <v>0</v>
      </c>
      <c r="M15" s="77">
        <v>0.2</v>
      </c>
      <c r="N15" s="77">
        <v>0</v>
      </c>
    </row>
    <row r="16" spans="1:46" ht="15" customHeight="1" x14ac:dyDescent="0.15">
      <c r="C16" s="77">
        <v>15</v>
      </c>
      <c r="D16"/>
      <c r="E16" s="159" t="s">
        <v>206</v>
      </c>
      <c r="F16" s="77">
        <v>0</v>
      </c>
      <c r="G16" s="77">
        <v>1.6842220000000001</v>
      </c>
      <c r="H16" s="77">
        <v>1.02</v>
      </c>
      <c r="I16" s="77">
        <v>6</v>
      </c>
      <c r="J16" s="77">
        <v>0.95599999999999996</v>
      </c>
      <c r="K16" s="77">
        <v>0.17</v>
      </c>
      <c r="L16" s="77">
        <v>0</v>
      </c>
      <c r="M16" s="77">
        <v>0.2</v>
      </c>
      <c r="N16" s="77">
        <v>0</v>
      </c>
    </row>
    <row r="17" spans="1:22" ht="15" customHeight="1" x14ac:dyDescent="0.15">
      <c r="C17" s="77">
        <v>16</v>
      </c>
      <c r="D17"/>
      <c r="E17" s="159" t="s">
        <v>207</v>
      </c>
      <c r="F17" s="77">
        <v>0</v>
      </c>
      <c r="G17" s="77">
        <v>0.73910224400000002</v>
      </c>
      <c r="H17" s="77">
        <v>0.2</v>
      </c>
      <c r="I17" s="77">
        <v>6</v>
      </c>
      <c r="J17" s="77">
        <v>0.95</v>
      </c>
      <c r="K17" s="77">
        <v>3.33333351E-2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59" t="s">
        <v>208</v>
      </c>
      <c r="F18" s="77">
        <v>0</v>
      </c>
      <c r="G18" s="77">
        <v>16.2854271</v>
      </c>
      <c r="H18" s="77">
        <v>3</v>
      </c>
      <c r="I18" s="77">
        <v>10</v>
      </c>
      <c r="J18" s="77">
        <v>0.95</v>
      </c>
      <c r="K18" s="77">
        <v>0.3</v>
      </c>
      <c r="L18" s="77">
        <v>0</v>
      </c>
      <c r="M18" s="77">
        <v>0.2</v>
      </c>
      <c r="N18" s="77">
        <v>0</v>
      </c>
      <c r="V18" s="1"/>
    </row>
    <row r="19" spans="1:22" ht="15" customHeight="1" x14ac:dyDescent="0.15">
      <c r="C19" s="77">
        <v>18</v>
      </c>
      <c r="D19"/>
      <c r="E19" s="159" t="s">
        <v>209</v>
      </c>
      <c r="F19" s="77">
        <v>0</v>
      </c>
      <c r="G19" s="77">
        <v>8.8046140000000008</v>
      </c>
      <c r="H19" s="77">
        <v>0.6</v>
      </c>
      <c r="I19" s="77">
        <v>3.5</v>
      </c>
      <c r="J19" s="77">
        <v>0.95</v>
      </c>
      <c r="K19" s="77">
        <v>0.171428576</v>
      </c>
      <c r="L19" s="77">
        <v>0</v>
      </c>
      <c r="M19" s="77">
        <v>0.2</v>
      </c>
      <c r="N19" s="77">
        <v>0</v>
      </c>
    </row>
    <row r="20" spans="1:22" ht="15" customHeight="1" thickBot="1" x14ac:dyDescent="0.2">
      <c r="C20" s="77">
        <v>19</v>
      </c>
      <c r="D20"/>
      <c r="E20" s="159" t="s">
        <v>210</v>
      </c>
      <c r="F20" s="77">
        <v>0</v>
      </c>
      <c r="G20" s="77">
        <v>30</v>
      </c>
      <c r="H20" s="77">
        <v>5</v>
      </c>
      <c r="I20" s="77">
        <v>20</v>
      </c>
      <c r="J20" s="77">
        <v>0.58223550000000002</v>
      </c>
      <c r="K20" s="77">
        <v>0.25</v>
      </c>
      <c r="L20" s="77">
        <v>0</v>
      </c>
      <c r="M20" s="77">
        <v>0.2</v>
      </c>
      <c r="N20" s="77">
        <v>0</v>
      </c>
    </row>
    <row r="21" spans="1:22" ht="15" customHeight="1" thickBot="1" x14ac:dyDescent="0.2">
      <c r="A21" s="46" t="s">
        <v>137</v>
      </c>
      <c r="B21" s="95"/>
      <c r="C21" s="77">
        <v>20</v>
      </c>
      <c r="D21"/>
      <c r="E21" s="159" t="s">
        <v>211</v>
      </c>
      <c r="F21" s="77">
        <v>1</v>
      </c>
      <c r="G21" s="77">
        <v>162.667</v>
      </c>
      <c r="H21" s="77">
        <v>50</v>
      </c>
      <c r="I21" s="77">
        <v>0</v>
      </c>
      <c r="J21" s="77">
        <v>7.8847479999999998E-2</v>
      </c>
      <c r="K21" s="77">
        <v>0</v>
      </c>
      <c r="L21" s="77">
        <v>0</v>
      </c>
      <c r="M21" s="77">
        <v>0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59" t="s">
        <v>212</v>
      </c>
      <c r="F22" s="77">
        <v>2</v>
      </c>
      <c r="G22" s="77">
        <v>200</v>
      </c>
      <c r="H22" s="77">
        <v>0</v>
      </c>
      <c r="I22" s="77">
        <v>0</v>
      </c>
      <c r="J22" s="77">
        <v>0</v>
      </c>
      <c r="K22" s="77">
        <v>0</v>
      </c>
      <c r="L22" s="77">
        <v>0</v>
      </c>
      <c r="M22" s="77">
        <v>0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59" t="s">
        <v>213</v>
      </c>
      <c r="F23" s="77">
        <v>2</v>
      </c>
      <c r="G23" s="77">
        <v>5</v>
      </c>
      <c r="H23" s="77">
        <v>0</v>
      </c>
      <c r="I23" s="77">
        <v>0</v>
      </c>
      <c r="J23" s="77">
        <v>0</v>
      </c>
      <c r="K23" s="77">
        <v>0</v>
      </c>
      <c r="L23" s="77">
        <v>0</v>
      </c>
      <c r="M23" s="77">
        <v>0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59" t="s">
        <v>214</v>
      </c>
      <c r="F24" s="77">
        <v>3</v>
      </c>
      <c r="G24" s="77">
        <v>0</v>
      </c>
      <c r="H24" s="77">
        <v>0</v>
      </c>
      <c r="I24" s="77">
        <v>0</v>
      </c>
      <c r="J24" s="77">
        <v>0</v>
      </c>
      <c r="K24" s="77">
        <v>0</v>
      </c>
      <c r="L24" s="77">
        <v>0</v>
      </c>
      <c r="M24" s="77">
        <v>0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10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3" bestFit="1" customWidth="1"/>
    <col min="2" max="4" width="5.83203125" style="133" bestFit="1" customWidth="1"/>
    <col min="5" max="5" width="4.83203125" style="133" bestFit="1" customWidth="1"/>
    <col min="6" max="6" width="5.83203125" style="133" bestFit="1" customWidth="1"/>
    <col min="7" max="7" width="14.83203125" style="133" bestFit="1" customWidth="1"/>
    <col min="8" max="8" width="5.83203125" style="133" bestFit="1" customWidth="1"/>
    <col min="9" max="9" width="4.83203125" style="133" bestFit="1" customWidth="1"/>
    <col min="10" max="10" width="5.83203125" style="133" bestFit="1" customWidth="1"/>
    <col min="11" max="11" width="14.83203125" style="133" bestFit="1" customWidth="1"/>
    <col min="12" max="14" width="3.83203125" style="133" bestFit="1" customWidth="1"/>
    <col min="15" max="17" width="4.83203125" style="133" bestFit="1" customWidth="1"/>
    <col min="18" max="18" width="3.83203125" style="133" bestFit="1" customWidth="1"/>
    <col min="19" max="19" width="5.83203125" style="133" bestFit="1" customWidth="1"/>
    <col min="20" max="23" width="2.33203125" style="133" bestFit="1" customWidth="1"/>
    <col min="24" max="29" width="9" style="133" bestFit="1" customWidth="1"/>
    <col min="30" max="16384" width="8.83203125" style="133"/>
  </cols>
  <sheetData>
    <row r="1" spans="1:34" x14ac:dyDescent="0.15">
      <c r="A1" s="132" t="s">
        <v>19</v>
      </c>
      <c r="B1" s="161" t="s">
        <v>192</v>
      </c>
      <c r="C1" s="161" t="s">
        <v>193</v>
      </c>
      <c r="D1" s="161" t="s">
        <v>194</v>
      </c>
      <c r="E1" s="161" t="s">
        <v>195</v>
      </c>
      <c r="F1" s="161" t="s">
        <v>196</v>
      </c>
      <c r="G1" s="161" t="s">
        <v>197</v>
      </c>
      <c r="H1" s="161" t="s">
        <v>198</v>
      </c>
      <c r="I1" s="161" t="s">
        <v>199</v>
      </c>
      <c r="J1" s="161" t="s">
        <v>200</v>
      </c>
      <c r="K1" s="161" t="s">
        <v>201</v>
      </c>
      <c r="L1" s="161" t="s">
        <v>202</v>
      </c>
      <c r="M1" s="161" t="s">
        <v>203</v>
      </c>
      <c r="N1" s="161" t="s">
        <v>204</v>
      </c>
      <c r="O1" s="161" t="s">
        <v>205</v>
      </c>
      <c r="P1" s="161" t="s">
        <v>206</v>
      </c>
      <c r="Q1" s="161" t="s">
        <v>207</v>
      </c>
      <c r="R1" s="161" t="s">
        <v>208</v>
      </c>
      <c r="S1" s="161" t="s">
        <v>209</v>
      </c>
      <c r="T1" s="161" t="s">
        <v>210</v>
      </c>
      <c r="U1" s="161" t="s">
        <v>211</v>
      </c>
      <c r="V1" s="161" t="s">
        <v>212</v>
      </c>
      <c r="W1" s="161" t="s">
        <v>213</v>
      </c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60" t="s">
        <v>192</v>
      </c>
      <c r="B2" s="133">
        <v>0</v>
      </c>
      <c r="C2" s="133">
        <v>0</v>
      </c>
      <c r="D2" s="133">
        <v>0</v>
      </c>
      <c r="E2" s="133">
        <v>0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 s="133">
        <v>0</v>
      </c>
      <c r="L2" s="133">
        <v>0</v>
      </c>
      <c r="M2" s="133">
        <v>0</v>
      </c>
      <c r="N2" s="133">
        <v>0</v>
      </c>
      <c r="O2" s="133">
        <v>0</v>
      </c>
      <c r="P2" s="133">
        <v>0</v>
      </c>
      <c r="Q2" s="133">
        <v>0</v>
      </c>
      <c r="R2" s="133">
        <v>0</v>
      </c>
      <c r="S2" s="133">
        <v>0</v>
      </c>
      <c r="T2" s="133">
        <v>0</v>
      </c>
      <c r="U2" s="133">
        <v>0</v>
      </c>
      <c r="V2" s="133">
        <v>0</v>
      </c>
      <c r="W2" s="133">
        <v>0</v>
      </c>
    </row>
    <row r="3" spans="1:34" customFormat="1" x14ac:dyDescent="0.15">
      <c r="A3" s="160" t="s">
        <v>193</v>
      </c>
      <c r="B3" s="133">
        <v>0</v>
      </c>
      <c r="C3" s="133">
        <v>0</v>
      </c>
      <c r="D3" s="133">
        <v>0</v>
      </c>
      <c r="E3" s="133">
        <v>0</v>
      </c>
      <c r="F3" s="133">
        <v>0</v>
      </c>
      <c r="G3" s="133">
        <v>0</v>
      </c>
      <c r="H3" s="133">
        <v>0</v>
      </c>
      <c r="I3" s="133">
        <v>0</v>
      </c>
      <c r="J3" s="133">
        <v>0</v>
      </c>
      <c r="K3" s="133">
        <v>0</v>
      </c>
      <c r="L3" s="133">
        <v>0</v>
      </c>
      <c r="M3" s="133">
        <v>0</v>
      </c>
      <c r="N3" s="133">
        <v>0</v>
      </c>
      <c r="O3" s="133">
        <v>0</v>
      </c>
      <c r="P3" s="133">
        <v>0</v>
      </c>
      <c r="Q3" s="133">
        <v>0</v>
      </c>
      <c r="R3" s="133">
        <v>0</v>
      </c>
      <c r="S3" s="133">
        <v>0</v>
      </c>
      <c r="T3" s="133">
        <v>0</v>
      </c>
      <c r="U3" s="133">
        <v>0</v>
      </c>
      <c r="V3" s="133">
        <v>0</v>
      </c>
      <c r="W3" s="133">
        <v>0</v>
      </c>
    </row>
    <row r="4" spans="1:34" customFormat="1" x14ac:dyDescent="0.15">
      <c r="A4" s="160" t="s">
        <v>194</v>
      </c>
      <c r="B4" s="133">
        <v>0.02</v>
      </c>
      <c r="C4" s="133">
        <v>0</v>
      </c>
      <c r="D4" s="133">
        <v>0</v>
      </c>
      <c r="E4" s="133">
        <v>0</v>
      </c>
      <c r="F4" s="133">
        <v>0</v>
      </c>
      <c r="G4" s="133">
        <v>0</v>
      </c>
      <c r="H4" s="133">
        <v>0</v>
      </c>
      <c r="I4" s="133">
        <v>0.02</v>
      </c>
      <c r="J4" s="133">
        <v>0</v>
      </c>
      <c r="K4" s="133">
        <v>5.1546391909793815E-3</v>
      </c>
      <c r="L4" s="133">
        <v>0</v>
      </c>
      <c r="M4" s="133">
        <v>0</v>
      </c>
      <c r="N4" s="133">
        <v>0</v>
      </c>
      <c r="O4" s="133">
        <v>0</v>
      </c>
      <c r="P4" s="133">
        <v>0</v>
      </c>
      <c r="Q4" s="133">
        <v>0</v>
      </c>
      <c r="R4" s="133">
        <v>0</v>
      </c>
      <c r="S4" s="133">
        <v>0</v>
      </c>
      <c r="T4" s="133">
        <v>0</v>
      </c>
      <c r="U4" s="133">
        <v>0</v>
      </c>
      <c r="V4" s="133">
        <v>0</v>
      </c>
      <c r="W4" s="133">
        <v>0</v>
      </c>
    </row>
    <row r="5" spans="1:34" customFormat="1" x14ac:dyDescent="0.15">
      <c r="A5" s="160" t="s">
        <v>195</v>
      </c>
      <c r="B5" s="133">
        <v>0.01</v>
      </c>
      <c r="C5" s="133">
        <v>0</v>
      </c>
      <c r="D5" s="133">
        <v>4.0000000000000008E-2</v>
      </c>
      <c r="E5" s="133">
        <v>0</v>
      </c>
      <c r="F5" s="133">
        <v>0</v>
      </c>
      <c r="G5" s="133">
        <v>1.0000000699299939E-3</v>
      </c>
      <c r="H5" s="133">
        <v>5.0000000000000001E-3</v>
      </c>
      <c r="I5" s="133">
        <v>0.03</v>
      </c>
      <c r="J5" s="133">
        <v>0.01</v>
      </c>
      <c r="K5" s="133">
        <v>2.5773196454896927E-2</v>
      </c>
      <c r="L5" s="133">
        <v>0</v>
      </c>
      <c r="M5" s="133">
        <v>0</v>
      </c>
      <c r="N5" s="133">
        <v>0</v>
      </c>
      <c r="O5" s="133">
        <v>0</v>
      </c>
      <c r="P5" s="133">
        <v>0</v>
      </c>
      <c r="Q5" s="133">
        <v>0</v>
      </c>
      <c r="R5" s="133">
        <v>0</v>
      </c>
      <c r="S5" s="133">
        <v>0</v>
      </c>
      <c r="T5" s="133">
        <v>0</v>
      </c>
      <c r="U5" s="133">
        <v>0</v>
      </c>
      <c r="V5" s="133">
        <v>0</v>
      </c>
      <c r="W5" s="133">
        <v>0</v>
      </c>
    </row>
    <row r="6" spans="1:34" customFormat="1" x14ac:dyDescent="0.15">
      <c r="A6" s="160" t="s">
        <v>196</v>
      </c>
      <c r="B6" s="133">
        <v>8.0000000000000002E-3</v>
      </c>
      <c r="C6" s="133">
        <v>0</v>
      </c>
      <c r="D6" s="133">
        <v>5.000000000000001E-3</v>
      </c>
      <c r="E6" s="133">
        <v>0</v>
      </c>
      <c r="F6" s="133">
        <v>0</v>
      </c>
      <c r="G6" s="133">
        <v>9.9999997993000175E-3</v>
      </c>
      <c r="H6" s="133">
        <v>0</v>
      </c>
      <c r="I6" s="133">
        <v>0</v>
      </c>
      <c r="J6" s="133">
        <v>0</v>
      </c>
      <c r="K6" s="133">
        <v>0</v>
      </c>
      <c r="L6" s="133">
        <v>0</v>
      </c>
      <c r="M6" s="133">
        <v>0</v>
      </c>
      <c r="N6" s="133">
        <v>0</v>
      </c>
      <c r="O6" s="133">
        <v>0</v>
      </c>
      <c r="P6" s="133">
        <v>0</v>
      </c>
      <c r="Q6" s="133">
        <v>0</v>
      </c>
      <c r="R6" s="133">
        <v>0</v>
      </c>
      <c r="S6" s="133">
        <v>0</v>
      </c>
      <c r="T6" s="133">
        <v>0</v>
      </c>
      <c r="U6" s="133">
        <v>0</v>
      </c>
      <c r="V6" s="133">
        <v>0</v>
      </c>
      <c r="W6" s="133">
        <v>0</v>
      </c>
    </row>
    <row r="7" spans="1:34" customFormat="1" x14ac:dyDescent="0.15">
      <c r="A7" s="160" t="s">
        <v>197</v>
      </c>
      <c r="B7" s="133">
        <v>3.0000000000000001E-3</v>
      </c>
      <c r="C7" s="133">
        <v>0</v>
      </c>
      <c r="D7" s="133">
        <v>1.3000000000000001E-2</v>
      </c>
      <c r="E7" s="133">
        <v>0</v>
      </c>
      <c r="F7" s="133">
        <v>0</v>
      </c>
      <c r="G7" s="133">
        <v>0</v>
      </c>
      <c r="H7" s="133">
        <v>0</v>
      </c>
      <c r="I7" s="133">
        <v>0</v>
      </c>
      <c r="J7" s="133">
        <v>0</v>
      </c>
      <c r="K7" s="133">
        <v>0</v>
      </c>
      <c r="L7" s="133">
        <v>0</v>
      </c>
      <c r="M7" s="133">
        <v>0</v>
      </c>
      <c r="N7" s="133">
        <v>0</v>
      </c>
      <c r="O7" s="133">
        <v>0</v>
      </c>
      <c r="P7" s="133">
        <v>0</v>
      </c>
      <c r="Q7" s="133">
        <v>0</v>
      </c>
      <c r="R7" s="133">
        <v>0</v>
      </c>
      <c r="S7" s="133">
        <v>0</v>
      </c>
      <c r="T7" s="133">
        <v>0</v>
      </c>
      <c r="U7" s="133">
        <v>0</v>
      </c>
      <c r="V7" s="133">
        <v>0</v>
      </c>
      <c r="W7" s="133">
        <v>0</v>
      </c>
    </row>
    <row r="8" spans="1:34" customFormat="1" x14ac:dyDescent="0.15">
      <c r="A8" s="160" t="s">
        <v>198</v>
      </c>
      <c r="B8" s="133">
        <v>0.01</v>
      </c>
      <c r="C8" s="133">
        <v>0</v>
      </c>
      <c r="D8" s="133">
        <v>5.2000000000000005E-2</v>
      </c>
      <c r="E8" s="133">
        <v>0</v>
      </c>
      <c r="F8" s="133">
        <v>3.0000000000000001E-3</v>
      </c>
      <c r="G8" s="133">
        <v>9.9999997993000175E-3</v>
      </c>
      <c r="H8" s="133">
        <v>0</v>
      </c>
      <c r="I8" s="133">
        <v>0.04</v>
      </c>
      <c r="J8" s="133">
        <v>0.06</v>
      </c>
      <c r="K8" s="133">
        <v>2.0618556863917531E-2</v>
      </c>
      <c r="L8" s="133">
        <v>0</v>
      </c>
      <c r="M8" s="133">
        <v>0</v>
      </c>
      <c r="N8" s="133">
        <v>0</v>
      </c>
      <c r="O8" s="133">
        <v>0</v>
      </c>
      <c r="P8" s="133">
        <v>0</v>
      </c>
      <c r="Q8" s="133">
        <v>0</v>
      </c>
      <c r="R8" s="133">
        <v>0</v>
      </c>
      <c r="S8" s="133">
        <v>0</v>
      </c>
      <c r="T8" s="133">
        <v>0</v>
      </c>
      <c r="U8" s="133">
        <v>0</v>
      </c>
      <c r="V8" s="133">
        <v>0</v>
      </c>
      <c r="W8" s="133">
        <v>0</v>
      </c>
    </row>
    <row r="9" spans="1:34" customFormat="1" x14ac:dyDescent="0.15">
      <c r="A9" s="160" t="s">
        <v>199</v>
      </c>
      <c r="B9" s="133">
        <v>0</v>
      </c>
      <c r="C9" s="133">
        <v>0</v>
      </c>
      <c r="D9" s="133">
        <v>5.000000000000001E-3</v>
      </c>
      <c r="E9" s="133">
        <v>0</v>
      </c>
      <c r="F9" s="133">
        <v>0</v>
      </c>
      <c r="G9" s="133">
        <v>0</v>
      </c>
      <c r="H9" s="133">
        <v>0</v>
      </c>
      <c r="I9" s="133">
        <v>0</v>
      </c>
      <c r="J9" s="133">
        <v>0</v>
      </c>
      <c r="K9" s="133">
        <v>0</v>
      </c>
      <c r="L9" s="133">
        <v>0</v>
      </c>
      <c r="M9" s="133">
        <v>0</v>
      </c>
      <c r="N9" s="133">
        <v>0</v>
      </c>
      <c r="O9" s="133">
        <v>0</v>
      </c>
      <c r="P9" s="133">
        <v>0</v>
      </c>
      <c r="Q9" s="133">
        <v>0</v>
      </c>
      <c r="R9" s="133">
        <v>0</v>
      </c>
      <c r="S9" s="133">
        <v>0</v>
      </c>
      <c r="T9" s="133">
        <v>0</v>
      </c>
      <c r="U9" s="133">
        <v>0</v>
      </c>
      <c r="V9" s="133">
        <v>0</v>
      </c>
      <c r="W9" s="133">
        <v>0</v>
      </c>
    </row>
    <row r="10" spans="1:34" customFormat="1" x14ac:dyDescent="0.15">
      <c r="A10" s="160" t="s">
        <v>200</v>
      </c>
      <c r="B10" s="133">
        <v>0.01</v>
      </c>
      <c r="C10" s="133">
        <v>0</v>
      </c>
      <c r="D10" s="133">
        <v>2.7000000000000003E-2</v>
      </c>
      <c r="E10" s="133">
        <v>0</v>
      </c>
      <c r="F10" s="133">
        <v>7.0000000000000001E-3</v>
      </c>
      <c r="G10" s="133">
        <v>2.0000001498599869E-3</v>
      </c>
      <c r="H10" s="133">
        <v>0</v>
      </c>
      <c r="I10" s="133">
        <v>0</v>
      </c>
      <c r="J10" s="133">
        <v>0</v>
      </c>
      <c r="K10" s="133">
        <v>0</v>
      </c>
      <c r="L10" s="133">
        <v>0</v>
      </c>
      <c r="M10" s="133">
        <v>0</v>
      </c>
      <c r="N10" s="133">
        <v>0</v>
      </c>
      <c r="O10" s="133">
        <v>0</v>
      </c>
      <c r="P10" s="133">
        <v>0</v>
      </c>
      <c r="Q10" s="133">
        <v>0</v>
      </c>
      <c r="R10" s="133">
        <v>0</v>
      </c>
      <c r="S10" s="133">
        <v>0</v>
      </c>
      <c r="T10" s="133">
        <v>0</v>
      </c>
      <c r="U10" s="133">
        <v>0</v>
      </c>
      <c r="V10" s="133">
        <v>0</v>
      </c>
      <c r="W10" s="133">
        <v>0</v>
      </c>
    </row>
    <row r="11" spans="1:34" customFormat="1" x14ac:dyDescent="0.15">
      <c r="A11" s="160" t="s">
        <v>201</v>
      </c>
      <c r="B11" s="133">
        <v>0.05</v>
      </c>
      <c r="C11" s="133">
        <v>0</v>
      </c>
      <c r="D11" s="133">
        <v>2.0000000000000004E-2</v>
      </c>
      <c r="E11" s="133">
        <v>0</v>
      </c>
      <c r="F11" s="133">
        <v>0</v>
      </c>
      <c r="G11" s="133">
        <v>0</v>
      </c>
      <c r="H11" s="133">
        <v>0</v>
      </c>
      <c r="I11" s="133">
        <v>0</v>
      </c>
      <c r="J11" s="133">
        <v>0</v>
      </c>
      <c r="K11" s="133">
        <v>2.0618558263917584E-3</v>
      </c>
      <c r="L11" s="133">
        <v>0</v>
      </c>
      <c r="M11" s="133">
        <v>0</v>
      </c>
      <c r="N11" s="133">
        <v>0</v>
      </c>
      <c r="O11" s="133">
        <v>0</v>
      </c>
      <c r="P11" s="133">
        <v>0</v>
      </c>
      <c r="Q11" s="133">
        <v>0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</row>
    <row r="12" spans="1:34" customFormat="1" x14ac:dyDescent="0.15">
      <c r="A12" s="160" t="s">
        <v>202</v>
      </c>
      <c r="B12" s="133">
        <v>0</v>
      </c>
      <c r="C12" s="133">
        <v>5.0000000000000001E-3</v>
      </c>
      <c r="D12" s="133">
        <v>5.000000000000001E-3</v>
      </c>
      <c r="E12" s="133">
        <v>0</v>
      </c>
      <c r="F12" s="133">
        <v>0</v>
      </c>
      <c r="G12" s="133">
        <v>1.0000000699299939E-3</v>
      </c>
      <c r="H12" s="133">
        <v>0</v>
      </c>
      <c r="I12" s="133">
        <v>0</v>
      </c>
      <c r="J12" s="133">
        <v>0</v>
      </c>
      <c r="K12" s="133">
        <v>0</v>
      </c>
      <c r="L12" s="133">
        <v>0</v>
      </c>
      <c r="M12" s="133">
        <v>0</v>
      </c>
      <c r="N12" s="133">
        <v>0</v>
      </c>
      <c r="O12" s="133">
        <v>0</v>
      </c>
      <c r="P12" s="133">
        <v>0</v>
      </c>
      <c r="Q12" s="133">
        <v>0</v>
      </c>
      <c r="R12" s="133">
        <v>0</v>
      </c>
      <c r="S12" s="133">
        <v>1.4999999999999999E-2</v>
      </c>
      <c r="T12" s="133">
        <v>0</v>
      </c>
      <c r="U12" s="133">
        <v>0</v>
      </c>
      <c r="V12" s="133">
        <v>0</v>
      </c>
      <c r="W12" s="133">
        <v>0</v>
      </c>
    </row>
    <row r="13" spans="1:34" customFormat="1" x14ac:dyDescent="0.15">
      <c r="A13" s="160" t="s">
        <v>203</v>
      </c>
      <c r="B13" s="133">
        <v>0.12</v>
      </c>
      <c r="C13" s="133">
        <v>0.38700000000000001</v>
      </c>
      <c r="D13" s="133">
        <v>0.27000000000000007</v>
      </c>
      <c r="E13" s="133">
        <v>0</v>
      </c>
      <c r="F13" s="133">
        <v>0.1</v>
      </c>
      <c r="G13" s="133">
        <v>0.28999999487970046</v>
      </c>
      <c r="H13" s="133">
        <v>0.03</v>
      </c>
      <c r="I13" s="133">
        <v>0.08</v>
      </c>
      <c r="J13" s="133">
        <v>3.6999999999999998E-2</v>
      </c>
      <c r="K13" s="133">
        <v>3.8144329113247395E-2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0</v>
      </c>
      <c r="S13" s="133">
        <v>1E-3</v>
      </c>
      <c r="T13" s="133">
        <v>0</v>
      </c>
      <c r="U13" s="133">
        <v>0</v>
      </c>
      <c r="V13" s="133">
        <v>0</v>
      </c>
      <c r="W13" s="133">
        <v>0</v>
      </c>
    </row>
    <row r="14" spans="1:34" customFormat="1" x14ac:dyDescent="0.15">
      <c r="A14" s="160" t="s">
        <v>204</v>
      </c>
      <c r="B14" s="133">
        <v>0.02</v>
      </c>
      <c r="C14" s="133">
        <v>1.4E-2</v>
      </c>
      <c r="D14" s="133">
        <v>5.2000000000000005E-2</v>
      </c>
      <c r="E14" s="133">
        <v>0</v>
      </c>
      <c r="F14" s="133">
        <v>0</v>
      </c>
      <c r="G14" s="133">
        <v>1.0000000699299939E-3</v>
      </c>
      <c r="H14" s="133">
        <v>0.02</v>
      </c>
      <c r="I14" s="133">
        <v>0.06</v>
      </c>
      <c r="J14" s="133">
        <v>0</v>
      </c>
      <c r="K14" s="133">
        <v>0</v>
      </c>
      <c r="L14" s="133">
        <v>0</v>
      </c>
      <c r="M14" s="133">
        <v>0</v>
      </c>
      <c r="N14" s="133">
        <v>0</v>
      </c>
      <c r="O14" s="133">
        <v>0</v>
      </c>
      <c r="P14" s="133">
        <v>0</v>
      </c>
      <c r="Q14" s="133">
        <v>0</v>
      </c>
      <c r="R14" s="133">
        <v>0</v>
      </c>
      <c r="S14" s="133">
        <v>0.1</v>
      </c>
      <c r="T14" s="133">
        <v>0</v>
      </c>
      <c r="U14" s="133">
        <v>0</v>
      </c>
      <c r="V14" s="133">
        <v>0</v>
      </c>
      <c r="W14" s="133">
        <v>0</v>
      </c>
    </row>
    <row r="15" spans="1:34" customFormat="1" x14ac:dyDescent="0.15">
      <c r="A15" s="160" t="s">
        <v>205</v>
      </c>
      <c r="B15" s="133">
        <v>0</v>
      </c>
      <c r="C15" s="133">
        <v>0</v>
      </c>
      <c r="D15" s="133">
        <v>0</v>
      </c>
      <c r="E15" s="133">
        <v>0</v>
      </c>
      <c r="F15" s="133">
        <v>0</v>
      </c>
      <c r="G15" s="133">
        <v>0</v>
      </c>
      <c r="H15" s="133">
        <v>0</v>
      </c>
      <c r="I15" s="133">
        <v>0</v>
      </c>
      <c r="J15" s="133">
        <v>0</v>
      </c>
      <c r="K15" s="133">
        <v>0</v>
      </c>
      <c r="L15" s="133">
        <v>0</v>
      </c>
      <c r="M15" s="133">
        <v>0</v>
      </c>
      <c r="N15" s="133">
        <v>0</v>
      </c>
      <c r="O15" s="133">
        <v>0</v>
      </c>
      <c r="P15" s="133">
        <v>0</v>
      </c>
      <c r="Q15" s="133">
        <v>0</v>
      </c>
      <c r="R15" s="133">
        <v>0</v>
      </c>
      <c r="S15" s="133">
        <v>0</v>
      </c>
      <c r="T15" s="133">
        <v>0</v>
      </c>
      <c r="U15" s="133">
        <v>0</v>
      </c>
      <c r="V15" s="133">
        <v>0</v>
      </c>
      <c r="W15" s="133">
        <v>0</v>
      </c>
    </row>
    <row r="16" spans="1:34" customFormat="1" x14ac:dyDescent="0.15">
      <c r="A16" s="160" t="s">
        <v>206</v>
      </c>
      <c r="B16" s="133">
        <v>0.01</v>
      </c>
      <c r="C16" s="133">
        <v>0</v>
      </c>
      <c r="D16" s="133">
        <v>0.11100000000000002</v>
      </c>
      <c r="E16" s="133">
        <v>0.15000000000000002</v>
      </c>
      <c r="F16" s="133">
        <v>3.5000000000000003E-2</v>
      </c>
      <c r="G16" s="133">
        <v>0</v>
      </c>
      <c r="H16" s="133">
        <v>1.2999999999999999E-2</v>
      </c>
      <c r="I16" s="133">
        <v>0.04</v>
      </c>
      <c r="J16" s="133">
        <v>3.3000000000000002E-2</v>
      </c>
      <c r="K16" s="133">
        <v>3.4020618860463925E-2</v>
      </c>
      <c r="L16" s="133">
        <v>0</v>
      </c>
      <c r="M16" s="133">
        <v>0</v>
      </c>
      <c r="N16" s="133">
        <v>0</v>
      </c>
      <c r="O16" s="133">
        <v>0</v>
      </c>
      <c r="P16" s="133">
        <v>0</v>
      </c>
      <c r="Q16" s="133">
        <v>0</v>
      </c>
      <c r="R16" s="133">
        <v>0</v>
      </c>
      <c r="S16" s="133">
        <v>0</v>
      </c>
      <c r="T16" s="133">
        <v>0</v>
      </c>
      <c r="U16" s="133">
        <v>0</v>
      </c>
      <c r="V16" s="133">
        <v>0</v>
      </c>
      <c r="W16" s="133">
        <v>0</v>
      </c>
    </row>
    <row r="17" spans="1:23" customFormat="1" x14ac:dyDescent="0.15">
      <c r="A17" s="160" t="s">
        <v>207</v>
      </c>
      <c r="B17" s="133">
        <v>0</v>
      </c>
      <c r="C17" s="133">
        <v>0</v>
      </c>
      <c r="D17" s="133">
        <v>0</v>
      </c>
      <c r="E17" s="133">
        <v>0</v>
      </c>
      <c r="F17" s="133">
        <v>0</v>
      </c>
      <c r="G17" s="133">
        <v>0</v>
      </c>
      <c r="H17" s="133">
        <v>0</v>
      </c>
      <c r="I17" s="133">
        <v>0</v>
      </c>
      <c r="J17" s="133">
        <v>0</v>
      </c>
      <c r="K17" s="133">
        <v>3.0927834345876263E-2</v>
      </c>
      <c r="L17" s="133">
        <v>0</v>
      </c>
      <c r="M17" s="133">
        <v>0</v>
      </c>
      <c r="N17" s="133">
        <v>0</v>
      </c>
      <c r="O17" s="133">
        <v>0</v>
      </c>
      <c r="P17" s="133">
        <v>0</v>
      </c>
      <c r="Q17" s="133">
        <v>0</v>
      </c>
      <c r="R17" s="133">
        <v>0</v>
      </c>
      <c r="S17" s="133">
        <v>0</v>
      </c>
      <c r="T17" s="133">
        <v>0</v>
      </c>
      <c r="U17" s="133">
        <v>0</v>
      </c>
      <c r="V17" s="133">
        <v>0</v>
      </c>
      <c r="W17" s="133">
        <v>0</v>
      </c>
    </row>
    <row r="18" spans="1:23" customFormat="1" x14ac:dyDescent="0.15">
      <c r="A18" s="160" t="s">
        <v>208</v>
      </c>
      <c r="B18" s="133">
        <v>5.8999999999999997E-2</v>
      </c>
      <c r="C18" s="133">
        <v>0.41699999999999998</v>
      </c>
      <c r="D18" s="133">
        <v>0.11000000000000001</v>
      </c>
      <c r="E18" s="133">
        <v>0.41000000000000003</v>
      </c>
      <c r="F18" s="133">
        <v>0.53200000000000003</v>
      </c>
      <c r="G18" s="133">
        <v>7.9999998494400149E-2</v>
      </c>
      <c r="H18" s="133">
        <v>0.15</v>
      </c>
      <c r="I18" s="133">
        <v>0.05</v>
      </c>
      <c r="J18" s="133">
        <v>0.5</v>
      </c>
      <c r="K18" s="133">
        <v>0.47216494649371127</v>
      </c>
      <c r="L18" s="133">
        <v>0</v>
      </c>
      <c r="M18" s="133">
        <v>0</v>
      </c>
      <c r="N18" s="133">
        <v>0</v>
      </c>
      <c r="O18" s="133">
        <v>0.3</v>
      </c>
      <c r="P18" s="133">
        <v>0.29999999999999993</v>
      </c>
      <c r="Q18" s="133">
        <v>0.35</v>
      </c>
      <c r="R18" s="133">
        <v>0.2</v>
      </c>
      <c r="S18" s="133">
        <v>3.4000000000000002E-2</v>
      </c>
      <c r="T18" s="133">
        <v>0</v>
      </c>
      <c r="U18" s="133">
        <v>0</v>
      </c>
      <c r="V18" s="133">
        <v>0</v>
      </c>
      <c r="W18" s="133">
        <v>0</v>
      </c>
    </row>
    <row r="19" spans="1:23" customFormat="1" x14ac:dyDescent="0.15">
      <c r="A19" s="160" t="s">
        <v>209</v>
      </c>
      <c r="B19" s="133">
        <v>0.18</v>
      </c>
      <c r="C19" s="133">
        <v>0.04</v>
      </c>
      <c r="D19" s="133">
        <v>8.500000000000002E-2</v>
      </c>
      <c r="E19" s="133">
        <v>7.0000000000000021E-2</v>
      </c>
      <c r="F19" s="133">
        <v>1.2999999999999999E-2</v>
      </c>
      <c r="G19" s="133">
        <v>0.25999999658180034</v>
      </c>
      <c r="H19" s="133">
        <v>0.04</v>
      </c>
      <c r="I19" s="133">
        <v>0.25</v>
      </c>
      <c r="J19" s="133">
        <v>0.2</v>
      </c>
      <c r="K19" s="133">
        <v>0.20618557163917542</v>
      </c>
      <c r="L19" s="133">
        <v>0</v>
      </c>
      <c r="M19" s="133">
        <v>0</v>
      </c>
      <c r="N19" s="133">
        <v>0</v>
      </c>
      <c r="O19" s="133">
        <v>0</v>
      </c>
      <c r="P19" s="133">
        <v>0</v>
      </c>
      <c r="Q19" s="133">
        <v>0.15</v>
      </c>
      <c r="R19" s="133">
        <v>0</v>
      </c>
      <c r="S19" s="133">
        <v>0</v>
      </c>
      <c r="T19" s="133">
        <v>0</v>
      </c>
      <c r="U19" s="133">
        <v>0</v>
      </c>
      <c r="V19" s="133">
        <v>0</v>
      </c>
      <c r="W19" s="133">
        <v>0</v>
      </c>
    </row>
    <row r="20" spans="1:23" customFormat="1" x14ac:dyDescent="0.15">
      <c r="A20" s="160" t="s">
        <v>210</v>
      </c>
      <c r="B20" s="133">
        <v>0.5</v>
      </c>
      <c r="C20" s="133">
        <v>7.6999999999999999E-2</v>
      </c>
      <c r="D20" s="133">
        <v>0.20500000000000002</v>
      </c>
      <c r="E20" s="133">
        <v>0.27000000000000007</v>
      </c>
      <c r="F20" s="133">
        <v>0.31</v>
      </c>
      <c r="G20" s="133">
        <v>0.34400001001591912</v>
      </c>
      <c r="H20" s="133">
        <v>0.74199999999999999</v>
      </c>
      <c r="I20" s="133">
        <v>0.13</v>
      </c>
      <c r="J20" s="133">
        <v>0.04</v>
      </c>
      <c r="K20" s="133">
        <v>4.1237113627835061E-2</v>
      </c>
      <c r="L20" s="133">
        <v>0.9</v>
      </c>
      <c r="M20" s="133">
        <v>0.9</v>
      </c>
      <c r="N20" s="133">
        <v>0.8</v>
      </c>
      <c r="O20" s="133">
        <v>0.5</v>
      </c>
      <c r="P20" s="133">
        <v>0.54999999999999993</v>
      </c>
      <c r="Q20" s="133">
        <v>0.3</v>
      </c>
      <c r="R20" s="133">
        <v>0</v>
      </c>
      <c r="S20" s="133">
        <v>0.85</v>
      </c>
      <c r="T20" s="133">
        <v>0</v>
      </c>
      <c r="U20" s="133">
        <v>0</v>
      </c>
      <c r="V20" s="133">
        <v>0</v>
      </c>
      <c r="W20" s="133">
        <v>0</v>
      </c>
    </row>
    <row r="21" spans="1:23" customFormat="1" x14ac:dyDescent="0.15">
      <c r="A21" s="160" t="s">
        <v>211</v>
      </c>
      <c r="B21" s="133">
        <v>0</v>
      </c>
      <c r="C21" s="133">
        <v>0</v>
      </c>
      <c r="D21" s="133">
        <v>0</v>
      </c>
      <c r="E21" s="133">
        <v>0.10000000000000002</v>
      </c>
      <c r="F21" s="133">
        <v>0</v>
      </c>
      <c r="G21" s="133">
        <v>0</v>
      </c>
      <c r="H21" s="133">
        <v>0</v>
      </c>
      <c r="I21" s="133">
        <v>0</v>
      </c>
      <c r="J21" s="133">
        <v>0</v>
      </c>
      <c r="K21" s="133">
        <v>0</v>
      </c>
      <c r="L21" s="133">
        <v>0.1</v>
      </c>
      <c r="M21" s="133">
        <v>0.1</v>
      </c>
      <c r="N21" s="133">
        <v>0.2</v>
      </c>
      <c r="O21" s="133">
        <v>0.05</v>
      </c>
      <c r="P21" s="133">
        <v>4.9999999999999989E-2</v>
      </c>
      <c r="Q21" s="133">
        <v>0</v>
      </c>
      <c r="R21" s="133">
        <v>0.2</v>
      </c>
      <c r="S21" s="133">
        <v>0</v>
      </c>
      <c r="T21" s="133">
        <v>1</v>
      </c>
      <c r="U21" s="133">
        <v>0</v>
      </c>
      <c r="V21" s="133">
        <v>0</v>
      </c>
      <c r="W21" s="133">
        <v>0</v>
      </c>
    </row>
    <row r="22" spans="1:23" customFormat="1" x14ac:dyDescent="0.15">
      <c r="A22" s="160" t="s">
        <v>212</v>
      </c>
      <c r="B22" s="133">
        <v>0</v>
      </c>
      <c r="C22" s="133">
        <v>0.06</v>
      </c>
      <c r="D22" s="133">
        <v>0</v>
      </c>
      <c r="E22" s="133">
        <v>0</v>
      </c>
      <c r="F22" s="133">
        <v>0</v>
      </c>
      <c r="G22" s="133">
        <v>1.0000000699299939E-3</v>
      </c>
      <c r="H22" s="133">
        <v>0</v>
      </c>
      <c r="I22" s="133">
        <v>0.3</v>
      </c>
      <c r="J22" s="133">
        <v>0.12</v>
      </c>
      <c r="K22" s="133">
        <v>0.12371133758350505</v>
      </c>
      <c r="L22" s="133">
        <v>0</v>
      </c>
      <c r="M22" s="133">
        <v>0</v>
      </c>
      <c r="N22" s="133">
        <v>0</v>
      </c>
      <c r="O22" s="133">
        <v>0.15</v>
      </c>
      <c r="P22" s="133">
        <v>9.9999999999999978E-2</v>
      </c>
      <c r="Q22" s="133">
        <v>0.2</v>
      </c>
      <c r="R22" s="133">
        <v>0.6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</row>
    <row r="23" spans="1:23" customFormat="1" x14ac:dyDescent="0.15">
      <c r="A23" s="160" t="s">
        <v>213</v>
      </c>
      <c r="B23" s="133">
        <v>0</v>
      </c>
      <c r="C23" s="133">
        <v>0</v>
      </c>
      <c r="D23" s="133">
        <v>0</v>
      </c>
      <c r="E23" s="133">
        <v>0</v>
      </c>
      <c r="F23" s="133">
        <v>0</v>
      </c>
      <c r="G23" s="133">
        <v>0</v>
      </c>
      <c r="H23" s="133">
        <v>0</v>
      </c>
      <c r="I23" s="133">
        <v>0</v>
      </c>
      <c r="J23" s="133">
        <v>0</v>
      </c>
      <c r="K23" s="133">
        <v>0</v>
      </c>
      <c r="L23" s="133">
        <v>0</v>
      </c>
      <c r="M23" s="133">
        <v>0</v>
      </c>
      <c r="N23" s="133">
        <v>0</v>
      </c>
      <c r="O23" s="133">
        <v>0</v>
      </c>
      <c r="P23" s="133">
        <v>0</v>
      </c>
      <c r="Q23" s="133">
        <v>0</v>
      </c>
      <c r="R23" s="133">
        <v>0</v>
      </c>
      <c r="S23" s="133">
        <v>0</v>
      </c>
      <c r="T23" s="133">
        <v>0</v>
      </c>
      <c r="U23" s="133">
        <v>0</v>
      </c>
      <c r="V23" s="133">
        <v>0</v>
      </c>
      <c r="W23" s="133">
        <v>0</v>
      </c>
    </row>
    <row r="24" spans="1:23" customFormat="1" x14ac:dyDescent="0.15">
      <c r="A24" s="160" t="s">
        <v>215</v>
      </c>
      <c r="B24" s="133">
        <v>0</v>
      </c>
      <c r="C24" s="133">
        <v>0</v>
      </c>
      <c r="D24" s="133">
        <v>0</v>
      </c>
      <c r="E24" s="133">
        <v>0</v>
      </c>
      <c r="F24" s="133">
        <v>0</v>
      </c>
      <c r="G24" s="133">
        <v>0</v>
      </c>
      <c r="H24" s="133">
        <v>0</v>
      </c>
      <c r="I24" s="133">
        <v>0</v>
      </c>
      <c r="J24" s="133">
        <v>0</v>
      </c>
      <c r="K24" s="133">
        <v>0</v>
      </c>
      <c r="L24" s="133">
        <v>0</v>
      </c>
      <c r="M24" s="133">
        <v>0</v>
      </c>
      <c r="N24" s="133">
        <v>0</v>
      </c>
      <c r="O24" s="133">
        <v>0</v>
      </c>
      <c r="P24" s="133">
        <v>0</v>
      </c>
      <c r="Q24" s="133">
        <v>0</v>
      </c>
      <c r="R24" s="133">
        <v>0</v>
      </c>
      <c r="S24" s="133">
        <v>0</v>
      </c>
      <c r="T24" s="133">
        <v>0</v>
      </c>
      <c r="U24" s="133">
        <v>0</v>
      </c>
      <c r="V24" s="133">
        <v>0</v>
      </c>
      <c r="W24" s="133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6" sqref="G26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9" style="104" customWidth="1"/>
    <col min="5" max="6" width="19" style="103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63" t="s">
        <v>212</v>
      </c>
      <c r="D1" s="163" t="s">
        <v>213</v>
      </c>
      <c r="E1" s="163" t="s">
        <v>216</v>
      </c>
      <c r="F1" s="163" t="s">
        <v>217</v>
      </c>
      <c r="G1"/>
      <c r="H1"/>
    </row>
    <row r="2" spans="1:8" x14ac:dyDescent="0.15">
      <c r="A2">
        <v>1</v>
      </c>
      <c r="B2" s="162" t="s">
        <v>192</v>
      </c>
      <c r="C2" s="104">
        <v>1</v>
      </c>
      <c r="D2" s="104">
        <v>0</v>
      </c>
      <c r="E2" s="103">
        <v>0</v>
      </c>
      <c r="F2" s="103">
        <v>1</v>
      </c>
      <c r="G2"/>
      <c r="H2"/>
    </row>
    <row r="3" spans="1:8" x14ac:dyDescent="0.15">
      <c r="A3">
        <v>2</v>
      </c>
      <c r="B3" s="162" t="s">
        <v>193</v>
      </c>
      <c r="C3" s="104">
        <v>1</v>
      </c>
      <c r="D3" s="104">
        <v>0</v>
      </c>
      <c r="E3" s="103">
        <v>0</v>
      </c>
      <c r="F3" s="103">
        <v>1</v>
      </c>
      <c r="G3"/>
      <c r="H3"/>
    </row>
    <row r="4" spans="1:8" x14ac:dyDescent="0.15">
      <c r="A4">
        <v>3</v>
      </c>
      <c r="B4" s="162" t="s">
        <v>194</v>
      </c>
      <c r="C4" s="104">
        <v>1</v>
      </c>
      <c r="D4" s="104">
        <v>0</v>
      </c>
      <c r="E4" s="103">
        <v>0</v>
      </c>
      <c r="F4" s="103">
        <v>1</v>
      </c>
      <c r="G4"/>
      <c r="H4"/>
    </row>
    <row r="5" spans="1:8" x14ac:dyDescent="0.15">
      <c r="A5">
        <v>4</v>
      </c>
      <c r="B5" s="162" t="s">
        <v>195</v>
      </c>
      <c r="C5" s="104">
        <v>1</v>
      </c>
      <c r="D5" s="104">
        <v>0</v>
      </c>
      <c r="E5" s="103">
        <v>0</v>
      </c>
      <c r="F5" s="103">
        <v>1</v>
      </c>
      <c r="G5"/>
      <c r="H5"/>
    </row>
    <row r="6" spans="1:8" x14ac:dyDescent="0.15">
      <c r="A6">
        <v>5</v>
      </c>
      <c r="B6" s="162" t="s">
        <v>196</v>
      </c>
      <c r="C6" s="104">
        <v>1</v>
      </c>
      <c r="D6" s="104">
        <v>0</v>
      </c>
      <c r="E6" s="103">
        <v>0</v>
      </c>
      <c r="F6" s="103">
        <v>1</v>
      </c>
      <c r="G6"/>
      <c r="H6"/>
    </row>
    <row r="7" spans="1:8" x14ac:dyDescent="0.15">
      <c r="A7">
        <v>6</v>
      </c>
      <c r="B7" s="162" t="s">
        <v>197</v>
      </c>
      <c r="C7" s="104">
        <v>1</v>
      </c>
      <c r="D7" s="104">
        <v>0</v>
      </c>
      <c r="E7" s="103">
        <v>0</v>
      </c>
      <c r="F7" s="103">
        <v>1</v>
      </c>
      <c r="G7"/>
      <c r="H7"/>
    </row>
    <row r="8" spans="1:8" x14ac:dyDescent="0.15">
      <c r="A8">
        <v>7</v>
      </c>
      <c r="B8" s="162" t="s">
        <v>198</v>
      </c>
      <c r="C8" s="104">
        <v>1</v>
      </c>
      <c r="D8" s="104">
        <v>0</v>
      </c>
      <c r="E8" s="103">
        <v>0</v>
      </c>
      <c r="F8" s="103">
        <v>1</v>
      </c>
      <c r="G8"/>
      <c r="H8"/>
    </row>
    <row r="9" spans="1:8" x14ac:dyDescent="0.15">
      <c r="A9">
        <v>8</v>
      </c>
      <c r="B9" s="162" t="s">
        <v>199</v>
      </c>
      <c r="C9" s="104">
        <v>1</v>
      </c>
      <c r="D9" s="104">
        <v>0</v>
      </c>
      <c r="E9" s="103">
        <v>0</v>
      </c>
      <c r="F9" s="103">
        <v>1</v>
      </c>
      <c r="G9"/>
      <c r="H9"/>
    </row>
    <row r="10" spans="1:8" x14ac:dyDescent="0.15">
      <c r="A10">
        <v>9</v>
      </c>
      <c r="B10" s="162" t="s">
        <v>200</v>
      </c>
      <c r="C10" s="104">
        <v>1</v>
      </c>
      <c r="D10" s="104">
        <v>0</v>
      </c>
      <c r="E10" s="103">
        <v>0</v>
      </c>
      <c r="F10" s="103">
        <v>1</v>
      </c>
      <c r="G10"/>
      <c r="H10"/>
    </row>
    <row r="11" spans="1:8" x14ac:dyDescent="0.15">
      <c r="A11">
        <v>10</v>
      </c>
      <c r="B11" s="162" t="s">
        <v>201</v>
      </c>
      <c r="C11" s="104">
        <v>1</v>
      </c>
      <c r="D11" s="104">
        <v>0</v>
      </c>
      <c r="E11" s="103">
        <v>0</v>
      </c>
      <c r="F11" s="103">
        <v>1</v>
      </c>
      <c r="G11"/>
      <c r="H11"/>
    </row>
    <row r="12" spans="1:8" x14ac:dyDescent="0.15">
      <c r="A12">
        <v>11</v>
      </c>
      <c r="B12" s="162" t="s">
        <v>202</v>
      </c>
      <c r="C12" s="104">
        <v>1</v>
      </c>
      <c r="D12" s="104">
        <v>0</v>
      </c>
      <c r="E12" s="103">
        <v>0</v>
      </c>
      <c r="F12" s="103">
        <v>1</v>
      </c>
      <c r="G12"/>
      <c r="H12"/>
    </row>
    <row r="13" spans="1:8" x14ac:dyDescent="0.15">
      <c r="A13">
        <v>12</v>
      </c>
      <c r="B13" s="162" t="s">
        <v>203</v>
      </c>
      <c r="C13" s="104">
        <v>1</v>
      </c>
      <c r="D13" s="104">
        <v>0</v>
      </c>
      <c r="E13" s="103">
        <v>0</v>
      </c>
      <c r="F13" s="103">
        <v>1</v>
      </c>
      <c r="G13"/>
      <c r="H13"/>
    </row>
    <row r="14" spans="1:8" x14ac:dyDescent="0.15">
      <c r="A14">
        <v>13</v>
      </c>
      <c r="B14" s="162" t="s">
        <v>204</v>
      </c>
      <c r="C14" s="104">
        <v>1</v>
      </c>
      <c r="D14" s="104">
        <v>0</v>
      </c>
      <c r="E14" s="103">
        <v>0</v>
      </c>
      <c r="F14" s="103">
        <v>1</v>
      </c>
      <c r="G14"/>
      <c r="H14"/>
    </row>
    <row r="15" spans="1:8" x14ac:dyDescent="0.15">
      <c r="A15">
        <v>14</v>
      </c>
      <c r="B15" s="162" t="s">
        <v>205</v>
      </c>
      <c r="C15" s="104">
        <v>1</v>
      </c>
      <c r="D15" s="104">
        <v>0</v>
      </c>
      <c r="E15" s="103">
        <v>0</v>
      </c>
      <c r="F15" s="103">
        <v>1</v>
      </c>
      <c r="G15"/>
      <c r="H15"/>
    </row>
    <row r="16" spans="1:8" x14ac:dyDescent="0.15">
      <c r="A16">
        <v>15</v>
      </c>
      <c r="B16" s="162" t="s">
        <v>206</v>
      </c>
      <c r="C16" s="104">
        <v>1</v>
      </c>
      <c r="D16" s="104">
        <v>0</v>
      </c>
      <c r="E16" s="103">
        <v>0</v>
      </c>
      <c r="F16" s="103">
        <v>1</v>
      </c>
      <c r="G16"/>
      <c r="H16"/>
    </row>
    <row r="17" spans="1:8" ht="15" customHeight="1" x14ac:dyDescent="0.15">
      <c r="A17">
        <v>16</v>
      </c>
      <c r="B17" s="162" t="s">
        <v>207</v>
      </c>
      <c r="C17" s="104">
        <v>1</v>
      </c>
      <c r="D17" s="104">
        <v>0</v>
      </c>
      <c r="E17" s="103">
        <v>0</v>
      </c>
      <c r="F17" s="103">
        <v>1</v>
      </c>
      <c r="G17"/>
      <c r="H17"/>
    </row>
    <row r="18" spans="1:8" ht="15" customHeight="1" x14ac:dyDescent="0.15">
      <c r="A18">
        <v>17</v>
      </c>
      <c r="B18" s="162" t="s">
        <v>208</v>
      </c>
      <c r="C18" s="104">
        <v>1</v>
      </c>
      <c r="D18" s="104">
        <v>0</v>
      </c>
      <c r="E18" s="103">
        <v>0</v>
      </c>
      <c r="F18" s="103">
        <v>1</v>
      </c>
      <c r="G18"/>
      <c r="H18"/>
    </row>
    <row r="19" spans="1:8" ht="15" customHeight="1" x14ac:dyDescent="0.15">
      <c r="A19">
        <v>18</v>
      </c>
      <c r="B19" s="162" t="s">
        <v>209</v>
      </c>
      <c r="C19" s="104">
        <v>1</v>
      </c>
      <c r="D19" s="104">
        <v>0</v>
      </c>
      <c r="E19" s="103">
        <v>0</v>
      </c>
      <c r="F19" s="103">
        <v>1</v>
      </c>
      <c r="G19"/>
      <c r="H19"/>
    </row>
    <row r="20" spans="1:8" ht="15" customHeight="1" x14ac:dyDescent="0.15">
      <c r="A20">
        <v>19</v>
      </c>
      <c r="B20" s="162" t="s">
        <v>210</v>
      </c>
      <c r="C20" s="104">
        <v>1</v>
      </c>
      <c r="D20" s="104">
        <v>0</v>
      </c>
      <c r="E20" s="103">
        <v>0</v>
      </c>
      <c r="F20" s="103">
        <v>1</v>
      </c>
      <c r="G20"/>
      <c r="H20"/>
    </row>
    <row r="21" spans="1:8" ht="15" customHeight="1" x14ac:dyDescent="0.15">
      <c r="A21">
        <v>20</v>
      </c>
      <c r="B21" s="162" t="s">
        <v>211</v>
      </c>
      <c r="C21" s="104">
        <v>1</v>
      </c>
      <c r="D21" s="104">
        <v>0</v>
      </c>
      <c r="E21" s="103">
        <v>0</v>
      </c>
      <c r="F21" s="103">
        <v>1</v>
      </c>
      <c r="G21"/>
      <c r="H21"/>
    </row>
    <row r="22" spans="1:8" ht="15" customHeight="1" x14ac:dyDescent="0.15">
      <c r="A22">
        <v>21</v>
      </c>
      <c r="B22" s="162" t="s">
        <v>212</v>
      </c>
      <c r="C22" s="104">
        <v>0</v>
      </c>
      <c r="D22" s="104">
        <v>1</v>
      </c>
      <c r="E22" s="103">
        <v>0</v>
      </c>
      <c r="F22" s="103">
        <v>1</v>
      </c>
      <c r="G22"/>
      <c r="H22"/>
    </row>
    <row r="23" spans="1:8" ht="15" customHeight="1" x14ac:dyDescent="0.15">
      <c r="A23">
        <v>22</v>
      </c>
      <c r="B23" s="162" t="s">
        <v>213</v>
      </c>
      <c r="C23" s="104">
        <v>0</v>
      </c>
      <c r="D23" s="104">
        <v>0</v>
      </c>
      <c r="E23" s="103">
        <v>1</v>
      </c>
      <c r="F23" s="103">
        <v>1</v>
      </c>
      <c r="G23"/>
      <c r="H23"/>
    </row>
    <row r="24" spans="1:8" ht="15" customHeight="1" x14ac:dyDescent="0.15">
      <c r="A24">
        <v>23</v>
      </c>
      <c r="B24" s="162" t="s">
        <v>214</v>
      </c>
      <c r="C24" s="104">
        <v>0</v>
      </c>
      <c r="D24" s="104">
        <v>1</v>
      </c>
      <c r="E24" s="103">
        <v>0</v>
      </c>
      <c r="F24" s="103">
        <v>1</v>
      </c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4"/>
      <c r="F36" s="104"/>
      <c r="G36"/>
      <c r="H36"/>
    </row>
    <row r="37" spans="3:8" ht="15" customHeight="1" x14ac:dyDescent="0.15">
      <c r="C37"/>
      <c r="D37"/>
      <c r="E37" s="104"/>
      <c r="F37" s="104"/>
      <c r="G37"/>
      <c r="H37"/>
    </row>
    <row r="38" spans="3:8" ht="15" customHeight="1" x14ac:dyDescent="0.15">
      <c r="C38"/>
      <c r="D38"/>
      <c r="E38" s="104"/>
      <c r="F38" s="104"/>
      <c r="G38"/>
      <c r="H38"/>
    </row>
    <row r="39" spans="3:8" ht="15" customHeight="1" x14ac:dyDescent="0.15">
      <c r="C39"/>
      <c r="D39"/>
      <c r="E39" s="104"/>
      <c r="F39" s="104"/>
      <c r="G39"/>
      <c r="H39"/>
    </row>
    <row r="40" spans="3:8" ht="15" customHeight="1" x14ac:dyDescent="0.15">
      <c r="C40"/>
      <c r="D40"/>
      <c r="E40" s="104"/>
      <c r="F40" s="104"/>
      <c r="G40"/>
      <c r="H40"/>
    </row>
    <row r="41" spans="3:8" ht="15" customHeight="1" x14ac:dyDescent="0.15">
      <c r="C41"/>
      <c r="D41"/>
      <c r="E41" s="104"/>
      <c r="F41" s="104"/>
      <c r="G41"/>
      <c r="H41"/>
    </row>
    <row r="42" spans="3:8" ht="15" customHeight="1" x14ac:dyDescent="0.15">
      <c r="C42"/>
      <c r="D42"/>
      <c r="E42" s="104"/>
      <c r="F42" s="104"/>
      <c r="G42"/>
      <c r="H42"/>
    </row>
    <row r="43" spans="3:8" ht="15" customHeight="1" x14ac:dyDescent="0.15">
      <c r="C43"/>
      <c r="D43"/>
      <c r="E43" s="104"/>
      <c r="F43" s="104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4"/>
      <c r="F46" s="104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4" width="4.83203125" bestFit="1" customWidth="1"/>
    <col min="5" max="5" width="12.1640625" bestFit="1" customWidth="1"/>
  </cols>
  <sheetData>
    <row r="1" spans="1:5" s="105" customFormat="1" ht="112" x14ac:dyDescent="0.15">
      <c r="A1" s="5" t="s">
        <v>21</v>
      </c>
      <c r="B1" s="3" t="s">
        <v>0</v>
      </c>
      <c r="C1" s="165" t="s">
        <v>214</v>
      </c>
      <c r="D1" s="165" t="s">
        <v>218</v>
      </c>
      <c r="E1"/>
    </row>
    <row r="2" spans="1:5" ht="15" customHeight="1" x14ac:dyDescent="0.15">
      <c r="A2">
        <v>1</v>
      </c>
      <c r="B2" s="164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64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64" t="s">
        <v>194</v>
      </c>
      <c r="C4">
        <v>0.27</v>
      </c>
      <c r="D4">
        <v>0.27</v>
      </c>
    </row>
    <row r="5" spans="1:5" ht="15" customHeight="1" x14ac:dyDescent="0.15">
      <c r="A5">
        <v>4</v>
      </c>
      <c r="B5" s="164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64" t="s">
        <v>196</v>
      </c>
      <c r="C6">
        <v>0.06</v>
      </c>
      <c r="D6">
        <v>0.06</v>
      </c>
    </row>
    <row r="7" spans="1:5" ht="15" customHeight="1" x14ac:dyDescent="0.15">
      <c r="A7">
        <v>6</v>
      </c>
      <c r="B7" s="164" t="s">
        <v>197</v>
      </c>
      <c r="C7">
        <v>0.05</v>
      </c>
      <c r="D7">
        <v>0.05</v>
      </c>
    </row>
    <row r="8" spans="1:5" ht="15" customHeight="1" x14ac:dyDescent="0.15">
      <c r="A8">
        <v>7</v>
      </c>
      <c r="B8" s="164" t="s">
        <v>198</v>
      </c>
      <c r="C8">
        <v>0.12</v>
      </c>
      <c r="D8">
        <v>0.12</v>
      </c>
    </row>
    <row r="9" spans="1:5" ht="15" customHeight="1" x14ac:dyDescent="0.15">
      <c r="A9">
        <v>8</v>
      </c>
      <c r="B9" s="164" t="s">
        <v>199</v>
      </c>
      <c r="C9">
        <v>0.04</v>
      </c>
      <c r="D9">
        <v>0.04</v>
      </c>
    </row>
    <row r="10" spans="1:5" ht="15" customHeight="1" x14ac:dyDescent="0.15">
      <c r="A10">
        <v>9</v>
      </c>
      <c r="B10" s="164" t="s">
        <v>200</v>
      </c>
      <c r="C10">
        <v>0.04</v>
      </c>
      <c r="D10">
        <v>0.04</v>
      </c>
    </row>
    <row r="11" spans="1:5" ht="15" customHeight="1" x14ac:dyDescent="0.15">
      <c r="A11">
        <v>10</v>
      </c>
      <c r="B11" s="164" t="s">
        <v>201</v>
      </c>
      <c r="C11">
        <v>0.03</v>
      </c>
      <c r="D11">
        <v>0.03</v>
      </c>
    </row>
    <row r="12" spans="1:5" ht="15" customHeight="1" x14ac:dyDescent="0.15">
      <c r="A12">
        <v>11</v>
      </c>
      <c r="B12" s="164" t="s">
        <v>202</v>
      </c>
      <c r="C12">
        <v>0.09</v>
      </c>
      <c r="D12">
        <v>0.09</v>
      </c>
    </row>
    <row r="13" spans="1:5" ht="15" customHeight="1" x14ac:dyDescent="0.15">
      <c r="A13">
        <v>12</v>
      </c>
      <c r="B13" s="164" t="s">
        <v>203</v>
      </c>
      <c r="C13">
        <v>1.67</v>
      </c>
      <c r="D13">
        <v>1.67</v>
      </c>
    </row>
    <row r="14" spans="1:5" ht="15" customHeight="1" x14ac:dyDescent="0.15">
      <c r="A14">
        <v>13</v>
      </c>
      <c r="B14" s="164" t="s">
        <v>204</v>
      </c>
      <c r="C14">
        <v>0.03</v>
      </c>
      <c r="D14">
        <v>0.03</v>
      </c>
    </row>
    <row r="15" spans="1:5" ht="15" customHeight="1" x14ac:dyDescent="0.15">
      <c r="A15">
        <v>14</v>
      </c>
      <c r="B15" s="164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64" t="s">
        <v>206</v>
      </c>
      <c r="C16">
        <v>0.08</v>
      </c>
      <c r="D16">
        <v>0.08</v>
      </c>
    </row>
    <row r="17" spans="1:4" ht="15" customHeight="1" x14ac:dyDescent="0.15">
      <c r="A17">
        <v>16</v>
      </c>
      <c r="B17" s="164" t="s">
        <v>207</v>
      </c>
      <c r="C17">
        <v>0.02</v>
      </c>
      <c r="D17">
        <v>0.02</v>
      </c>
    </row>
    <row r="18" spans="1:4" ht="15" customHeight="1" x14ac:dyDescent="0.15">
      <c r="A18">
        <v>17</v>
      </c>
      <c r="B18" s="164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4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4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64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64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64" t="s">
        <v>213</v>
      </c>
      <c r="C23">
        <v>0</v>
      </c>
      <c r="D23">
        <v>0</v>
      </c>
    </row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4" width="2.33203125" bestFit="1" customWidth="1"/>
    <col min="5" max="5" width="12.1640625" bestFit="1" customWidth="1"/>
  </cols>
  <sheetData>
    <row r="1" spans="1:4" s="105" customFormat="1" ht="112" x14ac:dyDescent="0.15">
      <c r="A1" s="5" t="s">
        <v>22</v>
      </c>
      <c r="B1" s="3" t="s">
        <v>0</v>
      </c>
      <c r="C1" s="167" t="s">
        <v>214</v>
      </c>
      <c r="D1" s="167" t="s">
        <v>218</v>
      </c>
    </row>
    <row r="2" spans="1:4" x14ac:dyDescent="0.15">
      <c r="A2">
        <v>1</v>
      </c>
      <c r="B2" s="166" t="s">
        <v>192</v>
      </c>
      <c r="C2">
        <v>0</v>
      </c>
      <c r="D2">
        <v>0</v>
      </c>
    </row>
    <row r="3" spans="1:4" x14ac:dyDescent="0.15">
      <c r="A3">
        <v>2</v>
      </c>
      <c r="B3" s="166" t="s">
        <v>193</v>
      </c>
      <c r="C3">
        <v>0</v>
      </c>
      <c r="D3">
        <v>0</v>
      </c>
    </row>
    <row r="4" spans="1:4" x14ac:dyDescent="0.15">
      <c r="A4">
        <v>3</v>
      </c>
      <c r="B4" s="166" t="s">
        <v>194</v>
      </c>
      <c r="C4">
        <v>0</v>
      </c>
      <c r="D4">
        <v>0</v>
      </c>
    </row>
    <row r="5" spans="1:4" x14ac:dyDescent="0.15">
      <c r="A5">
        <v>4</v>
      </c>
      <c r="B5" s="166" t="s">
        <v>195</v>
      </c>
      <c r="C5">
        <v>0</v>
      </c>
      <c r="D5">
        <v>0</v>
      </c>
    </row>
    <row r="6" spans="1:4" x14ac:dyDescent="0.15">
      <c r="A6">
        <v>5</v>
      </c>
      <c r="B6" s="166" t="s">
        <v>196</v>
      </c>
      <c r="C6">
        <v>0</v>
      </c>
      <c r="D6">
        <v>0</v>
      </c>
    </row>
    <row r="7" spans="1:4" x14ac:dyDescent="0.15">
      <c r="A7">
        <v>6</v>
      </c>
      <c r="B7" s="166" t="s">
        <v>197</v>
      </c>
      <c r="C7">
        <v>0</v>
      </c>
      <c r="D7">
        <v>0</v>
      </c>
    </row>
    <row r="8" spans="1:4" x14ac:dyDescent="0.15">
      <c r="A8">
        <v>7</v>
      </c>
      <c r="B8" s="166" t="s">
        <v>198</v>
      </c>
      <c r="C8">
        <v>0</v>
      </c>
      <c r="D8">
        <v>0</v>
      </c>
    </row>
    <row r="9" spans="1:4" x14ac:dyDescent="0.15">
      <c r="A9">
        <v>8</v>
      </c>
      <c r="B9" s="166" t="s">
        <v>199</v>
      </c>
      <c r="C9">
        <v>0</v>
      </c>
      <c r="D9">
        <v>0</v>
      </c>
    </row>
    <row r="10" spans="1:4" x14ac:dyDescent="0.15">
      <c r="A10">
        <v>9</v>
      </c>
      <c r="B10" s="166" t="s">
        <v>200</v>
      </c>
      <c r="C10">
        <v>0</v>
      </c>
      <c r="D10">
        <v>0</v>
      </c>
    </row>
    <row r="11" spans="1:4" x14ac:dyDescent="0.15">
      <c r="A11">
        <v>10</v>
      </c>
      <c r="B11" s="166" t="s">
        <v>201</v>
      </c>
      <c r="C11">
        <v>0</v>
      </c>
      <c r="D11">
        <v>0</v>
      </c>
    </row>
    <row r="12" spans="1:4" x14ac:dyDescent="0.15">
      <c r="A12">
        <v>11</v>
      </c>
      <c r="B12" s="166" t="s">
        <v>202</v>
      </c>
      <c r="C12">
        <v>0</v>
      </c>
      <c r="D12">
        <v>0</v>
      </c>
    </row>
    <row r="13" spans="1:4" x14ac:dyDescent="0.15">
      <c r="A13">
        <v>12</v>
      </c>
      <c r="B13" s="166" t="s">
        <v>203</v>
      </c>
      <c r="C13">
        <v>0</v>
      </c>
      <c r="D13">
        <v>0</v>
      </c>
    </row>
    <row r="14" spans="1:4" x14ac:dyDescent="0.15">
      <c r="A14">
        <v>13</v>
      </c>
      <c r="B14" s="166" t="s">
        <v>204</v>
      </c>
      <c r="C14">
        <v>0</v>
      </c>
      <c r="D14">
        <v>0</v>
      </c>
    </row>
    <row r="15" spans="1:4" x14ac:dyDescent="0.15">
      <c r="A15">
        <v>14</v>
      </c>
      <c r="B15" s="166" t="s">
        <v>205</v>
      </c>
      <c r="C15">
        <v>0</v>
      </c>
      <c r="D15">
        <v>0</v>
      </c>
    </row>
    <row r="16" spans="1:4" x14ac:dyDescent="0.15">
      <c r="A16">
        <v>15</v>
      </c>
      <c r="B16" s="166" t="s">
        <v>206</v>
      </c>
      <c r="C16">
        <v>0</v>
      </c>
      <c r="D16">
        <v>0</v>
      </c>
    </row>
    <row r="17" spans="1:4" x14ac:dyDescent="0.15">
      <c r="A17">
        <v>16</v>
      </c>
      <c r="B17" s="166" t="s">
        <v>207</v>
      </c>
      <c r="C17">
        <v>0</v>
      </c>
      <c r="D17">
        <v>0</v>
      </c>
    </row>
    <row r="18" spans="1:4" x14ac:dyDescent="0.15">
      <c r="A18">
        <v>17</v>
      </c>
      <c r="B18" s="166" t="s">
        <v>208</v>
      </c>
      <c r="C18">
        <v>0</v>
      </c>
      <c r="D18">
        <v>0</v>
      </c>
    </row>
    <row r="19" spans="1:4" x14ac:dyDescent="0.15">
      <c r="A19">
        <v>18</v>
      </c>
      <c r="B19" s="166" t="s">
        <v>209</v>
      </c>
      <c r="C19">
        <v>0</v>
      </c>
      <c r="D19">
        <v>0</v>
      </c>
    </row>
    <row r="20" spans="1:4" x14ac:dyDescent="0.15">
      <c r="A20">
        <v>19</v>
      </c>
      <c r="B20" s="166" t="s">
        <v>210</v>
      </c>
      <c r="C20">
        <v>0</v>
      </c>
      <c r="D20">
        <v>0</v>
      </c>
    </row>
    <row r="21" spans="1:4" x14ac:dyDescent="0.15">
      <c r="A21">
        <v>20</v>
      </c>
      <c r="B21" s="166" t="s">
        <v>211</v>
      </c>
      <c r="C21">
        <v>0</v>
      </c>
      <c r="D21">
        <v>0</v>
      </c>
    </row>
    <row r="22" spans="1:4" x14ac:dyDescent="0.15">
      <c r="A22">
        <v>21</v>
      </c>
      <c r="B22" s="166" t="s">
        <v>212</v>
      </c>
      <c r="C22">
        <v>0</v>
      </c>
      <c r="D22">
        <v>0</v>
      </c>
    </row>
    <row r="23" spans="1:4" x14ac:dyDescent="0.15">
      <c r="A23">
        <v>22</v>
      </c>
      <c r="B23" s="166" t="s">
        <v>213</v>
      </c>
      <c r="C23">
        <v>0</v>
      </c>
      <c r="D2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5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68" t="s">
        <v>192</v>
      </c>
      <c r="F2">
        <v>0.98</v>
      </c>
      <c r="G2">
        <v>0.8</v>
      </c>
      <c r="H2">
        <v>0.8</v>
      </c>
      <c r="I2">
        <v>0.8</v>
      </c>
      <c r="J2" s="104">
        <v>0.25</v>
      </c>
      <c r="K2" s="104">
        <v>0.05</v>
      </c>
    </row>
    <row r="3" spans="1:42" x14ac:dyDescent="0.15">
      <c r="A3" s="113" t="s">
        <v>75</v>
      </c>
      <c r="B3" s="115">
        <v>1</v>
      </c>
      <c r="D3">
        <v>2</v>
      </c>
      <c r="E3" s="168" t="s">
        <v>193</v>
      </c>
      <c r="F3">
        <v>0.98</v>
      </c>
      <c r="G3">
        <v>0.8</v>
      </c>
      <c r="H3">
        <v>0.8</v>
      </c>
      <c r="I3">
        <v>0.8</v>
      </c>
      <c r="J3" s="104">
        <v>0.25</v>
      </c>
      <c r="K3" s="104">
        <v>0.05</v>
      </c>
    </row>
    <row r="4" spans="1:42" x14ac:dyDescent="0.15">
      <c r="A4" s="113" t="s">
        <v>76</v>
      </c>
      <c r="B4" s="115">
        <v>1</v>
      </c>
      <c r="D4">
        <v>3</v>
      </c>
      <c r="E4" s="168" t="s">
        <v>194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68" t="s">
        <v>195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68" t="s">
        <v>196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68" t="s">
        <v>197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68" t="s">
        <v>198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60" t="s">
        <v>150</v>
      </c>
      <c r="D9">
        <v>8</v>
      </c>
      <c r="E9" s="168" t="s">
        <v>199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60" t="s">
        <v>150</v>
      </c>
      <c r="D10">
        <v>9</v>
      </c>
      <c r="E10" s="168" t="s">
        <v>200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68" t="s">
        <v>201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68" t="s">
        <v>202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68" t="s">
        <v>203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68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68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68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68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68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68" t="s">
        <v>209</v>
      </c>
      <c r="F19">
        <v>0.98</v>
      </c>
      <c r="G19">
        <v>0.8</v>
      </c>
      <c r="H19">
        <v>0.8</v>
      </c>
      <c r="I19">
        <v>0.8</v>
      </c>
      <c r="J19" s="104">
        <v>0.25</v>
      </c>
      <c r="K19" s="104">
        <v>0.05</v>
      </c>
    </row>
    <row r="20" spans="4:33" ht="15" customHeight="1" x14ac:dyDescent="0.15">
      <c r="D20">
        <v>19</v>
      </c>
      <c r="E20" s="168" t="s">
        <v>210</v>
      </c>
      <c r="F20">
        <v>0.98</v>
      </c>
      <c r="G20">
        <v>0.8</v>
      </c>
      <c r="H20">
        <v>0.8</v>
      </c>
      <c r="I20">
        <v>0.8</v>
      </c>
      <c r="J20" s="104">
        <v>0.25</v>
      </c>
      <c r="K20" s="104">
        <v>0.05</v>
      </c>
    </row>
    <row r="21" spans="4:33" ht="15" customHeight="1" x14ac:dyDescent="0.15">
      <c r="D21">
        <v>20</v>
      </c>
      <c r="E21" s="168" t="s">
        <v>211</v>
      </c>
      <c r="F21">
        <v>0.98</v>
      </c>
      <c r="G21">
        <v>0.8</v>
      </c>
      <c r="H21">
        <v>0.8</v>
      </c>
      <c r="I21">
        <v>0</v>
      </c>
      <c r="J21" s="104">
        <v>0</v>
      </c>
      <c r="K21" s="104">
        <v>0</v>
      </c>
    </row>
    <row r="22" spans="4:33" ht="15" customHeight="1" x14ac:dyDescent="0.15">
      <c r="D22">
        <v>21</v>
      </c>
      <c r="E22" s="168" t="s">
        <v>212</v>
      </c>
      <c r="F22">
        <v>0.98</v>
      </c>
      <c r="G22">
        <v>0.8</v>
      </c>
      <c r="H22">
        <v>0</v>
      </c>
      <c r="I22">
        <v>0</v>
      </c>
      <c r="J22" s="104">
        <v>0</v>
      </c>
      <c r="K22" s="104">
        <v>0</v>
      </c>
    </row>
    <row r="23" spans="4:33" ht="15" customHeight="1" x14ac:dyDescent="0.15">
      <c r="D23">
        <v>22</v>
      </c>
      <c r="E23" s="168" t="s">
        <v>213</v>
      </c>
      <c r="F23">
        <v>0.98</v>
      </c>
      <c r="G23">
        <v>0.8</v>
      </c>
      <c r="H23">
        <v>0</v>
      </c>
      <c r="I23">
        <v>0</v>
      </c>
      <c r="J23" s="104">
        <v>0</v>
      </c>
      <c r="K23" s="104">
        <v>0</v>
      </c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20" width="3.83203125" style="102" customWidth="1"/>
    <col min="21" max="23" width="2.33203125" style="102" customWidth="1"/>
    <col min="24" max="16384" width="10.83203125" style="102"/>
  </cols>
  <sheetData>
    <row r="1" spans="1:30" x14ac:dyDescent="0.15">
      <c r="A1" s="62" t="s">
        <v>118</v>
      </c>
      <c r="B1" s="170" t="s">
        <v>192</v>
      </c>
      <c r="C1" s="170" t="s">
        <v>193</v>
      </c>
      <c r="D1" s="170" t="s">
        <v>194</v>
      </c>
      <c r="E1" s="170" t="s">
        <v>195</v>
      </c>
      <c r="F1" s="170" t="s">
        <v>196</v>
      </c>
      <c r="G1" s="170" t="s">
        <v>197</v>
      </c>
      <c r="H1" s="170" t="s">
        <v>198</v>
      </c>
      <c r="I1" s="170" t="s">
        <v>199</v>
      </c>
      <c r="J1" s="170" t="s">
        <v>200</v>
      </c>
      <c r="K1" s="170" t="s">
        <v>201</v>
      </c>
      <c r="L1" s="170" t="s">
        <v>202</v>
      </c>
      <c r="M1" s="170" t="s">
        <v>203</v>
      </c>
      <c r="N1" s="170" t="s">
        <v>204</v>
      </c>
      <c r="O1" s="170" t="s">
        <v>205</v>
      </c>
      <c r="P1" s="170" t="s">
        <v>206</v>
      </c>
      <c r="Q1" s="170" t="s">
        <v>207</v>
      </c>
      <c r="R1" s="170" t="s">
        <v>208</v>
      </c>
      <c r="S1" s="170" t="s">
        <v>209</v>
      </c>
      <c r="T1" s="170" t="s">
        <v>210</v>
      </c>
      <c r="U1" s="170" t="s">
        <v>211</v>
      </c>
      <c r="V1" s="170" t="s">
        <v>212</v>
      </c>
      <c r="W1" s="170" t="s">
        <v>213</v>
      </c>
      <c r="X1"/>
      <c r="Y1"/>
      <c r="Z1"/>
      <c r="AA1"/>
      <c r="AB1"/>
      <c r="AC1"/>
      <c r="AD1"/>
    </row>
    <row r="2" spans="1:30" customFormat="1" x14ac:dyDescent="0.15">
      <c r="A2" s="169" t="s">
        <v>192</v>
      </c>
      <c r="B2" s="102">
        <v>0</v>
      </c>
      <c r="C2" s="102">
        <v>0</v>
      </c>
      <c r="D2" s="102">
        <v>0</v>
      </c>
      <c r="E2" s="102">
        <v>0</v>
      </c>
      <c r="F2" s="102">
        <v>0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</row>
    <row r="3" spans="1:30" customFormat="1" x14ac:dyDescent="0.15">
      <c r="A3" s="169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</row>
    <row r="4" spans="1:30" customFormat="1" x14ac:dyDescent="0.15">
      <c r="A4" s="169" t="s">
        <v>194</v>
      </c>
      <c r="B4" s="102">
        <v>0.8</v>
      </c>
      <c r="C4" s="102">
        <v>0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0.8</v>
      </c>
      <c r="J4" s="102">
        <v>0</v>
      </c>
      <c r="K4" s="102">
        <v>0.8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</row>
    <row r="5" spans="1:30" customFormat="1" x14ac:dyDescent="0.15">
      <c r="A5" s="169" t="s">
        <v>195</v>
      </c>
      <c r="B5" s="102">
        <v>0.8</v>
      </c>
      <c r="C5" s="102">
        <v>0</v>
      </c>
      <c r="D5" s="102">
        <v>0.8</v>
      </c>
      <c r="E5" s="102">
        <v>0</v>
      </c>
      <c r="F5" s="102">
        <v>0</v>
      </c>
      <c r="G5" s="102">
        <v>0.8</v>
      </c>
      <c r="H5" s="102">
        <v>0.8</v>
      </c>
      <c r="I5" s="102">
        <v>0.8</v>
      </c>
      <c r="J5" s="102">
        <v>0.8</v>
      </c>
      <c r="K5" s="102">
        <v>0.8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</row>
    <row r="6" spans="1:30" customFormat="1" x14ac:dyDescent="0.15">
      <c r="A6" s="169" t="s">
        <v>196</v>
      </c>
      <c r="B6" s="102">
        <v>0.8</v>
      </c>
      <c r="C6" s="102">
        <v>0</v>
      </c>
      <c r="D6" s="102">
        <v>0.8</v>
      </c>
      <c r="E6" s="102">
        <v>0</v>
      </c>
      <c r="F6" s="102">
        <v>0</v>
      </c>
      <c r="G6" s="102">
        <v>0.8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</row>
    <row r="7" spans="1:30" customFormat="1" x14ac:dyDescent="0.15">
      <c r="A7" s="169" t="s">
        <v>197</v>
      </c>
      <c r="B7" s="102">
        <v>0.8</v>
      </c>
      <c r="C7" s="102">
        <v>0</v>
      </c>
      <c r="D7" s="102">
        <v>0.8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</row>
    <row r="8" spans="1:30" customFormat="1" x14ac:dyDescent="0.15">
      <c r="A8" s="169" t="s">
        <v>198</v>
      </c>
      <c r="B8" s="102">
        <v>0.8</v>
      </c>
      <c r="C8" s="102">
        <v>0</v>
      </c>
      <c r="D8" s="102">
        <v>0.8</v>
      </c>
      <c r="E8" s="102">
        <v>0</v>
      </c>
      <c r="F8" s="102">
        <v>0.8</v>
      </c>
      <c r="G8" s="102">
        <v>0.8</v>
      </c>
      <c r="H8" s="102">
        <v>0</v>
      </c>
      <c r="I8" s="102">
        <v>0.8</v>
      </c>
      <c r="J8" s="102">
        <v>0.8</v>
      </c>
      <c r="K8" s="102">
        <v>0.8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</row>
    <row r="9" spans="1:30" customFormat="1" x14ac:dyDescent="0.15">
      <c r="A9" s="169" t="s">
        <v>199</v>
      </c>
      <c r="B9" s="102">
        <v>0</v>
      </c>
      <c r="C9" s="102">
        <v>0</v>
      </c>
      <c r="D9" s="102">
        <v>0.8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</row>
    <row r="10" spans="1:30" customFormat="1" x14ac:dyDescent="0.15">
      <c r="A10" s="169" t="s">
        <v>200</v>
      </c>
      <c r="B10" s="102">
        <v>0.8</v>
      </c>
      <c r="C10" s="102">
        <v>0</v>
      </c>
      <c r="D10" s="102">
        <v>0.8</v>
      </c>
      <c r="E10" s="102">
        <v>0</v>
      </c>
      <c r="F10" s="102">
        <v>0.8</v>
      </c>
      <c r="G10" s="102">
        <v>0.8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</row>
    <row r="11" spans="1:30" customFormat="1" x14ac:dyDescent="0.15">
      <c r="A11" s="169" t="s">
        <v>201</v>
      </c>
      <c r="B11" s="102">
        <v>0.8</v>
      </c>
      <c r="C11" s="102">
        <v>0</v>
      </c>
      <c r="D11" s="102">
        <v>0.8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0.8</v>
      </c>
      <c r="L11" s="102">
        <v>0</v>
      </c>
      <c r="M11" s="102">
        <v>0</v>
      </c>
      <c r="N11" s="102">
        <v>0</v>
      </c>
      <c r="O11" s="102">
        <v>0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</row>
    <row r="12" spans="1:30" customFormat="1" x14ac:dyDescent="0.15">
      <c r="A12" s="169" t="s">
        <v>202</v>
      </c>
      <c r="B12" s="102">
        <v>0</v>
      </c>
      <c r="C12" s="102">
        <v>0.8</v>
      </c>
      <c r="D12" s="102">
        <v>0.8</v>
      </c>
      <c r="E12" s="102">
        <v>0</v>
      </c>
      <c r="F12" s="102">
        <v>0</v>
      </c>
      <c r="G12" s="102">
        <v>0.8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0.8</v>
      </c>
      <c r="T12" s="102">
        <v>0</v>
      </c>
      <c r="U12" s="102">
        <v>0</v>
      </c>
      <c r="V12" s="102">
        <v>0</v>
      </c>
      <c r="W12" s="102">
        <v>0</v>
      </c>
    </row>
    <row r="13" spans="1:30" customFormat="1" x14ac:dyDescent="0.15">
      <c r="A13" s="169" t="s">
        <v>203</v>
      </c>
      <c r="B13" s="102">
        <v>0.8</v>
      </c>
      <c r="C13" s="102">
        <v>0.8</v>
      </c>
      <c r="D13" s="102">
        <v>0.8</v>
      </c>
      <c r="E13" s="102">
        <v>0</v>
      </c>
      <c r="F13" s="102">
        <v>0.8</v>
      </c>
      <c r="G13" s="102">
        <v>0.8</v>
      </c>
      <c r="H13" s="102">
        <v>0.8</v>
      </c>
      <c r="I13" s="102">
        <v>0.8</v>
      </c>
      <c r="J13" s="102">
        <v>0.8</v>
      </c>
      <c r="K13" s="102">
        <v>0.8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0.8</v>
      </c>
      <c r="T13" s="102">
        <v>0</v>
      </c>
      <c r="U13" s="102">
        <v>0</v>
      </c>
      <c r="V13" s="102">
        <v>0</v>
      </c>
      <c r="W13" s="102">
        <v>0</v>
      </c>
    </row>
    <row r="14" spans="1:30" customFormat="1" x14ac:dyDescent="0.15">
      <c r="A14" s="169" t="s">
        <v>204</v>
      </c>
      <c r="B14" s="102">
        <v>0.8</v>
      </c>
      <c r="C14" s="102">
        <v>0.8</v>
      </c>
      <c r="D14" s="102">
        <v>0.8</v>
      </c>
      <c r="E14" s="102">
        <v>0</v>
      </c>
      <c r="F14" s="102">
        <v>0</v>
      </c>
      <c r="G14" s="102">
        <v>0.8</v>
      </c>
      <c r="H14" s="102">
        <v>0.8</v>
      </c>
      <c r="I14" s="102">
        <v>0.8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0.8</v>
      </c>
      <c r="T14" s="102">
        <v>0</v>
      </c>
      <c r="U14" s="102">
        <v>0</v>
      </c>
      <c r="V14" s="102">
        <v>0</v>
      </c>
      <c r="W14" s="102">
        <v>0</v>
      </c>
    </row>
    <row r="15" spans="1:30" customFormat="1" x14ac:dyDescent="0.15">
      <c r="A15" s="169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  <c r="W15" s="102">
        <v>0</v>
      </c>
    </row>
    <row r="16" spans="1:30" customFormat="1" x14ac:dyDescent="0.15">
      <c r="A16" s="169" t="s">
        <v>206</v>
      </c>
      <c r="B16" s="102">
        <v>0.8</v>
      </c>
      <c r="C16" s="102">
        <v>0</v>
      </c>
      <c r="D16" s="102">
        <v>0.8</v>
      </c>
      <c r="E16" s="102">
        <v>0.8</v>
      </c>
      <c r="F16" s="102">
        <v>0.8</v>
      </c>
      <c r="G16" s="102">
        <v>0</v>
      </c>
      <c r="H16" s="102">
        <v>0.8</v>
      </c>
      <c r="I16" s="102">
        <v>0.8</v>
      </c>
      <c r="J16" s="102">
        <v>0.8</v>
      </c>
      <c r="K16" s="102">
        <v>0.8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</row>
    <row r="17" spans="1:23" customFormat="1" x14ac:dyDescent="0.15">
      <c r="A17" s="169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0.8</v>
      </c>
      <c r="L17" s="102">
        <v>0</v>
      </c>
      <c r="M17" s="102">
        <v>0</v>
      </c>
      <c r="N17" s="102">
        <v>0</v>
      </c>
      <c r="O17" s="102">
        <v>0</v>
      </c>
      <c r="P17" s="102">
        <v>0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  <c r="W17" s="102">
        <v>0</v>
      </c>
    </row>
    <row r="18" spans="1:23" customFormat="1" x14ac:dyDescent="0.15">
      <c r="A18" s="169" t="s">
        <v>208</v>
      </c>
      <c r="B18" s="102">
        <v>0.8</v>
      </c>
      <c r="C18" s="102">
        <v>0.8</v>
      </c>
      <c r="D18" s="102">
        <v>0.8</v>
      </c>
      <c r="E18" s="102">
        <v>0.8</v>
      </c>
      <c r="F18" s="102">
        <v>0.8</v>
      </c>
      <c r="G18" s="102">
        <v>0.8</v>
      </c>
      <c r="H18" s="102">
        <v>0.8</v>
      </c>
      <c r="I18" s="102">
        <v>0.8</v>
      </c>
      <c r="J18" s="102">
        <v>0.8</v>
      </c>
      <c r="K18" s="102">
        <v>0.8</v>
      </c>
      <c r="L18" s="102">
        <v>0</v>
      </c>
      <c r="M18" s="102">
        <v>0</v>
      </c>
      <c r="N18" s="102">
        <v>0</v>
      </c>
      <c r="O18" s="102">
        <v>0.8</v>
      </c>
      <c r="P18" s="102">
        <v>0.8</v>
      </c>
      <c r="Q18" s="102">
        <v>0.8</v>
      </c>
      <c r="R18" s="102">
        <v>0.8</v>
      </c>
      <c r="S18" s="102">
        <v>0.8</v>
      </c>
      <c r="T18" s="102">
        <v>0</v>
      </c>
      <c r="U18" s="102">
        <v>0</v>
      </c>
      <c r="V18" s="102">
        <v>0</v>
      </c>
      <c r="W18" s="102">
        <v>0</v>
      </c>
    </row>
    <row r="19" spans="1:23" customFormat="1" x14ac:dyDescent="0.15">
      <c r="A19" s="169" t="s">
        <v>209</v>
      </c>
      <c r="B19" s="102">
        <v>0.8</v>
      </c>
      <c r="C19" s="102">
        <v>0.8</v>
      </c>
      <c r="D19" s="102">
        <v>0.8</v>
      </c>
      <c r="E19" s="102">
        <v>0.8</v>
      </c>
      <c r="F19" s="102">
        <v>0.8</v>
      </c>
      <c r="G19" s="102">
        <v>0.8</v>
      </c>
      <c r="H19" s="102">
        <v>0.8</v>
      </c>
      <c r="I19" s="102">
        <v>0.8</v>
      </c>
      <c r="J19" s="102">
        <v>0.8</v>
      </c>
      <c r="K19" s="102">
        <v>0.8</v>
      </c>
      <c r="L19" s="102">
        <v>0</v>
      </c>
      <c r="M19" s="102">
        <v>0</v>
      </c>
      <c r="N19" s="102">
        <v>0</v>
      </c>
      <c r="O19" s="102">
        <v>0</v>
      </c>
      <c r="P19" s="102">
        <v>0</v>
      </c>
      <c r="Q19" s="102">
        <v>0.8</v>
      </c>
      <c r="R19" s="102">
        <v>0</v>
      </c>
      <c r="S19" s="102">
        <v>0</v>
      </c>
      <c r="T19" s="102">
        <v>0</v>
      </c>
      <c r="U19" s="102">
        <v>0</v>
      </c>
      <c r="V19" s="102">
        <v>0</v>
      </c>
      <c r="W19" s="102">
        <v>0</v>
      </c>
    </row>
    <row r="20" spans="1:23" customFormat="1" x14ac:dyDescent="0.15">
      <c r="A20" s="169" t="s">
        <v>210</v>
      </c>
      <c r="B20" s="102">
        <v>0.8</v>
      </c>
      <c r="C20" s="102">
        <v>0.8</v>
      </c>
      <c r="D20" s="102">
        <v>0.8</v>
      </c>
      <c r="E20" s="102">
        <v>0.8</v>
      </c>
      <c r="F20" s="102">
        <v>0.8</v>
      </c>
      <c r="G20" s="102">
        <v>0.8</v>
      </c>
      <c r="H20" s="102">
        <v>0.8</v>
      </c>
      <c r="I20" s="102">
        <v>0.8</v>
      </c>
      <c r="J20" s="102">
        <v>0.8</v>
      </c>
      <c r="K20" s="102">
        <v>0.8</v>
      </c>
      <c r="L20" s="102">
        <v>0.8</v>
      </c>
      <c r="M20" s="102">
        <v>0.8</v>
      </c>
      <c r="N20" s="102">
        <v>0.8</v>
      </c>
      <c r="O20" s="102">
        <v>0.8</v>
      </c>
      <c r="P20" s="102">
        <v>0.8</v>
      </c>
      <c r="Q20" s="102">
        <v>0.8</v>
      </c>
      <c r="R20" s="102">
        <v>0</v>
      </c>
      <c r="S20" s="102">
        <v>0.8</v>
      </c>
      <c r="T20" s="102">
        <v>0</v>
      </c>
      <c r="U20" s="102">
        <v>0</v>
      </c>
      <c r="V20" s="102">
        <v>0</v>
      </c>
      <c r="W20" s="102">
        <v>0</v>
      </c>
    </row>
    <row r="21" spans="1:23" customFormat="1" x14ac:dyDescent="0.15">
      <c r="A21" s="169" t="s">
        <v>211</v>
      </c>
      <c r="B21" s="102">
        <v>0</v>
      </c>
      <c r="C21" s="102">
        <v>0</v>
      </c>
      <c r="D21" s="102">
        <v>0</v>
      </c>
      <c r="E21" s="102">
        <v>0.8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0.8</v>
      </c>
      <c r="M21" s="102">
        <v>0.8</v>
      </c>
      <c r="N21" s="102">
        <v>0.8</v>
      </c>
      <c r="O21" s="102">
        <v>0.8</v>
      </c>
      <c r="P21" s="102">
        <v>0.8</v>
      </c>
      <c r="Q21" s="102">
        <v>0</v>
      </c>
      <c r="R21" s="102">
        <v>0.8</v>
      </c>
      <c r="S21" s="102">
        <v>0</v>
      </c>
      <c r="T21" s="102">
        <v>0.8</v>
      </c>
      <c r="U21" s="102">
        <v>0</v>
      </c>
      <c r="V21" s="102">
        <v>0</v>
      </c>
      <c r="W21" s="102">
        <v>0</v>
      </c>
    </row>
    <row r="22" spans="1:23" customFormat="1" x14ac:dyDescent="0.15">
      <c r="A22" s="169" t="s">
        <v>212</v>
      </c>
      <c r="B22" s="102">
        <v>0</v>
      </c>
      <c r="C22" s="102">
        <v>0.8</v>
      </c>
      <c r="D22" s="102">
        <v>0</v>
      </c>
      <c r="E22" s="102">
        <v>0</v>
      </c>
      <c r="F22" s="102">
        <v>0</v>
      </c>
      <c r="G22" s="102">
        <v>0.8</v>
      </c>
      <c r="H22" s="102">
        <v>0</v>
      </c>
      <c r="I22" s="102">
        <v>0.8</v>
      </c>
      <c r="J22" s="102">
        <v>0.8</v>
      </c>
      <c r="K22" s="102">
        <v>0.8</v>
      </c>
      <c r="L22" s="102">
        <v>0</v>
      </c>
      <c r="M22" s="102">
        <v>0</v>
      </c>
      <c r="N22" s="102">
        <v>0</v>
      </c>
      <c r="O22" s="102">
        <v>0.8</v>
      </c>
      <c r="P22" s="102">
        <v>0.8</v>
      </c>
      <c r="Q22" s="102">
        <v>0.8</v>
      </c>
      <c r="R22" s="102">
        <v>0.8</v>
      </c>
      <c r="S22" s="102">
        <v>0</v>
      </c>
      <c r="T22" s="102">
        <v>0</v>
      </c>
      <c r="U22" s="102">
        <v>0</v>
      </c>
      <c r="V22" s="102">
        <v>0</v>
      </c>
      <c r="W22" s="102">
        <v>0</v>
      </c>
    </row>
    <row r="23" spans="1:23" customFormat="1" x14ac:dyDescent="0.15">
      <c r="A23" s="169" t="s">
        <v>213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0</v>
      </c>
    </row>
    <row r="24" spans="1:23" customFormat="1" x14ac:dyDescent="0.15">
      <c r="A24" s="169" t="s">
        <v>215</v>
      </c>
      <c r="B24" s="102">
        <v>0</v>
      </c>
      <c r="C24" s="102">
        <v>0</v>
      </c>
      <c r="D24" s="102">
        <v>0</v>
      </c>
      <c r="E24" s="102">
        <v>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23" width="2.33203125" style="102" customWidth="1"/>
    <col min="24" max="16384" width="10.83203125" style="102"/>
  </cols>
  <sheetData>
    <row r="1" spans="1:31" x14ac:dyDescent="0.15">
      <c r="A1" s="62" t="s">
        <v>139</v>
      </c>
      <c r="B1" s="172" t="s">
        <v>192</v>
      </c>
      <c r="C1" s="172" t="s">
        <v>193</v>
      </c>
      <c r="D1" s="172" t="s">
        <v>194</v>
      </c>
      <c r="E1" s="172" t="s">
        <v>195</v>
      </c>
      <c r="F1" s="172" t="s">
        <v>196</v>
      </c>
      <c r="G1" s="172" t="s">
        <v>197</v>
      </c>
      <c r="H1" s="172" t="s">
        <v>198</v>
      </c>
      <c r="I1" s="172" t="s">
        <v>199</v>
      </c>
      <c r="J1" s="172" t="s">
        <v>200</v>
      </c>
      <c r="K1" s="172" t="s">
        <v>201</v>
      </c>
      <c r="L1" s="172" t="s">
        <v>202</v>
      </c>
      <c r="M1" s="172" t="s">
        <v>203</v>
      </c>
      <c r="N1" s="172" t="s">
        <v>204</v>
      </c>
      <c r="O1" s="172" t="s">
        <v>205</v>
      </c>
      <c r="P1" s="172" t="s">
        <v>206</v>
      </c>
      <c r="Q1" s="172" t="s">
        <v>207</v>
      </c>
      <c r="R1" s="172" t="s">
        <v>208</v>
      </c>
      <c r="S1" s="172" t="s">
        <v>209</v>
      </c>
      <c r="T1" s="172" t="s">
        <v>210</v>
      </c>
      <c r="U1" s="172" t="s">
        <v>211</v>
      </c>
      <c r="V1" s="172" t="s">
        <v>212</v>
      </c>
      <c r="W1" s="172" t="s">
        <v>213</v>
      </c>
      <c r="X1"/>
      <c r="Y1"/>
      <c r="Z1"/>
      <c r="AA1"/>
      <c r="AB1"/>
      <c r="AC1"/>
      <c r="AD1"/>
      <c r="AE1"/>
    </row>
    <row r="2" spans="1:31" customFormat="1" x14ac:dyDescent="0.15">
      <c r="A2" s="171" t="s">
        <v>192</v>
      </c>
      <c r="B2" s="102">
        <v>0</v>
      </c>
      <c r="C2" s="102">
        <v>0</v>
      </c>
      <c r="D2" s="102">
        <v>0</v>
      </c>
      <c r="E2" s="102">
        <v>0</v>
      </c>
      <c r="F2" s="102">
        <v>0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</row>
    <row r="3" spans="1:31" customFormat="1" x14ac:dyDescent="0.15">
      <c r="A3" s="171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</row>
    <row r="4" spans="1:31" customFormat="1" x14ac:dyDescent="0.15">
      <c r="A4" s="171" t="s">
        <v>194</v>
      </c>
      <c r="B4" s="102">
        <v>1</v>
      </c>
      <c r="C4" s="102">
        <v>0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1</v>
      </c>
      <c r="J4" s="102">
        <v>0</v>
      </c>
      <c r="K4" s="102">
        <v>1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</row>
    <row r="5" spans="1:31" customFormat="1" x14ac:dyDescent="0.15">
      <c r="A5" s="171" t="s">
        <v>195</v>
      </c>
      <c r="B5" s="102">
        <v>1</v>
      </c>
      <c r="C5" s="102">
        <v>0</v>
      </c>
      <c r="D5" s="102">
        <v>1</v>
      </c>
      <c r="E5" s="102">
        <v>0</v>
      </c>
      <c r="F5" s="102">
        <v>0</v>
      </c>
      <c r="G5" s="102">
        <v>1</v>
      </c>
      <c r="H5" s="102">
        <v>1</v>
      </c>
      <c r="I5" s="102">
        <v>1</v>
      </c>
      <c r="J5" s="102">
        <v>1</v>
      </c>
      <c r="K5" s="102">
        <v>1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</row>
    <row r="6" spans="1:31" customFormat="1" x14ac:dyDescent="0.15">
      <c r="A6" s="171" t="s">
        <v>196</v>
      </c>
      <c r="B6" s="102">
        <v>1</v>
      </c>
      <c r="C6" s="102">
        <v>0</v>
      </c>
      <c r="D6" s="102">
        <v>1</v>
      </c>
      <c r="E6" s="102">
        <v>0</v>
      </c>
      <c r="F6" s="102">
        <v>0</v>
      </c>
      <c r="G6" s="102">
        <v>1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</row>
    <row r="7" spans="1:31" customFormat="1" x14ac:dyDescent="0.15">
      <c r="A7" s="171" t="s">
        <v>197</v>
      </c>
      <c r="B7" s="102">
        <v>1</v>
      </c>
      <c r="C7" s="102">
        <v>0</v>
      </c>
      <c r="D7" s="102">
        <v>1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</row>
    <row r="8" spans="1:31" customFormat="1" x14ac:dyDescent="0.15">
      <c r="A8" s="171" t="s">
        <v>198</v>
      </c>
      <c r="B8" s="102">
        <v>1</v>
      </c>
      <c r="C8" s="102">
        <v>0</v>
      </c>
      <c r="D8" s="102">
        <v>1</v>
      </c>
      <c r="E8" s="102">
        <v>0</v>
      </c>
      <c r="F8" s="102">
        <v>1</v>
      </c>
      <c r="G8" s="102">
        <v>1</v>
      </c>
      <c r="H8" s="102">
        <v>0</v>
      </c>
      <c r="I8" s="102">
        <v>1</v>
      </c>
      <c r="J8" s="102">
        <v>1</v>
      </c>
      <c r="K8" s="102">
        <v>1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</row>
    <row r="9" spans="1:31" customFormat="1" x14ac:dyDescent="0.15">
      <c r="A9" s="171" t="s">
        <v>199</v>
      </c>
      <c r="B9" s="102">
        <v>0</v>
      </c>
      <c r="C9" s="102">
        <v>0</v>
      </c>
      <c r="D9" s="102">
        <v>1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</row>
    <row r="10" spans="1:31" customFormat="1" x14ac:dyDescent="0.15">
      <c r="A10" s="171" t="s">
        <v>200</v>
      </c>
      <c r="B10" s="102">
        <v>1</v>
      </c>
      <c r="C10" s="102">
        <v>0</v>
      </c>
      <c r="D10" s="102">
        <v>1</v>
      </c>
      <c r="E10" s="102">
        <v>0</v>
      </c>
      <c r="F10" s="102">
        <v>1</v>
      </c>
      <c r="G10" s="102">
        <v>1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</row>
    <row r="11" spans="1:31" customFormat="1" x14ac:dyDescent="0.15">
      <c r="A11" s="171" t="s">
        <v>201</v>
      </c>
      <c r="B11" s="102">
        <v>1</v>
      </c>
      <c r="C11" s="102">
        <v>0</v>
      </c>
      <c r="D11" s="102">
        <v>1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1</v>
      </c>
      <c r="L11" s="102">
        <v>0</v>
      </c>
      <c r="M11" s="102">
        <v>0</v>
      </c>
      <c r="N11" s="102">
        <v>0</v>
      </c>
      <c r="O11" s="102">
        <v>0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</row>
    <row r="12" spans="1:31" customFormat="1" x14ac:dyDescent="0.15">
      <c r="A12" s="171" t="s">
        <v>202</v>
      </c>
      <c r="B12" s="102">
        <v>0</v>
      </c>
      <c r="C12" s="102">
        <v>1</v>
      </c>
      <c r="D12" s="102">
        <v>1</v>
      </c>
      <c r="E12" s="102">
        <v>0</v>
      </c>
      <c r="F12" s="102">
        <v>0</v>
      </c>
      <c r="G12" s="102">
        <v>1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1</v>
      </c>
      <c r="T12" s="102">
        <v>0</v>
      </c>
      <c r="U12" s="102">
        <v>0</v>
      </c>
      <c r="V12" s="102">
        <v>0</v>
      </c>
      <c r="W12" s="102">
        <v>0</v>
      </c>
    </row>
    <row r="13" spans="1:31" customFormat="1" x14ac:dyDescent="0.15">
      <c r="A13" s="171" t="s">
        <v>203</v>
      </c>
      <c r="B13" s="102">
        <v>1</v>
      </c>
      <c r="C13" s="102">
        <v>1</v>
      </c>
      <c r="D13" s="102">
        <v>1</v>
      </c>
      <c r="E13" s="102">
        <v>0</v>
      </c>
      <c r="F13" s="102">
        <v>1</v>
      </c>
      <c r="G13" s="102">
        <v>1</v>
      </c>
      <c r="H13" s="102">
        <v>1</v>
      </c>
      <c r="I13" s="102">
        <v>1</v>
      </c>
      <c r="J13" s="102">
        <v>1</v>
      </c>
      <c r="K13" s="102">
        <v>1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1</v>
      </c>
      <c r="T13" s="102">
        <v>0</v>
      </c>
      <c r="U13" s="102">
        <v>0</v>
      </c>
      <c r="V13" s="102">
        <v>0</v>
      </c>
      <c r="W13" s="102">
        <v>0</v>
      </c>
    </row>
    <row r="14" spans="1:31" customFormat="1" x14ac:dyDescent="0.15">
      <c r="A14" s="171" t="s">
        <v>204</v>
      </c>
      <c r="B14" s="102">
        <v>1</v>
      </c>
      <c r="C14" s="102">
        <v>1</v>
      </c>
      <c r="D14" s="102">
        <v>1</v>
      </c>
      <c r="E14" s="102">
        <v>0</v>
      </c>
      <c r="F14" s="102">
        <v>0</v>
      </c>
      <c r="G14" s="102">
        <v>1</v>
      </c>
      <c r="H14" s="102">
        <v>1</v>
      </c>
      <c r="I14" s="102">
        <v>1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1</v>
      </c>
      <c r="T14" s="102">
        <v>0</v>
      </c>
      <c r="U14" s="102">
        <v>0</v>
      </c>
      <c r="V14" s="102">
        <v>0</v>
      </c>
      <c r="W14" s="102">
        <v>0</v>
      </c>
    </row>
    <row r="15" spans="1:31" customFormat="1" x14ac:dyDescent="0.15">
      <c r="A15" s="171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  <c r="W15" s="102">
        <v>0</v>
      </c>
    </row>
    <row r="16" spans="1:31" customFormat="1" x14ac:dyDescent="0.15">
      <c r="A16" s="171" t="s">
        <v>206</v>
      </c>
      <c r="B16" s="102">
        <v>1</v>
      </c>
      <c r="C16" s="102">
        <v>0</v>
      </c>
      <c r="D16" s="102">
        <v>1</v>
      </c>
      <c r="E16" s="102">
        <v>1</v>
      </c>
      <c r="F16" s="102">
        <v>1</v>
      </c>
      <c r="G16" s="102">
        <v>0</v>
      </c>
      <c r="H16" s="102">
        <v>1</v>
      </c>
      <c r="I16" s="102">
        <v>1</v>
      </c>
      <c r="J16" s="102">
        <v>1</v>
      </c>
      <c r="K16" s="102">
        <v>1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</row>
    <row r="17" spans="1:23" customFormat="1" x14ac:dyDescent="0.15">
      <c r="A17" s="171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1</v>
      </c>
      <c r="L17" s="102">
        <v>0</v>
      </c>
      <c r="M17" s="102">
        <v>0</v>
      </c>
      <c r="N17" s="102">
        <v>0</v>
      </c>
      <c r="O17" s="102">
        <v>0</v>
      </c>
      <c r="P17" s="102">
        <v>0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  <c r="W17" s="102">
        <v>0</v>
      </c>
    </row>
    <row r="18" spans="1:23" customFormat="1" x14ac:dyDescent="0.15">
      <c r="A18" s="171" t="s">
        <v>208</v>
      </c>
      <c r="B18" s="102">
        <v>1</v>
      </c>
      <c r="C18" s="102">
        <v>1</v>
      </c>
      <c r="D18" s="102">
        <v>1</v>
      </c>
      <c r="E18" s="102">
        <v>1</v>
      </c>
      <c r="F18" s="102">
        <v>1</v>
      </c>
      <c r="G18" s="102">
        <v>1</v>
      </c>
      <c r="H18" s="102">
        <v>1</v>
      </c>
      <c r="I18" s="102">
        <v>1</v>
      </c>
      <c r="J18" s="102">
        <v>1</v>
      </c>
      <c r="K18" s="102">
        <v>1</v>
      </c>
      <c r="L18" s="102">
        <v>0</v>
      </c>
      <c r="M18" s="102">
        <v>0</v>
      </c>
      <c r="N18" s="102">
        <v>0</v>
      </c>
      <c r="O18" s="102">
        <v>1</v>
      </c>
      <c r="P18" s="102">
        <v>1</v>
      </c>
      <c r="Q18" s="102">
        <v>1</v>
      </c>
      <c r="R18" s="102">
        <v>1</v>
      </c>
      <c r="S18" s="102">
        <v>1</v>
      </c>
      <c r="T18" s="102">
        <v>0</v>
      </c>
      <c r="U18" s="102">
        <v>0</v>
      </c>
      <c r="V18" s="102">
        <v>0</v>
      </c>
      <c r="W18" s="102">
        <v>0</v>
      </c>
    </row>
    <row r="19" spans="1:23" customFormat="1" x14ac:dyDescent="0.15">
      <c r="A19" s="171" t="s">
        <v>209</v>
      </c>
      <c r="B19" s="102">
        <v>1</v>
      </c>
      <c r="C19" s="102">
        <v>1</v>
      </c>
      <c r="D19" s="102">
        <v>1</v>
      </c>
      <c r="E19" s="102">
        <v>1</v>
      </c>
      <c r="F19" s="102">
        <v>1</v>
      </c>
      <c r="G19" s="102">
        <v>1</v>
      </c>
      <c r="H19" s="102">
        <v>1</v>
      </c>
      <c r="I19" s="102">
        <v>1</v>
      </c>
      <c r="J19" s="102">
        <v>1</v>
      </c>
      <c r="K19" s="102">
        <v>1</v>
      </c>
      <c r="L19" s="102">
        <v>0</v>
      </c>
      <c r="M19" s="102">
        <v>0</v>
      </c>
      <c r="N19" s="102">
        <v>0</v>
      </c>
      <c r="O19" s="102">
        <v>0</v>
      </c>
      <c r="P19" s="102">
        <v>0</v>
      </c>
      <c r="Q19" s="102">
        <v>1</v>
      </c>
      <c r="R19" s="102">
        <v>0</v>
      </c>
      <c r="S19" s="102">
        <v>0</v>
      </c>
      <c r="T19" s="102">
        <v>0</v>
      </c>
      <c r="U19" s="102">
        <v>0</v>
      </c>
      <c r="V19" s="102">
        <v>0</v>
      </c>
      <c r="W19" s="102">
        <v>0</v>
      </c>
    </row>
    <row r="20" spans="1:23" customFormat="1" x14ac:dyDescent="0.15">
      <c r="A20" s="171" t="s">
        <v>210</v>
      </c>
      <c r="B20" s="102">
        <v>1</v>
      </c>
      <c r="C20" s="102">
        <v>1</v>
      </c>
      <c r="D20" s="102">
        <v>1</v>
      </c>
      <c r="E20" s="102">
        <v>1</v>
      </c>
      <c r="F20" s="102">
        <v>1</v>
      </c>
      <c r="G20" s="102">
        <v>1</v>
      </c>
      <c r="H20" s="102">
        <v>1</v>
      </c>
      <c r="I20" s="102">
        <v>1</v>
      </c>
      <c r="J20" s="102">
        <v>1</v>
      </c>
      <c r="K20" s="102">
        <v>1</v>
      </c>
      <c r="L20" s="102">
        <v>1</v>
      </c>
      <c r="M20" s="102">
        <v>1</v>
      </c>
      <c r="N20" s="102">
        <v>1</v>
      </c>
      <c r="O20" s="102">
        <v>1</v>
      </c>
      <c r="P20" s="102">
        <v>1</v>
      </c>
      <c r="Q20" s="102">
        <v>1</v>
      </c>
      <c r="R20" s="102">
        <v>0</v>
      </c>
      <c r="S20" s="102">
        <v>1</v>
      </c>
      <c r="T20" s="102">
        <v>0</v>
      </c>
      <c r="U20" s="102">
        <v>0</v>
      </c>
      <c r="V20" s="102">
        <v>0</v>
      </c>
      <c r="W20" s="102">
        <v>0</v>
      </c>
    </row>
    <row r="21" spans="1:23" customFormat="1" x14ac:dyDescent="0.15">
      <c r="A21" s="171" t="s">
        <v>211</v>
      </c>
      <c r="B21" s="102">
        <v>0</v>
      </c>
      <c r="C21" s="102">
        <v>0</v>
      </c>
      <c r="D21" s="102">
        <v>0</v>
      </c>
      <c r="E21" s="102">
        <v>1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1</v>
      </c>
      <c r="M21" s="102">
        <v>1</v>
      </c>
      <c r="N21" s="102">
        <v>1</v>
      </c>
      <c r="O21" s="102">
        <v>1</v>
      </c>
      <c r="P21" s="102">
        <v>1</v>
      </c>
      <c r="Q21" s="102">
        <v>0</v>
      </c>
      <c r="R21" s="102">
        <v>1</v>
      </c>
      <c r="S21" s="102">
        <v>0</v>
      </c>
      <c r="T21" s="102">
        <v>1</v>
      </c>
      <c r="U21" s="102">
        <v>0</v>
      </c>
      <c r="V21" s="102">
        <v>0</v>
      </c>
      <c r="W21" s="102">
        <v>0</v>
      </c>
    </row>
    <row r="22" spans="1:23" customFormat="1" x14ac:dyDescent="0.15">
      <c r="A22" s="171" t="s">
        <v>212</v>
      </c>
      <c r="B22" s="102">
        <v>0</v>
      </c>
      <c r="C22" s="102">
        <v>1</v>
      </c>
      <c r="D22" s="102">
        <v>0</v>
      </c>
      <c r="E22" s="102">
        <v>0</v>
      </c>
      <c r="F22" s="102">
        <v>0</v>
      </c>
      <c r="G22" s="102">
        <v>1</v>
      </c>
      <c r="H22" s="102">
        <v>0</v>
      </c>
      <c r="I22" s="102">
        <v>1</v>
      </c>
      <c r="J22" s="102">
        <v>1</v>
      </c>
      <c r="K22" s="102">
        <v>1</v>
      </c>
      <c r="L22" s="102">
        <v>0</v>
      </c>
      <c r="M22" s="102">
        <v>0</v>
      </c>
      <c r="N22" s="102">
        <v>0</v>
      </c>
      <c r="O22" s="102">
        <v>1</v>
      </c>
      <c r="P22" s="102">
        <v>1</v>
      </c>
      <c r="Q22" s="102">
        <v>1</v>
      </c>
      <c r="R22" s="102">
        <v>1</v>
      </c>
      <c r="S22" s="102">
        <v>0</v>
      </c>
      <c r="T22" s="102">
        <v>0</v>
      </c>
      <c r="U22" s="102">
        <v>0</v>
      </c>
      <c r="V22" s="102">
        <v>0</v>
      </c>
      <c r="W22" s="102">
        <v>0</v>
      </c>
    </row>
    <row r="23" spans="1:23" customFormat="1" x14ac:dyDescent="0.15">
      <c r="A23" s="171" t="s">
        <v>213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0</v>
      </c>
    </row>
    <row r="24" spans="1:23" customFormat="1" x14ac:dyDescent="0.15">
      <c r="A24" s="171" t="s">
        <v>215</v>
      </c>
      <c r="B24" s="102">
        <v>0</v>
      </c>
      <c r="C24" s="102">
        <v>0</v>
      </c>
      <c r="D24" s="102">
        <v>0</v>
      </c>
      <c r="E24" s="102">
        <v>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4" t="s">
        <v>214</v>
      </c>
    </row>
    <row r="2" spans="1:3" x14ac:dyDescent="0.15">
      <c r="A2">
        <v>1</v>
      </c>
      <c r="B2" s="173" t="s">
        <v>192</v>
      </c>
      <c r="C2">
        <v>0</v>
      </c>
    </row>
    <row r="3" spans="1:3" x14ac:dyDescent="0.15">
      <c r="A3">
        <v>2</v>
      </c>
      <c r="B3" s="173" t="s">
        <v>193</v>
      </c>
      <c r="C3">
        <v>0</v>
      </c>
    </row>
    <row r="4" spans="1:3" x14ac:dyDescent="0.15">
      <c r="A4">
        <v>3</v>
      </c>
      <c r="B4" s="173" t="s">
        <v>194</v>
      </c>
      <c r="C4">
        <v>0.8</v>
      </c>
    </row>
    <row r="5" spans="1:3" x14ac:dyDescent="0.15">
      <c r="A5">
        <v>4</v>
      </c>
      <c r="B5" s="173" t="s">
        <v>195</v>
      </c>
      <c r="C5">
        <v>0</v>
      </c>
    </row>
    <row r="6" spans="1:3" x14ac:dyDescent="0.15">
      <c r="A6">
        <v>5</v>
      </c>
      <c r="B6" s="173" t="s">
        <v>196</v>
      </c>
      <c r="C6">
        <v>0.8</v>
      </c>
    </row>
    <row r="7" spans="1:3" x14ac:dyDescent="0.15">
      <c r="A7">
        <v>6</v>
      </c>
      <c r="B7" s="173" t="s">
        <v>197</v>
      </c>
      <c r="C7">
        <v>0.8</v>
      </c>
    </row>
    <row r="8" spans="1:3" x14ac:dyDescent="0.15">
      <c r="A8">
        <v>7</v>
      </c>
      <c r="B8" s="173" t="s">
        <v>198</v>
      </c>
      <c r="C8">
        <v>0.8</v>
      </c>
    </row>
    <row r="9" spans="1:3" x14ac:dyDescent="0.15">
      <c r="A9">
        <v>8</v>
      </c>
      <c r="B9" s="173" t="s">
        <v>199</v>
      </c>
      <c r="C9">
        <v>0.8</v>
      </c>
    </row>
    <row r="10" spans="1:3" x14ac:dyDescent="0.15">
      <c r="A10">
        <v>9</v>
      </c>
      <c r="B10" s="173" t="s">
        <v>200</v>
      </c>
      <c r="C10">
        <v>0.8</v>
      </c>
    </row>
    <row r="11" spans="1:3" x14ac:dyDescent="0.15">
      <c r="A11">
        <v>10</v>
      </c>
      <c r="B11" s="173" t="s">
        <v>201</v>
      </c>
      <c r="C11">
        <v>0.8</v>
      </c>
    </row>
    <row r="12" spans="1:3" x14ac:dyDescent="0.15">
      <c r="A12">
        <v>11</v>
      </c>
      <c r="B12" s="173" t="s">
        <v>202</v>
      </c>
      <c r="C12">
        <v>0.8</v>
      </c>
    </row>
    <row r="13" spans="1:3" x14ac:dyDescent="0.15">
      <c r="A13">
        <v>12</v>
      </c>
      <c r="B13" s="173" t="s">
        <v>203</v>
      </c>
      <c r="C13">
        <v>0.8</v>
      </c>
    </row>
    <row r="14" spans="1:3" x14ac:dyDescent="0.15">
      <c r="A14">
        <v>13</v>
      </c>
      <c r="B14" s="173" t="s">
        <v>204</v>
      </c>
      <c r="C14">
        <v>0.8</v>
      </c>
    </row>
    <row r="15" spans="1:3" x14ac:dyDescent="0.15">
      <c r="A15">
        <v>14</v>
      </c>
      <c r="B15" s="173" t="s">
        <v>205</v>
      </c>
      <c r="C15">
        <v>0</v>
      </c>
    </row>
    <row r="16" spans="1:3" x14ac:dyDescent="0.15">
      <c r="A16">
        <v>15</v>
      </c>
      <c r="B16" s="173" t="s">
        <v>206</v>
      </c>
      <c r="C16">
        <v>0.8</v>
      </c>
    </row>
    <row r="17" spans="1:3" x14ac:dyDescent="0.15">
      <c r="A17">
        <v>16</v>
      </c>
      <c r="B17" s="173" t="s">
        <v>207</v>
      </c>
      <c r="C17">
        <v>0.8</v>
      </c>
    </row>
    <row r="18" spans="1:3" x14ac:dyDescent="0.15">
      <c r="A18">
        <v>17</v>
      </c>
      <c r="B18" s="173" t="s">
        <v>208</v>
      </c>
      <c r="C18">
        <v>0</v>
      </c>
    </row>
    <row r="19" spans="1:3" x14ac:dyDescent="0.15">
      <c r="A19">
        <v>18</v>
      </c>
      <c r="B19" s="173" t="s">
        <v>209</v>
      </c>
      <c r="C19">
        <v>0</v>
      </c>
    </row>
    <row r="20" spans="1:3" x14ac:dyDescent="0.15">
      <c r="A20">
        <v>19</v>
      </c>
      <c r="B20" s="173" t="s">
        <v>210</v>
      </c>
      <c r="C20">
        <v>0</v>
      </c>
    </row>
    <row r="21" spans="1:3" x14ac:dyDescent="0.15">
      <c r="A21">
        <v>20</v>
      </c>
      <c r="B21" s="173" t="s">
        <v>211</v>
      </c>
      <c r="C21">
        <v>0</v>
      </c>
    </row>
    <row r="22" spans="1:3" x14ac:dyDescent="0.15">
      <c r="A22">
        <v>21</v>
      </c>
      <c r="B22" s="173" t="s">
        <v>212</v>
      </c>
      <c r="C22">
        <v>0</v>
      </c>
    </row>
    <row r="23" spans="1:3" x14ac:dyDescent="0.15">
      <c r="A23">
        <v>22</v>
      </c>
      <c r="B23" s="173" t="s">
        <v>213</v>
      </c>
      <c r="C2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6" t="s">
        <v>214</v>
      </c>
    </row>
    <row r="2" spans="1:3" x14ac:dyDescent="0.15">
      <c r="A2">
        <v>1</v>
      </c>
      <c r="B2" s="175" t="s">
        <v>192</v>
      </c>
      <c r="C2">
        <v>0</v>
      </c>
    </row>
    <row r="3" spans="1:3" x14ac:dyDescent="0.15">
      <c r="A3">
        <v>2</v>
      </c>
      <c r="B3" s="175" t="s">
        <v>193</v>
      </c>
      <c r="C3">
        <v>0</v>
      </c>
    </row>
    <row r="4" spans="1:3" x14ac:dyDescent="0.15">
      <c r="A4">
        <v>3</v>
      </c>
      <c r="B4" s="175" t="s">
        <v>194</v>
      </c>
      <c r="C4">
        <v>0.8</v>
      </c>
    </row>
    <row r="5" spans="1:3" x14ac:dyDescent="0.15">
      <c r="A5">
        <v>4</v>
      </c>
      <c r="B5" s="175" t="s">
        <v>195</v>
      </c>
      <c r="C5">
        <v>0</v>
      </c>
    </row>
    <row r="6" spans="1:3" x14ac:dyDescent="0.15">
      <c r="A6">
        <v>5</v>
      </c>
      <c r="B6" s="175" t="s">
        <v>196</v>
      </c>
      <c r="C6">
        <v>0.8</v>
      </c>
    </row>
    <row r="7" spans="1:3" x14ac:dyDescent="0.15">
      <c r="A7">
        <v>6</v>
      </c>
      <c r="B7" s="175" t="s">
        <v>197</v>
      </c>
      <c r="C7">
        <v>0.8</v>
      </c>
    </row>
    <row r="8" spans="1:3" x14ac:dyDescent="0.15">
      <c r="A8">
        <v>7</v>
      </c>
      <c r="B8" s="175" t="s">
        <v>198</v>
      </c>
      <c r="C8">
        <v>0.8</v>
      </c>
    </row>
    <row r="9" spans="1:3" x14ac:dyDescent="0.15">
      <c r="A9">
        <v>8</v>
      </c>
      <c r="B9" s="175" t="s">
        <v>199</v>
      </c>
      <c r="C9">
        <v>0.8</v>
      </c>
    </row>
    <row r="10" spans="1:3" x14ac:dyDescent="0.15">
      <c r="A10">
        <v>9</v>
      </c>
      <c r="B10" s="175" t="s">
        <v>200</v>
      </c>
      <c r="C10">
        <v>0.8</v>
      </c>
    </row>
    <row r="11" spans="1:3" x14ac:dyDescent="0.15">
      <c r="A11">
        <v>10</v>
      </c>
      <c r="B11" s="175" t="s">
        <v>201</v>
      </c>
      <c r="C11">
        <v>0.8</v>
      </c>
    </row>
    <row r="12" spans="1:3" x14ac:dyDescent="0.15">
      <c r="A12">
        <v>11</v>
      </c>
      <c r="B12" s="175" t="s">
        <v>202</v>
      </c>
      <c r="C12">
        <v>0.8</v>
      </c>
    </row>
    <row r="13" spans="1:3" x14ac:dyDescent="0.15">
      <c r="A13">
        <v>12</v>
      </c>
      <c r="B13" s="175" t="s">
        <v>203</v>
      </c>
      <c r="C13">
        <v>0.8</v>
      </c>
    </row>
    <row r="14" spans="1:3" x14ac:dyDescent="0.15">
      <c r="A14">
        <v>13</v>
      </c>
      <c r="B14" s="175" t="s">
        <v>204</v>
      </c>
      <c r="C14">
        <v>0.8</v>
      </c>
    </row>
    <row r="15" spans="1:3" x14ac:dyDescent="0.15">
      <c r="A15">
        <v>14</v>
      </c>
      <c r="B15" s="175" t="s">
        <v>205</v>
      </c>
      <c r="C15">
        <v>0</v>
      </c>
    </row>
    <row r="16" spans="1:3" x14ac:dyDescent="0.15">
      <c r="A16">
        <v>15</v>
      </c>
      <c r="B16" s="175" t="s">
        <v>206</v>
      </c>
      <c r="C16">
        <v>0.8</v>
      </c>
    </row>
    <row r="17" spans="1:3" x14ac:dyDescent="0.15">
      <c r="A17">
        <v>16</v>
      </c>
      <c r="B17" s="175" t="s">
        <v>207</v>
      </c>
      <c r="C17">
        <v>0.8</v>
      </c>
    </row>
    <row r="18" spans="1:3" x14ac:dyDescent="0.15">
      <c r="A18">
        <v>17</v>
      </c>
      <c r="B18" s="175" t="s">
        <v>208</v>
      </c>
      <c r="C18">
        <v>0</v>
      </c>
    </row>
    <row r="19" spans="1:3" x14ac:dyDescent="0.15">
      <c r="A19">
        <v>18</v>
      </c>
      <c r="B19" s="175" t="s">
        <v>209</v>
      </c>
      <c r="C19">
        <v>0</v>
      </c>
    </row>
    <row r="20" spans="1:3" x14ac:dyDescent="0.15">
      <c r="A20">
        <v>19</v>
      </c>
      <c r="B20" s="175" t="s">
        <v>210</v>
      </c>
      <c r="C20">
        <v>0</v>
      </c>
    </row>
    <row r="21" spans="1:3" x14ac:dyDescent="0.15">
      <c r="A21">
        <v>20</v>
      </c>
      <c r="B21" s="175" t="s">
        <v>211</v>
      </c>
      <c r="C21">
        <v>0</v>
      </c>
    </row>
    <row r="22" spans="1:3" x14ac:dyDescent="0.15">
      <c r="A22">
        <v>21</v>
      </c>
      <c r="B22" s="175" t="s">
        <v>212</v>
      </c>
      <c r="C22">
        <v>0</v>
      </c>
    </row>
    <row r="23" spans="1:3" x14ac:dyDescent="0.15">
      <c r="A23">
        <v>22</v>
      </c>
      <c r="B23" s="175" t="s">
        <v>213</v>
      </c>
      <c r="C2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192</v>
      </c>
      <c r="C2" s="8">
        <v>3.5026142597198486</v>
      </c>
      <c r="D2" s="9">
        <v>1.7450000047683716</v>
      </c>
      <c r="E2" s="9">
        <v>9.9999997764825821E-3</v>
      </c>
      <c r="F2" s="9">
        <v>5</v>
      </c>
      <c r="G2" s="7">
        <v>0</v>
      </c>
      <c r="H2" s="9">
        <v>1.999999862164259E-3</v>
      </c>
      <c r="I2">
        <v>0</v>
      </c>
      <c r="J2"/>
    </row>
    <row r="3" spans="1:10" ht="15" customHeight="1" x14ac:dyDescent="0.15">
      <c r="A3" s="136">
        <v>2</v>
      </c>
      <c r="B3" s="136" t="s">
        <v>193</v>
      </c>
      <c r="C3" s="8">
        <v>3.4523661136627197</v>
      </c>
      <c r="D3" s="9">
        <v>1.7000000923871994E-2</v>
      </c>
      <c r="E3" s="9">
        <v>9.9999997764825821E-3</v>
      </c>
      <c r="F3" s="9">
        <v>35</v>
      </c>
      <c r="G3" s="7">
        <v>0</v>
      </c>
      <c r="H3" s="9">
        <v>2.8571428265422583E-4</v>
      </c>
      <c r="I3">
        <v>0</v>
      </c>
      <c r="J3"/>
    </row>
    <row r="4" spans="1:10" ht="15" customHeight="1" x14ac:dyDescent="0.15">
      <c r="A4" s="137">
        <v>3</v>
      </c>
      <c r="B4" s="137" t="s">
        <v>194</v>
      </c>
      <c r="C4" s="8">
        <v>3.7193918228149414</v>
      </c>
      <c r="D4" s="9">
        <v>1.2999999523162842</v>
      </c>
      <c r="E4" s="9">
        <v>0.40999999642372131</v>
      </c>
      <c r="F4" s="9">
        <v>3.0999999046325684</v>
      </c>
      <c r="G4" s="9">
        <v>0.89171034097671509</v>
      </c>
      <c r="H4" s="9">
        <v>0.13225807249546051</v>
      </c>
      <c r="I4">
        <v>0.27000001072883606</v>
      </c>
      <c r="J4"/>
    </row>
    <row r="5" spans="1:10" ht="15" customHeight="1" x14ac:dyDescent="0.15">
      <c r="A5" s="138">
        <v>4</v>
      </c>
      <c r="B5" s="138" t="s">
        <v>195</v>
      </c>
      <c r="C5" s="8">
        <v>3.2184529304504395</v>
      </c>
      <c r="D5" s="9">
        <v>1.336047887802124</v>
      </c>
      <c r="E5" s="9">
        <v>0.34999999403953552</v>
      </c>
      <c r="F5" s="9">
        <v>3.0999999046325684</v>
      </c>
      <c r="G5" s="9">
        <v>0.94999992847442627</v>
      </c>
      <c r="H5" s="9">
        <v>0.11290322989225388</v>
      </c>
      <c r="I5">
        <v>0</v>
      </c>
      <c r="J5"/>
    </row>
    <row r="6" spans="1:10" ht="15" customHeight="1" x14ac:dyDescent="0.15">
      <c r="A6" s="139">
        <v>5</v>
      </c>
      <c r="B6" s="139" t="s">
        <v>196</v>
      </c>
      <c r="C6" s="8">
        <v>3.2827322483062744</v>
      </c>
      <c r="D6" s="9">
        <v>0.20000000298023224</v>
      </c>
      <c r="E6" s="9">
        <v>0.79799997806549072</v>
      </c>
      <c r="F6" s="9">
        <v>3.7999999523162842</v>
      </c>
      <c r="G6" s="9">
        <v>0.9835776686668396</v>
      </c>
      <c r="H6" s="9">
        <v>0.20999999344348907</v>
      </c>
      <c r="I6">
        <v>5.9999998658895493E-2</v>
      </c>
      <c r="J6"/>
    </row>
    <row r="7" spans="1:10" ht="15" customHeight="1" x14ac:dyDescent="0.15">
      <c r="A7" s="140">
        <v>6</v>
      </c>
      <c r="B7" s="140" t="s">
        <v>197</v>
      </c>
      <c r="C7" s="8">
        <v>3.5966675281524658</v>
      </c>
      <c r="D7" s="9">
        <v>0.21299999952316284</v>
      </c>
      <c r="E7" s="9">
        <v>0.68599998950958252</v>
      </c>
      <c r="F7" s="9">
        <v>3.2999999523162842</v>
      </c>
      <c r="G7" s="9">
        <v>0.87987107038497925</v>
      </c>
      <c r="H7" s="9">
        <v>0.20787878334522247</v>
      </c>
      <c r="I7">
        <v>5.000000074505806E-2</v>
      </c>
      <c r="J7"/>
    </row>
    <row r="8" spans="1:10" ht="15" customHeight="1" x14ac:dyDescent="0.15">
      <c r="A8" s="141">
        <v>7</v>
      </c>
      <c r="B8" s="141" t="s">
        <v>198</v>
      </c>
      <c r="C8" s="8">
        <v>3.142733097076416</v>
      </c>
      <c r="D8" s="9">
        <v>2.1329998970031738</v>
      </c>
      <c r="E8" s="9">
        <v>0.34999999403953552</v>
      </c>
      <c r="F8" s="9">
        <v>4.5</v>
      </c>
      <c r="G8" s="9">
        <v>0.95349454879760742</v>
      </c>
      <c r="H8" s="9">
        <v>7.7777773141860962E-2</v>
      </c>
      <c r="I8">
        <v>0.11999999731779099</v>
      </c>
      <c r="J8"/>
    </row>
    <row r="9" spans="1:10" ht="15" customHeight="1" x14ac:dyDescent="0.15">
      <c r="A9" s="142">
        <v>8</v>
      </c>
      <c r="B9" s="142" t="s">
        <v>199</v>
      </c>
      <c r="C9" s="8">
        <v>3.2618756294250488</v>
      </c>
      <c r="D9" s="9">
        <v>0.15299999713897705</v>
      </c>
      <c r="E9" s="9">
        <v>0.61799997091293335</v>
      </c>
      <c r="F9" s="9">
        <v>3.5</v>
      </c>
      <c r="G9" s="9">
        <v>0.63614445924758911</v>
      </c>
      <c r="H9" s="9">
        <v>0.17657141387462616</v>
      </c>
      <c r="I9">
        <v>3.9999999105930328E-2</v>
      </c>
      <c r="J9"/>
    </row>
    <row r="10" spans="1:10" ht="15" customHeight="1" x14ac:dyDescent="0.15">
      <c r="A10" s="143">
        <v>9</v>
      </c>
      <c r="B10" s="143" t="s">
        <v>200</v>
      </c>
      <c r="C10" s="8">
        <v>3.3701531887054443</v>
      </c>
      <c r="D10" s="9">
        <v>0.85187995433807373</v>
      </c>
      <c r="E10" s="9">
        <v>0.30000001192092896</v>
      </c>
      <c r="F10" s="9">
        <v>3.5999999046325684</v>
      </c>
      <c r="G10" s="9">
        <v>0.95000004768371582</v>
      </c>
      <c r="H10" s="9">
        <v>8.3333335816860199E-2</v>
      </c>
      <c r="I10">
        <v>3.9999999105930328E-2</v>
      </c>
      <c r="J10"/>
    </row>
    <row r="11" spans="1:10" ht="15" customHeight="1" x14ac:dyDescent="0.15">
      <c r="A11" s="144">
        <v>10</v>
      </c>
      <c r="B11" s="144" t="s">
        <v>201</v>
      </c>
      <c r="C11" s="8">
        <v>3.3867831230163574</v>
      </c>
      <c r="D11" s="9">
        <v>1.2979617118835449</v>
      </c>
      <c r="E11" s="9">
        <v>0.44999998807907104</v>
      </c>
      <c r="F11" s="9">
        <v>3</v>
      </c>
      <c r="G11" s="9">
        <v>0.94999998807907104</v>
      </c>
      <c r="H11" s="9">
        <v>0.14999999105930328</v>
      </c>
      <c r="I11">
        <v>2.9999999329447746E-2</v>
      </c>
      <c r="J11"/>
    </row>
    <row r="12" spans="1:10" ht="15" customHeight="1" x14ac:dyDescent="0.15">
      <c r="A12" s="145">
        <v>11</v>
      </c>
      <c r="B12" s="145" t="s">
        <v>202</v>
      </c>
      <c r="C12" s="8">
        <v>2.9000000953674316</v>
      </c>
      <c r="D12" s="9">
        <v>0.86726206541061401</v>
      </c>
      <c r="E12" s="9">
        <v>0.69919997453689575</v>
      </c>
      <c r="F12" s="9">
        <v>4.5999999046325684</v>
      </c>
      <c r="G12" s="9">
        <v>0.94999998807907104</v>
      </c>
      <c r="H12" s="9">
        <v>0.15199999511241913</v>
      </c>
      <c r="I12">
        <v>9.0000003576278687E-2</v>
      </c>
      <c r="J12"/>
    </row>
    <row r="13" spans="1:10" ht="15" customHeight="1" x14ac:dyDescent="0.15">
      <c r="A13" s="146">
        <v>12</v>
      </c>
      <c r="B13" s="146" t="s">
        <v>203</v>
      </c>
      <c r="C13" s="8">
        <v>2.9000000953674316</v>
      </c>
      <c r="D13" s="9">
        <v>2.6919999122619629</v>
      </c>
      <c r="E13" s="9">
        <v>1.9500000476837158</v>
      </c>
      <c r="F13" s="9">
        <v>5</v>
      </c>
      <c r="G13" s="9">
        <v>0.94083458185195923</v>
      </c>
      <c r="H13" s="9">
        <v>0.39000001549720764</v>
      </c>
      <c r="I13">
        <v>1.6699999570846558</v>
      </c>
      <c r="J13"/>
    </row>
    <row r="14" spans="1:10" ht="15" customHeight="1" x14ac:dyDescent="0.15">
      <c r="A14" s="147">
        <v>13</v>
      </c>
      <c r="B14" s="147" t="s">
        <v>204</v>
      </c>
      <c r="C14" s="8">
        <v>2.8000001907348633</v>
      </c>
      <c r="D14" s="9">
        <v>6.7307610511779785</v>
      </c>
      <c r="E14" s="9">
        <v>0.58499997854232788</v>
      </c>
      <c r="F14" s="9">
        <v>4.5</v>
      </c>
      <c r="G14" s="9">
        <v>0.94699996709823608</v>
      </c>
      <c r="H14" s="9">
        <v>0.12999999523162842</v>
      </c>
      <c r="I14">
        <v>2.9999999329447746E-2</v>
      </c>
      <c r="J14"/>
    </row>
    <row r="15" spans="1:10" ht="15" customHeight="1" x14ac:dyDescent="0.15">
      <c r="A15" s="148">
        <v>14</v>
      </c>
      <c r="B15" s="148" t="s">
        <v>205</v>
      </c>
      <c r="C15" s="8">
        <v>2.875</v>
      </c>
      <c r="D15" s="9">
        <v>1.3000000268220901E-2</v>
      </c>
      <c r="E15" s="9">
        <v>0.37000000476837158</v>
      </c>
      <c r="F15" s="9">
        <v>2</v>
      </c>
      <c r="G15" s="7">
        <v>0</v>
      </c>
      <c r="H15" s="9">
        <v>0.18500000238418579</v>
      </c>
      <c r="I15">
        <v>0</v>
      </c>
      <c r="J15"/>
    </row>
    <row r="16" spans="1:10" ht="15" customHeight="1" x14ac:dyDescent="0.15">
      <c r="A16" s="149">
        <v>15</v>
      </c>
      <c r="B16" s="149" t="s">
        <v>206</v>
      </c>
      <c r="C16" s="8">
        <v>2.9250001907348633</v>
      </c>
      <c r="D16" s="9">
        <v>1.6842219829559326</v>
      </c>
      <c r="E16" s="9">
        <v>1.0199999809265137</v>
      </c>
      <c r="F16" s="9">
        <v>6</v>
      </c>
      <c r="G16" s="9">
        <v>0.95600003004074097</v>
      </c>
      <c r="H16" s="9">
        <v>0.17000000178813934</v>
      </c>
      <c r="I16">
        <v>7.9999998211860657E-2</v>
      </c>
      <c r="J16"/>
    </row>
    <row r="17" spans="1:10" ht="15" customHeight="1" x14ac:dyDescent="0.15">
      <c r="A17" s="150">
        <v>16</v>
      </c>
      <c r="B17" s="150" t="s">
        <v>207</v>
      </c>
      <c r="C17" s="8">
        <v>3.0529351234436035</v>
      </c>
      <c r="D17" s="9">
        <v>0.73910224437713623</v>
      </c>
      <c r="E17" s="9">
        <v>0.20000000298023224</v>
      </c>
      <c r="F17" s="9">
        <v>6</v>
      </c>
      <c r="G17" s="9">
        <v>0.95000004768371582</v>
      </c>
      <c r="H17" s="9">
        <v>3.3333335071802139E-2</v>
      </c>
      <c r="I17">
        <v>1.9999999552965164E-2</v>
      </c>
      <c r="J17"/>
    </row>
    <row r="18" spans="1:10" ht="15" customHeight="1" x14ac:dyDescent="0.15">
      <c r="A18" s="151">
        <v>17</v>
      </c>
      <c r="B18" s="151" t="s">
        <v>208</v>
      </c>
      <c r="C18" s="8">
        <v>2.25</v>
      </c>
      <c r="D18" s="9">
        <v>16.285427093505859</v>
      </c>
      <c r="E18" s="9">
        <v>3</v>
      </c>
      <c r="F18" s="9">
        <v>10</v>
      </c>
      <c r="G18" s="9">
        <v>0.94999998807907104</v>
      </c>
      <c r="H18" s="9">
        <v>0.30000001192092896</v>
      </c>
      <c r="I18">
        <v>0</v>
      </c>
      <c r="J18"/>
    </row>
    <row r="19" spans="1:10" ht="15" customHeight="1" x14ac:dyDescent="0.15">
      <c r="A19" s="152">
        <v>18</v>
      </c>
      <c r="B19" s="152" t="s">
        <v>209</v>
      </c>
      <c r="C19" s="8">
        <v>3.1029000282287598</v>
      </c>
      <c r="D19" s="9">
        <v>8.8046140670776367</v>
      </c>
      <c r="E19" s="9">
        <v>0.60000002384185791</v>
      </c>
      <c r="F19" s="9">
        <v>3.5</v>
      </c>
      <c r="G19" s="9">
        <v>0.94999998807907104</v>
      </c>
      <c r="H19" s="9">
        <v>0.17142857611179352</v>
      </c>
      <c r="I19">
        <v>0</v>
      </c>
      <c r="J19"/>
    </row>
    <row r="20" spans="1:10" ht="15" customHeight="1" x14ac:dyDescent="0.15">
      <c r="A20" s="153">
        <v>19</v>
      </c>
      <c r="B20" s="153" t="s">
        <v>210</v>
      </c>
      <c r="C20" s="8">
        <v>2</v>
      </c>
      <c r="D20" s="9">
        <v>30</v>
      </c>
      <c r="E20" s="9">
        <v>5</v>
      </c>
      <c r="F20" s="9">
        <v>20</v>
      </c>
      <c r="G20" s="9">
        <v>0.58223551511764526</v>
      </c>
      <c r="H20" s="9">
        <v>0.25</v>
      </c>
      <c r="I20">
        <v>0</v>
      </c>
      <c r="J20"/>
    </row>
    <row r="21" spans="1:10" ht="15" customHeight="1" x14ac:dyDescent="0.15">
      <c r="A21" s="154">
        <v>20</v>
      </c>
      <c r="B21" s="154" t="s">
        <v>211</v>
      </c>
      <c r="C21" s="8">
        <v>1</v>
      </c>
      <c r="D21" s="9">
        <v>162.66700744628906</v>
      </c>
      <c r="E21" s="9">
        <v>50</v>
      </c>
      <c r="F21" s="10"/>
      <c r="G21" s="9">
        <v>7.8847482800483704E-2</v>
      </c>
      <c r="H21" s="10"/>
      <c r="I21">
        <v>0</v>
      </c>
      <c r="J21"/>
    </row>
    <row r="22" spans="1:10" ht="15" customHeight="1" x14ac:dyDescent="0.15">
      <c r="A22" s="155">
        <v>21</v>
      </c>
      <c r="B22" s="155" t="s">
        <v>212</v>
      </c>
      <c r="C22" s="8">
        <v>1</v>
      </c>
      <c r="D22" s="9">
        <v>200</v>
      </c>
      <c r="E22" s="10"/>
      <c r="F22" s="10"/>
      <c r="G22" s="7">
        <v>1.3010806404054165E-2</v>
      </c>
      <c r="H22" s="10"/>
      <c r="I22">
        <v>0</v>
      </c>
      <c r="J22"/>
    </row>
    <row r="23" spans="1:10" ht="15" customHeight="1" x14ac:dyDescent="0.15">
      <c r="A23" s="156">
        <v>22</v>
      </c>
      <c r="B23" s="156" t="s">
        <v>213</v>
      </c>
      <c r="C23" s="8">
        <v>1</v>
      </c>
      <c r="D23" s="9">
        <v>5</v>
      </c>
      <c r="E23" s="10"/>
      <c r="F23" s="10"/>
      <c r="G23" s="7">
        <v>0</v>
      </c>
      <c r="H23" s="10"/>
      <c r="I23">
        <v>0</v>
      </c>
      <c r="J23"/>
    </row>
    <row r="24" spans="1:10" ht="15" customHeight="1" x14ac:dyDescent="0.15">
      <c r="A24" s="157">
        <v>23</v>
      </c>
      <c r="B24" s="157" t="s">
        <v>214</v>
      </c>
      <c r="C24" s="8">
        <v>4.0432419776916504</v>
      </c>
      <c r="D24" s="10"/>
      <c r="E24" s="10"/>
      <c r="F24" s="10"/>
      <c r="G24" s="10"/>
      <c r="H24" s="10"/>
      <c r="I24">
        <v>2.4999997615814209</v>
      </c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9.9999997764825821E-3</v>
      </c>
      <c r="C2">
        <v>9.9999997764825821E-3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9.9999997764825821E-3</v>
      </c>
      <c r="C3">
        <v>9.9999997764825821E-3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0.40999999642372131</v>
      </c>
      <c r="C4">
        <v>4.4398758560419083E-2</v>
      </c>
      <c r="D4" s="185">
        <v>0.20769232511520386</v>
      </c>
      <c r="E4" s="209">
        <v>0.13423077762126923</v>
      </c>
      <c r="F4"/>
      <c r="G4"/>
      <c r="H4"/>
      <c r="I4"/>
      <c r="J4"/>
      <c r="K4"/>
      <c r="L4" s="20">
        <v>8.2384608685970306E-3</v>
      </c>
      <c r="M4"/>
      <c r="N4" s="13">
        <v>1.5439671464264393E-2</v>
      </c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0.34999999403953552</v>
      </c>
      <c r="C5">
        <v>1.7500024288892746E-2</v>
      </c>
      <c r="D5"/>
      <c r="E5" s="203">
        <v>6.5304547548294067E-2</v>
      </c>
      <c r="F5"/>
      <c r="G5" s="208">
        <v>0.12065434455871582</v>
      </c>
      <c r="H5"/>
      <c r="I5"/>
      <c r="J5" s="14">
        <v>5.2610388956964016E-4</v>
      </c>
      <c r="K5" s="197">
        <v>3.5921242088079453E-2</v>
      </c>
      <c r="L5" s="27">
        <v>1.2024269439280033E-2</v>
      </c>
      <c r="M5" s="72">
        <v>2.2954026237130165E-2</v>
      </c>
      <c r="N5" s="194">
        <v>7.5115464627742767E-2</v>
      </c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0.79799997806549072</v>
      </c>
      <c r="C6">
        <v>1.3105019927024841E-2</v>
      </c>
      <c r="D6" s="186">
        <v>0.29999998211860657</v>
      </c>
      <c r="E6" s="199">
        <v>0.34900000691413879</v>
      </c>
      <c r="F6"/>
      <c r="G6" s="193">
        <v>0.10074999183416367</v>
      </c>
      <c r="H6"/>
      <c r="I6"/>
      <c r="J6" s="19">
        <v>3.5144999623298645E-2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0.68599998950958252</v>
      </c>
      <c r="C7">
        <v>8.2408443093299866E-2</v>
      </c>
      <c r="D7" s="187">
        <v>0.23474179208278656</v>
      </c>
      <c r="E7" s="196">
        <v>0.12288732081651688</v>
      </c>
      <c r="F7"/>
      <c r="G7" s="198">
        <v>0.24596242606639862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0.34999999403953552</v>
      </c>
      <c r="C8">
        <v>1.6276907175779343E-2</v>
      </c>
      <c r="D8" s="188">
        <v>5.6258790194988251E-2</v>
      </c>
      <c r="E8" s="202">
        <v>4.0904831141233444E-2</v>
      </c>
      <c r="F8"/>
      <c r="G8" s="215">
        <v>9.8246604204177856E-2</v>
      </c>
      <c r="H8"/>
      <c r="I8" s="12">
        <v>1.0689171031117439E-3</v>
      </c>
      <c r="J8" s="15">
        <v>3.2953587360680103E-3</v>
      </c>
      <c r="K8"/>
      <c r="L8" s="134">
        <v>1.0042193345725536E-2</v>
      </c>
      <c r="M8" s="211">
        <v>8.6266323924064636E-2</v>
      </c>
      <c r="N8" s="200">
        <v>3.7640079855918884E-2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0.61799997091293335</v>
      </c>
      <c r="C9">
        <v>0.2248627096414566</v>
      </c>
      <c r="D9" s="189">
        <v>0.26143789291381836</v>
      </c>
      <c r="E9"/>
      <c r="F9"/>
      <c r="G9" s="194">
        <v>0.131699338555336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0.30000001192092896</v>
      </c>
      <c r="C10">
        <v>1.4999986626207829E-2</v>
      </c>
      <c r="D10" s="101">
        <v>4.6954970806837082E-2</v>
      </c>
      <c r="E10" s="204">
        <v>0.10242053866386414</v>
      </c>
      <c r="F10"/>
      <c r="G10" s="205">
        <v>0.12772925198078156</v>
      </c>
      <c r="H10"/>
      <c r="I10" s="64">
        <v>6.2450114637613297E-3</v>
      </c>
      <c r="J10" s="22">
        <v>1.6502324724569917E-3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0.44999998807907104</v>
      </c>
      <c r="C11">
        <v>2.250000461935997E-2</v>
      </c>
      <c r="D11" s="67">
        <v>2.3113161325454712E-2</v>
      </c>
      <c r="E11" s="216">
        <v>0.33610391616821289</v>
      </c>
      <c r="F11"/>
      <c r="G11" s="201">
        <v>6.2097359448671341E-2</v>
      </c>
      <c r="H11"/>
      <c r="I11"/>
      <c r="J11"/>
      <c r="K11"/>
      <c r="L11"/>
      <c r="M11"/>
      <c r="N11" s="17">
        <v>6.1855670064687729E-3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0.69919997453689575</v>
      </c>
      <c r="C12">
        <v>3.4960005432367325E-2</v>
      </c>
      <c r="D12" s="190">
        <v>0.10377486795186996</v>
      </c>
      <c r="E12"/>
      <c r="F12" s="22">
        <v>3.4303357824683189E-3</v>
      </c>
      <c r="G12" s="195">
        <v>2.3234035819768906E-2</v>
      </c>
      <c r="H12"/>
      <c r="I12"/>
      <c r="J12" s="14">
        <v>8.1048166612163186E-4</v>
      </c>
      <c r="K12"/>
      <c r="L12"/>
      <c r="M12"/>
      <c r="N12"/>
      <c r="O12"/>
      <c r="P12"/>
      <c r="Q12"/>
      <c r="R12"/>
      <c r="S12"/>
      <c r="T12"/>
      <c r="U12"/>
      <c r="V12" s="218">
        <v>0.5329902172088623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1.9500000476837158</v>
      </c>
      <c r="C13">
        <v>0.11537256836891174</v>
      </c>
      <c r="D13" s="191">
        <v>0.62035661935806274</v>
      </c>
      <c r="E13" s="222">
        <v>0.38893014192581177</v>
      </c>
      <c r="F13" s="19">
        <v>8.5536777973175049E-2</v>
      </c>
      <c r="G13" s="223">
        <v>0.40419763326644897</v>
      </c>
      <c r="H13"/>
      <c r="I13" s="17">
        <v>2.8231801465153694E-2</v>
      </c>
      <c r="J13" s="213">
        <v>7.5721025466918945E-2</v>
      </c>
      <c r="K13" s="63">
        <v>0.10696693509817123</v>
      </c>
      <c r="L13" s="21">
        <v>1.5913818031549454E-2</v>
      </c>
      <c r="M13" s="64">
        <v>4.2150970548391342E-2</v>
      </c>
      <c r="N13" s="23">
        <v>5.5174458771944046E-2</v>
      </c>
      <c r="O13"/>
      <c r="P13"/>
      <c r="Q13"/>
      <c r="R13"/>
      <c r="S13"/>
      <c r="T13"/>
      <c r="U13"/>
      <c r="V13" s="22">
        <v>1.1447307653725147E-2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0.58499997854232788</v>
      </c>
      <c r="C14">
        <v>3.1005017459392548E-2</v>
      </c>
      <c r="D14" s="21">
        <v>4.4571482576429844E-3</v>
      </c>
      <c r="E14" s="210">
        <v>2.5925746187567711E-2</v>
      </c>
      <c r="F14" s="14">
        <v>1.2376016238704324E-3</v>
      </c>
      <c r="G14" s="214">
        <v>3.1134665012359619E-2</v>
      </c>
      <c r="H14"/>
      <c r="I14"/>
      <c r="J14" s="11">
        <v>1.0443098290124908E-4</v>
      </c>
      <c r="K14" s="212">
        <v>2.8521290048956871E-2</v>
      </c>
      <c r="L14" s="21">
        <v>4.773605614900589E-3</v>
      </c>
      <c r="M14"/>
      <c r="N14"/>
      <c r="O14"/>
      <c r="P14"/>
      <c r="Q14"/>
      <c r="R14"/>
      <c r="S14"/>
      <c r="T14"/>
      <c r="U14"/>
      <c r="V14" s="225">
        <v>0.45784050226211548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0.37000000476837158</v>
      </c>
      <c r="C15">
        <v>0.37000000476837158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1.0199999809265137</v>
      </c>
      <c r="C16">
        <v>4.4879969209432602E-2</v>
      </c>
      <c r="D16" s="28">
        <v>4.7499675303697586E-2</v>
      </c>
      <c r="E16" s="67">
        <v>5.1804337650537491E-2</v>
      </c>
      <c r="F16"/>
      <c r="G16" s="217">
        <v>0.26560035347938538</v>
      </c>
      <c r="H16" s="220">
        <v>0.36887195706367493</v>
      </c>
      <c r="I16" s="16">
        <v>1.5793642029166222E-2</v>
      </c>
      <c r="J16"/>
      <c r="K16" s="207">
        <v>7.4087917804718018E-2</v>
      </c>
      <c r="L16" s="18">
        <v>1.2718037702143192E-2</v>
      </c>
      <c r="M16" s="65">
        <v>6.0089074075222015E-2</v>
      </c>
      <c r="N16" s="26">
        <v>7.8654944896697998E-2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0.20000000298023224</v>
      </c>
      <c r="C17">
        <v>9.9999904632568359E-3</v>
      </c>
      <c r="D17" s="192">
        <v>2.7059854939579964E-2</v>
      </c>
      <c r="E17"/>
      <c r="F17"/>
      <c r="G17"/>
      <c r="H17"/>
      <c r="I17"/>
      <c r="J17"/>
      <c r="K17"/>
      <c r="L17"/>
      <c r="M17"/>
      <c r="N17" s="206">
        <v>0.16294015944004059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3</v>
      </c>
      <c r="C18">
        <v>0.15000003576278687</v>
      </c>
      <c r="D18"/>
      <c r="E18" s="15">
        <v>3.1609546393156052E-2</v>
      </c>
      <c r="F18" s="22">
        <v>1.5235401690006256E-2</v>
      </c>
      <c r="G18" s="15">
        <v>2.7220653370022774E-2</v>
      </c>
      <c r="H18" s="27">
        <v>0.10427216440439224</v>
      </c>
      <c r="I18" s="21">
        <v>2.4827104061841965E-2</v>
      </c>
      <c r="J18" s="14">
        <v>3.4529028926044703E-3</v>
      </c>
      <c r="K18" s="134">
        <v>8.8408797979354858E-2</v>
      </c>
      <c r="L18" s="11">
        <v>1.6441079787909985E-3</v>
      </c>
      <c r="M18" s="24">
        <v>9.4156809151172638E-2</v>
      </c>
      <c r="N18" s="13">
        <v>0.11289579421281815</v>
      </c>
      <c r="O18"/>
      <c r="P18"/>
      <c r="Q18"/>
      <c r="R18" s="11">
        <v>4.7895582974888384E-4</v>
      </c>
      <c r="S18" s="66">
        <v>0.18615414202213287</v>
      </c>
      <c r="T18" s="24">
        <v>9.5306970179080963E-2</v>
      </c>
      <c r="U18" s="229">
        <v>2</v>
      </c>
      <c r="V18" s="64">
        <v>6.4336612820625305E-2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0.60000002384185791</v>
      </c>
      <c r="C19">
        <v>3.0000008642673492E-2</v>
      </c>
      <c r="D19"/>
      <c r="E19" s="224">
        <v>0.17837238311767578</v>
      </c>
      <c r="F19" s="12">
        <v>2.7031281497329473E-3</v>
      </c>
      <c r="G19" s="72">
        <v>3.8905736058950424E-2</v>
      </c>
      <c r="H19" s="63">
        <v>3.2928459346294403E-2</v>
      </c>
      <c r="I19" s="14">
        <v>1.1221389286220074E-3</v>
      </c>
      <c r="J19" s="27">
        <v>2.0756615325808525E-2</v>
      </c>
      <c r="K19" s="207">
        <v>4.3606679886579514E-2</v>
      </c>
      <c r="L19" s="25">
        <v>1.5205095522105694E-2</v>
      </c>
      <c r="M19" s="219">
        <v>6.966274231672287E-2</v>
      </c>
      <c r="N19" s="221">
        <v>9.1186605393886566E-2</v>
      </c>
      <c r="O19"/>
      <c r="P19"/>
      <c r="Q19"/>
      <c r="R19"/>
      <c r="S19"/>
      <c r="T19" s="193">
        <v>7.5550392270088196E-2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5</v>
      </c>
      <c r="C20">
        <v>2.0888223648071289</v>
      </c>
      <c r="D20"/>
      <c r="E20" s="134">
        <v>0.14541667699813843</v>
      </c>
      <c r="F20" s="11">
        <v>1.5271666925400496E-3</v>
      </c>
      <c r="G20" s="22">
        <v>2.7538331225514412E-2</v>
      </c>
      <c r="H20" s="21">
        <v>3.7275735288858414E-2</v>
      </c>
      <c r="I20" s="14">
        <v>7.8533338382840157E-3</v>
      </c>
      <c r="J20" s="14">
        <v>8.0599207431077957E-3</v>
      </c>
      <c r="K20" s="28">
        <v>0.23740288615226746</v>
      </c>
      <c r="L20" s="11">
        <v>2.3204998578876257E-3</v>
      </c>
      <c r="M20" s="11">
        <v>4.0890234522521496E-3</v>
      </c>
      <c r="N20" s="14">
        <v>5.3524193353950977E-3</v>
      </c>
      <c r="O20" s="226">
        <v>0.11968216300010681</v>
      </c>
      <c r="P20" s="227">
        <v>0.40379998087882996</v>
      </c>
      <c r="Q20" s="188">
        <v>0.80769133567810059</v>
      </c>
      <c r="R20" s="11">
        <v>4.3333333451300859E-4</v>
      </c>
      <c r="S20" s="13">
        <v>0.18526442348957062</v>
      </c>
      <c r="T20" s="15">
        <v>4.4346138834953308E-2</v>
      </c>
      <c r="U20"/>
      <c r="V20" s="228">
        <v>0.87312424182891846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50</v>
      </c>
      <c r="C21">
        <v>46.057624816894531</v>
      </c>
      <c r="D21"/>
      <c r="E21"/>
      <c r="F21"/>
      <c r="G21"/>
      <c r="H21" s="11">
        <v>2.5461514014750719E-3</v>
      </c>
      <c r="I21"/>
      <c r="J21"/>
      <c r="K21"/>
      <c r="L21"/>
      <c r="M21"/>
      <c r="N21"/>
      <c r="O21" s="11">
        <v>2.4524980690330267E-3</v>
      </c>
      <c r="P21" s="11">
        <v>8.2745729014277458E-3</v>
      </c>
      <c r="Q21" s="11">
        <v>3.7239789962768555E-2</v>
      </c>
      <c r="R21" s="11">
        <v>7.9917863331502303E-6</v>
      </c>
      <c r="S21" s="11">
        <v>3.1061407644301653E-3</v>
      </c>
      <c r="T21"/>
      <c r="U21" s="12">
        <v>0.20023024082183838</v>
      </c>
      <c r="V21"/>
      <c r="W21" s="230">
        <v>3.6885168552398682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1.3010806404054165E-2</v>
      </c>
      <c r="D22"/>
      <c r="E22"/>
      <c r="F22" s="9">
        <v>3.5700000822544098E-2</v>
      </c>
      <c r="G22"/>
      <c r="H22"/>
      <c r="I22"/>
      <c r="J22" s="9">
        <v>7.0289999712258577E-4</v>
      </c>
      <c r="K22"/>
      <c r="L22" s="9">
        <v>0.16064999997615814</v>
      </c>
      <c r="M22" s="9">
        <v>0.36801213026046753</v>
      </c>
      <c r="N22" s="9">
        <v>0.48171773552894592</v>
      </c>
      <c r="O22"/>
      <c r="P22"/>
      <c r="Q22"/>
      <c r="R22" s="9">
        <v>3.9000001270323992E-3</v>
      </c>
      <c r="S22" s="9">
        <v>1.0105332136154175</v>
      </c>
      <c r="T22" s="9">
        <v>0.88692271709442139</v>
      </c>
      <c r="U22" s="9">
        <v>97.712570190429688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77" t="s">
        <v>192</v>
      </c>
      <c r="E5">
        <v>4</v>
      </c>
      <c r="F5">
        <v>3.13</v>
      </c>
      <c r="G5">
        <v>4</v>
      </c>
      <c r="H5" s="178" t="s">
        <v>192</v>
      </c>
      <c r="J5" s="56"/>
      <c r="K5" s="57"/>
    </row>
    <row r="6" spans="1:12" ht="14" thickBot="1" x14ac:dyDescent="0.2">
      <c r="A6" s="40" t="s">
        <v>121</v>
      </c>
      <c r="D6" s="177" t="s">
        <v>193</v>
      </c>
      <c r="E6">
        <v>5</v>
      </c>
      <c r="F6">
        <v>3.13</v>
      </c>
      <c r="G6">
        <v>5</v>
      </c>
      <c r="H6" s="178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77" t="s">
        <v>194</v>
      </c>
      <c r="E7">
        <v>6</v>
      </c>
      <c r="F7">
        <v>3.22</v>
      </c>
      <c r="G7">
        <v>6</v>
      </c>
      <c r="H7" s="178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77" t="s">
        <v>195</v>
      </c>
      <c r="E8">
        <v>7</v>
      </c>
      <c r="F8">
        <v>3.22</v>
      </c>
      <c r="G8">
        <v>7</v>
      </c>
      <c r="H8" s="178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77" t="s">
        <v>196</v>
      </c>
      <c r="E9">
        <v>8</v>
      </c>
      <c r="F9">
        <v>3.22</v>
      </c>
      <c r="G9">
        <v>8</v>
      </c>
      <c r="H9" s="178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77" t="s">
        <v>197</v>
      </c>
      <c r="E10">
        <v>9</v>
      </c>
      <c r="F10">
        <v>3.22</v>
      </c>
      <c r="G10">
        <v>9</v>
      </c>
      <c r="H10" s="178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77" t="s">
        <v>198</v>
      </c>
      <c r="E11">
        <v>10</v>
      </c>
      <c r="F11">
        <v>3</v>
      </c>
      <c r="G11">
        <v>10</v>
      </c>
      <c r="H11" s="178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77" t="s">
        <v>199</v>
      </c>
      <c r="E12">
        <v>11</v>
      </c>
      <c r="F12">
        <v>3.22</v>
      </c>
      <c r="G12">
        <v>11</v>
      </c>
      <c r="H12" s="178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77" t="s">
        <v>200</v>
      </c>
      <c r="E13">
        <v>12</v>
      </c>
      <c r="F13">
        <v>3.22</v>
      </c>
      <c r="G13">
        <v>12</v>
      </c>
      <c r="H13" s="178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77" t="s">
        <v>201</v>
      </c>
      <c r="E14">
        <v>13</v>
      </c>
      <c r="F14">
        <v>3.22</v>
      </c>
      <c r="G14">
        <v>13</v>
      </c>
      <c r="H14" s="178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77" t="s">
        <v>202</v>
      </c>
      <c r="E15">
        <v>14</v>
      </c>
      <c r="F15">
        <v>3.12</v>
      </c>
      <c r="G15">
        <v>14</v>
      </c>
      <c r="H15" s="178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77" t="s">
        <v>203</v>
      </c>
      <c r="E16">
        <v>15</v>
      </c>
      <c r="F16">
        <v>3.12</v>
      </c>
      <c r="G16">
        <v>15</v>
      </c>
      <c r="H16" s="178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77" t="s">
        <v>204</v>
      </c>
      <c r="E17">
        <v>16</v>
      </c>
      <c r="F17">
        <v>3.12</v>
      </c>
      <c r="G17">
        <v>16</v>
      </c>
      <c r="H17" s="178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77" t="s">
        <v>205</v>
      </c>
      <c r="E18">
        <v>17</v>
      </c>
      <c r="F18">
        <v>3.21</v>
      </c>
      <c r="G18">
        <v>17</v>
      </c>
      <c r="H18" s="178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77" t="s">
        <v>206</v>
      </c>
      <c r="E19">
        <v>18</v>
      </c>
      <c r="F19">
        <v>3</v>
      </c>
      <c r="G19">
        <v>18</v>
      </c>
      <c r="H19" s="178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77" t="s">
        <v>207</v>
      </c>
      <c r="E20">
        <v>19</v>
      </c>
      <c r="F20">
        <v>3</v>
      </c>
      <c r="G20">
        <v>19</v>
      </c>
      <c r="H20" s="178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77" t="s">
        <v>208</v>
      </c>
      <c r="E21">
        <v>20</v>
      </c>
      <c r="F21">
        <v>3.21</v>
      </c>
      <c r="G21">
        <v>20</v>
      </c>
      <c r="H21" s="178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77" t="s">
        <v>209</v>
      </c>
      <c r="E22">
        <v>21</v>
      </c>
      <c r="F22">
        <v>3.12</v>
      </c>
      <c r="G22">
        <v>21</v>
      </c>
      <c r="H22" s="178" t="s">
        <v>209</v>
      </c>
    </row>
    <row r="23" spans="1:12" x14ac:dyDescent="0.15">
      <c r="A23" s="35" t="s">
        <v>129</v>
      </c>
      <c r="B23" s="43">
        <v>4</v>
      </c>
      <c r="C23" s="37"/>
      <c r="D23" s="177" t="s">
        <v>210</v>
      </c>
      <c r="E23">
        <v>22</v>
      </c>
      <c r="F23">
        <v>3.11</v>
      </c>
      <c r="G23">
        <v>22</v>
      </c>
      <c r="H23" s="178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77" t="s">
        <v>211</v>
      </c>
      <c r="E24">
        <v>23</v>
      </c>
      <c r="F24">
        <v>2</v>
      </c>
      <c r="G24">
        <v>23</v>
      </c>
      <c r="H24" s="178" t="s">
        <v>211</v>
      </c>
    </row>
    <row r="25" spans="1:12" x14ac:dyDescent="0.15">
      <c r="A25" s="35" t="s">
        <v>70</v>
      </c>
      <c r="B25" s="43">
        <v>4.2</v>
      </c>
      <c r="C25" s="37"/>
      <c r="D25" s="177" t="s">
        <v>212</v>
      </c>
      <c r="E25">
        <v>24</v>
      </c>
      <c r="F25">
        <v>4.0999999999999996</v>
      </c>
      <c r="G25">
        <v>24</v>
      </c>
      <c r="H25" s="178" t="s">
        <v>212</v>
      </c>
    </row>
    <row r="26" spans="1:12" x14ac:dyDescent="0.15">
      <c r="A26" s="35" t="s">
        <v>123</v>
      </c>
      <c r="B26" s="43">
        <v>4.3</v>
      </c>
      <c r="C26" s="37"/>
      <c r="D26" s="177" t="s">
        <v>213</v>
      </c>
      <c r="E26">
        <v>25</v>
      </c>
      <c r="F26">
        <v>4.3</v>
      </c>
      <c r="G26">
        <v>25</v>
      </c>
      <c r="H26" s="178" t="s">
        <v>213</v>
      </c>
    </row>
    <row r="27" spans="1:12" x14ac:dyDescent="0.15">
      <c r="A27" s="35" t="s">
        <v>125</v>
      </c>
      <c r="B27" s="43">
        <v>6.1</v>
      </c>
      <c r="D27" s="177" t="s">
        <v>214</v>
      </c>
      <c r="E27">
        <v>26</v>
      </c>
      <c r="F27">
        <v>5</v>
      </c>
      <c r="G27">
        <v>26</v>
      </c>
      <c r="H27" s="178" t="s">
        <v>214</v>
      </c>
    </row>
    <row r="28" spans="1:12" x14ac:dyDescent="0.15">
      <c r="A28" s="35" t="s">
        <v>124</v>
      </c>
      <c r="B28" s="43">
        <v>6.2</v>
      </c>
      <c r="D28" s="177" t="s">
        <v>138</v>
      </c>
      <c r="E28">
        <v>27</v>
      </c>
      <c r="F28">
        <v>6.1</v>
      </c>
      <c r="G28">
        <v>27</v>
      </c>
      <c r="H28" s="178" t="s">
        <v>138</v>
      </c>
    </row>
    <row r="29" spans="1:12" x14ac:dyDescent="0.15">
      <c r="A29" s="35" t="s">
        <v>44</v>
      </c>
      <c r="B29" s="43">
        <v>5</v>
      </c>
      <c r="D29" s="177" t="s">
        <v>45</v>
      </c>
      <c r="E29">
        <v>28</v>
      </c>
      <c r="F29">
        <v>6.2</v>
      </c>
      <c r="G29">
        <v>28</v>
      </c>
      <c r="H29" s="178" t="s">
        <v>45</v>
      </c>
    </row>
    <row r="30" spans="1:12" x14ac:dyDescent="0.15">
      <c r="A30" s="35" t="s">
        <v>73</v>
      </c>
      <c r="B30" s="43">
        <v>7</v>
      </c>
    </row>
    <row r="31" spans="1:12" x14ac:dyDescent="0.15">
      <c r="A31" s="35" t="s">
        <v>169</v>
      </c>
      <c r="B31" s="43">
        <v>3.14</v>
      </c>
    </row>
    <row r="32" spans="1:12" ht="12" customHeight="1" thickBot="1" x14ac:dyDescent="0.2">
      <c r="A32" s="41" t="s">
        <v>170</v>
      </c>
      <c r="B32" s="44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8" bestFit="1" customWidth="1"/>
    <col min="2" max="2" width="7.83203125" style="77" customWidth="1"/>
    <col min="3" max="3" width="13.1640625" style="77" customWidth="1"/>
    <col min="4" max="4" width="39.6640625" style="77" customWidth="1"/>
    <col min="5" max="5" width="8.1640625" style="77" customWidth="1"/>
    <col min="6" max="6" width="21.66406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9" customWidth="1"/>
    <col min="17" max="17" width="2.33203125" style="77" customWidth="1"/>
    <col min="18" max="18" width="2.33203125" style="70" customWidth="1"/>
    <col min="19" max="16384" width="11.5" style="77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79" t="s">
        <v>48</v>
      </c>
      <c r="L1" s="70"/>
      <c r="M1" s="79" t="s">
        <v>119</v>
      </c>
      <c r="N1" s="70"/>
      <c r="O1" s="79" t="s">
        <v>49</v>
      </c>
      <c r="P1" s="71"/>
      <c r="Q1" s="79" t="s">
        <v>50</v>
      </c>
      <c r="R1" s="68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1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1">
        <v>0</v>
      </c>
      <c r="R4" s="103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1">
        <v>0</v>
      </c>
      <c r="R5" s="103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79" t="s">
        <v>192</v>
      </c>
      <c r="G6" s="77">
        <v>0</v>
      </c>
      <c r="H6" s="77">
        <v>0</v>
      </c>
      <c r="I6" s="77">
        <v>0</v>
      </c>
      <c r="J6" s="77">
        <v>0</v>
      </c>
      <c r="K6" s="77">
        <v>1</v>
      </c>
      <c r="L6" s="77">
        <v>0</v>
      </c>
      <c r="M6" s="77">
        <v>1</v>
      </c>
      <c r="N6" s="77">
        <v>0</v>
      </c>
      <c r="O6" s="77">
        <v>1</v>
      </c>
      <c r="P6" s="69">
        <v>0</v>
      </c>
      <c r="Q6" s="77">
        <v>0</v>
      </c>
      <c r="R6" s="70">
        <v>1</v>
      </c>
      <c r="S6"/>
      <c r="T6"/>
    </row>
    <row r="7" spans="1:23" ht="15" customHeight="1" thickBot="1" x14ac:dyDescent="0.2">
      <c r="F7" s="179" t="s">
        <v>193</v>
      </c>
      <c r="G7" s="77">
        <v>0</v>
      </c>
      <c r="H7" s="77">
        <v>0</v>
      </c>
      <c r="I7" s="77">
        <v>0</v>
      </c>
      <c r="J7" s="77">
        <v>0</v>
      </c>
      <c r="K7" s="77">
        <v>1</v>
      </c>
      <c r="L7" s="77">
        <v>0</v>
      </c>
      <c r="M7" s="77">
        <v>1</v>
      </c>
      <c r="N7" s="77">
        <v>0</v>
      </c>
      <c r="O7" s="77">
        <v>1</v>
      </c>
      <c r="P7" s="69">
        <v>0</v>
      </c>
      <c r="Q7" s="77">
        <v>0</v>
      </c>
      <c r="R7" s="70">
        <v>1</v>
      </c>
      <c r="S7"/>
      <c r="T7"/>
    </row>
    <row r="8" spans="1:23" ht="15" customHeight="1" x14ac:dyDescent="0.15">
      <c r="A8" s="79" t="s">
        <v>56</v>
      </c>
      <c r="B8" s="86">
        <v>1</v>
      </c>
      <c r="C8" s="180" t="s">
        <v>211</v>
      </c>
      <c r="D8" s="81" t="s">
        <v>160</v>
      </c>
      <c r="F8" s="179" t="s">
        <v>194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9">
        <v>0</v>
      </c>
      <c r="Q8" s="77">
        <v>0</v>
      </c>
      <c r="R8" s="70">
        <v>1</v>
      </c>
      <c r="S8"/>
      <c r="T8"/>
      <c r="W8"/>
    </row>
    <row r="9" spans="1:23" ht="15" customHeight="1" x14ac:dyDescent="0.15">
      <c r="A9" s="117" t="s">
        <v>168</v>
      </c>
      <c r="B9" s="88"/>
      <c r="C9" s="76"/>
      <c r="D9" s="81" t="s">
        <v>160</v>
      </c>
      <c r="F9" s="179" t="s">
        <v>195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9">
        <v>0</v>
      </c>
      <c r="Q9" s="77">
        <v>0</v>
      </c>
      <c r="R9" s="70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79" t="s">
        <v>196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9">
        <v>0</v>
      </c>
      <c r="Q10" s="77">
        <v>0</v>
      </c>
      <c r="R10" s="70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79" t="s">
        <v>197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9">
        <v>0</v>
      </c>
      <c r="Q11" s="77">
        <v>0</v>
      </c>
      <c r="R11" s="70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79" t="s">
        <v>198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9">
        <v>0</v>
      </c>
      <c r="Q12" s="77">
        <v>0</v>
      </c>
      <c r="R12" s="70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79" t="s">
        <v>199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9">
        <v>0</v>
      </c>
      <c r="Q13" s="77">
        <v>0</v>
      </c>
      <c r="R13" s="70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79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9">
        <v>0</v>
      </c>
      <c r="Q14" s="77">
        <v>0</v>
      </c>
      <c r="R14" s="70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79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9">
        <v>0</v>
      </c>
      <c r="Q15" s="77">
        <v>0</v>
      </c>
      <c r="R15" s="70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79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9">
        <v>0</v>
      </c>
      <c r="Q16" s="77">
        <v>0</v>
      </c>
      <c r="R16" s="70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79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9">
        <v>0</v>
      </c>
      <c r="Q17" s="77">
        <v>0</v>
      </c>
      <c r="R17" s="70">
        <v>1</v>
      </c>
      <c r="S17"/>
      <c r="T17"/>
    </row>
    <row r="18" spans="1:20" ht="15" customHeight="1" thickBot="1" x14ac:dyDescent="0.2">
      <c r="B18" s="89"/>
      <c r="F18" s="179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9">
        <v>0</v>
      </c>
      <c r="Q18" s="77">
        <v>0</v>
      </c>
      <c r="R18" s="70">
        <v>1</v>
      </c>
      <c r="S18"/>
      <c r="T18"/>
    </row>
    <row r="19" spans="1:20" ht="15" customHeight="1" x14ac:dyDescent="0.15">
      <c r="A19" s="79" t="s">
        <v>57</v>
      </c>
      <c r="B19" s="86">
        <v>1</v>
      </c>
      <c r="C19" s="181" t="s">
        <v>211</v>
      </c>
      <c r="D19" s="81" t="s">
        <v>160</v>
      </c>
      <c r="F19" s="179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9">
        <v>0</v>
      </c>
      <c r="Q19" s="77">
        <v>0</v>
      </c>
      <c r="R19" s="70">
        <v>1</v>
      </c>
      <c r="S19"/>
      <c r="T19"/>
    </row>
    <row r="20" spans="1:20" ht="15" customHeight="1" x14ac:dyDescent="0.15">
      <c r="A20" s="117" t="s">
        <v>168</v>
      </c>
      <c r="B20" s="88"/>
      <c r="C20" s="76"/>
      <c r="D20" s="81" t="s">
        <v>160</v>
      </c>
      <c r="F20" s="179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9">
        <v>0</v>
      </c>
      <c r="Q20" s="77">
        <v>0</v>
      </c>
      <c r="R20" s="70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79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9">
        <v>0</v>
      </c>
      <c r="Q21" s="77">
        <v>0</v>
      </c>
      <c r="R21" s="70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79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9">
        <v>0</v>
      </c>
      <c r="Q22" s="77">
        <v>0</v>
      </c>
      <c r="R22" s="70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79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1</v>
      </c>
      <c r="L23" s="77">
        <v>0</v>
      </c>
      <c r="M23" s="77">
        <v>1</v>
      </c>
      <c r="N23" s="77">
        <v>0</v>
      </c>
      <c r="O23" s="77">
        <v>1</v>
      </c>
      <c r="P23" s="69">
        <v>0</v>
      </c>
      <c r="Q23" s="77">
        <v>0</v>
      </c>
      <c r="R23" s="70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79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1</v>
      </c>
      <c r="L24" s="77">
        <v>0</v>
      </c>
      <c r="M24" s="77">
        <v>1</v>
      </c>
      <c r="N24" s="77">
        <v>0</v>
      </c>
      <c r="O24" s="77">
        <v>1</v>
      </c>
      <c r="P24" s="69">
        <v>0</v>
      </c>
      <c r="Q24" s="77">
        <v>0</v>
      </c>
      <c r="R24" s="70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79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0</v>
      </c>
      <c r="L25" s="77">
        <v>0</v>
      </c>
      <c r="M25" s="77">
        <v>1</v>
      </c>
      <c r="N25" s="77">
        <v>0</v>
      </c>
      <c r="O25" s="77">
        <v>0</v>
      </c>
      <c r="P25" s="69">
        <v>0</v>
      </c>
      <c r="Q25" s="77">
        <v>0</v>
      </c>
      <c r="R25" s="70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79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0</v>
      </c>
      <c r="L26" s="77">
        <v>1</v>
      </c>
      <c r="M26" s="77">
        <v>0</v>
      </c>
      <c r="N26" s="77">
        <v>1</v>
      </c>
      <c r="O26" s="77">
        <v>0</v>
      </c>
      <c r="P26" s="69">
        <v>1</v>
      </c>
      <c r="Q26" s="77">
        <v>0</v>
      </c>
      <c r="R26" s="70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79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0</v>
      </c>
      <c r="L27" s="77">
        <v>1</v>
      </c>
      <c r="M27" s="77">
        <v>0</v>
      </c>
      <c r="N27" s="77">
        <v>1</v>
      </c>
      <c r="O27" s="77">
        <v>0</v>
      </c>
      <c r="P27" s="69">
        <v>1</v>
      </c>
      <c r="Q27" s="77">
        <v>0</v>
      </c>
      <c r="R27" s="70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79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0</v>
      </c>
      <c r="L28" s="77">
        <v>1</v>
      </c>
      <c r="M28" s="77">
        <v>0</v>
      </c>
      <c r="N28" s="77">
        <v>0</v>
      </c>
      <c r="O28" s="77">
        <v>0</v>
      </c>
      <c r="P28" s="69">
        <v>0</v>
      </c>
      <c r="Q28" s="77">
        <v>0</v>
      </c>
      <c r="R28" s="70">
        <v>1</v>
      </c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8"/>
      <c r="B31" s="129" t="s">
        <v>17</v>
      </c>
      <c r="C31" s="129" t="s">
        <v>1</v>
      </c>
      <c r="D31" s="129" t="s">
        <v>161</v>
      </c>
      <c r="E31" s="130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2" t="s">
        <v>211</v>
      </c>
      <c r="B32" s="89">
        <v>162.667</v>
      </c>
      <c r="C32" s="89">
        <v>50</v>
      </c>
      <c r="D32" s="89">
        <v>8133.35</v>
      </c>
      <c r="E32" s="120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19"/>
      <c r="B33" s="89"/>
      <c r="C33" s="89"/>
      <c r="D33" s="89"/>
      <c r="E33" s="120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1"/>
      <c r="B34" s="89"/>
      <c r="C34" s="89"/>
      <c r="D34" s="89"/>
      <c r="E34" s="120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2"/>
      <c r="B35" s="89"/>
      <c r="C35" s="89"/>
      <c r="D35" s="89"/>
      <c r="E35" s="12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3"/>
      <c r="B36" s="89"/>
      <c r="C36" s="89"/>
      <c r="D36" s="89"/>
      <c r="E36" s="12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3"/>
      <c r="B37" s="89"/>
      <c r="C37" s="89"/>
      <c r="D37" s="89"/>
      <c r="E37" s="12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4"/>
      <c r="B38" s="89"/>
      <c r="C38" s="89"/>
      <c r="D38" s="89"/>
      <c r="E38" s="12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4"/>
      <c r="B39" s="89"/>
      <c r="C39" s="89"/>
      <c r="D39" s="89"/>
      <c r="E39" s="12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4"/>
      <c r="B40" s="89"/>
      <c r="C40" s="89"/>
      <c r="D40" s="89"/>
      <c r="E40" s="12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4"/>
      <c r="B41" s="89"/>
      <c r="C41" s="89"/>
      <c r="D41" s="90"/>
      <c r="E41" s="12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6"/>
      <c r="B42" s="127"/>
      <c r="C42" s="127" t="s">
        <v>162</v>
      </c>
      <c r="D42" s="127">
        <f>SUM(D32:D41)</f>
        <v>8133.35</v>
      </c>
      <c r="E42" s="128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3" customWidth="1"/>
    <col min="3" max="5" width="7.83203125" style="103" customWidth="1"/>
    <col min="6" max="8" width="8.83203125" style="6"/>
    <col min="9" max="9" width="15.5" style="6" customWidth="1"/>
    <col min="10" max="10" width="8.5" style="6" customWidth="1"/>
    <col min="11" max="11" width="4.5" style="6" customWidth="1"/>
    <col min="12" max="12" width="11.33203125" style="6" customWidth="1"/>
    <col min="13" max="13" width="8.5" style="6" customWidth="1"/>
    <col min="14" max="14" width="6.5" style="6" customWidth="1"/>
    <col min="15" max="15" width="7.5" style="6" customWidth="1"/>
    <col min="16" max="16" width="15.33203125" style="6" customWidth="1"/>
    <col min="17" max="17" width="11.6640625" style="6" customWidth="1"/>
    <col min="18" max="18" width="13.5" style="6" customWidth="1"/>
    <col min="19" max="19" width="7.1640625" style="6" customWidth="1"/>
    <col min="20" max="20" width="7.5" style="6" customWidth="1"/>
    <col min="21" max="21" width="13.33203125" style="6" customWidth="1"/>
    <col min="22" max="22" width="8.1640625" style="6" customWidth="1"/>
    <col min="23" max="23" width="13.83203125" style="6" customWidth="1"/>
    <col min="24" max="24" width="8.6640625" style="6" customWidth="1"/>
    <col min="25" max="25" width="8.1640625" style="6" customWidth="1"/>
    <col min="26" max="26" width="7.1640625" style="6" customWidth="1"/>
    <col min="27" max="27" width="11.33203125" style="6" customWidth="1"/>
    <col min="28" max="28" width="13.1640625" style="6" customWidth="1"/>
    <col min="29" max="29" width="7.6640625" style="6" customWidth="1"/>
    <col min="30" max="30" width="21.6640625" style="6" customWidth="1"/>
    <col min="31" max="31" width="6.5" style="6" customWidth="1"/>
    <col min="32" max="38" width="8.83203125" style="6"/>
    <col min="81" max="81" width="22.1640625" bestFit="1" customWidth="1"/>
  </cols>
  <sheetData>
    <row r="1" spans="1:38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84" t="s">
        <v>192</v>
      </c>
      <c r="J1" s="184" t="s">
        <v>193</v>
      </c>
      <c r="K1" s="184" t="s">
        <v>194</v>
      </c>
      <c r="L1" s="184" t="s">
        <v>195</v>
      </c>
      <c r="M1" s="184" t="s">
        <v>196</v>
      </c>
      <c r="N1" s="184" t="s">
        <v>197</v>
      </c>
      <c r="O1" s="184" t="s">
        <v>198</v>
      </c>
      <c r="P1" s="184" t="s">
        <v>199</v>
      </c>
      <c r="Q1" s="184" t="s">
        <v>200</v>
      </c>
      <c r="R1" s="184" t="s">
        <v>201</v>
      </c>
      <c r="S1" s="184" t="s">
        <v>202</v>
      </c>
      <c r="T1" s="184" t="s">
        <v>203</v>
      </c>
      <c r="U1" s="184" t="s">
        <v>204</v>
      </c>
      <c r="V1" s="184" t="s">
        <v>205</v>
      </c>
      <c r="W1" s="184" t="s">
        <v>206</v>
      </c>
      <c r="X1" s="184" t="s">
        <v>207</v>
      </c>
      <c r="Y1" s="184" t="s">
        <v>208</v>
      </c>
      <c r="Z1" s="184" t="s">
        <v>209</v>
      </c>
      <c r="AA1" s="184" t="s">
        <v>210</v>
      </c>
      <c r="AB1" s="184" t="s">
        <v>211</v>
      </c>
      <c r="AC1" s="184" t="s">
        <v>212</v>
      </c>
      <c r="AD1" s="184" t="s">
        <v>213</v>
      </c>
      <c r="AE1" s="184" t="s">
        <v>214</v>
      </c>
      <c r="AF1"/>
      <c r="AG1"/>
      <c r="AH1"/>
      <c r="AI1"/>
      <c r="AJ1"/>
      <c r="AK1"/>
      <c r="AL1"/>
    </row>
    <row r="2" spans="1:38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3" t="s">
        <v>192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3" t="s">
        <v>193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3" t="s">
        <v>194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3" t="s">
        <v>195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3" t="s">
        <v>196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3" t="s">
        <v>197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3" t="s">
        <v>198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3" t="s">
        <v>199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3" t="s">
        <v>200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3" t="s">
        <v>201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3" t="s">
        <v>202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3" t="s">
        <v>203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3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3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3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3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3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3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3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3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3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3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3" t="s">
        <v>214</v>
      </c>
      <c r="B27" s="10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2022-10-24T04:12:25Z</dcterms:modified>
</cp:coreProperties>
</file>