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C07E182-C325-D346-BBA2-9FEA4961BBD6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Main!$C$2:$N$63</definedName>
    <definedName name="matDetritus">Detritus!$C$2:$E$63</definedName>
    <definedName name="matDiet">Diets!$B$2:$AX$53</definedName>
    <definedName name="matDiscards">Discards!$C$2:$M$52</definedName>
    <definedName name="matFishery">Fishing!$C$2:$M$52</definedName>
    <definedName name="matFishing">Fishing!#REF!</definedName>
    <definedName name="matMort">Mortalities!$A$1:$BM$52</definedName>
    <definedName name="matOut">MainOutputs!$A$2:$I$63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<sst xmlns="http://schemas.openxmlformats.org/spreadsheetml/2006/main" count="1504" uniqueCount="270">
  <si>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</si>
  <si>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</si>
  <si>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</si>
  <si>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</si>
  <si>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</si>
  <si>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</si>
  <si>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</si>
  <si>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</si>
  <si>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</si>
  <si>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</si>
  <si>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</si>
  <si>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</si>
  <si>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</si>
  <si>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</si>
  <si>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</si>
  <si>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</si>
  <si>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</si>
  <si>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</si>
  <si>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</si>
  <si>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</si>
  <si>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</si>
  <si>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</si>
  <si>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</si>
  <si>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</si>
  <si>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</si>
  <si>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</si>
  <si>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</si>
  <si>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</si>
  <si>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</si>
  <si>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</si>
  <si>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</si>
  <si>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</si>
  <si>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</si>
  <si>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</si>
  <si>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</si>
  <si>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</si>
  <si>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</si>
  <si>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</si>
  <si>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</si>
  <si>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</si>
  <si>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</si>
  <si>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</si>
  <si>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</si>
  <si>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</si>
  <si>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</si>
  <si>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</si>
  <si>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</si>
  <si>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</si>
  <si>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</si>
  <si>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</si>
  <si>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</si>
  <si>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</si>
  <si>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</si>
  <si>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</si>
  <si>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</si>
  <si>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</si>
  <si>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</si>
  <si>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</si>
  <si>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</si>
  <si>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</si>
  <si>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</si>
  <si>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</si>
  <si>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</si>
  <si>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</si>
  <si>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</si>
  <si>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</si>
  <si>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</si>
  <si>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</si>
  <si>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</si>
  <si>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</si>
  <si>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</si>
  <si>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</si>
  <si>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</si>
  <si>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</si>
  <si>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</si>
  <si>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</si>
  <si>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</si>
  <si>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</si>
  <si>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</si>
  <si>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</si>
  <si>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</si>
  <si>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</si>
  <si>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</si>
  <si>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</si>
  <si>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</si>
  <si>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</si>
  <si>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</si>
  <si>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</si>
  <si>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</si>
  <si>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</si>
  <si>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</si>
  <si>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</si>
  <si>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</si>
  <si>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</si>
  <si>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</si>
  <si>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</si>
  <si>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</si>
  <si>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</si>
  <si>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</si>
  <si>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</si>
  <si>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</si>
  <si>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</si>
  <si>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</si>
  <si>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</si>
  <si>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</si>
  <si>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</si>
  <si>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</si>
  <si>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</si>
  <si>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</si>
  <si>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</si>
  <si>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</si>
  <si>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</si>
  <si>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</si>
  <si>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</si>
  <si>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</si>
  <si>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</si>
  <si>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</si>
  <si>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</si>
  <si>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</si>
  <si>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</si>
  <si>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</si>
  <si>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</si>
  <si>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</si>
  <si>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</si>
  <si>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</si>
  <si>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</si>
  <si>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</si>
  <si>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</si>
  <si>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</si>
  <si>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</si>
  <si>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</si>
  <si>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</si>
  <si>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</si>
  <si>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</si>
  <si>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</si>
  <si>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</si>
  <si>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</si>
  <si>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</si>
  <si>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</si>
  <si>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</si>
  <si>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</si>
  <si>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</si>
  <si>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</si>
  <si>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</si>
  <si>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</si>
  <si>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</si>
  <si>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</si>
  <si>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</si>
  <si>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</si>
  <si>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</si>
  <si>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</si>
  <si>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</si>
  <si>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</si>
  <si>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</si>
  <si>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</si>
  <si>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</si>
  <si>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</si>
  <si>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</si>
  <si>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</si>
  <si>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</si>
  <si>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</si>
  <si>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</si>
  <si>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</si>
  <si>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</si>
  <si>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</si>
  <si>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</si>
  <si>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</si>
  <si>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</si>
  <si>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</si>
  <si>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</si>
  <si>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</si>
  <si>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</si>
  <si>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</si>
  <si>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</si>
  <si>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</si>
  <si>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</si>
  <si>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</si>
  <si>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</si>
  <si>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</si>
  <si>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</si>
  <si>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</si>
  <si>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</si>
  <si>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</si>
  <si>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</si>
  <si>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</si>
  <si>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New Foundland</t>
  </si>
  <si>
    <t>Canada</t>
  </si>
  <si>
    <t>BOX(-60 39,-42 46.984)</t>
  </si>
  <si>
    <t>open ocean</t>
  </si>
  <si>
    <t>WetWeight</t>
  </si>
  <si>
    <t>use with flat 0.2 vulns for CJFAS; 13/07/2004 12:44:25 PM; 13/07/2004 11:30:52 PM; 15/07/2004 5:58:33 PM; 12/08/2004 1:21:02 PM</t>
  </si>
  <si>
    <t>Ainsworth C.H.,Sumaila R.U.(2005). Intergenerational valuation of fisheries resources can justify long-term conservation: a case study in Atlantic cod (Gadus morhua) Canadian Journal of Fisheries and Aquatic Sciences. pp 1104-1110</t>
  </si>
  <si>
    <t>Walrusses</t>
  </si>
  <si>
    <t>Cetaceans</t>
  </si>
  <si>
    <t>Grey seals</t>
  </si>
  <si>
    <t>Harp Seals</t>
  </si>
  <si>
    <t>Hooded Seals</t>
  </si>
  <si>
    <t>Ducks</t>
  </si>
  <si>
    <t>Piscivorous Birds</t>
  </si>
  <si>
    <t>Planktivorous Birds</t>
  </si>
  <si>
    <t>Cod + 40cm</t>
  </si>
  <si>
    <t>Cod  &amp;lt;40 cm</t>
  </si>
  <si>
    <t>Aplaice +35cm</t>
  </si>
  <si>
    <t>Aplaice&amp;lt;=35cm</t>
  </si>
  <si>
    <t>G. Halibut +65cm</t>
  </si>
  <si>
    <t>G. Halibut Juv.</t>
  </si>
  <si>
    <t>Yellowtail flounder</t>
  </si>
  <si>
    <t>Witch flounder</t>
  </si>
  <si>
    <t>Winter flounder</t>
  </si>
  <si>
    <t>Skates</t>
  </si>
  <si>
    <t>Dogfish</t>
  </si>
  <si>
    <t>Redfish</t>
  </si>
  <si>
    <t>Transient Mackerel ( +29cm)</t>
  </si>
  <si>
    <t>L. Dem. Pisc (+40 cm)</t>
  </si>
  <si>
    <t>Juv. Dem. Pisc (- 40cm)</t>
  </si>
  <si>
    <t>L.Plankt.Dem.Feed. (+ 30cm)</t>
  </si>
  <si>
    <t>S.Plank.Dem.Feed. (&amp;lt;30cm)</t>
  </si>
  <si>
    <t>O.S.Demersals</t>
  </si>
  <si>
    <t>Lumpfish</t>
  </si>
  <si>
    <t>Greenland cod</t>
  </si>
  <si>
    <t>Salmon</t>
  </si>
  <si>
    <t>Capelin</t>
  </si>
  <si>
    <t>Sandlance</t>
  </si>
  <si>
    <t>Arctic cod</t>
  </si>
  <si>
    <t>Herring</t>
  </si>
  <si>
    <t>Transient Pelagics</t>
  </si>
  <si>
    <t>Small Pelagics</t>
  </si>
  <si>
    <t>Small Mesopelagics</t>
  </si>
  <si>
    <t>Short finned squid</t>
  </si>
  <si>
    <t>Arctic squid</t>
  </si>
  <si>
    <t>Large Crabs  +95 cm</t>
  </si>
  <si>
    <t>Small Crabs  - 95 cm</t>
  </si>
  <si>
    <t>Lobster</t>
  </si>
  <si>
    <t>Shrimp</t>
  </si>
  <si>
    <t>Echinoderms</t>
  </si>
  <si>
    <t>Polychaetes</t>
  </si>
  <si>
    <t>Bivalves</t>
  </si>
  <si>
    <t>O.Benthic Inver</t>
  </si>
  <si>
    <t>L.Zooplankton</t>
  </si>
  <si>
    <t>S.Zooplankton</t>
  </si>
  <si>
    <t>Phytoplankton</t>
  </si>
  <si>
    <t>Detritus</t>
  </si>
  <si>
    <t>detritus_TerminalBenthic</t>
  </si>
  <si>
    <t>Seal hunt</t>
  </si>
  <si>
    <t>Bottom trawl</t>
  </si>
  <si>
    <t>Midwater trawl</t>
  </si>
  <si>
    <t>Mobile Seine</t>
  </si>
  <si>
    <t>Surround net</t>
  </si>
  <si>
    <t>Gill and Entangling</t>
  </si>
  <si>
    <t>Hook and Line</t>
  </si>
  <si>
    <t>Traps and Liftnets</t>
  </si>
  <si>
    <t>Dredges</t>
  </si>
  <si>
    <t>Grappling</t>
  </si>
  <si>
    <t>Other gear</t>
  </si>
  <si>
    <t>Import</t>
  </si>
  <si>
    <t>export</t>
  </si>
  <si>
    <t>sum</t>
  </si>
  <si>
    <t>TOTAL</t>
  </si>
  <si>
    <t>F Seal hunt</t>
  </si>
  <si>
    <t>F Bottom trawl</t>
  </si>
  <si>
    <t>F Midwater trawl</t>
  </si>
  <si>
    <t>F Mobile Seine</t>
  </si>
  <si>
    <t>F Surround net</t>
  </si>
  <si>
    <t>F Gill and Entangling</t>
  </si>
  <si>
    <t>F Hook and Line</t>
  </si>
  <si>
    <t>F Traps and Liftnets</t>
  </si>
  <si>
    <t>F Dredges</t>
  </si>
  <si>
    <t>F Grappling</t>
  </si>
  <si>
    <t>F Other gear</t>
  </si>
  <si>
    <t>&lt;&lt;--ba was 0.1719848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</si>
</sst>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0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  <fill>
      <patternFill patternType="solid">
        <fgColor rgb="FFF8CDAC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5801BD"/>
        <bgColor indexed="64"/>
      </patternFill>
    </fill>
    <fill>
      <patternFill patternType="solid">
        <fgColor rgb="FFD647B3"/>
        <bgColor indexed="64"/>
      </patternFill>
    </fill>
    <fill>
      <patternFill patternType="solid">
        <fgColor rgb="FF67CFBD"/>
        <bgColor indexed="64"/>
      </patternFill>
    </fill>
    <fill>
      <patternFill patternType="solid">
        <fgColor rgb="FF701469"/>
        <bgColor indexed="64"/>
      </patternFill>
    </fill>
    <fill>
      <patternFill patternType="solid">
        <fgColor rgb="FF57B550"/>
        <bgColor indexed="64"/>
      </patternFill>
    </fill>
    <fill>
      <patternFill patternType="solid">
        <fgColor rgb="FFCC2797"/>
        <bgColor indexed="64"/>
      </patternFill>
    </fill>
    <fill>
      <patternFill patternType="solid">
        <fgColor rgb="FFF43EF0"/>
        <bgColor indexed="64"/>
      </patternFill>
    </fill>
    <fill>
      <patternFill patternType="solid">
        <fgColor rgb="FF1DFBA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5" borderId="0" xfId="0" applyFill="1"/>
    <xf numFmtId="0" fontId="0" fillId="5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8" fillId="138" borderId="0" xfId="0" applyFont="1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9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53" t="s">
        <v>171</v>
      </c>
      <c r="C53" s="116">
        <v>518</v>
      </c>
      <c r="D53" s="116"/>
    </row>
    <row r="54" spans="2:4" x14ac:dyDescent="0.15">
      <c r="B54" s="153" t="s">
        <v>172</v>
      </c>
      <c r="C54" s="153" t="s">
        <v>185</v>
      </c>
      <c r="D54" s="116"/>
    </row>
    <row r="55" spans="2:4" x14ac:dyDescent="0.15">
      <c r="B55" s="153" t="s">
        <v>173</v>
      </c>
      <c r="C55" s="153" t="s">
        <v>186</v>
      </c>
      <c r="D55" s="116"/>
    </row>
    <row r="56" spans="2:4" x14ac:dyDescent="0.15">
      <c r="B56" s="153" t="s">
        <v>174</v>
      </c>
      <c r="C56" s="116">
        <v>495000</v>
      </c>
      <c r="D56" s="116"/>
    </row>
    <row r="57" spans="2:4" x14ac:dyDescent="0.15">
      <c r="B57" s="153" t="s">
        <v>175</v>
      </c>
      <c r="C57" s="153" t="s">
        <v>187</v>
      </c>
      <c r="D57" s="116"/>
    </row>
    <row r="58" spans="2:4" x14ac:dyDescent="0.15">
      <c r="B58" s="153" t="s">
        <v>176</v>
      </c>
      <c r="C58" s="153" t="s">
        <v>188</v>
      </c>
      <c r="D58" s="116"/>
    </row>
    <row r="59" spans="2:4" x14ac:dyDescent="0.15">
      <c r="B59" s="153" t="s">
        <v>177</v>
      </c>
      <c r="C59" s="153" t="s">
        <v>189</v>
      </c>
      <c r="D59" s="116"/>
    </row>
    <row r="60" spans="2:4" x14ac:dyDescent="0.15">
      <c r="B60" s="153" t="s">
        <v>178</v>
      </c>
      <c r="C60" s="153" t="s">
        <v>190</v>
      </c>
      <c r="D60" s="116"/>
    </row>
    <row r="61" spans="2:4" x14ac:dyDescent="0.15">
      <c r="B61" s="153" t="s">
        <v>179</v>
      </c>
      <c r="C61" s="116">
        <v>50</v>
      </c>
      <c r="D61" s="116"/>
    </row>
    <row r="62" spans="2:4" x14ac:dyDescent="0.15">
      <c r="B62" s="153" t="s">
        <v>180</v>
      </c>
      <c r="C62" s="116">
        <v>11</v>
      </c>
      <c r="D62" s="116"/>
    </row>
    <row r="63" spans="2:4" x14ac:dyDescent="0.15">
      <c r="B63" s="153" t="s">
        <v>181</v>
      </c>
      <c r="C63" s="116">
        <v>1985</v>
      </c>
      <c r="D63" s="116"/>
    </row>
    <row r="64" spans="2:4" x14ac:dyDescent="0.15">
      <c r="B64" s="153" t="s">
        <v>182</v>
      </c>
      <c r="C64" s="116">
        <v>1</v>
      </c>
      <c r="D64" s="116"/>
    </row>
    <row r="65" spans="2:4" x14ac:dyDescent="0.15">
      <c r="B65" s="153" t="s">
        <v>183</v>
      </c>
      <c r="C65" s="153" t="s">
        <v>191</v>
      </c>
      <c r="D65" s="116"/>
    </row>
    <row r="66" spans="2:4" x14ac:dyDescent="0.15">
      <c r="B66" s="153" t="s">
        <v>184</v>
      </c>
      <c r="D66" s="116"/>
    </row>
    <row r="67" spans="2:4" x14ac:dyDescent="0.15">
      <c r="B67" s="116"/>
      <c r="C67" s="116"/>
      <c r="D67" s="116"/>
    </row>
    <row r="68" spans="2:4" x14ac:dyDescent="0.15">
      <c r="B68" s="116"/>
      <c r="C68" s="116"/>
      <c r="D68" s="11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6.6640625" style="85" bestFit="1" customWidth="1"/>
    <col min="6" max="6" width="2.33203125" style="85" bestFit="1" customWidth="1"/>
    <col min="7" max="7" width="12.83203125" style="85" bestFit="1" customWidth="1"/>
    <col min="8" max="8" width="9.83203125" style="85" customWidth="1"/>
    <col min="9" max="9" width="10.83203125" style="85" customWidth="1"/>
    <col min="10" max="10" width="12.83203125" style="85" customWidth="1"/>
    <col min="11" max="11" width="13.83203125" style="85" customWidth="1"/>
    <col min="12" max="12" width="12.83203125" style="85" customWidth="1"/>
    <col min="13" max="13" width="3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54" t="s">
        <v>192</v>
      </c>
      <c r="F2" s="85">
        <v>0</v>
      </c>
      <c r="G2" s="85">
        <v>9.9999999999999995E-7</v>
      </c>
      <c r="H2" s="85">
        <v>0.06</v>
      </c>
      <c r="I2" s="6">
        <v>16.8462</v>
      </c>
      <c r="J2" s="6">
        <v>0</v>
      </c>
      <c r="K2" s="6">
        <v>3.5616338699999998E-3</v>
      </c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49</v>
      </c>
      <c r="C3" s="85">
        <v>2</v>
      </c>
      <c r="D3"/>
      <c r="E3" s="154" t="s">
        <v>193</v>
      </c>
      <c r="F3" s="85">
        <v>0</v>
      </c>
      <c r="G3" s="85">
        <v>0.251</v>
      </c>
      <c r="H3" s="85">
        <v>0.1</v>
      </c>
      <c r="I3" s="85">
        <v>11.794</v>
      </c>
      <c r="J3" s="85">
        <v>0</v>
      </c>
      <c r="K3" s="85">
        <v>8.4788880000000004E-3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54" t="s">
        <v>194</v>
      </c>
      <c r="F4" s="85">
        <v>0</v>
      </c>
      <c r="G4" s="85">
        <v>9.9999999999999995E-7</v>
      </c>
      <c r="H4" s="85">
        <v>0.06</v>
      </c>
      <c r="I4" s="85">
        <v>16</v>
      </c>
      <c r="J4" s="85">
        <v>0.28105106899999999</v>
      </c>
      <c r="K4" s="85">
        <v>3.7499999999999999E-3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11</v>
      </c>
      <c r="C5" s="85">
        <v>4</v>
      </c>
      <c r="D5"/>
      <c r="E5" s="154" t="s">
        <v>195</v>
      </c>
      <c r="F5" s="85">
        <v>0</v>
      </c>
      <c r="G5" s="85">
        <v>0.184</v>
      </c>
      <c r="H5" s="85">
        <v>0.10199999999999999</v>
      </c>
      <c r="I5" s="85">
        <v>17.411999999999999</v>
      </c>
      <c r="J5" s="85">
        <v>0.1614459</v>
      </c>
      <c r="K5" s="85">
        <v>5.8580289999999998E-3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54" t="s">
        <v>196</v>
      </c>
      <c r="F6" s="85">
        <v>0</v>
      </c>
      <c r="G6" s="85">
        <v>3.4000000000000002E-2</v>
      </c>
      <c r="H6" s="85">
        <v>0.109</v>
      </c>
      <c r="I6" s="85">
        <v>13.1</v>
      </c>
      <c r="J6" s="85">
        <v>4.8304602500000002E-2</v>
      </c>
      <c r="K6" s="85">
        <v>8.3206100000000009E-3</v>
      </c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0.99111193418502808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614</v>
      </c>
      <c r="C7" s="85">
        <v>6</v>
      </c>
      <c r="D7"/>
      <c r="E7" s="154" t="s">
        <v>197</v>
      </c>
      <c r="F7" s="85">
        <v>0</v>
      </c>
      <c r="G7" s="85">
        <v>1.6799999999999999E-4</v>
      </c>
      <c r="H7" s="85">
        <v>0.25</v>
      </c>
      <c r="I7" s="85">
        <v>54.75</v>
      </c>
      <c r="J7" s="85">
        <v>0.333333343</v>
      </c>
      <c r="K7" s="85">
        <v>4.5662100000000002E-3</v>
      </c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183</v>
      </c>
      <c r="C8" s="85">
        <v>7</v>
      </c>
      <c r="D8"/>
      <c r="E8" s="154" t="s">
        <v>198</v>
      </c>
      <c r="F8" s="85">
        <v>0</v>
      </c>
      <c r="G8" s="85">
        <v>9.9889999999999996E-3</v>
      </c>
      <c r="H8" s="85">
        <v>0.25</v>
      </c>
      <c r="I8" s="85">
        <v>54.75</v>
      </c>
      <c r="J8" s="85">
        <v>0.40873962600000002</v>
      </c>
      <c r="K8" s="85">
        <v>4.5662100000000002E-3</v>
      </c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54" t="s">
        <v>199</v>
      </c>
      <c r="F9" s="85">
        <v>0</v>
      </c>
      <c r="G9" s="85">
        <v>2.1689999999999999E-3</v>
      </c>
      <c r="H9" s="85">
        <v>0.25</v>
      </c>
      <c r="I9" s="85">
        <v>54.75</v>
      </c>
      <c r="J9" s="85">
        <v>0.32457354700000002</v>
      </c>
      <c r="K9" s="85">
        <v>4.5662100000000002E-3</v>
      </c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54" t="s">
        <v>200</v>
      </c>
      <c r="F10" s="85">
        <v>0</v>
      </c>
      <c r="G10" s="85">
        <v>2.4150700000000001</v>
      </c>
      <c r="H10" s="85">
        <v>0.35</v>
      </c>
      <c r="I10" s="85">
        <v>3.24</v>
      </c>
      <c r="J10" s="85">
        <v>0.44096022800000001</v>
      </c>
      <c r="K10" s="85">
        <v>0.10802468699999999</v>
      </c>
      <c r="L10" s="85">
        <v>-8.2813339999999999E-2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54" t="s">
        <v>201</v>
      </c>
      <c r="F11" s="85">
        <v>0</v>
      </c>
      <c r="G11" s="85">
        <v>0.34</v>
      </c>
      <c r="H11" s="85">
        <v>0.8</v>
      </c>
      <c r="I11" s="85">
        <v>6.09</v>
      </c>
      <c r="J11" s="85">
        <v>7.5380370000000002E-2</v>
      </c>
      <c r="K11" s="85">
        <v>0.13136288500000001</v>
      </c>
      <c r="L11" s="85">
        <v>-0.88235294799999997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54" t="s">
        <v>202</v>
      </c>
      <c r="F12" s="85">
        <v>0</v>
      </c>
      <c r="G12" s="85">
        <v>0.97</v>
      </c>
      <c r="H12" s="85">
        <v>0.54</v>
      </c>
      <c r="I12" s="85">
        <v>2</v>
      </c>
      <c r="J12" s="85">
        <v>3.3077076099999998E-2</v>
      </c>
      <c r="K12" s="85">
        <v>0.27</v>
      </c>
      <c r="L12" s="85">
        <v>-0.12371133300000001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54" t="s">
        <v>203</v>
      </c>
      <c r="F13" s="85">
        <v>0</v>
      </c>
      <c r="G13" s="85">
        <v>0.78</v>
      </c>
      <c r="H13" s="85">
        <v>0.63</v>
      </c>
      <c r="I13" s="85">
        <v>3.74</v>
      </c>
      <c r="J13" s="85">
        <v>0.34019110000000002</v>
      </c>
      <c r="K13" s="85">
        <v>0.16844919999999999</v>
      </c>
      <c r="L13" s="85">
        <v>-0.38461542100000001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54" t="s">
        <v>204</v>
      </c>
      <c r="F14" s="85">
        <v>0</v>
      </c>
      <c r="G14" s="85">
        <v>0.35</v>
      </c>
      <c r="H14" s="85">
        <v>0.3</v>
      </c>
      <c r="I14" s="85">
        <v>1.48</v>
      </c>
      <c r="J14" s="85">
        <v>0.96884340000000002</v>
      </c>
      <c r="K14" s="85">
        <v>0.20270270000000001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54" t="s">
        <v>205</v>
      </c>
      <c r="F15" s="85">
        <v>0</v>
      </c>
      <c r="G15" s="85">
        <v>0.5</v>
      </c>
      <c r="H15" s="85">
        <v>0.87</v>
      </c>
      <c r="I15" s="85">
        <v>4.4800000000000004</v>
      </c>
      <c r="J15" s="85">
        <v>0.77603440000000001</v>
      </c>
      <c r="K15" s="85">
        <v>0.194196433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54" t="s">
        <v>206</v>
      </c>
      <c r="F16" s="85">
        <v>0</v>
      </c>
      <c r="G16" s="85">
        <v>0.17132523699999999</v>
      </c>
      <c r="H16" s="85">
        <v>0.53366899999999995</v>
      </c>
      <c r="I16" s="85">
        <v>3.6</v>
      </c>
      <c r="J16" s="85">
        <v>0.95</v>
      </c>
      <c r="K16" s="85">
        <v>0.148241386</v>
      </c>
      <c r="L16" s="85">
        <v>-0.29184258000000002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54" t="s">
        <v>207</v>
      </c>
      <c r="F17" s="85">
        <v>0</v>
      </c>
      <c r="G17" s="85">
        <v>0.38933232400000001</v>
      </c>
      <c r="H17" s="85">
        <v>0.58786400000000005</v>
      </c>
      <c r="I17" s="85">
        <v>2.3044829999999998</v>
      </c>
      <c r="J17" s="85">
        <v>0.95</v>
      </c>
      <c r="K17" s="85">
        <v>0.25509584000000002</v>
      </c>
      <c r="L17" s="85">
        <v>-0.25684997399999998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54" t="s">
        <v>208</v>
      </c>
      <c r="F18" s="85">
        <v>0</v>
      </c>
      <c r="G18" s="85">
        <v>4.8358712300000002E-2</v>
      </c>
      <c r="H18" s="85">
        <v>0.26736700000000002</v>
      </c>
      <c r="I18" s="85">
        <v>1.6435709999999999</v>
      </c>
      <c r="J18" s="85">
        <v>0.95</v>
      </c>
      <c r="K18" s="85">
        <v>0.162674442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54" t="s">
        <v>209</v>
      </c>
      <c r="F19" s="85">
        <v>0</v>
      </c>
      <c r="G19" s="85">
        <v>0.52</v>
      </c>
      <c r="H19" s="85">
        <v>0.28999999999999998</v>
      </c>
      <c r="I19" s="85">
        <v>2.8780000000000001</v>
      </c>
      <c r="J19" s="85">
        <v>4.1534755399999998E-2</v>
      </c>
      <c r="K19" s="85">
        <v>0.100764416</v>
      </c>
      <c r="L19" s="85">
        <v>-9.6153849999999999E-2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54" t="s">
        <v>210</v>
      </c>
      <c r="F20" s="85">
        <v>0</v>
      </c>
      <c r="G20" s="85">
        <v>1.7510915200000001E-2</v>
      </c>
      <c r="H20" s="85">
        <v>0.19298000000000001</v>
      </c>
      <c r="I20" s="85">
        <v>4.7699999999999996</v>
      </c>
      <c r="J20" s="85">
        <v>0.95</v>
      </c>
      <c r="K20" s="85">
        <v>4.0457025200000003E-2</v>
      </c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54" t="s">
        <v>211</v>
      </c>
      <c r="F21" s="85">
        <v>0</v>
      </c>
      <c r="G21" s="85">
        <v>1.88</v>
      </c>
      <c r="H21" s="85">
        <v>0.33</v>
      </c>
      <c r="I21" s="85">
        <v>2</v>
      </c>
      <c r="J21" s="85">
        <v>0.15227822999999999</v>
      </c>
      <c r="K21" s="85">
        <v>0.16500000000000001</v>
      </c>
      <c r="L21" s="85">
        <v>-0.26595744500000001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54" t="s">
        <v>212</v>
      </c>
      <c r="F22" s="85">
        <v>0</v>
      </c>
      <c r="G22" s="85">
        <v>0.37254700000000002</v>
      </c>
      <c r="H22" s="85">
        <v>0.3</v>
      </c>
      <c r="I22" s="85">
        <v>4.4000000000000004</v>
      </c>
      <c r="J22" s="85">
        <v>0.16546074999999999</v>
      </c>
      <c r="K22" s="85">
        <v>6.8181820000000004E-2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54" t="s">
        <v>213</v>
      </c>
      <c r="F23" s="85">
        <v>0</v>
      </c>
      <c r="G23" s="85">
        <v>0.1107481</v>
      </c>
      <c r="H23" s="85">
        <v>0.61661299999999997</v>
      </c>
      <c r="I23" s="85">
        <v>4.1107529999999999</v>
      </c>
      <c r="J23" s="85">
        <v>0.95</v>
      </c>
      <c r="K23" s="85">
        <v>0.15</v>
      </c>
      <c r="L23" s="85">
        <v>-9.0295E-2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54" t="s">
        <v>214</v>
      </c>
      <c r="F24" s="85">
        <v>0</v>
      </c>
      <c r="G24" s="85">
        <v>4.6433415399999998</v>
      </c>
      <c r="H24" s="85">
        <v>0.146728</v>
      </c>
      <c r="I24" s="85">
        <v>1.4</v>
      </c>
      <c r="J24" s="85">
        <v>0.95</v>
      </c>
      <c r="K24" s="85">
        <v>0.10480571499999999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54" t="s">
        <v>215</v>
      </c>
      <c r="F25" s="85">
        <v>0</v>
      </c>
      <c r="G25" s="85">
        <v>0.26732924600000002</v>
      </c>
      <c r="H25" s="85">
        <v>0.27173799999999998</v>
      </c>
      <c r="I25" s="85">
        <v>1.7470000000000001</v>
      </c>
      <c r="J25" s="85">
        <v>0.95</v>
      </c>
      <c r="K25" s="85">
        <v>0.1555455</v>
      </c>
      <c r="L25" s="85">
        <v>-0.14962822200000001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54" t="s">
        <v>216</v>
      </c>
      <c r="F26" s="85">
        <v>0</v>
      </c>
      <c r="G26" s="85">
        <v>5.3331723200000001</v>
      </c>
      <c r="H26" s="85">
        <v>0.23242499999999999</v>
      </c>
      <c r="I26" s="85">
        <v>2</v>
      </c>
      <c r="J26" s="85">
        <v>0.95</v>
      </c>
      <c r="K26" s="85">
        <v>0.1162125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54" t="s">
        <v>217</v>
      </c>
      <c r="F27" s="85">
        <v>0</v>
      </c>
      <c r="G27" s="85">
        <v>1.57177758</v>
      </c>
      <c r="H27" s="85">
        <v>0.56403199999999998</v>
      </c>
      <c r="I27" s="85">
        <v>4.5</v>
      </c>
      <c r="J27" s="85">
        <v>0.95</v>
      </c>
      <c r="K27" s="85">
        <v>0.12534044699999999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54" t="s">
        <v>218</v>
      </c>
      <c r="F28" s="85">
        <v>0</v>
      </c>
      <c r="G28" s="85">
        <v>0.232459262</v>
      </c>
      <c r="H28" s="85">
        <v>0.114273</v>
      </c>
      <c r="I28" s="85">
        <v>1.4</v>
      </c>
      <c r="J28" s="85">
        <v>0.95</v>
      </c>
      <c r="K28" s="85">
        <v>8.1623570000000006E-2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54" t="s">
        <v>219</v>
      </c>
      <c r="F29" s="85">
        <v>0</v>
      </c>
      <c r="G29" s="85">
        <v>0.105525143</v>
      </c>
      <c r="H29" s="85">
        <v>0.16600899999999999</v>
      </c>
      <c r="I29" s="85">
        <v>1.3</v>
      </c>
      <c r="J29" s="85">
        <v>0.95</v>
      </c>
      <c r="K29" s="85">
        <v>0.127699226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54" t="s">
        <v>220</v>
      </c>
      <c r="F30" s="85">
        <v>0</v>
      </c>
      <c r="G30" s="85">
        <v>1.4126669999999999E-2</v>
      </c>
      <c r="H30" s="85">
        <v>0.61391470000000004</v>
      </c>
      <c r="I30" s="85">
        <v>4.092765</v>
      </c>
      <c r="J30" s="85">
        <v>0.95</v>
      </c>
      <c r="K30" s="85">
        <v>0.15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54" t="s">
        <v>221</v>
      </c>
      <c r="F31" s="85">
        <v>0</v>
      </c>
      <c r="G31" s="85">
        <v>13.61</v>
      </c>
      <c r="H31" s="85">
        <v>1.1499999999999999</v>
      </c>
      <c r="I31" s="85">
        <v>4.3</v>
      </c>
      <c r="J31" s="85">
        <v>0.55589365999999996</v>
      </c>
      <c r="K31" s="85">
        <v>0.26744183900000001</v>
      </c>
      <c r="L31" s="85">
        <v>-0.44085229999999997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54" t="s">
        <v>222</v>
      </c>
      <c r="F32" s="85">
        <v>0</v>
      </c>
      <c r="G32" s="85">
        <v>2.69</v>
      </c>
      <c r="H32" s="85">
        <v>1.1499999999999999</v>
      </c>
      <c r="I32" s="85">
        <v>7.6669999999999998</v>
      </c>
      <c r="J32" s="85">
        <v>0.91031289999999998</v>
      </c>
      <c r="K32" s="85">
        <v>0.14999347900000001</v>
      </c>
      <c r="L32" s="85">
        <v>0</v>
      </c>
      <c r="M32" s="85">
        <v>0.2</v>
      </c>
      <c r="N32" s="85">
        <v>0</v>
      </c>
    </row>
    <row r="33" spans="3:17" customFormat="1" ht="15" customHeight="1" x14ac:dyDescent="0.15">
      <c r="C33" s="85">
        <v>32</v>
      </c>
      <c r="E33" s="154" t="s">
        <v>223</v>
      </c>
      <c r="F33" s="85">
        <v>0</v>
      </c>
      <c r="G33" s="85">
        <v>3</v>
      </c>
      <c r="H33" s="85">
        <v>0.4</v>
      </c>
      <c r="I33" s="85">
        <v>2.633</v>
      </c>
      <c r="J33" s="85">
        <v>0.80706983799999998</v>
      </c>
      <c r="K33" s="85">
        <v>0.15191797900000001</v>
      </c>
      <c r="L33" s="85">
        <v>0</v>
      </c>
      <c r="M33" s="85">
        <v>0.2</v>
      </c>
      <c r="N33" s="85">
        <v>0</v>
      </c>
    </row>
    <row r="34" spans="3:17" customFormat="1" ht="15" customHeight="1" x14ac:dyDescent="0.15">
      <c r="C34" s="85">
        <v>33</v>
      </c>
      <c r="E34" s="154" t="s">
        <v>224</v>
      </c>
      <c r="F34" s="85">
        <v>0</v>
      </c>
      <c r="G34" s="85">
        <v>1.5129838</v>
      </c>
      <c r="H34" s="85">
        <v>0.54396900000000004</v>
      </c>
      <c r="I34" s="85">
        <v>4.0999999999999996</v>
      </c>
      <c r="J34" s="85">
        <v>0.95</v>
      </c>
      <c r="K34" s="85">
        <v>0.13267536499999999</v>
      </c>
      <c r="L34" s="85">
        <v>0</v>
      </c>
      <c r="M34" s="85">
        <v>0.2</v>
      </c>
      <c r="N34" s="85">
        <v>0</v>
      </c>
    </row>
    <row r="35" spans="3:17" customFormat="1" ht="15" customHeight="1" x14ac:dyDescent="0.15">
      <c r="C35" s="85">
        <v>34</v>
      </c>
      <c r="E35" s="154" t="s">
        <v>225</v>
      </c>
      <c r="F35" s="85">
        <v>0</v>
      </c>
      <c r="G35" s="85">
        <v>1.2356140700000001E-2</v>
      </c>
      <c r="H35" s="85">
        <v>0.4</v>
      </c>
      <c r="I35" s="85">
        <v>1.99</v>
      </c>
      <c r="J35" s="85">
        <v>0.95</v>
      </c>
      <c r="K35" s="85">
        <v>0.201005027</v>
      </c>
      <c r="L35" s="85">
        <v>0</v>
      </c>
      <c r="M35" s="85">
        <v>0.2</v>
      </c>
      <c r="N35" s="85">
        <v>0</v>
      </c>
    </row>
    <row r="36" spans="3:17" customFormat="1" ht="15" customHeight="1" x14ac:dyDescent="0.15">
      <c r="C36" s="85">
        <v>35</v>
      </c>
      <c r="E36" s="154" t="s">
        <v>226</v>
      </c>
      <c r="F36" s="85">
        <v>0</v>
      </c>
      <c r="G36" s="85">
        <v>4.7063100000000002</v>
      </c>
      <c r="H36" s="85">
        <v>0.63838200000000001</v>
      </c>
      <c r="I36" s="85">
        <v>1.7669999999999999</v>
      </c>
      <c r="J36" s="85">
        <v>0.95</v>
      </c>
      <c r="K36" s="85">
        <v>0.361280143</v>
      </c>
      <c r="L36" s="85">
        <v>0</v>
      </c>
      <c r="M36" s="85">
        <v>0.2</v>
      </c>
      <c r="N36" s="85">
        <v>0</v>
      </c>
    </row>
    <row r="37" spans="3:17" customFormat="1" ht="15" customHeight="1" x14ac:dyDescent="0.15">
      <c r="C37" s="85">
        <v>36</v>
      </c>
      <c r="E37" s="154" t="s">
        <v>227</v>
      </c>
      <c r="F37" s="85">
        <v>0</v>
      </c>
      <c r="G37" s="85">
        <v>1.5274220000000001</v>
      </c>
      <c r="H37" s="85">
        <v>1.422042</v>
      </c>
      <c r="I37" s="85">
        <v>4.7893819999999998</v>
      </c>
      <c r="J37" s="85">
        <v>0.95</v>
      </c>
      <c r="K37" s="85">
        <v>0.29691556099999999</v>
      </c>
      <c r="L37" s="85">
        <v>0</v>
      </c>
      <c r="M37" s="85">
        <v>0.2</v>
      </c>
      <c r="N37" s="85">
        <v>0</v>
      </c>
    </row>
    <row r="38" spans="3:17" customFormat="1" ht="15" customHeight="1" x14ac:dyDescent="0.15">
      <c r="C38" s="85">
        <v>37</v>
      </c>
      <c r="E38" s="154" t="s">
        <v>228</v>
      </c>
      <c r="F38" s="85">
        <v>0</v>
      </c>
      <c r="G38" s="85">
        <v>0.81109830000000005</v>
      </c>
      <c r="H38" s="85">
        <v>0.6</v>
      </c>
      <c r="I38" s="85">
        <v>4</v>
      </c>
      <c r="J38" s="85">
        <v>0.95</v>
      </c>
      <c r="K38" s="85">
        <v>0.15</v>
      </c>
      <c r="L38" s="85">
        <v>0</v>
      </c>
      <c r="M38" s="85">
        <v>0.2</v>
      </c>
      <c r="N38" s="85">
        <v>0</v>
      </c>
    </row>
    <row r="39" spans="3:17" customFormat="1" ht="15" customHeight="1" x14ac:dyDescent="0.15">
      <c r="C39" s="85">
        <v>38</v>
      </c>
      <c r="E39" s="154" t="s">
        <v>229</v>
      </c>
      <c r="F39" s="85">
        <v>0</v>
      </c>
      <c r="G39" s="85">
        <v>1.8521184900000001</v>
      </c>
      <c r="H39" s="85">
        <v>0.5</v>
      </c>
      <c r="I39" s="85">
        <v>3.3333332499999999</v>
      </c>
      <c r="J39" s="85">
        <v>0.95</v>
      </c>
      <c r="K39" s="85">
        <v>0.15</v>
      </c>
      <c r="L39" s="85">
        <v>0</v>
      </c>
      <c r="M39" s="85">
        <v>0.2</v>
      </c>
      <c r="N39" s="85">
        <v>0</v>
      </c>
    </row>
    <row r="40" spans="3:17" customFormat="1" ht="15" customHeight="1" x14ac:dyDescent="0.15">
      <c r="C40" s="85">
        <v>39</v>
      </c>
      <c r="E40" s="154" t="s">
        <v>230</v>
      </c>
      <c r="F40" s="85">
        <v>0</v>
      </c>
      <c r="G40" s="85">
        <v>0.17443400000000001</v>
      </c>
      <c r="H40" s="85">
        <v>0.38</v>
      </c>
      <c r="I40" s="85">
        <v>4.42</v>
      </c>
      <c r="J40" s="85">
        <v>0.84210719999999994</v>
      </c>
      <c r="K40" s="85">
        <v>8.59728456E-2</v>
      </c>
      <c r="L40" s="261">
        <v>0</v>
      </c>
      <c r="M40" s="85">
        <v>0.2</v>
      </c>
      <c r="N40" s="85">
        <v>0</v>
      </c>
      <c r="Q40" s="61" t="s">
        <v>269</v>
      </c>
    </row>
    <row r="41" spans="3:17" customFormat="1" ht="15" customHeight="1" x14ac:dyDescent="0.15">
      <c r="C41" s="85">
        <v>40</v>
      </c>
      <c r="E41" s="154" t="s">
        <v>231</v>
      </c>
      <c r="F41" s="85">
        <v>0</v>
      </c>
      <c r="G41" s="85">
        <v>7.6042375599999996</v>
      </c>
      <c r="H41" s="85">
        <v>0.38</v>
      </c>
      <c r="I41" s="85">
        <v>4.42</v>
      </c>
      <c r="J41" s="85">
        <v>0.95</v>
      </c>
      <c r="K41" s="85">
        <v>8.59728456E-2</v>
      </c>
      <c r="L41" s="85">
        <v>1.3150562500000001E-2</v>
      </c>
      <c r="M41" s="85">
        <v>0.2</v>
      </c>
      <c r="N41" s="85">
        <v>0</v>
      </c>
    </row>
    <row r="42" spans="3:17" customFormat="1" ht="15" customHeight="1" x14ac:dyDescent="0.15">
      <c r="C42" s="85">
        <v>41</v>
      </c>
      <c r="E42" s="154" t="s">
        <v>232</v>
      </c>
      <c r="F42" s="85">
        <v>0</v>
      </c>
      <c r="G42" s="85">
        <v>4.4790000000000003E-3</v>
      </c>
      <c r="H42" s="85">
        <v>0.38</v>
      </c>
      <c r="I42" s="85">
        <v>4.42</v>
      </c>
      <c r="J42" s="85">
        <v>0.94065743700000004</v>
      </c>
      <c r="K42" s="85">
        <v>8.59728456E-2</v>
      </c>
      <c r="L42" s="85">
        <v>0</v>
      </c>
      <c r="M42" s="85">
        <v>0.2</v>
      </c>
      <c r="N42" s="85">
        <v>0</v>
      </c>
    </row>
    <row r="43" spans="3:17" customFormat="1" ht="15" customHeight="1" x14ac:dyDescent="0.15">
      <c r="C43" s="85">
        <v>42</v>
      </c>
      <c r="E43" s="154" t="s">
        <v>233</v>
      </c>
      <c r="F43" s="85">
        <v>0</v>
      </c>
      <c r="G43" s="85">
        <v>1.46</v>
      </c>
      <c r="H43" s="85">
        <v>1.45</v>
      </c>
      <c r="I43" s="85">
        <v>9.6669999999999998</v>
      </c>
      <c r="J43" s="85">
        <v>0.99121344099999997</v>
      </c>
      <c r="K43" s="85">
        <v>0.14999483499999999</v>
      </c>
      <c r="L43" s="85">
        <v>0</v>
      </c>
      <c r="M43" s="85">
        <v>0.2</v>
      </c>
      <c r="N43" s="85">
        <v>0</v>
      </c>
    </row>
    <row r="44" spans="3:17" customFormat="1" ht="15" customHeight="1" x14ac:dyDescent="0.15">
      <c r="C44" s="85">
        <v>43</v>
      </c>
      <c r="E44" s="154" t="s">
        <v>234</v>
      </c>
      <c r="F44" s="85">
        <v>0</v>
      </c>
      <c r="G44" s="85">
        <v>112.3</v>
      </c>
      <c r="H44" s="85">
        <v>0.6</v>
      </c>
      <c r="I44" s="85">
        <v>6.6669999999999998</v>
      </c>
      <c r="J44" s="85">
        <v>0.117837518</v>
      </c>
      <c r="K44" s="85">
        <v>8.9995500000000006E-2</v>
      </c>
      <c r="L44" s="85">
        <v>0</v>
      </c>
      <c r="M44" s="85">
        <v>0.2</v>
      </c>
      <c r="N44" s="85">
        <v>0</v>
      </c>
    </row>
    <row r="45" spans="3:17" customFormat="1" ht="15" customHeight="1" x14ac:dyDescent="0.15">
      <c r="C45" s="85">
        <v>44</v>
      </c>
      <c r="E45" s="154" t="s">
        <v>235</v>
      </c>
      <c r="F45" s="85">
        <v>0</v>
      </c>
      <c r="G45" s="85">
        <v>10.5</v>
      </c>
      <c r="H45" s="85">
        <v>2</v>
      </c>
      <c r="I45" s="85">
        <v>22.222000000000001</v>
      </c>
      <c r="J45" s="85">
        <v>0.38364029999999999</v>
      </c>
      <c r="K45" s="85">
        <v>9.0000899999999995E-2</v>
      </c>
      <c r="L45" s="85">
        <v>0</v>
      </c>
      <c r="M45" s="85">
        <v>0.2</v>
      </c>
      <c r="N45" s="85">
        <v>0</v>
      </c>
    </row>
    <row r="46" spans="3:17" customFormat="1" ht="15" customHeight="1" x14ac:dyDescent="0.15">
      <c r="C46" s="85">
        <v>45</v>
      </c>
      <c r="E46" s="154" t="s">
        <v>236</v>
      </c>
      <c r="F46" s="85">
        <v>0</v>
      </c>
      <c r="G46" s="85">
        <v>42.1</v>
      </c>
      <c r="H46" s="85">
        <v>0.56999999999999995</v>
      </c>
      <c r="I46" s="85">
        <v>6.3330000000000002</v>
      </c>
      <c r="J46" s="85">
        <v>0.41739693300000003</v>
      </c>
      <c r="K46" s="85">
        <v>9.0004734700000005E-2</v>
      </c>
      <c r="L46" s="85">
        <v>0</v>
      </c>
      <c r="M46" s="85">
        <v>0.2</v>
      </c>
      <c r="N46" s="85">
        <v>0</v>
      </c>
    </row>
    <row r="47" spans="3:17" customFormat="1" ht="15" customHeight="1" x14ac:dyDescent="0.15">
      <c r="C47" s="85">
        <v>46</v>
      </c>
      <c r="E47" s="154" t="s">
        <v>237</v>
      </c>
      <c r="F47" s="85">
        <v>0</v>
      </c>
      <c r="G47" s="85">
        <v>7.8</v>
      </c>
      <c r="H47" s="85">
        <v>2.5</v>
      </c>
      <c r="I47" s="85">
        <v>12.5</v>
      </c>
      <c r="J47" s="85">
        <v>0.73854565599999999</v>
      </c>
      <c r="K47" s="85">
        <v>0.2</v>
      </c>
      <c r="L47" s="85">
        <v>0</v>
      </c>
      <c r="M47" s="85">
        <v>0.2</v>
      </c>
      <c r="N47" s="85">
        <v>0</v>
      </c>
    </row>
    <row r="48" spans="3:17" customFormat="1" ht="15" customHeight="1" x14ac:dyDescent="0.15">
      <c r="C48" s="85">
        <v>47</v>
      </c>
      <c r="E48" s="154" t="s">
        <v>238</v>
      </c>
      <c r="F48" s="85">
        <v>0</v>
      </c>
      <c r="G48" s="85">
        <v>22.46</v>
      </c>
      <c r="H48" s="85">
        <v>3.4329999999999998</v>
      </c>
      <c r="I48" s="85">
        <v>19.5</v>
      </c>
      <c r="J48" s="85">
        <v>0.90546906000000005</v>
      </c>
      <c r="K48" s="85">
        <v>0.176051289</v>
      </c>
      <c r="L48" s="85">
        <v>0</v>
      </c>
      <c r="M48" s="85">
        <v>0.2</v>
      </c>
      <c r="N48" s="85">
        <v>0</v>
      </c>
    </row>
    <row r="49" spans="3:14" customFormat="1" ht="15" customHeight="1" x14ac:dyDescent="0.15">
      <c r="C49" s="85">
        <v>48</v>
      </c>
      <c r="E49" s="154" t="s">
        <v>239</v>
      </c>
      <c r="F49" s="85">
        <v>0</v>
      </c>
      <c r="G49" s="85">
        <v>33.67</v>
      </c>
      <c r="H49" s="85">
        <v>8.4</v>
      </c>
      <c r="I49" s="85">
        <v>20.667000000000002</v>
      </c>
      <c r="J49" s="85">
        <v>0.72827929999999996</v>
      </c>
      <c r="K49" s="85">
        <v>0.40644505600000003</v>
      </c>
      <c r="L49" s="85">
        <v>0</v>
      </c>
      <c r="M49" s="85">
        <v>0.2</v>
      </c>
      <c r="N49" s="85">
        <v>0</v>
      </c>
    </row>
    <row r="50" spans="3:14" customFormat="1" ht="15" customHeight="1" x14ac:dyDescent="0.15">
      <c r="C50" s="85">
        <v>49</v>
      </c>
      <c r="E50" s="154" t="s">
        <v>240</v>
      </c>
      <c r="F50" s="85">
        <v>1</v>
      </c>
      <c r="G50" s="85">
        <v>26.86</v>
      </c>
      <c r="H50" s="85">
        <v>93.1</v>
      </c>
      <c r="I50" s="85">
        <v>0</v>
      </c>
      <c r="J50" s="85">
        <v>0.38208213400000002</v>
      </c>
      <c r="K50" s="85">
        <v>0</v>
      </c>
      <c r="L50" s="85">
        <v>0</v>
      </c>
      <c r="M50" s="85">
        <v>0</v>
      </c>
      <c r="N50" s="85">
        <v>0</v>
      </c>
    </row>
    <row r="51" spans="3:14" customFormat="1" ht="15" customHeight="1" x14ac:dyDescent="0.15">
      <c r="C51" s="85">
        <v>50</v>
      </c>
      <c r="E51" s="154" t="s">
        <v>241</v>
      </c>
      <c r="F51" s="85">
        <v>2</v>
      </c>
      <c r="G51" s="85">
        <v>389</v>
      </c>
      <c r="H51" s="85">
        <v>0</v>
      </c>
      <c r="I51" s="85">
        <v>0</v>
      </c>
      <c r="J51" s="85">
        <v>0.58651286400000002</v>
      </c>
      <c r="K51" s="85">
        <v>0</v>
      </c>
      <c r="L51" s="85">
        <v>0</v>
      </c>
      <c r="M51" s="85">
        <v>0</v>
      </c>
      <c r="N51" s="85">
        <v>0</v>
      </c>
    </row>
    <row r="52" spans="3:14" customFormat="1" ht="15" customHeight="1" x14ac:dyDescent="0.15">
      <c r="C52" s="85">
        <v>51</v>
      </c>
      <c r="E52" s="154" t="s">
        <v>242</v>
      </c>
      <c r="F52" s="85">
        <v>2</v>
      </c>
      <c r="G52" s="85">
        <v>5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</row>
    <row r="53" spans="3:14" customFormat="1" ht="15" customHeight="1" x14ac:dyDescent="0.15">
      <c r="C53" s="85">
        <v>52</v>
      </c>
      <c r="E53" s="154" t="s">
        <v>243</v>
      </c>
      <c r="F53" s="85">
        <v>3</v>
      </c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M53" s="85">
        <v>0</v>
      </c>
      <c r="N53" s="85">
        <v>0</v>
      </c>
    </row>
    <row r="54" spans="3:14" customFormat="1" ht="15" customHeight="1" x14ac:dyDescent="0.15">
      <c r="C54" s="85">
        <v>53</v>
      </c>
      <c r="E54" s="154" t="s">
        <v>244</v>
      </c>
      <c r="F54" s="85">
        <v>3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</row>
    <row r="55" spans="3:14" customFormat="1" ht="15" customHeight="1" x14ac:dyDescent="0.15">
      <c r="C55" s="85">
        <v>54</v>
      </c>
      <c r="E55" s="154" t="s">
        <v>245</v>
      </c>
      <c r="F55" s="85">
        <v>3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0</v>
      </c>
      <c r="N55" s="85">
        <v>0</v>
      </c>
    </row>
    <row r="56" spans="3:14" customFormat="1" ht="15" customHeight="1" x14ac:dyDescent="0.15">
      <c r="C56" s="85">
        <v>55</v>
      </c>
      <c r="E56" s="154" t="s">
        <v>246</v>
      </c>
      <c r="F56" s="85">
        <v>3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</row>
    <row r="57" spans="3:14" customFormat="1" ht="15" customHeight="1" x14ac:dyDescent="0.15">
      <c r="C57" s="85">
        <v>56</v>
      </c>
      <c r="E57" s="154" t="s">
        <v>247</v>
      </c>
      <c r="F57" s="85">
        <v>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</row>
    <row r="58" spans="3:14" customFormat="1" ht="15" customHeight="1" x14ac:dyDescent="0.15">
      <c r="C58" s="85">
        <v>57</v>
      </c>
      <c r="E58" s="154" t="s">
        <v>248</v>
      </c>
      <c r="F58" s="85">
        <v>3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</row>
    <row r="59" spans="3:14" customFormat="1" ht="15" customHeight="1" x14ac:dyDescent="0.15">
      <c r="C59" s="85">
        <v>58</v>
      </c>
      <c r="E59" s="154" t="s">
        <v>249</v>
      </c>
      <c r="F59" s="85">
        <v>3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</row>
    <row r="60" spans="3:14" customFormat="1" ht="15" customHeight="1" x14ac:dyDescent="0.15">
      <c r="C60" s="85">
        <v>59</v>
      </c>
      <c r="E60" s="154" t="s">
        <v>250</v>
      </c>
      <c r="F60" s="85">
        <v>3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</row>
    <row r="61" spans="3:14" customFormat="1" ht="15" customHeight="1" x14ac:dyDescent="0.15">
      <c r="C61" s="85">
        <v>60</v>
      </c>
      <c r="E61" s="154" t="s">
        <v>251</v>
      </c>
      <c r="F61" s="85">
        <v>3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</row>
    <row r="62" spans="3:14" customFormat="1" ht="15" customHeight="1" x14ac:dyDescent="0.15">
      <c r="C62" s="85">
        <v>61</v>
      </c>
      <c r="E62" s="154" t="s">
        <v>252</v>
      </c>
      <c r="F62" s="85">
        <v>3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</row>
    <row r="63" spans="3:14" customFormat="1" ht="15" customHeight="1" x14ac:dyDescent="0.15">
      <c r="C63" s="85">
        <v>62</v>
      </c>
      <c r="E63" s="154" t="s">
        <v>253</v>
      </c>
      <c r="F63" s="85">
        <v>3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5">
        <v>0</v>
      </c>
      <c r="N63" s="85">
        <v>0</v>
      </c>
    </row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Z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6.6640625" style="150" bestFit="1" customWidth="1"/>
    <col min="2" max="2" width="15.5" style="150" bestFit="1" customWidth="1"/>
    <col min="3" max="3" width="14.83203125" style="150" bestFit="1" customWidth="1"/>
    <col min="4" max="5" width="15.83203125" style="150" bestFit="1" customWidth="1"/>
    <col min="6" max="6" width="14.83203125" style="150" bestFit="1" customWidth="1"/>
    <col min="7" max="7" width="3.83203125" style="150" bestFit="1" customWidth="1"/>
    <col min="8" max="8" width="15.83203125" style="150" bestFit="1" customWidth="1"/>
    <col min="9" max="9" width="6.83203125" style="150" bestFit="1" customWidth="1"/>
    <col min="10" max="15" width="15.83203125" style="150" bestFit="1" customWidth="1"/>
    <col min="16" max="16" width="13.83203125" style="150" bestFit="1" customWidth="1"/>
    <col min="17" max="17" width="5.83203125" style="150" bestFit="1" customWidth="1"/>
    <col min="18" max="18" width="8.83203125" style="150" bestFit="1" customWidth="1"/>
    <col min="19" max="19" width="15.5" style="150" bestFit="1" customWidth="1"/>
    <col min="20" max="20" width="13.83203125" style="150" bestFit="1" customWidth="1"/>
    <col min="21" max="21" width="5.83203125" style="150" bestFit="1" customWidth="1"/>
    <col min="22" max="22" width="4.83203125" style="150" bestFit="1" customWidth="1"/>
    <col min="23" max="23" width="15.5" style="150" bestFit="1" customWidth="1"/>
    <col min="24" max="26" width="15.83203125" style="150" bestFit="1" customWidth="1"/>
    <col min="27" max="28" width="5.83203125" style="150" bestFit="1" customWidth="1"/>
    <col min="29" max="29" width="14.83203125" style="150" bestFit="1" customWidth="1"/>
    <col min="30" max="30" width="6.83203125" style="150" customWidth="1"/>
    <col min="31" max="31" width="14.83203125" style="150" customWidth="1"/>
    <col min="32" max="32" width="4.83203125" style="150" customWidth="1"/>
    <col min="33" max="34" width="5.83203125" style="150" customWidth="1"/>
    <col min="35" max="35" width="8.83203125" style="150" customWidth="1"/>
    <col min="36" max="37" width="4.83203125" style="150" customWidth="1"/>
    <col min="38" max="38" width="15.83203125" style="150" customWidth="1"/>
    <col min="39" max="39" width="3.83203125" style="150" customWidth="1"/>
    <col min="40" max="41" width="14.83203125" style="150" customWidth="1"/>
    <col min="42" max="42" width="4.83203125" style="150" customWidth="1"/>
    <col min="43" max="43" width="5.83203125" style="150" customWidth="1"/>
    <col min="44" max="47" width="2.33203125" style="150" customWidth="1"/>
    <col min="48" max="48" width="4.83203125" style="150" customWidth="1"/>
    <col min="49" max="52" width="2.33203125" style="150" customWidth="1"/>
    <col min="53" max="16384" width="8.83203125" style="150"/>
  </cols>
  <sheetData>
    <row r="1" spans="1:52" x14ac:dyDescent="0.15">
      <c r="A1" s="149" t="s">
        <v>19</v>
      </c>
      <c r="B1" s="156" t="s">
        <v>192</v>
      </c>
      <c r="C1" s="156" t="s">
        <v>193</v>
      </c>
      <c r="D1" s="156" t="s">
        <v>194</v>
      </c>
      <c r="E1" s="156" t="s">
        <v>195</v>
      </c>
      <c r="F1" s="156" t="s">
        <v>196</v>
      </c>
      <c r="G1" s="156" t="s">
        <v>197</v>
      </c>
      <c r="H1" s="156" t="s">
        <v>198</v>
      </c>
      <c r="I1" s="156" t="s">
        <v>199</v>
      </c>
      <c r="J1" s="156" t="s">
        <v>200</v>
      </c>
      <c r="K1" s="156" t="s">
        <v>201</v>
      </c>
      <c r="L1" s="156" t="s">
        <v>202</v>
      </c>
      <c r="M1" s="156" t="s">
        <v>203</v>
      </c>
      <c r="N1" s="156" t="s">
        <v>204</v>
      </c>
      <c r="O1" s="156" t="s">
        <v>205</v>
      </c>
      <c r="P1" s="156" t="s">
        <v>206</v>
      </c>
      <c r="Q1" s="156" t="s">
        <v>207</v>
      </c>
      <c r="R1" s="156" t="s">
        <v>208</v>
      </c>
      <c r="S1" s="156" t="s">
        <v>209</v>
      </c>
      <c r="T1" s="156" t="s">
        <v>210</v>
      </c>
      <c r="U1" s="156" t="s">
        <v>211</v>
      </c>
      <c r="V1" s="156" t="s">
        <v>212</v>
      </c>
      <c r="W1" s="156" t="s">
        <v>213</v>
      </c>
      <c r="X1" s="156" t="s">
        <v>214</v>
      </c>
      <c r="Y1" s="156" t="s">
        <v>215</v>
      </c>
      <c r="Z1" s="156" t="s">
        <v>216</v>
      </c>
      <c r="AA1" s="156" t="s">
        <v>217</v>
      </c>
      <c r="AB1" s="156" t="s">
        <v>218</v>
      </c>
      <c r="AC1" s="156" t="s">
        <v>219</v>
      </c>
      <c r="AD1" s="156" t="s">
        <v>220</v>
      </c>
      <c r="AE1" s="156" t="s">
        <v>221</v>
      </c>
      <c r="AF1" s="156" t="s">
        <v>222</v>
      </c>
      <c r="AG1" s="156" t="s">
        <v>223</v>
      </c>
      <c r="AH1" s="156" t="s">
        <v>224</v>
      </c>
      <c r="AI1" s="156" t="s">
        <v>225</v>
      </c>
      <c r="AJ1" s="156" t="s">
        <v>226</v>
      </c>
      <c r="AK1" s="156" t="s">
        <v>227</v>
      </c>
      <c r="AL1" s="156" t="s">
        <v>228</v>
      </c>
      <c r="AM1" s="156" t="s">
        <v>229</v>
      </c>
      <c r="AN1" s="156" t="s">
        <v>230</v>
      </c>
      <c r="AO1" s="156" t="s">
        <v>231</v>
      </c>
      <c r="AP1" s="156" t="s">
        <v>232</v>
      </c>
      <c r="AQ1" s="156" t="s">
        <v>233</v>
      </c>
      <c r="AR1" s="156" t="s">
        <v>234</v>
      </c>
      <c r="AS1" s="156" t="s">
        <v>235</v>
      </c>
      <c r="AT1" s="156" t="s">
        <v>236</v>
      </c>
      <c r="AU1" s="156" t="s">
        <v>237</v>
      </c>
      <c r="AV1" s="156" t="s">
        <v>238</v>
      </c>
      <c r="AW1" s="156" t="s">
        <v>239</v>
      </c>
      <c r="AX1" s="156" t="s">
        <v>240</v>
      </c>
      <c r="AY1" s="156" t="s">
        <v>241</v>
      </c>
      <c r="AZ1" s="156" t="s">
        <v>242</v>
      </c>
    </row>
    <row r="2" spans="1:52" customFormat="1" x14ac:dyDescent="0.15">
      <c r="A2" s="155" t="s">
        <v>192</v>
      </c>
      <c r="B2" s="150">
        <v>0</v>
      </c>
      <c r="C2" s="150">
        <v>0</v>
      </c>
      <c r="D2" s="150">
        <v>0</v>
      </c>
      <c r="E2" s="150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0">
        <v>0</v>
      </c>
      <c r="AA2" s="150">
        <v>0</v>
      </c>
      <c r="AB2" s="150">
        <v>0</v>
      </c>
      <c r="AC2" s="150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0">
        <v>0</v>
      </c>
      <c r="AK2" s="150">
        <v>0</v>
      </c>
      <c r="AL2" s="150">
        <v>0</v>
      </c>
      <c r="AM2" s="150">
        <v>0</v>
      </c>
      <c r="AN2" s="150">
        <v>0</v>
      </c>
      <c r="AO2" s="150">
        <v>0</v>
      </c>
      <c r="AP2" s="150">
        <v>0</v>
      </c>
      <c r="AQ2" s="150">
        <v>0</v>
      </c>
      <c r="AR2" s="150">
        <v>0</v>
      </c>
      <c r="AS2" s="150">
        <v>0</v>
      </c>
      <c r="AT2" s="150">
        <v>0</v>
      </c>
      <c r="AU2" s="150">
        <v>0</v>
      </c>
      <c r="AV2" s="150">
        <v>0</v>
      </c>
      <c r="AW2" s="150">
        <v>0</v>
      </c>
      <c r="AX2" s="150">
        <v>0</v>
      </c>
      <c r="AY2" s="150">
        <v>0</v>
      </c>
      <c r="AZ2" s="150">
        <v>0</v>
      </c>
    </row>
    <row r="3" spans="1:52" customFormat="1" x14ac:dyDescent="0.15">
      <c r="A3" s="155" t="s">
        <v>193</v>
      </c>
      <c r="B3" s="150">
        <v>0</v>
      </c>
      <c r="C3" s="150">
        <v>0</v>
      </c>
      <c r="D3" s="15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0">
        <v>0</v>
      </c>
      <c r="AA3" s="150">
        <v>0</v>
      </c>
      <c r="AB3" s="150">
        <v>0</v>
      </c>
      <c r="AC3" s="150">
        <v>0</v>
      </c>
      <c r="AD3" s="150">
        <v>0</v>
      </c>
      <c r="AE3" s="150">
        <v>0</v>
      </c>
      <c r="AF3" s="150">
        <v>0</v>
      </c>
      <c r="AG3" s="150">
        <v>0</v>
      </c>
      <c r="AH3" s="150">
        <v>0</v>
      </c>
      <c r="AI3" s="150">
        <v>0</v>
      </c>
      <c r="AJ3" s="150">
        <v>0</v>
      </c>
      <c r="AK3" s="150">
        <v>0</v>
      </c>
      <c r="AL3" s="150">
        <v>0</v>
      </c>
      <c r="AM3" s="150">
        <v>0</v>
      </c>
      <c r="AN3" s="150">
        <v>0</v>
      </c>
      <c r="AO3" s="150">
        <v>0</v>
      </c>
      <c r="AP3" s="150">
        <v>0</v>
      </c>
      <c r="AQ3" s="150">
        <v>0</v>
      </c>
      <c r="AR3" s="150">
        <v>0</v>
      </c>
      <c r="AS3" s="150">
        <v>0</v>
      </c>
      <c r="AT3" s="150">
        <v>0</v>
      </c>
      <c r="AU3" s="150">
        <v>0</v>
      </c>
      <c r="AV3" s="150">
        <v>0</v>
      </c>
      <c r="AW3" s="150">
        <v>0</v>
      </c>
      <c r="AX3" s="150">
        <v>0</v>
      </c>
      <c r="AY3" s="150">
        <v>0</v>
      </c>
      <c r="AZ3" s="150">
        <v>0</v>
      </c>
    </row>
    <row r="4" spans="1:52" customFormat="1" x14ac:dyDescent="0.15">
      <c r="A4" s="155" t="s">
        <v>194</v>
      </c>
      <c r="B4" s="150">
        <v>1.0009009391273903E-3</v>
      </c>
      <c r="C4" s="150">
        <v>0</v>
      </c>
      <c r="D4" s="15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0">
        <v>0</v>
      </c>
      <c r="AA4" s="150">
        <v>0</v>
      </c>
      <c r="AB4" s="150">
        <v>0</v>
      </c>
      <c r="AC4" s="150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0">
        <v>0</v>
      </c>
      <c r="AK4" s="150">
        <v>0</v>
      </c>
      <c r="AL4" s="150">
        <v>0</v>
      </c>
      <c r="AM4" s="150">
        <v>0</v>
      </c>
      <c r="AN4" s="150">
        <v>0</v>
      </c>
      <c r="AO4" s="150">
        <v>0</v>
      </c>
      <c r="AP4" s="150">
        <v>0</v>
      </c>
      <c r="AQ4" s="150">
        <v>0</v>
      </c>
      <c r="AR4" s="150">
        <v>0</v>
      </c>
      <c r="AS4" s="150">
        <v>0</v>
      </c>
      <c r="AT4" s="150">
        <v>0</v>
      </c>
      <c r="AU4" s="150">
        <v>0</v>
      </c>
      <c r="AV4" s="150">
        <v>0</v>
      </c>
      <c r="AW4" s="150">
        <v>0</v>
      </c>
      <c r="AX4" s="150">
        <v>0</v>
      </c>
      <c r="AY4" s="150">
        <v>0</v>
      </c>
      <c r="AZ4" s="150">
        <v>0</v>
      </c>
    </row>
    <row r="5" spans="1:52" customFormat="1" x14ac:dyDescent="0.15">
      <c r="A5" s="155" t="s">
        <v>195</v>
      </c>
      <c r="B5" s="150">
        <v>1.0009009391273903E-3</v>
      </c>
      <c r="C5" s="150">
        <v>0</v>
      </c>
      <c r="D5" s="15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0">
        <v>0</v>
      </c>
      <c r="AA5" s="150">
        <v>0</v>
      </c>
      <c r="AB5" s="150">
        <v>0</v>
      </c>
      <c r="AC5" s="150">
        <v>0</v>
      </c>
      <c r="AD5" s="150">
        <v>0</v>
      </c>
      <c r="AE5" s="150">
        <v>0</v>
      </c>
      <c r="AF5" s="150">
        <v>0</v>
      </c>
      <c r="AG5" s="150">
        <v>0</v>
      </c>
      <c r="AH5" s="150">
        <v>0</v>
      </c>
      <c r="AI5" s="150">
        <v>0</v>
      </c>
      <c r="AJ5" s="150">
        <v>0</v>
      </c>
      <c r="AK5" s="150">
        <v>0</v>
      </c>
      <c r="AL5" s="150">
        <v>0</v>
      </c>
      <c r="AM5" s="150">
        <v>0</v>
      </c>
      <c r="AN5" s="150">
        <v>0</v>
      </c>
      <c r="AO5" s="150">
        <v>0</v>
      </c>
      <c r="AP5" s="150">
        <v>0</v>
      </c>
      <c r="AQ5" s="150">
        <v>0</v>
      </c>
      <c r="AR5" s="150">
        <v>0</v>
      </c>
      <c r="AS5" s="150">
        <v>0</v>
      </c>
      <c r="AT5" s="150">
        <v>0</v>
      </c>
      <c r="AU5" s="150">
        <v>0</v>
      </c>
      <c r="AV5" s="150">
        <v>0</v>
      </c>
      <c r="AW5" s="150">
        <v>0</v>
      </c>
      <c r="AX5" s="150">
        <v>0</v>
      </c>
      <c r="AY5" s="150">
        <v>0</v>
      </c>
      <c r="AZ5" s="150">
        <v>0</v>
      </c>
    </row>
    <row r="6" spans="1:52" customFormat="1" x14ac:dyDescent="0.15">
      <c r="A6" s="155" t="s">
        <v>196</v>
      </c>
      <c r="B6" s="150">
        <v>1.0009009391273903E-3</v>
      </c>
      <c r="C6" s="150">
        <v>0</v>
      </c>
      <c r="D6" s="15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0">
        <v>0</v>
      </c>
      <c r="AA6" s="150">
        <v>0</v>
      </c>
      <c r="AB6" s="150">
        <v>0</v>
      </c>
      <c r="AC6" s="150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0">
        <v>0</v>
      </c>
      <c r="AK6" s="150">
        <v>0</v>
      </c>
      <c r="AL6" s="150">
        <v>0</v>
      </c>
      <c r="AM6" s="150">
        <v>0</v>
      </c>
      <c r="AN6" s="150">
        <v>0</v>
      </c>
      <c r="AO6" s="150">
        <v>0</v>
      </c>
      <c r="AP6" s="150">
        <v>0</v>
      </c>
      <c r="AQ6" s="150">
        <v>0</v>
      </c>
      <c r="AR6" s="150">
        <v>0</v>
      </c>
      <c r="AS6" s="150">
        <v>0</v>
      </c>
      <c r="AT6" s="150">
        <v>0</v>
      </c>
      <c r="AU6" s="150">
        <v>0</v>
      </c>
      <c r="AV6" s="150">
        <v>0</v>
      </c>
      <c r="AW6" s="150">
        <v>0</v>
      </c>
      <c r="AX6" s="150">
        <v>0</v>
      </c>
      <c r="AY6" s="150">
        <v>0</v>
      </c>
      <c r="AZ6" s="150">
        <v>0</v>
      </c>
    </row>
    <row r="7" spans="1:52" customFormat="1" x14ac:dyDescent="0.15">
      <c r="A7" s="155" t="s">
        <v>197</v>
      </c>
      <c r="B7" s="150">
        <v>0</v>
      </c>
      <c r="C7" s="150">
        <v>0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50">
        <v>0</v>
      </c>
    </row>
    <row r="8" spans="1:52" customFormat="1" x14ac:dyDescent="0.15">
      <c r="A8" s="155" t="s">
        <v>198</v>
      </c>
      <c r="B8" s="150">
        <v>0</v>
      </c>
      <c r="C8" s="150">
        <v>0</v>
      </c>
      <c r="D8" s="150">
        <v>0</v>
      </c>
      <c r="E8" s="150">
        <v>6.577329419032791E-5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0">
        <v>0</v>
      </c>
      <c r="AA8" s="150">
        <v>0</v>
      </c>
      <c r="AB8" s="150">
        <v>0</v>
      </c>
      <c r="AC8" s="150">
        <v>0</v>
      </c>
      <c r="AD8" s="150">
        <v>0</v>
      </c>
      <c r="AE8" s="150">
        <v>0</v>
      </c>
      <c r="AF8" s="150">
        <v>0</v>
      </c>
      <c r="AG8" s="150">
        <v>0</v>
      </c>
      <c r="AH8" s="150">
        <v>0</v>
      </c>
      <c r="AI8" s="150">
        <v>0</v>
      </c>
      <c r="AJ8" s="150">
        <v>0</v>
      </c>
      <c r="AK8" s="150">
        <v>0</v>
      </c>
      <c r="AL8" s="150">
        <v>0</v>
      </c>
      <c r="AM8" s="150">
        <v>0</v>
      </c>
      <c r="AN8" s="150">
        <v>0</v>
      </c>
      <c r="AO8" s="150">
        <v>0</v>
      </c>
      <c r="AP8" s="150">
        <v>0</v>
      </c>
      <c r="AQ8" s="150">
        <v>0</v>
      </c>
      <c r="AR8" s="150">
        <v>0</v>
      </c>
      <c r="AS8" s="150">
        <v>0</v>
      </c>
      <c r="AT8" s="150">
        <v>0</v>
      </c>
      <c r="AU8" s="150">
        <v>0</v>
      </c>
      <c r="AV8" s="150">
        <v>0</v>
      </c>
      <c r="AW8" s="150">
        <v>0</v>
      </c>
      <c r="AX8" s="150">
        <v>0</v>
      </c>
      <c r="AY8" s="150">
        <v>0</v>
      </c>
      <c r="AZ8" s="150">
        <v>0</v>
      </c>
    </row>
    <row r="9" spans="1:52" customFormat="1" x14ac:dyDescent="0.15">
      <c r="A9" s="155" t="s">
        <v>199</v>
      </c>
      <c r="B9" s="150">
        <v>0</v>
      </c>
      <c r="C9" s="150">
        <v>0</v>
      </c>
      <c r="D9" s="15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0">
        <v>0</v>
      </c>
      <c r="AA9" s="150">
        <v>0</v>
      </c>
      <c r="AB9" s="150">
        <v>0</v>
      </c>
      <c r="AC9" s="150">
        <v>0</v>
      </c>
      <c r="AD9" s="150">
        <v>0</v>
      </c>
      <c r="AE9" s="150">
        <v>0</v>
      </c>
      <c r="AF9" s="150">
        <v>0</v>
      </c>
      <c r="AG9" s="150">
        <v>0</v>
      </c>
      <c r="AH9" s="150">
        <v>0</v>
      </c>
      <c r="AI9" s="150">
        <v>0</v>
      </c>
      <c r="AJ9" s="150">
        <v>0</v>
      </c>
      <c r="AK9" s="150">
        <v>0</v>
      </c>
      <c r="AL9" s="150">
        <v>0</v>
      </c>
      <c r="AM9" s="150">
        <v>0</v>
      </c>
      <c r="AN9" s="150">
        <v>0</v>
      </c>
      <c r="AO9" s="150">
        <v>0</v>
      </c>
      <c r="AP9" s="150">
        <v>0</v>
      </c>
      <c r="AQ9" s="150">
        <v>0</v>
      </c>
      <c r="AR9" s="150">
        <v>0</v>
      </c>
      <c r="AS9" s="150">
        <v>0</v>
      </c>
      <c r="AT9" s="150">
        <v>0</v>
      </c>
      <c r="AU9" s="150">
        <v>0</v>
      </c>
      <c r="AV9" s="150">
        <v>0</v>
      </c>
      <c r="AW9" s="150">
        <v>0</v>
      </c>
      <c r="AX9" s="150">
        <v>0</v>
      </c>
      <c r="AY9" s="150">
        <v>0</v>
      </c>
      <c r="AZ9" s="150">
        <v>0</v>
      </c>
    </row>
    <row r="10" spans="1:52" customFormat="1" x14ac:dyDescent="0.15">
      <c r="A10" s="155" t="s">
        <v>200</v>
      </c>
      <c r="B10" s="150">
        <v>0</v>
      </c>
      <c r="C10" s="150">
        <v>0</v>
      </c>
      <c r="D10" s="150">
        <v>9.9900103061937848E-2</v>
      </c>
      <c r="E10" s="150">
        <v>2.9995645383497152E-3</v>
      </c>
      <c r="F10" s="150">
        <v>1.4014013875275275E-2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0">
        <v>0</v>
      </c>
      <c r="AA10" s="150">
        <v>0</v>
      </c>
      <c r="AB10" s="150">
        <v>0</v>
      </c>
      <c r="AC10" s="150">
        <v>0</v>
      </c>
      <c r="AD10" s="150">
        <v>0</v>
      </c>
      <c r="AE10" s="150">
        <v>0</v>
      </c>
      <c r="AF10" s="150">
        <v>0</v>
      </c>
      <c r="AG10" s="150">
        <v>0</v>
      </c>
      <c r="AH10" s="150">
        <v>0</v>
      </c>
      <c r="AI10" s="150">
        <v>0</v>
      </c>
      <c r="AJ10" s="150">
        <v>0</v>
      </c>
      <c r="AK10" s="150">
        <v>0</v>
      </c>
      <c r="AL10" s="150">
        <v>0</v>
      </c>
      <c r="AM10" s="150">
        <v>0</v>
      </c>
      <c r="AN10" s="150">
        <v>0</v>
      </c>
      <c r="AO10" s="150">
        <v>0</v>
      </c>
      <c r="AP10" s="150">
        <v>0</v>
      </c>
      <c r="AQ10" s="150">
        <v>0</v>
      </c>
      <c r="AR10" s="150">
        <v>0</v>
      </c>
      <c r="AS10" s="150">
        <v>0</v>
      </c>
      <c r="AT10" s="150">
        <v>0</v>
      </c>
      <c r="AU10" s="150">
        <v>0</v>
      </c>
      <c r="AV10" s="150">
        <v>0</v>
      </c>
      <c r="AW10" s="150">
        <v>0</v>
      </c>
      <c r="AX10" s="150">
        <v>0</v>
      </c>
      <c r="AY10" s="150">
        <v>0</v>
      </c>
      <c r="AZ10" s="150">
        <v>0</v>
      </c>
    </row>
    <row r="11" spans="1:52" customFormat="1" x14ac:dyDescent="0.15">
      <c r="A11" s="155" t="s">
        <v>201</v>
      </c>
      <c r="B11" s="150">
        <v>0</v>
      </c>
      <c r="C11" s="150">
        <v>1.1999999581919952E-2</v>
      </c>
      <c r="D11" s="150">
        <v>9.0909083686364134E-2</v>
      </c>
      <c r="E11" s="150">
        <v>5.9991290866994304E-3</v>
      </c>
      <c r="F11" s="150">
        <v>4.2042039625825846E-2</v>
      </c>
      <c r="G11" s="150">
        <v>0</v>
      </c>
      <c r="H11" s="150">
        <v>5.9812232540723213E-3</v>
      </c>
      <c r="I11" s="150">
        <v>0</v>
      </c>
      <c r="J11" s="150">
        <v>1.0999967586839099E-2</v>
      </c>
      <c r="K11" s="150">
        <v>6.9944135306776985E-3</v>
      </c>
      <c r="L11" s="150">
        <v>9.994013044073598E-5</v>
      </c>
      <c r="M11" s="150">
        <v>4.0031876818894018E-3</v>
      </c>
      <c r="N11" s="150">
        <v>9.0045113775669275E-2</v>
      </c>
      <c r="O11" s="150">
        <v>9.0027157630211494E-3</v>
      </c>
      <c r="P11" s="150">
        <v>0</v>
      </c>
      <c r="Q11" s="150">
        <v>0</v>
      </c>
      <c r="R11" s="150">
        <v>0</v>
      </c>
      <c r="S11" s="150">
        <v>1.0019939850611014E-2</v>
      </c>
      <c r="T11" s="150">
        <v>1.9980018400399729E-2</v>
      </c>
      <c r="U11" s="150">
        <v>2E-3</v>
      </c>
      <c r="V11" s="150">
        <v>0</v>
      </c>
      <c r="W11" s="150">
        <v>5.4102809074008398E-2</v>
      </c>
      <c r="X11" s="150">
        <v>1.0000004117001694E-4</v>
      </c>
      <c r="Y11" s="150">
        <v>1.999409424910642E-3</v>
      </c>
      <c r="Z11" s="150">
        <v>1.000301839028111E-3</v>
      </c>
      <c r="AA11" s="150">
        <v>0</v>
      </c>
      <c r="AB11" s="150">
        <v>0</v>
      </c>
      <c r="AC11" s="150">
        <v>0</v>
      </c>
      <c r="AD11" s="150">
        <v>2.2000000000000001E-3</v>
      </c>
      <c r="AE11" s="150">
        <v>0</v>
      </c>
      <c r="AF11" s="150">
        <v>0</v>
      </c>
      <c r="AG11" s="150">
        <v>0</v>
      </c>
      <c r="AH11" s="150">
        <v>0</v>
      </c>
      <c r="AI11" s="150">
        <v>9.9899999999999989E-4</v>
      </c>
      <c r="AJ11" s="150">
        <v>0</v>
      </c>
      <c r="AK11" s="150">
        <v>0</v>
      </c>
      <c r="AL11" s="150">
        <v>9.9964924216629268E-4</v>
      </c>
      <c r="AM11" s="150">
        <v>0</v>
      </c>
      <c r="AN11" s="150">
        <v>0</v>
      </c>
      <c r="AO11" s="150">
        <v>0</v>
      </c>
      <c r="AP11" s="150">
        <v>0</v>
      </c>
      <c r="AQ11" s="150">
        <v>0</v>
      </c>
      <c r="AR11" s="150">
        <v>0</v>
      </c>
      <c r="AS11" s="150">
        <v>0</v>
      </c>
      <c r="AT11" s="150">
        <v>0</v>
      </c>
      <c r="AU11" s="150">
        <v>0</v>
      </c>
      <c r="AV11" s="150">
        <v>0</v>
      </c>
      <c r="AW11" s="150">
        <v>0</v>
      </c>
      <c r="AX11" s="150">
        <v>0</v>
      </c>
      <c r="AY11" s="150">
        <v>0</v>
      </c>
      <c r="AZ11" s="150">
        <v>0</v>
      </c>
    </row>
    <row r="12" spans="1:52" customFormat="1" x14ac:dyDescent="0.15">
      <c r="A12" s="155" t="s">
        <v>202</v>
      </c>
      <c r="B12" s="150">
        <v>0</v>
      </c>
      <c r="C12" s="150">
        <v>0</v>
      </c>
      <c r="D12" s="150">
        <v>0</v>
      </c>
      <c r="E12" s="150">
        <v>1.0998403363948953E-2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0">
        <v>0</v>
      </c>
      <c r="AA12" s="150">
        <v>0</v>
      </c>
      <c r="AB12" s="150">
        <v>0</v>
      </c>
      <c r="AC12" s="150">
        <v>0</v>
      </c>
      <c r="AD12" s="150">
        <v>0</v>
      </c>
      <c r="AE12" s="150">
        <v>0</v>
      </c>
      <c r="AF12" s="150">
        <v>0</v>
      </c>
      <c r="AG12" s="150">
        <v>0</v>
      </c>
      <c r="AH12" s="150">
        <v>0</v>
      </c>
      <c r="AI12" s="150">
        <v>0</v>
      </c>
      <c r="AJ12" s="150">
        <v>0</v>
      </c>
      <c r="AK12" s="150">
        <v>0</v>
      </c>
      <c r="AL12" s="150">
        <v>0</v>
      </c>
      <c r="AM12" s="150">
        <v>0</v>
      </c>
      <c r="AN12" s="150">
        <v>0</v>
      </c>
      <c r="AO12" s="150">
        <v>0</v>
      </c>
      <c r="AP12" s="150">
        <v>0</v>
      </c>
      <c r="AQ12" s="150">
        <v>0</v>
      </c>
      <c r="AR12" s="150">
        <v>0</v>
      </c>
      <c r="AS12" s="150">
        <v>0</v>
      </c>
      <c r="AT12" s="150">
        <v>0</v>
      </c>
      <c r="AU12" s="150">
        <v>0</v>
      </c>
      <c r="AV12" s="150">
        <v>0</v>
      </c>
      <c r="AW12" s="150">
        <v>0</v>
      </c>
      <c r="AX12" s="150">
        <v>0</v>
      </c>
      <c r="AY12" s="150">
        <v>0</v>
      </c>
      <c r="AZ12" s="150">
        <v>0</v>
      </c>
    </row>
    <row r="13" spans="1:52" customFormat="1" x14ac:dyDescent="0.15">
      <c r="A13" s="155" t="s">
        <v>203</v>
      </c>
      <c r="B13" s="150">
        <v>1.0009009391273901E-2</v>
      </c>
      <c r="C13" s="150">
        <v>0</v>
      </c>
      <c r="D13" s="150">
        <v>6.9930075143356286E-3</v>
      </c>
      <c r="E13" s="150">
        <v>3.6994628869646502E-2</v>
      </c>
      <c r="F13" s="150">
        <v>0</v>
      </c>
      <c r="G13" s="150">
        <v>0</v>
      </c>
      <c r="H13" s="150">
        <v>0</v>
      </c>
      <c r="I13" s="150">
        <v>0</v>
      </c>
      <c r="J13" s="150">
        <v>2.6999920749514135E-2</v>
      </c>
      <c r="K13" s="150">
        <v>1.9952109208695886E-4</v>
      </c>
      <c r="L13" s="150">
        <v>2.9982040132220795E-4</v>
      </c>
      <c r="M13" s="150">
        <v>1.0007969204723504E-3</v>
      </c>
      <c r="N13" s="150">
        <v>9.9850209619596814E-5</v>
      </c>
      <c r="O13" s="150">
        <v>0</v>
      </c>
      <c r="P13" s="150">
        <v>0</v>
      </c>
      <c r="Q13" s="150">
        <v>0</v>
      </c>
      <c r="R13" s="150">
        <v>0</v>
      </c>
      <c r="S13" s="150">
        <v>1.0019939850611015E-3</v>
      </c>
      <c r="T13" s="150">
        <v>0</v>
      </c>
      <c r="U13" s="150">
        <v>0</v>
      </c>
      <c r="V13" s="150">
        <v>0</v>
      </c>
      <c r="W13" s="150">
        <v>6.7127554384919463E-2</v>
      </c>
      <c r="X13" s="150">
        <v>1.0030094129389752E-2</v>
      </c>
      <c r="Y13" s="150">
        <v>9.99704712455321E-4</v>
      </c>
      <c r="Z13" s="150">
        <v>1.000301839028111E-3</v>
      </c>
      <c r="AA13" s="150">
        <v>0</v>
      </c>
      <c r="AB13" s="150">
        <v>0</v>
      </c>
      <c r="AC13" s="150">
        <v>0</v>
      </c>
      <c r="AD13" s="150">
        <v>0</v>
      </c>
      <c r="AE13" s="150">
        <v>0</v>
      </c>
      <c r="AF13" s="150">
        <v>0</v>
      </c>
      <c r="AG13" s="150">
        <v>0</v>
      </c>
      <c r="AH13" s="150">
        <v>0</v>
      </c>
      <c r="AI13" s="150">
        <v>0</v>
      </c>
      <c r="AJ13" s="150">
        <v>0</v>
      </c>
      <c r="AK13" s="150">
        <v>0</v>
      </c>
      <c r="AL13" s="150">
        <v>0</v>
      </c>
      <c r="AM13" s="150">
        <v>0</v>
      </c>
      <c r="AN13" s="150">
        <v>0</v>
      </c>
      <c r="AO13" s="150">
        <v>0</v>
      </c>
      <c r="AP13" s="150">
        <v>0</v>
      </c>
      <c r="AQ13" s="150">
        <v>0</v>
      </c>
      <c r="AR13" s="150">
        <v>0</v>
      </c>
      <c r="AS13" s="150">
        <v>0</v>
      </c>
      <c r="AT13" s="150">
        <v>0</v>
      </c>
      <c r="AU13" s="150">
        <v>0</v>
      </c>
      <c r="AV13" s="150">
        <v>0</v>
      </c>
      <c r="AW13" s="150">
        <v>0</v>
      </c>
      <c r="AX13" s="150">
        <v>0</v>
      </c>
      <c r="AY13" s="150">
        <v>0</v>
      </c>
      <c r="AZ13" s="150">
        <v>0</v>
      </c>
    </row>
    <row r="14" spans="1:52" customFormat="1" x14ac:dyDescent="0.15">
      <c r="A14" s="155" t="s">
        <v>204</v>
      </c>
      <c r="B14" s="150">
        <v>0</v>
      </c>
      <c r="C14" s="150">
        <v>0</v>
      </c>
      <c r="D14" s="150">
        <v>0</v>
      </c>
      <c r="E14" s="150">
        <v>7.9988387555992423E-3</v>
      </c>
      <c r="F14" s="150">
        <v>9.2092089180380407E-2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0">
        <v>0</v>
      </c>
      <c r="AA14" s="150">
        <v>0</v>
      </c>
      <c r="AB14" s="150">
        <v>0</v>
      </c>
      <c r="AC14" s="150">
        <v>0</v>
      </c>
      <c r="AD14" s="150">
        <v>0</v>
      </c>
      <c r="AE14" s="150">
        <v>0</v>
      </c>
      <c r="AF14" s="150">
        <v>0</v>
      </c>
      <c r="AG14" s="150">
        <v>0</v>
      </c>
      <c r="AH14" s="150">
        <v>0</v>
      </c>
      <c r="AI14" s="150">
        <v>0</v>
      </c>
      <c r="AJ14" s="150">
        <v>0</v>
      </c>
      <c r="AK14" s="150">
        <v>0</v>
      </c>
      <c r="AL14" s="150">
        <v>0</v>
      </c>
      <c r="AM14" s="150">
        <v>0</v>
      </c>
      <c r="AN14" s="150">
        <v>0</v>
      </c>
      <c r="AO14" s="150">
        <v>0</v>
      </c>
      <c r="AP14" s="150">
        <v>0</v>
      </c>
      <c r="AQ14" s="150">
        <v>0</v>
      </c>
      <c r="AR14" s="150">
        <v>0</v>
      </c>
      <c r="AS14" s="150">
        <v>0</v>
      </c>
      <c r="AT14" s="150">
        <v>0</v>
      </c>
      <c r="AU14" s="150">
        <v>0</v>
      </c>
      <c r="AV14" s="150">
        <v>0</v>
      </c>
      <c r="AW14" s="150">
        <v>0</v>
      </c>
      <c r="AX14" s="150">
        <v>0</v>
      </c>
      <c r="AY14" s="150">
        <v>0</v>
      </c>
      <c r="AZ14" s="150">
        <v>0</v>
      </c>
    </row>
    <row r="15" spans="1:52" customFormat="1" x14ac:dyDescent="0.15">
      <c r="A15" s="155" t="s">
        <v>205</v>
      </c>
      <c r="B15" s="150">
        <v>0</v>
      </c>
      <c r="C15" s="150">
        <v>0</v>
      </c>
      <c r="D15" s="150">
        <v>9.9900103061937857E-4</v>
      </c>
      <c r="E15" s="150">
        <v>1.6997532380648387E-2</v>
      </c>
      <c r="F15" s="150">
        <v>0.27727729753223201</v>
      </c>
      <c r="G15" s="150">
        <v>0</v>
      </c>
      <c r="H15" s="150">
        <v>0</v>
      </c>
      <c r="I15" s="150">
        <v>0</v>
      </c>
      <c r="J15" s="150">
        <v>5.9999819710031691E-3</v>
      </c>
      <c r="K15" s="150">
        <v>1.9984039101582788E-3</v>
      </c>
      <c r="L15" s="150">
        <v>9.9740260439854563E-4</v>
      </c>
      <c r="M15" s="150">
        <v>2.0015938409447009E-3</v>
      </c>
      <c r="N15" s="150">
        <v>0.15107567982914855</v>
      </c>
      <c r="O15" s="150">
        <v>5.001508662855491E-3</v>
      </c>
      <c r="P15" s="150">
        <v>0</v>
      </c>
      <c r="Q15" s="150">
        <v>0</v>
      </c>
      <c r="R15" s="150">
        <v>0</v>
      </c>
      <c r="S15" s="150">
        <v>1.0019939850611015E-3</v>
      </c>
      <c r="T15" s="150">
        <v>2.9970030200599383E-3</v>
      </c>
      <c r="U15" s="150">
        <v>0</v>
      </c>
      <c r="V15" s="150">
        <v>0</v>
      </c>
      <c r="W15" s="150">
        <v>2.0038078323618026E-3</v>
      </c>
      <c r="X15" s="150">
        <v>1.0030094129389751E-3</v>
      </c>
      <c r="Y15" s="150">
        <v>0</v>
      </c>
      <c r="Z15" s="150">
        <v>0</v>
      </c>
      <c r="AA15" s="150">
        <v>0</v>
      </c>
      <c r="AB15" s="150">
        <v>0</v>
      </c>
      <c r="AC15" s="150">
        <v>0</v>
      </c>
      <c r="AD15" s="150">
        <v>1.1000000000000001E-3</v>
      </c>
      <c r="AE15" s="150">
        <v>0</v>
      </c>
      <c r="AF15" s="150">
        <v>0</v>
      </c>
      <c r="AG15" s="150">
        <v>0</v>
      </c>
      <c r="AH15" s="150">
        <v>0</v>
      </c>
      <c r="AI15" s="150">
        <v>0</v>
      </c>
      <c r="AJ15" s="150">
        <v>0</v>
      </c>
      <c r="AK15" s="150">
        <v>0</v>
      </c>
      <c r="AL15" s="150">
        <v>0</v>
      </c>
      <c r="AM15" s="150">
        <v>0</v>
      </c>
      <c r="AN15" s="150">
        <v>0</v>
      </c>
      <c r="AO15" s="150">
        <v>0</v>
      </c>
      <c r="AP15" s="150">
        <v>0</v>
      </c>
      <c r="AQ15" s="150">
        <v>0</v>
      </c>
      <c r="AR15" s="150">
        <v>0</v>
      </c>
      <c r="AS15" s="150">
        <v>0</v>
      </c>
      <c r="AT15" s="150">
        <v>0</v>
      </c>
      <c r="AU15" s="150">
        <v>0</v>
      </c>
      <c r="AV15" s="150">
        <v>0</v>
      </c>
      <c r="AW15" s="150">
        <v>0</v>
      </c>
      <c r="AX15" s="150">
        <v>0</v>
      </c>
      <c r="AY15" s="150">
        <v>0</v>
      </c>
      <c r="AZ15" s="150">
        <v>0</v>
      </c>
    </row>
    <row r="16" spans="1:52" customFormat="1" x14ac:dyDescent="0.15">
      <c r="A16" s="155" t="s">
        <v>206</v>
      </c>
      <c r="B16" s="150">
        <v>4.0036037565095613E-3</v>
      </c>
      <c r="C16" s="150">
        <v>0</v>
      </c>
      <c r="D16" s="150">
        <v>6.9930075143356286E-3</v>
      </c>
      <c r="E16" s="150">
        <v>3.8866028812466753E-5</v>
      </c>
      <c r="F16" s="150">
        <v>2.1021019812912923E-2</v>
      </c>
      <c r="G16" s="150">
        <v>0</v>
      </c>
      <c r="H16" s="150">
        <v>0</v>
      </c>
      <c r="I16" s="150">
        <v>0</v>
      </c>
      <c r="J16" s="150">
        <v>9.9999703516719194E-4</v>
      </c>
      <c r="K16" s="150">
        <v>0</v>
      </c>
      <c r="L16" s="150">
        <v>9.994013044073598E-5</v>
      </c>
      <c r="M16" s="150">
        <v>8.0063753637788036E-3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1.1020942478049847E-2</v>
      </c>
      <c r="X16" s="150">
        <v>6.0180564776338508E-3</v>
      </c>
      <c r="Y16" s="150">
        <v>0</v>
      </c>
      <c r="Z16" s="150">
        <v>0</v>
      </c>
      <c r="AA16" s="150">
        <v>0</v>
      </c>
      <c r="AB16" s="150">
        <v>0</v>
      </c>
      <c r="AC16" s="150">
        <v>0</v>
      </c>
      <c r="AD16" s="150">
        <v>0</v>
      </c>
      <c r="AE16" s="150">
        <v>0</v>
      </c>
      <c r="AF16" s="150">
        <v>0</v>
      </c>
      <c r="AG16" s="150">
        <v>0</v>
      </c>
      <c r="AH16" s="150">
        <v>0</v>
      </c>
      <c r="AI16" s="150">
        <v>0</v>
      </c>
      <c r="AJ16" s="150">
        <v>0</v>
      </c>
      <c r="AK16" s="150">
        <v>0</v>
      </c>
      <c r="AL16" s="150">
        <v>0</v>
      </c>
      <c r="AM16" s="150">
        <v>0</v>
      </c>
      <c r="AN16" s="150">
        <v>0</v>
      </c>
      <c r="AO16" s="150">
        <v>0</v>
      </c>
      <c r="AP16" s="150">
        <v>0</v>
      </c>
      <c r="AQ16" s="150">
        <v>0</v>
      </c>
      <c r="AR16" s="150">
        <v>0</v>
      </c>
      <c r="AS16" s="150">
        <v>0</v>
      </c>
      <c r="AT16" s="150">
        <v>0</v>
      </c>
      <c r="AU16" s="150">
        <v>0</v>
      </c>
      <c r="AV16" s="150">
        <v>0</v>
      </c>
      <c r="AW16" s="150">
        <v>0</v>
      </c>
      <c r="AX16" s="150">
        <v>0</v>
      </c>
      <c r="AY16" s="150">
        <v>0</v>
      </c>
      <c r="AZ16" s="150">
        <v>0</v>
      </c>
    </row>
    <row r="17" spans="1:52" customFormat="1" x14ac:dyDescent="0.15">
      <c r="A17" s="155" t="s">
        <v>207</v>
      </c>
      <c r="B17" s="150">
        <v>4.0036037565095613E-3</v>
      </c>
      <c r="C17" s="150">
        <v>0</v>
      </c>
      <c r="D17" s="150">
        <v>2.997002911858148E-2</v>
      </c>
      <c r="E17" s="150">
        <v>7.2989401969843118E-2</v>
      </c>
      <c r="F17" s="150">
        <v>7.7077075114014029E-2</v>
      </c>
      <c r="G17" s="150">
        <v>0</v>
      </c>
      <c r="H17" s="150">
        <v>0</v>
      </c>
      <c r="I17" s="150">
        <v>0</v>
      </c>
      <c r="J17" s="150">
        <v>9.9699193536202169E-5</v>
      </c>
      <c r="K17" s="150">
        <v>0</v>
      </c>
      <c r="L17" s="150">
        <v>9.994013044073598E-5</v>
      </c>
      <c r="M17" s="150">
        <v>0</v>
      </c>
      <c r="N17" s="150">
        <v>2.0010026049765931E-3</v>
      </c>
      <c r="O17" s="150">
        <v>0</v>
      </c>
      <c r="P17" s="150">
        <v>0</v>
      </c>
      <c r="Q17" s="150">
        <v>0</v>
      </c>
      <c r="R17" s="150">
        <v>0</v>
      </c>
      <c r="S17" s="150">
        <v>5.0099699253055071E-3</v>
      </c>
      <c r="T17" s="150">
        <v>0</v>
      </c>
      <c r="U17" s="150">
        <v>0</v>
      </c>
      <c r="V17" s="150">
        <v>0</v>
      </c>
      <c r="W17" s="150">
        <v>4.0076156647236051E-3</v>
      </c>
      <c r="X17" s="150">
        <v>2.0060188258779503E-3</v>
      </c>
      <c r="Y17" s="150">
        <v>0</v>
      </c>
      <c r="Z17" s="150">
        <v>0</v>
      </c>
      <c r="AA17" s="150">
        <v>0</v>
      </c>
      <c r="AB17" s="150">
        <v>0</v>
      </c>
      <c r="AC17" s="150">
        <v>0</v>
      </c>
      <c r="AD17" s="150">
        <v>0</v>
      </c>
      <c r="AE17" s="150">
        <v>0</v>
      </c>
      <c r="AF17" s="150">
        <v>0</v>
      </c>
      <c r="AG17" s="150">
        <v>0</v>
      </c>
      <c r="AH17" s="150">
        <v>0</v>
      </c>
      <c r="AI17" s="150">
        <v>0</v>
      </c>
      <c r="AJ17" s="150">
        <v>0</v>
      </c>
      <c r="AK17" s="150">
        <v>0</v>
      </c>
      <c r="AL17" s="150">
        <v>0</v>
      </c>
      <c r="AM17" s="150">
        <v>0</v>
      </c>
      <c r="AN17" s="150">
        <v>0</v>
      </c>
      <c r="AO17" s="150">
        <v>0</v>
      </c>
      <c r="AP17" s="150">
        <v>0</v>
      </c>
      <c r="AQ17" s="150">
        <v>0</v>
      </c>
      <c r="AR17" s="150">
        <v>0</v>
      </c>
      <c r="AS17" s="150">
        <v>0</v>
      </c>
      <c r="AT17" s="150">
        <v>0</v>
      </c>
      <c r="AU17" s="150">
        <v>0</v>
      </c>
      <c r="AV17" s="150">
        <v>0</v>
      </c>
      <c r="AW17" s="150">
        <v>0</v>
      </c>
      <c r="AX17" s="150">
        <v>0</v>
      </c>
      <c r="AY17" s="150">
        <v>0</v>
      </c>
      <c r="AZ17" s="150">
        <v>0</v>
      </c>
    </row>
    <row r="18" spans="1:52" customFormat="1" x14ac:dyDescent="0.15">
      <c r="A18" s="155" t="s">
        <v>208</v>
      </c>
      <c r="B18" s="150">
        <v>4.0036037565095613E-3</v>
      </c>
      <c r="C18" s="150">
        <v>0</v>
      </c>
      <c r="D18" s="150">
        <v>2.997002911858148E-2</v>
      </c>
      <c r="E18" s="150">
        <v>9.1683977198639169E-5</v>
      </c>
      <c r="F18" s="150">
        <v>2.1021019812912923E-2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  <c r="W18" s="150">
        <v>0</v>
      </c>
      <c r="X18" s="150">
        <v>0</v>
      </c>
      <c r="Y18" s="150">
        <v>0</v>
      </c>
      <c r="Z18" s="150">
        <v>0</v>
      </c>
      <c r="AA18" s="150">
        <v>0</v>
      </c>
      <c r="AB18" s="150">
        <v>0</v>
      </c>
      <c r="AC18" s="150">
        <v>0</v>
      </c>
      <c r="AD18" s="150">
        <v>0</v>
      </c>
      <c r="AE18" s="150">
        <v>0</v>
      </c>
      <c r="AF18" s="150">
        <v>0</v>
      </c>
      <c r="AG18" s="150">
        <v>0</v>
      </c>
      <c r="AH18" s="150">
        <v>0</v>
      </c>
      <c r="AI18" s="150">
        <v>0</v>
      </c>
      <c r="AJ18" s="150">
        <v>0</v>
      </c>
      <c r="AK18" s="150">
        <v>0</v>
      </c>
      <c r="AL18" s="150">
        <v>0</v>
      </c>
      <c r="AM18" s="150">
        <v>0</v>
      </c>
      <c r="AN18" s="150">
        <v>0</v>
      </c>
      <c r="AO18" s="150">
        <v>0</v>
      </c>
      <c r="AP18" s="150">
        <v>0</v>
      </c>
      <c r="AQ18" s="150">
        <v>0</v>
      </c>
      <c r="AR18" s="150">
        <v>0</v>
      </c>
      <c r="AS18" s="150">
        <v>0</v>
      </c>
      <c r="AT18" s="150">
        <v>0</v>
      </c>
      <c r="AU18" s="150">
        <v>0</v>
      </c>
      <c r="AV18" s="150">
        <v>0</v>
      </c>
      <c r="AW18" s="150">
        <v>0</v>
      </c>
      <c r="AX18" s="150">
        <v>0</v>
      </c>
      <c r="AY18" s="150">
        <v>0</v>
      </c>
      <c r="AZ18" s="150">
        <v>0</v>
      </c>
    </row>
    <row r="19" spans="1:52" customFormat="1" x14ac:dyDescent="0.15">
      <c r="A19" s="155" t="s">
        <v>209</v>
      </c>
      <c r="B19" s="150">
        <v>0</v>
      </c>
      <c r="C19" s="150">
        <v>0</v>
      </c>
      <c r="D19" s="150">
        <v>3.996004072477518E-3</v>
      </c>
      <c r="E19" s="150">
        <v>9.965650695504227E-7</v>
      </c>
      <c r="F19" s="150">
        <v>0</v>
      </c>
      <c r="G19" s="150">
        <v>0</v>
      </c>
      <c r="H19" s="150">
        <v>0</v>
      </c>
      <c r="I19" s="150">
        <v>0</v>
      </c>
      <c r="J19" s="150">
        <v>1.9740440020168051E-4</v>
      </c>
      <c r="K19" s="150">
        <v>0</v>
      </c>
      <c r="L19" s="150">
        <v>0</v>
      </c>
      <c r="M19" s="150">
        <v>0</v>
      </c>
      <c r="N19" s="150">
        <v>1.0005012974907933E-3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  <c r="W19" s="150">
        <v>4.0076156647236051E-3</v>
      </c>
      <c r="X19" s="150">
        <v>2.0060188258779503E-3</v>
      </c>
      <c r="Y19" s="150">
        <v>2.9883484572318337E-4</v>
      </c>
      <c r="Z19" s="150">
        <v>1.9958107180955933E-4</v>
      </c>
      <c r="AA19" s="150">
        <v>0</v>
      </c>
      <c r="AB19" s="150">
        <v>0</v>
      </c>
      <c r="AC19" s="150">
        <v>0</v>
      </c>
      <c r="AD19" s="150">
        <v>0</v>
      </c>
      <c r="AE19" s="150">
        <v>0</v>
      </c>
      <c r="AF19" s="150">
        <v>0</v>
      </c>
      <c r="AG19" s="150">
        <v>0</v>
      </c>
      <c r="AH19" s="150">
        <v>0</v>
      </c>
      <c r="AI19" s="150">
        <v>0</v>
      </c>
      <c r="AJ19" s="150">
        <v>0</v>
      </c>
      <c r="AK19" s="150">
        <v>0</v>
      </c>
      <c r="AL19" s="150">
        <v>0</v>
      </c>
      <c r="AM19" s="150">
        <v>0</v>
      </c>
      <c r="AN19" s="150">
        <v>0</v>
      </c>
      <c r="AO19" s="150">
        <v>0</v>
      </c>
      <c r="AP19" s="150">
        <v>0</v>
      </c>
      <c r="AQ19" s="150">
        <v>0</v>
      </c>
      <c r="AR19" s="150">
        <v>0</v>
      </c>
      <c r="AS19" s="150">
        <v>0</v>
      </c>
      <c r="AT19" s="150">
        <v>0</v>
      </c>
      <c r="AU19" s="150">
        <v>0</v>
      </c>
      <c r="AV19" s="150">
        <v>0</v>
      </c>
      <c r="AW19" s="150">
        <v>0</v>
      </c>
      <c r="AX19" s="150">
        <v>0</v>
      </c>
      <c r="AY19" s="150">
        <v>0</v>
      </c>
      <c r="AZ19" s="150">
        <v>0</v>
      </c>
    </row>
    <row r="20" spans="1:52" customFormat="1" x14ac:dyDescent="0.15">
      <c r="A20" s="155" t="s">
        <v>210</v>
      </c>
      <c r="B20" s="150">
        <v>0</v>
      </c>
      <c r="C20" s="150">
        <v>1.0000000151600017E-3</v>
      </c>
      <c r="D20" s="150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  <c r="W20" s="150">
        <v>0</v>
      </c>
      <c r="X20" s="150">
        <v>0</v>
      </c>
      <c r="Y20" s="150">
        <v>0</v>
      </c>
      <c r="Z20" s="150">
        <v>0</v>
      </c>
      <c r="AA20" s="150">
        <v>0</v>
      </c>
      <c r="AB20" s="150">
        <v>0</v>
      </c>
      <c r="AC20" s="150">
        <v>0</v>
      </c>
      <c r="AD20" s="150">
        <v>0</v>
      </c>
      <c r="AE20" s="150">
        <v>0</v>
      </c>
      <c r="AF20" s="150">
        <v>0</v>
      </c>
      <c r="AG20" s="150">
        <v>0</v>
      </c>
      <c r="AH20" s="150">
        <v>0</v>
      </c>
      <c r="AI20" s="150">
        <v>0</v>
      </c>
      <c r="AJ20" s="150">
        <v>0</v>
      </c>
      <c r="AK20" s="150">
        <v>0</v>
      </c>
      <c r="AL20" s="150">
        <v>0</v>
      </c>
      <c r="AM20" s="150">
        <v>0</v>
      </c>
      <c r="AN20" s="150">
        <v>0</v>
      </c>
      <c r="AO20" s="150">
        <v>0</v>
      </c>
      <c r="AP20" s="150">
        <v>0</v>
      </c>
      <c r="AQ20" s="150">
        <v>0</v>
      </c>
      <c r="AR20" s="150">
        <v>0</v>
      </c>
      <c r="AS20" s="150">
        <v>0</v>
      </c>
      <c r="AT20" s="150">
        <v>0</v>
      </c>
      <c r="AU20" s="150">
        <v>0</v>
      </c>
      <c r="AV20" s="150">
        <v>0</v>
      </c>
      <c r="AW20" s="150">
        <v>0</v>
      </c>
      <c r="AX20" s="150">
        <v>0</v>
      </c>
      <c r="AY20" s="150">
        <v>0</v>
      </c>
      <c r="AZ20" s="150">
        <v>0</v>
      </c>
    </row>
    <row r="21" spans="1:52" customFormat="1" x14ac:dyDescent="0.15">
      <c r="A21" s="155" t="s">
        <v>211</v>
      </c>
      <c r="B21" s="150">
        <v>0</v>
      </c>
      <c r="C21" s="150">
        <v>0</v>
      </c>
      <c r="D21" s="150">
        <v>5.9940061137162756E-3</v>
      </c>
      <c r="E21" s="150">
        <v>2.9995645383497152E-3</v>
      </c>
      <c r="F21" s="150">
        <v>0.1191191219398398</v>
      </c>
      <c r="G21" s="150">
        <v>0</v>
      </c>
      <c r="H21" s="150">
        <v>0</v>
      </c>
      <c r="I21" s="150">
        <v>0</v>
      </c>
      <c r="J21" s="150">
        <v>4.9999851258359642E-3</v>
      </c>
      <c r="K21" s="150">
        <v>9.9760546543080318E-5</v>
      </c>
      <c r="L21" s="150">
        <v>0</v>
      </c>
      <c r="M21" s="150">
        <v>1.0007969204723504E-3</v>
      </c>
      <c r="N21" s="150">
        <v>0.11905965350185375</v>
      </c>
      <c r="O21" s="150">
        <v>0</v>
      </c>
      <c r="P21" s="150">
        <v>0</v>
      </c>
      <c r="Q21" s="150">
        <v>0</v>
      </c>
      <c r="R21" s="150">
        <v>0</v>
      </c>
      <c r="S21" s="150">
        <v>1.0019939850611014E-2</v>
      </c>
      <c r="T21" s="150">
        <v>5.2947051261059079E-2</v>
      </c>
      <c r="U21" s="150">
        <v>7.0000000000000001E-3</v>
      </c>
      <c r="V21" s="150">
        <v>0</v>
      </c>
      <c r="W21" s="150">
        <v>2.3043788072360502E-2</v>
      </c>
      <c r="X21" s="150">
        <v>1.2036113355267867E-2</v>
      </c>
      <c r="Y21" s="150">
        <v>1.8994390236651108E-2</v>
      </c>
      <c r="Z21" s="150">
        <v>1.0003017091189108E-2</v>
      </c>
      <c r="AA21" s="150">
        <v>0</v>
      </c>
      <c r="AB21" s="150">
        <v>0</v>
      </c>
      <c r="AC21" s="150">
        <v>0</v>
      </c>
      <c r="AD21" s="150">
        <v>0</v>
      </c>
      <c r="AE21" s="150">
        <v>0</v>
      </c>
      <c r="AF21" s="150">
        <v>0</v>
      </c>
      <c r="AG21" s="150">
        <v>0</v>
      </c>
      <c r="AH21" s="150">
        <v>0</v>
      </c>
      <c r="AI21" s="150">
        <v>1.9979999999999998E-3</v>
      </c>
      <c r="AJ21" s="150">
        <v>0</v>
      </c>
      <c r="AK21" s="150">
        <v>0</v>
      </c>
      <c r="AL21" s="150">
        <v>0</v>
      </c>
      <c r="AM21" s="150">
        <v>0</v>
      </c>
      <c r="AN21" s="150">
        <v>0</v>
      </c>
      <c r="AO21" s="150">
        <v>0</v>
      </c>
      <c r="AP21" s="150">
        <v>0</v>
      </c>
      <c r="AQ21" s="150">
        <v>0</v>
      </c>
      <c r="AR21" s="150">
        <v>0</v>
      </c>
      <c r="AS21" s="150">
        <v>0</v>
      </c>
      <c r="AT21" s="150">
        <v>0</v>
      </c>
      <c r="AU21" s="150">
        <v>0</v>
      </c>
      <c r="AV21" s="150">
        <v>0</v>
      </c>
      <c r="AW21" s="150">
        <v>0</v>
      </c>
      <c r="AX21" s="150">
        <v>0</v>
      </c>
      <c r="AY21" s="150">
        <v>0</v>
      </c>
      <c r="AZ21" s="150">
        <v>0</v>
      </c>
    </row>
    <row r="22" spans="1:52" customFormat="1" x14ac:dyDescent="0.15">
      <c r="A22" s="155" t="s">
        <v>212</v>
      </c>
      <c r="B22" s="150">
        <v>0</v>
      </c>
      <c r="C22" s="150">
        <v>0</v>
      </c>
      <c r="D22" s="150">
        <v>4.9950046530969272E-3</v>
      </c>
      <c r="E22" s="150">
        <v>0</v>
      </c>
      <c r="F22" s="150">
        <v>0</v>
      </c>
      <c r="G22" s="150">
        <v>0</v>
      </c>
      <c r="H22" s="150">
        <v>3.7757220337530727E-4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  <c r="W22" s="150">
        <v>0</v>
      </c>
      <c r="X22" s="150">
        <v>0</v>
      </c>
      <c r="Y22" s="150">
        <v>0</v>
      </c>
      <c r="Z22" s="150">
        <v>0</v>
      </c>
      <c r="AA22" s="150">
        <v>0</v>
      </c>
      <c r="AB22" s="150">
        <v>0</v>
      </c>
      <c r="AC22" s="150">
        <v>0</v>
      </c>
      <c r="AD22" s="150">
        <v>0</v>
      </c>
      <c r="AE22" s="150">
        <v>0</v>
      </c>
      <c r="AF22" s="150">
        <v>0</v>
      </c>
      <c r="AG22" s="150">
        <v>0</v>
      </c>
      <c r="AH22" s="150">
        <v>0</v>
      </c>
      <c r="AI22" s="150">
        <v>0</v>
      </c>
      <c r="AJ22" s="150">
        <v>0</v>
      </c>
      <c r="AK22" s="150">
        <v>0</v>
      </c>
      <c r="AL22" s="150">
        <v>0</v>
      </c>
      <c r="AM22" s="150">
        <v>0</v>
      </c>
      <c r="AN22" s="150">
        <v>0</v>
      </c>
      <c r="AO22" s="150">
        <v>0</v>
      </c>
      <c r="AP22" s="150">
        <v>0</v>
      </c>
      <c r="AQ22" s="150">
        <v>0</v>
      </c>
      <c r="AR22" s="150">
        <v>0</v>
      </c>
      <c r="AS22" s="150">
        <v>0</v>
      </c>
      <c r="AT22" s="150">
        <v>0</v>
      </c>
      <c r="AU22" s="150">
        <v>0</v>
      </c>
      <c r="AV22" s="150">
        <v>0</v>
      </c>
      <c r="AW22" s="150">
        <v>0</v>
      </c>
      <c r="AX22" s="150">
        <v>0</v>
      </c>
      <c r="AY22" s="150">
        <v>0</v>
      </c>
      <c r="AZ22" s="150">
        <v>0</v>
      </c>
    </row>
    <row r="23" spans="1:52" customFormat="1" x14ac:dyDescent="0.15">
      <c r="A23" s="155" t="s">
        <v>213</v>
      </c>
      <c r="B23" s="150">
        <v>0</v>
      </c>
      <c r="C23" s="150">
        <v>1.7999999472879939E-2</v>
      </c>
      <c r="D23" s="150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  <c r="W23" s="150">
        <v>0</v>
      </c>
      <c r="X23" s="150">
        <v>0</v>
      </c>
      <c r="Y23" s="150">
        <v>0</v>
      </c>
      <c r="Z23" s="150">
        <v>0</v>
      </c>
      <c r="AA23" s="150">
        <v>0</v>
      </c>
      <c r="AB23" s="150">
        <v>0</v>
      </c>
      <c r="AC23" s="150">
        <v>0</v>
      </c>
      <c r="AD23" s="150">
        <v>0</v>
      </c>
      <c r="AE23" s="150">
        <v>0</v>
      </c>
      <c r="AF23" s="150">
        <v>0</v>
      </c>
      <c r="AG23" s="150">
        <v>0</v>
      </c>
      <c r="AH23" s="150">
        <v>0</v>
      </c>
      <c r="AI23" s="150">
        <v>0</v>
      </c>
      <c r="AJ23" s="150">
        <v>0</v>
      </c>
      <c r="AK23" s="150">
        <v>0</v>
      </c>
      <c r="AL23" s="150">
        <v>0</v>
      </c>
      <c r="AM23" s="150">
        <v>0</v>
      </c>
      <c r="AN23" s="150">
        <v>0</v>
      </c>
      <c r="AO23" s="150">
        <v>0</v>
      </c>
      <c r="AP23" s="150">
        <v>0</v>
      </c>
      <c r="AQ23" s="150">
        <v>0</v>
      </c>
      <c r="AR23" s="150">
        <v>0</v>
      </c>
      <c r="AS23" s="150">
        <v>0</v>
      </c>
      <c r="AT23" s="150">
        <v>0</v>
      </c>
      <c r="AU23" s="150">
        <v>0</v>
      </c>
      <c r="AV23" s="150">
        <v>0</v>
      </c>
      <c r="AW23" s="150">
        <v>0</v>
      </c>
      <c r="AX23" s="150">
        <v>0</v>
      </c>
      <c r="AY23" s="150">
        <v>0</v>
      </c>
      <c r="AZ23" s="150">
        <v>0</v>
      </c>
    </row>
    <row r="24" spans="1:52" customFormat="1" x14ac:dyDescent="0.15">
      <c r="A24" s="155" t="s">
        <v>214</v>
      </c>
      <c r="B24" s="150">
        <v>2.0018018782547806E-3</v>
      </c>
      <c r="C24" s="150">
        <v>1.7999999472879939E-2</v>
      </c>
      <c r="D24" s="150">
        <v>4.0959042455394501E-2</v>
      </c>
      <c r="E24" s="150">
        <v>9.965650695504227E-7</v>
      </c>
      <c r="F24" s="150">
        <v>0</v>
      </c>
      <c r="G24" s="150">
        <v>0</v>
      </c>
      <c r="H24" s="150">
        <v>3.9874820093815586E-3</v>
      </c>
      <c r="I24" s="150">
        <v>0</v>
      </c>
      <c r="J24" s="150">
        <v>9.9699193536202169E-5</v>
      </c>
      <c r="K24" s="150">
        <v>9.9760546543080318E-5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5.110169163813217E-2</v>
      </c>
      <c r="T24" s="150">
        <v>1.2987012860259751E-2</v>
      </c>
      <c r="U24" s="150">
        <v>0</v>
      </c>
      <c r="V24" s="150">
        <v>0</v>
      </c>
      <c r="W24" s="150">
        <v>0.13024750110431624</v>
      </c>
      <c r="X24" s="150">
        <v>6.9207644692787312E-2</v>
      </c>
      <c r="Y24" s="150">
        <v>2.9883484572318337E-4</v>
      </c>
      <c r="Z24" s="150">
        <v>1.9958107180955933E-4</v>
      </c>
      <c r="AA24" s="150">
        <v>0</v>
      </c>
      <c r="AB24" s="150">
        <v>0</v>
      </c>
      <c r="AC24" s="150">
        <v>0</v>
      </c>
      <c r="AD24" s="150">
        <v>0</v>
      </c>
      <c r="AE24" s="150">
        <v>0</v>
      </c>
      <c r="AF24" s="150">
        <v>0</v>
      </c>
      <c r="AG24" s="150">
        <v>0</v>
      </c>
      <c r="AH24" s="150">
        <v>0</v>
      </c>
      <c r="AI24" s="150">
        <v>1.1987999999999997E-2</v>
      </c>
      <c r="AJ24" s="150">
        <v>0</v>
      </c>
      <c r="AK24" s="150">
        <v>0</v>
      </c>
      <c r="AL24" s="150">
        <v>4.5016929195590579E-4</v>
      </c>
      <c r="AM24" s="150">
        <v>0</v>
      </c>
      <c r="AN24" s="150">
        <v>0</v>
      </c>
      <c r="AO24" s="150">
        <v>0</v>
      </c>
      <c r="AP24" s="150">
        <v>0</v>
      </c>
      <c r="AQ24" s="150">
        <v>0</v>
      </c>
      <c r="AR24" s="150">
        <v>0</v>
      </c>
      <c r="AS24" s="150">
        <v>0</v>
      </c>
      <c r="AT24" s="150">
        <v>0</v>
      </c>
      <c r="AU24" s="150">
        <v>0</v>
      </c>
      <c r="AV24" s="150">
        <v>0</v>
      </c>
      <c r="AW24" s="150">
        <v>0</v>
      </c>
      <c r="AX24" s="150">
        <v>0</v>
      </c>
      <c r="AY24" s="150">
        <v>0</v>
      </c>
      <c r="AZ24" s="150">
        <v>0</v>
      </c>
    </row>
    <row r="25" spans="1:52" customFormat="1" x14ac:dyDescent="0.15">
      <c r="A25" s="155" t="s">
        <v>215</v>
      </c>
      <c r="B25" s="150">
        <v>0</v>
      </c>
      <c r="C25" s="150">
        <v>1.7999999472879939E-2</v>
      </c>
      <c r="D25" s="150">
        <v>0</v>
      </c>
      <c r="E25" s="150">
        <v>5.9991290866994304E-3</v>
      </c>
      <c r="F25" s="150">
        <v>1.3013012584184186E-2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  <c r="W25" s="150">
        <v>0</v>
      </c>
      <c r="X25" s="150">
        <v>0</v>
      </c>
      <c r="Y25" s="150">
        <v>0</v>
      </c>
      <c r="Z25" s="150">
        <v>0</v>
      </c>
      <c r="AA25" s="150">
        <v>0</v>
      </c>
      <c r="AB25" s="150">
        <v>0</v>
      </c>
      <c r="AC25" s="150">
        <v>0</v>
      </c>
      <c r="AD25" s="150">
        <v>0</v>
      </c>
      <c r="AE25" s="150">
        <v>0</v>
      </c>
      <c r="AF25" s="150">
        <v>0</v>
      </c>
      <c r="AG25" s="150">
        <v>0</v>
      </c>
      <c r="AH25" s="150">
        <v>0</v>
      </c>
      <c r="AI25" s="150">
        <v>0</v>
      </c>
      <c r="AJ25" s="150">
        <v>0</v>
      </c>
      <c r="AK25" s="150">
        <v>0</v>
      </c>
      <c r="AL25" s="150">
        <v>0</v>
      </c>
      <c r="AM25" s="150">
        <v>0</v>
      </c>
      <c r="AN25" s="150">
        <v>0</v>
      </c>
      <c r="AO25" s="150">
        <v>0</v>
      </c>
      <c r="AP25" s="150">
        <v>0</v>
      </c>
      <c r="AQ25" s="150">
        <v>0</v>
      </c>
      <c r="AR25" s="150">
        <v>0</v>
      </c>
      <c r="AS25" s="150">
        <v>0</v>
      </c>
      <c r="AT25" s="150">
        <v>0</v>
      </c>
      <c r="AU25" s="150">
        <v>0</v>
      </c>
      <c r="AV25" s="150">
        <v>0</v>
      </c>
      <c r="AW25" s="150">
        <v>0</v>
      </c>
      <c r="AX25" s="150">
        <v>0</v>
      </c>
      <c r="AY25" s="150">
        <v>0</v>
      </c>
      <c r="AZ25" s="150">
        <v>0</v>
      </c>
    </row>
    <row r="26" spans="1:52" customFormat="1" x14ac:dyDescent="0.15">
      <c r="A26" s="155" t="s">
        <v>216</v>
      </c>
      <c r="B26" s="150">
        <v>1.0009009391273901E-2</v>
      </c>
      <c r="C26" s="150">
        <v>1.7999999472879939E-2</v>
      </c>
      <c r="D26" s="150">
        <v>2.5974025996103895E-2</v>
      </c>
      <c r="E26" s="150">
        <v>5.9991290866994304E-3</v>
      </c>
      <c r="F26" s="150">
        <v>3.9039037752552561E-2</v>
      </c>
      <c r="G26" s="150">
        <v>0</v>
      </c>
      <c r="H26" s="150">
        <v>3.9874820093815586E-3</v>
      </c>
      <c r="I26" s="150">
        <v>0</v>
      </c>
      <c r="J26" s="150">
        <v>2.499992607917979E-2</v>
      </c>
      <c r="K26" s="150">
        <v>4.996009300774846E-3</v>
      </c>
      <c r="L26" s="150">
        <v>3.9896103775941818E-3</v>
      </c>
      <c r="M26" s="150">
        <v>6.0047815228341031E-3</v>
      </c>
      <c r="N26" s="150">
        <v>8.304160209453193E-2</v>
      </c>
      <c r="O26" s="150">
        <v>3.9916177524153019E-4</v>
      </c>
      <c r="P26" s="150">
        <v>0</v>
      </c>
      <c r="Q26" s="150">
        <v>0</v>
      </c>
      <c r="R26" s="150">
        <v>0</v>
      </c>
      <c r="S26" s="150">
        <v>0.13927715392359308</v>
      </c>
      <c r="T26" s="150">
        <v>3.4965037200699128E-2</v>
      </c>
      <c r="U26" s="150">
        <v>1E-3</v>
      </c>
      <c r="V26" s="150">
        <v>0</v>
      </c>
      <c r="W26" s="150">
        <v>0.14727986867929169</v>
      </c>
      <c r="X26" s="150">
        <v>7.8234732209239238E-2</v>
      </c>
      <c r="Y26" s="150">
        <v>3.984464319642441E-4</v>
      </c>
      <c r="Z26" s="150">
        <v>1.9958107180955933E-4</v>
      </c>
      <c r="AA26" s="150">
        <v>2E-3</v>
      </c>
      <c r="AB26" s="150">
        <v>0</v>
      </c>
      <c r="AC26" s="150">
        <v>9.9999999165000051E-3</v>
      </c>
      <c r="AD26" s="150">
        <v>0</v>
      </c>
      <c r="AE26" s="150">
        <v>0</v>
      </c>
      <c r="AF26" s="150">
        <v>0</v>
      </c>
      <c r="AG26" s="150">
        <v>0</v>
      </c>
      <c r="AH26" s="150">
        <v>0</v>
      </c>
      <c r="AI26" s="150">
        <v>1.1987999999999997E-2</v>
      </c>
      <c r="AJ26" s="150">
        <v>0</v>
      </c>
      <c r="AK26" s="150">
        <v>0</v>
      </c>
      <c r="AL26" s="150">
        <v>4.5016929195590579E-4</v>
      </c>
      <c r="AM26" s="150">
        <v>0</v>
      </c>
      <c r="AN26" s="150">
        <v>0</v>
      </c>
      <c r="AO26" s="150">
        <v>0</v>
      </c>
      <c r="AP26" s="150">
        <v>0</v>
      </c>
      <c r="AQ26" s="150">
        <v>0</v>
      </c>
      <c r="AR26" s="150">
        <v>0</v>
      </c>
      <c r="AS26" s="150">
        <v>0</v>
      </c>
      <c r="AT26" s="150">
        <v>0</v>
      </c>
      <c r="AU26" s="150">
        <v>0</v>
      </c>
      <c r="AV26" s="150">
        <v>0</v>
      </c>
      <c r="AW26" s="150">
        <v>0</v>
      </c>
      <c r="AX26" s="150">
        <v>0</v>
      </c>
      <c r="AY26" s="150">
        <v>0</v>
      </c>
      <c r="AZ26" s="150">
        <v>0</v>
      </c>
    </row>
    <row r="27" spans="1:52" customFormat="1" x14ac:dyDescent="0.15">
      <c r="A27" s="155" t="s">
        <v>217</v>
      </c>
      <c r="B27" s="150">
        <v>1.6014414826058233E-2</v>
      </c>
      <c r="C27" s="150">
        <v>0</v>
      </c>
      <c r="D27" s="150">
        <v>2.9970030518581383E-3</v>
      </c>
      <c r="E27" s="150">
        <v>1.2998112102848795E-2</v>
      </c>
      <c r="F27" s="150">
        <v>0</v>
      </c>
      <c r="G27" s="150">
        <v>0</v>
      </c>
      <c r="H27" s="150">
        <v>3.9874820093815586E-3</v>
      </c>
      <c r="I27" s="150">
        <v>0</v>
      </c>
      <c r="J27" s="150">
        <v>1.4999954927507922E-2</v>
      </c>
      <c r="K27" s="150">
        <v>1.8984835312968365E-2</v>
      </c>
      <c r="L27" s="150">
        <v>4.9870126119927255E-3</v>
      </c>
      <c r="M27" s="150">
        <v>1.5011953207207582E-2</v>
      </c>
      <c r="N27" s="150">
        <v>1.9009522653323674E-2</v>
      </c>
      <c r="O27" s="150">
        <v>7.0021125976694213E-3</v>
      </c>
      <c r="P27" s="150">
        <v>0</v>
      </c>
      <c r="Q27" s="150">
        <v>8.9999999999999993E-3</v>
      </c>
      <c r="R27" s="150">
        <v>7.1007000000000001E-2</v>
      </c>
      <c r="S27" s="150">
        <v>3.5069789477138555E-2</v>
      </c>
      <c r="T27" s="150">
        <v>9.9900092001998647E-3</v>
      </c>
      <c r="U27" s="150">
        <v>0</v>
      </c>
      <c r="V27" s="150">
        <v>0</v>
      </c>
      <c r="W27" s="150">
        <v>0.10219419145125101</v>
      </c>
      <c r="X27" s="150">
        <v>5.4162509698705237E-2</v>
      </c>
      <c r="Y27" s="150">
        <v>9.99704712455321E-4</v>
      </c>
      <c r="Z27" s="150">
        <v>1.000301839028111E-3</v>
      </c>
      <c r="AA27" s="150">
        <v>8.0000000000000002E-3</v>
      </c>
      <c r="AB27" s="150">
        <v>0</v>
      </c>
      <c r="AC27" s="150">
        <v>0.20000000232999982</v>
      </c>
      <c r="AD27" s="150">
        <v>0</v>
      </c>
      <c r="AE27" s="150">
        <v>0</v>
      </c>
      <c r="AF27" s="150">
        <v>0</v>
      </c>
      <c r="AG27" s="150">
        <v>0</v>
      </c>
      <c r="AH27" s="150">
        <v>0</v>
      </c>
      <c r="AI27" s="150">
        <v>1.0988999999999999E-2</v>
      </c>
      <c r="AJ27" s="150">
        <v>0</v>
      </c>
      <c r="AK27" s="150">
        <v>0</v>
      </c>
      <c r="AL27" s="150">
        <v>4.5016929195590579E-4</v>
      </c>
      <c r="AM27" s="150">
        <v>0</v>
      </c>
      <c r="AN27" s="150">
        <v>0</v>
      </c>
      <c r="AO27" s="150">
        <v>0</v>
      </c>
      <c r="AP27" s="150">
        <v>0</v>
      </c>
      <c r="AQ27" s="150">
        <v>0</v>
      </c>
      <c r="AR27" s="150">
        <v>0</v>
      </c>
      <c r="AS27" s="150">
        <v>0</v>
      </c>
      <c r="AT27" s="150">
        <v>0</v>
      </c>
      <c r="AU27" s="150">
        <v>0</v>
      </c>
      <c r="AV27" s="150">
        <v>0</v>
      </c>
      <c r="AW27" s="150">
        <v>0</v>
      </c>
      <c r="AX27" s="150">
        <v>0</v>
      </c>
      <c r="AY27" s="150">
        <v>0</v>
      </c>
      <c r="AZ27" s="150">
        <v>0</v>
      </c>
    </row>
    <row r="28" spans="1:52" customFormat="1" x14ac:dyDescent="0.15">
      <c r="A28" s="155" t="s">
        <v>218</v>
      </c>
      <c r="B28" s="150">
        <v>0</v>
      </c>
      <c r="C28" s="150">
        <v>7.0000000861200106E-3</v>
      </c>
      <c r="D28" s="150">
        <v>1.498501455929074E-2</v>
      </c>
      <c r="E28" s="150">
        <v>0</v>
      </c>
      <c r="F28" s="150">
        <v>0</v>
      </c>
      <c r="G28" s="150">
        <v>0</v>
      </c>
      <c r="H28" s="150">
        <v>3.9874820093815586E-3</v>
      </c>
      <c r="I28" s="150">
        <v>0</v>
      </c>
      <c r="J28" s="150">
        <v>2.9810062067324244E-4</v>
      </c>
      <c r="K28" s="150">
        <v>0</v>
      </c>
      <c r="L28" s="150">
        <v>0</v>
      </c>
      <c r="M28" s="150">
        <v>0</v>
      </c>
      <c r="N28" s="150">
        <v>0</v>
      </c>
      <c r="O28" s="150">
        <v>0</v>
      </c>
      <c r="P28" s="150">
        <v>0</v>
      </c>
      <c r="Q28" s="150">
        <v>0</v>
      </c>
      <c r="R28" s="150">
        <v>0</v>
      </c>
      <c r="S28" s="150">
        <v>0</v>
      </c>
      <c r="T28" s="150">
        <v>0</v>
      </c>
      <c r="U28" s="150">
        <v>0</v>
      </c>
      <c r="V28" s="150">
        <v>0</v>
      </c>
      <c r="W28" s="150">
        <v>0</v>
      </c>
      <c r="X28" s="150">
        <v>0</v>
      </c>
      <c r="Y28" s="150">
        <v>0</v>
      </c>
      <c r="Z28" s="150">
        <v>0</v>
      </c>
      <c r="AA28" s="150">
        <v>0</v>
      </c>
      <c r="AB28" s="150">
        <v>0</v>
      </c>
      <c r="AC28" s="150">
        <v>0</v>
      </c>
      <c r="AD28" s="150">
        <v>0</v>
      </c>
      <c r="AE28" s="150">
        <v>0</v>
      </c>
      <c r="AF28" s="150">
        <v>0</v>
      </c>
      <c r="AG28" s="150">
        <v>0</v>
      </c>
      <c r="AH28" s="150">
        <v>0</v>
      </c>
      <c r="AI28" s="150">
        <v>0</v>
      </c>
      <c r="AJ28" s="150">
        <v>0</v>
      </c>
      <c r="AK28" s="150">
        <v>0</v>
      </c>
      <c r="AL28" s="150">
        <v>0</v>
      </c>
      <c r="AM28" s="150">
        <v>0</v>
      </c>
      <c r="AN28" s="150">
        <v>0</v>
      </c>
      <c r="AO28" s="150">
        <v>0</v>
      </c>
      <c r="AP28" s="150">
        <v>0</v>
      </c>
      <c r="AQ28" s="150">
        <v>0</v>
      </c>
      <c r="AR28" s="150">
        <v>0</v>
      </c>
      <c r="AS28" s="150">
        <v>0</v>
      </c>
      <c r="AT28" s="150">
        <v>0</v>
      </c>
      <c r="AU28" s="150">
        <v>0</v>
      </c>
      <c r="AV28" s="150">
        <v>0</v>
      </c>
      <c r="AW28" s="150">
        <v>0</v>
      </c>
      <c r="AX28" s="150">
        <v>0</v>
      </c>
      <c r="AY28" s="150">
        <v>0</v>
      </c>
      <c r="AZ28" s="150">
        <v>0</v>
      </c>
    </row>
    <row r="29" spans="1:52" customFormat="1" x14ac:dyDescent="0.15">
      <c r="A29" s="155" t="s">
        <v>219</v>
      </c>
      <c r="B29" s="150">
        <v>2.0018018782547806E-3</v>
      </c>
      <c r="C29" s="150">
        <v>2.9999999054799893E-3</v>
      </c>
      <c r="D29" s="150">
        <v>3.996004072477518E-3</v>
      </c>
      <c r="E29" s="150">
        <v>9.9985486944990432E-4</v>
      </c>
      <c r="F29" s="150">
        <v>0</v>
      </c>
      <c r="G29" s="150">
        <v>0</v>
      </c>
      <c r="H29" s="150">
        <v>3.9874820093815586E-3</v>
      </c>
      <c r="I29" s="150">
        <v>0</v>
      </c>
      <c r="J29" s="150">
        <v>2.9810062067324244E-4</v>
      </c>
      <c r="K29" s="150">
        <v>0</v>
      </c>
      <c r="L29" s="150">
        <v>0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  <c r="R29" s="150">
        <v>0</v>
      </c>
      <c r="S29" s="150">
        <v>0</v>
      </c>
      <c r="T29" s="150">
        <v>0</v>
      </c>
      <c r="U29" s="150">
        <v>0</v>
      </c>
      <c r="V29" s="150">
        <v>0</v>
      </c>
      <c r="W29" s="150">
        <v>0</v>
      </c>
      <c r="X29" s="150">
        <v>0</v>
      </c>
      <c r="Y29" s="150">
        <v>0</v>
      </c>
      <c r="Z29" s="150">
        <v>0</v>
      </c>
      <c r="AA29" s="150">
        <v>0</v>
      </c>
      <c r="AB29" s="150">
        <v>0</v>
      </c>
      <c r="AC29" s="150">
        <v>0</v>
      </c>
      <c r="AD29" s="150">
        <v>0</v>
      </c>
      <c r="AE29" s="150">
        <v>0</v>
      </c>
      <c r="AF29" s="150">
        <v>0</v>
      </c>
      <c r="AG29" s="150">
        <v>0</v>
      </c>
      <c r="AH29" s="150">
        <v>0</v>
      </c>
      <c r="AI29" s="150">
        <v>9.9899999999999989E-4</v>
      </c>
      <c r="AJ29" s="150">
        <v>0</v>
      </c>
      <c r="AK29" s="150">
        <v>0</v>
      </c>
      <c r="AL29" s="150">
        <v>0</v>
      </c>
      <c r="AM29" s="150">
        <v>0</v>
      </c>
      <c r="AN29" s="150">
        <v>0</v>
      </c>
      <c r="AO29" s="150">
        <v>0</v>
      </c>
      <c r="AP29" s="150">
        <v>0</v>
      </c>
      <c r="AQ29" s="150">
        <v>0</v>
      </c>
      <c r="AR29" s="150">
        <v>0</v>
      </c>
      <c r="AS29" s="150">
        <v>0</v>
      </c>
      <c r="AT29" s="150">
        <v>0</v>
      </c>
      <c r="AU29" s="150">
        <v>0</v>
      </c>
      <c r="AV29" s="150">
        <v>0</v>
      </c>
      <c r="AW29" s="150">
        <v>0</v>
      </c>
      <c r="AX29" s="150">
        <v>0</v>
      </c>
      <c r="AY29" s="150">
        <v>0</v>
      </c>
      <c r="AZ29" s="150">
        <v>0</v>
      </c>
    </row>
    <row r="30" spans="1:52" customFormat="1" x14ac:dyDescent="0.15">
      <c r="A30" s="155" t="s">
        <v>220</v>
      </c>
      <c r="B30" s="150">
        <v>0</v>
      </c>
      <c r="C30" s="150">
        <v>1.0000000151600017E-3</v>
      </c>
      <c r="D30" s="150">
        <v>1.9980020412387585E-3</v>
      </c>
      <c r="E30" s="150">
        <v>0</v>
      </c>
      <c r="F30" s="150">
        <v>0</v>
      </c>
      <c r="G30" s="150">
        <v>0</v>
      </c>
      <c r="H30" s="150">
        <v>3.7757220337530727E-4</v>
      </c>
      <c r="I30" s="150">
        <v>0</v>
      </c>
      <c r="J30" s="150">
        <v>0</v>
      </c>
      <c r="K30" s="150">
        <v>0</v>
      </c>
      <c r="L30" s="150">
        <v>0</v>
      </c>
      <c r="M30" s="150">
        <v>0</v>
      </c>
      <c r="N30" s="150">
        <v>0</v>
      </c>
      <c r="O30" s="150">
        <v>0</v>
      </c>
      <c r="P30" s="150">
        <v>0</v>
      </c>
      <c r="Q30" s="150">
        <v>0</v>
      </c>
      <c r="R30" s="150">
        <v>0</v>
      </c>
      <c r="S30" s="150">
        <v>1.0019939850611015E-3</v>
      </c>
      <c r="T30" s="150">
        <v>0</v>
      </c>
      <c r="U30" s="150">
        <v>0</v>
      </c>
      <c r="V30" s="150">
        <v>0</v>
      </c>
      <c r="W30" s="150">
        <v>0</v>
      </c>
      <c r="X30" s="150">
        <v>0</v>
      </c>
      <c r="Y30" s="150">
        <v>0</v>
      </c>
      <c r="Z30" s="150">
        <v>0</v>
      </c>
      <c r="AA30" s="150">
        <v>0</v>
      </c>
      <c r="AB30" s="150">
        <v>0</v>
      </c>
      <c r="AC30" s="150">
        <v>0</v>
      </c>
      <c r="AD30" s="150">
        <v>0</v>
      </c>
      <c r="AE30" s="150">
        <v>0</v>
      </c>
      <c r="AF30" s="150">
        <v>0</v>
      </c>
      <c r="AG30" s="150">
        <v>0</v>
      </c>
      <c r="AH30" s="150">
        <v>0</v>
      </c>
      <c r="AI30" s="150">
        <v>9.9899999999999989E-4</v>
      </c>
      <c r="AJ30" s="150">
        <v>0</v>
      </c>
      <c r="AK30" s="150">
        <v>0</v>
      </c>
      <c r="AL30" s="150">
        <v>0</v>
      </c>
      <c r="AM30" s="150">
        <v>0</v>
      </c>
      <c r="AN30" s="150">
        <v>0</v>
      </c>
      <c r="AO30" s="150">
        <v>0</v>
      </c>
      <c r="AP30" s="150">
        <v>0</v>
      </c>
      <c r="AQ30" s="150">
        <v>0</v>
      </c>
      <c r="AR30" s="150">
        <v>0</v>
      </c>
      <c r="AS30" s="150">
        <v>0</v>
      </c>
      <c r="AT30" s="150">
        <v>0</v>
      </c>
      <c r="AU30" s="150">
        <v>0</v>
      </c>
      <c r="AV30" s="150">
        <v>0</v>
      </c>
      <c r="AW30" s="150">
        <v>0</v>
      </c>
      <c r="AX30" s="150">
        <v>0</v>
      </c>
      <c r="AY30" s="150">
        <v>0</v>
      </c>
      <c r="AZ30" s="150">
        <v>0</v>
      </c>
    </row>
    <row r="31" spans="1:52" customFormat="1" x14ac:dyDescent="0.15">
      <c r="A31" s="155" t="s">
        <v>221</v>
      </c>
      <c r="B31" s="150">
        <v>4.4039641221615168E-2</v>
      </c>
      <c r="C31" s="150">
        <v>0.44100000578556064</v>
      </c>
      <c r="D31" s="150">
        <v>1.1988012267432548E-2</v>
      </c>
      <c r="E31" s="150">
        <v>0.45593378606915747</v>
      </c>
      <c r="F31" s="150">
        <v>6.0060059465465469E-3</v>
      </c>
      <c r="G31" s="150">
        <v>0</v>
      </c>
      <c r="H31" s="150">
        <v>0.79052134634968785</v>
      </c>
      <c r="I31" s="150">
        <v>0</v>
      </c>
      <c r="J31" s="150">
        <v>0.31999904825350173</v>
      </c>
      <c r="K31" s="150">
        <v>0.42865761796054164</v>
      </c>
      <c r="L31" s="150">
        <v>0.29722696631077095</v>
      </c>
      <c r="M31" s="150">
        <v>0.34227255180052446</v>
      </c>
      <c r="N31" s="150">
        <v>0.45422757166950795</v>
      </c>
      <c r="O31" s="150">
        <v>0.83425167336444617</v>
      </c>
      <c r="P31" s="150">
        <v>3.9039037435135232E-2</v>
      </c>
      <c r="Q31" s="150">
        <v>0</v>
      </c>
      <c r="R31" s="150">
        <v>0</v>
      </c>
      <c r="S31" s="150">
        <v>0.15430707469939967</v>
      </c>
      <c r="T31" s="150">
        <v>0.1508491369230181</v>
      </c>
      <c r="U31" s="150">
        <v>7.0000000000000001E-3</v>
      </c>
      <c r="V31" s="150">
        <v>0.49999999999999989</v>
      </c>
      <c r="W31" s="150">
        <v>0.1222322667751687</v>
      </c>
      <c r="X31" s="150">
        <v>6.3189592115155069E-2</v>
      </c>
      <c r="Y31" s="150">
        <v>3.099084498611494E-2</v>
      </c>
      <c r="Z31" s="150">
        <v>1.6004829224589463E-2</v>
      </c>
      <c r="AA31" s="150">
        <v>0.02</v>
      </c>
      <c r="AB31" s="150">
        <v>0.1</v>
      </c>
      <c r="AC31" s="150">
        <v>0.40000000465999963</v>
      </c>
      <c r="AD31" s="150">
        <v>0.48280000000000001</v>
      </c>
      <c r="AE31" s="150">
        <v>6.0301506489949756E-3</v>
      </c>
      <c r="AF31" s="150">
        <v>0</v>
      </c>
      <c r="AG31" s="150">
        <v>3.7999999999999999E-2</v>
      </c>
      <c r="AH31" s="150">
        <v>0</v>
      </c>
      <c r="AI31" s="150">
        <v>7.4924999999999992E-2</v>
      </c>
      <c r="AJ31" s="150">
        <v>0</v>
      </c>
      <c r="AK31" s="150">
        <v>0.01</v>
      </c>
      <c r="AL31" s="150">
        <v>0.47783228935549071</v>
      </c>
      <c r="AM31" s="150">
        <v>0</v>
      </c>
      <c r="AN31" s="150">
        <v>0</v>
      </c>
      <c r="AO31" s="150">
        <v>0</v>
      </c>
      <c r="AP31" s="150">
        <v>0</v>
      </c>
      <c r="AQ31" s="150">
        <v>0</v>
      </c>
      <c r="AR31" s="150">
        <v>0</v>
      </c>
      <c r="AS31" s="150">
        <v>0</v>
      </c>
      <c r="AT31" s="150">
        <v>0</v>
      </c>
      <c r="AU31" s="150">
        <v>0</v>
      </c>
      <c r="AV31" s="150">
        <v>0</v>
      </c>
      <c r="AW31" s="150">
        <v>0</v>
      </c>
      <c r="AX31" s="150">
        <v>0</v>
      </c>
      <c r="AY31" s="150">
        <v>0</v>
      </c>
      <c r="AZ31" s="150">
        <v>0</v>
      </c>
    </row>
    <row r="32" spans="1:52" customFormat="1" x14ac:dyDescent="0.15">
      <c r="A32" s="155" t="s">
        <v>222</v>
      </c>
      <c r="B32" s="150">
        <v>0</v>
      </c>
      <c r="C32" s="150">
        <v>1.1999999581919952E-2</v>
      </c>
      <c r="D32" s="150">
        <v>0.45054945170934058</v>
      </c>
      <c r="E32" s="150">
        <v>0.14597880353968626</v>
      </c>
      <c r="F32" s="150">
        <v>0</v>
      </c>
      <c r="G32" s="150">
        <v>0</v>
      </c>
      <c r="H32" s="150">
        <v>5.682161814368724E-2</v>
      </c>
      <c r="I32" s="150">
        <v>0</v>
      </c>
      <c r="J32" s="150">
        <v>4.9999852258359574E-2</v>
      </c>
      <c r="K32" s="150">
        <v>3.0975258693981895E-2</v>
      </c>
      <c r="L32" s="150">
        <v>0.16856202574335855</v>
      </c>
      <c r="M32" s="150">
        <v>9.2073314683863997E-2</v>
      </c>
      <c r="N32" s="150">
        <v>0</v>
      </c>
      <c r="O32" s="150">
        <v>1.9958088762076509E-4</v>
      </c>
      <c r="P32" s="150">
        <v>4.0040039669369393E-2</v>
      </c>
      <c r="Q32" s="150">
        <v>0</v>
      </c>
      <c r="R32" s="150">
        <v>0</v>
      </c>
      <c r="S32" s="150">
        <v>0.10420737544634456</v>
      </c>
      <c r="T32" s="150">
        <v>4.9950051800998853E-2</v>
      </c>
      <c r="U32" s="150">
        <v>4.0000000000000001E-3</v>
      </c>
      <c r="V32" s="150">
        <v>4.9999999999999989E-2</v>
      </c>
      <c r="W32" s="150">
        <v>0.17533316633355556</v>
      </c>
      <c r="X32" s="150">
        <v>9.027084716450777E-2</v>
      </c>
      <c r="Y32" s="150">
        <v>1.1996457549463865E-2</v>
      </c>
      <c r="Z32" s="150">
        <v>7.0021124335040994E-3</v>
      </c>
      <c r="AA32" s="150">
        <v>0.01</v>
      </c>
      <c r="AB32" s="150">
        <v>1E-3</v>
      </c>
      <c r="AC32" s="150">
        <v>5.0000000582499954E-2</v>
      </c>
      <c r="AD32" s="150">
        <v>0.18310000000000001</v>
      </c>
      <c r="AE32" s="150">
        <v>1.0050251031658295E-3</v>
      </c>
      <c r="AF32" s="150">
        <v>0</v>
      </c>
      <c r="AG32" s="150">
        <v>0</v>
      </c>
      <c r="AH32" s="150">
        <v>0</v>
      </c>
      <c r="AI32" s="150">
        <v>8.591399999999999E-2</v>
      </c>
      <c r="AJ32" s="150">
        <v>0</v>
      </c>
      <c r="AK32" s="150">
        <v>0</v>
      </c>
      <c r="AL32" s="150">
        <v>1.5994387674660694E-2</v>
      </c>
      <c r="AM32" s="150">
        <v>0</v>
      </c>
      <c r="AN32" s="150">
        <v>0</v>
      </c>
      <c r="AO32" s="150">
        <v>0</v>
      </c>
      <c r="AP32" s="150">
        <v>0</v>
      </c>
      <c r="AQ32" s="150">
        <v>0</v>
      </c>
      <c r="AR32" s="150">
        <v>0</v>
      </c>
      <c r="AS32" s="150">
        <v>0</v>
      </c>
      <c r="AT32" s="150">
        <v>0</v>
      </c>
      <c r="AU32" s="150">
        <v>0</v>
      </c>
      <c r="AV32" s="150">
        <v>0</v>
      </c>
      <c r="AW32" s="150">
        <v>0</v>
      </c>
      <c r="AX32" s="150">
        <v>0</v>
      </c>
      <c r="AY32" s="150">
        <v>0</v>
      </c>
      <c r="AZ32" s="150">
        <v>0</v>
      </c>
    </row>
    <row r="33" spans="1:52" customFormat="1" x14ac:dyDescent="0.15">
      <c r="A33" s="155" t="s">
        <v>223</v>
      </c>
      <c r="B33" s="150">
        <v>0</v>
      </c>
      <c r="C33" s="150">
        <v>0</v>
      </c>
      <c r="D33" s="150">
        <v>1.9980020412387585E-3</v>
      </c>
      <c r="E33" s="150">
        <v>0.11098388260893963</v>
      </c>
      <c r="F33" s="150">
        <v>7.2072069358558574E-2</v>
      </c>
      <c r="G33" s="150">
        <v>0</v>
      </c>
      <c r="H33" s="150">
        <v>6.7787195399486411E-2</v>
      </c>
      <c r="I33" s="150">
        <v>0</v>
      </c>
      <c r="J33" s="150">
        <v>2.2999931508845439E-2</v>
      </c>
      <c r="K33" s="150">
        <v>3.1974462482596319E-2</v>
      </c>
      <c r="L33" s="150">
        <v>9.9740260439854563E-4</v>
      </c>
      <c r="M33" s="150">
        <v>4.0031876818894018E-3</v>
      </c>
      <c r="N33" s="150">
        <v>3.2016041619655447E-2</v>
      </c>
      <c r="O33" s="150">
        <v>5.0015089426599275E-2</v>
      </c>
      <c r="P33" s="150">
        <v>0</v>
      </c>
      <c r="Q33" s="150">
        <v>0</v>
      </c>
      <c r="R33" s="150">
        <v>0</v>
      </c>
      <c r="S33" s="150">
        <v>1.0019939850611015E-3</v>
      </c>
      <c r="T33" s="150">
        <v>9.9900102001997853E-4</v>
      </c>
      <c r="U33" s="150">
        <v>0</v>
      </c>
      <c r="V33" s="150">
        <v>4.9999999999999989E-2</v>
      </c>
      <c r="W33" s="150">
        <v>0</v>
      </c>
      <c r="X33" s="150">
        <v>0</v>
      </c>
      <c r="Y33" s="150">
        <v>0</v>
      </c>
      <c r="Z33" s="150">
        <v>0</v>
      </c>
      <c r="AA33" s="150">
        <v>5.0000000000000001E-3</v>
      </c>
      <c r="AB33" s="150">
        <v>2E-3</v>
      </c>
      <c r="AC33" s="150">
        <v>5.0000000582499954E-2</v>
      </c>
      <c r="AD33" s="150">
        <v>0</v>
      </c>
      <c r="AE33" s="150">
        <v>0</v>
      </c>
      <c r="AF33" s="150">
        <v>0</v>
      </c>
      <c r="AG33" s="150">
        <v>2E-3</v>
      </c>
      <c r="AH33" s="150">
        <v>0</v>
      </c>
      <c r="AI33" s="150">
        <v>0</v>
      </c>
      <c r="AJ33" s="150">
        <v>0</v>
      </c>
      <c r="AK33" s="150">
        <v>0</v>
      </c>
      <c r="AL33" s="150">
        <v>3.9985967686651819E-3</v>
      </c>
      <c r="AM33" s="150">
        <v>0</v>
      </c>
      <c r="AN33" s="150">
        <v>0</v>
      </c>
      <c r="AO33" s="150">
        <v>0</v>
      </c>
      <c r="AP33" s="150">
        <v>0</v>
      </c>
      <c r="AQ33" s="150">
        <v>0</v>
      </c>
      <c r="AR33" s="150">
        <v>0</v>
      </c>
      <c r="AS33" s="150">
        <v>0</v>
      </c>
      <c r="AT33" s="150">
        <v>0</v>
      </c>
      <c r="AU33" s="150">
        <v>0</v>
      </c>
      <c r="AV33" s="150">
        <v>0</v>
      </c>
      <c r="AW33" s="150">
        <v>0</v>
      </c>
      <c r="AX33" s="150">
        <v>0</v>
      </c>
      <c r="AY33" s="150">
        <v>0</v>
      </c>
      <c r="AZ33" s="150">
        <v>0</v>
      </c>
    </row>
    <row r="34" spans="1:52" customFormat="1" x14ac:dyDescent="0.15">
      <c r="A34" s="155" t="s">
        <v>224</v>
      </c>
      <c r="B34" s="150">
        <v>0</v>
      </c>
      <c r="C34" s="150">
        <v>6.4000002970240333E-2</v>
      </c>
      <c r="D34" s="150">
        <v>7.4925074796453564E-2</v>
      </c>
      <c r="E34" s="150">
        <v>9.9985476944990746E-3</v>
      </c>
      <c r="F34" s="150">
        <v>7.0070069376376373E-2</v>
      </c>
      <c r="G34" s="150">
        <v>0</v>
      </c>
      <c r="H34" s="150">
        <v>1.0965575655799276E-2</v>
      </c>
      <c r="I34" s="150">
        <v>0</v>
      </c>
      <c r="J34" s="150">
        <v>4.9999851258359642E-3</v>
      </c>
      <c r="K34" s="150">
        <v>1.598723124129816E-2</v>
      </c>
      <c r="L34" s="150">
        <v>0</v>
      </c>
      <c r="M34" s="150">
        <v>0</v>
      </c>
      <c r="N34" s="150">
        <v>0</v>
      </c>
      <c r="O34" s="150">
        <v>0</v>
      </c>
      <c r="P34" s="150">
        <v>0</v>
      </c>
      <c r="Q34" s="150">
        <v>0</v>
      </c>
      <c r="R34" s="150">
        <v>0</v>
      </c>
      <c r="S34" s="150">
        <v>0</v>
      </c>
      <c r="T34" s="150">
        <v>6.9930074401398257E-2</v>
      </c>
      <c r="U34" s="150">
        <v>0</v>
      </c>
      <c r="V34" s="150">
        <v>4.9999999999999989E-2</v>
      </c>
      <c r="W34" s="150">
        <v>0</v>
      </c>
      <c r="X34" s="150">
        <v>0</v>
      </c>
      <c r="Y34" s="150">
        <v>9.9611611241061067E-5</v>
      </c>
      <c r="Z34" s="150">
        <v>0</v>
      </c>
      <c r="AA34" s="150">
        <v>2E-3</v>
      </c>
      <c r="AB34" s="150">
        <v>2E-3</v>
      </c>
      <c r="AC34" s="150">
        <v>1.999999983300001E-2</v>
      </c>
      <c r="AD34" s="150">
        <v>0.11550000000000001</v>
      </c>
      <c r="AE34" s="150">
        <v>0</v>
      </c>
      <c r="AF34" s="150">
        <v>0</v>
      </c>
      <c r="AG34" s="150">
        <v>0</v>
      </c>
      <c r="AH34" s="150">
        <v>0</v>
      </c>
      <c r="AI34" s="150">
        <v>0.11488499999999997</v>
      </c>
      <c r="AJ34" s="150">
        <v>0</v>
      </c>
      <c r="AK34" s="150">
        <v>0</v>
      </c>
      <c r="AL34" s="150">
        <v>9.7965614332297349E-2</v>
      </c>
      <c r="AM34" s="150">
        <v>0</v>
      </c>
      <c r="AN34" s="150">
        <v>0</v>
      </c>
      <c r="AO34" s="150">
        <v>0</v>
      </c>
      <c r="AP34" s="150">
        <v>0</v>
      </c>
      <c r="AQ34" s="150">
        <v>0</v>
      </c>
      <c r="AR34" s="150">
        <v>0</v>
      </c>
      <c r="AS34" s="150">
        <v>0</v>
      </c>
      <c r="AT34" s="150">
        <v>0</v>
      </c>
      <c r="AU34" s="150">
        <v>0</v>
      </c>
      <c r="AV34" s="150">
        <v>0</v>
      </c>
      <c r="AW34" s="150">
        <v>0</v>
      </c>
      <c r="AX34" s="150">
        <v>0</v>
      </c>
      <c r="AY34" s="150">
        <v>0</v>
      </c>
      <c r="AZ34" s="150">
        <v>0</v>
      </c>
    </row>
    <row r="35" spans="1:52" customFormat="1" x14ac:dyDescent="0.15">
      <c r="A35" s="155" t="s">
        <v>225</v>
      </c>
      <c r="B35" s="150">
        <v>0</v>
      </c>
      <c r="C35" s="150">
        <v>0</v>
      </c>
      <c r="D35" s="150">
        <v>4.9950046530969272E-3</v>
      </c>
      <c r="E35" s="150">
        <v>0</v>
      </c>
      <c r="F35" s="150">
        <v>8.0080079287287286E-3</v>
      </c>
      <c r="G35" s="150">
        <v>0</v>
      </c>
      <c r="H35" s="150">
        <v>3.7757220337530727E-4</v>
      </c>
      <c r="I35" s="150">
        <v>0</v>
      </c>
      <c r="J35" s="150">
        <v>0</v>
      </c>
      <c r="K35" s="150">
        <v>0</v>
      </c>
      <c r="L35" s="150">
        <v>0</v>
      </c>
      <c r="M35" s="150">
        <v>0</v>
      </c>
      <c r="N35" s="150">
        <v>3.9940084347589081E-4</v>
      </c>
      <c r="O35" s="150">
        <v>0</v>
      </c>
      <c r="P35" s="150">
        <v>0</v>
      </c>
      <c r="Q35" s="150">
        <v>0</v>
      </c>
      <c r="R35" s="150">
        <v>0</v>
      </c>
      <c r="S35" s="150">
        <v>0</v>
      </c>
      <c r="T35" s="150">
        <v>0</v>
      </c>
      <c r="U35" s="150">
        <v>0</v>
      </c>
      <c r="V35" s="150">
        <v>0</v>
      </c>
      <c r="W35" s="150">
        <v>0</v>
      </c>
      <c r="X35" s="150">
        <v>0</v>
      </c>
      <c r="Y35" s="150">
        <v>0</v>
      </c>
      <c r="Z35" s="150">
        <v>0</v>
      </c>
      <c r="AA35" s="150">
        <v>0</v>
      </c>
      <c r="AB35" s="150">
        <v>0</v>
      </c>
      <c r="AC35" s="150">
        <v>0</v>
      </c>
      <c r="AD35" s="150">
        <v>0</v>
      </c>
      <c r="AE35" s="150">
        <v>0</v>
      </c>
      <c r="AF35" s="150">
        <v>0</v>
      </c>
      <c r="AG35" s="150">
        <v>0</v>
      </c>
      <c r="AH35" s="150">
        <v>0</v>
      </c>
      <c r="AI35" s="150">
        <v>0</v>
      </c>
      <c r="AJ35" s="150">
        <v>0</v>
      </c>
      <c r="AK35" s="150">
        <v>0</v>
      </c>
      <c r="AL35" s="150">
        <v>0</v>
      </c>
      <c r="AM35" s="150">
        <v>0</v>
      </c>
      <c r="AN35" s="150">
        <v>0</v>
      </c>
      <c r="AO35" s="150">
        <v>0</v>
      </c>
      <c r="AP35" s="150">
        <v>0</v>
      </c>
      <c r="AQ35" s="150">
        <v>0</v>
      </c>
      <c r="AR35" s="150">
        <v>0</v>
      </c>
      <c r="AS35" s="150">
        <v>0</v>
      </c>
      <c r="AT35" s="150">
        <v>0</v>
      </c>
      <c r="AU35" s="150">
        <v>0</v>
      </c>
      <c r="AV35" s="150">
        <v>0</v>
      </c>
      <c r="AW35" s="150">
        <v>0</v>
      </c>
      <c r="AX35" s="150">
        <v>0</v>
      </c>
      <c r="AY35" s="150">
        <v>0</v>
      </c>
      <c r="AZ35" s="150">
        <v>0</v>
      </c>
    </row>
    <row r="36" spans="1:52" customFormat="1" x14ac:dyDescent="0.15">
      <c r="A36" s="155" t="s">
        <v>226</v>
      </c>
      <c r="B36" s="150">
        <v>0</v>
      </c>
      <c r="C36" s="150">
        <v>6.4999997485399696E-2</v>
      </c>
      <c r="D36" s="150">
        <v>4.2957047016633082E-2</v>
      </c>
      <c r="E36" s="150">
        <v>1.9931300691008475E-6</v>
      </c>
      <c r="F36" s="150">
        <v>2.902902824164165E-2</v>
      </c>
      <c r="G36" s="150">
        <v>0</v>
      </c>
      <c r="H36" s="150">
        <v>5.9812232540723213E-3</v>
      </c>
      <c r="I36" s="150">
        <v>0</v>
      </c>
      <c r="J36" s="150">
        <v>0.31999904825350173</v>
      </c>
      <c r="K36" s="150">
        <v>0</v>
      </c>
      <c r="L36" s="150">
        <v>0</v>
      </c>
      <c r="M36" s="150">
        <v>0</v>
      </c>
      <c r="N36" s="150">
        <v>0</v>
      </c>
      <c r="O36" s="150">
        <v>0</v>
      </c>
      <c r="P36" s="150">
        <v>0</v>
      </c>
      <c r="Q36" s="150">
        <v>0</v>
      </c>
      <c r="R36" s="150">
        <v>0</v>
      </c>
      <c r="S36" s="150">
        <v>0</v>
      </c>
      <c r="T36" s="150">
        <v>1.9980018400399729E-2</v>
      </c>
      <c r="U36" s="150">
        <v>0</v>
      </c>
      <c r="V36" s="150">
        <v>0</v>
      </c>
      <c r="W36" s="150">
        <v>2.1039980739948755E-2</v>
      </c>
      <c r="X36" s="150">
        <v>1.1033103642328769E-2</v>
      </c>
      <c r="Y36" s="150">
        <v>7.9976380996425733E-3</v>
      </c>
      <c r="Z36" s="150">
        <v>4.0012073561124439E-3</v>
      </c>
      <c r="AA36" s="150">
        <v>1E-3</v>
      </c>
      <c r="AB36" s="150">
        <v>2E-3</v>
      </c>
      <c r="AC36" s="150">
        <v>0</v>
      </c>
      <c r="AD36" s="150">
        <v>0</v>
      </c>
      <c r="AE36" s="150">
        <v>0</v>
      </c>
      <c r="AF36" s="150">
        <v>0</v>
      </c>
      <c r="AG36" s="150">
        <v>0</v>
      </c>
      <c r="AH36" s="150">
        <v>0</v>
      </c>
      <c r="AI36" s="150">
        <v>0.11488499999999997</v>
      </c>
      <c r="AJ36" s="150">
        <v>0</v>
      </c>
      <c r="AK36" s="150">
        <v>0</v>
      </c>
      <c r="AL36" s="150">
        <v>0</v>
      </c>
      <c r="AM36" s="150">
        <v>0</v>
      </c>
      <c r="AN36" s="150">
        <v>0</v>
      </c>
      <c r="AO36" s="150">
        <v>0</v>
      </c>
      <c r="AP36" s="150">
        <v>0</v>
      </c>
      <c r="AQ36" s="150">
        <v>0</v>
      </c>
      <c r="AR36" s="150">
        <v>0</v>
      </c>
      <c r="AS36" s="150">
        <v>0</v>
      </c>
      <c r="AT36" s="150">
        <v>0</v>
      </c>
      <c r="AU36" s="150">
        <v>0</v>
      </c>
      <c r="AV36" s="150">
        <v>0</v>
      </c>
      <c r="AW36" s="150">
        <v>0</v>
      </c>
      <c r="AX36" s="150">
        <v>0</v>
      </c>
      <c r="AY36" s="150">
        <v>0</v>
      </c>
      <c r="AZ36" s="150">
        <v>0</v>
      </c>
    </row>
    <row r="37" spans="1:52" customFormat="1" x14ac:dyDescent="0.15">
      <c r="A37" s="155" t="s">
        <v>227</v>
      </c>
      <c r="B37" s="150">
        <v>0</v>
      </c>
      <c r="C37" s="150">
        <v>3.5000000430600045E-2</v>
      </c>
      <c r="D37" s="150">
        <v>9.9900093061938543E-3</v>
      </c>
      <c r="E37" s="150">
        <v>3.8068781136826283E-4</v>
      </c>
      <c r="F37" s="150">
        <v>0</v>
      </c>
      <c r="G37" s="150">
        <v>0</v>
      </c>
      <c r="H37" s="150">
        <v>1.6946798849871603E-2</v>
      </c>
      <c r="I37" s="150">
        <v>0</v>
      </c>
      <c r="J37" s="150">
        <v>1.9999941403343797E-3</v>
      </c>
      <c r="K37" s="150">
        <v>9.9920195008313057E-4</v>
      </c>
      <c r="L37" s="150">
        <v>0</v>
      </c>
      <c r="M37" s="150">
        <v>0</v>
      </c>
      <c r="N37" s="150">
        <v>1.1005514072498584E-2</v>
      </c>
      <c r="O37" s="150">
        <v>8.00241489984241E-3</v>
      </c>
      <c r="P37" s="150">
        <v>0</v>
      </c>
      <c r="Q37" s="150">
        <v>0</v>
      </c>
      <c r="R37" s="150">
        <v>0</v>
      </c>
      <c r="S37" s="150">
        <v>9.0179458655499142E-3</v>
      </c>
      <c r="T37" s="150">
        <v>4.9950051800998853E-2</v>
      </c>
      <c r="U37" s="150">
        <v>0.23300000000000001</v>
      </c>
      <c r="V37" s="150">
        <v>0</v>
      </c>
      <c r="W37" s="150">
        <v>3.7070441799002991E-2</v>
      </c>
      <c r="X37" s="150">
        <v>1.9057177845840115E-2</v>
      </c>
      <c r="Y37" s="150">
        <v>5.3984057872587379E-2</v>
      </c>
      <c r="Z37" s="150">
        <v>2.9008750933491523E-2</v>
      </c>
      <c r="AA37" s="150">
        <v>0</v>
      </c>
      <c r="AB37" s="150">
        <v>0</v>
      </c>
      <c r="AC37" s="150">
        <v>0</v>
      </c>
      <c r="AD37" s="150">
        <v>0.19239999999999999</v>
      </c>
      <c r="AE37" s="150">
        <v>0</v>
      </c>
      <c r="AF37" s="150">
        <v>0</v>
      </c>
      <c r="AG37" s="150">
        <v>0</v>
      </c>
      <c r="AH37" s="150">
        <v>0</v>
      </c>
      <c r="AI37" s="150">
        <v>0.11488499999999997</v>
      </c>
      <c r="AJ37" s="150">
        <v>0</v>
      </c>
      <c r="AK37" s="150">
        <v>0.05</v>
      </c>
      <c r="AL37" s="150">
        <v>4.8982807166148674E-2</v>
      </c>
      <c r="AM37" s="150">
        <v>0</v>
      </c>
      <c r="AN37" s="150">
        <v>0</v>
      </c>
      <c r="AO37" s="150">
        <v>0</v>
      </c>
      <c r="AP37" s="150">
        <v>0</v>
      </c>
      <c r="AQ37" s="150">
        <v>0</v>
      </c>
      <c r="AR37" s="150">
        <v>0</v>
      </c>
      <c r="AS37" s="150">
        <v>0</v>
      </c>
      <c r="AT37" s="150">
        <v>0</v>
      </c>
      <c r="AU37" s="150">
        <v>0</v>
      </c>
      <c r="AV37" s="150">
        <v>0</v>
      </c>
      <c r="AW37" s="150">
        <v>0</v>
      </c>
      <c r="AX37" s="150">
        <v>0</v>
      </c>
      <c r="AY37" s="150">
        <v>0</v>
      </c>
      <c r="AZ37" s="150">
        <v>0</v>
      </c>
    </row>
    <row r="38" spans="1:52" customFormat="1" x14ac:dyDescent="0.15">
      <c r="A38" s="155" t="s">
        <v>228</v>
      </c>
      <c r="B38" s="150">
        <v>0</v>
      </c>
      <c r="C38" s="150">
        <v>0</v>
      </c>
      <c r="D38" s="150">
        <v>2.997002911858148E-2</v>
      </c>
      <c r="E38" s="150">
        <v>6.9989837861493395E-3</v>
      </c>
      <c r="F38" s="150">
        <v>4.9049045463463489E-2</v>
      </c>
      <c r="G38" s="150">
        <v>0</v>
      </c>
      <c r="H38" s="150">
        <v>5.9812232540723213E-3</v>
      </c>
      <c r="I38" s="150">
        <v>0</v>
      </c>
      <c r="J38" s="150">
        <v>9.9999703516719194E-4</v>
      </c>
      <c r="K38" s="150">
        <v>0</v>
      </c>
      <c r="L38" s="150">
        <v>0</v>
      </c>
      <c r="M38" s="150">
        <v>0</v>
      </c>
      <c r="N38" s="150">
        <v>1.0005012974907933E-3</v>
      </c>
      <c r="O38" s="150">
        <v>0</v>
      </c>
      <c r="P38" s="150">
        <v>0</v>
      </c>
      <c r="Q38" s="150">
        <v>0</v>
      </c>
      <c r="R38" s="150">
        <v>0</v>
      </c>
      <c r="S38" s="150">
        <v>7.3145558909480407E-2</v>
      </c>
      <c r="T38" s="150">
        <v>2.4975025900499426E-2</v>
      </c>
      <c r="U38" s="150">
        <v>0</v>
      </c>
      <c r="V38" s="150">
        <v>0</v>
      </c>
      <c r="W38" s="150">
        <v>8.0152313294472102E-3</v>
      </c>
      <c r="X38" s="150">
        <v>4.4132414769315155E-2</v>
      </c>
      <c r="Y38" s="150">
        <v>9.9611611241061067E-5</v>
      </c>
      <c r="Z38" s="150">
        <v>9.9790535904779664E-5</v>
      </c>
      <c r="AA38" s="150">
        <v>0</v>
      </c>
      <c r="AB38" s="150">
        <v>0</v>
      </c>
      <c r="AC38" s="150">
        <v>4.9999999582500025E-3</v>
      </c>
      <c r="AD38" s="150">
        <v>0</v>
      </c>
      <c r="AE38" s="150">
        <v>0</v>
      </c>
      <c r="AF38" s="150">
        <v>0</v>
      </c>
      <c r="AG38" s="150">
        <v>0</v>
      </c>
      <c r="AH38" s="150">
        <v>0</v>
      </c>
      <c r="AI38" s="150">
        <v>5.6443999999999987E-2</v>
      </c>
      <c r="AJ38" s="150">
        <v>0</v>
      </c>
      <c r="AK38" s="150">
        <v>0</v>
      </c>
      <c r="AL38" s="150">
        <v>0</v>
      </c>
      <c r="AM38" s="150">
        <v>0</v>
      </c>
      <c r="AN38" s="150">
        <v>0</v>
      </c>
      <c r="AO38" s="150">
        <v>0</v>
      </c>
      <c r="AP38" s="150">
        <v>0</v>
      </c>
      <c r="AQ38" s="150">
        <v>0</v>
      </c>
      <c r="AR38" s="150">
        <v>0</v>
      </c>
      <c r="AS38" s="150">
        <v>0</v>
      </c>
      <c r="AT38" s="150">
        <v>0</v>
      </c>
      <c r="AU38" s="150">
        <v>0</v>
      </c>
      <c r="AV38" s="150">
        <v>0</v>
      </c>
      <c r="AW38" s="150">
        <v>0</v>
      </c>
      <c r="AX38" s="150">
        <v>0</v>
      </c>
      <c r="AY38" s="150">
        <v>0</v>
      </c>
      <c r="AZ38" s="150">
        <v>0</v>
      </c>
    </row>
    <row r="39" spans="1:52" x14ac:dyDescent="0.15">
      <c r="A39" s="155" t="s">
        <v>229</v>
      </c>
      <c r="B39" s="150">
        <v>0</v>
      </c>
      <c r="C39" s="150">
        <v>6.4000002970240333E-2</v>
      </c>
      <c r="D39" s="150">
        <v>0</v>
      </c>
      <c r="E39" s="150">
        <v>3.9463972194196879E-4</v>
      </c>
      <c r="F39" s="150">
        <v>4.9049045463463489E-2</v>
      </c>
      <c r="G39" s="150">
        <v>0</v>
      </c>
      <c r="H39" s="150">
        <v>1.0965575655799276E-2</v>
      </c>
      <c r="I39" s="150">
        <v>0</v>
      </c>
      <c r="J39" s="150">
        <v>2.9999909855015845E-3</v>
      </c>
      <c r="K39" s="150">
        <v>1.9984039101582788E-3</v>
      </c>
      <c r="L39" s="150">
        <v>9.9740260439854563E-4</v>
      </c>
      <c r="M39" s="150">
        <v>1.0193772416285925E-4</v>
      </c>
      <c r="N39" s="150">
        <v>1.5007518362911129E-2</v>
      </c>
      <c r="O39" s="150">
        <v>3.1009354139403714E-2</v>
      </c>
      <c r="P39" s="150">
        <v>0</v>
      </c>
      <c r="Q39" s="150">
        <v>0</v>
      </c>
      <c r="R39" s="150">
        <v>0</v>
      </c>
      <c r="S39" s="150">
        <v>1.0019939850611015E-3</v>
      </c>
      <c r="T39" s="150">
        <v>9.9900102001997837E-2</v>
      </c>
      <c r="U39" s="150">
        <v>1.2E-2</v>
      </c>
      <c r="V39" s="150">
        <v>0</v>
      </c>
      <c r="W39" s="150">
        <v>0</v>
      </c>
      <c r="X39" s="150">
        <v>0</v>
      </c>
      <c r="Y39" s="150">
        <v>3.9988190498212867E-3</v>
      </c>
      <c r="Z39" s="150">
        <v>4.0012073561124439E-3</v>
      </c>
      <c r="AA39" s="150">
        <v>0</v>
      </c>
      <c r="AB39" s="150">
        <v>2E-3</v>
      </c>
      <c r="AC39" s="150">
        <v>4.9999999582500025E-3</v>
      </c>
      <c r="AD39" s="150">
        <v>4.4000000000000003E-3</v>
      </c>
      <c r="AE39" s="150">
        <v>0</v>
      </c>
      <c r="AF39" s="150">
        <v>0</v>
      </c>
      <c r="AG39" s="150">
        <v>0</v>
      </c>
      <c r="AH39" s="150">
        <v>0</v>
      </c>
      <c r="AI39" s="150">
        <v>5.6443999999999987E-2</v>
      </c>
      <c r="AJ39" s="150">
        <v>0</v>
      </c>
      <c r="AK39" s="150">
        <v>0.04</v>
      </c>
      <c r="AL39" s="150">
        <v>4.8982807166148674E-2</v>
      </c>
      <c r="AM39" s="150">
        <v>0</v>
      </c>
      <c r="AN39" s="150">
        <v>0</v>
      </c>
      <c r="AO39" s="150">
        <v>0</v>
      </c>
      <c r="AP39" s="150">
        <v>0</v>
      </c>
      <c r="AQ39" s="150">
        <v>0</v>
      </c>
      <c r="AR39" s="150">
        <v>0</v>
      </c>
      <c r="AS39" s="150">
        <v>0</v>
      </c>
      <c r="AT39" s="150">
        <v>0</v>
      </c>
      <c r="AU39" s="150">
        <v>0</v>
      </c>
      <c r="AV39" s="150">
        <v>0</v>
      </c>
      <c r="AW39" s="150">
        <v>0</v>
      </c>
      <c r="AX39" s="150">
        <v>0</v>
      </c>
      <c r="AY39" s="150">
        <v>0</v>
      </c>
      <c r="AZ39" s="150">
        <v>0</v>
      </c>
    </row>
    <row r="40" spans="1:52" x14ac:dyDescent="0.15">
      <c r="A40" s="155" t="s">
        <v>230</v>
      </c>
      <c r="B40" s="150">
        <v>0</v>
      </c>
      <c r="C40" s="150">
        <v>0</v>
      </c>
      <c r="D40" s="150">
        <v>9.9900103061937857E-4</v>
      </c>
      <c r="E40" s="150">
        <v>9.9985486944990432E-4</v>
      </c>
      <c r="F40" s="150">
        <v>1.0010009910910911E-3</v>
      </c>
      <c r="G40" s="150">
        <v>0</v>
      </c>
      <c r="H40" s="150">
        <v>0</v>
      </c>
      <c r="I40" s="150">
        <v>0</v>
      </c>
      <c r="J40" s="150">
        <v>9.9999703516719194E-4</v>
      </c>
      <c r="K40" s="150">
        <v>0</v>
      </c>
      <c r="L40" s="150">
        <v>0</v>
      </c>
      <c r="M40" s="150">
        <v>0</v>
      </c>
      <c r="N40" s="150">
        <v>0</v>
      </c>
      <c r="O40" s="150">
        <v>0</v>
      </c>
      <c r="P40" s="150">
        <v>0</v>
      </c>
      <c r="Q40" s="150">
        <v>0</v>
      </c>
      <c r="R40" s="150">
        <v>0</v>
      </c>
      <c r="S40" s="150">
        <v>0</v>
      </c>
      <c r="T40" s="150">
        <v>0</v>
      </c>
      <c r="U40" s="150">
        <v>0</v>
      </c>
      <c r="V40" s="150">
        <v>0</v>
      </c>
      <c r="W40" s="150">
        <v>0</v>
      </c>
      <c r="X40" s="150">
        <v>0</v>
      </c>
      <c r="Y40" s="150">
        <v>0</v>
      </c>
      <c r="Z40" s="150">
        <v>0</v>
      </c>
      <c r="AA40" s="150">
        <v>0</v>
      </c>
      <c r="AB40" s="150">
        <v>0</v>
      </c>
      <c r="AC40" s="150">
        <v>0</v>
      </c>
      <c r="AD40" s="150">
        <v>0</v>
      </c>
      <c r="AE40" s="150">
        <v>0</v>
      </c>
      <c r="AF40" s="150">
        <v>0</v>
      </c>
      <c r="AG40" s="150">
        <v>0</v>
      </c>
      <c r="AH40" s="150">
        <v>0</v>
      </c>
      <c r="AI40" s="150">
        <v>0</v>
      </c>
      <c r="AJ40" s="150">
        <v>0</v>
      </c>
      <c r="AK40" s="150">
        <v>0</v>
      </c>
      <c r="AL40" s="150">
        <v>0</v>
      </c>
      <c r="AM40" s="150">
        <v>0</v>
      </c>
      <c r="AN40" s="150">
        <v>0</v>
      </c>
      <c r="AO40" s="150">
        <v>0</v>
      </c>
      <c r="AP40" s="150">
        <v>0</v>
      </c>
      <c r="AQ40" s="150">
        <v>0</v>
      </c>
      <c r="AR40" s="150">
        <v>0</v>
      </c>
      <c r="AS40" s="150">
        <v>0</v>
      </c>
      <c r="AT40" s="150">
        <v>0</v>
      </c>
      <c r="AU40" s="150">
        <v>0</v>
      </c>
      <c r="AV40" s="150">
        <v>0</v>
      </c>
      <c r="AW40" s="150">
        <v>0</v>
      </c>
      <c r="AX40" s="150">
        <v>0</v>
      </c>
      <c r="AY40" s="150">
        <v>0</v>
      </c>
      <c r="AZ40" s="150">
        <v>0</v>
      </c>
    </row>
    <row r="41" spans="1:52" x14ac:dyDescent="0.15">
      <c r="A41" s="155" t="s">
        <v>231</v>
      </c>
      <c r="B41" s="150">
        <v>0.12010810869568667</v>
      </c>
      <c r="C41" s="150">
        <v>0</v>
      </c>
      <c r="D41" s="150">
        <v>0</v>
      </c>
      <c r="E41" s="150">
        <v>1.5048132140211393E-4</v>
      </c>
      <c r="F41" s="150">
        <v>0</v>
      </c>
      <c r="G41" s="150">
        <v>0</v>
      </c>
      <c r="H41" s="150">
        <v>0</v>
      </c>
      <c r="I41" s="150">
        <v>0</v>
      </c>
      <c r="J41" s="150">
        <v>5.199984662869394E-2</v>
      </c>
      <c r="K41" s="150">
        <v>2.3980846861947239E-2</v>
      </c>
      <c r="L41" s="150">
        <v>4.8872724415528715E-2</v>
      </c>
      <c r="M41" s="150">
        <v>2.5019923011808762E-2</v>
      </c>
      <c r="N41" s="150">
        <v>0</v>
      </c>
      <c r="O41" s="150">
        <v>0</v>
      </c>
      <c r="P41" s="150">
        <v>0</v>
      </c>
      <c r="Q41" s="150">
        <v>1E-3</v>
      </c>
      <c r="R41" s="150">
        <v>1.8E-3</v>
      </c>
      <c r="S41" s="150">
        <v>0.27154038595139857</v>
      </c>
      <c r="T41" s="150">
        <v>0</v>
      </c>
      <c r="U41" s="150">
        <v>0</v>
      </c>
      <c r="V41" s="150">
        <v>0</v>
      </c>
      <c r="W41" s="150">
        <v>1.1020942478049847E-2</v>
      </c>
      <c r="X41" s="150">
        <v>6.1183575189277903E-2</v>
      </c>
      <c r="Y41" s="150">
        <v>8.7974021096068333E-2</v>
      </c>
      <c r="Z41" s="150">
        <v>0.10203077858715347</v>
      </c>
      <c r="AA41" s="150">
        <v>0.01</v>
      </c>
      <c r="AB41" s="150">
        <v>0</v>
      </c>
      <c r="AC41" s="150">
        <v>5.9999997699000177E-2</v>
      </c>
      <c r="AD41" s="150">
        <v>0</v>
      </c>
      <c r="AE41" s="150">
        <v>0</v>
      </c>
      <c r="AF41" s="150">
        <v>0</v>
      </c>
      <c r="AG41" s="150">
        <v>0</v>
      </c>
      <c r="AH41" s="150">
        <v>0</v>
      </c>
      <c r="AI41" s="150">
        <v>0</v>
      </c>
      <c r="AJ41" s="150">
        <v>0</v>
      </c>
      <c r="AK41" s="150">
        <v>0</v>
      </c>
      <c r="AL41" s="150">
        <v>0</v>
      </c>
      <c r="AM41" s="150">
        <v>0</v>
      </c>
      <c r="AN41" s="150">
        <v>1.0000000723399938E-3</v>
      </c>
      <c r="AO41" s="150">
        <v>0</v>
      </c>
      <c r="AP41" s="150">
        <v>1.0000000000000002E-2</v>
      </c>
      <c r="AQ41" s="150">
        <v>0</v>
      </c>
      <c r="AR41" s="150">
        <v>0</v>
      </c>
      <c r="AS41" s="150">
        <v>0</v>
      </c>
      <c r="AT41" s="150">
        <v>0</v>
      </c>
      <c r="AU41" s="150">
        <v>0</v>
      </c>
      <c r="AV41" s="150">
        <v>0</v>
      </c>
      <c r="AW41" s="150">
        <v>0</v>
      </c>
      <c r="AX41" s="150">
        <v>0</v>
      </c>
      <c r="AY41" s="150">
        <v>0</v>
      </c>
      <c r="AZ41" s="150">
        <v>0</v>
      </c>
    </row>
    <row r="42" spans="1:52" x14ac:dyDescent="0.15">
      <c r="A42" s="155" t="s">
        <v>232</v>
      </c>
      <c r="B42" s="150">
        <v>9.9970110907536634E-5</v>
      </c>
      <c r="C42" s="150">
        <v>0</v>
      </c>
      <c r="D42" s="150">
        <v>0</v>
      </c>
      <c r="E42" s="150">
        <v>0</v>
      </c>
      <c r="F42" s="150">
        <v>0</v>
      </c>
      <c r="G42" s="150">
        <v>0</v>
      </c>
      <c r="H42" s="150">
        <v>0</v>
      </c>
      <c r="I42" s="150">
        <v>0</v>
      </c>
      <c r="J42" s="150">
        <v>9.969919353620219E-6</v>
      </c>
      <c r="K42" s="150">
        <v>0</v>
      </c>
      <c r="L42" s="150">
        <v>0</v>
      </c>
      <c r="M42" s="150">
        <v>0</v>
      </c>
      <c r="N42" s="150">
        <v>0</v>
      </c>
      <c r="O42" s="150">
        <v>0</v>
      </c>
      <c r="P42" s="150">
        <v>0</v>
      </c>
      <c r="Q42" s="150">
        <v>0</v>
      </c>
      <c r="R42" s="150">
        <v>0</v>
      </c>
      <c r="S42" s="150">
        <v>9.9998090518185314E-6</v>
      </c>
      <c r="T42" s="150">
        <v>0</v>
      </c>
      <c r="U42" s="150">
        <v>0</v>
      </c>
      <c r="V42" s="150">
        <v>0</v>
      </c>
      <c r="W42" s="150">
        <v>9.9970013632447107E-5</v>
      </c>
      <c r="X42" s="150">
        <v>0</v>
      </c>
      <c r="Y42" s="150">
        <v>9.9611611241061067E-5</v>
      </c>
      <c r="Z42" s="150">
        <v>0</v>
      </c>
      <c r="AA42" s="150">
        <v>0</v>
      </c>
      <c r="AB42" s="150">
        <v>0</v>
      </c>
      <c r="AC42" s="150">
        <v>0</v>
      </c>
      <c r="AD42" s="150">
        <v>0</v>
      </c>
      <c r="AE42" s="150">
        <v>0</v>
      </c>
      <c r="AF42" s="150">
        <v>0</v>
      </c>
      <c r="AG42" s="150">
        <v>0</v>
      </c>
      <c r="AH42" s="150">
        <v>0</v>
      </c>
      <c r="AI42" s="150">
        <v>0</v>
      </c>
      <c r="AJ42" s="150">
        <v>0</v>
      </c>
      <c r="AK42" s="150">
        <v>0</v>
      </c>
      <c r="AL42" s="150">
        <v>0</v>
      </c>
      <c r="AM42" s="150">
        <v>0</v>
      </c>
      <c r="AN42" s="150">
        <v>0</v>
      </c>
      <c r="AO42" s="150">
        <v>0</v>
      </c>
      <c r="AP42" s="150">
        <v>0</v>
      </c>
      <c r="AQ42" s="150">
        <v>0</v>
      </c>
      <c r="AR42" s="150">
        <v>0</v>
      </c>
      <c r="AS42" s="150">
        <v>0</v>
      </c>
      <c r="AT42" s="150">
        <v>0</v>
      </c>
      <c r="AU42" s="150">
        <v>0</v>
      </c>
      <c r="AV42" s="150">
        <v>0</v>
      </c>
      <c r="AW42" s="150">
        <v>0</v>
      </c>
      <c r="AX42" s="150">
        <v>0</v>
      </c>
      <c r="AY42" s="150">
        <v>0</v>
      </c>
      <c r="AZ42" s="150">
        <v>0</v>
      </c>
    </row>
    <row r="43" spans="1:52" x14ac:dyDescent="0.15">
      <c r="A43" s="155" t="s">
        <v>233</v>
      </c>
      <c r="B43" s="150">
        <v>0.12010810869568667</v>
      </c>
      <c r="C43" s="150">
        <v>0</v>
      </c>
      <c r="D43" s="150">
        <v>0</v>
      </c>
      <c r="E43" s="150">
        <v>6.8989977892043655E-2</v>
      </c>
      <c r="F43" s="150">
        <v>0</v>
      </c>
      <c r="G43" s="150">
        <v>0</v>
      </c>
      <c r="H43" s="150">
        <v>6.9780935264177266E-3</v>
      </c>
      <c r="I43" s="150">
        <v>0</v>
      </c>
      <c r="J43" s="150">
        <v>3.8999882771520597E-2</v>
      </c>
      <c r="K43" s="150">
        <v>7.8936951418674572E-2</v>
      </c>
      <c r="L43" s="150">
        <v>2.9922076631956362E-3</v>
      </c>
      <c r="M43" s="150">
        <v>1.3010359666201718E-2</v>
      </c>
      <c r="N43" s="150">
        <v>1.5007518362911129E-2</v>
      </c>
      <c r="O43" s="150">
        <v>2.2006638975963503E-2</v>
      </c>
      <c r="P43" s="150">
        <v>0</v>
      </c>
      <c r="Q43" s="150">
        <v>2.1000000000000001E-2</v>
      </c>
      <c r="R43" s="150">
        <v>0</v>
      </c>
      <c r="S43" s="150">
        <v>1.7033898446031728E-2</v>
      </c>
      <c r="T43" s="150">
        <v>0.17482517700349631</v>
      </c>
      <c r="U43" s="150">
        <v>3.5000000000000003E-2</v>
      </c>
      <c r="V43" s="150">
        <v>0</v>
      </c>
      <c r="W43" s="150">
        <v>2.1039980739948755E-2</v>
      </c>
      <c r="X43" s="150">
        <v>0.10230695911977505</v>
      </c>
      <c r="Y43" s="150">
        <v>7.7976970971515097E-2</v>
      </c>
      <c r="Z43" s="150">
        <v>5.0015085455945539E-3</v>
      </c>
      <c r="AA43" s="150">
        <v>0.02</v>
      </c>
      <c r="AB43" s="150">
        <v>0.01</v>
      </c>
      <c r="AC43" s="150">
        <v>0.11999999559800034</v>
      </c>
      <c r="AD43" s="150">
        <v>6.0000000000000001E-3</v>
      </c>
      <c r="AE43" s="150">
        <v>0</v>
      </c>
      <c r="AF43" s="150">
        <v>0</v>
      </c>
      <c r="AG43" s="150">
        <v>0</v>
      </c>
      <c r="AH43" s="150">
        <v>0</v>
      </c>
      <c r="AI43" s="150">
        <v>1.1987999999999997E-2</v>
      </c>
      <c r="AJ43" s="150">
        <v>0</v>
      </c>
      <c r="AK43" s="150">
        <v>0</v>
      </c>
      <c r="AL43" s="150">
        <v>0</v>
      </c>
      <c r="AM43" s="150">
        <v>0</v>
      </c>
      <c r="AN43" s="150">
        <v>1.9999999646800031E-2</v>
      </c>
      <c r="AO43" s="150">
        <v>5.0050051074274236E-3</v>
      </c>
      <c r="AP43" s="150">
        <v>2.0000000000000004E-2</v>
      </c>
      <c r="AQ43" s="150">
        <v>0</v>
      </c>
      <c r="AR43" s="150">
        <v>0</v>
      </c>
      <c r="AS43" s="150">
        <v>0</v>
      </c>
      <c r="AT43" s="150">
        <v>0</v>
      </c>
      <c r="AU43" s="150">
        <v>0</v>
      </c>
      <c r="AV43" s="150">
        <v>0</v>
      </c>
      <c r="AW43" s="150">
        <v>0</v>
      </c>
      <c r="AX43" s="150">
        <v>0</v>
      </c>
      <c r="AY43" s="150">
        <v>0</v>
      </c>
      <c r="AZ43" s="150">
        <v>0</v>
      </c>
    </row>
    <row r="44" spans="1:52" x14ac:dyDescent="0.15">
      <c r="A44" s="155" t="s">
        <v>234</v>
      </c>
      <c r="B44" s="150">
        <v>5.0045046956369507E-2</v>
      </c>
      <c r="C44" s="150">
        <v>0</v>
      </c>
      <c r="D44" s="150">
        <v>0</v>
      </c>
      <c r="E44" s="150">
        <v>0</v>
      </c>
      <c r="F44" s="150">
        <v>0</v>
      </c>
      <c r="G44" s="150">
        <v>0</v>
      </c>
      <c r="H44" s="150">
        <v>0</v>
      </c>
      <c r="I44" s="150">
        <v>0</v>
      </c>
      <c r="J44" s="150">
        <v>3.9999882906687585E-3</v>
      </c>
      <c r="K44" s="150">
        <v>1.9952109208695886E-4</v>
      </c>
      <c r="L44" s="150">
        <v>0.29722696631077095</v>
      </c>
      <c r="M44" s="150">
        <v>0.11409084793405183</v>
      </c>
      <c r="N44" s="150">
        <v>0</v>
      </c>
      <c r="O44" s="150">
        <v>9.9790443810382547E-5</v>
      </c>
      <c r="P44" s="150">
        <v>7.3073069399099341E-2</v>
      </c>
      <c r="Q44" s="150">
        <v>6.0000000000000001E-3</v>
      </c>
      <c r="R44" s="150">
        <v>0.10231</v>
      </c>
      <c r="S44" s="150">
        <v>3.0059819551833049E-3</v>
      </c>
      <c r="T44" s="150">
        <v>0</v>
      </c>
      <c r="U44" s="150">
        <v>0</v>
      </c>
      <c r="V44" s="150">
        <v>0</v>
      </c>
      <c r="W44" s="150">
        <v>3.0057114585716705E-3</v>
      </c>
      <c r="X44" s="150">
        <v>1.705115991996254E-2</v>
      </c>
      <c r="Y44" s="150">
        <v>0.31890580397324747</v>
      </c>
      <c r="Z44" s="150">
        <v>0.37211227112753725</v>
      </c>
      <c r="AA44" s="150">
        <v>0.1</v>
      </c>
      <c r="AB44" s="150">
        <v>0.01</v>
      </c>
      <c r="AC44" s="150">
        <v>1.999999983300001E-2</v>
      </c>
      <c r="AD44" s="150">
        <v>0</v>
      </c>
      <c r="AE44" s="150">
        <v>0</v>
      </c>
      <c r="AF44" s="150">
        <v>0</v>
      </c>
      <c r="AG44" s="150">
        <v>0</v>
      </c>
      <c r="AH44" s="150">
        <v>0</v>
      </c>
      <c r="AI44" s="150">
        <v>0</v>
      </c>
      <c r="AJ44" s="150">
        <v>0</v>
      </c>
      <c r="AK44" s="150">
        <v>0</v>
      </c>
      <c r="AL44" s="150">
        <v>0</v>
      </c>
      <c r="AM44" s="150">
        <v>0</v>
      </c>
      <c r="AN44" s="150">
        <v>0.30300000643901948</v>
      </c>
      <c r="AO44" s="150">
        <v>5.2052052805245219E-2</v>
      </c>
      <c r="AP44" s="150">
        <v>0.30000000000000004</v>
      </c>
      <c r="AQ44" s="150">
        <v>0</v>
      </c>
      <c r="AR44" s="150">
        <v>0</v>
      </c>
      <c r="AS44" s="150">
        <v>0</v>
      </c>
      <c r="AT44" s="150">
        <v>0</v>
      </c>
      <c r="AU44" s="150">
        <v>0</v>
      </c>
      <c r="AV44" s="150">
        <v>0</v>
      </c>
      <c r="AW44" s="150">
        <v>0</v>
      </c>
      <c r="AX44" s="150">
        <v>0</v>
      </c>
      <c r="AY44" s="150">
        <v>0</v>
      </c>
      <c r="AZ44" s="150">
        <v>0</v>
      </c>
    </row>
    <row r="45" spans="1:52" x14ac:dyDescent="0.15">
      <c r="A45" s="155" t="s">
        <v>235</v>
      </c>
      <c r="B45" s="150">
        <v>0.10009009391273901</v>
      </c>
      <c r="C45" s="150">
        <v>0</v>
      </c>
      <c r="D45" s="150">
        <v>0</v>
      </c>
      <c r="E45" s="150">
        <v>0</v>
      </c>
      <c r="F45" s="150">
        <v>0</v>
      </c>
      <c r="G45" s="150">
        <v>0</v>
      </c>
      <c r="H45" s="150">
        <v>0</v>
      </c>
      <c r="I45" s="150">
        <v>0</v>
      </c>
      <c r="J45" s="150">
        <v>5.9999819710031691E-3</v>
      </c>
      <c r="K45" s="150">
        <v>1.6986433231349362E-2</v>
      </c>
      <c r="L45" s="150">
        <v>1.695584327477527E-2</v>
      </c>
      <c r="M45" s="150">
        <v>0.1130900520133756</v>
      </c>
      <c r="N45" s="150">
        <v>0</v>
      </c>
      <c r="O45" s="150">
        <v>0</v>
      </c>
      <c r="P45" s="150">
        <v>0.4044044054306305</v>
      </c>
      <c r="Q45" s="150">
        <v>0.66</v>
      </c>
      <c r="R45" s="150">
        <v>0.13181300000000001</v>
      </c>
      <c r="S45" s="150">
        <v>7.013957895427711E-2</v>
      </c>
      <c r="T45" s="150">
        <v>2.4975025900499426E-2</v>
      </c>
      <c r="U45" s="150">
        <v>0</v>
      </c>
      <c r="V45" s="150">
        <v>0</v>
      </c>
      <c r="W45" s="150">
        <v>3.0057114585716705E-3</v>
      </c>
      <c r="X45" s="150">
        <v>1.8054168632901223E-2</v>
      </c>
      <c r="Y45" s="150">
        <v>8.6974311083612948E-2</v>
      </c>
      <c r="Z45" s="150">
        <v>0.10203077858715347</v>
      </c>
      <c r="AA45" s="150">
        <v>0.2</v>
      </c>
      <c r="AB45" s="150">
        <v>0.01</v>
      </c>
      <c r="AC45" s="150">
        <v>1.4999999424750044E-2</v>
      </c>
      <c r="AD45" s="150">
        <v>0</v>
      </c>
      <c r="AE45" s="150">
        <v>0</v>
      </c>
      <c r="AF45" s="150">
        <v>0</v>
      </c>
      <c r="AG45" s="150">
        <v>0</v>
      </c>
      <c r="AH45" s="150">
        <v>0</v>
      </c>
      <c r="AI45" s="150">
        <v>2.9969999999999992E-3</v>
      </c>
      <c r="AJ45" s="150">
        <v>0</v>
      </c>
      <c r="AK45" s="150">
        <v>0</v>
      </c>
      <c r="AL45" s="150">
        <v>0</v>
      </c>
      <c r="AM45" s="150">
        <v>0</v>
      </c>
      <c r="AN45" s="150">
        <v>0.30300000643901948</v>
      </c>
      <c r="AO45" s="150">
        <v>0.10510510637597593</v>
      </c>
      <c r="AP45" s="150">
        <v>0.30000000000000004</v>
      </c>
      <c r="AQ45" s="150">
        <v>1.4999999999999999E-2</v>
      </c>
      <c r="AR45" s="150">
        <v>0</v>
      </c>
      <c r="AS45" s="150">
        <v>0</v>
      </c>
      <c r="AT45" s="150">
        <v>0</v>
      </c>
      <c r="AU45" s="150">
        <v>0</v>
      </c>
      <c r="AV45" s="150">
        <v>0</v>
      </c>
      <c r="AW45" s="150">
        <v>0</v>
      </c>
      <c r="AX45" s="150">
        <v>0</v>
      </c>
      <c r="AY45" s="150">
        <v>0</v>
      </c>
      <c r="AZ45" s="150">
        <v>0</v>
      </c>
    </row>
    <row r="46" spans="1:52" x14ac:dyDescent="0.15">
      <c r="A46" s="155" t="s">
        <v>236</v>
      </c>
      <c r="B46" s="150">
        <v>0.30027028173821707</v>
      </c>
      <c r="C46" s="150">
        <v>0</v>
      </c>
      <c r="D46" s="150">
        <v>0</v>
      </c>
      <c r="E46" s="150">
        <v>1.195877963460511E-5</v>
      </c>
      <c r="F46" s="150">
        <v>0</v>
      </c>
      <c r="G46" s="150">
        <v>0.9</v>
      </c>
      <c r="H46" s="150">
        <v>0</v>
      </c>
      <c r="I46" s="150">
        <v>0</v>
      </c>
      <c r="J46" s="150">
        <v>2.0999936838511091E-2</v>
      </c>
      <c r="K46" s="150">
        <v>4.996009300774846E-3</v>
      </c>
      <c r="L46" s="150">
        <v>5.9844150263912703E-2</v>
      </c>
      <c r="M46" s="150">
        <v>2.2017532150412099E-2</v>
      </c>
      <c r="N46" s="150">
        <v>0</v>
      </c>
      <c r="O46" s="150">
        <v>0</v>
      </c>
      <c r="P46" s="150">
        <v>3.0030028027027155E-2</v>
      </c>
      <c r="Q46" s="150">
        <v>1.0999999999999999E-2</v>
      </c>
      <c r="R46" s="150">
        <v>5.6306000000000002E-2</v>
      </c>
      <c r="S46" s="150">
        <v>1.0019939850611015E-3</v>
      </c>
      <c r="T46" s="150">
        <v>0</v>
      </c>
      <c r="U46" s="150">
        <v>0</v>
      </c>
      <c r="V46" s="150">
        <v>0</v>
      </c>
      <c r="W46" s="150">
        <v>0</v>
      </c>
      <c r="X46" s="150">
        <v>0</v>
      </c>
      <c r="Y46" s="150">
        <v>2.699202893629369E-2</v>
      </c>
      <c r="Z46" s="150">
        <v>3.2009656850296477E-2</v>
      </c>
      <c r="AA46" s="150">
        <v>0.05</v>
      </c>
      <c r="AB46" s="150">
        <v>0</v>
      </c>
      <c r="AC46" s="150">
        <v>4.9999999582500025E-3</v>
      </c>
      <c r="AD46" s="150">
        <v>0</v>
      </c>
      <c r="AE46" s="150">
        <v>0</v>
      </c>
      <c r="AF46" s="150">
        <v>0</v>
      </c>
      <c r="AG46" s="150">
        <v>0</v>
      </c>
      <c r="AH46" s="150">
        <v>0</v>
      </c>
      <c r="AI46" s="150">
        <v>0</v>
      </c>
      <c r="AJ46" s="150">
        <v>0</v>
      </c>
      <c r="AK46" s="150">
        <v>0</v>
      </c>
      <c r="AL46" s="150">
        <v>0</v>
      </c>
      <c r="AM46" s="150">
        <v>0</v>
      </c>
      <c r="AN46" s="150">
        <v>0.1199999944808005</v>
      </c>
      <c r="AO46" s="150">
        <v>0.26226224595719777</v>
      </c>
      <c r="AP46" s="150">
        <v>0.12000000000000001</v>
      </c>
      <c r="AQ46" s="150">
        <v>0</v>
      </c>
      <c r="AR46" s="150">
        <v>0</v>
      </c>
      <c r="AS46" s="150">
        <v>0</v>
      </c>
      <c r="AT46" s="150">
        <v>0</v>
      </c>
      <c r="AU46" s="150">
        <v>0</v>
      </c>
      <c r="AV46" s="150">
        <v>0</v>
      </c>
      <c r="AW46" s="150">
        <v>0</v>
      </c>
      <c r="AX46" s="150">
        <v>0</v>
      </c>
      <c r="AY46" s="150">
        <v>0</v>
      </c>
      <c r="AZ46" s="150">
        <v>0</v>
      </c>
    </row>
    <row r="47" spans="1:52" x14ac:dyDescent="0.15">
      <c r="A47" s="155" t="s">
        <v>237</v>
      </c>
      <c r="B47" s="150">
        <v>0.20018018782547803</v>
      </c>
      <c r="C47" s="150">
        <v>0</v>
      </c>
      <c r="D47" s="150">
        <v>0</v>
      </c>
      <c r="E47" s="150">
        <v>6.9759547868529799E-6</v>
      </c>
      <c r="F47" s="150">
        <v>0</v>
      </c>
      <c r="G47" s="150">
        <v>0.1</v>
      </c>
      <c r="H47" s="150">
        <v>0</v>
      </c>
      <c r="I47" s="150">
        <v>0</v>
      </c>
      <c r="J47" s="150">
        <v>1.2999961257173511E-2</v>
      </c>
      <c r="K47" s="150">
        <v>0.1388890618289306</v>
      </c>
      <c r="L47" s="150">
        <v>7.4805190329890886E-2</v>
      </c>
      <c r="M47" s="150">
        <v>0.14311396362673062</v>
      </c>
      <c r="N47" s="150">
        <v>2.0010026049765931E-3</v>
      </c>
      <c r="O47" s="150">
        <v>4.001207449921205E-3</v>
      </c>
      <c r="P47" s="150">
        <v>0.37037037566666625</v>
      </c>
      <c r="Q47" s="150">
        <v>0.29099999999999998</v>
      </c>
      <c r="R47" s="150">
        <v>0.636764</v>
      </c>
      <c r="S47" s="150">
        <v>3.8075769432341852E-2</v>
      </c>
      <c r="T47" s="150">
        <v>2.4975025900499426E-2</v>
      </c>
      <c r="U47" s="150">
        <v>0</v>
      </c>
      <c r="V47" s="150">
        <v>0.29999999999999993</v>
      </c>
      <c r="W47" s="150">
        <v>1.0019038161908897E-2</v>
      </c>
      <c r="X47" s="150">
        <v>5.9177554363399124E-2</v>
      </c>
      <c r="Y47" s="150">
        <v>0.18694480232914529</v>
      </c>
      <c r="Z47" s="150">
        <v>0.2170654740865616</v>
      </c>
      <c r="AA47" s="150">
        <v>0.47199999999999998</v>
      </c>
      <c r="AB47" s="150">
        <v>0.01</v>
      </c>
      <c r="AC47" s="150">
        <v>1.999999983300001E-2</v>
      </c>
      <c r="AD47" s="150">
        <v>0</v>
      </c>
      <c r="AE47" s="150">
        <v>0</v>
      </c>
      <c r="AF47" s="150">
        <v>0</v>
      </c>
      <c r="AG47" s="150">
        <v>0</v>
      </c>
      <c r="AH47" s="150">
        <v>0.1</v>
      </c>
      <c r="AI47" s="150">
        <v>1.8980999999999998E-2</v>
      </c>
      <c r="AJ47" s="150">
        <v>0</v>
      </c>
      <c r="AK47" s="150">
        <v>0</v>
      </c>
      <c r="AL47" s="150">
        <v>0</v>
      </c>
      <c r="AM47" s="150">
        <v>0</v>
      </c>
      <c r="AN47" s="150">
        <v>0.1199999944808005</v>
      </c>
      <c r="AO47" s="150">
        <v>0.15715716258122106</v>
      </c>
      <c r="AP47" s="150">
        <v>0.12000000000000001</v>
      </c>
      <c r="AQ47" s="150">
        <v>1.4999999999999999E-2</v>
      </c>
      <c r="AR47" s="150">
        <v>0</v>
      </c>
      <c r="AS47" s="150">
        <v>0</v>
      </c>
      <c r="AT47" s="150">
        <v>0</v>
      </c>
      <c r="AU47" s="150">
        <v>0</v>
      </c>
      <c r="AV47" s="150">
        <v>0</v>
      </c>
      <c r="AW47" s="150">
        <v>0</v>
      </c>
      <c r="AX47" s="150">
        <v>0</v>
      </c>
      <c r="AY47" s="150">
        <v>0</v>
      </c>
      <c r="AZ47" s="150">
        <v>0</v>
      </c>
    </row>
    <row r="48" spans="1:52" x14ac:dyDescent="0.15">
      <c r="A48" s="155" t="s">
        <v>238</v>
      </c>
      <c r="B48" s="150">
        <v>0</v>
      </c>
      <c r="C48" s="150">
        <v>0.12399999727983968</v>
      </c>
      <c r="D48" s="150">
        <v>0</v>
      </c>
      <c r="E48" s="150">
        <v>1.4997821741748605E-2</v>
      </c>
      <c r="F48" s="150">
        <v>0</v>
      </c>
      <c r="G48" s="150">
        <v>0</v>
      </c>
      <c r="H48" s="150">
        <v>0</v>
      </c>
      <c r="I48" s="150">
        <v>0.95689999999999997</v>
      </c>
      <c r="J48" s="150">
        <v>4.8999850223192705E-2</v>
      </c>
      <c r="K48" s="150">
        <v>0.19184677469573755</v>
      </c>
      <c r="L48" s="150">
        <v>2.0945454092369451E-2</v>
      </c>
      <c r="M48" s="150">
        <v>9.4074906525216453E-2</v>
      </c>
      <c r="N48" s="150">
        <v>4.0020051999581797E-3</v>
      </c>
      <c r="O48" s="150">
        <v>2.9008751613604986E-2</v>
      </c>
      <c r="P48" s="150">
        <v>4.304304437207198E-2</v>
      </c>
      <c r="Q48" s="150">
        <v>1E-3</v>
      </c>
      <c r="R48" s="150">
        <v>0</v>
      </c>
      <c r="S48" s="150">
        <v>2.0039879701222031E-3</v>
      </c>
      <c r="T48" s="150">
        <v>0.17482517700349631</v>
      </c>
      <c r="U48" s="150">
        <v>0.53800000000000003</v>
      </c>
      <c r="V48" s="150">
        <v>4.9999999999999989E-2</v>
      </c>
      <c r="W48" s="150">
        <v>4.0076152847615613E-2</v>
      </c>
      <c r="X48" s="150">
        <v>0.26469410897456463</v>
      </c>
      <c r="Y48" s="150">
        <v>7.3978150921693797E-2</v>
      </c>
      <c r="Z48" s="150">
        <v>8.7026253000334869E-2</v>
      </c>
      <c r="AA48" s="150">
        <v>0.05</v>
      </c>
      <c r="AB48" s="150">
        <v>0.80100000000000005</v>
      </c>
      <c r="AC48" s="150">
        <v>1.999999983300001E-2</v>
      </c>
      <c r="AD48" s="150">
        <v>1.2500000000000001E-2</v>
      </c>
      <c r="AE48" s="150">
        <v>0.34974872862170864</v>
      </c>
      <c r="AF48" s="150">
        <v>0.35</v>
      </c>
      <c r="AG48" s="150">
        <v>0.64</v>
      </c>
      <c r="AH48" s="150">
        <v>0.51300000000000001</v>
      </c>
      <c r="AI48" s="150">
        <v>0.29470499999999994</v>
      </c>
      <c r="AJ48" s="150">
        <v>0.75</v>
      </c>
      <c r="AK48" s="150">
        <v>0.45</v>
      </c>
      <c r="AL48" s="150">
        <v>0.3038933404185547</v>
      </c>
      <c r="AM48" s="150">
        <v>0.5</v>
      </c>
      <c r="AN48" s="150">
        <v>1.9999999646800031E-2</v>
      </c>
      <c r="AO48" s="150">
        <v>0.2092092117864664</v>
      </c>
      <c r="AP48" s="150">
        <v>2.0000000000000004E-2</v>
      </c>
      <c r="AQ48" s="150">
        <v>0.12</v>
      </c>
      <c r="AR48" s="150">
        <v>0</v>
      </c>
      <c r="AS48" s="150">
        <v>0</v>
      </c>
      <c r="AT48" s="150">
        <v>0</v>
      </c>
      <c r="AU48" s="150">
        <v>0</v>
      </c>
      <c r="AV48" s="150">
        <v>1.0000000000000002E-2</v>
      </c>
      <c r="AW48" s="150">
        <v>0</v>
      </c>
      <c r="AX48" s="150">
        <v>0</v>
      </c>
      <c r="AY48" s="150">
        <v>0</v>
      </c>
      <c r="AZ48" s="150">
        <v>0</v>
      </c>
    </row>
    <row r="49" spans="1:52" x14ac:dyDescent="0.15">
      <c r="A49" s="155" t="s">
        <v>239</v>
      </c>
      <c r="B49" s="150">
        <v>1.0009009391273901E-2</v>
      </c>
      <c r="C49" s="150">
        <v>9.899999600083953E-2</v>
      </c>
      <c r="D49" s="150">
        <v>0</v>
      </c>
      <c r="E49" s="150">
        <v>0</v>
      </c>
      <c r="F49" s="150">
        <v>0</v>
      </c>
      <c r="G49" s="150">
        <v>0</v>
      </c>
      <c r="H49" s="150">
        <v>0</v>
      </c>
      <c r="I49" s="150">
        <v>4.3099999999999999E-2</v>
      </c>
      <c r="J49" s="150">
        <v>0</v>
      </c>
      <c r="K49" s="150">
        <v>1.9952109208695886E-4</v>
      </c>
      <c r="L49" s="150">
        <v>0</v>
      </c>
      <c r="M49" s="150">
        <v>1.0193772416285925E-4</v>
      </c>
      <c r="N49" s="150">
        <v>0</v>
      </c>
      <c r="O49" s="150">
        <v>0</v>
      </c>
      <c r="P49" s="150">
        <v>0</v>
      </c>
      <c r="Q49" s="150">
        <v>0</v>
      </c>
      <c r="R49" s="150">
        <v>0</v>
      </c>
      <c r="S49" s="150">
        <v>1.0019939850611015E-3</v>
      </c>
      <c r="T49" s="150">
        <v>0</v>
      </c>
      <c r="U49" s="150">
        <v>0.161</v>
      </c>
      <c r="V49" s="150">
        <v>0</v>
      </c>
      <c r="W49" s="150">
        <v>3.0057114585716705E-3</v>
      </c>
      <c r="X49" s="150">
        <v>1.5045140594084381E-2</v>
      </c>
      <c r="Y49" s="150">
        <v>6.9979330871872483E-3</v>
      </c>
      <c r="Z49" s="150">
        <v>9.0027155519514599E-3</v>
      </c>
      <c r="AA49" s="150">
        <v>0.05</v>
      </c>
      <c r="AB49" s="150">
        <v>0.05</v>
      </c>
      <c r="AC49" s="150">
        <v>0</v>
      </c>
      <c r="AD49" s="150">
        <v>0</v>
      </c>
      <c r="AE49" s="150">
        <v>0.64321609562613058</v>
      </c>
      <c r="AF49" s="150">
        <v>0.65</v>
      </c>
      <c r="AG49" s="150">
        <v>0.32</v>
      </c>
      <c r="AH49" s="150">
        <v>0.38700000000000001</v>
      </c>
      <c r="AI49" s="150">
        <v>1.2986999999999997E-2</v>
      </c>
      <c r="AJ49" s="150">
        <v>0.25</v>
      </c>
      <c r="AK49" s="150">
        <v>0.45</v>
      </c>
      <c r="AL49" s="150">
        <v>0</v>
      </c>
      <c r="AM49" s="150">
        <v>0.5</v>
      </c>
      <c r="AN49" s="150">
        <v>9.9999998234000156E-3</v>
      </c>
      <c r="AO49" s="150">
        <v>0.15715716258122106</v>
      </c>
      <c r="AP49" s="150">
        <v>1.0000000000000002E-2</v>
      </c>
      <c r="AQ49" s="150">
        <v>0.24</v>
      </c>
      <c r="AR49" s="150">
        <v>0</v>
      </c>
      <c r="AS49" s="150">
        <v>0</v>
      </c>
      <c r="AT49" s="150">
        <v>0</v>
      </c>
      <c r="AU49" s="150">
        <v>0</v>
      </c>
      <c r="AV49" s="150">
        <v>0.30000000000000004</v>
      </c>
      <c r="AW49" s="150">
        <v>0</v>
      </c>
      <c r="AX49" s="150">
        <v>0</v>
      </c>
      <c r="AY49" s="150">
        <v>0</v>
      </c>
      <c r="AZ49" s="150">
        <v>0</v>
      </c>
    </row>
    <row r="50" spans="1:52" x14ac:dyDescent="0.15">
      <c r="A50" s="155" t="s">
        <v>240</v>
      </c>
      <c r="B50" s="150">
        <v>0</v>
      </c>
      <c r="C50" s="150">
        <v>0</v>
      </c>
      <c r="D50" s="150">
        <v>0</v>
      </c>
      <c r="E50" s="150">
        <v>0</v>
      </c>
      <c r="F50" s="150">
        <v>0</v>
      </c>
      <c r="G50" s="150">
        <v>0</v>
      </c>
      <c r="H50" s="150">
        <v>0</v>
      </c>
      <c r="I50" s="150">
        <v>0</v>
      </c>
      <c r="J50" s="150">
        <v>0</v>
      </c>
      <c r="K50" s="150">
        <v>0</v>
      </c>
      <c r="L50" s="150">
        <v>0</v>
      </c>
      <c r="M50" s="150">
        <v>0</v>
      </c>
      <c r="N50" s="150">
        <v>0</v>
      </c>
      <c r="O50" s="150">
        <v>0</v>
      </c>
      <c r="P50" s="150">
        <v>0</v>
      </c>
      <c r="Q50" s="150">
        <v>0</v>
      </c>
      <c r="R50" s="150">
        <v>0</v>
      </c>
      <c r="S50" s="150">
        <v>0</v>
      </c>
      <c r="T50" s="150">
        <v>0</v>
      </c>
      <c r="U50" s="150">
        <v>0</v>
      </c>
      <c r="V50" s="150">
        <v>0</v>
      </c>
      <c r="W50" s="150">
        <v>0</v>
      </c>
      <c r="X50" s="150">
        <v>0</v>
      </c>
      <c r="Y50" s="150">
        <v>0</v>
      </c>
      <c r="Z50" s="150">
        <v>0</v>
      </c>
      <c r="AA50" s="150">
        <v>0</v>
      </c>
      <c r="AB50" s="150">
        <v>0</v>
      </c>
      <c r="AC50" s="150">
        <v>0</v>
      </c>
      <c r="AD50" s="150">
        <v>0</v>
      </c>
      <c r="AE50" s="150">
        <v>0</v>
      </c>
      <c r="AF50" s="150">
        <v>0</v>
      </c>
      <c r="AG50" s="150">
        <v>0</v>
      </c>
      <c r="AH50" s="150">
        <v>0</v>
      </c>
      <c r="AI50" s="150">
        <v>0</v>
      </c>
      <c r="AJ50" s="150">
        <v>0</v>
      </c>
      <c r="AK50" s="150">
        <v>0</v>
      </c>
      <c r="AL50" s="150">
        <v>0</v>
      </c>
      <c r="AM50" s="150">
        <v>0</v>
      </c>
      <c r="AN50" s="150">
        <v>0</v>
      </c>
      <c r="AO50" s="150">
        <v>0</v>
      </c>
      <c r="AP50" s="150">
        <v>0</v>
      </c>
      <c r="AQ50" s="150">
        <v>8.5000000000000006E-2</v>
      </c>
      <c r="AR50" s="150">
        <v>0</v>
      </c>
      <c r="AS50" s="150">
        <v>0</v>
      </c>
      <c r="AT50" s="150">
        <v>0</v>
      </c>
      <c r="AU50" s="150">
        <v>0</v>
      </c>
      <c r="AV50" s="150">
        <v>0.59000000000000008</v>
      </c>
      <c r="AW50" s="150">
        <v>1</v>
      </c>
      <c r="AX50" s="150">
        <v>0</v>
      </c>
      <c r="AY50" s="150">
        <v>0</v>
      </c>
      <c r="AZ50" s="150">
        <v>0</v>
      </c>
    </row>
    <row r="51" spans="1:52" x14ac:dyDescent="0.15">
      <c r="A51" s="155" t="s">
        <v>241</v>
      </c>
      <c r="B51" s="150">
        <v>0</v>
      </c>
      <c r="C51" s="150">
        <v>0</v>
      </c>
      <c r="D51" s="150">
        <v>0</v>
      </c>
      <c r="E51" s="150">
        <v>0</v>
      </c>
      <c r="F51" s="150">
        <v>0</v>
      </c>
      <c r="G51" s="150">
        <v>0</v>
      </c>
      <c r="H51" s="150">
        <v>0</v>
      </c>
      <c r="I51" s="150">
        <v>0</v>
      </c>
      <c r="J51" s="150">
        <v>0</v>
      </c>
      <c r="K51" s="150">
        <v>0</v>
      </c>
      <c r="L51" s="150">
        <v>0</v>
      </c>
      <c r="M51" s="150">
        <v>0</v>
      </c>
      <c r="N51" s="150">
        <v>0</v>
      </c>
      <c r="O51" s="150">
        <v>0</v>
      </c>
      <c r="P51" s="150">
        <v>0</v>
      </c>
      <c r="Q51" s="150">
        <v>0</v>
      </c>
      <c r="R51" s="150">
        <v>0</v>
      </c>
      <c r="S51" s="150">
        <v>0</v>
      </c>
      <c r="T51" s="150">
        <v>0</v>
      </c>
      <c r="U51" s="150">
        <v>0</v>
      </c>
      <c r="V51" s="150">
        <v>0</v>
      </c>
      <c r="W51" s="150">
        <v>0</v>
      </c>
      <c r="X51" s="150">
        <v>0</v>
      </c>
      <c r="Y51" s="150">
        <v>0</v>
      </c>
      <c r="Z51" s="150">
        <v>0</v>
      </c>
      <c r="AA51" s="150">
        <v>0</v>
      </c>
      <c r="AB51" s="150">
        <v>0</v>
      </c>
      <c r="AC51" s="150">
        <v>0</v>
      </c>
      <c r="AD51" s="150">
        <v>0</v>
      </c>
      <c r="AE51" s="150">
        <v>0</v>
      </c>
      <c r="AF51" s="150">
        <v>0</v>
      </c>
      <c r="AG51" s="150">
        <v>0</v>
      </c>
      <c r="AH51" s="150">
        <v>0</v>
      </c>
      <c r="AI51" s="150">
        <v>0</v>
      </c>
      <c r="AJ51" s="150">
        <v>0</v>
      </c>
      <c r="AK51" s="150">
        <v>0</v>
      </c>
      <c r="AL51" s="150">
        <v>0</v>
      </c>
      <c r="AM51" s="150">
        <v>0</v>
      </c>
      <c r="AN51" s="150">
        <v>0.10299999897102011</v>
      </c>
      <c r="AO51" s="150">
        <v>5.2052052805245219E-2</v>
      </c>
      <c r="AP51" s="150">
        <v>0.10000000000000002</v>
      </c>
      <c r="AQ51" s="150">
        <v>0.52500000000000002</v>
      </c>
      <c r="AR51" s="150">
        <v>1</v>
      </c>
      <c r="AS51" s="150">
        <v>1</v>
      </c>
      <c r="AT51" s="150">
        <v>1</v>
      </c>
      <c r="AU51" s="150">
        <v>1</v>
      </c>
      <c r="AV51" s="150">
        <v>0.10000000000000002</v>
      </c>
      <c r="AW51" s="150">
        <v>0</v>
      </c>
      <c r="AX51" s="150">
        <v>0</v>
      </c>
      <c r="AY51" s="150">
        <v>0</v>
      </c>
      <c r="AZ51" s="150">
        <v>0</v>
      </c>
    </row>
    <row r="52" spans="1:52" x14ac:dyDescent="0.15">
      <c r="A52" s="155" t="s">
        <v>242</v>
      </c>
      <c r="B52" s="150">
        <v>0</v>
      </c>
      <c r="C52" s="150">
        <v>0</v>
      </c>
      <c r="D52" s="150">
        <v>0</v>
      </c>
      <c r="E52" s="150">
        <v>0</v>
      </c>
      <c r="F52" s="150">
        <v>0</v>
      </c>
      <c r="G52" s="150">
        <v>0</v>
      </c>
      <c r="H52" s="150">
        <v>0</v>
      </c>
      <c r="I52" s="150">
        <v>0</v>
      </c>
      <c r="J52" s="150">
        <v>0</v>
      </c>
      <c r="K52" s="150">
        <v>0</v>
      </c>
      <c r="L52" s="150">
        <v>0</v>
      </c>
      <c r="M52" s="150">
        <v>0</v>
      </c>
      <c r="N52" s="150">
        <v>0</v>
      </c>
      <c r="O52" s="150">
        <v>0</v>
      </c>
      <c r="P52" s="150">
        <v>0</v>
      </c>
      <c r="Q52" s="150">
        <v>0</v>
      </c>
      <c r="R52" s="150">
        <v>0</v>
      </c>
      <c r="S52" s="150">
        <v>0</v>
      </c>
      <c r="T52" s="150">
        <v>0</v>
      </c>
      <c r="U52" s="150">
        <v>0</v>
      </c>
      <c r="V52" s="150">
        <v>0</v>
      </c>
      <c r="W52" s="150">
        <v>0</v>
      </c>
      <c r="X52" s="150">
        <v>0</v>
      </c>
      <c r="Y52" s="150">
        <v>0</v>
      </c>
      <c r="Z52" s="150">
        <v>0</v>
      </c>
      <c r="AA52" s="150">
        <v>0</v>
      </c>
      <c r="AB52" s="150">
        <v>0</v>
      </c>
      <c r="AC52" s="150">
        <v>0</v>
      </c>
      <c r="AD52" s="150">
        <v>0</v>
      </c>
      <c r="AE52" s="150">
        <v>0</v>
      </c>
      <c r="AF52" s="150">
        <v>0</v>
      </c>
      <c r="AG52" s="150">
        <v>0</v>
      </c>
      <c r="AH52" s="150">
        <v>0</v>
      </c>
      <c r="AI52" s="150">
        <v>0</v>
      </c>
      <c r="AJ52" s="150">
        <v>0</v>
      </c>
      <c r="AK52" s="150">
        <v>0</v>
      </c>
      <c r="AL52" s="150">
        <v>0</v>
      </c>
      <c r="AM52" s="150">
        <v>0</v>
      </c>
      <c r="AN52" s="150">
        <v>0</v>
      </c>
      <c r="AO52" s="150">
        <v>0</v>
      </c>
      <c r="AP52" s="150">
        <v>0</v>
      </c>
      <c r="AQ52" s="150">
        <v>0</v>
      </c>
      <c r="AR52" s="150">
        <v>0</v>
      </c>
      <c r="AS52" s="150">
        <v>0</v>
      </c>
      <c r="AT52" s="150">
        <v>0</v>
      </c>
      <c r="AU52" s="150">
        <v>0</v>
      </c>
      <c r="AV52" s="150">
        <v>0</v>
      </c>
      <c r="AW52" s="150">
        <v>0</v>
      </c>
      <c r="AX52" s="150">
        <v>0</v>
      </c>
      <c r="AY52" s="150">
        <v>0</v>
      </c>
      <c r="AZ52" s="150">
        <v>0</v>
      </c>
    </row>
    <row r="53" spans="1:52" x14ac:dyDescent="0.15">
      <c r="A53" s="155" t="s">
        <v>254</v>
      </c>
      <c r="B53" s="150">
        <v>0</v>
      </c>
      <c r="C53" s="150">
        <v>0</v>
      </c>
      <c r="D53" s="150">
        <v>0</v>
      </c>
      <c r="E53" s="150">
        <v>0</v>
      </c>
      <c r="F53" s="150">
        <v>0</v>
      </c>
      <c r="G53" s="150">
        <v>0</v>
      </c>
      <c r="H53" s="150">
        <v>0</v>
      </c>
      <c r="I53" s="150">
        <v>0</v>
      </c>
      <c r="J53" s="150">
        <v>0</v>
      </c>
      <c r="K53" s="150">
        <v>0</v>
      </c>
      <c r="L53" s="150">
        <v>0</v>
      </c>
      <c r="M53" s="150">
        <v>0</v>
      </c>
      <c r="N53" s="150">
        <v>0</v>
      </c>
      <c r="O53" s="150">
        <v>0</v>
      </c>
      <c r="P53" s="150">
        <v>0</v>
      </c>
      <c r="Q53" s="150">
        <v>0</v>
      </c>
      <c r="R53" s="150">
        <v>0</v>
      </c>
      <c r="S53" s="150">
        <v>0</v>
      </c>
      <c r="T53" s="150">
        <v>0</v>
      </c>
      <c r="U53" s="150">
        <v>0</v>
      </c>
      <c r="V53" s="150">
        <v>0</v>
      </c>
      <c r="W53" s="150">
        <v>0</v>
      </c>
      <c r="X53" s="150">
        <v>0</v>
      </c>
      <c r="Y53" s="150">
        <v>0</v>
      </c>
      <c r="Z53" s="150">
        <v>0</v>
      </c>
      <c r="AA53" s="150">
        <v>0</v>
      </c>
      <c r="AB53" s="150">
        <v>0</v>
      </c>
      <c r="AC53" s="150">
        <v>0</v>
      </c>
      <c r="AD53" s="150">
        <v>0</v>
      </c>
      <c r="AE53" s="150">
        <v>0</v>
      </c>
      <c r="AF53" s="150">
        <v>0</v>
      </c>
      <c r="AG53" s="150">
        <v>0</v>
      </c>
      <c r="AH53" s="150">
        <v>0</v>
      </c>
      <c r="AI53" s="150">
        <v>0</v>
      </c>
      <c r="AJ53" s="150">
        <v>0</v>
      </c>
      <c r="AK53" s="150">
        <v>0</v>
      </c>
      <c r="AL53" s="150">
        <v>0</v>
      </c>
      <c r="AM53" s="150">
        <v>0</v>
      </c>
      <c r="AN53" s="150">
        <v>0</v>
      </c>
      <c r="AO53" s="150">
        <v>0</v>
      </c>
      <c r="AP53" s="150">
        <v>0</v>
      </c>
      <c r="AQ53" s="150">
        <v>0</v>
      </c>
      <c r="AR53" s="150">
        <v>0</v>
      </c>
      <c r="AS53" s="150">
        <v>0</v>
      </c>
      <c r="AT53" s="150">
        <v>0</v>
      </c>
      <c r="AU53" s="150">
        <v>0</v>
      </c>
      <c r="AV53" s="150">
        <v>0</v>
      </c>
      <c r="AW53" s="150">
        <v>0</v>
      </c>
      <c r="AX53" s="150">
        <v>0</v>
      </c>
      <c r="AY53" s="150">
        <v>0</v>
      </c>
      <c r="AZ53" s="150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4" activePane="bottomRight" state="frozen"/>
      <selection pane="topRight" activeCell="C1" sqref="C1"/>
      <selection pane="bottomLeft" activeCell="A2" sqref="A2"/>
      <selection pane="bottomRight" activeCell="G66" sqref="G66"/>
    </sheetView>
  </sheetViews>
  <sheetFormatPr baseColWidth="10" defaultColWidth="8.83203125" defaultRowHeight="13" x14ac:dyDescent="0.15"/>
  <cols>
    <col min="1" max="1" width="3.33203125" customWidth="1"/>
    <col min="2" max="2" width="26.6640625" customWidth="1"/>
    <col min="3" max="4" width="14.83203125" style="118" customWidth="1"/>
    <col min="5" max="6" width="14.83203125" style="117" customWidth="1"/>
    <col min="7" max="8" width="8.83203125" style="118"/>
  </cols>
  <sheetData>
    <row r="1" spans="1:8" ht="70" x14ac:dyDescent="0.15">
      <c r="A1" s="5" t="s">
        <v>20</v>
      </c>
      <c r="B1" s="1" t="s">
        <v>0</v>
      </c>
      <c r="C1" s="158" t="s">
        <v>241</v>
      </c>
      <c r="D1" s="158" t="s">
        <v>242</v>
      </c>
      <c r="E1" s="158" t="s">
        <v>255</v>
      </c>
      <c r="F1" s="158" t="s">
        <v>256</v>
      </c>
      <c r="G1"/>
      <c r="H1"/>
    </row>
    <row r="2" spans="1:8" x14ac:dyDescent="0.15">
      <c r="A2">
        <v>1</v>
      </c>
      <c r="B2" s="157" t="s">
        <v>192</v>
      </c>
      <c r="C2" s="118">
        <v>0</v>
      </c>
      <c r="D2" s="118">
        <v>0</v>
      </c>
      <c r="E2" s="117">
        <v>1</v>
      </c>
      <c r="F2" s="117">
        <v>1</v>
      </c>
      <c r="G2"/>
      <c r="H2"/>
    </row>
    <row r="3" spans="1:8" x14ac:dyDescent="0.15">
      <c r="A3">
        <v>2</v>
      </c>
      <c r="B3" s="157" t="s">
        <v>193</v>
      </c>
      <c r="C3" s="118">
        <v>1</v>
      </c>
      <c r="D3" s="118">
        <v>0</v>
      </c>
      <c r="E3" s="117">
        <v>0</v>
      </c>
      <c r="F3" s="117">
        <v>1</v>
      </c>
      <c r="G3"/>
      <c r="H3"/>
    </row>
    <row r="4" spans="1:8" x14ac:dyDescent="0.15">
      <c r="A4">
        <v>3</v>
      </c>
      <c r="B4" s="157" t="s">
        <v>194</v>
      </c>
      <c r="C4" s="118">
        <v>0</v>
      </c>
      <c r="D4" s="118">
        <v>0</v>
      </c>
      <c r="E4" s="117">
        <v>1</v>
      </c>
      <c r="F4" s="117">
        <v>1</v>
      </c>
      <c r="G4"/>
      <c r="H4"/>
    </row>
    <row r="5" spans="1:8" x14ac:dyDescent="0.15">
      <c r="A5">
        <v>4</v>
      </c>
      <c r="B5" s="157" t="s">
        <v>195</v>
      </c>
      <c r="C5" s="118">
        <v>1</v>
      </c>
      <c r="D5" s="118">
        <v>0</v>
      </c>
      <c r="E5" s="117">
        <v>0</v>
      </c>
      <c r="F5" s="117">
        <v>1</v>
      </c>
      <c r="G5"/>
      <c r="H5"/>
    </row>
    <row r="6" spans="1:8" x14ac:dyDescent="0.15">
      <c r="A6">
        <v>5</v>
      </c>
      <c r="B6" s="157" t="s">
        <v>196</v>
      </c>
      <c r="C6" s="118">
        <v>1</v>
      </c>
      <c r="D6" s="118">
        <v>0</v>
      </c>
      <c r="E6" s="117">
        <v>0</v>
      </c>
      <c r="F6" s="117">
        <v>1</v>
      </c>
      <c r="G6"/>
      <c r="H6"/>
    </row>
    <row r="7" spans="1:8" x14ac:dyDescent="0.15">
      <c r="A7">
        <v>6</v>
      </c>
      <c r="B7" s="157" t="s">
        <v>197</v>
      </c>
      <c r="C7" s="118">
        <v>1</v>
      </c>
      <c r="D7" s="118">
        <v>0</v>
      </c>
      <c r="E7" s="117">
        <v>0</v>
      </c>
      <c r="F7" s="117">
        <v>1</v>
      </c>
      <c r="G7"/>
      <c r="H7"/>
    </row>
    <row r="8" spans="1:8" x14ac:dyDescent="0.15">
      <c r="A8">
        <v>7</v>
      </c>
      <c r="B8" s="157" t="s">
        <v>198</v>
      </c>
      <c r="C8" s="118">
        <v>1</v>
      </c>
      <c r="D8" s="118">
        <v>0</v>
      </c>
      <c r="E8" s="117">
        <v>0</v>
      </c>
      <c r="F8" s="117">
        <v>1</v>
      </c>
      <c r="G8"/>
      <c r="H8"/>
    </row>
    <row r="9" spans="1:8" x14ac:dyDescent="0.15">
      <c r="A9">
        <v>8</v>
      </c>
      <c r="B9" s="157" t="s">
        <v>199</v>
      </c>
      <c r="C9" s="118">
        <v>1</v>
      </c>
      <c r="D9" s="118">
        <v>0</v>
      </c>
      <c r="E9" s="117">
        <v>0</v>
      </c>
      <c r="F9" s="117">
        <v>1</v>
      </c>
      <c r="G9"/>
      <c r="H9"/>
    </row>
    <row r="10" spans="1:8" x14ac:dyDescent="0.15">
      <c r="A10">
        <v>9</v>
      </c>
      <c r="B10" s="157" t="s">
        <v>200</v>
      </c>
      <c r="C10" s="118">
        <v>1</v>
      </c>
      <c r="D10" s="118">
        <v>0</v>
      </c>
      <c r="E10" s="117">
        <v>0</v>
      </c>
      <c r="F10" s="117">
        <v>1</v>
      </c>
      <c r="G10"/>
      <c r="H10"/>
    </row>
    <row r="11" spans="1:8" x14ac:dyDescent="0.15">
      <c r="A11">
        <v>10</v>
      </c>
      <c r="B11" s="157" t="s">
        <v>201</v>
      </c>
      <c r="C11" s="118">
        <v>1</v>
      </c>
      <c r="D11" s="118">
        <v>0</v>
      </c>
      <c r="E11" s="117">
        <v>0</v>
      </c>
      <c r="F11" s="117">
        <v>1</v>
      </c>
      <c r="G11"/>
      <c r="H11"/>
    </row>
    <row r="12" spans="1:8" x14ac:dyDescent="0.15">
      <c r="A12">
        <v>11</v>
      </c>
      <c r="B12" s="157" t="s">
        <v>202</v>
      </c>
      <c r="C12" s="118">
        <v>1</v>
      </c>
      <c r="D12" s="118">
        <v>0</v>
      </c>
      <c r="E12" s="117">
        <v>0</v>
      </c>
      <c r="F12" s="117">
        <v>1</v>
      </c>
      <c r="G12"/>
      <c r="H12"/>
    </row>
    <row r="13" spans="1:8" x14ac:dyDescent="0.15">
      <c r="A13">
        <v>12</v>
      </c>
      <c r="B13" s="157" t="s">
        <v>203</v>
      </c>
      <c r="C13" s="118">
        <v>1</v>
      </c>
      <c r="D13" s="118">
        <v>0</v>
      </c>
      <c r="E13" s="117">
        <v>0</v>
      </c>
      <c r="F13" s="117">
        <v>1</v>
      </c>
      <c r="G13"/>
      <c r="H13"/>
    </row>
    <row r="14" spans="1:8" x14ac:dyDescent="0.15">
      <c r="A14">
        <v>13</v>
      </c>
      <c r="B14" s="157" t="s">
        <v>204</v>
      </c>
      <c r="C14" s="118">
        <v>1</v>
      </c>
      <c r="D14" s="118">
        <v>0</v>
      </c>
      <c r="E14" s="117">
        <v>0</v>
      </c>
      <c r="F14" s="117">
        <v>1</v>
      </c>
      <c r="G14"/>
      <c r="H14"/>
    </row>
    <row r="15" spans="1:8" x14ac:dyDescent="0.15">
      <c r="A15">
        <v>14</v>
      </c>
      <c r="B15" s="157" t="s">
        <v>205</v>
      </c>
      <c r="C15" s="118">
        <v>1</v>
      </c>
      <c r="D15" s="118">
        <v>0</v>
      </c>
      <c r="E15" s="117">
        <v>0</v>
      </c>
      <c r="F15" s="117">
        <v>1</v>
      </c>
      <c r="G15"/>
      <c r="H15"/>
    </row>
    <row r="16" spans="1:8" x14ac:dyDescent="0.15">
      <c r="A16">
        <v>15</v>
      </c>
      <c r="B16" s="157" t="s">
        <v>206</v>
      </c>
      <c r="C16" s="118">
        <v>0</v>
      </c>
      <c r="D16" s="118">
        <v>0</v>
      </c>
      <c r="E16" s="117">
        <v>1</v>
      </c>
      <c r="F16" s="117">
        <v>1</v>
      </c>
      <c r="G16"/>
      <c r="H16"/>
    </row>
    <row r="17" spans="1:8" ht="15" customHeight="1" x14ac:dyDescent="0.15">
      <c r="A17">
        <v>16</v>
      </c>
      <c r="B17" s="157" t="s">
        <v>207</v>
      </c>
      <c r="C17" s="118">
        <v>1</v>
      </c>
      <c r="D17" s="118">
        <v>0</v>
      </c>
      <c r="E17" s="117">
        <v>0</v>
      </c>
      <c r="F17" s="117">
        <v>1</v>
      </c>
      <c r="G17"/>
      <c r="H17"/>
    </row>
    <row r="18" spans="1:8" ht="15" customHeight="1" x14ac:dyDescent="0.15">
      <c r="A18">
        <v>17</v>
      </c>
      <c r="B18" s="157" t="s">
        <v>208</v>
      </c>
      <c r="C18" s="118">
        <v>0</v>
      </c>
      <c r="D18" s="118">
        <v>0</v>
      </c>
      <c r="E18" s="117">
        <v>1</v>
      </c>
      <c r="F18" s="117">
        <v>1</v>
      </c>
      <c r="G18"/>
      <c r="H18"/>
    </row>
    <row r="19" spans="1:8" ht="15" customHeight="1" x14ac:dyDescent="0.15">
      <c r="A19">
        <v>18</v>
      </c>
      <c r="B19" s="157" t="s">
        <v>209</v>
      </c>
      <c r="C19" s="118">
        <v>1</v>
      </c>
      <c r="D19" s="118">
        <v>0</v>
      </c>
      <c r="E19" s="117">
        <v>0</v>
      </c>
      <c r="F19" s="117">
        <v>1</v>
      </c>
      <c r="G19"/>
      <c r="H19"/>
    </row>
    <row r="20" spans="1:8" ht="15" customHeight="1" x14ac:dyDescent="0.15">
      <c r="A20">
        <v>19</v>
      </c>
      <c r="B20" s="157" t="s">
        <v>210</v>
      </c>
      <c r="C20" s="118">
        <v>1</v>
      </c>
      <c r="D20" s="118">
        <v>0</v>
      </c>
      <c r="E20" s="117">
        <v>0</v>
      </c>
      <c r="F20" s="117">
        <v>1</v>
      </c>
      <c r="G20"/>
      <c r="H20"/>
    </row>
    <row r="21" spans="1:8" ht="15" customHeight="1" x14ac:dyDescent="0.15">
      <c r="A21">
        <v>20</v>
      </c>
      <c r="B21" s="157" t="s">
        <v>211</v>
      </c>
      <c r="C21" s="118">
        <v>1</v>
      </c>
      <c r="D21" s="118">
        <v>0</v>
      </c>
      <c r="E21" s="117">
        <v>0</v>
      </c>
      <c r="F21" s="117">
        <v>1</v>
      </c>
      <c r="G21"/>
      <c r="H21"/>
    </row>
    <row r="22" spans="1:8" ht="15" customHeight="1" x14ac:dyDescent="0.15">
      <c r="A22">
        <v>21</v>
      </c>
      <c r="B22" s="157" t="s">
        <v>212</v>
      </c>
      <c r="C22" s="118">
        <v>1</v>
      </c>
      <c r="D22" s="118">
        <v>0</v>
      </c>
      <c r="E22" s="117">
        <v>0</v>
      </c>
      <c r="F22" s="117">
        <v>1</v>
      </c>
      <c r="G22"/>
      <c r="H22"/>
    </row>
    <row r="23" spans="1:8" ht="15" customHeight="1" x14ac:dyDescent="0.15">
      <c r="A23">
        <v>22</v>
      </c>
      <c r="B23" s="157" t="s">
        <v>213</v>
      </c>
      <c r="C23" s="118">
        <v>1</v>
      </c>
      <c r="D23" s="118">
        <v>0</v>
      </c>
      <c r="E23" s="117">
        <v>0</v>
      </c>
      <c r="F23" s="117">
        <v>1</v>
      </c>
      <c r="G23"/>
      <c r="H23"/>
    </row>
    <row r="24" spans="1:8" ht="15" customHeight="1" x14ac:dyDescent="0.15">
      <c r="A24">
        <v>23</v>
      </c>
      <c r="B24" s="157" t="s">
        <v>214</v>
      </c>
      <c r="C24" s="118">
        <v>1</v>
      </c>
      <c r="D24" s="118">
        <v>0</v>
      </c>
      <c r="E24" s="117">
        <v>0</v>
      </c>
      <c r="F24" s="117">
        <v>1</v>
      </c>
      <c r="G24"/>
      <c r="H24"/>
    </row>
    <row r="25" spans="1:8" ht="15" customHeight="1" x14ac:dyDescent="0.15">
      <c r="A25">
        <v>24</v>
      </c>
      <c r="B25" s="157" t="s">
        <v>215</v>
      </c>
      <c r="C25" s="118">
        <v>1</v>
      </c>
      <c r="D25" s="118">
        <v>0</v>
      </c>
      <c r="E25" s="117">
        <v>0</v>
      </c>
      <c r="F25" s="117">
        <v>1</v>
      </c>
      <c r="G25"/>
      <c r="H25"/>
    </row>
    <row r="26" spans="1:8" ht="15" customHeight="1" x14ac:dyDescent="0.15">
      <c r="A26">
        <v>25</v>
      </c>
      <c r="B26" s="157" t="s">
        <v>216</v>
      </c>
      <c r="C26" s="118">
        <v>1</v>
      </c>
      <c r="D26" s="118">
        <v>0</v>
      </c>
      <c r="E26" s="117">
        <v>0</v>
      </c>
      <c r="F26" s="117">
        <v>1</v>
      </c>
      <c r="G26"/>
      <c r="H26"/>
    </row>
    <row r="27" spans="1:8" ht="15" customHeight="1" x14ac:dyDescent="0.15">
      <c r="A27">
        <v>26</v>
      </c>
      <c r="B27" s="157" t="s">
        <v>217</v>
      </c>
      <c r="C27" s="118">
        <v>1</v>
      </c>
      <c r="D27" s="118">
        <v>0</v>
      </c>
      <c r="E27" s="117">
        <v>0</v>
      </c>
      <c r="F27" s="117">
        <v>1</v>
      </c>
      <c r="G27"/>
      <c r="H27"/>
    </row>
    <row r="28" spans="1:8" ht="15" customHeight="1" x14ac:dyDescent="0.15">
      <c r="A28">
        <v>27</v>
      </c>
      <c r="B28" s="157" t="s">
        <v>218</v>
      </c>
      <c r="C28" s="118">
        <v>1</v>
      </c>
      <c r="D28" s="118">
        <v>0</v>
      </c>
      <c r="E28" s="117">
        <v>0</v>
      </c>
      <c r="F28" s="117">
        <v>1</v>
      </c>
      <c r="G28"/>
      <c r="H28"/>
    </row>
    <row r="29" spans="1:8" ht="15" customHeight="1" x14ac:dyDescent="0.15">
      <c r="A29">
        <v>28</v>
      </c>
      <c r="B29" s="157" t="s">
        <v>219</v>
      </c>
      <c r="C29" s="118">
        <v>1</v>
      </c>
      <c r="D29" s="118">
        <v>0</v>
      </c>
      <c r="E29" s="117">
        <v>0</v>
      </c>
      <c r="F29" s="117">
        <v>1</v>
      </c>
      <c r="G29"/>
      <c r="H29"/>
    </row>
    <row r="30" spans="1:8" ht="15" customHeight="1" x14ac:dyDescent="0.15">
      <c r="A30">
        <v>29</v>
      </c>
      <c r="B30" s="157" t="s">
        <v>220</v>
      </c>
      <c r="C30" s="118">
        <v>1</v>
      </c>
      <c r="D30" s="118">
        <v>0</v>
      </c>
      <c r="E30" s="117">
        <v>0</v>
      </c>
      <c r="F30" s="117">
        <v>1</v>
      </c>
      <c r="G30"/>
      <c r="H30"/>
    </row>
    <row r="31" spans="1:8" ht="15" customHeight="1" x14ac:dyDescent="0.15">
      <c r="A31">
        <v>30</v>
      </c>
      <c r="B31" s="157" t="s">
        <v>221</v>
      </c>
      <c r="C31" s="118">
        <v>1</v>
      </c>
      <c r="D31" s="118">
        <v>0</v>
      </c>
      <c r="E31" s="117">
        <v>0</v>
      </c>
      <c r="F31" s="117">
        <v>1</v>
      </c>
      <c r="G31"/>
      <c r="H31"/>
    </row>
    <row r="32" spans="1:8" ht="15" customHeight="1" x14ac:dyDescent="0.15">
      <c r="A32">
        <v>31</v>
      </c>
      <c r="B32" s="157" t="s">
        <v>222</v>
      </c>
      <c r="C32" s="118">
        <v>1</v>
      </c>
      <c r="D32" s="118">
        <v>0</v>
      </c>
      <c r="E32" s="117">
        <v>0</v>
      </c>
      <c r="F32" s="117">
        <v>1</v>
      </c>
    </row>
    <row r="33" spans="1:8" ht="15" customHeight="1" x14ac:dyDescent="0.15">
      <c r="A33">
        <v>32</v>
      </c>
      <c r="B33" s="157" t="s">
        <v>223</v>
      </c>
      <c r="C33" s="118">
        <v>1</v>
      </c>
      <c r="D33" s="118">
        <v>0</v>
      </c>
      <c r="E33" s="117">
        <v>0</v>
      </c>
      <c r="F33" s="117">
        <v>1</v>
      </c>
    </row>
    <row r="34" spans="1:8" ht="15" customHeight="1" x14ac:dyDescent="0.15">
      <c r="A34">
        <v>33</v>
      </c>
      <c r="B34" s="157" t="s">
        <v>224</v>
      </c>
      <c r="C34" s="118">
        <v>1</v>
      </c>
      <c r="D34" s="118">
        <v>0</v>
      </c>
      <c r="E34" s="117">
        <v>0</v>
      </c>
      <c r="F34" s="117">
        <v>1</v>
      </c>
    </row>
    <row r="35" spans="1:8" ht="15" customHeight="1" x14ac:dyDescent="0.15">
      <c r="A35">
        <v>34</v>
      </c>
      <c r="B35" s="157" t="s">
        <v>225</v>
      </c>
      <c r="C35" s="118">
        <v>1</v>
      </c>
      <c r="D35" s="118">
        <v>0</v>
      </c>
      <c r="E35" s="117">
        <v>0</v>
      </c>
      <c r="F35" s="117">
        <v>1</v>
      </c>
    </row>
    <row r="36" spans="1:8" ht="15" customHeight="1" x14ac:dyDescent="0.15">
      <c r="A36">
        <v>35</v>
      </c>
      <c r="B36" s="157" t="s">
        <v>226</v>
      </c>
      <c r="C36" s="118">
        <v>1</v>
      </c>
      <c r="D36" s="118">
        <v>0</v>
      </c>
      <c r="E36" s="118">
        <v>0</v>
      </c>
      <c r="F36" s="118">
        <v>1</v>
      </c>
      <c r="G36"/>
      <c r="H36"/>
    </row>
    <row r="37" spans="1:8" ht="15" customHeight="1" x14ac:dyDescent="0.15">
      <c r="A37">
        <v>36</v>
      </c>
      <c r="B37" s="157" t="s">
        <v>227</v>
      </c>
      <c r="C37" s="118">
        <v>1</v>
      </c>
      <c r="D37" s="118">
        <v>0</v>
      </c>
      <c r="E37" s="118">
        <v>0</v>
      </c>
      <c r="F37" s="118">
        <v>1</v>
      </c>
      <c r="G37"/>
      <c r="H37"/>
    </row>
    <row r="38" spans="1:8" ht="15" customHeight="1" x14ac:dyDescent="0.15">
      <c r="A38">
        <v>37</v>
      </c>
      <c r="B38" s="157" t="s">
        <v>228</v>
      </c>
      <c r="C38" s="118">
        <v>0</v>
      </c>
      <c r="D38" s="118">
        <v>0</v>
      </c>
      <c r="E38" s="118">
        <v>1</v>
      </c>
      <c r="F38" s="118">
        <v>1</v>
      </c>
      <c r="G38"/>
      <c r="H38"/>
    </row>
    <row r="39" spans="1:8" ht="15" customHeight="1" x14ac:dyDescent="0.15">
      <c r="A39">
        <v>38</v>
      </c>
      <c r="B39" s="157" t="s">
        <v>229</v>
      </c>
      <c r="C39" s="118">
        <v>1</v>
      </c>
      <c r="D39" s="118">
        <v>0</v>
      </c>
      <c r="E39" s="118">
        <v>0</v>
      </c>
      <c r="F39" s="118">
        <v>1</v>
      </c>
      <c r="G39"/>
      <c r="H39"/>
    </row>
    <row r="40" spans="1:8" ht="15" customHeight="1" x14ac:dyDescent="0.15">
      <c r="A40">
        <v>39</v>
      </c>
      <c r="B40" s="157" t="s">
        <v>230</v>
      </c>
      <c r="C40" s="118">
        <v>1</v>
      </c>
      <c r="D40" s="118">
        <v>0</v>
      </c>
      <c r="E40" s="118">
        <v>0</v>
      </c>
      <c r="F40" s="118">
        <v>1</v>
      </c>
      <c r="G40"/>
      <c r="H40"/>
    </row>
    <row r="41" spans="1:8" ht="15" customHeight="1" x14ac:dyDescent="0.15">
      <c r="A41">
        <v>40</v>
      </c>
      <c r="B41" s="157" t="s">
        <v>231</v>
      </c>
      <c r="C41" s="118">
        <v>1</v>
      </c>
      <c r="D41" s="118">
        <v>0</v>
      </c>
      <c r="E41" s="118">
        <v>0</v>
      </c>
      <c r="F41" s="118">
        <v>1</v>
      </c>
      <c r="G41"/>
      <c r="H41"/>
    </row>
    <row r="42" spans="1:8" ht="15" customHeight="1" x14ac:dyDescent="0.15">
      <c r="A42">
        <v>41</v>
      </c>
      <c r="B42" s="157" t="s">
        <v>232</v>
      </c>
      <c r="C42" s="118">
        <v>1</v>
      </c>
      <c r="D42" s="118">
        <v>0</v>
      </c>
      <c r="E42" s="118">
        <v>0</v>
      </c>
      <c r="F42" s="118">
        <v>1</v>
      </c>
      <c r="G42"/>
      <c r="H42"/>
    </row>
    <row r="43" spans="1:8" ht="15" customHeight="1" x14ac:dyDescent="0.15">
      <c r="A43">
        <v>42</v>
      </c>
      <c r="B43" s="157" t="s">
        <v>233</v>
      </c>
      <c r="C43" s="118">
        <v>1</v>
      </c>
      <c r="D43" s="118">
        <v>0</v>
      </c>
      <c r="E43" s="118">
        <v>0</v>
      </c>
      <c r="F43" s="118">
        <v>1</v>
      </c>
      <c r="G43"/>
      <c r="H43"/>
    </row>
    <row r="44" spans="1:8" ht="15" customHeight="1" x14ac:dyDescent="0.15">
      <c r="A44">
        <v>43</v>
      </c>
      <c r="B44" s="157" t="s">
        <v>234</v>
      </c>
      <c r="C44" s="118">
        <v>1</v>
      </c>
      <c r="D44" s="118">
        <v>0</v>
      </c>
      <c r="E44" s="117">
        <v>0</v>
      </c>
      <c r="F44" s="117">
        <v>1</v>
      </c>
      <c r="G44"/>
      <c r="H44"/>
    </row>
    <row r="45" spans="1:8" ht="15" customHeight="1" x14ac:dyDescent="0.15">
      <c r="A45">
        <v>44</v>
      </c>
      <c r="B45" s="157" t="s">
        <v>235</v>
      </c>
      <c r="C45" s="118">
        <v>1</v>
      </c>
      <c r="D45" s="118">
        <v>0</v>
      </c>
      <c r="E45" s="117">
        <v>0</v>
      </c>
      <c r="F45" s="117">
        <v>1</v>
      </c>
      <c r="G45"/>
      <c r="H45"/>
    </row>
    <row r="46" spans="1:8" ht="15" customHeight="1" x14ac:dyDescent="0.15">
      <c r="A46">
        <v>45</v>
      </c>
      <c r="B46" s="157" t="s">
        <v>236</v>
      </c>
      <c r="C46" s="118">
        <v>1</v>
      </c>
      <c r="D46" s="118">
        <v>0</v>
      </c>
      <c r="E46" s="118">
        <v>0</v>
      </c>
      <c r="F46" s="118">
        <v>1</v>
      </c>
      <c r="G46"/>
      <c r="H46"/>
    </row>
    <row r="47" spans="1:8" ht="15" customHeight="1" x14ac:dyDescent="0.15">
      <c r="A47">
        <v>46</v>
      </c>
      <c r="B47" s="157" t="s">
        <v>237</v>
      </c>
      <c r="C47" s="118">
        <v>1</v>
      </c>
      <c r="D47" s="118">
        <v>0</v>
      </c>
      <c r="E47" s="117">
        <v>0</v>
      </c>
      <c r="F47" s="117">
        <v>1</v>
      </c>
      <c r="G47"/>
      <c r="H47"/>
    </row>
    <row r="48" spans="1:8" ht="15" customHeight="1" x14ac:dyDescent="0.15">
      <c r="A48">
        <v>47</v>
      </c>
      <c r="B48" s="157" t="s">
        <v>238</v>
      </c>
      <c r="C48" s="118">
        <v>1</v>
      </c>
      <c r="D48" s="118">
        <v>0</v>
      </c>
      <c r="E48" s="117">
        <v>0</v>
      </c>
      <c r="F48" s="117">
        <v>1</v>
      </c>
      <c r="G48"/>
      <c r="H48"/>
    </row>
    <row r="49" spans="1:8" ht="15" customHeight="1" x14ac:dyDescent="0.15">
      <c r="A49">
        <v>48</v>
      </c>
      <c r="B49" s="157" t="s">
        <v>239</v>
      </c>
      <c r="C49" s="118">
        <v>1</v>
      </c>
      <c r="D49" s="118">
        <v>0</v>
      </c>
      <c r="E49" s="117">
        <v>0</v>
      </c>
      <c r="F49" s="117">
        <v>1</v>
      </c>
      <c r="G49"/>
      <c r="H49"/>
    </row>
    <row r="50" spans="1:8" ht="15" customHeight="1" x14ac:dyDescent="0.15">
      <c r="A50">
        <v>49</v>
      </c>
      <c r="B50" s="157" t="s">
        <v>240</v>
      </c>
      <c r="C50" s="118">
        <v>1</v>
      </c>
      <c r="D50" s="118">
        <v>0</v>
      </c>
      <c r="E50" s="117">
        <v>0</v>
      </c>
      <c r="F50" s="117">
        <v>1</v>
      </c>
      <c r="G50"/>
      <c r="H50"/>
    </row>
    <row r="51" spans="1:8" ht="15" customHeight="1" x14ac:dyDescent="0.15">
      <c r="A51">
        <v>50</v>
      </c>
      <c r="B51" s="157" t="s">
        <v>241</v>
      </c>
      <c r="C51" s="118">
        <v>0</v>
      </c>
      <c r="D51" s="118">
        <v>1</v>
      </c>
      <c r="E51" s="117">
        <v>0</v>
      </c>
      <c r="F51" s="117">
        <v>1</v>
      </c>
      <c r="G51"/>
      <c r="H51"/>
    </row>
    <row r="52" spans="1:8" ht="15" customHeight="1" x14ac:dyDescent="0.15">
      <c r="A52">
        <v>51</v>
      </c>
      <c r="B52" s="157" t="s">
        <v>242</v>
      </c>
      <c r="C52" s="118">
        <v>0</v>
      </c>
      <c r="D52" s="118">
        <v>0</v>
      </c>
      <c r="E52" s="117">
        <v>1</v>
      </c>
      <c r="F52" s="117">
        <v>1</v>
      </c>
      <c r="G52"/>
      <c r="H52"/>
    </row>
    <row r="53" spans="1:8" ht="15" customHeight="1" x14ac:dyDescent="0.15">
      <c r="A53">
        <v>52</v>
      </c>
      <c r="B53" s="157" t="s">
        <v>243</v>
      </c>
      <c r="C53" s="118">
        <v>0</v>
      </c>
      <c r="D53" s="118">
        <v>1</v>
      </c>
      <c r="E53" s="117">
        <v>0</v>
      </c>
      <c r="F53" s="117">
        <v>1</v>
      </c>
      <c r="G53"/>
      <c r="H53"/>
    </row>
    <row r="54" spans="1:8" ht="15" customHeight="1" x14ac:dyDescent="0.15">
      <c r="A54">
        <v>53</v>
      </c>
      <c r="B54" s="157" t="s">
        <v>244</v>
      </c>
      <c r="C54" s="118">
        <v>0</v>
      </c>
      <c r="D54" s="118">
        <v>1</v>
      </c>
      <c r="E54" s="117">
        <v>0</v>
      </c>
      <c r="F54" s="117">
        <v>1</v>
      </c>
      <c r="G54"/>
      <c r="H54"/>
    </row>
    <row r="55" spans="1:8" ht="15" customHeight="1" x14ac:dyDescent="0.15">
      <c r="A55">
        <v>54</v>
      </c>
      <c r="B55" s="157" t="s">
        <v>245</v>
      </c>
      <c r="C55" s="118">
        <v>0</v>
      </c>
      <c r="D55" s="118">
        <v>1</v>
      </c>
      <c r="E55" s="117">
        <v>0</v>
      </c>
      <c r="F55" s="117">
        <v>1</v>
      </c>
      <c r="G55"/>
      <c r="H55"/>
    </row>
    <row r="56" spans="1:8" ht="15" customHeight="1" x14ac:dyDescent="0.15">
      <c r="A56">
        <v>55</v>
      </c>
      <c r="B56" s="157" t="s">
        <v>246</v>
      </c>
      <c r="C56" s="118">
        <v>0</v>
      </c>
      <c r="D56" s="118">
        <v>1</v>
      </c>
      <c r="E56" s="117">
        <v>0</v>
      </c>
      <c r="F56" s="117">
        <v>1</v>
      </c>
      <c r="G56"/>
      <c r="H56"/>
    </row>
    <row r="57" spans="1:8" ht="15" customHeight="1" x14ac:dyDescent="0.15">
      <c r="A57">
        <v>56</v>
      </c>
      <c r="B57" s="157" t="s">
        <v>247</v>
      </c>
      <c r="C57" s="118">
        <v>0</v>
      </c>
      <c r="D57" s="118">
        <v>1</v>
      </c>
      <c r="E57" s="117">
        <v>0</v>
      </c>
      <c r="F57" s="117">
        <v>1</v>
      </c>
      <c r="G57"/>
      <c r="H57"/>
    </row>
    <row r="58" spans="1:8" ht="15" customHeight="1" x14ac:dyDescent="0.15">
      <c r="A58">
        <v>57</v>
      </c>
      <c r="B58" s="157" t="s">
        <v>248</v>
      </c>
      <c r="C58" s="118">
        <v>0</v>
      </c>
      <c r="D58" s="118">
        <v>1</v>
      </c>
      <c r="E58" s="117">
        <v>0</v>
      </c>
      <c r="F58" s="117">
        <v>1</v>
      </c>
      <c r="G58"/>
      <c r="H58"/>
    </row>
    <row r="59" spans="1:8" ht="15" customHeight="1" x14ac:dyDescent="0.15">
      <c r="A59">
        <v>58</v>
      </c>
      <c r="B59" s="157" t="s">
        <v>249</v>
      </c>
      <c r="C59" s="118">
        <v>0</v>
      </c>
      <c r="D59" s="118">
        <v>1</v>
      </c>
      <c r="E59" s="117">
        <v>0</v>
      </c>
      <c r="F59" s="117">
        <v>1</v>
      </c>
      <c r="G59"/>
      <c r="H59"/>
    </row>
    <row r="60" spans="1:8" ht="15" customHeight="1" x14ac:dyDescent="0.15">
      <c r="A60">
        <v>59</v>
      </c>
      <c r="B60" s="157" t="s">
        <v>250</v>
      </c>
      <c r="C60" s="118">
        <v>0</v>
      </c>
      <c r="D60" s="118">
        <v>1</v>
      </c>
      <c r="E60" s="117">
        <v>0</v>
      </c>
      <c r="F60" s="117">
        <v>1</v>
      </c>
      <c r="G60"/>
      <c r="H60"/>
    </row>
    <row r="61" spans="1:8" ht="15" customHeight="1" x14ac:dyDescent="0.15">
      <c r="A61">
        <v>60</v>
      </c>
      <c r="B61" s="157" t="s">
        <v>251</v>
      </c>
      <c r="C61" s="118">
        <v>0</v>
      </c>
      <c r="D61" s="118">
        <v>1</v>
      </c>
      <c r="E61" s="117">
        <v>0</v>
      </c>
      <c r="F61" s="117">
        <v>1</v>
      </c>
      <c r="G61"/>
      <c r="H61"/>
    </row>
    <row r="62" spans="1:8" ht="15" customHeight="1" x14ac:dyDescent="0.15">
      <c r="A62">
        <v>61</v>
      </c>
      <c r="B62" s="157" t="s">
        <v>252</v>
      </c>
      <c r="C62" s="118">
        <v>0</v>
      </c>
      <c r="D62" s="118">
        <v>1</v>
      </c>
      <c r="E62" s="117">
        <v>0</v>
      </c>
      <c r="F62" s="117">
        <v>1</v>
      </c>
      <c r="G62"/>
      <c r="H62"/>
    </row>
    <row r="63" spans="1:8" ht="15" customHeight="1" x14ac:dyDescent="0.15">
      <c r="A63">
        <v>62</v>
      </c>
      <c r="B63" s="157" t="s">
        <v>253</v>
      </c>
      <c r="C63" s="118">
        <v>0</v>
      </c>
      <c r="D63" s="118">
        <v>1</v>
      </c>
      <c r="E63" s="117">
        <v>0</v>
      </c>
      <c r="F63" s="117">
        <v>1</v>
      </c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N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6640625" bestFit="1" customWidth="1"/>
    <col min="3" max="5" width="8.83203125" bestFit="1" customWidth="1"/>
    <col min="6" max="11" width="8.83203125" customWidth="1"/>
    <col min="12" max="12" width="5.83203125" customWidth="1"/>
    <col min="13" max="14" width="8.83203125" customWidth="1"/>
  </cols>
  <sheetData>
    <row r="1" spans="1:14" s="119" customFormat="1" ht="112" x14ac:dyDescent="0.15">
      <c r="A1" s="5" t="s">
        <v>21</v>
      </c>
      <c r="B1" s="3" t="s">
        <v>0</v>
      </c>
      <c r="C1" s="160" t="s">
        <v>243</v>
      </c>
      <c r="D1" s="160" t="s">
        <v>244</v>
      </c>
      <c r="E1" s="160" t="s">
        <v>245</v>
      </c>
      <c r="F1" s="160" t="s">
        <v>246</v>
      </c>
      <c r="G1" s="160" t="s">
        <v>247</v>
      </c>
      <c r="H1" s="160" t="s">
        <v>248</v>
      </c>
      <c r="I1" s="160" t="s">
        <v>249</v>
      </c>
      <c r="J1" s="160" t="s">
        <v>250</v>
      </c>
      <c r="K1" s="160" t="s">
        <v>251</v>
      </c>
      <c r="L1" s="160" t="s">
        <v>252</v>
      </c>
      <c r="M1" s="160" t="s">
        <v>253</v>
      </c>
      <c r="N1" s="160" t="s">
        <v>257</v>
      </c>
    </row>
    <row r="2" spans="1:14" ht="15" customHeight="1" x14ac:dyDescent="0.15">
      <c r="A2">
        <v>1</v>
      </c>
      <c r="B2" s="15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ht="15" customHeight="1" x14ac:dyDescent="0.15">
      <c r="A3">
        <v>2</v>
      </c>
      <c r="B3" s="15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ht="15" customHeight="1" x14ac:dyDescent="0.15">
      <c r="A4">
        <v>3</v>
      </c>
      <c r="B4" s="15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ht="15" customHeight="1" x14ac:dyDescent="0.15">
      <c r="A5">
        <v>4</v>
      </c>
      <c r="B5" s="159" t="s">
        <v>195</v>
      </c>
      <c r="C5">
        <v>8.9999999999999998E-4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8.9999999999999998E-4</v>
      </c>
    </row>
    <row r="6" spans="1:14" ht="15" customHeight="1" x14ac:dyDescent="0.15">
      <c r="A6">
        <v>5</v>
      </c>
      <c r="B6" s="159" t="s">
        <v>196</v>
      </c>
      <c r="C6">
        <v>1.7899999999999999E-4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1.7899999999999999E-4</v>
      </c>
    </row>
    <row r="7" spans="1:14" ht="15" customHeight="1" x14ac:dyDescent="0.15">
      <c r="A7">
        <v>6</v>
      </c>
      <c r="B7" s="159" t="s">
        <v>197</v>
      </c>
      <c r="C7">
        <v>1.4E-5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1.4E-5</v>
      </c>
    </row>
    <row r="8" spans="1:14" ht="15" customHeight="1" x14ac:dyDescent="0.15">
      <c r="A8">
        <v>7</v>
      </c>
      <c r="B8" s="159" t="s">
        <v>198</v>
      </c>
      <c r="C8">
        <v>8.0999999999999996E-4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8.0999999999999996E-4</v>
      </c>
    </row>
    <row r="9" spans="1:14" ht="15" customHeight="1" x14ac:dyDescent="0.15">
      <c r="A9">
        <v>8</v>
      </c>
      <c r="B9" s="159" t="s">
        <v>199</v>
      </c>
      <c r="C9">
        <v>1.76E-4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1.76E-4</v>
      </c>
    </row>
    <row r="10" spans="1:14" ht="15" customHeight="1" x14ac:dyDescent="0.15">
      <c r="A10">
        <v>9</v>
      </c>
      <c r="B10" s="159" t="s">
        <v>200</v>
      </c>
      <c r="C10">
        <v>0</v>
      </c>
      <c r="D10">
        <v>0.36428700000000003</v>
      </c>
      <c r="E10">
        <v>7.3300000000000004E-4</v>
      </c>
      <c r="F10">
        <v>5.8500000000000002E-4</v>
      </c>
      <c r="G10">
        <v>0</v>
      </c>
      <c r="H10">
        <v>5.8661999999999999E-2</v>
      </c>
      <c r="I10">
        <v>3.8886999999999998E-2</v>
      </c>
      <c r="J10">
        <v>6.5688999999999997E-2</v>
      </c>
      <c r="K10">
        <v>0</v>
      </c>
      <c r="L10">
        <v>0</v>
      </c>
      <c r="M10">
        <v>8.7170000000000008E-3</v>
      </c>
      <c r="N10">
        <v>0.53755999999999993</v>
      </c>
    </row>
    <row r="11" spans="1:14" ht="15" customHeight="1" x14ac:dyDescent="0.15">
      <c r="A11">
        <v>10</v>
      </c>
      <c r="B11" s="15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ht="15" customHeight="1" x14ac:dyDescent="0.15">
      <c r="A12">
        <v>11</v>
      </c>
      <c r="B12" s="159" t="s">
        <v>202</v>
      </c>
      <c r="C12">
        <v>0</v>
      </c>
      <c r="D12">
        <v>9.5588999999999993E-2</v>
      </c>
      <c r="E12">
        <v>8.6000000000000003E-5</v>
      </c>
      <c r="F12">
        <v>1.12E-4</v>
      </c>
      <c r="G12">
        <v>0</v>
      </c>
      <c r="H12">
        <v>5.8700000000000002E-3</v>
      </c>
      <c r="I12">
        <v>2.7599999999999999E-4</v>
      </c>
      <c r="J12">
        <v>1.47E-4</v>
      </c>
      <c r="K12">
        <v>1.9999999999999999E-6</v>
      </c>
      <c r="L12">
        <v>0</v>
      </c>
      <c r="M12">
        <v>6.9999999999999999E-6</v>
      </c>
      <c r="N12">
        <v>0.10208899999999999</v>
      </c>
    </row>
    <row r="13" spans="1:14" ht="15" customHeight="1" x14ac:dyDescent="0.15">
      <c r="A13">
        <v>12</v>
      </c>
      <c r="B13" s="15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ht="15" customHeight="1" x14ac:dyDescent="0.15">
      <c r="A14">
        <v>13</v>
      </c>
      <c r="B14" s="159" t="s">
        <v>204</v>
      </c>
      <c r="C14">
        <v>0</v>
      </c>
      <c r="D14">
        <v>1.6563999999999999E-2</v>
      </c>
      <c r="E14">
        <v>1.2999999999999999E-5</v>
      </c>
      <c r="F14">
        <v>0</v>
      </c>
      <c r="G14">
        <v>0</v>
      </c>
      <c r="H14">
        <v>1.8408999999999998E-2</v>
      </c>
      <c r="I14">
        <v>5.7000000000000003E-5</v>
      </c>
      <c r="J14">
        <v>4.0000000000000003E-5</v>
      </c>
      <c r="K14">
        <v>0</v>
      </c>
      <c r="L14">
        <v>0</v>
      </c>
      <c r="M14">
        <v>9.9999999999999995E-7</v>
      </c>
      <c r="N14">
        <v>3.5083999999999997E-2</v>
      </c>
    </row>
    <row r="15" spans="1:14" ht="15" customHeight="1" x14ac:dyDescent="0.15">
      <c r="A15">
        <v>14</v>
      </c>
      <c r="B15" s="15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ht="15" customHeight="1" x14ac:dyDescent="0.15">
      <c r="A16">
        <v>15</v>
      </c>
      <c r="B16" s="159" t="s">
        <v>206</v>
      </c>
      <c r="C16">
        <v>0</v>
      </c>
      <c r="D16">
        <v>5.0620999999999999E-2</v>
      </c>
      <c r="E16">
        <v>1.2E-5</v>
      </c>
      <c r="F16">
        <v>1.54E-4</v>
      </c>
      <c r="G16">
        <v>0</v>
      </c>
      <c r="H16">
        <v>0</v>
      </c>
      <c r="I16">
        <v>2.1999999999999999E-5</v>
      </c>
      <c r="J16">
        <v>0</v>
      </c>
      <c r="K16">
        <v>0</v>
      </c>
      <c r="L16">
        <v>0</v>
      </c>
      <c r="M16">
        <v>1.9999999999999999E-6</v>
      </c>
      <c r="N16">
        <v>5.0811000000000002E-2</v>
      </c>
    </row>
    <row r="17" spans="1:14" ht="15" customHeight="1" x14ac:dyDescent="0.15">
      <c r="A17">
        <v>16</v>
      </c>
      <c r="B17" s="159" t="s">
        <v>207</v>
      </c>
      <c r="C17">
        <v>0</v>
      </c>
      <c r="D17">
        <v>2.3614E-2</v>
      </c>
      <c r="E17">
        <v>2.34E-4</v>
      </c>
      <c r="F17">
        <v>1.7E-5</v>
      </c>
      <c r="G17">
        <v>0</v>
      </c>
      <c r="H17">
        <v>9.6699999999999998E-4</v>
      </c>
      <c r="I17">
        <v>6.0000000000000002E-6</v>
      </c>
      <c r="J17">
        <v>1.9999999999999999E-6</v>
      </c>
      <c r="K17">
        <v>0</v>
      </c>
      <c r="L17">
        <v>0</v>
      </c>
      <c r="M17">
        <v>1.9999999999999999E-6</v>
      </c>
      <c r="N17">
        <v>2.4841999999999996E-2</v>
      </c>
    </row>
    <row r="18" spans="1:14" ht="15" customHeight="1" x14ac:dyDescent="0.15">
      <c r="A18">
        <v>17</v>
      </c>
      <c r="B18" s="159" t="s">
        <v>208</v>
      </c>
      <c r="C18">
        <v>0</v>
      </c>
      <c r="D18">
        <v>2.0900000000000001E-4</v>
      </c>
      <c r="E18">
        <v>0</v>
      </c>
      <c r="F18">
        <v>0</v>
      </c>
      <c r="G18">
        <v>0</v>
      </c>
      <c r="H18">
        <v>2.2959999999999999E-3</v>
      </c>
      <c r="I18">
        <v>4.1999999999999998E-5</v>
      </c>
      <c r="J18">
        <v>7.8999999999999996E-5</v>
      </c>
      <c r="K18">
        <v>0</v>
      </c>
      <c r="L18">
        <v>0</v>
      </c>
      <c r="M18">
        <v>0</v>
      </c>
      <c r="N18">
        <v>2.6259999999999999E-3</v>
      </c>
    </row>
    <row r="19" spans="1:14" ht="15" customHeight="1" x14ac:dyDescent="0.15">
      <c r="A19">
        <v>18</v>
      </c>
      <c r="B19" s="159" t="s">
        <v>209</v>
      </c>
      <c r="C19">
        <v>0</v>
      </c>
      <c r="D19">
        <v>3.4065999999999999E-2</v>
      </c>
      <c r="E19">
        <v>2.6610000000000002E-3</v>
      </c>
      <c r="F19">
        <v>0</v>
      </c>
      <c r="G19">
        <v>0</v>
      </c>
      <c r="H19">
        <v>3.0299999999999999E-4</v>
      </c>
      <c r="I19">
        <v>2.8E-5</v>
      </c>
      <c r="J19">
        <v>3.9999999999999998E-6</v>
      </c>
      <c r="K19">
        <v>0</v>
      </c>
      <c r="L19">
        <v>0</v>
      </c>
      <c r="M19">
        <v>0</v>
      </c>
      <c r="N19">
        <v>3.7061999999999991E-2</v>
      </c>
    </row>
    <row r="20" spans="1:14" ht="15" customHeight="1" x14ac:dyDescent="0.15">
      <c r="A20">
        <v>19</v>
      </c>
      <c r="B20" s="159" t="s">
        <v>210</v>
      </c>
      <c r="C20">
        <v>0</v>
      </c>
      <c r="D20">
        <v>1.3300000000000001E-4</v>
      </c>
      <c r="E20">
        <v>1.17E-4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2.5000000000000001E-4</v>
      </c>
    </row>
    <row r="21" spans="1:14" ht="15" customHeight="1" x14ac:dyDescent="0.15">
      <c r="A21">
        <v>20</v>
      </c>
      <c r="B21" s="159" t="s">
        <v>211</v>
      </c>
      <c r="C21">
        <v>0</v>
      </c>
      <c r="D21">
        <v>0.139242</v>
      </c>
      <c r="E21">
        <v>3.5547000000000002E-2</v>
      </c>
      <c r="F21">
        <v>0</v>
      </c>
      <c r="G21">
        <v>0</v>
      </c>
      <c r="H21">
        <v>4.7600000000000002E-4</v>
      </c>
      <c r="I21">
        <v>9.9999999999999995E-7</v>
      </c>
      <c r="J21">
        <v>9.9999999999999995E-7</v>
      </c>
      <c r="K21">
        <v>0</v>
      </c>
      <c r="L21">
        <v>0</v>
      </c>
      <c r="M21">
        <v>9.9999999999999995E-7</v>
      </c>
      <c r="N21">
        <v>0.17526800000000001</v>
      </c>
    </row>
    <row r="22" spans="1:14" ht="15" customHeight="1" x14ac:dyDescent="0.15">
      <c r="A22">
        <v>21</v>
      </c>
      <c r="B22" s="159" t="s">
        <v>212</v>
      </c>
      <c r="C22">
        <v>0</v>
      </c>
      <c r="D22">
        <v>0</v>
      </c>
      <c r="E22">
        <v>4.0000000000000003E-5</v>
      </c>
      <c r="F22">
        <v>0</v>
      </c>
      <c r="G22">
        <v>1.5886000000000001E-2</v>
      </c>
      <c r="H22">
        <v>1.3849999999999999E-3</v>
      </c>
      <c r="I22">
        <v>6.9999999999999999E-6</v>
      </c>
      <c r="J22">
        <v>6.3599999999999996E-4</v>
      </c>
      <c r="K22">
        <v>0</v>
      </c>
      <c r="L22">
        <v>0</v>
      </c>
      <c r="M22">
        <v>3.3199999999999999E-4</v>
      </c>
      <c r="N22">
        <v>1.8286E-2</v>
      </c>
    </row>
    <row r="23" spans="1:14" ht="15" customHeight="1" x14ac:dyDescent="0.15">
      <c r="A23">
        <v>22</v>
      </c>
      <c r="B23" s="159" t="s">
        <v>213</v>
      </c>
      <c r="C23">
        <v>0</v>
      </c>
      <c r="D23">
        <v>1.0186000000000001E-2</v>
      </c>
      <c r="E23">
        <v>3.4699999999999998E-4</v>
      </c>
      <c r="F23">
        <v>5.0000000000000002E-5</v>
      </c>
      <c r="G23">
        <v>0</v>
      </c>
      <c r="H23">
        <v>2.0300000000000001E-3</v>
      </c>
      <c r="I23">
        <v>5.3899999999999998E-3</v>
      </c>
      <c r="J23">
        <v>3.9999999999999998E-6</v>
      </c>
      <c r="K23">
        <v>0</v>
      </c>
      <c r="L23">
        <v>0</v>
      </c>
      <c r="M23">
        <v>9.0000000000000002E-6</v>
      </c>
      <c r="N23">
        <v>1.8016000000000001E-2</v>
      </c>
    </row>
    <row r="24" spans="1:14" ht="15" customHeight="1" x14ac:dyDescent="0.15">
      <c r="A24">
        <v>23</v>
      </c>
      <c r="B24" s="15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ht="15" customHeight="1" x14ac:dyDescent="0.15">
      <c r="A25">
        <v>24</v>
      </c>
      <c r="B25" s="159" t="s">
        <v>215</v>
      </c>
      <c r="C25">
        <v>0</v>
      </c>
      <c r="D25">
        <v>2.4996999999999998E-2</v>
      </c>
      <c r="E25">
        <v>3.4E-5</v>
      </c>
      <c r="F25">
        <v>4.3999999999999999E-5</v>
      </c>
      <c r="G25">
        <v>0</v>
      </c>
      <c r="H25">
        <v>4.0200000000000001E-4</v>
      </c>
      <c r="I25">
        <v>1.18E-4</v>
      </c>
      <c r="J25">
        <v>2.8E-5</v>
      </c>
      <c r="K25">
        <v>0</v>
      </c>
      <c r="L25">
        <v>0</v>
      </c>
      <c r="M25">
        <v>3.9999999999999998E-6</v>
      </c>
      <c r="N25">
        <v>2.5626999999999997E-2</v>
      </c>
    </row>
    <row r="26" spans="1:14" ht="15" customHeight="1" x14ac:dyDescent="0.15">
      <c r="A26">
        <v>25</v>
      </c>
      <c r="B26" s="15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ht="15" customHeight="1" x14ac:dyDescent="0.15">
      <c r="A27">
        <v>26</v>
      </c>
      <c r="B27" s="15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ht="15" customHeight="1" x14ac:dyDescent="0.15">
      <c r="A28">
        <v>27</v>
      </c>
      <c r="B28" s="15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ht="15" customHeight="1" x14ac:dyDescent="0.15">
      <c r="A29">
        <v>28</v>
      </c>
      <c r="B29" s="15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5.0000000000000004E-6</v>
      </c>
      <c r="I29">
        <v>1.2999999999999999E-5</v>
      </c>
      <c r="J29">
        <v>1.9999999999999999E-6</v>
      </c>
      <c r="K29">
        <v>0</v>
      </c>
      <c r="L29">
        <v>0</v>
      </c>
      <c r="M29">
        <v>0</v>
      </c>
      <c r="N29">
        <v>2.0000000000000002E-5</v>
      </c>
    </row>
    <row r="30" spans="1:14" ht="15" customHeight="1" x14ac:dyDescent="0.15">
      <c r="A30">
        <v>29</v>
      </c>
      <c r="B30" s="15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1.797E-3</v>
      </c>
      <c r="I30">
        <v>1.9000000000000001E-5</v>
      </c>
      <c r="J30">
        <v>4.0000000000000003E-5</v>
      </c>
      <c r="K30">
        <v>0</v>
      </c>
      <c r="L30">
        <v>0</v>
      </c>
      <c r="M30">
        <v>1.6919999999999999E-3</v>
      </c>
      <c r="N30">
        <v>3.5479999999999999E-3</v>
      </c>
    </row>
    <row r="31" spans="1:14" ht="15" customHeight="1" x14ac:dyDescent="0.15">
      <c r="A31">
        <v>30</v>
      </c>
      <c r="B31" s="159" t="s">
        <v>221</v>
      </c>
      <c r="C31">
        <v>0</v>
      </c>
      <c r="D31">
        <v>3.1000000000000001E-5</v>
      </c>
      <c r="E31">
        <v>5.6515999999999997E-2</v>
      </c>
      <c r="F31">
        <v>0</v>
      </c>
      <c r="G31">
        <v>2.3674000000000001E-2</v>
      </c>
      <c r="H31">
        <v>1.0000000000000001E-5</v>
      </c>
      <c r="I31">
        <v>0</v>
      </c>
      <c r="J31">
        <v>4.5753000000000002E-2</v>
      </c>
      <c r="K31">
        <v>0</v>
      </c>
      <c r="L31">
        <v>0</v>
      </c>
      <c r="M31">
        <v>0</v>
      </c>
      <c r="N31">
        <v>0.12598399999999998</v>
      </c>
    </row>
    <row r="32" spans="1:14" ht="15" customHeight="1" x14ac:dyDescent="0.15">
      <c r="A32">
        <v>31</v>
      </c>
      <c r="B32" s="159" t="s">
        <v>222</v>
      </c>
      <c r="C32">
        <v>0</v>
      </c>
      <c r="D32">
        <v>8.2999999999999998E-5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8.2999999999999998E-5</v>
      </c>
    </row>
    <row r="33" spans="1:14" ht="15" customHeight="1" x14ac:dyDescent="0.15">
      <c r="A33">
        <v>32</v>
      </c>
      <c r="B33" s="15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ht="15" customHeight="1" x14ac:dyDescent="0.15">
      <c r="A34">
        <v>33</v>
      </c>
      <c r="B34" s="159" t="s">
        <v>224</v>
      </c>
      <c r="C34">
        <v>0</v>
      </c>
      <c r="D34">
        <v>1.2E-5</v>
      </c>
      <c r="E34">
        <v>0</v>
      </c>
      <c r="F34">
        <v>0</v>
      </c>
      <c r="G34">
        <v>1.2677000000000001E-2</v>
      </c>
      <c r="H34">
        <v>4.934E-3</v>
      </c>
      <c r="I34">
        <v>1.9999999999999999E-6</v>
      </c>
      <c r="J34">
        <v>5.5699999999999999E-4</v>
      </c>
      <c r="K34">
        <v>0</v>
      </c>
      <c r="L34">
        <v>0</v>
      </c>
      <c r="M34">
        <v>0</v>
      </c>
      <c r="N34">
        <v>1.8181999999999997E-2</v>
      </c>
    </row>
    <row r="35" spans="1:14" ht="15" customHeight="1" x14ac:dyDescent="0.15">
      <c r="A35">
        <v>34</v>
      </c>
      <c r="B35" s="15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7.0799999999999997E-4</v>
      </c>
      <c r="J35">
        <v>0</v>
      </c>
      <c r="K35">
        <v>0</v>
      </c>
      <c r="L35">
        <v>0</v>
      </c>
      <c r="M35">
        <v>6.9999999999999999E-6</v>
      </c>
      <c r="N35">
        <v>7.1499999999999992E-4</v>
      </c>
    </row>
    <row r="36" spans="1:14" ht="15" customHeight="1" x14ac:dyDescent="0.15">
      <c r="A36">
        <v>35</v>
      </c>
      <c r="B36" s="159" t="s">
        <v>226</v>
      </c>
      <c r="C36">
        <v>0</v>
      </c>
      <c r="D36">
        <v>2.5000000000000001E-5</v>
      </c>
      <c r="E36">
        <v>5.8999999999999998E-5</v>
      </c>
      <c r="F36">
        <v>0</v>
      </c>
      <c r="G36">
        <v>0</v>
      </c>
      <c r="H36">
        <v>1.8E-5</v>
      </c>
      <c r="I36">
        <v>1.4E-5</v>
      </c>
      <c r="J36">
        <v>3.0000000000000001E-6</v>
      </c>
      <c r="K36">
        <v>0</v>
      </c>
      <c r="L36">
        <v>0</v>
      </c>
      <c r="M36">
        <v>1.5560000000000001E-3</v>
      </c>
      <c r="N36">
        <v>1.6750000000000001E-3</v>
      </c>
    </row>
    <row r="37" spans="1:14" ht="15" customHeight="1" x14ac:dyDescent="0.15">
      <c r="A37">
        <v>36</v>
      </c>
      <c r="B37" s="15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ht="15" customHeight="1" x14ac:dyDescent="0.15">
      <c r="A38">
        <v>37</v>
      </c>
      <c r="B38" s="159" t="s">
        <v>228</v>
      </c>
      <c r="C38">
        <v>0</v>
      </c>
      <c r="D38">
        <v>7.6300000000000001E-4</v>
      </c>
      <c r="E38">
        <v>9.9999999999999995E-7</v>
      </c>
      <c r="F38">
        <v>0</v>
      </c>
      <c r="G38">
        <v>0</v>
      </c>
      <c r="H38">
        <v>0</v>
      </c>
      <c r="I38">
        <v>3.9199999999999999E-4</v>
      </c>
      <c r="J38">
        <v>6.0000000000000002E-6</v>
      </c>
      <c r="K38">
        <v>0</v>
      </c>
      <c r="L38">
        <v>0</v>
      </c>
      <c r="M38">
        <v>0</v>
      </c>
      <c r="N38">
        <v>1.1619999999999998E-3</v>
      </c>
    </row>
    <row r="39" spans="1:14" ht="15" customHeight="1" x14ac:dyDescent="0.15">
      <c r="A39">
        <v>38</v>
      </c>
      <c r="B39" s="15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ht="15" customHeight="1" x14ac:dyDescent="0.15">
      <c r="A40">
        <v>39</v>
      </c>
      <c r="B40" s="15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2.4000000000000001E-5</v>
      </c>
      <c r="I40">
        <v>0</v>
      </c>
      <c r="J40">
        <v>1.4321E-2</v>
      </c>
      <c r="K40">
        <v>0</v>
      </c>
      <c r="L40">
        <v>0</v>
      </c>
      <c r="M40">
        <v>0</v>
      </c>
      <c r="N40">
        <v>1.4345E-2</v>
      </c>
    </row>
    <row r="41" spans="1:14" ht="15" customHeight="1" x14ac:dyDescent="0.15">
      <c r="A41">
        <v>40</v>
      </c>
      <c r="B41" s="15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ht="15" customHeight="1" x14ac:dyDescent="0.15">
      <c r="A42">
        <v>41</v>
      </c>
      <c r="B42" s="15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1.4159999999999999E-3</v>
      </c>
      <c r="K42">
        <v>0</v>
      </c>
      <c r="L42">
        <v>0</v>
      </c>
      <c r="M42">
        <v>0</v>
      </c>
      <c r="N42">
        <v>1.4159999999999999E-3</v>
      </c>
    </row>
    <row r="43" spans="1:14" ht="15" customHeight="1" x14ac:dyDescent="0.15">
      <c r="A43">
        <v>42</v>
      </c>
      <c r="B43" s="159" t="s">
        <v>233</v>
      </c>
      <c r="C43">
        <v>0</v>
      </c>
      <c r="D43">
        <v>3.0929999999999998E-3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3.0929999999999998E-3</v>
      </c>
    </row>
    <row r="44" spans="1:14" ht="15" customHeight="1" x14ac:dyDescent="0.15">
      <c r="A44">
        <v>43</v>
      </c>
      <c r="B44" s="159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9.9999999999999995E-8</v>
      </c>
      <c r="M44">
        <v>0</v>
      </c>
      <c r="N44">
        <v>9.9999999999999995E-8</v>
      </c>
    </row>
    <row r="45" spans="1:14" ht="15" customHeight="1" x14ac:dyDescent="0.15">
      <c r="A45">
        <v>44</v>
      </c>
      <c r="B45" s="159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ht="15" customHeight="1" x14ac:dyDescent="0.15">
      <c r="A46">
        <v>45</v>
      </c>
      <c r="B46" s="15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2.4399999999999999E-4</v>
      </c>
      <c r="L46">
        <v>0</v>
      </c>
      <c r="M46">
        <v>0</v>
      </c>
      <c r="N46">
        <v>2.4399999999999999E-4</v>
      </c>
    </row>
    <row r="47" spans="1:14" ht="15" customHeight="1" x14ac:dyDescent="0.15">
      <c r="A47">
        <v>46</v>
      </c>
      <c r="B47" s="15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ht="15" customHeight="1" x14ac:dyDescent="0.15">
      <c r="A48">
        <v>47</v>
      </c>
      <c r="B48" s="159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ht="15" customHeight="1" x14ac:dyDescent="0.15">
      <c r="A49">
        <v>48</v>
      </c>
      <c r="B49" s="15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49</v>
      </c>
      <c r="B50" s="15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50</v>
      </c>
      <c r="B51" s="15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51</v>
      </c>
      <c r="B52" s="15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N5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6640625" bestFit="1" customWidth="1"/>
    <col min="3" max="3" width="2.33203125" bestFit="1" customWidth="1"/>
    <col min="4" max="4" width="8.83203125" bestFit="1" customWidth="1"/>
    <col min="5" max="5" width="2.33203125" bestFit="1" customWidth="1"/>
    <col min="6" max="7" width="2.33203125" customWidth="1"/>
    <col min="8" max="8" width="7.83203125" customWidth="1"/>
    <col min="9" max="13" width="2.33203125" customWidth="1"/>
    <col min="14" max="14" width="8.83203125" customWidth="1"/>
  </cols>
  <sheetData>
    <row r="1" spans="1:14" s="119" customFormat="1" ht="112" x14ac:dyDescent="0.15">
      <c r="A1" s="5" t="s">
        <v>22</v>
      </c>
      <c r="B1" s="3" t="s">
        <v>0</v>
      </c>
      <c r="C1" s="162" t="s">
        <v>243</v>
      </c>
      <c r="D1" s="162" t="s">
        <v>244</v>
      </c>
      <c r="E1" s="162" t="s">
        <v>245</v>
      </c>
      <c r="F1" s="162" t="s">
        <v>246</v>
      </c>
      <c r="G1" s="162" t="s">
        <v>247</v>
      </c>
      <c r="H1" s="162" t="s">
        <v>248</v>
      </c>
      <c r="I1" s="162" t="s">
        <v>249</v>
      </c>
      <c r="J1" s="162" t="s">
        <v>250</v>
      </c>
      <c r="K1" s="162" t="s">
        <v>251</v>
      </c>
      <c r="L1" s="162" t="s">
        <v>252</v>
      </c>
      <c r="M1" s="162" t="s">
        <v>253</v>
      </c>
      <c r="N1" s="162" t="s">
        <v>257</v>
      </c>
    </row>
    <row r="2" spans="1:14" x14ac:dyDescent="0.15">
      <c r="A2">
        <v>1</v>
      </c>
      <c r="B2" s="16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6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3</v>
      </c>
      <c r="B4" s="16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6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2.1299999999999999E-3</v>
      </c>
      <c r="I5">
        <v>0</v>
      </c>
      <c r="J5">
        <v>0</v>
      </c>
      <c r="K5">
        <v>0</v>
      </c>
      <c r="L5">
        <v>0</v>
      </c>
      <c r="M5">
        <v>0</v>
      </c>
      <c r="N5">
        <v>2.1299999999999999E-3</v>
      </c>
    </row>
    <row r="6" spans="1:14" x14ac:dyDescent="0.15">
      <c r="A6">
        <v>5</v>
      </c>
      <c r="B6" s="161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61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6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6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61" t="s">
        <v>200</v>
      </c>
      <c r="C10">
        <v>0</v>
      </c>
      <c r="D10">
        <v>1.9318999999999999E-2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1.9318999999999999E-2</v>
      </c>
    </row>
    <row r="11" spans="1:14" x14ac:dyDescent="0.15">
      <c r="A11">
        <v>10</v>
      </c>
      <c r="B11" s="16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11</v>
      </c>
      <c r="B12" s="16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12</v>
      </c>
      <c r="B13" s="161" t="s">
        <v>203</v>
      </c>
      <c r="C13">
        <v>0</v>
      </c>
      <c r="D13">
        <v>2.5000000000000001E-2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2.5000000000000001E-2</v>
      </c>
    </row>
    <row r="14" spans="1:14" x14ac:dyDescent="0.15">
      <c r="A14">
        <v>13</v>
      </c>
      <c r="B14" s="16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61" t="s">
        <v>205</v>
      </c>
      <c r="C15">
        <v>0</v>
      </c>
      <c r="D15">
        <v>2E-3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2E-3</v>
      </c>
    </row>
    <row r="16" spans="1:14" x14ac:dyDescent="0.15">
      <c r="A16">
        <v>15</v>
      </c>
      <c r="B16" s="161" t="s">
        <v>206</v>
      </c>
      <c r="C16">
        <v>0</v>
      </c>
      <c r="D16">
        <v>1.042E-3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1.042E-3</v>
      </c>
    </row>
    <row r="17" spans="1:14" x14ac:dyDescent="0.15">
      <c r="A17">
        <v>16</v>
      </c>
      <c r="B17" s="161" t="s">
        <v>207</v>
      </c>
      <c r="C17">
        <v>0</v>
      </c>
      <c r="D17">
        <v>4.0000000000000003E-5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4.0000000000000003E-5</v>
      </c>
    </row>
    <row r="18" spans="1:14" x14ac:dyDescent="0.15">
      <c r="A18">
        <v>17</v>
      </c>
      <c r="B18" s="161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6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6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61" t="s">
        <v>211</v>
      </c>
      <c r="C21">
        <v>0</v>
      </c>
      <c r="D21">
        <v>2.4220000000000001E-3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2.4220000000000001E-3</v>
      </c>
    </row>
    <row r="22" spans="1:14" x14ac:dyDescent="0.15">
      <c r="A22">
        <v>21</v>
      </c>
      <c r="B22" s="161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22</v>
      </c>
      <c r="B23" s="161" t="s">
        <v>213</v>
      </c>
      <c r="C23">
        <v>0</v>
      </c>
      <c r="D23">
        <v>3.5729999999999998E-3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3.5729999999999998E-3</v>
      </c>
    </row>
    <row r="24" spans="1:14" x14ac:dyDescent="0.15">
      <c r="A24">
        <v>23</v>
      </c>
      <c r="B24" s="161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61" t="s">
        <v>215</v>
      </c>
      <c r="C25">
        <v>0</v>
      </c>
      <c r="D25">
        <v>5.0829999999999998E-3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5.0829999999999998E-3</v>
      </c>
    </row>
    <row r="26" spans="1:14" x14ac:dyDescent="0.15">
      <c r="A26">
        <v>25</v>
      </c>
      <c r="B26" s="16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61" t="s">
        <v>217</v>
      </c>
      <c r="C27">
        <v>0</v>
      </c>
      <c r="D27">
        <v>8.8999999999999995E-5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8.8999999999999995E-5</v>
      </c>
    </row>
    <row r="28" spans="1:14" x14ac:dyDescent="0.15">
      <c r="A28">
        <v>27</v>
      </c>
      <c r="B28" s="16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6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29</v>
      </c>
      <c r="B30" s="16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6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31</v>
      </c>
      <c r="B32" s="16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32</v>
      </c>
      <c r="B33" s="16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33</v>
      </c>
      <c r="B34" s="16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34</v>
      </c>
      <c r="B35" s="16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15">
      <c r="A36">
        <v>35</v>
      </c>
      <c r="B36" s="16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15">
      <c r="A37">
        <v>36</v>
      </c>
      <c r="B37" s="16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37</v>
      </c>
      <c r="B38" s="16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38</v>
      </c>
      <c r="B39" s="16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39</v>
      </c>
      <c r="B40" s="161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40</v>
      </c>
      <c r="B41" s="161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15">
      <c r="A42">
        <v>41</v>
      </c>
      <c r="B42" s="161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15">
      <c r="A43">
        <v>42</v>
      </c>
      <c r="B43" s="161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15">
      <c r="A44">
        <v>43</v>
      </c>
      <c r="B44" s="161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15">
      <c r="A45">
        <v>44</v>
      </c>
      <c r="B45" s="161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15">
      <c r="A46">
        <v>45</v>
      </c>
      <c r="B46" s="161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15">
      <c r="A47">
        <v>46</v>
      </c>
      <c r="B47" s="161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15">
      <c r="A48">
        <v>47</v>
      </c>
      <c r="B48" s="161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15">
      <c r="A49">
        <v>48</v>
      </c>
      <c r="B49" s="161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49</v>
      </c>
      <c r="B50" s="161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50</v>
      </c>
      <c r="B51" s="161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51</v>
      </c>
      <c r="B52" s="161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6.6640625" bestFit="1" customWidth="1"/>
    <col min="6" max="6" width="4.83203125" bestFit="1" customWidth="1"/>
    <col min="7" max="9" width="3.83203125" bestFit="1" customWidth="1"/>
    <col min="10" max="11" width="4.83203125" style="11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20" customFormat="1" ht="14" thickBot="1" x14ac:dyDescent="0.2">
      <c r="D1" s="121" t="s">
        <v>8</v>
      </c>
      <c r="E1" s="121" t="s">
        <v>0</v>
      </c>
      <c r="F1" s="122" t="s">
        <v>99</v>
      </c>
      <c r="G1" s="123" t="s">
        <v>84</v>
      </c>
      <c r="H1" s="123" t="s">
        <v>85</v>
      </c>
      <c r="I1" s="123" t="s">
        <v>86</v>
      </c>
      <c r="J1" s="123" t="s">
        <v>87</v>
      </c>
      <c r="K1" s="123" t="s">
        <v>88</v>
      </c>
      <c r="L1" s="124" t="s">
        <v>89</v>
      </c>
      <c r="M1" s="124" t="s">
        <v>93</v>
      </c>
      <c r="N1" s="124" t="s">
        <v>92</v>
      </c>
      <c r="O1" s="124" t="s">
        <v>90</v>
      </c>
      <c r="P1" s="124" t="s">
        <v>91</v>
      </c>
      <c r="Q1" s="125" t="s">
        <v>94</v>
      </c>
      <c r="R1" s="125" t="s">
        <v>95</v>
      </c>
      <c r="S1" s="125" t="s">
        <v>96</v>
      </c>
      <c r="T1" s="125" t="s">
        <v>97</v>
      </c>
      <c r="U1" s="125" t="s">
        <v>98</v>
      </c>
      <c r="V1" s="123" t="s">
        <v>100</v>
      </c>
      <c r="W1" s="123" t="s">
        <v>101</v>
      </c>
      <c r="X1" s="123" t="s">
        <v>102</v>
      </c>
      <c r="Y1" s="123" t="s">
        <v>134</v>
      </c>
      <c r="Z1" s="124" t="s">
        <v>103</v>
      </c>
      <c r="AA1" s="124" t="s">
        <v>104</v>
      </c>
      <c r="AB1" s="124" t="s">
        <v>105</v>
      </c>
      <c r="AC1" s="126" t="s">
        <v>135</v>
      </c>
      <c r="AD1" s="125" t="s">
        <v>106</v>
      </c>
      <c r="AE1" s="125" t="s">
        <v>107</v>
      </c>
      <c r="AF1" s="125" t="s">
        <v>108</v>
      </c>
      <c r="AG1" s="125" t="s">
        <v>136</v>
      </c>
      <c r="AH1" s="123" t="s">
        <v>109</v>
      </c>
      <c r="AI1" s="123" t="s">
        <v>111</v>
      </c>
      <c r="AJ1" s="123" t="s">
        <v>110</v>
      </c>
      <c r="AK1" s="124" t="s">
        <v>115</v>
      </c>
      <c r="AL1" s="124" t="s">
        <v>116</v>
      </c>
      <c r="AM1" s="124" t="s">
        <v>117</v>
      </c>
      <c r="AN1" s="125" t="s">
        <v>112</v>
      </c>
      <c r="AO1" s="125" t="s">
        <v>113</v>
      </c>
      <c r="AP1" s="125" t="s">
        <v>114</v>
      </c>
    </row>
    <row r="2" spans="1:42" x14ac:dyDescent="0.15">
      <c r="A2" s="127" t="s">
        <v>74</v>
      </c>
      <c r="B2" s="128">
        <v>1</v>
      </c>
      <c r="D2">
        <v>1</v>
      </c>
      <c r="E2" s="163" t="s">
        <v>192</v>
      </c>
      <c r="F2">
        <v>0.98</v>
      </c>
      <c r="G2">
        <v>0.8</v>
      </c>
      <c r="H2">
        <v>0.8</v>
      </c>
      <c r="I2">
        <v>0.8</v>
      </c>
      <c r="J2" s="118">
        <v>0.25</v>
      </c>
      <c r="K2" s="118">
        <v>0.05</v>
      </c>
    </row>
    <row r="3" spans="1:42" x14ac:dyDescent="0.15">
      <c r="A3" s="127" t="s">
        <v>75</v>
      </c>
      <c r="B3" s="129">
        <v>1</v>
      </c>
      <c r="D3">
        <v>2</v>
      </c>
      <c r="E3" s="163" t="s">
        <v>193</v>
      </c>
      <c r="F3">
        <v>0.98</v>
      </c>
      <c r="G3">
        <v>0.8</v>
      </c>
      <c r="H3">
        <v>0.8</v>
      </c>
      <c r="I3">
        <v>0.8</v>
      </c>
      <c r="J3" s="118">
        <v>0.25</v>
      </c>
      <c r="K3" s="118">
        <v>0.05</v>
      </c>
    </row>
    <row r="4" spans="1:42" x14ac:dyDescent="0.15">
      <c r="A4" s="127" t="s">
        <v>76</v>
      </c>
      <c r="B4" s="129">
        <v>1</v>
      </c>
      <c r="D4">
        <v>3</v>
      </c>
      <c r="E4" s="163" t="s">
        <v>194</v>
      </c>
      <c r="F4">
        <v>0.98</v>
      </c>
      <c r="G4">
        <v>0.8</v>
      </c>
      <c r="H4">
        <v>0.8</v>
      </c>
      <c r="I4">
        <v>0.8</v>
      </c>
      <c r="J4" s="118">
        <v>0.25</v>
      </c>
      <c r="K4" s="118">
        <v>0.05</v>
      </c>
    </row>
    <row r="5" spans="1:42" x14ac:dyDescent="0.15">
      <c r="A5" s="127" t="s">
        <v>77</v>
      </c>
      <c r="B5" s="129">
        <v>1</v>
      </c>
      <c r="D5">
        <v>4</v>
      </c>
      <c r="E5" s="163" t="s">
        <v>195</v>
      </c>
      <c r="F5">
        <v>0.98</v>
      </c>
      <c r="G5">
        <v>0.8</v>
      </c>
      <c r="H5">
        <v>0.8</v>
      </c>
      <c r="I5">
        <v>0.8</v>
      </c>
      <c r="J5" s="118">
        <v>0.25</v>
      </c>
      <c r="K5" s="118">
        <v>0.05</v>
      </c>
    </row>
    <row r="6" spans="1:42" x14ac:dyDescent="0.15">
      <c r="A6" s="127" t="s">
        <v>78</v>
      </c>
      <c r="B6" s="129">
        <v>1</v>
      </c>
      <c r="D6">
        <v>5</v>
      </c>
      <c r="E6" s="163" t="s">
        <v>196</v>
      </c>
      <c r="F6">
        <v>0.98</v>
      </c>
      <c r="G6">
        <v>0.8</v>
      </c>
      <c r="H6">
        <v>0.8</v>
      </c>
      <c r="I6">
        <v>0.8</v>
      </c>
      <c r="J6" s="118">
        <v>0.25</v>
      </c>
      <c r="K6" s="118">
        <v>0.05</v>
      </c>
    </row>
    <row r="7" spans="1:42" x14ac:dyDescent="0.15">
      <c r="A7" s="127" t="s">
        <v>79</v>
      </c>
      <c r="B7" s="129">
        <v>1</v>
      </c>
      <c r="D7">
        <v>6</v>
      </c>
      <c r="E7" s="163" t="s">
        <v>197</v>
      </c>
      <c r="F7">
        <v>0.98</v>
      </c>
      <c r="G7">
        <v>0.8</v>
      </c>
      <c r="H7">
        <v>0.8</v>
      </c>
      <c r="I7">
        <v>0.8</v>
      </c>
      <c r="J7" s="118">
        <v>0.25</v>
      </c>
      <c r="K7" s="118">
        <v>0.05</v>
      </c>
    </row>
    <row r="8" spans="1:42" x14ac:dyDescent="0.15">
      <c r="A8" s="127" t="s">
        <v>80</v>
      </c>
      <c r="B8" s="129">
        <v>1</v>
      </c>
      <c r="D8">
        <v>7</v>
      </c>
      <c r="E8" s="163" t="s">
        <v>198</v>
      </c>
      <c r="F8">
        <v>0.98</v>
      </c>
      <c r="G8">
        <v>0.8</v>
      </c>
      <c r="H8">
        <v>0.8</v>
      </c>
      <c r="I8">
        <v>0.8</v>
      </c>
      <c r="J8" s="118">
        <v>0.25</v>
      </c>
      <c r="K8" s="118">
        <v>0.05</v>
      </c>
    </row>
    <row r="9" spans="1:42" x14ac:dyDescent="0.15">
      <c r="A9" s="127" t="s">
        <v>81</v>
      </c>
      <c r="B9" s="129">
        <v>0.1</v>
      </c>
      <c r="C9" s="61" t="s">
        <v>150</v>
      </c>
      <c r="D9">
        <v>8</v>
      </c>
      <c r="E9" s="163" t="s">
        <v>199</v>
      </c>
      <c r="F9">
        <v>0.98</v>
      </c>
      <c r="G9">
        <v>0.8</v>
      </c>
      <c r="H9">
        <v>0.8</v>
      </c>
      <c r="I9">
        <v>0.8</v>
      </c>
      <c r="J9" s="118">
        <v>0.25</v>
      </c>
      <c r="K9" s="118">
        <v>0.05</v>
      </c>
    </row>
    <row r="10" spans="1:42" ht="14" thickBot="1" x14ac:dyDescent="0.2">
      <c r="A10" s="127" t="s">
        <v>149</v>
      </c>
      <c r="B10" s="130">
        <f>1/3</f>
        <v>0.33333333333333331</v>
      </c>
      <c r="C10" s="61" t="s">
        <v>150</v>
      </c>
      <c r="D10">
        <v>9</v>
      </c>
      <c r="E10" s="163" t="s">
        <v>200</v>
      </c>
      <c r="F10">
        <v>0.98</v>
      </c>
      <c r="G10">
        <v>0.8</v>
      </c>
      <c r="H10">
        <v>0.8</v>
      </c>
      <c r="I10">
        <v>0.8</v>
      </c>
      <c r="J10" s="118">
        <v>0.25</v>
      </c>
      <c r="K10" s="118">
        <v>0.05</v>
      </c>
    </row>
    <row r="11" spans="1:42" x14ac:dyDescent="0.15">
      <c r="D11">
        <v>10</v>
      </c>
      <c r="E11" s="163" t="s">
        <v>201</v>
      </c>
      <c r="F11">
        <v>0.98</v>
      </c>
      <c r="G11">
        <v>0.8</v>
      </c>
      <c r="H11">
        <v>0.8</v>
      </c>
      <c r="I11">
        <v>0.8</v>
      </c>
      <c r="J11" s="118">
        <v>0.25</v>
      </c>
      <c r="K11" s="118">
        <v>0.05</v>
      </c>
    </row>
    <row r="12" spans="1:42" x14ac:dyDescent="0.15">
      <c r="D12">
        <v>11</v>
      </c>
      <c r="E12" s="163" t="s">
        <v>202</v>
      </c>
      <c r="F12">
        <v>0.98</v>
      </c>
      <c r="G12">
        <v>0.8</v>
      </c>
      <c r="H12">
        <v>0.8</v>
      </c>
      <c r="I12">
        <v>0.8</v>
      </c>
      <c r="J12" s="118">
        <v>0.25</v>
      </c>
      <c r="K12" s="118">
        <v>0.05</v>
      </c>
    </row>
    <row r="13" spans="1:42" x14ac:dyDescent="0.15">
      <c r="D13">
        <v>12</v>
      </c>
      <c r="E13" s="163" t="s">
        <v>203</v>
      </c>
      <c r="F13">
        <v>0.98</v>
      </c>
      <c r="G13">
        <v>0.8</v>
      </c>
      <c r="H13">
        <v>0.8</v>
      </c>
      <c r="I13">
        <v>0.8</v>
      </c>
      <c r="J13" s="118">
        <v>0.25</v>
      </c>
      <c r="K13" s="118">
        <v>0.05</v>
      </c>
    </row>
    <row r="14" spans="1:42" x14ac:dyDescent="0.15">
      <c r="D14">
        <v>13</v>
      </c>
      <c r="E14" s="163" t="s">
        <v>204</v>
      </c>
      <c r="F14">
        <v>0.98</v>
      </c>
      <c r="G14">
        <v>0.8</v>
      </c>
      <c r="H14">
        <v>0.8</v>
      </c>
      <c r="I14">
        <v>0.8</v>
      </c>
      <c r="J14" s="118">
        <v>0.25</v>
      </c>
      <c r="K14" s="118">
        <v>0.05</v>
      </c>
    </row>
    <row r="15" spans="1:42" x14ac:dyDescent="0.15">
      <c r="D15">
        <v>14</v>
      </c>
      <c r="E15" s="163" t="s">
        <v>205</v>
      </c>
      <c r="F15">
        <v>0.98</v>
      </c>
      <c r="G15">
        <v>0.8</v>
      </c>
      <c r="H15">
        <v>0.8</v>
      </c>
      <c r="I15">
        <v>0.8</v>
      </c>
      <c r="J15" s="118">
        <v>0.25</v>
      </c>
      <c r="K15" s="118">
        <v>0.05</v>
      </c>
    </row>
    <row r="16" spans="1:42" x14ac:dyDescent="0.15">
      <c r="D16">
        <v>15</v>
      </c>
      <c r="E16" s="163" t="s">
        <v>206</v>
      </c>
      <c r="F16">
        <v>0.98</v>
      </c>
      <c r="G16">
        <v>0.8</v>
      </c>
      <c r="H16">
        <v>0.8</v>
      </c>
      <c r="I16">
        <v>0.8</v>
      </c>
      <c r="J16" s="118">
        <v>0.25</v>
      </c>
      <c r="K16" s="118">
        <v>0.05</v>
      </c>
    </row>
    <row r="17" spans="4:33" ht="15" customHeight="1" x14ac:dyDescent="0.15">
      <c r="D17">
        <v>16</v>
      </c>
      <c r="E17" s="163" t="s">
        <v>207</v>
      </c>
      <c r="F17">
        <v>0.98</v>
      </c>
      <c r="G17">
        <v>0.8</v>
      </c>
      <c r="H17">
        <v>0.8</v>
      </c>
      <c r="I17">
        <v>0.8</v>
      </c>
      <c r="J17" s="118">
        <v>0.25</v>
      </c>
      <c r="K17" s="118">
        <v>0.05</v>
      </c>
    </row>
    <row r="18" spans="4:33" ht="15" customHeight="1" x14ac:dyDescent="0.15">
      <c r="D18">
        <v>17</v>
      </c>
      <c r="E18" s="163" t="s">
        <v>208</v>
      </c>
      <c r="F18">
        <v>0.98</v>
      </c>
      <c r="G18">
        <v>0.8</v>
      </c>
      <c r="H18">
        <v>0.8</v>
      </c>
      <c r="I18">
        <v>0.8</v>
      </c>
      <c r="J18" s="118">
        <v>0.25</v>
      </c>
      <c r="K18" s="118">
        <v>0.05</v>
      </c>
    </row>
    <row r="19" spans="4:33" ht="15" customHeight="1" x14ac:dyDescent="0.15">
      <c r="D19">
        <v>18</v>
      </c>
      <c r="E19" s="163" t="s">
        <v>209</v>
      </c>
      <c r="F19">
        <v>0.98</v>
      </c>
      <c r="G19">
        <v>0.8</v>
      </c>
      <c r="H19">
        <v>0.8</v>
      </c>
      <c r="I19">
        <v>0.8</v>
      </c>
      <c r="J19" s="118">
        <v>0.25</v>
      </c>
      <c r="K19" s="118">
        <v>0.05</v>
      </c>
    </row>
    <row r="20" spans="4:33" ht="15" customHeight="1" x14ac:dyDescent="0.15">
      <c r="D20">
        <v>19</v>
      </c>
      <c r="E20" s="163" t="s">
        <v>210</v>
      </c>
      <c r="F20">
        <v>0.98</v>
      </c>
      <c r="G20">
        <v>0.8</v>
      </c>
      <c r="H20">
        <v>0.8</v>
      </c>
      <c r="I20">
        <v>0.8</v>
      </c>
      <c r="J20" s="118">
        <v>0.25</v>
      </c>
      <c r="K20" s="118">
        <v>0.05</v>
      </c>
    </row>
    <row r="21" spans="4:33" ht="15" customHeight="1" x14ac:dyDescent="0.15">
      <c r="D21">
        <v>20</v>
      </c>
      <c r="E21" s="163" t="s">
        <v>211</v>
      </c>
      <c r="F21">
        <v>0.98</v>
      </c>
      <c r="G21">
        <v>0.8</v>
      </c>
      <c r="H21">
        <v>0.8</v>
      </c>
      <c r="I21">
        <v>0.8</v>
      </c>
      <c r="J21" s="118">
        <v>0.25</v>
      </c>
      <c r="K21" s="118">
        <v>0.05</v>
      </c>
    </row>
    <row r="22" spans="4:33" ht="15" customHeight="1" x14ac:dyDescent="0.15">
      <c r="D22">
        <v>21</v>
      </c>
      <c r="E22" s="163" t="s">
        <v>212</v>
      </c>
      <c r="F22">
        <v>0.98</v>
      </c>
      <c r="G22">
        <v>0.8</v>
      </c>
      <c r="H22">
        <v>0.8</v>
      </c>
      <c r="I22">
        <v>0.8</v>
      </c>
      <c r="J22" s="118">
        <v>0.25</v>
      </c>
      <c r="K22" s="118">
        <v>0.05</v>
      </c>
    </row>
    <row r="23" spans="4:33" ht="15" customHeight="1" x14ac:dyDescent="0.15">
      <c r="D23">
        <v>22</v>
      </c>
      <c r="E23" s="163" t="s">
        <v>213</v>
      </c>
      <c r="F23">
        <v>0.98</v>
      </c>
      <c r="G23">
        <v>0.8</v>
      </c>
      <c r="H23">
        <v>0.8</v>
      </c>
      <c r="I23">
        <v>0.8</v>
      </c>
      <c r="J23" s="118">
        <v>0.25</v>
      </c>
      <c r="K23" s="118">
        <v>0.05</v>
      </c>
    </row>
    <row r="24" spans="4:33" ht="15" customHeight="1" x14ac:dyDescent="0.15">
      <c r="D24">
        <v>23</v>
      </c>
      <c r="E24" s="163" t="s">
        <v>214</v>
      </c>
      <c r="F24">
        <v>0.98</v>
      </c>
      <c r="G24">
        <v>0.8</v>
      </c>
      <c r="H24">
        <v>0.8</v>
      </c>
      <c r="I24">
        <v>0.8</v>
      </c>
      <c r="J24" s="118">
        <v>0.25</v>
      </c>
      <c r="K24" s="118">
        <v>0.05</v>
      </c>
    </row>
    <row r="25" spans="4:33" ht="15" customHeight="1" x14ac:dyDescent="0.15">
      <c r="D25">
        <v>24</v>
      </c>
      <c r="E25" s="163" t="s">
        <v>215</v>
      </c>
      <c r="F25">
        <v>0.98</v>
      </c>
      <c r="G25">
        <v>0.8</v>
      </c>
      <c r="H25">
        <v>0.8</v>
      </c>
      <c r="I25">
        <v>0.8</v>
      </c>
      <c r="J25" s="118">
        <v>0.25</v>
      </c>
      <c r="K25" s="118">
        <v>0.05</v>
      </c>
    </row>
    <row r="26" spans="4:33" ht="15" customHeight="1" x14ac:dyDescent="0.15">
      <c r="D26">
        <v>25</v>
      </c>
      <c r="E26" s="163" t="s">
        <v>216</v>
      </c>
      <c r="F26">
        <v>0.98</v>
      </c>
      <c r="G26">
        <v>0.8</v>
      </c>
      <c r="H26">
        <v>0.8</v>
      </c>
      <c r="I26">
        <v>0.8</v>
      </c>
      <c r="J26" s="118">
        <v>0.25</v>
      </c>
      <c r="K26" s="118">
        <v>0.05</v>
      </c>
    </row>
    <row r="27" spans="4:33" ht="15" customHeight="1" x14ac:dyDescent="0.15">
      <c r="D27">
        <v>26</v>
      </c>
      <c r="E27" s="163" t="s">
        <v>217</v>
      </c>
      <c r="F27">
        <v>0.98</v>
      </c>
      <c r="G27">
        <v>0.8</v>
      </c>
      <c r="H27">
        <v>0.8</v>
      </c>
      <c r="I27">
        <v>0.8</v>
      </c>
      <c r="J27" s="118">
        <v>0.25</v>
      </c>
      <c r="K27" s="118">
        <v>0.05</v>
      </c>
    </row>
    <row r="28" spans="4:33" ht="15" customHeight="1" x14ac:dyDescent="0.15">
      <c r="D28">
        <v>27</v>
      </c>
      <c r="E28" s="163" t="s">
        <v>218</v>
      </c>
      <c r="F28">
        <v>0.98</v>
      </c>
      <c r="G28">
        <v>0.8</v>
      </c>
      <c r="H28">
        <v>0.8</v>
      </c>
      <c r="I28">
        <v>0.8</v>
      </c>
      <c r="J28" s="118">
        <v>0.25</v>
      </c>
      <c r="K28" s="118">
        <v>0.05</v>
      </c>
    </row>
    <row r="29" spans="4:33" ht="15" customHeight="1" x14ac:dyDescent="0.15">
      <c r="D29">
        <v>28</v>
      </c>
      <c r="E29" s="163" t="s">
        <v>219</v>
      </c>
      <c r="F29">
        <v>0.98</v>
      </c>
      <c r="G29">
        <v>0.8</v>
      </c>
      <c r="H29">
        <v>0.8</v>
      </c>
      <c r="I29">
        <v>0.8</v>
      </c>
      <c r="J29" s="118">
        <v>0.25</v>
      </c>
      <c r="K29" s="118">
        <v>0.05</v>
      </c>
      <c r="Y29"/>
      <c r="AC29"/>
      <c r="AG29"/>
    </row>
    <row r="30" spans="4:33" ht="15" customHeight="1" x14ac:dyDescent="0.15">
      <c r="D30">
        <v>29</v>
      </c>
      <c r="E30" s="163" t="s">
        <v>220</v>
      </c>
      <c r="F30">
        <v>0.98</v>
      </c>
      <c r="G30">
        <v>0.8</v>
      </c>
      <c r="H30">
        <v>0.8</v>
      </c>
      <c r="I30">
        <v>0.8</v>
      </c>
      <c r="J30" s="118">
        <v>0.25</v>
      </c>
      <c r="K30" s="118">
        <v>0.05</v>
      </c>
      <c r="Y30"/>
      <c r="AC30"/>
      <c r="AG30"/>
    </row>
    <row r="31" spans="4:33" ht="15" customHeight="1" x14ac:dyDescent="0.15">
      <c r="D31">
        <v>30</v>
      </c>
      <c r="E31" s="163" t="s">
        <v>221</v>
      </c>
      <c r="F31">
        <v>0.98</v>
      </c>
      <c r="G31">
        <v>0.8</v>
      </c>
      <c r="H31">
        <v>0.8</v>
      </c>
      <c r="I31">
        <v>0.8</v>
      </c>
      <c r="J31" s="118">
        <v>0.25</v>
      </c>
      <c r="K31" s="118">
        <v>0.05</v>
      </c>
      <c r="Y31"/>
      <c r="AC31"/>
      <c r="AG31"/>
    </row>
    <row r="32" spans="4:33" ht="15" customHeight="1" x14ac:dyDescent="0.15">
      <c r="D32">
        <v>31</v>
      </c>
      <c r="E32" s="163" t="s">
        <v>222</v>
      </c>
      <c r="F32">
        <v>0.98</v>
      </c>
      <c r="G32">
        <v>0.8</v>
      </c>
      <c r="H32">
        <v>0.8</v>
      </c>
      <c r="I32">
        <v>0.8</v>
      </c>
      <c r="J32" s="118">
        <v>0.25</v>
      </c>
      <c r="K32" s="118">
        <v>0.05</v>
      </c>
      <c r="Y32"/>
      <c r="AC32"/>
      <c r="AG32"/>
    </row>
    <row r="33" spans="4:33" ht="15" customHeight="1" x14ac:dyDescent="0.15">
      <c r="D33">
        <v>32</v>
      </c>
      <c r="E33" s="163" t="s">
        <v>223</v>
      </c>
      <c r="F33">
        <v>0.98</v>
      </c>
      <c r="G33">
        <v>0.8</v>
      </c>
      <c r="H33">
        <v>0.8</v>
      </c>
      <c r="I33">
        <v>0.8</v>
      </c>
      <c r="J33" s="118">
        <v>0.25</v>
      </c>
      <c r="K33" s="118">
        <v>0.05</v>
      </c>
      <c r="Y33"/>
      <c r="AC33"/>
      <c r="AG33"/>
    </row>
    <row r="34" spans="4:33" ht="15" customHeight="1" x14ac:dyDescent="0.15">
      <c r="D34">
        <v>33</v>
      </c>
      <c r="E34" s="163" t="s">
        <v>224</v>
      </c>
      <c r="F34">
        <v>0.98</v>
      </c>
      <c r="G34">
        <v>0.8</v>
      </c>
      <c r="H34">
        <v>0.8</v>
      </c>
      <c r="I34">
        <v>0.8</v>
      </c>
      <c r="J34" s="118">
        <v>0.25</v>
      </c>
      <c r="K34" s="118">
        <v>0.05</v>
      </c>
      <c r="Y34"/>
      <c r="AC34"/>
      <c r="AG34"/>
    </row>
    <row r="35" spans="4:33" ht="15" customHeight="1" x14ac:dyDescent="0.15">
      <c r="D35">
        <v>34</v>
      </c>
      <c r="E35" s="163" t="s">
        <v>225</v>
      </c>
      <c r="F35">
        <v>0.98</v>
      </c>
      <c r="G35">
        <v>0.8</v>
      </c>
      <c r="H35">
        <v>0.8</v>
      </c>
      <c r="I35">
        <v>0.8</v>
      </c>
      <c r="J35" s="118">
        <v>0.25</v>
      </c>
      <c r="K35" s="118">
        <v>0.05</v>
      </c>
      <c r="Y35"/>
      <c r="AC35"/>
      <c r="AG35"/>
    </row>
    <row r="36" spans="4:33" ht="15" customHeight="1" x14ac:dyDescent="0.15">
      <c r="D36">
        <v>35</v>
      </c>
      <c r="E36" s="163" t="s">
        <v>226</v>
      </c>
      <c r="F36">
        <v>0.98</v>
      </c>
      <c r="G36">
        <v>0.8</v>
      </c>
      <c r="H36">
        <v>0.8</v>
      </c>
      <c r="I36">
        <v>0.8</v>
      </c>
      <c r="J36" s="118">
        <v>0.25</v>
      </c>
      <c r="K36" s="118">
        <v>0.05</v>
      </c>
      <c r="Y36"/>
      <c r="AC36"/>
      <c r="AG36"/>
    </row>
    <row r="37" spans="4:33" ht="15" customHeight="1" x14ac:dyDescent="0.15">
      <c r="D37">
        <v>36</v>
      </c>
      <c r="E37" s="163" t="s">
        <v>227</v>
      </c>
      <c r="F37">
        <v>0.98</v>
      </c>
      <c r="G37">
        <v>0.8</v>
      </c>
      <c r="H37">
        <v>0.8</v>
      </c>
      <c r="I37">
        <v>0.8</v>
      </c>
      <c r="J37" s="118">
        <v>0.25</v>
      </c>
      <c r="K37" s="118">
        <v>0.05</v>
      </c>
      <c r="Y37"/>
      <c r="AC37"/>
      <c r="AG37"/>
    </row>
    <row r="38" spans="4:33" ht="15" customHeight="1" x14ac:dyDescent="0.15">
      <c r="D38">
        <v>37</v>
      </c>
      <c r="E38" s="163" t="s">
        <v>228</v>
      </c>
      <c r="F38">
        <v>0.98</v>
      </c>
      <c r="G38">
        <v>0.8</v>
      </c>
      <c r="H38">
        <v>0.8</v>
      </c>
      <c r="I38">
        <v>0.8</v>
      </c>
      <c r="J38" s="118">
        <v>0.25</v>
      </c>
      <c r="K38" s="118">
        <v>0.05</v>
      </c>
      <c r="Y38"/>
      <c r="AC38"/>
      <c r="AG38"/>
    </row>
    <row r="39" spans="4:33" ht="15" customHeight="1" x14ac:dyDescent="0.15">
      <c r="D39">
        <v>38</v>
      </c>
      <c r="E39" s="163" t="s">
        <v>229</v>
      </c>
      <c r="F39">
        <v>0.98</v>
      </c>
      <c r="G39">
        <v>0.8</v>
      </c>
      <c r="H39">
        <v>0.8</v>
      </c>
      <c r="I39">
        <v>0.8</v>
      </c>
      <c r="J39" s="118">
        <v>0.25</v>
      </c>
      <c r="K39" s="118">
        <v>0.05</v>
      </c>
    </row>
    <row r="40" spans="4:33" ht="15" customHeight="1" x14ac:dyDescent="0.15">
      <c r="D40">
        <v>39</v>
      </c>
      <c r="E40" s="163" t="s">
        <v>230</v>
      </c>
      <c r="F40">
        <v>0.98</v>
      </c>
      <c r="G40">
        <v>0.8</v>
      </c>
      <c r="H40">
        <v>0.8</v>
      </c>
      <c r="I40">
        <v>0.8</v>
      </c>
      <c r="J40" s="118">
        <v>0.25</v>
      </c>
      <c r="K40" s="118">
        <v>0.05</v>
      </c>
      <c r="Y40"/>
      <c r="AC40"/>
      <c r="AG40"/>
    </row>
    <row r="41" spans="4:33" ht="15" customHeight="1" x14ac:dyDescent="0.15">
      <c r="D41">
        <v>40</v>
      </c>
      <c r="E41" s="163" t="s">
        <v>231</v>
      </c>
      <c r="F41">
        <v>0.98</v>
      </c>
      <c r="G41">
        <v>0.8</v>
      </c>
      <c r="H41">
        <v>0.8</v>
      </c>
      <c r="I41">
        <v>0.8</v>
      </c>
      <c r="J41" s="118">
        <v>0.25</v>
      </c>
      <c r="K41" s="118">
        <v>0.05</v>
      </c>
      <c r="Y41"/>
      <c r="AC41"/>
      <c r="AG41"/>
    </row>
    <row r="42" spans="4:33" ht="15" customHeight="1" x14ac:dyDescent="0.15">
      <c r="D42">
        <v>41</v>
      </c>
      <c r="E42" s="163" t="s">
        <v>232</v>
      </c>
      <c r="F42">
        <v>0.98</v>
      </c>
      <c r="G42">
        <v>0.8</v>
      </c>
      <c r="H42">
        <v>0.8</v>
      </c>
      <c r="I42">
        <v>0.8</v>
      </c>
      <c r="J42" s="118">
        <v>0.25</v>
      </c>
      <c r="K42" s="118">
        <v>0.05</v>
      </c>
      <c r="Y42"/>
      <c r="AC42"/>
      <c r="AG42"/>
    </row>
    <row r="43" spans="4:33" ht="15" customHeight="1" x14ac:dyDescent="0.15">
      <c r="D43">
        <v>42</v>
      </c>
      <c r="E43" s="163" t="s">
        <v>233</v>
      </c>
      <c r="F43">
        <v>0.98</v>
      </c>
      <c r="G43">
        <v>0.8</v>
      </c>
      <c r="H43">
        <v>0.8</v>
      </c>
      <c r="I43">
        <v>0.8</v>
      </c>
      <c r="J43" s="118">
        <v>0.25</v>
      </c>
      <c r="K43" s="118">
        <v>0.05</v>
      </c>
      <c r="Y43"/>
      <c r="AC43"/>
      <c r="AG43"/>
    </row>
    <row r="44" spans="4:33" ht="15" customHeight="1" x14ac:dyDescent="0.15">
      <c r="D44">
        <v>43</v>
      </c>
      <c r="E44" s="163" t="s">
        <v>234</v>
      </c>
      <c r="F44">
        <v>0.98</v>
      </c>
      <c r="G44">
        <v>0.8</v>
      </c>
      <c r="H44">
        <v>0.8</v>
      </c>
      <c r="I44">
        <v>0.8</v>
      </c>
      <c r="J44" s="118">
        <v>0.25</v>
      </c>
      <c r="K44" s="118">
        <v>0.05</v>
      </c>
      <c r="Y44"/>
      <c r="AC44"/>
      <c r="AG44"/>
    </row>
    <row r="45" spans="4:33" ht="15" customHeight="1" x14ac:dyDescent="0.15">
      <c r="D45">
        <v>44</v>
      </c>
      <c r="E45" s="163" t="s">
        <v>235</v>
      </c>
      <c r="F45">
        <v>0.98</v>
      </c>
      <c r="G45">
        <v>0.8</v>
      </c>
      <c r="H45">
        <v>0.8</v>
      </c>
      <c r="I45">
        <v>0.8</v>
      </c>
      <c r="J45" s="118">
        <v>0.25</v>
      </c>
      <c r="K45" s="118">
        <v>0.05</v>
      </c>
      <c r="Y45"/>
      <c r="AC45"/>
      <c r="AG45"/>
    </row>
    <row r="46" spans="4:33" ht="15" customHeight="1" x14ac:dyDescent="0.15">
      <c r="D46">
        <v>45</v>
      </c>
      <c r="E46" s="163" t="s">
        <v>236</v>
      </c>
      <c r="F46">
        <v>0.98</v>
      </c>
      <c r="G46">
        <v>0.8</v>
      </c>
      <c r="H46">
        <v>0.8</v>
      </c>
      <c r="I46">
        <v>0.8</v>
      </c>
      <c r="J46" s="118">
        <v>0.25</v>
      </c>
      <c r="K46" s="118">
        <v>0.05</v>
      </c>
      <c r="Y46"/>
      <c r="AC46"/>
      <c r="AG46"/>
    </row>
    <row r="47" spans="4:33" ht="15" customHeight="1" x14ac:dyDescent="0.15">
      <c r="D47">
        <v>46</v>
      </c>
      <c r="E47" s="163" t="s">
        <v>237</v>
      </c>
      <c r="F47">
        <v>0.98</v>
      </c>
      <c r="G47">
        <v>0.8</v>
      </c>
      <c r="H47">
        <v>0.8</v>
      </c>
      <c r="I47">
        <v>0.8</v>
      </c>
      <c r="J47" s="118">
        <v>0.25</v>
      </c>
      <c r="K47" s="118">
        <v>0.05</v>
      </c>
      <c r="Y47"/>
      <c r="AC47"/>
      <c r="AG47"/>
    </row>
    <row r="48" spans="4:33" ht="15" customHeight="1" x14ac:dyDescent="0.15">
      <c r="D48">
        <v>47</v>
      </c>
      <c r="E48" s="163" t="s">
        <v>238</v>
      </c>
      <c r="F48">
        <v>0.98</v>
      </c>
      <c r="G48">
        <v>0.8</v>
      </c>
      <c r="H48">
        <v>0.8</v>
      </c>
      <c r="I48">
        <v>0.8</v>
      </c>
      <c r="J48" s="118">
        <v>0.25</v>
      </c>
      <c r="K48" s="118">
        <v>0.05</v>
      </c>
      <c r="Y48"/>
      <c r="AC48"/>
      <c r="AG48"/>
    </row>
    <row r="49" spans="4:33" ht="15" customHeight="1" x14ac:dyDescent="0.15">
      <c r="D49">
        <v>48</v>
      </c>
      <c r="E49" s="163" t="s">
        <v>239</v>
      </c>
      <c r="F49">
        <v>0.98</v>
      </c>
      <c r="G49">
        <v>0.8</v>
      </c>
      <c r="H49">
        <v>0.8</v>
      </c>
      <c r="I49">
        <v>0.8</v>
      </c>
      <c r="J49" s="118">
        <v>0.25</v>
      </c>
      <c r="K49" s="118">
        <v>0.05</v>
      </c>
      <c r="Y49"/>
      <c r="AC49"/>
      <c r="AG49"/>
    </row>
    <row r="50" spans="4:33" ht="15" customHeight="1" x14ac:dyDescent="0.15">
      <c r="D50">
        <v>49</v>
      </c>
      <c r="E50" s="163" t="s">
        <v>240</v>
      </c>
      <c r="F50">
        <v>0.98</v>
      </c>
      <c r="G50">
        <v>0.8</v>
      </c>
      <c r="H50">
        <v>0.8</v>
      </c>
      <c r="I50">
        <v>0</v>
      </c>
      <c r="J50" s="118">
        <v>0</v>
      </c>
      <c r="K50" s="118">
        <v>0</v>
      </c>
      <c r="Y50"/>
      <c r="AC50"/>
      <c r="AG50"/>
    </row>
    <row r="51" spans="4:33" ht="15" customHeight="1" x14ac:dyDescent="0.15">
      <c r="D51">
        <v>50</v>
      </c>
      <c r="E51" s="163" t="s">
        <v>241</v>
      </c>
      <c r="F51">
        <v>0.98</v>
      </c>
      <c r="G51">
        <v>0.8</v>
      </c>
      <c r="H51">
        <v>0</v>
      </c>
      <c r="I51">
        <v>0</v>
      </c>
      <c r="J51" s="118">
        <v>0</v>
      </c>
      <c r="K51" s="118">
        <v>0</v>
      </c>
      <c r="Y51"/>
      <c r="AC51"/>
      <c r="AG51"/>
    </row>
    <row r="52" spans="4:33" ht="15" customHeight="1" x14ac:dyDescent="0.15">
      <c r="D52">
        <v>51</v>
      </c>
      <c r="E52" s="163" t="s">
        <v>242</v>
      </c>
      <c r="F52">
        <v>0.98</v>
      </c>
      <c r="G52">
        <v>0.8</v>
      </c>
      <c r="H52">
        <v>0</v>
      </c>
      <c r="I52">
        <v>0</v>
      </c>
      <c r="J52" s="118">
        <v>0</v>
      </c>
      <c r="K52" s="118">
        <v>0</v>
      </c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6.6640625" style="116" bestFit="1" customWidth="1"/>
    <col min="2" max="49" width="3.83203125" style="116" customWidth="1"/>
    <col min="50" max="52" width="2.33203125" style="116" customWidth="1"/>
    <col min="53" max="16384" width="10.83203125" style="116"/>
  </cols>
  <sheetData>
    <row r="1" spans="1:52" x14ac:dyDescent="0.15">
      <c r="A1" s="63" t="s">
        <v>118</v>
      </c>
      <c r="B1" s="165" t="s">
        <v>192</v>
      </c>
      <c r="C1" s="165" t="s">
        <v>193</v>
      </c>
      <c r="D1" s="165" t="s">
        <v>194</v>
      </c>
      <c r="E1" s="165" t="s">
        <v>195</v>
      </c>
      <c r="F1" s="165" t="s">
        <v>196</v>
      </c>
      <c r="G1" s="165" t="s">
        <v>197</v>
      </c>
      <c r="H1" s="165" t="s">
        <v>198</v>
      </c>
      <c r="I1" s="165" t="s">
        <v>199</v>
      </c>
      <c r="J1" s="165" t="s">
        <v>200</v>
      </c>
      <c r="K1" s="165" t="s">
        <v>201</v>
      </c>
      <c r="L1" s="165" t="s">
        <v>202</v>
      </c>
      <c r="M1" s="165" t="s">
        <v>203</v>
      </c>
      <c r="N1" s="165" t="s">
        <v>204</v>
      </c>
      <c r="O1" s="165" t="s">
        <v>205</v>
      </c>
      <c r="P1" s="165" t="s">
        <v>206</v>
      </c>
      <c r="Q1" s="165" t="s">
        <v>207</v>
      </c>
      <c r="R1" s="165" t="s">
        <v>208</v>
      </c>
      <c r="S1" s="165" t="s">
        <v>209</v>
      </c>
      <c r="T1" s="165" t="s">
        <v>210</v>
      </c>
      <c r="U1" s="165" t="s">
        <v>211</v>
      </c>
      <c r="V1" s="165" t="s">
        <v>212</v>
      </c>
      <c r="W1" s="165" t="s">
        <v>213</v>
      </c>
      <c r="X1" s="165" t="s">
        <v>214</v>
      </c>
      <c r="Y1" s="165" t="s">
        <v>215</v>
      </c>
      <c r="Z1" s="165" t="s">
        <v>216</v>
      </c>
      <c r="AA1" s="165" t="s">
        <v>217</v>
      </c>
      <c r="AB1" s="165" t="s">
        <v>218</v>
      </c>
      <c r="AC1" s="165" t="s">
        <v>219</v>
      </c>
      <c r="AD1" s="165" t="s">
        <v>220</v>
      </c>
      <c r="AE1" s="165" t="s">
        <v>221</v>
      </c>
      <c r="AF1" s="165" t="s">
        <v>222</v>
      </c>
      <c r="AG1" s="165" t="s">
        <v>223</v>
      </c>
      <c r="AH1" s="165" t="s">
        <v>224</v>
      </c>
      <c r="AI1" s="165" t="s">
        <v>225</v>
      </c>
      <c r="AJ1" s="165" t="s">
        <v>226</v>
      </c>
      <c r="AK1" s="165" t="s">
        <v>227</v>
      </c>
      <c r="AL1" s="165" t="s">
        <v>228</v>
      </c>
      <c r="AM1" s="165" t="s">
        <v>229</v>
      </c>
      <c r="AN1" s="165" t="s">
        <v>230</v>
      </c>
      <c r="AO1" s="165" t="s">
        <v>231</v>
      </c>
      <c r="AP1" s="165" t="s">
        <v>232</v>
      </c>
      <c r="AQ1" s="165" t="s">
        <v>233</v>
      </c>
      <c r="AR1" s="165" t="s">
        <v>234</v>
      </c>
      <c r="AS1" s="165" t="s">
        <v>235</v>
      </c>
      <c r="AT1" s="165" t="s">
        <v>236</v>
      </c>
      <c r="AU1" s="165" t="s">
        <v>237</v>
      </c>
      <c r="AV1" s="165" t="s">
        <v>238</v>
      </c>
      <c r="AW1" s="165" t="s">
        <v>239</v>
      </c>
      <c r="AX1" s="165" t="s">
        <v>240</v>
      </c>
      <c r="AY1" s="165" t="s">
        <v>241</v>
      </c>
      <c r="AZ1" s="165" t="s">
        <v>242</v>
      </c>
    </row>
    <row r="2" spans="1:52" customFormat="1" x14ac:dyDescent="0.15">
      <c r="A2" s="164" t="s">
        <v>192</v>
      </c>
      <c r="B2" s="116">
        <v>0</v>
      </c>
      <c r="C2" s="116">
        <v>0</v>
      </c>
      <c r="D2" s="116">
        <v>0</v>
      </c>
      <c r="E2" s="116">
        <v>0</v>
      </c>
      <c r="F2" s="116">
        <v>0</v>
      </c>
      <c r="G2" s="116">
        <v>0</v>
      </c>
      <c r="H2" s="116">
        <v>0</v>
      </c>
      <c r="I2" s="116">
        <v>0</v>
      </c>
      <c r="J2" s="116">
        <v>0</v>
      </c>
      <c r="K2" s="116">
        <v>0</v>
      </c>
      <c r="L2" s="116">
        <v>0</v>
      </c>
      <c r="M2" s="116">
        <v>0</v>
      </c>
      <c r="N2" s="116">
        <v>0</v>
      </c>
      <c r="O2" s="116">
        <v>0</v>
      </c>
      <c r="P2" s="116">
        <v>0</v>
      </c>
      <c r="Q2" s="116">
        <v>0</v>
      </c>
      <c r="R2" s="116">
        <v>0</v>
      </c>
      <c r="S2" s="116">
        <v>0</v>
      </c>
      <c r="T2" s="116">
        <v>0</v>
      </c>
      <c r="U2" s="116">
        <v>0</v>
      </c>
      <c r="V2" s="116">
        <v>0</v>
      </c>
      <c r="W2" s="116">
        <v>0</v>
      </c>
      <c r="X2" s="116">
        <v>0</v>
      </c>
      <c r="Y2" s="116">
        <v>0</v>
      </c>
      <c r="Z2" s="116">
        <v>0</v>
      </c>
      <c r="AA2" s="116">
        <v>0</v>
      </c>
      <c r="AB2" s="116">
        <v>0</v>
      </c>
      <c r="AC2" s="116">
        <v>0</v>
      </c>
      <c r="AD2" s="116">
        <v>0</v>
      </c>
      <c r="AE2" s="116">
        <v>0</v>
      </c>
      <c r="AF2" s="116">
        <v>0</v>
      </c>
      <c r="AG2" s="116">
        <v>0</v>
      </c>
      <c r="AH2" s="116">
        <v>0</v>
      </c>
      <c r="AI2" s="116">
        <v>0</v>
      </c>
      <c r="AJ2" s="116">
        <v>0</v>
      </c>
      <c r="AK2" s="116">
        <v>0</v>
      </c>
      <c r="AL2" s="116">
        <v>0</v>
      </c>
      <c r="AM2" s="116">
        <v>0</v>
      </c>
      <c r="AN2" s="116">
        <v>0</v>
      </c>
      <c r="AO2" s="116">
        <v>0</v>
      </c>
      <c r="AP2" s="116">
        <v>0</v>
      </c>
      <c r="AQ2" s="116">
        <v>0</v>
      </c>
      <c r="AR2" s="116">
        <v>0</v>
      </c>
      <c r="AS2" s="116">
        <v>0</v>
      </c>
      <c r="AT2" s="116">
        <v>0</v>
      </c>
      <c r="AU2" s="116">
        <v>0</v>
      </c>
      <c r="AV2" s="116">
        <v>0</v>
      </c>
      <c r="AW2" s="116">
        <v>0</v>
      </c>
      <c r="AX2" s="116">
        <v>0</v>
      </c>
      <c r="AY2" s="116">
        <v>0</v>
      </c>
      <c r="AZ2" s="116">
        <v>0</v>
      </c>
    </row>
    <row r="3" spans="1:52" customFormat="1" x14ac:dyDescent="0.15">
      <c r="A3" s="164" t="s">
        <v>193</v>
      </c>
      <c r="B3" s="116">
        <v>0</v>
      </c>
      <c r="C3" s="116">
        <v>0</v>
      </c>
      <c r="D3" s="116">
        <v>0</v>
      </c>
      <c r="E3" s="116">
        <v>0</v>
      </c>
      <c r="F3" s="116">
        <v>0</v>
      </c>
      <c r="G3" s="116">
        <v>0</v>
      </c>
      <c r="H3" s="116">
        <v>0</v>
      </c>
      <c r="I3" s="116">
        <v>0</v>
      </c>
      <c r="J3" s="116">
        <v>0</v>
      </c>
      <c r="K3" s="116">
        <v>0</v>
      </c>
      <c r="L3" s="116">
        <v>0</v>
      </c>
      <c r="M3" s="116">
        <v>0</v>
      </c>
      <c r="N3" s="116">
        <v>0</v>
      </c>
      <c r="O3" s="116">
        <v>0</v>
      </c>
      <c r="P3" s="116">
        <v>0</v>
      </c>
      <c r="Q3" s="116">
        <v>0</v>
      </c>
      <c r="R3" s="116">
        <v>0</v>
      </c>
      <c r="S3" s="116">
        <v>0</v>
      </c>
      <c r="T3" s="116">
        <v>0</v>
      </c>
      <c r="U3" s="116">
        <v>0</v>
      </c>
      <c r="V3" s="116">
        <v>0</v>
      </c>
      <c r="W3" s="116">
        <v>0</v>
      </c>
      <c r="X3" s="116">
        <v>0</v>
      </c>
      <c r="Y3" s="116">
        <v>0</v>
      </c>
      <c r="Z3" s="116">
        <v>0</v>
      </c>
      <c r="AA3" s="116">
        <v>0</v>
      </c>
      <c r="AB3" s="116">
        <v>0</v>
      </c>
      <c r="AC3" s="116">
        <v>0</v>
      </c>
      <c r="AD3" s="116">
        <v>0</v>
      </c>
      <c r="AE3" s="116">
        <v>0</v>
      </c>
      <c r="AF3" s="116">
        <v>0</v>
      </c>
      <c r="AG3" s="116">
        <v>0</v>
      </c>
      <c r="AH3" s="116">
        <v>0</v>
      </c>
      <c r="AI3" s="116">
        <v>0</v>
      </c>
      <c r="AJ3" s="116">
        <v>0</v>
      </c>
      <c r="AK3" s="116">
        <v>0</v>
      </c>
      <c r="AL3" s="116">
        <v>0</v>
      </c>
      <c r="AM3" s="116">
        <v>0</v>
      </c>
      <c r="AN3" s="116">
        <v>0</v>
      </c>
      <c r="AO3" s="116">
        <v>0</v>
      </c>
      <c r="AP3" s="116">
        <v>0</v>
      </c>
      <c r="AQ3" s="116">
        <v>0</v>
      </c>
      <c r="AR3" s="116">
        <v>0</v>
      </c>
      <c r="AS3" s="116">
        <v>0</v>
      </c>
      <c r="AT3" s="116">
        <v>0</v>
      </c>
      <c r="AU3" s="116">
        <v>0</v>
      </c>
      <c r="AV3" s="116">
        <v>0</v>
      </c>
      <c r="AW3" s="116">
        <v>0</v>
      </c>
      <c r="AX3" s="116">
        <v>0</v>
      </c>
      <c r="AY3" s="116">
        <v>0</v>
      </c>
      <c r="AZ3" s="116">
        <v>0</v>
      </c>
    </row>
    <row r="4" spans="1:52" customFormat="1" x14ac:dyDescent="0.15">
      <c r="A4" s="164" t="s">
        <v>194</v>
      </c>
      <c r="B4" s="116">
        <v>0.8</v>
      </c>
      <c r="C4" s="116">
        <v>0</v>
      </c>
      <c r="D4" s="116">
        <v>0</v>
      </c>
      <c r="E4" s="116">
        <v>0</v>
      </c>
      <c r="F4" s="116">
        <v>0</v>
      </c>
      <c r="G4" s="116">
        <v>0</v>
      </c>
      <c r="H4" s="116">
        <v>0</v>
      </c>
      <c r="I4" s="116">
        <v>0</v>
      </c>
      <c r="J4" s="116">
        <v>0</v>
      </c>
      <c r="K4" s="116">
        <v>0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0</v>
      </c>
      <c r="AD4" s="116">
        <v>0</v>
      </c>
      <c r="AE4" s="116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  <c r="AO4" s="116">
        <v>0</v>
      </c>
      <c r="AP4" s="116">
        <v>0</v>
      </c>
      <c r="AQ4" s="116">
        <v>0</v>
      </c>
      <c r="AR4" s="116">
        <v>0</v>
      </c>
      <c r="AS4" s="116">
        <v>0</v>
      </c>
      <c r="AT4" s="116">
        <v>0</v>
      </c>
      <c r="AU4" s="116">
        <v>0</v>
      </c>
      <c r="AV4" s="116">
        <v>0</v>
      </c>
      <c r="AW4" s="116">
        <v>0</v>
      </c>
      <c r="AX4" s="116">
        <v>0</v>
      </c>
      <c r="AY4" s="116">
        <v>0</v>
      </c>
      <c r="AZ4" s="116">
        <v>0</v>
      </c>
    </row>
    <row r="5" spans="1:52" customFormat="1" x14ac:dyDescent="0.15">
      <c r="A5" s="164" t="s">
        <v>195</v>
      </c>
      <c r="B5" s="116">
        <v>0.8</v>
      </c>
      <c r="C5" s="116">
        <v>0</v>
      </c>
      <c r="D5" s="116">
        <v>0</v>
      </c>
      <c r="E5" s="116">
        <v>0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  <c r="AO5" s="116">
        <v>0</v>
      </c>
      <c r="AP5" s="116">
        <v>0</v>
      </c>
      <c r="AQ5" s="116">
        <v>0</v>
      </c>
      <c r="AR5" s="116">
        <v>0</v>
      </c>
      <c r="AS5" s="116">
        <v>0</v>
      </c>
      <c r="AT5" s="116">
        <v>0</v>
      </c>
      <c r="AU5" s="116">
        <v>0</v>
      </c>
      <c r="AV5" s="116">
        <v>0</v>
      </c>
      <c r="AW5" s="116">
        <v>0</v>
      </c>
      <c r="AX5" s="116">
        <v>0</v>
      </c>
      <c r="AY5" s="116">
        <v>0</v>
      </c>
      <c r="AZ5" s="116">
        <v>0</v>
      </c>
    </row>
    <row r="6" spans="1:52" customFormat="1" x14ac:dyDescent="0.15">
      <c r="A6" s="164" t="s">
        <v>196</v>
      </c>
      <c r="B6" s="116">
        <v>0.8</v>
      </c>
      <c r="C6" s="116">
        <v>0</v>
      </c>
      <c r="D6" s="116">
        <v>0</v>
      </c>
      <c r="E6" s="116">
        <v>0</v>
      </c>
      <c r="F6" s="116">
        <v>0</v>
      </c>
      <c r="G6" s="116">
        <v>0</v>
      </c>
      <c r="H6" s="116">
        <v>0</v>
      </c>
      <c r="I6" s="116">
        <v>0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  <c r="AO6" s="116">
        <v>0</v>
      </c>
      <c r="AP6" s="116">
        <v>0</v>
      </c>
      <c r="AQ6" s="116">
        <v>0</v>
      </c>
      <c r="AR6" s="116">
        <v>0</v>
      </c>
      <c r="AS6" s="116">
        <v>0</v>
      </c>
      <c r="AT6" s="116">
        <v>0</v>
      </c>
      <c r="AU6" s="116">
        <v>0</v>
      </c>
      <c r="AV6" s="116">
        <v>0</v>
      </c>
      <c r="AW6" s="116">
        <v>0</v>
      </c>
      <c r="AX6" s="116">
        <v>0</v>
      </c>
      <c r="AY6" s="116">
        <v>0</v>
      </c>
      <c r="AZ6" s="116">
        <v>0</v>
      </c>
    </row>
    <row r="7" spans="1:52" customFormat="1" x14ac:dyDescent="0.15">
      <c r="A7" s="164" t="s">
        <v>197</v>
      </c>
      <c r="B7" s="116">
        <v>0</v>
      </c>
      <c r="C7" s="116">
        <v>0</v>
      </c>
      <c r="D7" s="116">
        <v>0</v>
      </c>
      <c r="E7" s="116">
        <v>0</v>
      </c>
      <c r="F7" s="116">
        <v>0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0</v>
      </c>
      <c r="M7" s="116">
        <v>0</v>
      </c>
      <c r="N7" s="116">
        <v>0</v>
      </c>
      <c r="O7" s="116">
        <v>0</v>
      </c>
      <c r="P7" s="116">
        <v>0</v>
      </c>
      <c r="Q7" s="116">
        <v>0</v>
      </c>
      <c r="R7" s="116">
        <v>0</v>
      </c>
      <c r="S7" s="116">
        <v>0</v>
      </c>
      <c r="T7" s="116">
        <v>0</v>
      </c>
      <c r="U7" s="116">
        <v>0</v>
      </c>
      <c r="V7" s="116">
        <v>0</v>
      </c>
      <c r="W7" s="116">
        <v>0</v>
      </c>
      <c r="X7" s="116">
        <v>0</v>
      </c>
      <c r="Y7" s="116">
        <v>0</v>
      </c>
      <c r="Z7" s="116">
        <v>0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  <c r="AO7" s="116">
        <v>0</v>
      </c>
      <c r="AP7" s="116">
        <v>0</v>
      </c>
      <c r="AQ7" s="116">
        <v>0</v>
      </c>
      <c r="AR7" s="116">
        <v>0</v>
      </c>
      <c r="AS7" s="116">
        <v>0</v>
      </c>
      <c r="AT7" s="116">
        <v>0</v>
      </c>
      <c r="AU7" s="116">
        <v>0</v>
      </c>
      <c r="AV7" s="116">
        <v>0</v>
      </c>
      <c r="AW7" s="116">
        <v>0</v>
      </c>
      <c r="AX7" s="116">
        <v>0</v>
      </c>
      <c r="AY7" s="116">
        <v>0</v>
      </c>
      <c r="AZ7" s="116">
        <v>0</v>
      </c>
    </row>
    <row r="8" spans="1:52" customFormat="1" x14ac:dyDescent="0.15">
      <c r="A8" s="164" t="s">
        <v>198</v>
      </c>
      <c r="B8" s="116">
        <v>0</v>
      </c>
      <c r="C8" s="116">
        <v>0</v>
      </c>
      <c r="D8" s="116">
        <v>0</v>
      </c>
      <c r="E8" s="116">
        <v>0.8</v>
      </c>
      <c r="F8" s="116">
        <v>0</v>
      </c>
      <c r="G8" s="116">
        <v>0</v>
      </c>
      <c r="H8" s="116">
        <v>0</v>
      </c>
      <c r="I8" s="116">
        <v>0</v>
      </c>
      <c r="J8" s="116">
        <v>0</v>
      </c>
      <c r="K8" s="116">
        <v>0</v>
      </c>
      <c r="L8" s="116">
        <v>0</v>
      </c>
      <c r="M8" s="116">
        <v>0</v>
      </c>
      <c r="N8" s="116">
        <v>0</v>
      </c>
      <c r="O8" s="116">
        <v>0</v>
      </c>
      <c r="P8" s="116">
        <v>0</v>
      </c>
      <c r="Q8" s="116">
        <v>0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0</v>
      </c>
      <c r="AP8" s="116">
        <v>0</v>
      </c>
      <c r="AQ8" s="116">
        <v>0</v>
      </c>
      <c r="AR8" s="116">
        <v>0</v>
      </c>
      <c r="AS8" s="116">
        <v>0</v>
      </c>
      <c r="AT8" s="116">
        <v>0</v>
      </c>
      <c r="AU8" s="116">
        <v>0</v>
      </c>
      <c r="AV8" s="116">
        <v>0</v>
      </c>
      <c r="AW8" s="116">
        <v>0</v>
      </c>
      <c r="AX8" s="116">
        <v>0</v>
      </c>
      <c r="AY8" s="116">
        <v>0</v>
      </c>
      <c r="AZ8" s="116">
        <v>0</v>
      </c>
    </row>
    <row r="9" spans="1:52" customFormat="1" x14ac:dyDescent="0.15">
      <c r="A9" s="164" t="s">
        <v>199</v>
      </c>
      <c r="B9" s="116">
        <v>0</v>
      </c>
      <c r="C9" s="116">
        <v>0</v>
      </c>
      <c r="D9" s="116">
        <v>0</v>
      </c>
      <c r="E9" s="116">
        <v>0</v>
      </c>
      <c r="F9" s="116">
        <v>0</v>
      </c>
      <c r="G9" s="116">
        <v>0</v>
      </c>
      <c r="H9" s="116">
        <v>0</v>
      </c>
      <c r="I9" s="116">
        <v>0</v>
      </c>
      <c r="J9" s="116">
        <v>0</v>
      </c>
      <c r="K9" s="116">
        <v>0</v>
      </c>
      <c r="L9" s="116">
        <v>0</v>
      </c>
      <c r="M9" s="116">
        <v>0</v>
      </c>
      <c r="N9" s="116">
        <v>0</v>
      </c>
      <c r="O9" s="116">
        <v>0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  <c r="AR9" s="116">
        <v>0</v>
      </c>
      <c r="AS9" s="116">
        <v>0</v>
      </c>
      <c r="AT9" s="116">
        <v>0</v>
      </c>
      <c r="AU9" s="116">
        <v>0</v>
      </c>
      <c r="AV9" s="116">
        <v>0</v>
      </c>
      <c r="AW9" s="116">
        <v>0</v>
      </c>
      <c r="AX9" s="116">
        <v>0</v>
      </c>
      <c r="AY9" s="116">
        <v>0</v>
      </c>
      <c r="AZ9" s="116">
        <v>0</v>
      </c>
    </row>
    <row r="10" spans="1:52" customFormat="1" x14ac:dyDescent="0.15">
      <c r="A10" s="164" t="s">
        <v>200</v>
      </c>
      <c r="B10" s="116">
        <v>0</v>
      </c>
      <c r="C10" s="116">
        <v>0</v>
      </c>
      <c r="D10" s="116">
        <v>0.8</v>
      </c>
      <c r="E10" s="116">
        <v>0.8</v>
      </c>
      <c r="F10" s="116">
        <v>0.8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  <c r="AR10" s="116">
        <v>0</v>
      </c>
      <c r="AS10" s="116">
        <v>0</v>
      </c>
      <c r="AT10" s="116">
        <v>0</v>
      </c>
      <c r="AU10" s="116">
        <v>0</v>
      </c>
      <c r="AV10" s="116">
        <v>0</v>
      </c>
      <c r="AW10" s="116">
        <v>0</v>
      </c>
      <c r="AX10" s="116">
        <v>0</v>
      </c>
      <c r="AY10" s="116">
        <v>0</v>
      </c>
      <c r="AZ10" s="116">
        <v>0</v>
      </c>
    </row>
    <row r="11" spans="1:52" customFormat="1" x14ac:dyDescent="0.15">
      <c r="A11" s="164" t="s">
        <v>201</v>
      </c>
      <c r="B11" s="116">
        <v>0</v>
      </c>
      <c r="C11" s="116">
        <v>0.8</v>
      </c>
      <c r="D11" s="116">
        <v>0.8</v>
      </c>
      <c r="E11" s="116">
        <v>0.8</v>
      </c>
      <c r="F11" s="116">
        <v>0.8</v>
      </c>
      <c r="G11" s="116">
        <v>0</v>
      </c>
      <c r="H11" s="116">
        <v>0.8</v>
      </c>
      <c r="I11" s="116">
        <v>0</v>
      </c>
      <c r="J11" s="116">
        <v>0.8</v>
      </c>
      <c r="K11" s="116">
        <v>0.8</v>
      </c>
      <c r="L11" s="116">
        <v>0.8</v>
      </c>
      <c r="M11" s="116">
        <v>0.8</v>
      </c>
      <c r="N11" s="116">
        <v>0.8</v>
      </c>
      <c r="O11" s="116">
        <v>0.8</v>
      </c>
      <c r="P11" s="116">
        <v>0</v>
      </c>
      <c r="Q11" s="116">
        <v>0</v>
      </c>
      <c r="R11" s="116">
        <v>0</v>
      </c>
      <c r="S11" s="116">
        <v>0.8</v>
      </c>
      <c r="T11" s="116">
        <v>0.8</v>
      </c>
      <c r="U11" s="116">
        <v>0.8</v>
      </c>
      <c r="V11" s="116">
        <v>0</v>
      </c>
      <c r="W11" s="116">
        <v>0.8</v>
      </c>
      <c r="X11" s="116">
        <v>0.8</v>
      </c>
      <c r="Y11" s="116">
        <v>0.8</v>
      </c>
      <c r="Z11" s="116">
        <v>0.8</v>
      </c>
      <c r="AA11" s="116">
        <v>0</v>
      </c>
      <c r="AB11" s="116">
        <v>0</v>
      </c>
      <c r="AC11" s="116">
        <v>0</v>
      </c>
      <c r="AD11" s="116">
        <v>0.8</v>
      </c>
      <c r="AE11" s="116">
        <v>0</v>
      </c>
      <c r="AF11" s="116">
        <v>0</v>
      </c>
      <c r="AG11" s="116">
        <v>0</v>
      </c>
      <c r="AH11" s="116">
        <v>0</v>
      </c>
      <c r="AI11" s="116">
        <v>0.8</v>
      </c>
      <c r="AJ11" s="116">
        <v>0</v>
      </c>
      <c r="AK11" s="116">
        <v>0</v>
      </c>
      <c r="AL11" s="116">
        <v>0.8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  <c r="AR11" s="116">
        <v>0</v>
      </c>
      <c r="AS11" s="116">
        <v>0</v>
      </c>
      <c r="AT11" s="116">
        <v>0</v>
      </c>
      <c r="AU11" s="116">
        <v>0</v>
      </c>
      <c r="AV11" s="116">
        <v>0</v>
      </c>
      <c r="AW11" s="116">
        <v>0</v>
      </c>
      <c r="AX11" s="116">
        <v>0</v>
      </c>
      <c r="AY11" s="116">
        <v>0</v>
      </c>
      <c r="AZ11" s="116">
        <v>0</v>
      </c>
    </row>
    <row r="12" spans="1:52" customFormat="1" x14ac:dyDescent="0.15">
      <c r="A12" s="164" t="s">
        <v>202</v>
      </c>
      <c r="B12" s="116">
        <v>0</v>
      </c>
      <c r="C12" s="116">
        <v>0</v>
      </c>
      <c r="D12" s="116">
        <v>0</v>
      </c>
      <c r="E12" s="116">
        <v>0.8</v>
      </c>
      <c r="F12" s="116">
        <v>0</v>
      </c>
      <c r="G12" s="116">
        <v>0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  <c r="AR12" s="116">
        <v>0</v>
      </c>
      <c r="AS12" s="116">
        <v>0</v>
      </c>
      <c r="AT12" s="116">
        <v>0</v>
      </c>
      <c r="AU12" s="116">
        <v>0</v>
      </c>
      <c r="AV12" s="116">
        <v>0</v>
      </c>
      <c r="AW12" s="116">
        <v>0</v>
      </c>
      <c r="AX12" s="116">
        <v>0</v>
      </c>
      <c r="AY12" s="116">
        <v>0</v>
      </c>
      <c r="AZ12" s="116">
        <v>0</v>
      </c>
    </row>
    <row r="13" spans="1:52" customFormat="1" x14ac:dyDescent="0.15">
      <c r="A13" s="164" t="s">
        <v>203</v>
      </c>
      <c r="B13" s="116">
        <v>0.8</v>
      </c>
      <c r="C13" s="116">
        <v>0</v>
      </c>
      <c r="D13" s="116">
        <v>0.8</v>
      </c>
      <c r="E13" s="116">
        <v>0.8</v>
      </c>
      <c r="F13" s="116">
        <v>0</v>
      </c>
      <c r="G13" s="116">
        <v>0</v>
      </c>
      <c r="H13" s="116">
        <v>0</v>
      </c>
      <c r="I13" s="116">
        <v>0</v>
      </c>
      <c r="J13" s="116">
        <v>0.8</v>
      </c>
      <c r="K13" s="116">
        <v>0.8</v>
      </c>
      <c r="L13" s="116">
        <v>0.8</v>
      </c>
      <c r="M13" s="116">
        <v>0.8</v>
      </c>
      <c r="N13" s="116">
        <v>0.8</v>
      </c>
      <c r="O13" s="116">
        <v>0</v>
      </c>
      <c r="P13" s="116">
        <v>0</v>
      </c>
      <c r="Q13" s="116">
        <v>0</v>
      </c>
      <c r="R13" s="116">
        <v>0</v>
      </c>
      <c r="S13" s="116">
        <v>0.8</v>
      </c>
      <c r="T13" s="116">
        <v>0</v>
      </c>
      <c r="U13" s="116">
        <v>0</v>
      </c>
      <c r="V13" s="116">
        <v>0</v>
      </c>
      <c r="W13" s="116">
        <v>0.8</v>
      </c>
      <c r="X13" s="116">
        <v>0.8</v>
      </c>
      <c r="Y13" s="116">
        <v>0.8</v>
      </c>
      <c r="Z13" s="116">
        <v>0.8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  <c r="AR13" s="116">
        <v>0</v>
      </c>
      <c r="AS13" s="116">
        <v>0</v>
      </c>
      <c r="AT13" s="116">
        <v>0</v>
      </c>
      <c r="AU13" s="116">
        <v>0</v>
      </c>
      <c r="AV13" s="116">
        <v>0</v>
      </c>
      <c r="AW13" s="116">
        <v>0</v>
      </c>
      <c r="AX13" s="116">
        <v>0</v>
      </c>
      <c r="AY13" s="116">
        <v>0</v>
      </c>
      <c r="AZ13" s="116">
        <v>0</v>
      </c>
    </row>
    <row r="14" spans="1:52" customFormat="1" x14ac:dyDescent="0.15">
      <c r="A14" s="164" t="s">
        <v>204</v>
      </c>
      <c r="B14" s="116">
        <v>0</v>
      </c>
      <c r="C14" s="116">
        <v>0</v>
      </c>
      <c r="D14" s="116">
        <v>0</v>
      </c>
      <c r="E14" s="116">
        <v>0.8</v>
      </c>
      <c r="F14" s="116">
        <v>0.8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  <c r="L14" s="116">
        <v>0</v>
      </c>
      <c r="M14" s="116">
        <v>0</v>
      </c>
      <c r="N14" s="116">
        <v>0</v>
      </c>
      <c r="O14" s="116">
        <v>0</v>
      </c>
      <c r="P14" s="116">
        <v>0</v>
      </c>
      <c r="Q14" s="116">
        <v>0</v>
      </c>
      <c r="R14" s="116">
        <v>0</v>
      </c>
      <c r="S14" s="116">
        <v>0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  <c r="AR14" s="116">
        <v>0</v>
      </c>
      <c r="AS14" s="116">
        <v>0</v>
      </c>
      <c r="AT14" s="116">
        <v>0</v>
      </c>
      <c r="AU14" s="116">
        <v>0</v>
      </c>
      <c r="AV14" s="116">
        <v>0</v>
      </c>
      <c r="AW14" s="116">
        <v>0</v>
      </c>
      <c r="AX14" s="116">
        <v>0</v>
      </c>
      <c r="AY14" s="116">
        <v>0</v>
      </c>
      <c r="AZ14" s="116">
        <v>0</v>
      </c>
    </row>
    <row r="15" spans="1:52" customFormat="1" x14ac:dyDescent="0.15">
      <c r="A15" s="164" t="s">
        <v>205</v>
      </c>
      <c r="B15" s="116">
        <v>0</v>
      </c>
      <c r="C15" s="116">
        <v>0</v>
      </c>
      <c r="D15" s="116">
        <v>0.8</v>
      </c>
      <c r="E15" s="116">
        <v>0.8</v>
      </c>
      <c r="F15" s="116">
        <v>0.8</v>
      </c>
      <c r="G15" s="116">
        <v>0</v>
      </c>
      <c r="H15" s="116">
        <v>0</v>
      </c>
      <c r="I15" s="116">
        <v>0</v>
      </c>
      <c r="J15" s="116">
        <v>0.8</v>
      </c>
      <c r="K15" s="116">
        <v>0.8</v>
      </c>
      <c r="L15" s="116">
        <v>0.8</v>
      </c>
      <c r="M15" s="116">
        <v>0.8</v>
      </c>
      <c r="N15" s="116">
        <v>0.8</v>
      </c>
      <c r="O15" s="116">
        <v>0.8</v>
      </c>
      <c r="P15" s="116">
        <v>0</v>
      </c>
      <c r="Q15" s="116">
        <v>0</v>
      </c>
      <c r="R15" s="116">
        <v>0</v>
      </c>
      <c r="S15" s="116">
        <v>0.8</v>
      </c>
      <c r="T15" s="116">
        <v>0.8</v>
      </c>
      <c r="U15" s="116">
        <v>0</v>
      </c>
      <c r="V15" s="116">
        <v>0</v>
      </c>
      <c r="W15" s="116">
        <v>0.8</v>
      </c>
      <c r="X15" s="116">
        <v>0.8</v>
      </c>
      <c r="Y15" s="116">
        <v>0</v>
      </c>
      <c r="Z15" s="116">
        <v>0</v>
      </c>
      <c r="AA15" s="116">
        <v>0</v>
      </c>
      <c r="AB15" s="116">
        <v>0</v>
      </c>
      <c r="AC15" s="116">
        <v>0</v>
      </c>
      <c r="AD15" s="116">
        <v>0.8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  <c r="AO15" s="116">
        <v>0</v>
      </c>
      <c r="AP15" s="116">
        <v>0</v>
      </c>
      <c r="AQ15" s="116">
        <v>0</v>
      </c>
      <c r="AR15" s="116">
        <v>0</v>
      </c>
      <c r="AS15" s="116">
        <v>0</v>
      </c>
      <c r="AT15" s="116">
        <v>0</v>
      </c>
      <c r="AU15" s="116">
        <v>0</v>
      </c>
      <c r="AV15" s="116">
        <v>0</v>
      </c>
      <c r="AW15" s="116">
        <v>0</v>
      </c>
      <c r="AX15" s="116">
        <v>0</v>
      </c>
      <c r="AY15" s="116">
        <v>0</v>
      </c>
      <c r="AZ15" s="116">
        <v>0</v>
      </c>
    </row>
    <row r="16" spans="1:52" customFormat="1" x14ac:dyDescent="0.15">
      <c r="A16" s="164" t="s">
        <v>206</v>
      </c>
      <c r="B16" s="116">
        <v>0.8</v>
      </c>
      <c r="C16" s="116">
        <v>0</v>
      </c>
      <c r="D16" s="116">
        <v>0.8</v>
      </c>
      <c r="E16" s="116">
        <v>0.8</v>
      </c>
      <c r="F16" s="116">
        <v>0.8</v>
      </c>
      <c r="G16" s="116">
        <v>0</v>
      </c>
      <c r="H16" s="116">
        <v>0</v>
      </c>
      <c r="I16" s="116">
        <v>0</v>
      </c>
      <c r="J16" s="116">
        <v>0.8</v>
      </c>
      <c r="K16" s="116">
        <v>0</v>
      </c>
      <c r="L16" s="116">
        <v>0.8</v>
      </c>
      <c r="M16" s="116">
        <v>0.8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0.8</v>
      </c>
      <c r="X16" s="116">
        <v>0.8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16">
        <v>0</v>
      </c>
    </row>
    <row r="17" spans="1:52" customFormat="1" x14ac:dyDescent="0.15">
      <c r="A17" s="164" t="s">
        <v>207</v>
      </c>
      <c r="B17" s="116">
        <v>0.8</v>
      </c>
      <c r="C17" s="116">
        <v>0</v>
      </c>
      <c r="D17" s="116">
        <v>0.8</v>
      </c>
      <c r="E17" s="116">
        <v>0.8</v>
      </c>
      <c r="F17" s="116">
        <v>0.8</v>
      </c>
      <c r="G17" s="116">
        <v>0</v>
      </c>
      <c r="H17" s="116">
        <v>0</v>
      </c>
      <c r="I17" s="116">
        <v>0</v>
      </c>
      <c r="J17" s="116">
        <v>0.8</v>
      </c>
      <c r="K17" s="116">
        <v>0</v>
      </c>
      <c r="L17" s="116">
        <v>0.8</v>
      </c>
      <c r="M17" s="116">
        <v>0</v>
      </c>
      <c r="N17" s="116">
        <v>0.8</v>
      </c>
      <c r="O17" s="116">
        <v>0</v>
      </c>
      <c r="P17" s="116">
        <v>0</v>
      </c>
      <c r="Q17" s="116">
        <v>0</v>
      </c>
      <c r="R17" s="116">
        <v>0</v>
      </c>
      <c r="S17" s="116">
        <v>0.8</v>
      </c>
      <c r="T17" s="116">
        <v>0</v>
      </c>
      <c r="U17" s="116">
        <v>0</v>
      </c>
      <c r="V17" s="116">
        <v>0</v>
      </c>
      <c r="W17" s="116">
        <v>0.8</v>
      </c>
      <c r="X17" s="116">
        <v>0.8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16">
        <v>0</v>
      </c>
      <c r="AT17" s="116">
        <v>0</v>
      </c>
      <c r="AU17" s="116">
        <v>0</v>
      </c>
      <c r="AV17" s="116">
        <v>0</v>
      </c>
      <c r="AW17" s="116">
        <v>0</v>
      </c>
      <c r="AX17" s="116">
        <v>0</v>
      </c>
      <c r="AY17" s="116">
        <v>0</v>
      </c>
      <c r="AZ17" s="116">
        <v>0</v>
      </c>
    </row>
    <row r="18" spans="1:52" customFormat="1" x14ac:dyDescent="0.15">
      <c r="A18" s="164" t="s">
        <v>208</v>
      </c>
      <c r="B18" s="116">
        <v>0.8</v>
      </c>
      <c r="C18" s="116">
        <v>0</v>
      </c>
      <c r="D18" s="116">
        <v>0.8</v>
      </c>
      <c r="E18" s="116">
        <v>0.8</v>
      </c>
      <c r="F18" s="116">
        <v>0.8</v>
      </c>
      <c r="G18" s="116">
        <v>0</v>
      </c>
      <c r="H18" s="116">
        <v>0</v>
      </c>
      <c r="I18" s="116">
        <v>0</v>
      </c>
      <c r="J18" s="116">
        <v>0</v>
      </c>
      <c r="K18" s="116">
        <v>0</v>
      </c>
      <c r="L18" s="116">
        <v>0</v>
      </c>
      <c r="M18" s="116">
        <v>0</v>
      </c>
      <c r="N18" s="116">
        <v>0</v>
      </c>
      <c r="O18" s="116">
        <v>0</v>
      </c>
      <c r="P18" s="116">
        <v>0</v>
      </c>
      <c r="Q18" s="116">
        <v>0</v>
      </c>
      <c r="R18" s="116">
        <v>0</v>
      </c>
      <c r="S18" s="116">
        <v>0</v>
      </c>
      <c r="T18" s="116">
        <v>0</v>
      </c>
      <c r="U18" s="116">
        <v>0</v>
      </c>
      <c r="V18" s="116">
        <v>0</v>
      </c>
      <c r="W18" s="116">
        <v>0</v>
      </c>
      <c r="X18" s="116">
        <v>0</v>
      </c>
      <c r="Y18" s="116">
        <v>0</v>
      </c>
      <c r="Z18" s="116">
        <v>0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  <c r="AO18" s="116">
        <v>0</v>
      </c>
      <c r="AP18" s="116">
        <v>0</v>
      </c>
      <c r="AQ18" s="116">
        <v>0</v>
      </c>
      <c r="AR18" s="116">
        <v>0</v>
      </c>
      <c r="AS18" s="116">
        <v>0</v>
      </c>
      <c r="AT18" s="116">
        <v>0</v>
      </c>
      <c r="AU18" s="116">
        <v>0</v>
      </c>
      <c r="AV18" s="116">
        <v>0</v>
      </c>
      <c r="AW18" s="116">
        <v>0</v>
      </c>
      <c r="AX18" s="116">
        <v>0</v>
      </c>
      <c r="AY18" s="116">
        <v>0</v>
      </c>
      <c r="AZ18" s="116">
        <v>0</v>
      </c>
    </row>
    <row r="19" spans="1:52" customFormat="1" x14ac:dyDescent="0.15">
      <c r="A19" s="164" t="s">
        <v>209</v>
      </c>
      <c r="B19" s="116">
        <v>0</v>
      </c>
      <c r="C19" s="116">
        <v>0</v>
      </c>
      <c r="D19" s="116">
        <v>0.8</v>
      </c>
      <c r="E19" s="116">
        <v>0.8</v>
      </c>
      <c r="F19" s="116">
        <v>0</v>
      </c>
      <c r="G19" s="116">
        <v>0</v>
      </c>
      <c r="H19" s="116">
        <v>0</v>
      </c>
      <c r="I19" s="116">
        <v>0</v>
      </c>
      <c r="J19" s="116">
        <v>0.8</v>
      </c>
      <c r="K19" s="116">
        <v>0</v>
      </c>
      <c r="L19" s="116">
        <v>0</v>
      </c>
      <c r="M19" s="116">
        <v>0</v>
      </c>
      <c r="N19" s="116">
        <v>0.8</v>
      </c>
      <c r="O19" s="116">
        <v>0</v>
      </c>
      <c r="P19" s="116">
        <v>0</v>
      </c>
      <c r="Q19" s="116">
        <v>0</v>
      </c>
      <c r="R19" s="116">
        <v>0</v>
      </c>
      <c r="S19" s="116">
        <v>0</v>
      </c>
      <c r="T19" s="116">
        <v>0</v>
      </c>
      <c r="U19" s="116">
        <v>0</v>
      </c>
      <c r="V19" s="116">
        <v>0</v>
      </c>
      <c r="W19" s="116">
        <v>0.8</v>
      </c>
      <c r="X19" s="116">
        <v>0.8</v>
      </c>
      <c r="Y19" s="116">
        <v>0.8</v>
      </c>
      <c r="Z19" s="116">
        <v>0.8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  <c r="AO19" s="116">
        <v>0</v>
      </c>
      <c r="AP19" s="116">
        <v>0</v>
      </c>
      <c r="AQ19" s="116">
        <v>0</v>
      </c>
      <c r="AR19" s="116">
        <v>0</v>
      </c>
      <c r="AS19" s="116">
        <v>0</v>
      </c>
      <c r="AT19" s="116">
        <v>0</v>
      </c>
      <c r="AU19" s="116">
        <v>0</v>
      </c>
      <c r="AV19" s="116">
        <v>0</v>
      </c>
      <c r="AW19" s="116">
        <v>0</v>
      </c>
      <c r="AX19" s="116">
        <v>0</v>
      </c>
      <c r="AY19" s="116">
        <v>0</v>
      </c>
      <c r="AZ19" s="116">
        <v>0</v>
      </c>
    </row>
    <row r="20" spans="1:52" customFormat="1" x14ac:dyDescent="0.15">
      <c r="A20" s="164" t="s">
        <v>210</v>
      </c>
      <c r="B20" s="116">
        <v>0</v>
      </c>
      <c r="C20" s="116">
        <v>0.8</v>
      </c>
      <c r="D20" s="116">
        <v>0</v>
      </c>
      <c r="E20" s="116">
        <v>0</v>
      </c>
      <c r="F20" s="116">
        <v>0</v>
      </c>
      <c r="G20" s="116">
        <v>0</v>
      </c>
      <c r="H20" s="116">
        <v>0</v>
      </c>
      <c r="I20" s="116">
        <v>0</v>
      </c>
      <c r="J20" s="116">
        <v>0</v>
      </c>
      <c r="K20" s="116">
        <v>0</v>
      </c>
      <c r="L20" s="116">
        <v>0</v>
      </c>
      <c r="M20" s="116">
        <v>0</v>
      </c>
      <c r="N20" s="116">
        <v>0</v>
      </c>
      <c r="O20" s="116">
        <v>0</v>
      </c>
      <c r="P20" s="116">
        <v>0</v>
      </c>
      <c r="Q20" s="116">
        <v>0</v>
      </c>
      <c r="R20" s="116">
        <v>0</v>
      </c>
      <c r="S20" s="116">
        <v>0</v>
      </c>
      <c r="T20" s="116">
        <v>0</v>
      </c>
      <c r="U20" s="116">
        <v>0</v>
      </c>
      <c r="V20" s="116">
        <v>0</v>
      </c>
      <c r="W20" s="116">
        <v>0</v>
      </c>
      <c r="X20" s="116">
        <v>0</v>
      </c>
      <c r="Y20" s="116">
        <v>0</v>
      </c>
      <c r="Z20" s="116">
        <v>0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116">
        <v>0</v>
      </c>
      <c r="AO20" s="116">
        <v>0</v>
      </c>
      <c r="AP20" s="116">
        <v>0</v>
      </c>
      <c r="AQ20" s="116">
        <v>0</v>
      </c>
      <c r="AR20" s="116">
        <v>0</v>
      </c>
      <c r="AS20" s="116">
        <v>0</v>
      </c>
      <c r="AT20" s="116">
        <v>0</v>
      </c>
      <c r="AU20" s="116">
        <v>0</v>
      </c>
      <c r="AV20" s="116">
        <v>0</v>
      </c>
      <c r="AW20" s="116">
        <v>0</v>
      </c>
      <c r="AX20" s="116">
        <v>0</v>
      </c>
      <c r="AY20" s="116">
        <v>0</v>
      </c>
      <c r="AZ20" s="116">
        <v>0</v>
      </c>
    </row>
    <row r="21" spans="1:52" customFormat="1" x14ac:dyDescent="0.15">
      <c r="A21" s="164" t="s">
        <v>211</v>
      </c>
      <c r="B21" s="116">
        <v>0</v>
      </c>
      <c r="C21" s="116">
        <v>0</v>
      </c>
      <c r="D21" s="116">
        <v>0.8</v>
      </c>
      <c r="E21" s="116">
        <v>0.8</v>
      </c>
      <c r="F21" s="116">
        <v>0.8</v>
      </c>
      <c r="G21" s="116">
        <v>0</v>
      </c>
      <c r="H21" s="116">
        <v>0</v>
      </c>
      <c r="I21" s="116">
        <v>0</v>
      </c>
      <c r="J21" s="116">
        <v>0.8</v>
      </c>
      <c r="K21" s="116">
        <v>0.8</v>
      </c>
      <c r="L21" s="116">
        <v>0</v>
      </c>
      <c r="M21" s="116">
        <v>0.8</v>
      </c>
      <c r="N21" s="116">
        <v>0.8</v>
      </c>
      <c r="O21" s="116">
        <v>0</v>
      </c>
      <c r="P21" s="116">
        <v>0</v>
      </c>
      <c r="Q21" s="116">
        <v>0</v>
      </c>
      <c r="R21" s="116">
        <v>0</v>
      </c>
      <c r="S21" s="116">
        <v>0.8</v>
      </c>
      <c r="T21" s="116">
        <v>0.8</v>
      </c>
      <c r="U21" s="116">
        <v>0.8</v>
      </c>
      <c r="V21" s="116">
        <v>0</v>
      </c>
      <c r="W21" s="116">
        <v>0.8</v>
      </c>
      <c r="X21" s="116">
        <v>0.8</v>
      </c>
      <c r="Y21" s="116">
        <v>0.8</v>
      </c>
      <c r="Z21" s="116">
        <v>0.8</v>
      </c>
      <c r="AA21" s="116">
        <v>0</v>
      </c>
      <c r="AB21" s="116">
        <v>0</v>
      </c>
      <c r="AC21" s="116">
        <v>0</v>
      </c>
      <c r="AD21" s="116">
        <v>0</v>
      </c>
      <c r="AE21" s="116">
        <v>0</v>
      </c>
      <c r="AF21" s="116">
        <v>0</v>
      </c>
      <c r="AG21" s="116">
        <v>0</v>
      </c>
      <c r="AH21" s="116">
        <v>0</v>
      </c>
      <c r="AI21" s="116">
        <v>0.8</v>
      </c>
      <c r="AJ21" s="116">
        <v>0</v>
      </c>
      <c r="AK21" s="116">
        <v>0</v>
      </c>
      <c r="AL21" s="116">
        <v>0</v>
      </c>
      <c r="AM21" s="116">
        <v>0</v>
      </c>
      <c r="AN21" s="116">
        <v>0</v>
      </c>
      <c r="AO21" s="116">
        <v>0</v>
      </c>
      <c r="AP21" s="116">
        <v>0</v>
      </c>
      <c r="AQ21" s="116">
        <v>0</v>
      </c>
      <c r="AR21" s="116">
        <v>0</v>
      </c>
      <c r="AS21" s="116">
        <v>0</v>
      </c>
      <c r="AT21" s="116">
        <v>0</v>
      </c>
      <c r="AU21" s="116">
        <v>0</v>
      </c>
      <c r="AV21" s="116">
        <v>0</v>
      </c>
      <c r="AW21" s="116">
        <v>0</v>
      </c>
      <c r="AX21" s="116">
        <v>0</v>
      </c>
      <c r="AY21" s="116">
        <v>0</v>
      </c>
      <c r="AZ21" s="116">
        <v>0</v>
      </c>
    </row>
    <row r="22" spans="1:52" customFormat="1" x14ac:dyDescent="0.15">
      <c r="A22" s="164" t="s">
        <v>212</v>
      </c>
      <c r="B22" s="116">
        <v>0</v>
      </c>
      <c r="C22" s="116">
        <v>0</v>
      </c>
      <c r="D22" s="116">
        <v>0.8</v>
      </c>
      <c r="E22" s="116">
        <v>0</v>
      </c>
      <c r="F22" s="116">
        <v>0</v>
      </c>
      <c r="G22" s="116">
        <v>0</v>
      </c>
      <c r="H22" s="116">
        <v>0.8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  <c r="AZ22" s="116">
        <v>0</v>
      </c>
    </row>
    <row r="23" spans="1:52" customFormat="1" x14ac:dyDescent="0.15">
      <c r="A23" s="164" t="s">
        <v>213</v>
      </c>
      <c r="B23" s="116">
        <v>0</v>
      </c>
      <c r="C23" s="116">
        <v>0.8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  <c r="AZ23" s="116">
        <v>0</v>
      </c>
    </row>
    <row r="24" spans="1:52" customFormat="1" x14ac:dyDescent="0.15">
      <c r="A24" s="164" t="s">
        <v>214</v>
      </c>
      <c r="B24" s="116">
        <v>0.8</v>
      </c>
      <c r="C24" s="116">
        <v>0.8</v>
      </c>
      <c r="D24" s="116">
        <v>0.8</v>
      </c>
      <c r="E24" s="116">
        <v>0.8</v>
      </c>
      <c r="F24" s="116">
        <v>0</v>
      </c>
      <c r="G24" s="116">
        <v>0</v>
      </c>
      <c r="H24" s="116">
        <v>0.8</v>
      </c>
      <c r="I24" s="116">
        <v>0</v>
      </c>
      <c r="J24" s="116">
        <v>0.8</v>
      </c>
      <c r="K24" s="116">
        <v>0.8</v>
      </c>
      <c r="L24" s="116">
        <v>0</v>
      </c>
      <c r="M24" s="116">
        <v>0</v>
      </c>
      <c r="N24" s="116">
        <v>0</v>
      </c>
      <c r="O24" s="116">
        <v>0</v>
      </c>
      <c r="P24" s="116">
        <v>0</v>
      </c>
      <c r="Q24" s="116">
        <v>0</v>
      </c>
      <c r="R24" s="116">
        <v>0</v>
      </c>
      <c r="S24" s="116">
        <v>0.8</v>
      </c>
      <c r="T24" s="116">
        <v>0.8</v>
      </c>
      <c r="U24" s="116">
        <v>0</v>
      </c>
      <c r="V24" s="116">
        <v>0</v>
      </c>
      <c r="W24" s="116">
        <v>0.8</v>
      </c>
      <c r="X24" s="116">
        <v>0.8</v>
      </c>
      <c r="Y24" s="116">
        <v>0.8</v>
      </c>
      <c r="Z24" s="116">
        <v>0.8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F24" s="116">
        <v>0</v>
      </c>
      <c r="AG24" s="116">
        <v>0</v>
      </c>
      <c r="AH24" s="116">
        <v>0</v>
      </c>
      <c r="AI24" s="116">
        <v>0.8</v>
      </c>
      <c r="AJ24" s="116">
        <v>0</v>
      </c>
      <c r="AK24" s="116">
        <v>0</v>
      </c>
      <c r="AL24" s="116">
        <v>0.8</v>
      </c>
      <c r="AM24" s="116">
        <v>0</v>
      </c>
      <c r="AN24" s="116">
        <v>0</v>
      </c>
      <c r="AO24" s="116">
        <v>0</v>
      </c>
      <c r="AP24" s="116">
        <v>0</v>
      </c>
      <c r="AQ24" s="116">
        <v>0</v>
      </c>
      <c r="AR24" s="116">
        <v>0</v>
      </c>
      <c r="AS24" s="116">
        <v>0</v>
      </c>
      <c r="AT24" s="116">
        <v>0</v>
      </c>
      <c r="AU24" s="116">
        <v>0</v>
      </c>
      <c r="AV24" s="116">
        <v>0</v>
      </c>
      <c r="AW24" s="116">
        <v>0</v>
      </c>
      <c r="AX24" s="116">
        <v>0</v>
      </c>
      <c r="AY24" s="116">
        <v>0</v>
      </c>
      <c r="AZ24" s="116">
        <v>0</v>
      </c>
    </row>
    <row r="25" spans="1:52" customFormat="1" x14ac:dyDescent="0.15">
      <c r="A25" s="164" t="s">
        <v>215</v>
      </c>
      <c r="B25" s="116">
        <v>0</v>
      </c>
      <c r="C25" s="116">
        <v>0.8</v>
      </c>
      <c r="D25" s="116">
        <v>0</v>
      </c>
      <c r="E25" s="116">
        <v>0.8</v>
      </c>
      <c r="F25" s="116">
        <v>0.8</v>
      </c>
      <c r="G25" s="116">
        <v>0</v>
      </c>
      <c r="H25" s="116">
        <v>0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  <c r="AO25" s="116">
        <v>0</v>
      </c>
      <c r="AP25" s="116">
        <v>0</v>
      </c>
      <c r="AQ25" s="116">
        <v>0</v>
      </c>
      <c r="AR25" s="116">
        <v>0</v>
      </c>
      <c r="AS25" s="116">
        <v>0</v>
      </c>
      <c r="AT25" s="116">
        <v>0</v>
      </c>
      <c r="AU25" s="116">
        <v>0</v>
      </c>
      <c r="AV25" s="116">
        <v>0</v>
      </c>
      <c r="AW25" s="116">
        <v>0</v>
      </c>
      <c r="AX25" s="116">
        <v>0</v>
      </c>
      <c r="AY25" s="116">
        <v>0</v>
      </c>
      <c r="AZ25" s="116">
        <v>0</v>
      </c>
    </row>
    <row r="26" spans="1:52" customFormat="1" x14ac:dyDescent="0.15">
      <c r="A26" s="164" t="s">
        <v>216</v>
      </c>
      <c r="B26" s="116">
        <v>0.8</v>
      </c>
      <c r="C26" s="116">
        <v>0.8</v>
      </c>
      <c r="D26" s="116">
        <v>0.8</v>
      </c>
      <c r="E26" s="116">
        <v>0.8</v>
      </c>
      <c r="F26" s="116">
        <v>0.8</v>
      </c>
      <c r="G26" s="116">
        <v>0</v>
      </c>
      <c r="H26" s="116">
        <v>0.8</v>
      </c>
      <c r="I26" s="116">
        <v>0</v>
      </c>
      <c r="J26" s="116">
        <v>0.8</v>
      </c>
      <c r="K26" s="116">
        <v>0.8</v>
      </c>
      <c r="L26" s="116">
        <v>0.8</v>
      </c>
      <c r="M26" s="116">
        <v>0.8</v>
      </c>
      <c r="N26" s="116">
        <v>0.8</v>
      </c>
      <c r="O26" s="116">
        <v>0.8</v>
      </c>
      <c r="P26" s="116">
        <v>0</v>
      </c>
      <c r="Q26" s="116">
        <v>0</v>
      </c>
      <c r="R26" s="116">
        <v>0</v>
      </c>
      <c r="S26" s="116">
        <v>0.8</v>
      </c>
      <c r="T26" s="116">
        <v>0.8</v>
      </c>
      <c r="U26" s="116">
        <v>0.8</v>
      </c>
      <c r="V26" s="116">
        <v>0</v>
      </c>
      <c r="W26" s="116">
        <v>0.8</v>
      </c>
      <c r="X26" s="116">
        <v>0.8</v>
      </c>
      <c r="Y26" s="116">
        <v>0.8</v>
      </c>
      <c r="Z26" s="116">
        <v>0.8</v>
      </c>
      <c r="AA26" s="116">
        <v>0.8</v>
      </c>
      <c r="AB26" s="116">
        <v>0</v>
      </c>
      <c r="AC26" s="116">
        <v>0.8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0.8</v>
      </c>
      <c r="AJ26" s="116">
        <v>0</v>
      </c>
      <c r="AK26" s="116">
        <v>0</v>
      </c>
      <c r="AL26" s="116">
        <v>0.8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  <c r="AZ26" s="116">
        <v>0</v>
      </c>
    </row>
    <row r="27" spans="1:52" customFormat="1" x14ac:dyDescent="0.15">
      <c r="A27" s="164" t="s">
        <v>217</v>
      </c>
      <c r="B27" s="116">
        <v>0.8</v>
      </c>
      <c r="C27" s="116">
        <v>0</v>
      </c>
      <c r="D27" s="116">
        <v>0.8</v>
      </c>
      <c r="E27" s="116">
        <v>0.8</v>
      </c>
      <c r="F27" s="116">
        <v>0</v>
      </c>
      <c r="G27" s="116">
        <v>0</v>
      </c>
      <c r="H27" s="116">
        <v>0.8</v>
      </c>
      <c r="I27" s="116">
        <v>0</v>
      </c>
      <c r="J27" s="116">
        <v>0.8</v>
      </c>
      <c r="K27" s="116">
        <v>0.8</v>
      </c>
      <c r="L27" s="116">
        <v>0.8</v>
      </c>
      <c r="M27" s="116">
        <v>0.8</v>
      </c>
      <c r="N27" s="116">
        <v>0.8</v>
      </c>
      <c r="O27" s="116">
        <v>0.8</v>
      </c>
      <c r="P27" s="116">
        <v>0</v>
      </c>
      <c r="Q27" s="116">
        <v>0.8</v>
      </c>
      <c r="R27" s="116">
        <v>0.8</v>
      </c>
      <c r="S27" s="116">
        <v>0.8</v>
      </c>
      <c r="T27" s="116">
        <v>0.8</v>
      </c>
      <c r="U27" s="116">
        <v>0</v>
      </c>
      <c r="V27" s="116">
        <v>0</v>
      </c>
      <c r="W27" s="116">
        <v>0.8</v>
      </c>
      <c r="X27" s="116">
        <v>0.8</v>
      </c>
      <c r="Y27" s="116">
        <v>0.8</v>
      </c>
      <c r="Z27" s="116">
        <v>0.8</v>
      </c>
      <c r="AA27" s="116">
        <v>0.8</v>
      </c>
      <c r="AB27" s="116">
        <v>0</v>
      </c>
      <c r="AC27" s="116">
        <v>0.8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0.8</v>
      </c>
      <c r="AJ27" s="116">
        <v>0</v>
      </c>
      <c r="AK27" s="116">
        <v>0</v>
      </c>
      <c r="AL27" s="116">
        <v>0.8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  <c r="AZ27" s="116">
        <v>0</v>
      </c>
    </row>
    <row r="28" spans="1:52" customFormat="1" x14ac:dyDescent="0.15">
      <c r="A28" s="164" t="s">
        <v>218</v>
      </c>
      <c r="B28" s="116">
        <v>0</v>
      </c>
      <c r="C28" s="116">
        <v>0.8</v>
      </c>
      <c r="D28" s="116">
        <v>0.8</v>
      </c>
      <c r="E28" s="116">
        <v>0</v>
      </c>
      <c r="F28" s="116">
        <v>0</v>
      </c>
      <c r="G28" s="116">
        <v>0</v>
      </c>
      <c r="H28" s="116">
        <v>0.8</v>
      </c>
      <c r="I28" s="116">
        <v>0</v>
      </c>
      <c r="J28" s="116">
        <v>0.8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  <c r="AZ28" s="116">
        <v>0</v>
      </c>
    </row>
    <row r="29" spans="1:52" customFormat="1" x14ac:dyDescent="0.15">
      <c r="A29" s="164" t="s">
        <v>219</v>
      </c>
      <c r="B29" s="116">
        <v>0.8</v>
      </c>
      <c r="C29" s="116">
        <v>0.8</v>
      </c>
      <c r="D29" s="116">
        <v>0.8</v>
      </c>
      <c r="E29" s="116">
        <v>0.8</v>
      </c>
      <c r="F29" s="116">
        <v>0</v>
      </c>
      <c r="G29" s="116">
        <v>0</v>
      </c>
      <c r="H29" s="116">
        <v>0.8</v>
      </c>
      <c r="I29" s="116">
        <v>0</v>
      </c>
      <c r="J29" s="116">
        <v>0.8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0.8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  <c r="AZ29" s="116">
        <v>0</v>
      </c>
    </row>
    <row r="30" spans="1:52" customFormat="1" x14ac:dyDescent="0.15">
      <c r="A30" s="164" t="s">
        <v>220</v>
      </c>
      <c r="B30" s="116">
        <v>0</v>
      </c>
      <c r="C30" s="116">
        <v>0.8</v>
      </c>
      <c r="D30" s="116">
        <v>0.8</v>
      </c>
      <c r="E30" s="116">
        <v>0</v>
      </c>
      <c r="F30" s="116">
        <v>0</v>
      </c>
      <c r="G30" s="116">
        <v>0</v>
      </c>
      <c r="H30" s="116">
        <v>0.8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0.8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0.8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  <c r="AZ30" s="116">
        <v>0</v>
      </c>
    </row>
    <row r="31" spans="1:52" customFormat="1" x14ac:dyDescent="0.15">
      <c r="A31" s="164" t="s">
        <v>221</v>
      </c>
      <c r="B31" s="116">
        <v>0.8</v>
      </c>
      <c r="C31" s="116">
        <v>0.8</v>
      </c>
      <c r="D31" s="116">
        <v>0.8</v>
      </c>
      <c r="E31" s="116">
        <v>0.8</v>
      </c>
      <c r="F31" s="116">
        <v>0.8</v>
      </c>
      <c r="G31" s="116">
        <v>0</v>
      </c>
      <c r="H31" s="116">
        <v>0.8</v>
      </c>
      <c r="I31" s="116">
        <v>0</v>
      </c>
      <c r="J31" s="116">
        <v>0.8</v>
      </c>
      <c r="K31" s="116">
        <v>0.8</v>
      </c>
      <c r="L31" s="116">
        <v>0.8</v>
      </c>
      <c r="M31" s="116">
        <v>0.8</v>
      </c>
      <c r="N31" s="116">
        <v>0.8</v>
      </c>
      <c r="O31" s="116">
        <v>0.8</v>
      </c>
      <c r="P31" s="116">
        <v>0.8</v>
      </c>
      <c r="Q31" s="116">
        <v>0</v>
      </c>
      <c r="R31" s="116">
        <v>0</v>
      </c>
      <c r="S31" s="116">
        <v>0.8</v>
      </c>
      <c r="T31" s="116">
        <v>0.8</v>
      </c>
      <c r="U31" s="116">
        <v>0.8</v>
      </c>
      <c r="V31" s="116">
        <v>0.8</v>
      </c>
      <c r="W31" s="116">
        <v>0.8</v>
      </c>
      <c r="X31" s="116">
        <v>0.8</v>
      </c>
      <c r="Y31" s="116">
        <v>0.8</v>
      </c>
      <c r="Z31" s="116">
        <v>0.8</v>
      </c>
      <c r="AA31" s="116">
        <v>0.8</v>
      </c>
      <c r="AB31" s="116">
        <v>0.8</v>
      </c>
      <c r="AC31" s="116">
        <v>0.8</v>
      </c>
      <c r="AD31" s="116">
        <v>0.8</v>
      </c>
      <c r="AE31" s="116">
        <v>0.8</v>
      </c>
      <c r="AF31" s="116">
        <v>0</v>
      </c>
      <c r="AG31" s="116">
        <v>0.8</v>
      </c>
      <c r="AH31" s="116">
        <v>0</v>
      </c>
      <c r="AI31" s="116">
        <v>0.8</v>
      </c>
      <c r="AJ31" s="116">
        <v>0</v>
      </c>
      <c r="AK31" s="116">
        <v>0.8</v>
      </c>
      <c r="AL31" s="116">
        <v>0.8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  <c r="AZ31" s="116">
        <v>0</v>
      </c>
    </row>
    <row r="32" spans="1:52" customFormat="1" x14ac:dyDescent="0.15">
      <c r="A32" s="164" t="s">
        <v>222</v>
      </c>
      <c r="B32" s="116">
        <v>0</v>
      </c>
      <c r="C32" s="116">
        <v>0.8</v>
      </c>
      <c r="D32" s="116">
        <v>0.8</v>
      </c>
      <c r="E32" s="116">
        <v>0.8</v>
      </c>
      <c r="F32" s="116">
        <v>0</v>
      </c>
      <c r="G32" s="116">
        <v>0</v>
      </c>
      <c r="H32" s="116">
        <v>0.8</v>
      </c>
      <c r="I32" s="116">
        <v>0</v>
      </c>
      <c r="J32" s="116">
        <v>0.8</v>
      </c>
      <c r="K32" s="116">
        <v>0.8</v>
      </c>
      <c r="L32" s="116">
        <v>0.8</v>
      </c>
      <c r="M32" s="116">
        <v>0.8</v>
      </c>
      <c r="N32" s="116">
        <v>0</v>
      </c>
      <c r="O32" s="116">
        <v>0.8</v>
      </c>
      <c r="P32" s="116">
        <v>0.8</v>
      </c>
      <c r="Q32" s="116">
        <v>0</v>
      </c>
      <c r="R32" s="116">
        <v>0</v>
      </c>
      <c r="S32" s="116">
        <v>0.8</v>
      </c>
      <c r="T32" s="116">
        <v>0.8</v>
      </c>
      <c r="U32" s="116">
        <v>0.8</v>
      </c>
      <c r="V32" s="116">
        <v>0.8</v>
      </c>
      <c r="W32" s="116">
        <v>0.8</v>
      </c>
      <c r="X32" s="116">
        <v>0.8</v>
      </c>
      <c r="Y32" s="116">
        <v>0.8</v>
      </c>
      <c r="Z32" s="116">
        <v>0.8</v>
      </c>
      <c r="AA32" s="116">
        <v>0.8</v>
      </c>
      <c r="AB32" s="116">
        <v>0.8</v>
      </c>
      <c r="AC32" s="116">
        <v>0.8</v>
      </c>
      <c r="AD32" s="116">
        <v>0.8</v>
      </c>
      <c r="AE32" s="116">
        <v>0.8</v>
      </c>
      <c r="AF32" s="116">
        <v>0</v>
      </c>
      <c r="AG32" s="116">
        <v>0</v>
      </c>
      <c r="AH32" s="116">
        <v>0</v>
      </c>
      <c r="AI32" s="116">
        <v>0.8</v>
      </c>
      <c r="AJ32" s="116">
        <v>0</v>
      </c>
      <c r="AK32" s="116">
        <v>0</v>
      </c>
      <c r="AL32" s="116">
        <v>0.8</v>
      </c>
      <c r="AM32" s="116">
        <v>0</v>
      </c>
      <c r="AN32" s="116">
        <v>0</v>
      </c>
      <c r="AO32" s="116">
        <v>0</v>
      </c>
      <c r="AP32" s="116">
        <v>0</v>
      </c>
      <c r="AQ32" s="116">
        <v>0</v>
      </c>
      <c r="AR32" s="116">
        <v>0</v>
      </c>
      <c r="AS32" s="116">
        <v>0</v>
      </c>
      <c r="AT32" s="116">
        <v>0</v>
      </c>
      <c r="AU32" s="116">
        <v>0</v>
      </c>
      <c r="AV32" s="116">
        <v>0</v>
      </c>
      <c r="AW32" s="116">
        <v>0</v>
      </c>
      <c r="AX32" s="116">
        <v>0</v>
      </c>
      <c r="AY32" s="116">
        <v>0</v>
      </c>
      <c r="AZ32" s="116">
        <v>0</v>
      </c>
    </row>
    <row r="33" spans="1:52" x14ac:dyDescent="0.15">
      <c r="A33" s="164" t="s">
        <v>223</v>
      </c>
      <c r="B33" s="116">
        <v>0</v>
      </c>
      <c r="C33" s="116">
        <v>0</v>
      </c>
      <c r="D33" s="116">
        <v>0.8</v>
      </c>
      <c r="E33" s="116">
        <v>0.8</v>
      </c>
      <c r="F33" s="116">
        <v>0.8</v>
      </c>
      <c r="G33" s="116">
        <v>0</v>
      </c>
      <c r="H33" s="116">
        <v>0.8</v>
      </c>
      <c r="I33" s="116">
        <v>0</v>
      </c>
      <c r="J33" s="116">
        <v>0.8</v>
      </c>
      <c r="K33" s="116">
        <v>0.8</v>
      </c>
      <c r="L33" s="116">
        <v>0.8</v>
      </c>
      <c r="M33" s="116">
        <v>0.8</v>
      </c>
      <c r="N33" s="116">
        <v>0.8</v>
      </c>
      <c r="O33" s="116">
        <v>0.8</v>
      </c>
      <c r="P33" s="116">
        <v>0</v>
      </c>
      <c r="Q33" s="116">
        <v>0</v>
      </c>
      <c r="R33" s="116">
        <v>0</v>
      </c>
      <c r="S33" s="116">
        <v>0.8</v>
      </c>
      <c r="T33" s="116">
        <v>0.8</v>
      </c>
      <c r="U33" s="116">
        <v>0</v>
      </c>
      <c r="V33" s="116">
        <v>0.8</v>
      </c>
      <c r="W33" s="116">
        <v>0</v>
      </c>
      <c r="X33" s="116">
        <v>0</v>
      </c>
      <c r="Y33" s="116">
        <v>0</v>
      </c>
      <c r="Z33" s="116">
        <v>0</v>
      </c>
      <c r="AA33" s="116">
        <v>0.8</v>
      </c>
      <c r="AB33" s="116">
        <v>0.8</v>
      </c>
      <c r="AC33" s="116">
        <v>0.8</v>
      </c>
      <c r="AD33" s="116">
        <v>0</v>
      </c>
      <c r="AE33" s="116">
        <v>0</v>
      </c>
      <c r="AF33" s="116">
        <v>0</v>
      </c>
      <c r="AG33" s="116">
        <v>0.8</v>
      </c>
      <c r="AH33" s="116">
        <v>0</v>
      </c>
      <c r="AI33" s="116">
        <v>0</v>
      </c>
      <c r="AJ33" s="116">
        <v>0</v>
      </c>
      <c r="AK33" s="116">
        <v>0</v>
      </c>
      <c r="AL33" s="116">
        <v>0.8</v>
      </c>
      <c r="AM33" s="116">
        <v>0</v>
      </c>
      <c r="AN33" s="116">
        <v>0</v>
      </c>
      <c r="AO33" s="116">
        <v>0</v>
      </c>
      <c r="AP33" s="116">
        <v>0</v>
      </c>
      <c r="AQ33" s="116">
        <v>0</v>
      </c>
      <c r="AR33" s="116">
        <v>0</v>
      </c>
      <c r="AS33" s="116">
        <v>0</v>
      </c>
      <c r="AT33" s="116">
        <v>0</v>
      </c>
      <c r="AU33" s="116">
        <v>0</v>
      </c>
      <c r="AV33" s="116">
        <v>0</v>
      </c>
      <c r="AW33" s="116">
        <v>0</v>
      </c>
      <c r="AX33" s="116">
        <v>0</v>
      </c>
      <c r="AY33" s="116">
        <v>0</v>
      </c>
      <c r="AZ33" s="116">
        <v>0</v>
      </c>
    </row>
    <row r="34" spans="1:52" x14ac:dyDescent="0.15">
      <c r="A34" s="164" t="s">
        <v>224</v>
      </c>
      <c r="B34" s="116">
        <v>0</v>
      </c>
      <c r="C34" s="116">
        <v>0.8</v>
      </c>
      <c r="D34" s="116">
        <v>0.8</v>
      </c>
      <c r="E34" s="116">
        <v>0.8</v>
      </c>
      <c r="F34" s="116">
        <v>0.8</v>
      </c>
      <c r="G34" s="116">
        <v>0</v>
      </c>
      <c r="H34" s="116">
        <v>0.8</v>
      </c>
      <c r="I34" s="116">
        <v>0</v>
      </c>
      <c r="J34" s="116">
        <v>0.8</v>
      </c>
      <c r="K34" s="116">
        <v>0.8</v>
      </c>
      <c r="L34" s="116">
        <v>0</v>
      </c>
      <c r="M34" s="116">
        <v>0</v>
      </c>
      <c r="N34" s="116">
        <v>0</v>
      </c>
      <c r="O34" s="116">
        <v>0</v>
      </c>
      <c r="P34" s="116">
        <v>0</v>
      </c>
      <c r="Q34" s="116">
        <v>0</v>
      </c>
      <c r="R34" s="116">
        <v>0</v>
      </c>
      <c r="S34" s="116">
        <v>0</v>
      </c>
      <c r="T34" s="116">
        <v>0.8</v>
      </c>
      <c r="U34" s="116">
        <v>0</v>
      </c>
      <c r="V34" s="116">
        <v>0.8</v>
      </c>
      <c r="W34" s="116">
        <v>0</v>
      </c>
      <c r="X34" s="116">
        <v>0</v>
      </c>
      <c r="Y34" s="116">
        <v>0.8</v>
      </c>
      <c r="Z34" s="116">
        <v>0</v>
      </c>
      <c r="AA34" s="116">
        <v>0.8</v>
      </c>
      <c r="AB34" s="116">
        <v>0.8</v>
      </c>
      <c r="AC34" s="116">
        <v>0.8</v>
      </c>
      <c r="AD34" s="116">
        <v>0.8</v>
      </c>
      <c r="AE34" s="116">
        <v>0</v>
      </c>
      <c r="AF34" s="116">
        <v>0</v>
      </c>
      <c r="AG34" s="116">
        <v>0</v>
      </c>
      <c r="AH34" s="116">
        <v>0</v>
      </c>
      <c r="AI34" s="116">
        <v>0.8</v>
      </c>
      <c r="AJ34" s="116">
        <v>0</v>
      </c>
      <c r="AK34" s="116">
        <v>0</v>
      </c>
      <c r="AL34" s="116">
        <v>0.8</v>
      </c>
      <c r="AM34" s="116">
        <v>0</v>
      </c>
      <c r="AN34" s="116">
        <v>0</v>
      </c>
      <c r="AO34" s="116">
        <v>0</v>
      </c>
      <c r="AP34" s="116">
        <v>0</v>
      </c>
      <c r="AQ34" s="116">
        <v>0</v>
      </c>
      <c r="AR34" s="116">
        <v>0</v>
      </c>
      <c r="AS34" s="116">
        <v>0</v>
      </c>
      <c r="AT34" s="116">
        <v>0</v>
      </c>
      <c r="AU34" s="116">
        <v>0</v>
      </c>
      <c r="AV34" s="116">
        <v>0</v>
      </c>
      <c r="AW34" s="116">
        <v>0</v>
      </c>
      <c r="AX34" s="116">
        <v>0</v>
      </c>
      <c r="AY34" s="116">
        <v>0</v>
      </c>
      <c r="AZ34" s="116">
        <v>0</v>
      </c>
    </row>
    <row r="35" spans="1:52" x14ac:dyDescent="0.15">
      <c r="A35" s="164" t="s">
        <v>225</v>
      </c>
      <c r="B35" s="116">
        <v>0</v>
      </c>
      <c r="C35" s="116">
        <v>0</v>
      </c>
      <c r="D35" s="116">
        <v>0.8</v>
      </c>
      <c r="E35" s="116">
        <v>0</v>
      </c>
      <c r="F35" s="116">
        <v>0.8</v>
      </c>
      <c r="G35" s="116">
        <v>0</v>
      </c>
      <c r="H35" s="116">
        <v>0.8</v>
      </c>
      <c r="I35" s="116">
        <v>0</v>
      </c>
      <c r="J35" s="116">
        <v>0</v>
      </c>
      <c r="K35" s="116">
        <v>0</v>
      </c>
      <c r="L35" s="116">
        <v>0</v>
      </c>
      <c r="M35" s="116">
        <v>0</v>
      </c>
      <c r="N35" s="116">
        <v>0.8</v>
      </c>
      <c r="O35" s="116">
        <v>0</v>
      </c>
      <c r="P35" s="116">
        <v>0</v>
      </c>
      <c r="Q35" s="116">
        <v>0</v>
      </c>
      <c r="R35" s="116">
        <v>0</v>
      </c>
      <c r="S35" s="116">
        <v>0</v>
      </c>
      <c r="T35" s="116">
        <v>0</v>
      </c>
      <c r="U35" s="116">
        <v>0</v>
      </c>
      <c r="V35" s="116">
        <v>0</v>
      </c>
      <c r="W35" s="116">
        <v>0</v>
      </c>
      <c r="X35" s="116">
        <v>0</v>
      </c>
      <c r="Y35" s="116">
        <v>0</v>
      </c>
      <c r="Z35" s="116">
        <v>0</v>
      </c>
      <c r="AA35" s="116">
        <v>0</v>
      </c>
      <c r="AB35" s="116">
        <v>0</v>
      </c>
      <c r="AC35" s="116">
        <v>0</v>
      </c>
      <c r="AD35" s="116">
        <v>0</v>
      </c>
      <c r="AE35" s="116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116">
        <v>0</v>
      </c>
      <c r="AO35" s="116">
        <v>0</v>
      </c>
      <c r="AP35" s="116">
        <v>0</v>
      </c>
      <c r="AQ35" s="116">
        <v>0</v>
      </c>
      <c r="AR35" s="116">
        <v>0</v>
      </c>
      <c r="AS35" s="116">
        <v>0</v>
      </c>
      <c r="AT35" s="116">
        <v>0</v>
      </c>
      <c r="AU35" s="116">
        <v>0</v>
      </c>
      <c r="AV35" s="116">
        <v>0</v>
      </c>
      <c r="AW35" s="116">
        <v>0</v>
      </c>
      <c r="AX35" s="116">
        <v>0</v>
      </c>
      <c r="AY35" s="116">
        <v>0</v>
      </c>
      <c r="AZ35" s="116">
        <v>0</v>
      </c>
    </row>
    <row r="36" spans="1:52" x14ac:dyDescent="0.15">
      <c r="A36" s="164" t="s">
        <v>226</v>
      </c>
      <c r="B36" s="116">
        <v>0</v>
      </c>
      <c r="C36" s="116">
        <v>0.8</v>
      </c>
      <c r="D36" s="116">
        <v>0.8</v>
      </c>
      <c r="E36" s="116">
        <v>0.8</v>
      </c>
      <c r="F36" s="116">
        <v>0.8</v>
      </c>
      <c r="G36" s="116">
        <v>0</v>
      </c>
      <c r="H36" s="116">
        <v>0.8</v>
      </c>
      <c r="I36" s="116">
        <v>0</v>
      </c>
      <c r="J36" s="116">
        <v>0.8</v>
      </c>
      <c r="K36" s="116">
        <v>0</v>
      </c>
      <c r="L36" s="116">
        <v>0</v>
      </c>
      <c r="M36" s="116">
        <v>0</v>
      </c>
      <c r="N36" s="116">
        <v>0</v>
      </c>
      <c r="O36" s="116">
        <v>0</v>
      </c>
      <c r="P36" s="116">
        <v>0</v>
      </c>
      <c r="Q36" s="116">
        <v>0</v>
      </c>
      <c r="R36" s="116">
        <v>0</v>
      </c>
      <c r="S36" s="116">
        <v>0</v>
      </c>
      <c r="T36" s="116">
        <v>0.8</v>
      </c>
      <c r="U36" s="116">
        <v>0</v>
      </c>
      <c r="V36" s="116">
        <v>0</v>
      </c>
      <c r="W36" s="116">
        <v>0.8</v>
      </c>
      <c r="X36" s="116">
        <v>0.8</v>
      </c>
      <c r="Y36" s="116">
        <v>0.8</v>
      </c>
      <c r="Z36" s="116">
        <v>0.8</v>
      </c>
      <c r="AA36" s="116">
        <v>0.8</v>
      </c>
      <c r="AB36" s="116">
        <v>0.8</v>
      </c>
      <c r="AC36" s="116">
        <v>0</v>
      </c>
      <c r="AD36" s="116">
        <v>0</v>
      </c>
      <c r="AE36" s="116">
        <v>0</v>
      </c>
      <c r="AF36" s="116">
        <v>0</v>
      </c>
      <c r="AG36" s="116">
        <v>0</v>
      </c>
      <c r="AH36" s="116">
        <v>0</v>
      </c>
      <c r="AI36" s="116">
        <v>0.8</v>
      </c>
      <c r="AJ36" s="116">
        <v>0</v>
      </c>
      <c r="AK36" s="116">
        <v>0</v>
      </c>
      <c r="AL36" s="116">
        <v>0</v>
      </c>
      <c r="AM36" s="116">
        <v>0</v>
      </c>
      <c r="AN36" s="116">
        <v>0</v>
      </c>
      <c r="AO36" s="116">
        <v>0</v>
      </c>
      <c r="AP36" s="116">
        <v>0</v>
      </c>
      <c r="AQ36" s="116">
        <v>0</v>
      </c>
      <c r="AR36" s="116">
        <v>0</v>
      </c>
      <c r="AS36" s="116">
        <v>0</v>
      </c>
      <c r="AT36" s="116">
        <v>0</v>
      </c>
      <c r="AU36" s="116">
        <v>0</v>
      </c>
      <c r="AV36" s="116">
        <v>0</v>
      </c>
      <c r="AW36" s="116">
        <v>0</v>
      </c>
      <c r="AX36" s="116">
        <v>0</v>
      </c>
      <c r="AY36" s="116">
        <v>0</v>
      </c>
      <c r="AZ36" s="116">
        <v>0</v>
      </c>
    </row>
    <row r="37" spans="1:52" x14ac:dyDescent="0.15">
      <c r="A37" s="164" t="s">
        <v>227</v>
      </c>
      <c r="B37" s="116">
        <v>0</v>
      </c>
      <c r="C37" s="116">
        <v>0.8</v>
      </c>
      <c r="D37" s="116">
        <v>0.8</v>
      </c>
      <c r="E37" s="116">
        <v>0.8</v>
      </c>
      <c r="F37" s="116">
        <v>0</v>
      </c>
      <c r="G37" s="116">
        <v>0</v>
      </c>
      <c r="H37" s="116">
        <v>0.8</v>
      </c>
      <c r="I37" s="116">
        <v>0</v>
      </c>
      <c r="J37" s="116">
        <v>0.8</v>
      </c>
      <c r="K37" s="116">
        <v>0.8</v>
      </c>
      <c r="L37" s="116">
        <v>0</v>
      </c>
      <c r="M37" s="116">
        <v>0</v>
      </c>
      <c r="N37" s="116">
        <v>0.8</v>
      </c>
      <c r="O37" s="116">
        <v>0.8</v>
      </c>
      <c r="P37" s="116">
        <v>0</v>
      </c>
      <c r="Q37" s="116">
        <v>0</v>
      </c>
      <c r="R37" s="116">
        <v>0</v>
      </c>
      <c r="S37" s="116">
        <v>0.8</v>
      </c>
      <c r="T37" s="116">
        <v>0.8</v>
      </c>
      <c r="U37" s="116">
        <v>0.8</v>
      </c>
      <c r="V37" s="116">
        <v>0</v>
      </c>
      <c r="W37" s="116">
        <v>0.8</v>
      </c>
      <c r="X37" s="116">
        <v>0.8</v>
      </c>
      <c r="Y37" s="116">
        <v>0.8</v>
      </c>
      <c r="Z37" s="116">
        <v>0.8</v>
      </c>
      <c r="AA37" s="116">
        <v>0</v>
      </c>
      <c r="AB37" s="116">
        <v>0</v>
      </c>
      <c r="AC37" s="116">
        <v>0</v>
      </c>
      <c r="AD37" s="116">
        <v>0.8</v>
      </c>
      <c r="AE37" s="116">
        <v>0</v>
      </c>
      <c r="AF37" s="116">
        <v>0</v>
      </c>
      <c r="AG37" s="116">
        <v>0</v>
      </c>
      <c r="AH37" s="116">
        <v>0</v>
      </c>
      <c r="AI37" s="116">
        <v>0.8</v>
      </c>
      <c r="AJ37" s="116">
        <v>0</v>
      </c>
      <c r="AK37" s="116">
        <v>0.8</v>
      </c>
      <c r="AL37" s="116">
        <v>0.8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  <c r="AZ37" s="116">
        <v>0</v>
      </c>
    </row>
    <row r="38" spans="1:52" x14ac:dyDescent="0.15">
      <c r="A38" s="164" t="s">
        <v>228</v>
      </c>
      <c r="B38" s="116">
        <v>0</v>
      </c>
      <c r="C38" s="116">
        <v>0</v>
      </c>
      <c r="D38" s="116">
        <v>0.8</v>
      </c>
      <c r="E38" s="116">
        <v>0.8</v>
      </c>
      <c r="F38" s="116">
        <v>0.8</v>
      </c>
      <c r="G38" s="116">
        <v>0</v>
      </c>
      <c r="H38" s="116">
        <v>0.8</v>
      </c>
      <c r="I38" s="116">
        <v>0</v>
      </c>
      <c r="J38" s="116">
        <v>0.8</v>
      </c>
      <c r="K38" s="116">
        <v>0</v>
      </c>
      <c r="L38" s="116">
        <v>0</v>
      </c>
      <c r="M38" s="116">
        <v>0</v>
      </c>
      <c r="N38" s="116">
        <v>0.8</v>
      </c>
      <c r="O38" s="116">
        <v>0</v>
      </c>
      <c r="P38" s="116">
        <v>0</v>
      </c>
      <c r="Q38" s="116">
        <v>0</v>
      </c>
      <c r="R38" s="116">
        <v>0</v>
      </c>
      <c r="S38" s="116">
        <v>0.8</v>
      </c>
      <c r="T38" s="116">
        <v>0.8</v>
      </c>
      <c r="U38" s="116">
        <v>0</v>
      </c>
      <c r="V38" s="116">
        <v>0</v>
      </c>
      <c r="W38" s="116">
        <v>0.8</v>
      </c>
      <c r="X38" s="116">
        <v>0.8</v>
      </c>
      <c r="Y38" s="116">
        <v>0.8</v>
      </c>
      <c r="Z38" s="116">
        <v>0.8</v>
      </c>
      <c r="AA38" s="116">
        <v>0</v>
      </c>
      <c r="AB38" s="116">
        <v>0</v>
      </c>
      <c r="AC38" s="116">
        <v>0.8</v>
      </c>
      <c r="AD38" s="116">
        <v>0</v>
      </c>
      <c r="AE38" s="116">
        <v>0</v>
      </c>
      <c r="AF38" s="116">
        <v>0</v>
      </c>
      <c r="AG38" s="116">
        <v>0</v>
      </c>
      <c r="AH38" s="116">
        <v>0</v>
      </c>
      <c r="AI38" s="116">
        <v>0.8</v>
      </c>
      <c r="AJ38" s="116">
        <v>0</v>
      </c>
      <c r="AK38" s="116">
        <v>0</v>
      </c>
      <c r="AL38" s="116">
        <v>0</v>
      </c>
      <c r="AM38" s="116">
        <v>0</v>
      </c>
      <c r="AN38" s="116">
        <v>0</v>
      </c>
      <c r="AO38" s="116">
        <v>0</v>
      </c>
      <c r="AP38" s="116">
        <v>0</v>
      </c>
      <c r="AQ38" s="116">
        <v>0</v>
      </c>
      <c r="AR38" s="116">
        <v>0</v>
      </c>
      <c r="AS38" s="116">
        <v>0</v>
      </c>
      <c r="AT38" s="116">
        <v>0</v>
      </c>
      <c r="AU38" s="116">
        <v>0</v>
      </c>
      <c r="AV38" s="116">
        <v>0</v>
      </c>
      <c r="AW38" s="116">
        <v>0</v>
      </c>
      <c r="AX38" s="116">
        <v>0</v>
      </c>
      <c r="AY38" s="116">
        <v>0</v>
      </c>
      <c r="AZ38" s="116">
        <v>0</v>
      </c>
    </row>
    <row r="39" spans="1:52" x14ac:dyDescent="0.15">
      <c r="A39" s="164" t="s">
        <v>229</v>
      </c>
      <c r="B39" s="116">
        <v>0</v>
      </c>
      <c r="C39" s="116">
        <v>0.8</v>
      </c>
      <c r="D39" s="116">
        <v>0</v>
      </c>
      <c r="E39" s="116">
        <v>0.8</v>
      </c>
      <c r="F39" s="116">
        <v>0.8</v>
      </c>
      <c r="G39" s="116">
        <v>0</v>
      </c>
      <c r="H39" s="116">
        <v>0.8</v>
      </c>
      <c r="I39" s="116">
        <v>0</v>
      </c>
      <c r="J39" s="116">
        <v>0.8</v>
      </c>
      <c r="K39" s="116">
        <v>0.8</v>
      </c>
      <c r="L39" s="116">
        <v>0.8</v>
      </c>
      <c r="M39" s="116">
        <v>0.8</v>
      </c>
      <c r="N39" s="116">
        <v>0.8</v>
      </c>
      <c r="O39" s="116">
        <v>0.8</v>
      </c>
      <c r="P39" s="116">
        <v>0</v>
      </c>
      <c r="Q39" s="116">
        <v>0</v>
      </c>
      <c r="R39" s="116">
        <v>0</v>
      </c>
      <c r="S39" s="116">
        <v>0.8</v>
      </c>
      <c r="T39" s="116">
        <v>0.8</v>
      </c>
      <c r="U39" s="116">
        <v>0.8</v>
      </c>
      <c r="V39" s="116">
        <v>0</v>
      </c>
      <c r="W39" s="116">
        <v>0</v>
      </c>
      <c r="X39" s="116">
        <v>0</v>
      </c>
      <c r="Y39" s="116">
        <v>0.8</v>
      </c>
      <c r="Z39" s="116">
        <v>0.8</v>
      </c>
      <c r="AA39" s="116">
        <v>0</v>
      </c>
      <c r="AB39" s="116">
        <v>0.8</v>
      </c>
      <c r="AC39" s="116">
        <v>0.8</v>
      </c>
      <c r="AD39" s="116">
        <v>0.8</v>
      </c>
      <c r="AE39" s="116">
        <v>0</v>
      </c>
      <c r="AF39" s="116">
        <v>0</v>
      </c>
      <c r="AG39" s="116">
        <v>0</v>
      </c>
      <c r="AH39" s="116">
        <v>0</v>
      </c>
      <c r="AI39" s="116">
        <v>0.8</v>
      </c>
      <c r="AJ39" s="116">
        <v>0</v>
      </c>
      <c r="AK39" s="116">
        <v>0.8</v>
      </c>
      <c r="AL39" s="116">
        <v>0.8</v>
      </c>
      <c r="AM39" s="116">
        <v>0</v>
      </c>
      <c r="AN39" s="116">
        <v>0</v>
      </c>
      <c r="AO39" s="116">
        <v>0</v>
      </c>
      <c r="AP39" s="116">
        <v>0</v>
      </c>
      <c r="AQ39" s="116">
        <v>0</v>
      </c>
      <c r="AR39" s="116">
        <v>0</v>
      </c>
      <c r="AS39" s="116">
        <v>0</v>
      </c>
      <c r="AT39" s="116">
        <v>0</v>
      </c>
      <c r="AU39" s="116">
        <v>0</v>
      </c>
      <c r="AV39" s="116">
        <v>0</v>
      </c>
      <c r="AW39" s="116">
        <v>0</v>
      </c>
      <c r="AX39" s="116">
        <v>0</v>
      </c>
      <c r="AY39" s="116">
        <v>0</v>
      </c>
      <c r="AZ39" s="116">
        <v>0</v>
      </c>
    </row>
    <row r="40" spans="1:52" x14ac:dyDescent="0.15">
      <c r="A40" s="164" t="s">
        <v>230</v>
      </c>
      <c r="B40" s="116">
        <v>0</v>
      </c>
      <c r="C40" s="116">
        <v>0</v>
      </c>
      <c r="D40" s="116">
        <v>0.8</v>
      </c>
      <c r="E40" s="116">
        <v>0.8</v>
      </c>
      <c r="F40" s="116">
        <v>0.8</v>
      </c>
      <c r="G40" s="116">
        <v>0</v>
      </c>
      <c r="H40" s="116">
        <v>0</v>
      </c>
      <c r="I40" s="116">
        <v>0</v>
      </c>
      <c r="J40" s="116">
        <v>0.8</v>
      </c>
      <c r="K40" s="116">
        <v>0</v>
      </c>
      <c r="L40" s="116">
        <v>0</v>
      </c>
      <c r="M40" s="116">
        <v>0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  <c r="T40" s="116">
        <v>0</v>
      </c>
      <c r="U40" s="116">
        <v>0</v>
      </c>
      <c r="V40" s="116">
        <v>0</v>
      </c>
      <c r="W40" s="116">
        <v>0</v>
      </c>
      <c r="X40" s="116">
        <v>0</v>
      </c>
      <c r="Y40" s="116">
        <v>0</v>
      </c>
      <c r="Z40" s="116">
        <v>0</v>
      </c>
      <c r="AA40" s="116">
        <v>0</v>
      </c>
      <c r="AB40" s="116">
        <v>0</v>
      </c>
      <c r="AC40" s="116">
        <v>0</v>
      </c>
      <c r="AD40" s="116">
        <v>0</v>
      </c>
      <c r="AE40" s="116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116">
        <v>0</v>
      </c>
      <c r="AO40" s="116">
        <v>0</v>
      </c>
      <c r="AP40" s="116">
        <v>0</v>
      </c>
      <c r="AQ40" s="116">
        <v>0</v>
      </c>
      <c r="AR40" s="116">
        <v>0</v>
      </c>
      <c r="AS40" s="116">
        <v>0</v>
      </c>
      <c r="AT40" s="116">
        <v>0</v>
      </c>
      <c r="AU40" s="116">
        <v>0</v>
      </c>
      <c r="AV40" s="116">
        <v>0</v>
      </c>
      <c r="AW40" s="116">
        <v>0</v>
      </c>
      <c r="AX40" s="116">
        <v>0</v>
      </c>
      <c r="AY40" s="116">
        <v>0</v>
      </c>
      <c r="AZ40" s="116">
        <v>0</v>
      </c>
    </row>
    <row r="41" spans="1:52" x14ac:dyDescent="0.15">
      <c r="A41" s="164" t="s">
        <v>231</v>
      </c>
      <c r="B41" s="116">
        <v>0.8</v>
      </c>
      <c r="C41" s="116">
        <v>0</v>
      </c>
      <c r="D41" s="116">
        <v>0</v>
      </c>
      <c r="E41" s="116">
        <v>0.8</v>
      </c>
      <c r="F41" s="116">
        <v>0</v>
      </c>
      <c r="G41" s="116">
        <v>0</v>
      </c>
      <c r="H41" s="116">
        <v>0</v>
      </c>
      <c r="I41" s="116">
        <v>0</v>
      </c>
      <c r="J41" s="116">
        <v>0.8</v>
      </c>
      <c r="K41" s="116">
        <v>0.8</v>
      </c>
      <c r="L41" s="116">
        <v>0.8</v>
      </c>
      <c r="M41" s="116">
        <v>0.8</v>
      </c>
      <c r="N41" s="116">
        <v>0</v>
      </c>
      <c r="O41" s="116">
        <v>0</v>
      </c>
      <c r="P41" s="116">
        <v>0</v>
      </c>
      <c r="Q41" s="116">
        <v>0.8</v>
      </c>
      <c r="R41" s="116">
        <v>0.8</v>
      </c>
      <c r="S41" s="116">
        <v>0.8</v>
      </c>
      <c r="T41" s="116">
        <v>0</v>
      </c>
      <c r="U41" s="116">
        <v>0</v>
      </c>
      <c r="V41" s="116">
        <v>0</v>
      </c>
      <c r="W41" s="116">
        <v>0.8</v>
      </c>
      <c r="X41" s="116">
        <v>0.8</v>
      </c>
      <c r="Y41" s="116">
        <v>0.8</v>
      </c>
      <c r="Z41" s="116">
        <v>0.8</v>
      </c>
      <c r="AA41" s="116">
        <v>0.8</v>
      </c>
      <c r="AB41" s="116">
        <v>0</v>
      </c>
      <c r="AC41" s="116">
        <v>0.8</v>
      </c>
      <c r="AD41" s="116">
        <v>0</v>
      </c>
      <c r="AE41" s="116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116">
        <v>0.8</v>
      </c>
      <c r="AO41" s="116">
        <v>0</v>
      </c>
      <c r="AP41" s="116">
        <v>0.8</v>
      </c>
      <c r="AQ41" s="116">
        <v>0</v>
      </c>
      <c r="AR41" s="116">
        <v>0</v>
      </c>
      <c r="AS41" s="116">
        <v>0</v>
      </c>
      <c r="AT41" s="116">
        <v>0</v>
      </c>
      <c r="AU41" s="116">
        <v>0</v>
      </c>
      <c r="AV41" s="116">
        <v>0</v>
      </c>
      <c r="AW41" s="116">
        <v>0</v>
      </c>
      <c r="AX41" s="116">
        <v>0</v>
      </c>
      <c r="AY41" s="116">
        <v>0</v>
      </c>
      <c r="AZ41" s="116">
        <v>0</v>
      </c>
    </row>
    <row r="42" spans="1:52" x14ac:dyDescent="0.15">
      <c r="A42" s="164" t="s">
        <v>232</v>
      </c>
      <c r="B42" s="116">
        <v>0.8</v>
      </c>
      <c r="C42" s="116">
        <v>0</v>
      </c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0.8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0.8</v>
      </c>
      <c r="T42" s="116">
        <v>0</v>
      </c>
      <c r="U42" s="116">
        <v>0</v>
      </c>
      <c r="V42" s="116">
        <v>0</v>
      </c>
      <c r="W42" s="116">
        <v>0.8</v>
      </c>
      <c r="X42" s="116">
        <v>0</v>
      </c>
      <c r="Y42" s="116">
        <v>0.8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16">
        <v>0</v>
      </c>
    </row>
    <row r="43" spans="1:52" x14ac:dyDescent="0.15">
      <c r="A43" s="164" t="s">
        <v>233</v>
      </c>
      <c r="B43" s="116">
        <v>0.8</v>
      </c>
      <c r="C43" s="116">
        <v>0</v>
      </c>
      <c r="D43" s="116">
        <v>0</v>
      </c>
      <c r="E43" s="116">
        <v>0.8</v>
      </c>
      <c r="F43" s="116">
        <v>0</v>
      </c>
      <c r="G43" s="116">
        <v>0</v>
      </c>
      <c r="H43" s="116">
        <v>0.8</v>
      </c>
      <c r="I43" s="116">
        <v>0</v>
      </c>
      <c r="J43" s="116">
        <v>0.8</v>
      </c>
      <c r="K43" s="116">
        <v>0.8</v>
      </c>
      <c r="L43" s="116">
        <v>0.8</v>
      </c>
      <c r="M43" s="116">
        <v>0.8</v>
      </c>
      <c r="N43" s="116">
        <v>0.8</v>
      </c>
      <c r="O43" s="116">
        <v>0.8</v>
      </c>
      <c r="P43" s="116">
        <v>0</v>
      </c>
      <c r="Q43" s="116">
        <v>0.8</v>
      </c>
      <c r="R43" s="116">
        <v>0</v>
      </c>
      <c r="S43" s="116">
        <v>0.8</v>
      </c>
      <c r="T43" s="116">
        <v>0.8</v>
      </c>
      <c r="U43" s="116">
        <v>0.8</v>
      </c>
      <c r="V43" s="116">
        <v>0</v>
      </c>
      <c r="W43" s="116">
        <v>0.8</v>
      </c>
      <c r="X43" s="116">
        <v>0.8</v>
      </c>
      <c r="Y43" s="116">
        <v>0.8</v>
      </c>
      <c r="Z43" s="116">
        <v>0.8</v>
      </c>
      <c r="AA43" s="116">
        <v>0.8</v>
      </c>
      <c r="AB43" s="116">
        <v>0.8</v>
      </c>
      <c r="AC43" s="116">
        <v>0.8</v>
      </c>
      <c r="AD43" s="116">
        <v>0.8</v>
      </c>
      <c r="AE43" s="116">
        <v>0</v>
      </c>
      <c r="AF43" s="116">
        <v>0</v>
      </c>
      <c r="AG43" s="116">
        <v>0</v>
      </c>
      <c r="AH43" s="116">
        <v>0</v>
      </c>
      <c r="AI43" s="116">
        <v>0.8</v>
      </c>
      <c r="AJ43" s="116">
        <v>0</v>
      </c>
      <c r="AK43" s="116">
        <v>0</v>
      </c>
      <c r="AL43" s="116">
        <v>0</v>
      </c>
      <c r="AM43" s="116">
        <v>0</v>
      </c>
      <c r="AN43" s="116">
        <v>0.8</v>
      </c>
      <c r="AO43" s="116">
        <v>0.8</v>
      </c>
      <c r="AP43" s="116">
        <v>0.8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16">
        <v>0</v>
      </c>
    </row>
    <row r="44" spans="1:52" x14ac:dyDescent="0.15">
      <c r="A44" s="164" t="s">
        <v>234</v>
      </c>
      <c r="B44" s="116">
        <v>0.8</v>
      </c>
      <c r="C44" s="116">
        <v>0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0.8</v>
      </c>
      <c r="K44" s="116">
        <v>0.8</v>
      </c>
      <c r="L44" s="116">
        <v>0.8</v>
      </c>
      <c r="M44" s="116">
        <v>0.8</v>
      </c>
      <c r="N44" s="116">
        <v>0</v>
      </c>
      <c r="O44" s="116">
        <v>0.8</v>
      </c>
      <c r="P44" s="116">
        <v>0.8</v>
      </c>
      <c r="Q44" s="116">
        <v>0.8</v>
      </c>
      <c r="R44" s="116">
        <v>0.8</v>
      </c>
      <c r="S44" s="116">
        <v>0.8</v>
      </c>
      <c r="T44" s="116">
        <v>0</v>
      </c>
      <c r="U44" s="116">
        <v>0</v>
      </c>
      <c r="V44" s="116">
        <v>0</v>
      </c>
      <c r="W44" s="116">
        <v>0.8</v>
      </c>
      <c r="X44" s="116">
        <v>0.8</v>
      </c>
      <c r="Y44" s="116">
        <v>0.8</v>
      </c>
      <c r="Z44" s="116">
        <v>0.8</v>
      </c>
      <c r="AA44" s="116">
        <v>0.8</v>
      </c>
      <c r="AB44" s="116">
        <v>0.8</v>
      </c>
      <c r="AC44" s="116">
        <v>0.8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0.8</v>
      </c>
      <c r="AO44" s="116">
        <v>0.8</v>
      </c>
      <c r="AP44" s="116">
        <v>0.8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  <c r="AZ44" s="116">
        <v>0</v>
      </c>
    </row>
    <row r="45" spans="1:52" x14ac:dyDescent="0.15">
      <c r="A45" s="164" t="s">
        <v>235</v>
      </c>
      <c r="B45" s="116">
        <v>0.8</v>
      </c>
      <c r="C45" s="116">
        <v>0</v>
      </c>
      <c r="D45" s="116">
        <v>0</v>
      </c>
      <c r="E45" s="116">
        <v>0</v>
      </c>
      <c r="F45" s="116">
        <v>0</v>
      </c>
      <c r="G45" s="116">
        <v>0</v>
      </c>
      <c r="H45" s="116">
        <v>0</v>
      </c>
      <c r="I45" s="116">
        <v>0</v>
      </c>
      <c r="J45" s="116">
        <v>0.8</v>
      </c>
      <c r="K45" s="116">
        <v>0.8</v>
      </c>
      <c r="L45" s="116">
        <v>0.8</v>
      </c>
      <c r="M45" s="116">
        <v>0.8</v>
      </c>
      <c r="N45" s="116">
        <v>0</v>
      </c>
      <c r="O45" s="116">
        <v>0</v>
      </c>
      <c r="P45" s="116">
        <v>0.8</v>
      </c>
      <c r="Q45" s="116">
        <v>0.8</v>
      </c>
      <c r="R45" s="116">
        <v>0.8</v>
      </c>
      <c r="S45" s="116">
        <v>0.8</v>
      </c>
      <c r="T45" s="116">
        <v>0.8</v>
      </c>
      <c r="U45" s="116">
        <v>0</v>
      </c>
      <c r="V45" s="116">
        <v>0</v>
      </c>
      <c r="W45" s="116">
        <v>0.8</v>
      </c>
      <c r="X45" s="116">
        <v>0.8</v>
      </c>
      <c r="Y45" s="116">
        <v>0.8</v>
      </c>
      <c r="Z45" s="116">
        <v>0.8</v>
      </c>
      <c r="AA45" s="116">
        <v>0.8</v>
      </c>
      <c r="AB45" s="116">
        <v>0.8</v>
      </c>
      <c r="AC45" s="116">
        <v>0.8</v>
      </c>
      <c r="AD45" s="116">
        <v>0</v>
      </c>
      <c r="AE45" s="116">
        <v>0</v>
      </c>
      <c r="AF45" s="116">
        <v>0</v>
      </c>
      <c r="AG45" s="116">
        <v>0</v>
      </c>
      <c r="AH45" s="116">
        <v>0</v>
      </c>
      <c r="AI45" s="116">
        <v>0.8</v>
      </c>
      <c r="AJ45" s="116">
        <v>0</v>
      </c>
      <c r="AK45" s="116">
        <v>0</v>
      </c>
      <c r="AL45" s="116">
        <v>0</v>
      </c>
      <c r="AM45" s="116">
        <v>0</v>
      </c>
      <c r="AN45" s="116">
        <v>0.8</v>
      </c>
      <c r="AO45" s="116">
        <v>0.8</v>
      </c>
      <c r="AP45" s="116">
        <v>0.8</v>
      </c>
      <c r="AQ45" s="116">
        <v>0.8</v>
      </c>
      <c r="AR45" s="116">
        <v>0</v>
      </c>
      <c r="AS45" s="116">
        <v>0</v>
      </c>
      <c r="AT45" s="116">
        <v>0</v>
      </c>
      <c r="AU45" s="116">
        <v>0</v>
      </c>
      <c r="AV45" s="116">
        <v>0</v>
      </c>
      <c r="AW45" s="116">
        <v>0</v>
      </c>
      <c r="AX45" s="116">
        <v>0</v>
      </c>
      <c r="AY45" s="116">
        <v>0</v>
      </c>
      <c r="AZ45" s="116">
        <v>0</v>
      </c>
    </row>
    <row r="46" spans="1:52" x14ac:dyDescent="0.15">
      <c r="A46" s="164" t="s">
        <v>236</v>
      </c>
      <c r="B46" s="116">
        <v>0.8</v>
      </c>
      <c r="C46" s="116">
        <v>0</v>
      </c>
      <c r="D46" s="116">
        <v>0</v>
      </c>
      <c r="E46" s="116">
        <v>0.8</v>
      </c>
      <c r="F46" s="116">
        <v>0</v>
      </c>
      <c r="G46" s="116">
        <v>0.8</v>
      </c>
      <c r="H46" s="116">
        <v>0</v>
      </c>
      <c r="I46" s="116">
        <v>0</v>
      </c>
      <c r="J46" s="116">
        <v>0.8</v>
      </c>
      <c r="K46" s="116">
        <v>0.8</v>
      </c>
      <c r="L46" s="116">
        <v>0.8</v>
      </c>
      <c r="M46" s="116">
        <v>0.8</v>
      </c>
      <c r="N46" s="116">
        <v>0</v>
      </c>
      <c r="O46" s="116">
        <v>0</v>
      </c>
      <c r="P46" s="116">
        <v>0.8</v>
      </c>
      <c r="Q46" s="116">
        <v>0.8</v>
      </c>
      <c r="R46" s="116">
        <v>0.8</v>
      </c>
      <c r="S46" s="116">
        <v>0.8</v>
      </c>
      <c r="T46" s="116">
        <v>0</v>
      </c>
      <c r="U46" s="116">
        <v>0</v>
      </c>
      <c r="V46" s="116">
        <v>0</v>
      </c>
      <c r="W46" s="116">
        <v>0</v>
      </c>
      <c r="X46" s="116">
        <v>0</v>
      </c>
      <c r="Y46" s="116">
        <v>0.8</v>
      </c>
      <c r="Z46" s="116">
        <v>0.8</v>
      </c>
      <c r="AA46" s="116">
        <v>0.8</v>
      </c>
      <c r="AB46" s="116">
        <v>0</v>
      </c>
      <c r="AC46" s="116">
        <v>0.8</v>
      </c>
      <c r="AD46" s="116">
        <v>0</v>
      </c>
      <c r="AE46" s="116">
        <v>0</v>
      </c>
      <c r="AF46" s="116">
        <v>0</v>
      </c>
      <c r="AG46" s="116">
        <v>0</v>
      </c>
      <c r="AH46" s="116">
        <v>0</v>
      </c>
      <c r="AI46" s="116">
        <v>0</v>
      </c>
      <c r="AJ46" s="116">
        <v>0</v>
      </c>
      <c r="AK46" s="116">
        <v>0</v>
      </c>
      <c r="AL46" s="116">
        <v>0</v>
      </c>
      <c r="AM46" s="116">
        <v>0</v>
      </c>
      <c r="AN46" s="116">
        <v>0.8</v>
      </c>
      <c r="AO46" s="116">
        <v>0.8</v>
      </c>
      <c r="AP46" s="116">
        <v>0.8</v>
      </c>
      <c r="AQ46" s="116">
        <v>0</v>
      </c>
      <c r="AR46" s="116">
        <v>0</v>
      </c>
      <c r="AS46" s="116">
        <v>0</v>
      </c>
      <c r="AT46" s="116">
        <v>0</v>
      </c>
      <c r="AU46" s="116">
        <v>0</v>
      </c>
      <c r="AV46" s="116">
        <v>0</v>
      </c>
      <c r="AW46" s="116">
        <v>0</v>
      </c>
      <c r="AX46" s="116">
        <v>0</v>
      </c>
      <c r="AY46" s="116">
        <v>0</v>
      </c>
      <c r="AZ46" s="116">
        <v>0</v>
      </c>
    </row>
    <row r="47" spans="1:52" x14ac:dyDescent="0.15">
      <c r="A47" s="164" t="s">
        <v>237</v>
      </c>
      <c r="B47" s="116">
        <v>0.8</v>
      </c>
      <c r="C47" s="116">
        <v>0</v>
      </c>
      <c r="D47" s="116">
        <v>0</v>
      </c>
      <c r="E47" s="116">
        <v>0.8</v>
      </c>
      <c r="F47" s="116">
        <v>0</v>
      </c>
      <c r="G47" s="116">
        <v>0.8</v>
      </c>
      <c r="H47" s="116">
        <v>0</v>
      </c>
      <c r="I47" s="116">
        <v>0</v>
      </c>
      <c r="J47" s="116">
        <v>0.8</v>
      </c>
      <c r="K47" s="116">
        <v>0.8</v>
      </c>
      <c r="L47" s="116">
        <v>0.8</v>
      </c>
      <c r="M47" s="116">
        <v>0.8</v>
      </c>
      <c r="N47" s="116">
        <v>0.8</v>
      </c>
      <c r="O47" s="116">
        <v>0.8</v>
      </c>
      <c r="P47" s="116">
        <v>0.8</v>
      </c>
      <c r="Q47" s="116">
        <v>0.8</v>
      </c>
      <c r="R47" s="116">
        <v>0.8</v>
      </c>
      <c r="S47" s="116">
        <v>0.8</v>
      </c>
      <c r="T47" s="116">
        <v>0.8</v>
      </c>
      <c r="U47" s="116">
        <v>0</v>
      </c>
      <c r="V47" s="116">
        <v>0.8</v>
      </c>
      <c r="W47" s="116">
        <v>0.8</v>
      </c>
      <c r="X47" s="116">
        <v>0.8</v>
      </c>
      <c r="Y47" s="116">
        <v>0.8</v>
      </c>
      <c r="Z47" s="116">
        <v>0.8</v>
      </c>
      <c r="AA47" s="116">
        <v>0.8</v>
      </c>
      <c r="AB47" s="116">
        <v>0.8</v>
      </c>
      <c r="AC47" s="116">
        <v>0.8</v>
      </c>
      <c r="AD47" s="116">
        <v>0</v>
      </c>
      <c r="AE47" s="116">
        <v>0</v>
      </c>
      <c r="AF47" s="116">
        <v>0</v>
      </c>
      <c r="AG47" s="116">
        <v>0</v>
      </c>
      <c r="AH47" s="116">
        <v>0.8</v>
      </c>
      <c r="AI47" s="116">
        <v>0.8</v>
      </c>
      <c r="AJ47" s="116">
        <v>0</v>
      </c>
      <c r="AK47" s="116">
        <v>0</v>
      </c>
      <c r="AL47" s="116">
        <v>0</v>
      </c>
      <c r="AM47" s="116">
        <v>0</v>
      </c>
      <c r="AN47" s="116">
        <v>0.8</v>
      </c>
      <c r="AO47" s="116">
        <v>0.8</v>
      </c>
      <c r="AP47" s="116">
        <v>0.8</v>
      </c>
      <c r="AQ47" s="116">
        <v>0.8</v>
      </c>
      <c r="AR47" s="116">
        <v>0</v>
      </c>
      <c r="AS47" s="116">
        <v>0</v>
      </c>
      <c r="AT47" s="116">
        <v>0</v>
      </c>
      <c r="AU47" s="116">
        <v>0</v>
      </c>
      <c r="AV47" s="116">
        <v>0</v>
      </c>
      <c r="AW47" s="116">
        <v>0</v>
      </c>
      <c r="AX47" s="116">
        <v>0</v>
      </c>
      <c r="AY47" s="116">
        <v>0</v>
      </c>
      <c r="AZ47" s="116">
        <v>0</v>
      </c>
    </row>
    <row r="48" spans="1:52" x14ac:dyDescent="0.15">
      <c r="A48" s="164" t="s">
        <v>238</v>
      </c>
      <c r="B48" s="116">
        <v>0</v>
      </c>
      <c r="C48" s="116">
        <v>0.8</v>
      </c>
      <c r="D48" s="116">
        <v>0</v>
      </c>
      <c r="E48" s="116">
        <v>0.8</v>
      </c>
      <c r="F48" s="116">
        <v>0</v>
      </c>
      <c r="G48" s="116">
        <v>0</v>
      </c>
      <c r="H48" s="116">
        <v>0</v>
      </c>
      <c r="I48" s="116">
        <v>0.8</v>
      </c>
      <c r="J48" s="116">
        <v>0.8</v>
      </c>
      <c r="K48" s="116">
        <v>0.8</v>
      </c>
      <c r="L48" s="116">
        <v>0.8</v>
      </c>
      <c r="M48" s="116">
        <v>0.8</v>
      </c>
      <c r="N48" s="116">
        <v>0.8</v>
      </c>
      <c r="O48" s="116">
        <v>0.8</v>
      </c>
      <c r="P48" s="116">
        <v>0.8</v>
      </c>
      <c r="Q48" s="116">
        <v>0.8</v>
      </c>
      <c r="R48" s="116">
        <v>0</v>
      </c>
      <c r="S48" s="116">
        <v>0.8</v>
      </c>
      <c r="T48" s="116">
        <v>0.8</v>
      </c>
      <c r="U48" s="116">
        <v>0.8</v>
      </c>
      <c r="V48" s="116">
        <v>0.8</v>
      </c>
      <c r="W48" s="116">
        <v>0.8</v>
      </c>
      <c r="X48" s="116">
        <v>0.8</v>
      </c>
      <c r="Y48" s="116">
        <v>0.8</v>
      </c>
      <c r="Z48" s="116">
        <v>0.8</v>
      </c>
      <c r="AA48" s="116">
        <v>0.8</v>
      </c>
      <c r="AB48" s="116">
        <v>0.8</v>
      </c>
      <c r="AC48" s="116">
        <v>0.8</v>
      </c>
      <c r="AD48" s="116">
        <v>0.8</v>
      </c>
      <c r="AE48" s="116">
        <v>0.8</v>
      </c>
      <c r="AF48" s="116">
        <v>0.8</v>
      </c>
      <c r="AG48" s="116">
        <v>0.8</v>
      </c>
      <c r="AH48" s="116">
        <v>0.8</v>
      </c>
      <c r="AI48" s="116">
        <v>0.8</v>
      </c>
      <c r="AJ48" s="116">
        <v>0.8</v>
      </c>
      <c r="AK48" s="116">
        <v>0.8</v>
      </c>
      <c r="AL48" s="116">
        <v>0.8</v>
      </c>
      <c r="AM48" s="116">
        <v>0.8</v>
      </c>
      <c r="AN48" s="116">
        <v>0.8</v>
      </c>
      <c r="AO48" s="116">
        <v>0.8</v>
      </c>
      <c r="AP48" s="116">
        <v>0.8</v>
      </c>
      <c r="AQ48" s="116">
        <v>0.8</v>
      </c>
      <c r="AR48" s="116">
        <v>0</v>
      </c>
      <c r="AS48" s="116">
        <v>0</v>
      </c>
      <c r="AT48" s="116">
        <v>0</v>
      </c>
      <c r="AU48" s="116">
        <v>0</v>
      </c>
      <c r="AV48" s="116">
        <v>0.8</v>
      </c>
      <c r="AW48" s="116">
        <v>0</v>
      </c>
      <c r="AX48" s="116">
        <v>0</v>
      </c>
      <c r="AY48" s="116">
        <v>0</v>
      </c>
      <c r="AZ48" s="116">
        <v>0</v>
      </c>
    </row>
    <row r="49" spans="1:52" x14ac:dyDescent="0.15">
      <c r="A49" s="164" t="s">
        <v>239</v>
      </c>
      <c r="B49" s="116">
        <v>0.8</v>
      </c>
      <c r="C49" s="116">
        <v>0.8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0.8</v>
      </c>
      <c r="J49" s="116">
        <v>0</v>
      </c>
      <c r="K49" s="116">
        <v>0.8</v>
      </c>
      <c r="L49" s="116">
        <v>0</v>
      </c>
      <c r="M49" s="116">
        <v>0.8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0.8</v>
      </c>
      <c r="T49" s="116">
        <v>0</v>
      </c>
      <c r="U49" s="116">
        <v>0.8</v>
      </c>
      <c r="V49" s="116">
        <v>0</v>
      </c>
      <c r="W49" s="116">
        <v>0.8</v>
      </c>
      <c r="X49" s="116">
        <v>0.8</v>
      </c>
      <c r="Y49" s="116">
        <v>0.8</v>
      </c>
      <c r="Z49" s="116">
        <v>0.8</v>
      </c>
      <c r="AA49" s="116">
        <v>0.8</v>
      </c>
      <c r="AB49" s="116">
        <v>0.8</v>
      </c>
      <c r="AC49" s="116">
        <v>0</v>
      </c>
      <c r="AD49" s="116">
        <v>0</v>
      </c>
      <c r="AE49" s="116">
        <v>0.8</v>
      </c>
      <c r="AF49" s="116">
        <v>0.8</v>
      </c>
      <c r="AG49" s="116">
        <v>0.8</v>
      </c>
      <c r="AH49" s="116">
        <v>0.8</v>
      </c>
      <c r="AI49" s="116">
        <v>0.8</v>
      </c>
      <c r="AJ49" s="116">
        <v>0.8</v>
      </c>
      <c r="AK49" s="116">
        <v>0.8</v>
      </c>
      <c r="AL49" s="116">
        <v>0</v>
      </c>
      <c r="AM49" s="116">
        <v>0.8</v>
      </c>
      <c r="AN49" s="116">
        <v>0.8</v>
      </c>
      <c r="AO49" s="116">
        <v>0.8</v>
      </c>
      <c r="AP49" s="116">
        <v>0.8</v>
      </c>
      <c r="AQ49" s="116">
        <v>0.8</v>
      </c>
      <c r="AR49" s="116">
        <v>0</v>
      </c>
      <c r="AS49" s="116">
        <v>0</v>
      </c>
      <c r="AT49" s="116">
        <v>0</v>
      </c>
      <c r="AU49" s="116">
        <v>0</v>
      </c>
      <c r="AV49" s="116">
        <v>0.8</v>
      </c>
      <c r="AW49" s="116">
        <v>0</v>
      </c>
      <c r="AX49" s="116">
        <v>0</v>
      </c>
      <c r="AY49" s="116">
        <v>0</v>
      </c>
      <c r="AZ49" s="116">
        <v>0</v>
      </c>
    </row>
    <row r="50" spans="1:52" x14ac:dyDescent="0.15">
      <c r="A50" s="164" t="s">
        <v>240</v>
      </c>
      <c r="B50" s="116">
        <v>0</v>
      </c>
      <c r="C50" s="116">
        <v>0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0.8</v>
      </c>
      <c r="AR50" s="116">
        <v>0</v>
      </c>
      <c r="AS50" s="116">
        <v>0</v>
      </c>
      <c r="AT50" s="116">
        <v>0</v>
      </c>
      <c r="AU50" s="116">
        <v>0</v>
      </c>
      <c r="AV50" s="116">
        <v>0.8</v>
      </c>
      <c r="AW50" s="116">
        <v>0.8</v>
      </c>
      <c r="AX50" s="116">
        <v>0</v>
      </c>
      <c r="AY50" s="116">
        <v>0</v>
      </c>
      <c r="AZ50" s="116">
        <v>0</v>
      </c>
    </row>
    <row r="51" spans="1:52" x14ac:dyDescent="0.15">
      <c r="A51" s="164" t="s">
        <v>241</v>
      </c>
      <c r="B51" s="116">
        <v>0</v>
      </c>
      <c r="C51" s="116">
        <v>0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0.8</v>
      </c>
      <c r="AO51" s="116">
        <v>0.8</v>
      </c>
      <c r="AP51" s="116">
        <v>0.8</v>
      </c>
      <c r="AQ51" s="116">
        <v>0.8</v>
      </c>
      <c r="AR51" s="116">
        <v>0.8</v>
      </c>
      <c r="AS51" s="116">
        <v>0.8</v>
      </c>
      <c r="AT51" s="116">
        <v>0.8</v>
      </c>
      <c r="AU51" s="116">
        <v>0.8</v>
      </c>
      <c r="AV51" s="116">
        <v>0.8</v>
      </c>
      <c r="AW51" s="116">
        <v>0</v>
      </c>
      <c r="AX51" s="116">
        <v>0</v>
      </c>
      <c r="AY51" s="116">
        <v>0</v>
      </c>
      <c r="AZ51" s="116">
        <v>0</v>
      </c>
    </row>
    <row r="52" spans="1:52" x14ac:dyDescent="0.15">
      <c r="A52" s="164" t="s">
        <v>242</v>
      </c>
      <c r="B52" s="116">
        <v>0</v>
      </c>
      <c r="C52" s="116">
        <v>0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  <c r="AZ52" s="116">
        <v>0</v>
      </c>
    </row>
    <row r="53" spans="1:52" x14ac:dyDescent="0.15">
      <c r="A53" s="164" t="s">
        <v>254</v>
      </c>
      <c r="B53" s="116">
        <v>0</v>
      </c>
      <c r="C53" s="116">
        <v>0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6.6640625" style="116" bestFit="1" customWidth="1"/>
    <col min="2" max="52" width="2.33203125" style="116" customWidth="1"/>
    <col min="53" max="16384" width="10.83203125" style="116"/>
  </cols>
  <sheetData>
    <row r="1" spans="1:52" x14ac:dyDescent="0.15">
      <c r="A1" s="63" t="s">
        <v>139</v>
      </c>
      <c r="B1" s="167" t="s">
        <v>192</v>
      </c>
      <c r="C1" s="167" t="s">
        <v>193</v>
      </c>
      <c r="D1" s="167" t="s">
        <v>194</v>
      </c>
      <c r="E1" s="167" t="s">
        <v>195</v>
      </c>
      <c r="F1" s="167" t="s">
        <v>196</v>
      </c>
      <c r="G1" s="167" t="s">
        <v>197</v>
      </c>
      <c r="H1" s="167" t="s">
        <v>198</v>
      </c>
      <c r="I1" s="167" t="s">
        <v>199</v>
      </c>
      <c r="J1" s="167" t="s">
        <v>200</v>
      </c>
      <c r="K1" s="167" t="s">
        <v>201</v>
      </c>
      <c r="L1" s="167" t="s">
        <v>202</v>
      </c>
      <c r="M1" s="167" t="s">
        <v>203</v>
      </c>
      <c r="N1" s="167" t="s">
        <v>204</v>
      </c>
      <c r="O1" s="167" t="s">
        <v>205</v>
      </c>
      <c r="P1" s="167" t="s">
        <v>206</v>
      </c>
      <c r="Q1" s="167" t="s">
        <v>207</v>
      </c>
      <c r="R1" s="167" t="s">
        <v>208</v>
      </c>
      <c r="S1" s="167" t="s">
        <v>209</v>
      </c>
      <c r="T1" s="167" t="s">
        <v>210</v>
      </c>
      <c r="U1" s="167" t="s">
        <v>211</v>
      </c>
      <c r="V1" s="167" t="s">
        <v>212</v>
      </c>
      <c r="W1" s="167" t="s">
        <v>213</v>
      </c>
      <c r="X1" s="167" t="s">
        <v>214</v>
      </c>
      <c r="Y1" s="167" t="s">
        <v>215</v>
      </c>
      <c r="Z1" s="167" t="s">
        <v>216</v>
      </c>
      <c r="AA1" s="167" t="s">
        <v>217</v>
      </c>
      <c r="AB1" s="167" t="s">
        <v>218</v>
      </c>
      <c r="AC1" s="167" t="s">
        <v>219</v>
      </c>
      <c r="AD1" s="167" t="s">
        <v>220</v>
      </c>
      <c r="AE1" s="167" t="s">
        <v>221</v>
      </c>
      <c r="AF1" s="167" t="s">
        <v>222</v>
      </c>
      <c r="AG1" s="167" t="s">
        <v>223</v>
      </c>
      <c r="AH1" s="167" t="s">
        <v>224</v>
      </c>
      <c r="AI1" s="167" t="s">
        <v>225</v>
      </c>
      <c r="AJ1" s="167" t="s">
        <v>226</v>
      </c>
      <c r="AK1" s="167" t="s">
        <v>227</v>
      </c>
      <c r="AL1" s="167" t="s">
        <v>228</v>
      </c>
      <c r="AM1" s="167" t="s">
        <v>229</v>
      </c>
      <c r="AN1" s="167" t="s">
        <v>230</v>
      </c>
      <c r="AO1" s="167" t="s">
        <v>231</v>
      </c>
      <c r="AP1" s="167" t="s">
        <v>232</v>
      </c>
      <c r="AQ1" s="167" t="s">
        <v>233</v>
      </c>
      <c r="AR1" s="167" t="s">
        <v>234</v>
      </c>
      <c r="AS1" s="167" t="s">
        <v>235</v>
      </c>
      <c r="AT1" s="167" t="s">
        <v>236</v>
      </c>
      <c r="AU1" s="167" t="s">
        <v>237</v>
      </c>
      <c r="AV1" s="167" t="s">
        <v>238</v>
      </c>
      <c r="AW1" s="167" t="s">
        <v>239</v>
      </c>
      <c r="AX1" s="167" t="s">
        <v>240</v>
      </c>
      <c r="AY1" s="167" t="s">
        <v>241</v>
      </c>
      <c r="AZ1" s="167" t="s">
        <v>242</v>
      </c>
    </row>
    <row r="2" spans="1:52" customFormat="1" x14ac:dyDescent="0.15">
      <c r="A2" s="166" t="s">
        <v>192</v>
      </c>
      <c r="B2" s="116">
        <v>0</v>
      </c>
      <c r="C2" s="116">
        <v>0</v>
      </c>
      <c r="D2" s="116">
        <v>0</v>
      </c>
      <c r="E2" s="116">
        <v>0</v>
      </c>
      <c r="F2" s="116">
        <v>0</v>
      </c>
      <c r="G2" s="116">
        <v>0</v>
      </c>
      <c r="H2" s="116">
        <v>0</v>
      </c>
      <c r="I2" s="116">
        <v>0</v>
      </c>
      <c r="J2" s="116">
        <v>0</v>
      </c>
      <c r="K2" s="116">
        <v>0</v>
      </c>
      <c r="L2" s="116">
        <v>0</v>
      </c>
      <c r="M2" s="116">
        <v>0</v>
      </c>
      <c r="N2" s="116">
        <v>0</v>
      </c>
      <c r="O2" s="116">
        <v>0</v>
      </c>
      <c r="P2" s="116">
        <v>0</v>
      </c>
      <c r="Q2" s="116">
        <v>0</v>
      </c>
      <c r="R2" s="116">
        <v>0</v>
      </c>
      <c r="S2" s="116">
        <v>0</v>
      </c>
      <c r="T2" s="116">
        <v>0</v>
      </c>
      <c r="U2" s="116">
        <v>0</v>
      </c>
      <c r="V2" s="116">
        <v>0</v>
      </c>
      <c r="W2" s="116">
        <v>0</v>
      </c>
      <c r="X2" s="116">
        <v>0</v>
      </c>
      <c r="Y2" s="116">
        <v>0</v>
      </c>
      <c r="Z2" s="116">
        <v>0</v>
      </c>
      <c r="AA2" s="116">
        <v>0</v>
      </c>
      <c r="AB2" s="116">
        <v>0</v>
      </c>
      <c r="AC2" s="116">
        <v>0</v>
      </c>
      <c r="AD2" s="116">
        <v>0</v>
      </c>
      <c r="AE2" s="116">
        <v>0</v>
      </c>
      <c r="AF2" s="116">
        <v>0</v>
      </c>
      <c r="AG2" s="116">
        <v>0</v>
      </c>
      <c r="AH2" s="116">
        <v>0</v>
      </c>
      <c r="AI2" s="116">
        <v>0</v>
      </c>
      <c r="AJ2" s="116">
        <v>0</v>
      </c>
      <c r="AK2" s="116">
        <v>0</v>
      </c>
      <c r="AL2" s="116">
        <v>0</v>
      </c>
      <c r="AM2" s="116">
        <v>0</v>
      </c>
      <c r="AN2" s="116">
        <v>0</v>
      </c>
      <c r="AO2" s="116">
        <v>0</v>
      </c>
      <c r="AP2" s="116">
        <v>0</v>
      </c>
      <c r="AQ2" s="116">
        <v>0</v>
      </c>
      <c r="AR2" s="116">
        <v>0</v>
      </c>
      <c r="AS2" s="116">
        <v>0</v>
      </c>
      <c r="AT2" s="116">
        <v>0</v>
      </c>
      <c r="AU2" s="116">
        <v>0</v>
      </c>
      <c r="AV2" s="116">
        <v>0</v>
      </c>
      <c r="AW2" s="116">
        <v>0</v>
      </c>
      <c r="AX2" s="116">
        <v>0</v>
      </c>
      <c r="AY2" s="116">
        <v>0</v>
      </c>
      <c r="AZ2" s="116">
        <v>0</v>
      </c>
    </row>
    <row r="3" spans="1:52" customFormat="1" x14ac:dyDescent="0.15">
      <c r="A3" s="166" t="s">
        <v>193</v>
      </c>
      <c r="B3" s="116">
        <v>0</v>
      </c>
      <c r="C3" s="116">
        <v>0</v>
      </c>
      <c r="D3" s="116">
        <v>0</v>
      </c>
      <c r="E3" s="116">
        <v>0</v>
      </c>
      <c r="F3" s="116">
        <v>0</v>
      </c>
      <c r="G3" s="116">
        <v>0</v>
      </c>
      <c r="H3" s="116">
        <v>0</v>
      </c>
      <c r="I3" s="116">
        <v>0</v>
      </c>
      <c r="J3" s="116">
        <v>0</v>
      </c>
      <c r="K3" s="116">
        <v>0</v>
      </c>
      <c r="L3" s="116">
        <v>0</v>
      </c>
      <c r="M3" s="116">
        <v>0</v>
      </c>
      <c r="N3" s="116">
        <v>0</v>
      </c>
      <c r="O3" s="116">
        <v>0</v>
      </c>
      <c r="P3" s="116">
        <v>0</v>
      </c>
      <c r="Q3" s="116">
        <v>0</v>
      </c>
      <c r="R3" s="116">
        <v>0</v>
      </c>
      <c r="S3" s="116">
        <v>0</v>
      </c>
      <c r="T3" s="116">
        <v>0</v>
      </c>
      <c r="U3" s="116">
        <v>0</v>
      </c>
      <c r="V3" s="116">
        <v>0</v>
      </c>
      <c r="W3" s="116">
        <v>0</v>
      </c>
      <c r="X3" s="116">
        <v>0</v>
      </c>
      <c r="Y3" s="116">
        <v>0</v>
      </c>
      <c r="Z3" s="116">
        <v>0</v>
      </c>
      <c r="AA3" s="116">
        <v>0</v>
      </c>
      <c r="AB3" s="116">
        <v>0</v>
      </c>
      <c r="AC3" s="116">
        <v>0</v>
      </c>
      <c r="AD3" s="116">
        <v>0</v>
      </c>
      <c r="AE3" s="116">
        <v>0</v>
      </c>
      <c r="AF3" s="116">
        <v>0</v>
      </c>
      <c r="AG3" s="116">
        <v>0</v>
      </c>
      <c r="AH3" s="116">
        <v>0</v>
      </c>
      <c r="AI3" s="116">
        <v>0</v>
      </c>
      <c r="AJ3" s="116">
        <v>0</v>
      </c>
      <c r="AK3" s="116">
        <v>0</v>
      </c>
      <c r="AL3" s="116">
        <v>0</v>
      </c>
      <c r="AM3" s="116">
        <v>0</v>
      </c>
      <c r="AN3" s="116">
        <v>0</v>
      </c>
      <c r="AO3" s="116">
        <v>0</v>
      </c>
      <c r="AP3" s="116">
        <v>0</v>
      </c>
      <c r="AQ3" s="116">
        <v>0</v>
      </c>
      <c r="AR3" s="116">
        <v>0</v>
      </c>
      <c r="AS3" s="116">
        <v>0</v>
      </c>
      <c r="AT3" s="116">
        <v>0</v>
      </c>
      <c r="AU3" s="116">
        <v>0</v>
      </c>
      <c r="AV3" s="116">
        <v>0</v>
      </c>
      <c r="AW3" s="116">
        <v>0</v>
      </c>
      <c r="AX3" s="116">
        <v>0</v>
      </c>
      <c r="AY3" s="116">
        <v>0</v>
      </c>
      <c r="AZ3" s="116">
        <v>0</v>
      </c>
    </row>
    <row r="4" spans="1:52" customFormat="1" x14ac:dyDescent="0.15">
      <c r="A4" s="166" t="s">
        <v>194</v>
      </c>
      <c r="B4" s="116">
        <v>1</v>
      </c>
      <c r="C4" s="116">
        <v>0</v>
      </c>
      <c r="D4" s="116">
        <v>0</v>
      </c>
      <c r="E4" s="116">
        <v>0</v>
      </c>
      <c r="F4" s="116">
        <v>0</v>
      </c>
      <c r="G4" s="116">
        <v>0</v>
      </c>
      <c r="H4" s="116">
        <v>0</v>
      </c>
      <c r="I4" s="116">
        <v>0</v>
      </c>
      <c r="J4" s="116">
        <v>0</v>
      </c>
      <c r="K4" s="116">
        <v>0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0</v>
      </c>
      <c r="AD4" s="116">
        <v>0</v>
      </c>
      <c r="AE4" s="116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  <c r="AO4" s="116">
        <v>0</v>
      </c>
      <c r="AP4" s="116">
        <v>0</v>
      </c>
      <c r="AQ4" s="116">
        <v>0</v>
      </c>
      <c r="AR4" s="116">
        <v>0</v>
      </c>
      <c r="AS4" s="116">
        <v>0</v>
      </c>
      <c r="AT4" s="116">
        <v>0</v>
      </c>
      <c r="AU4" s="116">
        <v>0</v>
      </c>
      <c r="AV4" s="116">
        <v>0</v>
      </c>
      <c r="AW4" s="116">
        <v>0</v>
      </c>
      <c r="AX4" s="116">
        <v>0</v>
      </c>
      <c r="AY4" s="116">
        <v>0</v>
      </c>
      <c r="AZ4" s="116">
        <v>0</v>
      </c>
    </row>
    <row r="5" spans="1:52" customFormat="1" x14ac:dyDescent="0.15">
      <c r="A5" s="166" t="s">
        <v>195</v>
      </c>
      <c r="B5" s="116">
        <v>1</v>
      </c>
      <c r="C5" s="116">
        <v>0</v>
      </c>
      <c r="D5" s="116">
        <v>0</v>
      </c>
      <c r="E5" s="116">
        <v>0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  <c r="AO5" s="116">
        <v>0</v>
      </c>
      <c r="AP5" s="116">
        <v>0</v>
      </c>
      <c r="AQ5" s="116">
        <v>0</v>
      </c>
      <c r="AR5" s="116">
        <v>0</v>
      </c>
      <c r="AS5" s="116">
        <v>0</v>
      </c>
      <c r="AT5" s="116">
        <v>0</v>
      </c>
      <c r="AU5" s="116">
        <v>0</v>
      </c>
      <c r="AV5" s="116">
        <v>0</v>
      </c>
      <c r="AW5" s="116">
        <v>0</v>
      </c>
      <c r="AX5" s="116">
        <v>0</v>
      </c>
      <c r="AY5" s="116">
        <v>0</v>
      </c>
      <c r="AZ5" s="116">
        <v>0</v>
      </c>
    </row>
    <row r="6" spans="1:52" customFormat="1" x14ac:dyDescent="0.15">
      <c r="A6" s="166" t="s">
        <v>196</v>
      </c>
      <c r="B6" s="116">
        <v>1</v>
      </c>
      <c r="C6" s="116">
        <v>0</v>
      </c>
      <c r="D6" s="116">
        <v>0</v>
      </c>
      <c r="E6" s="116">
        <v>0</v>
      </c>
      <c r="F6" s="116">
        <v>0</v>
      </c>
      <c r="G6" s="116">
        <v>0</v>
      </c>
      <c r="H6" s="116">
        <v>0</v>
      </c>
      <c r="I6" s="116">
        <v>0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  <c r="AO6" s="116">
        <v>0</v>
      </c>
      <c r="AP6" s="116">
        <v>0</v>
      </c>
      <c r="AQ6" s="116">
        <v>0</v>
      </c>
      <c r="AR6" s="116">
        <v>0</v>
      </c>
      <c r="AS6" s="116">
        <v>0</v>
      </c>
      <c r="AT6" s="116">
        <v>0</v>
      </c>
      <c r="AU6" s="116">
        <v>0</v>
      </c>
      <c r="AV6" s="116">
        <v>0</v>
      </c>
      <c r="AW6" s="116">
        <v>0</v>
      </c>
      <c r="AX6" s="116">
        <v>0</v>
      </c>
      <c r="AY6" s="116">
        <v>0</v>
      </c>
      <c r="AZ6" s="116">
        <v>0</v>
      </c>
    </row>
    <row r="7" spans="1:52" customFormat="1" x14ac:dyDescent="0.15">
      <c r="A7" s="166" t="s">
        <v>197</v>
      </c>
      <c r="B7" s="116">
        <v>0</v>
      </c>
      <c r="C7" s="116">
        <v>0</v>
      </c>
      <c r="D7" s="116">
        <v>0</v>
      </c>
      <c r="E7" s="116">
        <v>0</v>
      </c>
      <c r="F7" s="116">
        <v>0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0</v>
      </c>
      <c r="M7" s="116">
        <v>0</v>
      </c>
      <c r="N7" s="116">
        <v>0</v>
      </c>
      <c r="O7" s="116">
        <v>0</v>
      </c>
      <c r="P7" s="116">
        <v>0</v>
      </c>
      <c r="Q7" s="116">
        <v>0</v>
      </c>
      <c r="R7" s="116">
        <v>0</v>
      </c>
      <c r="S7" s="116">
        <v>0</v>
      </c>
      <c r="T7" s="116">
        <v>0</v>
      </c>
      <c r="U7" s="116">
        <v>0</v>
      </c>
      <c r="V7" s="116">
        <v>0</v>
      </c>
      <c r="W7" s="116">
        <v>0</v>
      </c>
      <c r="X7" s="116">
        <v>0</v>
      </c>
      <c r="Y7" s="116">
        <v>0</v>
      </c>
      <c r="Z7" s="116">
        <v>0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  <c r="AO7" s="116">
        <v>0</v>
      </c>
      <c r="AP7" s="116">
        <v>0</v>
      </c>
      <c r="AQ7" s="116">
        <v>0</v>
      </c>
      <c r="AR7" s="116">
        <v>0</v>
      </c>
      <c r="AS7" s="116">
        <v>0</v>
      </c>
      <c r="AT7" s="116">
        <v>0</v>
      </c>
      <c r="AU7" s="116">
        <v>0</v>
      </c>
      <c r="AV7" s="116">
        <v>0</v>
      </c>
      <c r="AW7" s="116">
        <v>0</v>
      </c>
      <c r="AX7" s="116">
        <v>0</v>
      </c>
      <c r="AY7" s="116">
        <v>0</v>
      </c>
      <c r="AZ7" s="116">
        <v>0</v>
      </c>
    </row>
    <row r="8" spans="1:52" customFormat="1" x14ac:dyDescent="0.15">
      <c r="A8" s="166" t="s">
        <v>198</v>
      </c>
      <c r="B8" s="116">
        <v>0</v>
      </c>
      <c r="C8" s="116">
        <v>0</v>
      </c>
      <c r="D8" s="116">
        <v>0</v>
      </c>
      <c r="E8" s="116">
        <v>1</v>
      </c>
      <c r="F8" s="116">
        <v>0</v>
      </c>
      <c r="G8" s="116">
        <v>0</v>
      </c>
      <c r="H8" s="116">
        <v>0</v>
      </c>
      <c r="I8" s="116">
        <v>0</v>
      </c>
      <c r="J8" s="116">
        <v>0</v>
      </c>
      <c r="K8" s="116">
        <v>0</v>
      </c>
      <c r="L8" s="116">
        <v>0</v>
      </c>
      <c r="M8" s="116">
        <v>0</v>
      </c>
      <c r="N8" s="116">
        <v>0</v>
      </c>
      <c r="O8" s="116">
        <v>0</v>
      </c>
      <c r="P8" s="116">
        <v>0</v>
      </c>
      <c r="Q8" s="116">
        <v>0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0</v>
      </c>
      <c r="AP8" s="116">
        <v>0</v>
      </c>
      <c r="AQ8" s="116">
        <v>0</v>
      </c>
      <c r="AR8" s="116">
        <v>0</v>
      </c>
      <c r="AS8" s="116">
        <v>0</v>
      </c>
      <c r="AT8" s="116">
        <v>0</v>
      </c>
      <c r="AU8" s="116">
        <v>0</v>
      </c>
      <c r="AV8" s="116">
        <v>0</v>
      </c>
      <c r="AW8" s="116">
        <v>0</v>
      </c>
      <c r="AX8" s="116">
        <v>0</v>
      </c>
      <c r="AY8" s="116">
        <v>0</v>
      </c>
      <c r="AZ8" s="116">
        <v>0</v>
      </c>
    </row>
    <row r="9" spans="1:52" customFormat="1" x14ac:dyDescent="0.15">
      <c r="A9" s="166" t="s">
        <v>199</v>
      </c>
      <c r="B9" s="116">
        <v>0</v>
      </c>
      <c r="C9" s="116">
        <v>0</v>
      </c>
      <c r="D9" s="116">
        <v>0</v>
      </c>
      <c r="E9" s="116">
        <v>0</v>
      </c>
      <c r="F9" s="116">
        <v>0</v>
      </c>
      <c r="G9" s="116">
        <v>0</v>
      </c>
      <c r="H9" s="116">
        <v>0</v>
      </c>
      <c r="I9" s="116">
        <v>0</v>
      </c>
      <c r="J9" s="116">
        <v>0</v>
      </c>
      <c r="K9" s="116">
        <v>0</v>
      </c>
      <c r="L9" s="116">
        <v>0</v>
      </c>
      <c r="M9" s="116">
        <v>0</v>
      </c>
      <c r="N9" s="116">
        <v>0</v>
      </c>
      <c r="O9" s="116">
        <v>0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  <c r="AR9" s="116">
        <v>0</v>
      </c>
      <c r="AS9" s="116">
        <v>0</v>
      </c>
      <c r="AT9" s="116">
        <v>0</v>
      </c>
      <c r="AU9" s="116">
        <v>0</v>
      </c>
      <c r="AV9" s="116">
        <v>0</v>
      </c>
      <c r="AW9" s="116">
        <v>0</v>
      </c>
      <c r="AX9" s="116">
        <v>0</v>
      </c>
      <c r="AY9" s="116">
        <v>0</v>
      </c>
      <c r="AZ9" s="116">
        <v>0</v>
      </c>
    </row>
    <row r="10" spans="1:52" customFormat="1" x14ac:dyDescent="0.15">
      <c r="A10" s="166" t="s">
        <v>200</v>
      </c>
      <c r="B10" s="116">
        <v>0</v>
      </c>
      <c r="C10" s="116">
        <v>0</v>
      </c>
      <c r="D10" s="116">
        <v>1</v>
      </c>
      <c r="E10" s="116">
        <v>1</v>
      </c>
      <c r="F10" s="116">
        <v>1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  <c r="AR10" s="116">
        <v>0</v>
      </c>
      <c r="AS10" s="116">
        <v>0</v>
      </c>
      <c r="AT10" s="116">
        <v>0</v>
      </c>
      <c r="AU10" s="116">
        <v>0</v>
      </c>
      <c r="AV10" s="116">
        <v>0</v>
      </c>
      <c r="AW10" s="116">
        <v>0</v>
      </c>
      <c r="AX10" s="116">
        <v>0</v>
      </c>
      <c r="AY10" s="116">
        <v>0</v>
      </c>
      <c r="AZ10" s="116">
        <v>0</v>
      </c>
    </row>
    <row r="11" spans="1:52" customFormat="1" x14ac:dyDescent="0.15">
      <c r="A11" s="166" t="s">
        <v>201</v>
      </c>
      <c r="B11" s="116">
        <v>0</v>
      </c>
      <c r="C11" s="116">
        <v>1</v>
      </c>
      <c r="D11" s="116">
        <v>1</v>
      </c>
      <c r="E11" s="116">
        <v>1</v>
      </c>
      <c r="F11" s="116">
        <v>1</v>
      </c>
      <c r="G11" s="116">
        <v>0</v>
      </c>
      <c r="H11" s="116">
        <v>1</v>
      </c>
      <c r="I11" s="116">
        <v>0</v>
      </c>
      <c r="J11" s="116">
        <v>1</v>
      </c>
      <c r="K11" s="116">
        <v>1</v>
      </c>
      <c r="L11" s="116">
        <v>1</v>
      </c>
      <c r="M11" s="116">
        <v>1</v>
      </c>
      <c r="N11" s="116">
        <v>1</v>
      </c>
      <c r="O11" s="116">
        <v>1</v>
      </c>
      <c r="P11" s="116">
        <v>0</v>
      </c>
      <c r="Q11" s="116">
        <v>0</v>
      </c>
      <c r="R11" s="116">
        <v>0</v>
      </c>
      <c r="S11" s="116">
        <v>1</v>
      </c>
      <c r="T11" s="116">
        <v>1</v>
      </c>
      <c r="U11" s="116">
        <v>1</v>
      </c>
      <c r="V11" s="116">
        <v>0</v>
      </c>
      <c r="W11" s="116">
        <v>1</v>
      </c>
      <c r="X11" s="116">
        <v>1</v>
      </c>
      <c r="Y11" s="116">
        <v>1</v>
      </c>
      <c r="Z11" s="116">
        <v>1</v>
      </c>
      <c r="AA11" s="116">
        <v>0</v>
      </c>
      <c r="AB11" s="116">
        <v>0</v>
      </c>
      <c r="AC11" s="116">
        <v>0</v>
      </c>
      <c r="AD11" s="116">
        <v>1</v>
      </c>
      <c r="AE11" s="116">
        <v>0</v>
      </c>
      <c r="AF11" s="116">
        <v>0</v>
      </c>
      <c r="AG11" s="116">
        <v>0</v>
      </c>
      <c r="AH11" s="116">
        <v>0</v>
      </c>
      <c r="AI11" s="116">
        <v>1</v>
      </c>
      <c r="AJ11" s="116">
        <v>0</v>
      </c>
      <c r="AK11" s="116">
        <v>0</v>
      </c>
      <c r="AL11" s="116">
        <v>1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  <c r="AR11" s="116">
        <v>0</v>
      </c>
      <c r="AS11" s="116">
        <v>0</v>
      </c>
      <c r="AT11" s="116">
        <v>0</v>
      </c>
      <c r="AU11" s="116">
        <v>0</v>
      </c>
      <c r="AV11" s="116">
        <v>0</v>
      </c>
      <c r="AW11" s="116">
        <v>0</v>
      </c>
      <c r="AX11" s="116">
        <v>0</v>
      </c>
      <c r="AY11" s="116">
        <v>0</v>
      </c>
      <c r="AZ11" s="116">
        <v>0</v>
      </c>
    </row>
    <row r="12" spans="1:52" customFormat="1" x14ac:dyDescent="0.15">
      <c r="A12" s="166" t="s">
        <v>202</v>
      </c>
      <c r="B12" s="116">
        <v>0</v>
      </c>
      <c r="C12" s="116">
        <v>0</v>
      </c>
      <c r="D12" s="116">
        <v>0</v>
      </c>
      <c r="E12" s="116">
        <v>1</v>
      </c>
      <c r="F12" s="116">
        <v>0</v>
      </c>
      <c r="G12" s="116">
        <v>0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  <c r="AR12" s="116">
        <v>0</v>
      </c>
      <c r="AS12" s="116">
        <v>0</v>
      </c>
      <c r="AT12" s="116">
        <v>0</v>
      </c>
      <c r="AU12" s="116">
        <v>0</v>
      </c>
      <c r="AV12" s="116">
        <v>0</v>
      </c>
      <c r="AW12" s="116">
        <v>0</v>
      </c>
      <c r="AX12" s="116">
        <v>0</v>
      </c>
      <c r="AY12" s="116">
        <v>0</v>
      </c>
      <c r="AZ12" s="116">
        <v>0</v>
      </c>
    </row>
    <row r="13" spans="1:52" customFormat="1" x14ac:dyDescent="0.15">
      <c r="A13" s="166" t="s">
        <v>203</v>
      </c>
      <c r="B13" s="116">
        <v>1</v>
      </c>
      <c r="C13" s="116">
        <v>0</v>
      </c>
      <c r="D13" s="116">
        <v>1</v>
      </c>
      <c r="E13" s="116">
        <v>1</v>
      </c>
      <c r="F13" s="116">
        <v>0</v>
      </c>
      <c r="G13" s="116">
        <v>0</v>
      </c>
      <c r="H13" s="116">
        <v>0</v>
      </c>
      <c r="I13" s="116">
        <v>0</v>
      </c>
      <c r="J13" s="116">
        <v>1</v>
      </c>
      <c r="K13" s="116">
        <v>1</v>
      </c>
      <c r="L13" s="116">
        <v>1</v>
      </c>
      <c r="M13" s="116">
        <v>1</v>
      </c>
      <c r="N13" s="116">
        <v>1</v>
      </c>
      <c r="O13" s="116">
        <v>0</v>
      </c>
      <c r="P13" s="116">
        <v>0</v>
      </c>
      <c r="Q13" s="116">
        <v>0</v>
      </c>
      <c r="R13" s="116">
        <v>0</v>
      </c>
      <c r="S13" s="116">
        <v>1</v>
      </c>
      <c r="T13" s="116">
        <v>0</v>
      </c>
      <c r="U13" s="116">
        <v>0</v>
      </c>
      <c r="V13" s="116">
        <v>0</v>
      </c>
      <c r="W13" s="116">
        <v>1</v>
      </c>
      <c r="X13" s="116">
        <v>1</v>
      </c>
      <c r="Y13" s="116">
        <v>1</v>
      </c>
      <c r="Z13" s="116">
        <v>1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  <c r="AR13" s="116">
        <v>0</v>
      </c>
      <c r="AS13" s="116">
        <v>0</v>
      </c>
      <c r="AT13" s="116">
        <v>0</v>
      </c>
      <c r="AU13" s="116">
        <v>0</v>
      </c>
      <c r="AV13" s="116">
        <v>0</v>
      </c>
      <c r="AW13" s="116">
        <v>0</v>
      </c>
      <c r="AX13" s="116">
        <v>0</v>
      </c>
      <c r="AY13" s="116">
        <v>0</v>
      </c>
      <c r="AZ13" s="116">
        <v>0</v>
      </c>
    </row>
    <row r="14" spans="1:52" customFormat="1" x14ac:dyDescent="0.15">
      <c r="A14" s="166" t="s">
        <v>204</v>
      </c>
      <c r="B14" s="116">
        <v>0</v>
      </c>
      <c r="C14" s="116">
        <v>0</v>
      </c>
      <c r="D14" s="116">
        <v>0</v>
      </c>
      <c r="E14" s="116">
        <v>1</v>
      </c>
      <c r="F14" s="116">
        <v>1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  <c r="L14" s="116">
        <v>0</v>
      </c>
      <c r="M14" s="116">
        <v>0</v>
      </c>
      <c r="N14" s="116">
        <v>0</v>
      </c>
      <c r="O14" s="116">
        <v>0</v>
      </c>
      <c r="P14" s="116">
        <v>0</v>
      </c>
      <c r="Q14" s="116">
        <v>0</v>
      </c>
      <c r="R14" s="116">
        <v>0</v>
      </c>
      <c r="S14" s="116">
        <v>0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  <c r="AR14" s="116">
        <v>0</v>
      </c>
      <c r="AS14" s="116">
        <v>0</v>
      </c>
      <c r="AT14" s="116">
        <v>0</v>
      </c>
      <c r="AU14" s="116">
        <v>0</v>
      </c>
      <c r="AV14" s="116">
        <v>0</v>
      </c>
      <c r="AW14" s="116">
        <v>0</v>
      </c>
      <c r="AX14" s="116">
        <v>0</v>
      </c>
      <c r="AY14" s="116">
        <v>0</v>
      </c>
      <c r="AZ14" s="116">
        <v>0</v>
      </c>
    </row>
    <row r="15" spans="1:52" customFormat="1" x14ac:dyDescent="0.15">
      <c r="A15" s="166" t="s">
        <v>205</v>
      </c>
      <c r="B15" s="116">
        <v>0</v>
      </c>
      <c r="C15" s="116">
        <v>0</v>
      </c>
      <c r="D15" s="116">
        <v>1</v>
      </c>
      <c r="E15" s="116">
        <v>1</v>
      </c>
      <c r="F15" s="116">
        <v>1</v>
      </c>
      <c r="G15" s="116">
        <v>0</v>
      </c>
      <c r="H15" s="116">
        <v>0</v>
      </c>
      <c r="I15" s="116">
        <v>0</v>
      </c>
      <c r="J15" s="116">
        <v>1</v>
      </c>
      <c r="K15" s="116">
        <v>1</v>
      </c>
      <c r="L15" s="116">
        <v>1</v>
      </c>
      <c r="M15" s="116">
        <v>1</v>
      </c>
      <c r="N15" s="116">
        <v>1</v>
      </c>
      <c r="O15" s="116">
        <v>1</v>
      </c>
      <c r="P15" s="116">
        <v>0</v>
      </c>
      <c r="Q15" s="116">
        <v>0</v>
      </c>
      <c r="R15" s="116">
        <v>0</v>
      </c>
      <c r="S15" s="116">
        <v>1</v>
      </c>
      <c r="T15" s="116">
        <v>1</v>
      </c>
      <c r="U15" s="116">
        <v>0</v>
      </c>
      <c r="V15" s="116">
        <v>0</v>
      </c>
      <c r="W15" s="116">
        <v>1</v>
      </c>
      <c r="X15" s="116">
        <v>1</v>
      </c>
      <c r="Y15" s="116">
        <v>0</v>
      </c>
      <c r="Z15" s="116">
        <v>0</v>
      </c>
      <c r="AA15" s="116">
        <v>0</v>
      </c>
      <c r="AB15" s="116">
        <v>0</v>
      </c>
      <c r="AC15" s="116">
        <v>0</v>
      </c>
      <c r="AD15" s="116">
        <v>1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  <c r="AO15" s="116">
        <v>0</v>
      </c>
      <c r="AP15" s="116">
        <v>0</v>
      </c>
      <c r="AQ15" s="116">
        <v>0</v>
      </c>
      <c r="AR15" s="116">
        <v>0</v>
      </c>
      <c r="AS15" s="116">
        <v>0</v>
      </c>
      <c r="AT15" s="116">
        <v>0</v>
      </c>
      <c r="AU15" s="116">
        <v>0</v>
      </c>
      <c r="AV15" s="116">
        <v>0</v>
      </c>
      <c r="AW15" s="116">
        <v>0</v>
      </c>
      <c r="AX15" s="116">
        <v>0</v>
      </c>
      <c r="AY15" s="116">
        <v>0</v>
      </c>
      <c r="AZ15" s="116">
        <v>0</v>
      </c>
    </row>
    <row r="16" spans="1:52" customFormat="1" x14ac:dyDescent="0.15">
      <c r="A16" s="166" t="s">
        <v>206</v>
      </c>
      <c r="B16" s="116">
        <v>1</v>
      </c>
      <c r="C16" s="116">
        <v>0</v>
      </c>
      <c r="D16" s="116">
        <v>1</v>
      </c>
      <c r="E16" s="116">
        <v>1</v>
      </c>
      <c r="F16" s="116">
        <v>1</v>
      </c>
      <c r="G16" s="116">
        <v>0</v>
      </c>
      <c r="H16" s="116">
        <v>0</v>
      </c>
      <c r="I16" s="116">
        <v>0</v>
      </c>
      <c r="J16" s="116">
        <v>1</v>
      </c>
      <c r="K16" s="116">
        <v>0</v>
      </c>
      <c r="L16" s="116">
        <v>1</v>
      </c>
      <c r="M16" s="116">
        <v>1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1</v>
      </c>
      <c r="X16" s="116">
        <v>1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16">
        <v>0</v>
      </c>
    </row>
    <row r="17" spans="1:52" customFormat="1" x14ac:dyDescent="0.15">
      <c r="A17" s="166" t="s">
        <v>207</v>
      </c>
      <c r="B17" s="116">
        <v>1</v>
      </c>
      <c r="C17" s="116">
        <v>0</v>
      </c>
      <c r="D17" s="116">
        <v>1</v>
      </c>
      <c r="E17" s="116">
        <v>1</v>
      </c>
      <c r="F17" s="116">
        <v>1</v>
      </c>
      <c r="G17" s="116">
        <v>0</v>
      </c>
      <c r="H17" s="116">
        <v>0</v>
      </c>
      <c r="I17" s="116">
        <v>0</v>
      </c>
      <c r="J17" s="116">
        <v>1</v>
      </c>
      <c r="K17" s="116">
        <v>0</v>
      </c>
      <c r="L17" s="116">
        <v>1</v>
      </c>
      <c r="M17" s="116">
        <v>0</v>
      </c>
      <c r="N17" s="116">
        <v>1</v>
      </c>
      <c r="O17" s="116">
        <v>0</v>
      </c>
      <c r="P17" s="116">
        <v>0</v>
      </c>
      <c r="Q17" s="116">
        <v>0</v>
      </c>
      <c r="R17" s="116">
        <v>0</v>
      </c>
      <c r="S17" s="116">
        <v>1</v>
      </c>
      <c r="T17" s="116">
        <v>0</v>
      </c>
      <c r="U17" s="116">
        <v>0</v>
      </c>
      <c r="V17" s="116">
        <v>0</v>
      </c>
      <c r="W17" s="116">
        <v>1</v>
      </c>
      <c r="X17" s="116">
        <v>1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16">
        <v>0</v>
      </c>
      <c r="AT17" s="116">
        <v>0</v>
      </c>
      <c r="AU17" s="116">
        <v>0</v>
      </c>
      <c r="AV17" s="116">
        <v>0</v>
      </c>
      <c r="AW17" s="116">
        <v>0</v>
      </c>
      <c r="AX17" s="116">
        <v>0</v>
      </c>
      <c r="AY17" s="116">
        <v>0</v>
      </c>
      <c r="AZ17" s="116">
        <v>0</v>
      </c>
    </row>
    <row r="18" spans="1:52" customFormat="1" x14ac:dyDescent="0.15">
      <c r="A18" s="166" t="s">
        <v>208</v>
      </c>
      <c r="B18" s="116">
        <v>1</v>
      </c>
      <c r="C18" s="116">
        <v>0</v>
      </c>
      <c r="D18" s="116">
        <v>1</v>
      </c>
      <c r="E18" s="116">
        <v>1</v>
      </c>
      <c r="F18" s="116">
        <v>1</v>
      </c>
      <c r="G18" s="116">
        <v>0</v>
      </c>
      <c r="H18" s="116">
        <v>0</v>
      </c>
      <c r="I18" s="116">
        <v>0</v>
      </c>
      <c r="J18" s="116">
        <v>0</v>
      </c>
      <c r="K18" s="116">
        <v>0</v>
      </c>
      <c r="L18" s="116">
        <v>0</v>
      </c>
      <c r="M18" s="116">
        <v>0</v>
      </c>
      <c r="N18" s="116">
        <v>0</v>
      </c>
      <c r="O18" s="116">
        <v>0</v>
      </c>
      <c r="P18" s="116">
        <v>0</v>
      </c>
      <c r="Q18" s="116">
        <v>0</v>
      </c>
      <c r="R18" s="116">
        <v>0</v>
      </c>
      <c r="S18" s="116">
        <v>0</v>
      </c>
      <c r="T18" s="116">
        <v>0</v>
      </c>
      <c r="U18" s="116">
        <v>0</v>
      </c>
      <c r="V18" s="116">
        <v>0</v>
      </c>
      <c r="W18" s="116">
        <v>0</v>
      </c>
      <c r="X18" s="116">
        <v>0</v>
      </c>
      <c r="Y18" s="116">
        <v>0</v>
      </c>
      <c r="Z18" s="116">
        <v>0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  <c r="AO18" s="116">
        <v>0</v>
      </c>
      <c r="AP18" s="116">
        <v>0</v>
      </c>
      <c r="AQ18" s="116">
        <v>0</v>
      </c>
      <c r="AR18" s="116">
        <v>0</v>
      </c>
      <c r="AS18" s="116">
        <v>0</v>
      </c>
      <c r="AT18" s="116">
        <v>0</v>
      </c>
      <c r="AU18" s="116">
        <v>0</v>
      </c>
      <c r="AV18" s="116">
        <v>0</v>
      </c>
      <c r="AW18" s="116">
        <v>0</v>
      </c>
      <c r="AX18" s="116">
        <v>0</v>
      </c>
      <c r="AY18" s="116">
        <v>0</v>
      </c>
      <c r="AZ18" s="116">
        <v>0</v>
      </c>
    </row>
    <row r="19" spans="1:52" customFormat="1" x14ac:dyDescent="0.15">
      <c r="A19" s="166" t="s">
        <v>209</v>
      </c>
      <c r="B19" s="116">
        <v>0</v>
      </c>
      <c r="C19" s="116">
        <v>0</v>
      </c>
      <c r="D19" s="116">
        <v>1</v>
      </c>
      <c r="E19" s="116">
        <v>1</v>
      </c>
      <c r="F19" s="116">
        <v>0</v>
      </c>
      <c r="G19" s="116">
        <v>0</v>
      </c>
      <c r="H19" s="116">
        <v>0</v>
      </c>
      <c r="I19" s="116">
        <v>0</v>
      </c>
      <c r="J19" s="116">
        <v>1</v>
      </c>
      <c r="K19" s="116">
        <v>0</v>
      </c>
      <c r="L19" s="116">
        <v>0</v>
      </c>
      <c r="M19" s="116">
        <v>0</v>
      </c>
      <c r="N19" s="116">
        <v>1</v>
      </c>
      <c r="O19" s="116">
        <v>0</v>
      </c>
      <c r="P19" s="116">
        <v>0</v>
      </c>
      <c r="Q19" s="116">
        <v>0</v>
      </c>
      <c r="R19" s="116">
        <v>0</v>
      </c>
      <c r="S19" s="116">
        <v>0</v>
      </c>
      <c r="T19" s="116">
        <v>0</v>
      </c>
      <c r="U19" s="116">
        <v>0</v>
      </c>
      <c r="V19" s="116">
        <v>0</v>
      </c>
      <c r="W19" s="116">
        <v>1</v>
      </c>
      <c r="X19" s="116">
        <v>1</v>
      </c>
      <c r="Y19" s="116">
        <v>1</v>
      </c>
      <c r="Z19" s="116">
        <v>1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  <c r="AO19" s="116">
        <v>0</v>
      </c>
      <c r="AP19" s="116">
        <v>0</v>
      </c>
      <c r="AQ19" s="116">
        <v>0</v>
      </c>
      <c r="AR19" s="116">
        <v>0</v>
      </c>
      <c r="AS19" s="116">
        <v>0</v>
      </c>
      <c r="AT19" s="116">
        <v>0</v>
      </c>
      <c r="AU19" s="116">
        <v>0</v>
      </c>
      <c r="AV19" s="116">
        <v>0</v>
      </c>
      <c r="AW19" s="116">
        <v>0</v>
      </c>
      <c r="AX19" s="116">
        <v>0</v>
      </c>
      <c r="AY19" s="116">
        <v>0</v>
      </c>
      <c r="AZ19" s="116">
        <v>0</v>
      </c>
    </row>
    <row r="20" spans="1:52" customFormat="1" x14ac:dyDescent="0.15">
      <c r="A20" s="166" t="s">
        <v>210</v>
      </c>
      <c r="B20" s="116">
        <v>0</v>
      </c>
      <c r="C20" s="116">
        <v>1</v>
      </c>
      <c r="D20" s="116">
        <v>0</v>
      </c>
      <c r="E20" s="116">
        <v>0</v>
      </c>
      <c r="F20" s="116">
        <v>0</v>
      </c>
      <c r="G20" s="116">
        <v>0</v>
      </c>
      <c r="H20" s="116">
        <v>0</v>
      </c>
      <c r="I20" s="116">
        <v>0</v>
      </c>
      <c r="J20" s="116">
        <v>0</v>
      </c>
      <c r="K20" s="116">
        <v>0</v>
      </c>
      <c r="L20" s="116">
        <v>0</v>
      </c>
      <c r="M20" s="116">
        <v>0</v>
      </c>
      <c r="N20" s="116">
        <v>0</v>
      </c>
      <c r="O20" s="116">
        <v>0</v>
      </c>
      <c r="P20" s="116">
        <v>0</v>
      </c>
      <c r="Q20" s="116">
        <v>0</v>
      </c>
      <c r="R20" s="116">
        <v>0</v>
      </c>
      <c r="S20" s="116">
        <v>0</v>
      </c>
      <c r="T20" s="116">
        <v>0</v>
      </c>
      <c r="U20" s="116">
        <v>0</v>
      </c>
      <c r="V20" s="116">
        <v>0</v>
      </c>
      <c r="W20" s="116">
        <v>0</v>
      </c>
      <c r="X20" s="116">
        <v>0</v>
      </c>
      <c r="Y20" s="116">
        <v>0</v>
      </c>
      <c r="Z20" s="116">
        <v>0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116">
        <v>0</v>
      </c>
      <c r="AO20" s="116">
        <v>0</v>
      </c>
      <c r="AP20" s="116">
        <v>0</v>
      </c>
      <c r="AQ20" s="116">
        <v>0</v>
      </c>
      <c r="AR20" s="116">
        <v>0</v>
      </c>
      <c r="AS20" s="116">
        <v>0</v>
      </c>
      <c r="AT20" s="116">
        <v>0</v>
      </c>
      <c r="AU20" s="116">
        <v>0</v>
      </c>
      <c r="AV20" s="116">
        <v>0</v>
      </c>
      <c r="AW20" s="116">
        <v>0</v>
      </c>
      <c r="AX20" s="116">
        <v>0</v>
      </c>
      <c r="AY20" s="116">
        <v>0</v>
      </c>
      <c r="AZ20" s="116">
        <v>0</v>
      </c>
    </row>
    <row r="21" spans="1:52" customFormat="1" x14ac:dyDescent="0.15">
      <c r="A21" s="166" t="s">
        <v>211</v>
      </c>
      <c r="B21" s="116">
        <v>0</v>
      </c>
      <c r="C21" s="116">
        <v>0</v>
      </c>
      <c r="D21" s="116">
        <v>1</v>
      </c>
      <c r="E21" s="116">
        <v>1</v>
      </c>
      <c r="F21" s="116">
        <v>1</v>
      </c>
      <c r="G21" s="116">
        <v>0</v>
      </c>
      <c r="H21" s="116">
        <v>0</v>
      </c>
      <c r="I21" s="116">
        <v>0</v>
      </c>
      <c r="J21" s="116">
        <v>1</v>
      </c>
      <c r="K21" s="116">
        <v>1</v>
      </c>
      <c r="L21" s="116">
        <v>0</v>
      </c>
      <c r="M21" s="116">
        <v>1</v>
      </c>
      <c r="N21" s="116">
        <v>1</v>
      </c>
      <c r="O21" s="116">
        <v>0</v>
      </c>
      <c r="P21" s="116">
        <v>0</v>
      </c>
      <c r="Q21" s="116">
        <v>0</v>
      </c>
      <c r="R21" s="116">
        <v>0</v>
      </c>
      <c r="S21" s="116">
        <v>1</v>
      </c>
      <c r="T21" s="116">
        <v>1</v>
      </c>
      <c r="U21" s="116">
        <v>1</v>
      </c>
      <c r="V21" s="116">
        <v>0</v>
      </c>
      <c r="W21" s="116">
        <v>1</v>
      </c>
      <c r="X21" s="116">
        <v>1</v>
      </c>
      <c r="Y21" s="116">
        <v>1</v>
      </c>
      <c r="Z21" s="116">
        <v>1</v>
      </c>
      <c r="AA21" s="116">
        <v>0</v>
      </c>
      <c r="AB21" s="116">
        <v>0</v>
      </c>
      <c r="AC21" s="116">
        <v>0</v>
      </c>
      <c r="AD21" s="116">
        <v>0</v>
      </c>
      <c r="AE21" s="116">
        <v>0</v>
      </c>
      <c r="AF21" s="116">
        <v>0</v>
      </c>
      <c r="AG21" s="116">
        <v>0</v>
      </c>
      <c r="AH21" s="116">
        <v>0</v>
      </c>
      <c r="AI21" s="116">
        <v>1</v>
      </c>
      <c r="AJ21" s="116">
        <v>0</v>
      </c>
      <c r="AK21" s="116">
        <v>0</v>
      </c>
      <c r="AL21" s="116">
        <v>0</v>
      </c>
      <c r="AM21" s="116">
        <v>0</v>
      </c>
      <c r="AN21" s="116">
        <v>0</v>
      </c>
      <c r="AO21" s="116">
        <v>0</v>
      </c>
      <c r="AP21" s="116">
        <v>0</v>
      </c>
      <c r="AQ21" s="116">
        <v>0</v>
      </c>
      <c r="AR21" s="116">
        <v>0</v>
      </c>
      <c r="AS21" s="116">
        <v>0</v>
      </c>
      <c r="AT21" s="116">
        <v>0</v>
      </c>
      <c r="AU21" s="116">
        <v>0</v>
      </c>
      <c r="AV21" s="116">
        <v>0</v>
      </c>
      <c r="AW21" s="116">
        <v>0</v>
      </c>
      <c r="AX21" s="116">
        <v>0</v>
      </c>
      <c r="AY21" s="116">
        <v>0</v>
      </c>
      <c r="AZ21" s="116">
        <v>0</v>
      </c>
    </row>
    <row r="22" spans="1:52" customFormat="1" x14ac:dyDescent="0.15">
      <c r="A22" s="166" t="s">
        <v>212</v>
      </c>
      <c r="B22" s="116">
        <v>0</v>
      </c>
      <c r="C22" s="116">
        <v>0</v>
      </c>
      <c r="D22" s="116">
        <v>1</v>
      </c>
      <c r="E22" s="116">
        <v>0</v>
      </c>
      <c r="F22" s="116">
        <v>0</v>
      </c>
      <c r="G22" s="116">
        <v>0</v>
      </c>
      <c r="H22" s="116">
        <v>1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  <c r="AZ22" s="116">
        <v>0</v>
      </c>
    </row>
    <row r="23" spans="1:52" customFormat="1" x14ac:dyDescent="0.15">
      <c r="A23" s="166" t="s">
        <v>213</v>
      </c>
      <c r="B23" s="116">
        <v>0</v>
      </c>
      <c r="C23" s="116">
        <v>1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  <c r="AZ23" s="116">
        <v>0</v>
      </c>
    </row>
    <row r="24" spans="1:52" customFormat="1" x14ac:dyDescent="0.15">
      <c r="A24" s="166" t="s">
        <v>214</v>
      </c>
      <c r="B24" s="116">
        <v>1</v>
      </c>
      <c r="C24" s="116">
        <v>1</v>
      </c>
      <c r="D24" s="116">
        <v>1</v>
      </c>
      <c r="E24" s="116">
        <v>1</v>
      </c>
      <c r="F24" s="116">
        <v>0</v>
      </c>
      <c r="G24" s="116">
        <v>0</v>
      </c>
      <c r="H24" s="116">
        <v>1</v>
      </c>
      <c r="I24" s="116">
        <v>0</v>
      </c>
      <c r="J24" s="116">
        <v>1</v>
      </c>
      <c r="K24" s="116">
        <v>1</v>
      </c>
      <c r="L24" s="116">
        <v>0</v>
      </c>
      <c r="M24" s="116">
        <v>0</v>
      </c>
      <c r="N24" s="116">
        <v>0</v>
      </c>
      <c r="O24" s="116">
        <v>0</v>
      </c>
      <c r="P24" s="116">
        <v>0</v>
      </c>
      <c r="Q24" s="116">
        <v>0</v>
      </c>
      <c r="R24" s="116">
        <v>0</v>
      </c>
      <c r="S24" s="116">
        <v>1</v>
      </c>
      <c r="T24" s="116">
        <v>1</v>
      </c>
      <c r="U24" s="116">
        <v>0</v>
      </c>
      <c r="V24" s="116">
        <v>0</v>
      </c>
      <c r="W24" s="116">
        <v>1</v>
      </c>
      <c r="X24" s="116">
        <v>1</v>
      </c>
      <c r="Y24" s="116">
        <v>1</v>
      </c>
      <c r="Z24" s="116">
        <v>1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F24" s="116">
        <v>0</v>
      </c>
      <c r="AG24" s="116">
        <v>0</v>
      </c>
      <c r="AH24" s="116">
        <v>0</v>
      </c>
      <c r="AI24" s="116">
        <v>1</v>
      </c>
      <c r="AJ24" s="116">
        <v>0</v>
      </c>
      <c r="AK24" s="116">
        <v>0</v>
      </c>
      <c r="AL24" s="116">
        <v>1</v>
      </c>
      <c r="AM24" s="116">
        <v>0</v>
      </c>
      <c r="AN24" s="116">
        <v>0</v>
      </c>
      <c r="AO24" s="116">
        <v>0</v>
      </c>
      <c r="AP24" s="116">
        <v>0</v>
      </c>
      <c r="AQ24" s="116">
        <v>0</v>
      </c>
      <c r="AR24" s="116">
        <v>0</v>
      </c>
      <c r="AS24" s="116">
        <v>0</v>
      </c>
      <c r="AT24" s="116">
        <v>0</v>
      </c>
      <c r="AU24" s="116">
        <v>0</v>
      </c>
      <c r="AV24" s="116">
        <v>0</v>
      </c>
      <c r="AW24" s="116">
        <v>0</v>
      </c>
      <c r="AX24" s="116">
        <v>0</v>
      </c>
      <c r="AY24" s="116">
        <v>0</v>
      </c>
      <c r="AZ24" s="116">
        <v>0</v>
      </c>
    </row>
    <row r="25" spans="1:52" customFormat="1" x14ac:dyDescent="0.15">
      <c r="A25" s="166" t="s">
        <v>215</v>
      </c>
      <c r="B25" s="116">
        <v>0</v>
      </c>
      <c r="C25" s="116">
        <v>1</v>
      </c>
      <c r="D25" s="116">
        <v>0</v>
      </c>
      <c r="E25" s="116">
        <v>1</v>
      </c>
      <c r="F25" s="116">
        <v>1</v>
      </c>
      <c r="G25" s="116">
        <v>0</v>
      </c>
      <c r="H25" s="116">
        <v>0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  <c r="AO25" s="116">
        <v>0</v>
      </c>
      <c r="AP25" s="116">
        <v>0</v>
      </c>
      <c r="AQ25" s="116">
        <v>0</v>
      </c>
      <c r="AR25" s="116">
        <v>0</v>
      </c>
      <c r="AS25" s="116">
        <v>0</v>
      </c>
      <c r="AT25" s="116">
        <v>0</v>
      </c>
      <c r="AU25" s="116">
        <v>0</v>
      </c>
      <c r="AV25" s="116">
        <v>0</v>
      </c>
      <c r="AW25" s="116">
        <v>0</v>
      </c>
      <c r="AX25" s="116">
        <v>0</v>
      </c>
      <c r="AY25" s="116">
        <v>0</v>
      </c>
      <c r="AZ25" s="116">
        <v>0</v>
      </c>
    </row>
    <row r="26" spans="1:52" customFormat="1" x14ac:dyDescent="0.15">
      <c r="A26" s="166" t="s">
        <v>216</v>
      </c>
      <c r="B26" s="116">
        <v>1</v>
      </c>
      <c r="C26" s="116">
        <v>1</v>
      </c>
      <c r="D26" s="116">
        <v>1</v>
      </c>
      <c r="E26" s="116">
        <v>1</v>
      </c>
      <c r="F26" s="116">
        <v>1</v>
      </c>
      <c r="G26" s="116">
        <v>0</v>
      </c>
      <c r="H26" s="116">
        <v>1</v>
      </c>
      <c r="I26" s="116">
        <v>0</v>
      </c>
      <c r="J26" s="116">
        <v>1</v>
      </c>
      <c r="K26" s="116">
        <v>1</v>
      </c>
      <c r="L26" s="116">
        <v>1</v>
      </c>
      <c r="M26" s="116">
        <v>1</v>
      </c>
      <c r="N26" s="116">
        <v>1</v>
      </c>
      <c r="O26" s="116">
        <v>1</v>
      </c>
      <c r="P26" s="116">
        <v>0</v>
      </c>
      <c r="Q26" s="116">
        <v>0</v>
      </c>
      <c r="R26" s="116">
        <v>0</v>
      </c>
      <c r="S26" s="116">
        <v>1</v>
      </c>
      <c r="T26" s="116">
        <v>1</v>
      </c>
      <c r="U26" s="116">
        <v>1</v>
      </c>
      <c r="V26" s="116">
        <v>0</v>
      </c>
      <c r="W26" s="116">
        <v>1</v>
      </c>
      <c r="X26" s="116">
        <v>1</v>
      </c>
      <c r="Y26" s="116">
        <v>1</v>
      </c>
      <c r="Z26" s="116">
        <v>1</v>
      </c>
      <c r="AA26" s="116">
        <v>1</v>
      </c>
      <c r="AB26" s="116">
        <v>0</v>
      </c>
      <c r="AC26" s="116">
        <v>1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1</v>
      </c>
      <c r="AJ26" s="116">
        <v>0</v>
      </c>
      <c r="AK26" s="116">
        <v>0</v>
      </c>
      <c r="AL26" s="116">
        <v>1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  <c r="AZ26" s="116">
        <v>0</v>
      </c>
    </row>
    <row r="27" spans="1:52" customFormat="1" x14ac:dyDescent="0.15">
      <c r="A27" s="166" t="s">
        <v>217</v>
      </c>
      <c r="B27" s="116">
        <v>1</v>
      </c>
      <c r="C27" s="116">
        <v>0</v>
      </c>
      <c r="D27" s="116">
        <v>1</v>
      </c>
      <c r="E27" s="116">
        <v>1</v>
      </c>
      <c r="F27" s="116">
        <v>0</v>
      </c>
      <c r="G27" s="116">
        <v>0</v>
      </c>
      <c r="H27" s="116">
        <v>1</v>
      </c>
      <c r="I27" s="116">
        <v>0</v>
      </c>
      <c r="J27" s="116">
        <v>1</v>
      </c>
      <c r="K27" s="116">
        <v>1</v>
      </c>
      <c r="L27" s="116">
        <v>1</v>
      </c>
      <c r="M27" s="116">
        <v>1</v>
      </c>
      <c r="N27" s="116">
        <v>1</v>
      </c>
      <c r="O27" s="116">
        <v>1</v>
      </c>
      <c r="P27" s="116">
        <v>0</v>
      </c>
      <c r="Q27" s="116">
        <v>1</v>
      </c>
      <c r="R27" s="116">
        <v>1</v>
      </c>
      <c r="S27" s="116">
        <v>1</v>
      </c>
      <c r="T27" s="116">
        <v>1</v>
      </c>
      <c r="U27" s="116">
        <v>0</v>
      </c>
      <c r="V27" s="116">
        <v>0</v>
      </c>
      <c r="W27" s="116">
        <v>1</v>
      </c>
      <c r="X27" s="116">
        <v>1</v>
      </c>
      <c r="Y27" s="116">
        <v>1</v>
      </c>
      <c r="Z27" s="116">
        <v>1</v>
      </c>
      <c r="AA27" s="116">
        <v>1</v>
      </c>
      <c r="AB27" s="116">
        <v>0</v>
      </c>
      <c r="AC27" s="116">
        <v>1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1</v>
      </c>
      <c r="AJ27" s="116">
        <v>0</v>
      </c>
      <c r="AK27" s="116">
        <v>0</v>
      </c>
      <c r="AL27" s="116">
        <v>1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  <c r="AZ27" s="116">
        <v>0</v>
      </c>
    </row>
    <row r="28" spans="1:52" customFormat="1" x14ac:dyDescent="0.15">
      <c r="A28" s="166" t="s">
        <v>218</v>
      </c>
      <c r="B28" s="116">
        <v>0</v>
      </c>
      <c r="C28" s="116">
        <v>1</v>
      </c>
      <c r="D28" s="116">
        <v>1</v>
      </c>
      <c r="E28" s="116">
        <v>0</v>
      </c>
      <c r="F28" s="116">
        <v>0</v>
      </c>
      <c r="G28" s="116">
        <v>0</v>
      </c>
      <c r="H28" s="116">
        <v>1</v>
      </c>
      <c r="I28" s="116">
        <v>0</v>
      </c>
      <c r="J28" s="116">
        <v>1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  <c r="AZ28" s="116">
        <v>0</v>
      </c>
    </row>
    <row r="29" spans="1:52" customFormat="1" x14ac:dyDescent="0.15">
      <c r="A29" s="166" t="s">
        <v>219</v>
      </c>
      <c r="B29" s="116">
        <v>1</v>
      </c>
      <c r="C29" s="116">
        <v>1</v>
      </c>
      <c r="D29" s="116">
        <v>1</v>
      </c>
      <c r="E29" s="116">
        <v>1</v>
      </c>
      <c r="F29" s="116">
        <v>0</v>
      </c>
      <c r="G29" s="116">
        <v>0</v>
      </c>
      <c r="H29" s="116">
        <v>1</v>
      </c>
      <c r="I29" s="116">
        <v>0</v>
      </c>
      <c r="J29" s="116">
        <v>1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1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  <c r="AZ29" s="116">
        <v>0</v>
      </c>
    </row>
    <row r="30" spans="1:52" customFormat="1" x14ac:dyDescent="0.15">
      <c r="A30" s="166" t="s">
        <v>220</v>
      </c>
      <c r="B30" s="116">
        <v>0</v>
      </c>
      <c r="C30" s="116">
        <v>1</v>
      </c>
      <c r="D30" s="116">
        <v>1</v>
      </c>
      <c r="E30" s="116">
        <v>0</v>
      </c>
      <c r="F30" s="116">
        <v>0</v>
      </c>
      <c r="G30" s="116">
        <v>0</v>
      </c>
      <c r="H30" s="116">
        <v>1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1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1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  <c r="AZ30" s="116">
        <v>0</v>
      </c>
    </row>
    <row r="31" spans="1:52" customFormat="1" x14ac:dyDescent="0.15">
      <c r="A31" s="166" t="s">
        <v>221</v>
      </c>
      <c r="B31" s="116">
        <v>1</v>
      </c>
      <c r="C31" s="116">
        <v>1</v>
      </c>
      <c r="D31" s="116">
        <v>1</v>
      </c>
      <c r="E31" s="116">
        <v>1</v>
      </c>
      <c r="F31" s="116">
        <v>1</v>
      </c>
      <c r="G31" s="116">
        <v>0</v>
      </c>
      <c r="H31" s="116">
        <v>1</v>
      </c>
      <c r="I31" s="116">
        <v>0</v>
      </c>
      <c r="J31" s="116">
        <v>1</v>
      </c>
      <c r="K31" s="116">
        <v>1</v>
      </c>
      <c r="L31" s="116">
        <v>1</v>
      </c>
      <c r="M31" s="116">
        <v>1</v>
      </c>
      <c r="N31" s="116">
        <v>1</v>
      </c>
      <c r="O31" s="116">
        <v>1</v>
      </c>
      <c r="P31" s="116">
        <v>1</v>
      </c>
      <c r="Q31" s="116">
        <v>0</v>
      </c>
      <c r="R31" s="116">
        <v>0</v>
      </c>
      <c r="S31" s="116">
        <v>1</v>
      </c>
      <c r="T31" s="116">
        <v>1</v>
      </c>
      <c r="U31" s="116">
        <v>1</v>
      </c>
      <c r="V31" s="116">
        <v>1</v>
      </c>
      <c r="W31" s="116">
        <v>1</v>
      </c>
      <c r="X31" s="116">
        <v>1</v>
      </c>
      <c r="Y31" s="116">
        <v>1</v>
      </c>
      <c r="Z31" s="116">
        <v>1</v>
      </c>
      <c r="AA31" s="116">
        <v>1</v>
      </c>
      <c r="AB31" s="116">
        <v>1</v>
      </c>
      <c r="AC31" s="116">
        <v>1</v>
      </c>
      <c r="AD31" s="116">
        <v>1</v>
      </c>
      <c r="AE31" s="116">
        <v>1</v>
      </c>
      <c r="AF31" s="116">
        <v>0</v>
      </c>
      <c r="AG31" s="116">
        <v>1</v>
      </c>
      <c r="AH31" s="116">
        <v>0</v>
      </c>
      <c r="AI31" s="116">
        <v>1</v>
      </c>
      <c r="AJ31" s="116">
        <v>0</v>
      </c>
      <c r="AK31" s="116">
        <v>1</v>
      </c>
      <c r="AL31" s="116">
        <v>1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  <c r="AZ31" s="116">
        <v>0</v>
      </c>
    </row>
    <row r="32" spans="1:52" x14ac:dyDescent="0.15">
      <c r="A32" s="166" t="s">
        <v>222</v>
      </c>
      <c r="B32" s="116">
        <v>0</v>
      </c>
      <c r="C32" s="116">
        <v>1</v>
      </c>
      <c r="D32" s="116">
        <v>1</v>
      </c>
      <c r="E32" s="116">
        <v>1</v>
      </c>
      <c r="F32" s="116">
        <v>0</v>
      </c>
      <c r="G32" s="116">
        <v>0</v>
      </c>
      <c r="H32" s="116">
        <v>1</v>
      </c>
      <c r="I32" s="116">
        <v>0</v>
      </c>
      <c r="J32" s="116">
        <v>1</v>
      </c>
      <c r="K32" s="116">
        <v>1</v>
      </c>
      <c r="L32" s="116">
        <v>1</v>
      </c>
      <c r="M32" s="116">
        <v>1</v>
      </c>
      <c r="N32" s="116">
        <v>0</v>
      </c>
      <c r="O32" s="116">
        <v>1</v>
      </c>
      <c r="P32" s="116">
        <v>1</v>
      </c>
      <c r="Q32" s="116">
        <v>0</v>
      </c>
      <c r="R32" s="116">
        <v>0</v>
      </c>
      <c r="S32" s="116">
        <v>1</v>
      </c>
      <c r="T32" s="116">
        <v>1</v>
      </c>
      <c r="U32" s="116">
        <v>1</v>
      </c>
      <c r="V32" s="116">
        <v>1</v>
      </c>
      <c r="W32" s="116">
        <v>1</v>
      </c>
      <c r="X32" s="116">
        <v>1</v>
      </c>
      <c r="Y32" s="116">
        <v>1</v>
      </c>
      <c r="Z32" s="116">
        <v>1</v>
      </c>
      <c r="AA32" s="116">
        <v>1</v>
      </c>
      <c r="AB32" s="116">
        <v>1</v>
      </c>
      <c r="AC32" s="116">
        <v>1</v>
      </c>
      <c r="AD32" s="116">
        <v>1</v>
      </c>
      <c r="AE32" s="116">
        <v>1</v>
      </c>
      <c r="AF32" s="116">
        <v>0</v>
      </c>
      <c r="AG32" s="116">
        <v>0</v>
      </c>
      <c r="AH32" s="116">
        <v>0</v>
      </c>
      <c r="AI32" s="116">
        <v>1</v>
      </c>
      <c r="AJ32" s="116">
        <v>0</v>
      </c>
      <c r="AK32" s="116">
        <v>0</v>
      </c>
      <c r="AL32" s="116">
        <v>1</v>
      </c>
      <c r="AM32" s="116">
        <v>0</v>
      </c>
      <c r="AN32" s="116">
        <v>0</v>
      </c>
      <c r="AO32" s="116">
        <v>0</v>
      </c>
      <c r="AP32" s="116">
        <v>0</v>
      </c>
      <c r="AQ32" s="116">
        <v>0</v>
      </c>
      <c r="AR32" s="116">
        <v>0</v>
      </c>
      <c r="AS32" s="116">
        <v>0</v>
      </c>
      <c r="AT32" s="116">
        <v>0</v>
      </c>
      <c r="AU32" s="116">
        <v>0</v>
      </c>
      <c r="AV32" s="116">
        <v>0</v>
      </c>
      <c r="AW32" s="116">
        <v>0</v>
      </c>
      <c r="AX32" s="116">
        <v>0</v>
      </c>
      <c r="AY32" s="116">
        <v>0</v>
      </c>
      <c r="AZ32" s="116">
        <v>0</v>
      </c>
    </row>
    <row r="33" spans="1:52" x14ac:dyDescent="0.15">
      <c r="A33" s="166" t="s">
        <v>223</v>
      </c>
      <c r="B33" s="116">
        <v>0</v>
      </c>
      <c r="C33" s="116">
        <v>0</v>
      </c>
      <c r="D33" s="116">
        <v>1</v>
      </c>
      <c r="E33" s="116">
        <v>1</v>
      </c>
      <c r="F33" s="116">
        <v>1</v>
      </c>
      <c r="G33" s="116">
        <v>0</v>
      </c>
      <c r="H33" s="116">
        <v>1</v>
      </c>
      <c r="I33" s="116">
        <v>0</v>
      </c>
      <c r="J33" s="116">
        <v>1</v>
      </c>
      <c r="K33" s="116">
        <v>1</v>
      </c>
      <c r="L33" s="116">
        <v>1</v>
      </c>
      <c r="M33" s="116">
        <v>1</v>
      </c>
      <c r="N33" s="116">
        <v>1</v>
      </c>
      <c r="O33" s="116">
        <v>1</v>
      </c>
      <c r="P33" s="116">
        <v>0</v>
      </c>
      <c r="Q33" s="116">
        <v>0</v>
      </c>
      <c r="R33" s="116">
        <v>0</v>
      </c>
      <c r="S33" s="116">
        <v>1</v>
      </c>
      <c r="T33" s="116">
        <v>1</v>
      </c>
      <c r="U33" s="116">
        <v>0</v>
      </c>
      <c r="V33" s="116">
        <v>1</v>
      </c>
      <c r="W33" s="116">
        <v>0</v>
      </c>
      <c r="X33" s="116">
        <v>0</v>
      </c>
      <c r="Y33" s="116">
        <v>0</v>
      </c>
      <c r="Z33" s="116">
        <v>0</v>
      </c>
      <c r="AA33" s="116">
        <v>1</v>
      </c>
      <c r="AB33" s="116">
        <v>1</v>
      </c>
      <c r="AC33" s="116">
        <v>1</v>
      </c>
      <c r="AD33" s="116">
        <v>0</v>
      </c>
      <c r="AE33" s="116">
        <v>0</v>
      </c>
      <c r="AF33" s="116">
        <v>0</v>
      </c>
      <c r="AG33" s="116">
        <v>1</v>
      </c>
      <c r="AH33" s="116">
        <v>0</v>
      </c>
      <c r="AI33" s="116">
        <v>0</v>
      </c>
      <c r="AJ33" s="116">
        <v>0</v>
      </c>
      <c r="AK33" s="116">
        <v>0</v>
      </c>
      <c r="AL33" s="116">
        <v>1</v>
      </c>
      <c r="AM33" s="116">
        <v>0</v>
      </c>
      <c r="AN33" s="116">
        <v>0</v>
      </c>
      <c r="AO33" s="116">
        <v>0</v>
      </c>
      <c r="AP33" s="116">
        <v>0</v>
      </c>
      <c r="AQ33" s="116">
        <v>0</v>
      </c>
      <c r="AR33" s="116">
        <v>0</v>
      </c>
      <c r="AS33" s="116">
        <v>0</v>
      </c>
      <c r="AT33" s="116">
        <v>0</v>
      </c>
      <c r="AU33" s="116">
        <v>0</v>
      </c>
      <c r="AV33" s="116">
        <v>0</v>
      </c>
      <c r="AW33" s="116">
        <v>0</v>
      </c>
      <c r="AX33" s="116">
        <v>0</v>
      </c>
      <c r="AY33" s="116">
        <v>0</v>
      </c>
      <c r="AZ33" s="116">
        <v>0</v>
      </c>
    </row>
    <row r="34" spans="1:52" x14ac:dyDescent="0.15">
      <c r="A34" s="166" t="s">
        <v>224</v>
      </c>
      <c r="B34" s="116">
        <v>0</v>
      </c>
      <c r="C34" s="116">
        <v>1</v>
      </c>
      <c r="D34" s="116">
        <v>1</v>
      </c>
      <c r="E34" s="116">
        <v>1</v>
      </c>
      <c r="F34" s="116">
        <v>1</v>
      </c>
      <c r="G34" s="116">
        <v>0</v>
      </c>
      <c r="H34" s="116">
        <v>1</v>
      </c>
      <c r="I34" s="116">
        <v>0</v>
      </c>
      <c r="J34" s="116">
        <v>1</v>
      </c>
      <c r="K34" s="116">
        <v>1</v>
      </c>
      <c r="L34" s="116">
        <v>0</v>
      </c>
      <c r="M34" s="116">
        <v>0</v>
      </c>
      <c r="N34" s="116">
        <v>0</v>
      </c>
      <c r="O34" s="116">
        <v>0</v>
      </c>
      <c r="P34" s="116">
        <v>0</v>
      </c>
      <c r="Q34" s="116">
        <v>0</v>
      </c>
      <c r="R34" s="116">
        <v>0</v>
      </c>
      <c r="S34" s="116">
        <v>0</v>
      </c>
      <c r="T34" s="116">
        <v>1</v>
      </c>
      <c r="U34" s="116">
        <v>0</v>
      </c>
      <c r="V34" s="116">
        <v>1</v>
      </c>
      <c r="W34" s="116">
        <v>0</v>
      </c>
      <c r="X34" s="116">
        <v>0</v>
      </c>
      <c r="Y34" s="116">
        <v>1</v>
      </c>
      <c r="Z34" s="116">
        <v>0</v>
      </c>
      <c r="AA34" s="116">
        <v>1</v>
      </c>
      <c r="AB34" s="116">
        <v>1</v>
      </c>
      <c r="AC34" s="116">
        <v>1</v>
      </c>
      <c r="AD34" s="116">
        <v>1</v>
      </c>
      <c r="AE34" s="116">
        <v>0</v>
      </c>
      <c r="AF34" s="116">
        <v>0</v>
      </c>
      <c r="AG34" s="116">
        <v>0</v>
      </c>
      <c r="AH34" s="116">
        <v>0</v>
      </c>
      <c r="AI34" s="116">
        <v>1</v>
      </c>
      <c r="AJ34" s="116">
        <v>0</v>
      </c>
      <c r="AK34" s="116">
        <v>0</v>
      </c>
      <c r="AL34" s="116">
        <v>1</v>
      </c>
      <c r="AM34" s="116">
        <v>0</v>
      </c>
      <c r="AN34" s="116">
        <v>0</v>
      </c>
      <c r="AO34" s="116">
        <v>0</v>
      </c>
      <c r="AP34" s="116">
        <v>0</v>
      </c>
      <c r="AQ34" s="116">
        <v>0</v>
      </c>
      <c r="AR34" s="116">
        <v>0</v>
      </c>
      <c r="AS34" s="116">
        <v>0</v>
      </c>
      <c r="AT34" s="116">
        <v>0</v>
      </c>
      <c r="AU34" s="116">
        <v>0</v>
      </c>
      <c r="AV34" s="116">
        <v>0</v>
      </c>
      <c r="AW34" s="116">
        <v>0</v>
      </c>
      <c r="AX34" s="116">
        <v>0</v>
      </c>
      <c r="AY34" s="116">
        <v>0</v>
      </c>
      <c r="AZ34" s="116">
        <v>0</v>
      </c>
    </row>
    <row r="35" spans="1:52" x14ac:dyDescent="0.15">
      <c r="A35" s="166" t="s">
        <v>225</v>
      </c>
      <c r="B35" s="116">
        <v>0</v>
      </c>
      <c r="C35" s="116">
        <v>0</v>
      </c>
      <c r="D35" s="116">
        <v>1</v>
      </c>
      <c r="E35" s="116">
        <v>0</v>
      </c>
      <c r="F35" s="116">
        <v>1</v>
      </c>
      <c r="G35" s="116">
        <v>0</v>
      </c>
      <c r="H35" s="116">
        <v>1</v>
      </c>
      <c r="I35" s="116">
        <v>0</v>
      </c>
      <c r="J35" s="116">
        <v>0</v>
      </c>
      <c r="K35" s="116">
        <v>0</v>
      </c>
      <c r="L35" s="116">
        <v>0</v>
      </c>
      <c r="M35" s="116">
        <v>0</v>
      </c>
      <c r="N35" s="116">
        <v>1</v>
      </c>
      <c r="O35" s="116">
        <v>0</v>
      </c>
      <c r="P35" s="116">
        <v>0</v>
      </c>
      <c r="Q35" s="116">
        <v>0</v>
      </c>
      <c r="R35" s="116">
        <v>0</v>
      </c>
      <c r="S35" s="116">
        <v>0</v>
      </c>
      <c r="T35" s="116">
        <v>0</v>
      </c>
      <c r="U35" s="116">
        <v>0</v>
      </c>
      <c r="V35" s="116">
        <v>0</v>
      </c>
      <c r="W35" s="116">
        <v>0</v>
      </c>
      <c r="X35" s="116">
        <v>0</v>
      </c>
      <c r="Y35" s="116">
        <v>0</v>
      </c>
      <c r="Z35" s="116">
        <v>0</v>
      </c>
      <c r="AA35" s="116">
        <v>0</v>
      </c>
      <c r="AB35" s="116">
        <v>0</v>
      </c>
      <c r="AC35" s="116">
        <v>0</v>
      </c>
      <c r="AD35" s="116">
        <v>0</v>
      </c>
      <c r="AE35" s="116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116">
        <v>0</v>
      </c>
      <c r="AO35" s="116">
        <v>0</v>
      </c>
      <c r="AP35" s="116">
        <v>0</v>
      </c>
      <c r="AQ35" s="116">
        <v>0</v>
      </c>
      <c r="AR35" s="116">
        <v>0</v>
      </c>
      <c r="AS35" s="116">
        <v>0</v>
      </c>
      <c r="AT35" s="116">
        <v>0</v>
      </c>
      <c r="AU35" s="116">
        <v>0</v>
      </c>
      <c r="AV35" s="116">
        <v>0</v>
      </c>
      <c r="AW35" s="116">
        <v>0</v>
      </c>
      <c r="AX35" s="116">
        <v>0</v>
      </c>
      <c r="AY35" s="116">
        <v>0</v>
      </c>
      <c r="AZ35" s="116">
        <v>0</v>
      </c>
    </row>
    <row r="36" spans="1:52" x14ac:dyDescent="0.15">
      <c r="A36" s="166" t="s">
        <v>226</v>
      </c>
      <c r="B36" s="116">
        <v>0</v>
      </c>
      <c r="C36" s="116">
        <v>1</v>
      </c>
      <c r="D36" s="116">
        <v>1</v>
      </c>
      <c r="E36" s="116">
        <v>1</v>
      </c>
      <c r="F36" s="116">
        <v>1</v>
      </c>
      <c r="G36" s="116">
        <v>0</v>
      </c>
      <c r="H36" s="116">
        <v>1</v>
      </c>
      <c r="I36" s="116">
        <v>0</v>
      </c>
      <c r="J36" s="116">
        <v>1</v>
      </c>
      <c r="K36" s="116">
        <v>0</v>
      </c>
      <c r="L36" s="116">
        <v>0</v>
      </c>
      <c r="M36" s="116">
        <v>0</v>
      </c>
      <c r="N36" s="116">
        <v>0</v>
      </c>
      <c r="O36" s="116">
        <v>0</v>
      </c>
      <c r="P36" s="116">
        <v>0</v>
      </c>
      <c r="Q36" s="116">
        <v>0</v>
      </c>
      <c r="R36" s="116">
        <v>0</v>
      </c>
      <c r="S36" s="116">
        <v>0</v>
      </c>
      <c r="T36" s="116">
        <v>1</v>
      </c>
      <c r="U36" s="116">
        <v>0</v>
      </c>
      <c r="V36" s="116">
        <v>0</v>
      </c>
      <c r="W36" s="116">
        <v>1</v>
      </c>
      <c r="X36" s="116">
        <v>1</v>
      </c>
      <c r="Y36" s="116">
        <v>1</v>
      </c>
      <c r="Z36" s="116">
        <v>1</v>
      </c>
      <c r="AA36" s="116">
        <v>1</v>
      </c>
      <c r="AB36" s="116">
        <v>1</v>
      </c>
      <c r="AC36" s="116">
        <v>0</v>
      </c>
      <c r="AD36" s="116">
        <v>0</v>
      </c>
      <c r="AE36" s="116">
        <v>0</v>
      </c>
      <c r="AF36" s="116">
        <v>0</v>
      </c>
      <c r="AG36" s="116">
        <v>0</v>
      </c>
      <c r="AH36" s="116">
        <v>0</v>
      </c>
      <c r="AI36" s="116">
        <v>1</v>
      </c>
      <c r="AJ36" s="116">
        <v>0</v>
      </c>
      <c r="AK36" s="116">
        <v>0</v>
      </c>
      <c r="AL36" s="116">
        <v>0</v>
      </c>
      <c r="AM36" s="116">
        <v>0</v>
      </c>
      <c r="AN36" s="116">
        <v>0</v>
      </c>
      <c r="AO36" s="116">
        <v>0</v>
      </c>
      <c r="AP36" s="116">
        <v>0</v>
      </c>
      <c r="AQ36" s="116">
        <v>0</v>
      </c>
      <c r="AR36" s="116">
        <v>0</v>
      </c>
      <c r="AS36" s="116">
        <v>0</v>
      </c>
      <c r="AT36" s="116">
        <v>0</v>
      </c>
      <c r="AU36" s="116">
        <v>0</v>
      </c>
      <c r="AV36" s="116">
        <v>0</v>
      </c>
      <c r="AW36" s="116">
        <v>0</v>
      </c>
      <c r="AX36" s="116">
        <v>0</v>
      </c>
      <c r="AY36" s="116">
        <v>0</v>
      </c>
      <c r="AZ36" s="116">
        <v>0</v>
      </c>
    </row>
    <row r="37" spans="1:52" x14ac:dyDescent="0.15">
      <c r="A37" s="166" t="s">
        <v>227</v>
      </c>
      <c r="B37" s="116">
        <v>0</v>
      </c>
      <c r="C37" s="116">
        <v>1</v>
      </c>
      <c r="D37" s="116">
        <v>1</v>
      </c>
      <c r="E37" s="116">
        <v>1</v>
      </c>
      <c r="F37" s="116">
        <v>0</v>
      </c>
      <c r="G37" s="116">
        <v>0</v>
      </c>
      <c r="H37" s="116">
        <v>1</v>
      </c>
      <c r="I37" s="116">
        <v>0</v>
      </c>
      <c r="J37" s="116">
        <v>1</v>
      </c>
      <c r="K37" s="116">
        <v>1</v>
      </c>
      <c r="L37" s="116">
        <v>0</v>
      </c>
      <c r="M37" s="116">
        <v>0</v>
      </c>
      <c r="N37" s="116">
        <v>1</v>
      </c>
      <c r="O37" s="116">
        <v>1</v>
      </c>
      <c r="P37" s="116">
        <v>0</v>
      </c>
      <c r="Q37" s="116">
        <v>0</v>
      </c>
      <c r="R37" s="116">
        <v>0</v>
      </c>
      <c r="S37" s="116">
        <v>1</v>
      </c>
      <c r="T37" s="116">
        <v>1</v>
      </c>
      <c r="U37" s="116">
        <v>1</v>
      </c>
      <c r="V37" s="116">
        <v>0</v>
      </c>
      <c r="W37" s="116">
        <v>1</v>
      </c>
      <c r="X37" s="116">
        <v>1</v>
      </c>
      <c r="Y37" s="116">
        <v>1</v>
      </c>
      <c r="Z37" s="116">
        <v>1</v>
      </c>
      <c r="AA37" s="116">
        <v>0</v>
      </c>
      <c r="AB37" s="116">
        <v>0</v>
      </c>
      <c r="AC37" s="116">
        <v>0</v>
      </c>
      <c r="AD37" s="116">
        <v>1</v>
      </c>
      <c r="AE37" s="116">
        <v>0</v>
      </c>
      <c r="AF37" s="116">
        <v>0</v>
      </c>
      <c r="AG37" s="116">
        <v>0</v>
      </c>
      <c r="AH37" s="116">
        <v>0</v>
      </c>
      <c r="AI37" s="116">
        <v>1</v>
      </c>
      <c r="AJ37" s="116">
        <v>0</v>
      </c>
      <c r="AK37" s="116">
        <v>1</v>
      </c>
      <c r="AL37" s="116">
        <v>1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  <c r="AZ37" s="116">
        <v>0</v>
      </c>
    </row>
    <row r="38" spans="1:52" x14ac:dyDescent="0.15">
      <c r="A38" s="166" t="s">
        <v>228</v>
      </c>
      <c r="B38" s="116">
        <v>0</v>
      </c>
      <c r="C38" s="116">
        <v>0</v>
      </c>
      <c r="D38" s="116">
        <v>1</v>
      </c>
      <c r="E38" s="116">
        <v>1</v>
      </c>
      <c r="F38" s="116">
        <v>1</v>
      </c>
      <c r="G38" s="116">
        <v>0</v>
      </c>
      <c r="H38" s="116">
        <v>1</v>
      </c>
      <c r="I38" s="116">
        <v>0</v>
      </c>
      <c r="J38" s="116">
        <v>1</v>
      </c>
      <c r="K38" s="116">
        <v>0</v>
      </c>
      <c r="L38" s="116">
        <v>0</v>
      </c>
      <c r="M38" s="116">
        <v>0</v>
      </c>
      <c r="N38" s="116">
        <v>1</v>
      </c>
      <c r="O38" s="116">
        <v>0</v>
      </c>
      <c r="P38" s="116">
        <v>0</v>
      </c>
      <c r="Q38" s="116">
        <v>0</v>
      </c>
      <c r="R38" s="116">
        <v>0</v>
      </c>
      <c r="S38" s="116">
        <v>1</v>
      </c>
      <c r="T38" s="116">
        <v>1</v>
      </c>
      <c r="U38" s="116">
        <v>0</v>
      </c>
      <c r="V38" s="116">
        <v>0</v>
      </c>
      <c r="W38" s="116">
        <v>1</v>
      </c>
      <c r="X38" s="116">
        <v>1</v>
      </c>
      <c r="Y38" s="116">
        <v>1</v>
      </c>
      <c r="Z38" s="116">
        <v>1</v>
      </c>
      <c r="AA38" s="116">
        <v>0</v>
      </c>
      <c r="AB38" s="116">
        <v>0</v>
      </c>
      <c r="AC38" s="116">
        <v>1</v>
      </c>
      <c r="AD38" s="116">
        <v>0</v>
      </c>
      <c r="AE38" s="116">
        <v>0</v>
      </c>
      <c r="AF38" s="116">
        <v>0</v>
      </c>
      <c r="AG38" s="116">
        <v>0</v>
      </c>
      <c r="AH38" s="116">
        <v>0</v>
      </c>
      <c r="AI38" s="116">
        <v>1</v>
      </c>
      <c r="AJ38" s="116">
        <v>0</v>
      </c>
      <c r="AK38" s="116">
        <v>0</v>
      </c>
      <c r="AL38" s="116">
        <v>0</v>
      </c>
      <c r="AM38" s="116">
        <v>0</v>
      </c>
      <c r="AN38" s="116">
        <v>0</v>
      </c>
      <c r="AO38" s="116">
        <v>0</v>
      </c>
      <c r="AP38" s="116">
        <v>0</v>
      </c>
      <c r="AQ38" s="116">
        <v>0</v>
      </c>
      <c r="AR38" s="116">
        <v>0</v>
      </c>
      <c r="AS38" s="116">
        <v>0</v>
      </c>
      <c r="AT38" s="116">
        <v>0</v>
      </c>
      <c r="AU38" s="116">
        <v>0</v>
      </c>
      <c r="AV38" s="116">
        <v>0</v>
      </c>
      <c r="AW38" s="116">
        <v>0</v>
      </c>
      <c r="AX38" s="116">
        <v>0</v>
      </c>
      <c r="AY38" s="116">
        <v>0</v>
      </c>
      <c r="AZ38" s="116">
        <v>0</v>
      </c>
    </row>
    <row r="39" spans="1:52" x14ac:dyDescent="0.15">
      <c r="A39" s="166" t="s">
        <v>229</v>
      </c>
      <c r="B39" s="116">
        <v>0</v>
      </c>
      <c r="C39" s="116">
        <v>1</v>
      </c>
      <c r="D39" s="116">
        <v>0</v>
      </c>
      <c r="E39" s="116">
        <v>1</v>
      </c>
      <c r="F39" s="116">
        <v>1</v>
      </c>
      <c r="G39" s="116">
        <v>0</v>
      </c>
      <c r="H39" s="116">
        <v>1</v>
      </c>
      <c r="I39" s="116">
        <v>0</v>
      </c>
      <c r="J39" s="116">
        <v>1</v>
      </c>
      <c r="K39" s="116">
        <v>1</v>
      </c>
      <c r="L39" s="116">
        <v>1</v>
      </c>
      <c r="M39" s="116">
        <v>1</v>
      </c>
      <c r="N39" s="116">
        <v>1</v>
      </c>
      <c r="O39" s="116">
        <v>1</v>
      </c>
      <c r="P39" s="116">
        <v>0</v>
      </c>
      <c r="Q39" s="116">
        <v>0</v>
      </c>
      <c r="R39" s="116">
        <v>0</v>
      </c>
      <c r="S39" s="116">
        <v>1</v>
      </c>
      <c r="T39" s="116">
        <v>1</v>
      </c>
      <c r="U39" s="116">
        <v>1</v>
      </c>
      <c r="V39" s="116">
        <v>0</v>
      </c>
      <c r="W39" s="116">
        <v>0</v>
      </c>
      <c r="X39" s="116">
        <v>0</v>
      </c>
      <c r="Y39" s="116">
        <v>1</v>
      </c>
      <c r="Z39" s="116">
        <v>1</v>
      </c>
      <c r="AA39" s="116">
        <v>0</v>
      </c>
      <c r="AB39" s="116">
        <v>1</v>
      </c>
      <c r="AC39" s="116">
        <v>1</v>
      </c>
      <c r="AD39" s="116">
        <v>1</v>
      </c>
      <c r="AE39" s="116">
        <v>0</v>
      </c>
      <c r="AF39" s="116">
        <v>0</v>
      </c>
      <c r="AG39" s="116">
        <v>0</v>
      </c>
      <c r="AH39" s="116">
        <v>0</v>
      </c>
      <c r="AI39" s="116">
        <v>1</v>
      </c>
      <c r="AJ39" s="116">
        <v>0</v>
      </c>
      <c r="AK39" s="116">
        <v>1</v>
      </c>
      <c r="AL39" s="116">
        <v>1</v>
      </c>
      <c r="AM39" s="116">
        <v>0</v>
      </c>
      <c r="AN39" s="116">
        <v>0</v>
      </c>
      <c r="AO39" s="116">
        <v>0</v>
      </c>
      <c r="AP39" s="116">
        <v>0</v>
      </c>
      <c r="AQ39" s="116">
        <v>0</v>
      </c>
      <c r="AR39" s="116">
        <v>0</v>
      </c>
      <c r="AS39" s="116">
        <v>0</v>
      </c>
      <c r="AT39" s="116">
        <v>0</v>
      </c>
      <c r="AU39" s="116">
        <v>0</v>
      </c>
      <c r="AV39" s="116">
        <v>0</v>
      </c>
      <c r="AW39" s="116">
        <v>0</v>
      </c>
      <c r="AX39" s="116">
        <v>0</v>
      </c>
      <c r="AY39" s="116">
        <v>0</v>
      </c>
      <c r="AZ39" s="116">
        <v>0</v>
      </c>
    </row>
    <row r="40" spans="1:52" x14ac:dyDescent="0.15">
      <c r="A40" s="166" t="s">
        <v>230</v>
      </c>
      <c r="B40" s="116">
        <v>0</v>
      </c>
      <c r="C40" s="116">
        <v>0</v>
      </c>
      <c r="D40" s="116">
        <v>1</v>
      </c>
      <c r="E40" s="116">
        <v>1</v>
      </c>
      <c r="F40" s="116">
        <v>1</v>
      </c>
      <c r="G40" s="116">
        <v>0</v>
      </c>
      <c r="H40" s="116">
        <v>0</v>
      </c>
      <c r="I40" s="116">
        <v>0</v>
      </c>
      <c r="J40" s="116">
        <v>1</v>
      </c>
      <c r="K40" s="116">
        <v>0</v>
      </c>
      <c r="L40" s="116">
        <v>0</v>
      </c>
      <c r="M40" s="116">
        <v>0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  <c r="T40" s="116">
        <v>0</v>
      </c>
      <c r="U40" s="116">
        <v>0</v>
      </c>
      <c r="V40" s="116">
        <v>0</v>
      </c>
      <c r="W40" s="116">
        <v>0</v>
      </c>
      <c r="X40" s="116">
        <v>0</v>
      </c>
      <c r="Y40" s="116">
        <v>0</v>
      </c>
      <c r="Z40" s="116">
        <v>0</v>
      </c>
      <c r="AA40" s="116">
        <v>0</v>
      </c>
      <c r="AB40" s="116">
        <v>0</v>
      </c>
      <c r="AC40" s="116">
        <v>0</v>
      </c>
      <c r="AD40" s="116">
        <v>0</v>
      </c>
      <c r="AE40" s="116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116">
        <v>0</v>
      </c>
      <c r="AO40" s="116">
        <v>0</v>
      </c>
      <c r="AP40" s="116">
        <v>0</v>
      </c>
      <c r="AQ40" s="116">
        <v>0</v>
      </c>
      <c r="AR40" s="116">
        <v>0</v>
      </c>
      <c r="AS40" s="116">
        <v>0</v>
      </c>
      <c r="AT40" s="116">
        <v>0</v>
      </c>
      <c r="AU40" s="116">
        <v>0</v>
      </c>
      <c r="AV40" s="116">
        <v>0</v>
      </c>
      <c r="AW40" s="116">
        <v>0</v>
      </c>
      <c r="AX40" s="116">
        <v>0</v>
      </c>
      <c r="AY40" s="116">
        <v>0</v>
      </c>
      <c r="AZ40" s="116">
        <v>0</v>
      </c>
    </row>
    <row r="41" spans="1:52" x14ac:dyDescent="0.15">
      <c r="A41" s="166" t="s">
        <v>231</v>
      </c>
      <c r="B41" s="116">
        <v>1</v>
      </c>
      <c r="C41" s="116">
        <v>0</v>
      </c>
      <c r="D41" s="116">
        <v>0</v>
      </c>
      <c r="E41" s="116">
        <v>1</v>
      </c>
      <c r="F41" s="116">
        <v>0</v>
      </c>
      <c r="G41" s="116">
        <v>0</v>
      </c>
      <c r="H41" s="116">
        <v>0</v>
      </c>
      <c r="I41" s="116">
        <v>0</v>
      </c>
      <c r="J41" s="116">
        <v>1</v>
      </c>
      <c r="K41" s="116">
        <v>1</v>
      </c>
      <c r="L41" s="116">
        <v>1</v>
      </c>
      <c r="M41" s="116">
        <v>1</v>
      </c>
      <c r="N41" s="116">
        <v>0</v>
      </c>
      <c r="O41" s="116">
        <v>0</v>
      </c>
      <c r="P41" s="116">
        <v>0</v>
      </c>
      <c r="Q41" s="116">
        <v>1</v>
      </c>
      <c r="R41" s="116">
        <v>1</v>
      </c>
      <c r="S41" s="116">
        <v>1</v>
      </c>
      <c r="T41" s="116">
        <v>0</v>
      </c>
      <c r="U41" s="116">
        <v>0</v>
      </c>
      <c r="V41" s="116">
        <v>0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0</v>
      </c>
      <c r="AC41" s="116">
        <v>1</v>
      </c>
      <c r="AD41" s="116">
        <v>0</v>
      </c>
      <c r="AE41" s="116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116">
        <v>1</v>
      </c>
      <c r="AO41" s="116">
        <v>0</v>
      </c>
      <c r="AP41" s="116">
        <v>1</v>
      </c>
      <c r="AQ41" s="116">
        <v>0</v>
      </c>
      <c r="AR41" s="116">
        <v>0</v>
      </c>
      <c r="AS41" s="116">
        <v>0</v>
      </c>
      <c r="AT41" s="116">
        <v>0</v>
      </c>
      <c r="AU41" s="116">
        <v>0</v>
      </c>
      <c r="AV41" s="116">
        <v>0</v>
      </c>
      <c r="AW41" s="116">
        <v>0</v>
      </c>
      <c r="AX41" s="116">
        <v>0</v>
      </c>
      <c r="AY41" s="116">
        <v>0</v>
      </c>
      <c r="AZ41" s="116">
        <v>0</v>
      </c>
    </row>
    <row r="42" spans="1:52" x14ac:dyDescent="0.15">
      <c r="A42" s="166" t="s">
        <v>232</v>
      </c>
      <c r="B42" s="116">
        <v>1</v>
      </c>
      <c r="C42" s="116">
        <v>0</v>
      </c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1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1</v>
      </c>
      <c r="T42" s="116">
        <v>0</v>
      </c>
      <c r="U42" s="116">
        <v>0</v>
      </c>
      <c r="V42" s="116">
        <v>0</v>
      </c>
      <c r="W42" s="116">
        <v>1</v>
      </c>
      <c r="X42" s="116">
        <v>0</v>
      </c>
      <c r="Y42" s="116">
        <v>1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16">
        <v>0</v>
      </c>
    </row>
    <row r="43" spans="1:52" x14ac:dyDescent="0.15">
      <c r="A43" s="166" t="s">
        <v>233</v>
      </c>
      <c r="B43" s="116">
        <v>1</v>
      </c>
      <c r="C43" s="116">
        <v>0</v>
      </c>
      <c r="D43" s="116">
        <v>0</v>
      </c>
      <c r="E43" s="116">
        <v>1</v>
      </c>
      <c r="F43" s="116">
        <v>0</v>
      </c>
      <c r="G43" s="116">
        <v>0</v>
      </c>
      <c r="H43" s="116">
        <v>1</v>
      </c>
      <c r="I43" s="116">
        <v>0</v>
      </c>
      <c r="J43" s="116">
        <v>1</v>
      </c>
      <c r="K43" s="116">
        <v>1</v>
      </c>
      <c r="L43" s="116">
        <v>1</v>
      </c>
      <c r="M43" s="116">
        <v>1</v>
      </c>
      <c r="N43" s="116">
        <v>1</v>
      </c>
      <c r="O43" s="116">
        <v>1</v>
      </c>
      <c r="P43" s="116">
        <v>0</v>
      </c>
      <c r="Q43" s="116">
        <v>1</v>
      </c>
      <c r="R43" s="116">
        <v>0</v>
      </c>
      <c r="S43" s="116">
        <v>1</v>
      </c>
      <c r="T43" s="116">
        <v>1</v>
      </c>
      <c r="U43" s="116">
        <v>1</v>
      </c>
      <c r="V43" s="116">
        <v>0</v>
      </c>
      <c r="W43" s="116">
        <v>1</v>
      </c>
      <c r="X43" s="116">
        <v>1</v>
      </c>
      <c r="Y43" s="116">
        <v>1</v>
      </c>
      <c r="Z43" s="116">
        <v>1</v>
      </c>
      <c r="AA43" s="116">
        <v>1</v>
      </c>
      <c r="AB43" s="116">
        <v>1</v>
      </c>
      <c r="AC43" s="116">
        <v>1</v>
      </c>
      <c r="AD43" s="116">
        <v>1</v>
      </c>
      <c r="AE43" s="116">
        <v>0</v>
      </c>
      <c r="AF43" s="116">
        <v>0</v>
      </c>
      <c r="AG43" s="116">
        <v>0</v>
      </c>
      <c r="AH43" s="116">
        <v>0</v>
      </c>
      <c r="AI43" s="116">
        <v>1</v>
      </c>
      <c r="AJ43" s="116">
        <v>0</v>
      </c>
      <c r="AK43" s="116">
        <v>0</v>
      </c>
      <c r="AL43" s="116">
        <v>0</v>
      </c>
      <c r="AM43" s="116">
        <v>0</v>
      </c>
      <c r="AN43" s="116">
        <v>1</v>
      </c>
      <c r="AO43" s="116">
        <v>1</v>
      </c>
      <c r="AP43" s="116">
        <v>1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16">
        <v>0</v>
      </c>
    </row>
    <row r="44" spans="1:52" x14ac:dyDescent="0.15">
      <c r="A44" s="166" t="s">
        <v>234</v>
      </c>
      <c r="B44" s="116">
        <v>1</v>
      </c>
      <c r="C44" s="116">
        <v>0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1</v>
      </c>
      <c r="K44" s="116">
        <v>1</v>
      </c>
      <c r="L44" s="116">
        <v>1</v>
      </c>
      <c r="M44" s="116">
        <v>1</v>
      </c>
      <c r="N44" s="116">
        <v>0</v>
      </c>
      <c r="O44" s="116">
        <v>1</v>
      </c>
      <c r="P44" s="116">
        <v>1</v>
      </c>
      <c r="Q44" s="116">
        <v>1</v>
      </c>
      <c r="R44" s="116">
        <v>1</v>
      </c>
      <c r="S44" s="116">
        <v>1</v>
      </c>
      <c r="T44" s="116">
        <v>0</v>
      </c>
      <c r="U44" s="116">
        <v>0</v>
      </c>
      <c r="V44" s="116">
        <v>0</v>
      </c>
      <c r="W44" s="116">
        <v>1</v>
      </c>
      <c r="X44" s="116">
        <v>1</v>
      </c>
      <c r="Y44" s="116">
        <v>1</v>
      </c>
      <c r="Z44" s="116">
        <v>1</v>
      </c>
      <c r="AA44" s="116">
        <v>1</v>
      </c>
      <c r="AB44" s="116">
        <v>1</v>
      </c>
      <c r="AC44" s="116">
        <v>1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1</v>
      </c>
      <c r="AO44" s="116">
        <v>1</v>
      </c>
      <c r="AP44" s="116">
        <v>1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  <c r="AZ44" s="116">
        <v>0</v>
      </c>
    </row>
    <row r="45" spans="1:52" x14ac:dyDescent="0.15">
      <c r="A45" s="166" t="s">
        <v>235</v>
      </c>
      <c r="B45" s="116">
        <v>1</v>
      </c>
      <c r="C45" s="116">
        <v>0</v>
      </c>
      <c r="D45" s="116">
        <v>0</v>
      </c>
      <c r="E45" s="116">
        <v>0</v>
      </c>
      <c r="F45" s="116">
        <v>0</v>
      </c>
      <c r="G45" s="116">
        <v>0</v>
      </c>
      <c r="H45" s="116">
        <v>0</v>
      </c>
      <c r="I45" s="116">
        <v>0</v>
      </c>
      <c r="J45" s="116">
        <v>1</v>
      </c>
      <c r="K45" s="116">
        <v>1</v>
      </c>
      <c r="L45" s="116">
        <v>1</v>
      </c>
      <c r="M45" s="116">
        <v>1</v>
      </c>
      <c r="N45" s="116">
        <v>0</v>
      </c>
      <c r="O45" s="116">
        <v>0</v>
      </c>
      <c r="P45" s="116">
        <v>1</v>
      </c>
      <c r="Q45" s="116">
        <v>1</v>
      </c>
      <c r="R45" s="116">
        <v>1</v>
      </c>
      <c r="S45" s="116">
        <v>1</v>
      </c>
      <c r="T45" s="116">
        <v>1</v>
      </c>
      <c r="U45" s="116">
        <v>0</v>
      </c>
      <c r="V45" s="116">
        <v>0</v>
      </c>
      <c r="W45" s="116">
        <v>1</v>
      </c>
      <c r="X45" s="116">
        <v>1</v>
      </c>
      <c r="Y45" s="116">
        <v>1</v>
      </c>
      <c r="Z45" s="116">
        <v>1</v>
      </c>
      <c r="AA45" s="116">
        <v>1</v>
      </c>
      <c r="AB45" s="116">
        <v>1</v>
      </c>
      <c r="AC45" s="116">
        <v>1</v>
      </c>
      <c r="AD45" s="116">
        <v>0</v>
      </c>
      <c r="AE45" s="116">
        <v>0</v>
      </c>
      <c r="AF45" s="116">
        <v>0</v>
      </c>
      <c r="AG45" s="116">
        <v>0</v>
      </c>
      <c r="AH45" s="116">
        <v>0</v>
      </c>
      <c r="AI45" s="116">
        <v>1</v>
      </c>
      <c r="AJ45" s="116">
        <v>0</v>
      </c>
      <c r="AK45" s="116">
        <v>0</v>
      </c>
      <c r="AL45" s="116">
        <v>0</v>
      </c>
      <c r="AM45" s="116">
        <v>0</v>
      </c>
      <c r="AN45" s="116">
        <v>1</v>
      </c>
      <c r="AO45" s="116">
        <v>1</v>
      </c>
      <c r="AP45" s="116">
        <v>1</v>
      </c>
      <c r="AQ45" s="116">
        <v>1</v>
      </c>
      <c r="AR45" s="116">
        <v>0</v>
      </c>
      <c r="AS45" s="116">
        <v>0</v>
      </c>
      <c r="AT45" s="116">
        <v>0</v>
      </c>
      <c r="AU45" s="116">
        <v>0</v>
      </c>
      <c r="AV45" s="116">
        <v>0</v>
      </c>
      <c r="AW45" s="116">
        <v>0</v>
      </c>
      <c r="AX45" s="116">
        <v>0</v>
      </c>
      <c r="AY45" s="116">
        <v>0</v>
      </c>
      <c r="AZ45" s="116">
        <v>0</v>
      </c>
    </row>
    <row r="46" spans="1:52" x14ac:dyDescent="0.15">
      <c r="A46" s="166" t="s">
        <v>236</v>
      </c>
      <c r="B46" s="116">
        <v>1</v>
      </c>
      <c r="C46" s="116">
        <v>0</v>
      </c>
      <c r="D46" s="116">
        <v>0</v>
      </c>
      <c r="E46" s="116">
        <v>1</v>
      </c>
      <c r="F46" s="116">
        <v>0</v>
      </c>
      <c r="G46" s="116">
        <v>1</v>
      </c>
      <c r="H46" s="116">
        <v>0</v>
      </c>
      <c r="I46" s="116">
        <v>0</v>
      </c>
      <c r="J46" s="116">
        <v>1</v>
      </c>
      <c r="K46" s="116">
        <v>1</v>
      </c>
      <c r="L46" s="116">
        <v>1</v>
      </c>
      <c r="M46" s="116">
        <v>1</v>
      </c>
      <c r="N46" s="116">
        <v>0</v>
      </c>
      <c r="O46" s="116">
        <v>0</v>
      </c>
      <c r="P46" s="116">
        <v>1</v>
      </c>
      <c r="Q46" s="116">
        <v>1</v>
      </c>
      <c r="R46" s="116">
        <v>1</v>
      </c>
      <c r="S46" s="116">
        <v>1</v>
      </c>
      <c r="T46" s="116">
        <v>0</v>
      </c>
      <c r="U46" s="116">
        <v>0</v>
      </c>
      <c r="V46" s="116">
        <v>0</v>
      </c>
      <c r="W46" s="116">
        <v>0</v>
      </c>
      <c r="X46" s="116">
        <v>0</v>
      </c>
      <c r="Y46" s="116">
        <v>1</v>
      </c>
      <c r="Z46" s="116">
        <v>1</v>
      </c>
      <c r="AA46" s="116">
        <v>1</v>
      </c>
      <c r="AB46" s="116">
        <v>0</v>
      </c>
      <c r="AC46" s="116">
        <v>1</v>
      </c>
      <c r="AD46" s="116">
        <v>0</v>
      </c>
      <c r="AE46" s="116">
        <v>0</v>
      </c>
      <c r="AF46" s="116">
        <v>0</v>
      </c>
      <c r="AG46" s="116">
        <v>0</v>
      </c>
      <c r="AH46" s="116">
        <v>0</v>
      </c>
      <c r="AI46" s="116">
        <v>0</v>
      </c>
      <c r="AJ46" s="116">
        <v>0</v>
      </c>
      <c r="AK46" s="116">
        <v>0</v>
      </c>
      <c r="AL46" s="116">
        <v>0</v>
      </c>
      <c r="AM46" s="116">
        <v>0</v>
      </c>
      <c r="AN46" s="116">
        <v>1</v>
      </c>
      <c r="AO46" s="116">
        <v>1</v>
      </c>
      <c r="AP46" s="116">
        <v>1</v>
      </c>
      <c r="AQ46" s="116">
        <v>0</v>
      </c>
      <c r="AR46" s="116">
        <v>0</v>
      </c>
      <c r="AS46" s="116">
        <v>0</v>
      </c>
      <c r="AT46" s="116">
        <v>0</v>
      </c>
      <c r="AU46" s="116">
        <v>0</v>
      </c>
      <c r="AV46" s="116">
        <v>0</v>
      </c>
      <c r="AW46" s="116">
        <v>0</v>
      </c>
      <c r="AX46" s="116">
        <v>0</v>
      </c>
      <c r="AY46" s="116">
        <v>0</v>
      </c>
      <c r="AZ46" s="116">
        <v>0</v>
      </c>
    </row>
    <row r="47" spans="1:52" x14ac:dyDescent="0.15">
      <c r="A47" s="166" t="s">
        <v>237</v>
      </c>
      <c r="B47" s="116">
        <v>1</v>
      </c>
      <c r="C47" s="116">
        <v>0</v>
      </c>
      <c r="D47" s="116">
        <v>0</v>
      </c>
      <c r="E47" s="116">
        <v>1</v>
      </c>
      <c r="F47" s="116">
        <v>0</v>
      </c>
      <c r="G47" s="116">
        <v>1</v>
      </c>
      <c r="H47" s="116">
        <v>0</v>
      </c>
      <c r="I47" s="116">
        <v>0</v>
      </c>
      <c r="J47" s="116">
        <v>1</v>
      </c>
      <c r="K47" s="116">
        <v>1</v>
      </c>
      <c r="L47" s="116">
        <v>1</v>
      </c>
      <c r="M47" s="116">
        <v>1</v>
      </c>
      <c r="N47" s="116">
        <v>1</v>
      </c>
      <c r="O47" s="116">
        <v>1</v>
      </c>
      <c r="P47" s="116">
        <v>1</v>
      </c>
      <c r="Q47" s="116">
        <v>1</v>
      </c>
      <c r="R47" s="116">
        <v>1</v>
      </c>
      <c r="S47" s="116">
        <v>1</v>
      </c>
      <c r="T47" s="116">
        <v>1</v>
      </c>
      <c r="U47" s="116">
        <v>0</v>
      </c>
      <c r="V47" s="116">
        <v>1</v>
      </c>
      <c r="W47" s="116">
        <v>1</v>
      </c>
      <c r="X47" s="116">
        <v>1</v>
      </c>
      <c r="Y47" s="116">
        <v>1</v>
      </c>
      <c r="Z47" s="116">
        <v>1</v>
      </c>
      <c r="AA47" s="116">
        <v>1</v>
      </c>
      <c r="AB47" s="116">
        <v>1</v>
      </c>
      <c r="AC47" s="116">
        <v>1</v>
      </c>
      <c r="AD47" s="116">
        <v>0</v>
      </c>
      <c r="AE47" s="116">
        <v>0</v>
      </c>
      <c r="AF47" s="116">
        <v>0</v>
      </c>
      <c r="AG47" s="116">
        <v>0</v>
      </c>
      <c r="AH47" s="116">
        <v>1</v>
      </c>
      <c r="AI47" s="116">
        <v>1</v>
      </c>
      <c r="AJ47" s="116">
        <v>0</v>
      </c>
      <c r="AK47" s="116">
        <v>0</v>
      </c>
      <c r="AL47" s="116">
        <v>0</v>
      </c>
      <c r="AM47" s="116">
        <v>0</v>
      </c>
      <c r="AN47" s="116">
        <v>1</v>
      </c>
      <c r="AO47" s="116">
        <v>1</v>
      </c>
      <c r="AP47" s="116">
        <v>1</v>
      </c>
      <c r="AQ47" s="116">
        <v>1</v>
      </c>
      <c r="AR47" s="116">
        <v>0</v>
      </c>
      <c r="AS47" s="116">
        <v>0</v>
      </c>
      <c r="AT47" s="116">
        <v>0</v>
      </c>
      <c r="AU47" s="116">
        <v>0</v>
      </c>
      <c r="AV47" s="116">
        <v>0</v>
      </c>
      <c r="AW47" s="116">
        <v>0</v>
      </c>
      <c r="AX47" s="116">
        <v>0</v>
      </c>
      <c r="AY47" s="116">
        <v>0</v>
      </c>
      <c r="AZ47" s="116">
        <v>0</v>
      </c>
    </row>
    <row r="48" spans="1:52" x14ac:dyDescent="0.15">
      <c r="A48" s="166" t="s">
        <v>238</v>
      </c>
      <c r="B48" s="116">
        <v>0</v>
      </c>
      <c r="C48" s="116">
        <v>1</v>
      </c>
      <c r="D48" s="116">
        <v>0</v>
      </c>
      <c r="E48" s="116">
        <v>1</v>
      </c>
      <c r="F48" s="116">
        <v>0</v>
      </c>
      <c r="G48" s="116">
        <v>0</v>
      </c>
      <c r="H48" s="116">
        <v>0</v>
      </c>
      <c r="I48" s="116">
        <v>1</v>
      </c>
      <c r="J48" s="116">
        <v>1</v>
      </c>
      <c r="K48" s="116">
        <v>1</v>
      </c>
      <c r="L48" s="116">
        <v>1</v>
      </c>
      <c r="M48" s="116">
        <v>1</v>
      </c>
      <c r="N48" s="116">
        <v>1</v>
      </c>
      <c r="O48" s="116">
        <v>1</v>
      </c>
      <c r="P48" s="116">
        <v>1</v>
      </c>
      <c r="Q48" s="116">
        <v>1</v>
      </c>
      <c r="R48" s="116">
        <v>0</v>
      </c>
      <c r="S48" s="116">
        <v>1</v>
      </c>
      <c r="T48" s="116">
        <v>1</v>
      </c>
      <c r="U48" s="116">
        <v>1</v>
      </c>
      <c r="V48" s="116">
        <v>1</v>
      </c>
      <c r="W48" s="116">
        <v>1</v>
      </c>
      <c r="X48" s="116">
        <v>1</v>
      </c>
      <c r="Y48" s="116">
        <v>1</v>
      </c>
      <c r="Z48" s="116">
        <v>1</v>
      </c>
      <c r="AA48" s="116">
        <v>1</v>
      </c>
      <c r="AB48" s="116">
        <v>1</v>
      </c>
      <c r="AC48" s="116">
        <v>1</v>
      </c>
      <c r="AD48" s="116">
        <v>1</v>
      </c>
      <c r="AE48" s="116">
        <v>1</v>
      </c>
      <c r="AF48" s="116">
        <v>1</v>
      </c>
      <c r="AG48" s="116">
        <v>1</v>
      </c>
      <c r="AH48" s="116">
        <v>1</v>
      </c>
      <c r="AI48" s="116">
        <v>1</v>
      </c>
      <c r="AJ48" s="116">
        <v>1</v>
      </c>
      <c r="AK48" s="116">
        <v>1</v>
      </c>
      <c r="AL48" s="116">
        <v>1</v>
      </c>
      <c r="AM48" s="116">
        <v>1</v>
      </c>
      <c r="AN48" s="116">
        <v>1</v>
      </c>
      <c r="AO48" s="116">
        <v>1</v>
      </c>
      <c r="AP48" s="116">
        <v>1</v>
      </c>
      <c r="AQ48" s="116">
        <v>1</v>
      </c>
      <c r="AR48" s="116">
        <v>0</v>
      </c>
      <c r="AS48" s="116">
        <v>0</v>
      </c>
      <c r="AT48" s="116">
        <v>0</v>
      </c>
      <c r="AU48" s="116">
        <v>0</v>
      </c>
      <c r="AV48" s="116">
        <v>1</v>
      </c>
      <c r="AW48" s="116">
        <v>0</v>
      </c>
      <c r="AX48" s="116">
        <v>0</v>
      </c>
      <c r="AY48" s="116">
        <v>0</v>
      </c>
      <c r="AZ48" s="116">
        <v>0</v>
      </c>
    </row>
    <row r="49" spans="1:52" x14ac:dyDescent="0.15">
      <c r="A49" s="166" t="s">
        <v>239</v>
      </c>
      <c r="B49" s="116">
        <v>1</v>
      </c>
      <c r="C49" s="116">
        <v>1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1</v>
      </c>
      <c r="J49" s="116">
        <v>0</v>
      </c>
      <c r="K49" s="116">
        <v>1</v>
      </c>
      <c r="L49" s="116">
        <v>0</v>
      </c>
      <c r="M49" s="116">
        <v>1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1</v>
      </c>
      <c r="T49" s="116">
        <v>0</v>
      </c>
      <c r="U49" s="116">
        <v>1</v>
      </c>
      <c r="V49" s="116">
        <v>0</v>
      </c>
      <c r="W49" s="116">
        <v>1</v>
      </c>
      <c r="X49" s="116">
        <v>1</v>
      </c>
      <c r="Y49" s="116">
        <v>1</v>
      </c>
      <c r="Z49" s="116">
        <v>1</v>
      </c>
      <c r="AA49" s="116">
        <v>1</v>
      </c>
      <c r="AB49" s="116">
        <v>1</v>
      </c>
      <c r="AC49" s="116">
        <v>0</v>
      </c>
      <c r="AD49" s="116">
        <v>0</v>
      </c>
      <c r="AE49" s="116">
        <v>1</v>
      </c>
      <c r="AF49" s="116">
        <v>1</v>
      </c>
      <c r="AG49" s="116">
        <v>1</v>
      </c>
      <c r="AH49" s="116">
        <v>1</v>
      </c>
      <c r="AI49" s="116">
        <v>1</v>
      </c>
      <c r="AJ49" s="116">
        <v>1</v>
      </c>
      <c r="AK49" s="116">
        <v>1</v>
      </c>
      <c r="AL49" s="116">
        <v>0</v>
      </c>
      <c r="AM49" s="116">
        <v>1</v>
      </c>
      <c r="AN49" s="116">
        <v>1</v>
      </c>
      <c r="AO49" s="116">
        <v>1</v>
      </c>
      <c r="AP49" s="116">
        <v>1</v>
      </c>
      <c r="AQ49" s="116">
        <v>1</v>
      </c>
      <c r="AR49" s="116">
        <v>0</v>
      </c>
      <c r="AS49" s="116">
        <v>0</v>
      </c>
      <c r="AT49" s="116">
        <v>0</v>
      </c>
      <c r="AU49" s="116">
        <v>0</v>
      </c>
      <c r="AV49" s="116">
        <v>1</v>
      </c>
      <c r="AW49" s="116">
        <v>0</v>
      </c>
      <c r="AX49" s="116">
        <v>0</v>
      </c>
      <c r="AY49" s="116">
        <v>0</v>
      </c>
      <c r="AZ49" s="116">
        <v>0</v>
      </c>
    </row>
    <row r="50" spans="1:52" x14ac:dyDescent="0.15">
      <c r="A50" s="166" t="s">
        <v>240</v>
      </c>
      <c r="B50" s="116">
        <v>0</v>
      </c>
      <c r="C50" s="116">
        <v>0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1</v>
      </c>
      <c r="AR50" s="116">
        <v>0</v>
      </c>
      <c r="AS50" s="116">
        <v>0</v>
      </c>
      <c r="AT50" s="116">
        <v>0</v>
      </c>
      <c r="AU50" s="116">
        <v>0</v>
      </c>
      <c r="AV50" s="116">
        <v>1</v>
      </c>
      <c r="AW50" s="116">
        <v>1</v>
      </c>
      <c r="AX50" s="116">
        <v>0</v>
      </c>
      <c r="AY50" s="116">
        <v>0</v>
      </c>
      <c r="AZ50" s="116">
        <v>0</v>
      </c>
    </row>
    <row r="51" spans="1:52" x14ac:dyDescent="0.15">
      <c r="A51" s="166" t="s">
        <v>241</v>
      </c>
      <c r="B51" s="116">
        <v>0</v>
      </c>
      <c r="C51" s="116">
        <v>0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1</v>
      </c>
      <c r="AO51" s="116">
        <v>1</v>
      </c>
      <c r="AP51" s="116">
        <v>1</v>
      </c>
      <c r="AQ51" s="116">
        <v>1</v>
      </c>
      <c r="AR51" s="116">
        <v>1</v>
      </c>
      <c r="AS51" s="116">
        <v>1</v>
      </c>
      <c r="AT51" s="116">
        <v>1</v>
      </c>
      <c r="AU51" s="116">
        <v>1</v>
      </c>
      <c r="AV51" s="116">
        <v>1</v>
      </c>
      <c r="AW51" s="116">
        <v>0</v>
      </c>
      <c r="AX51" s="116">
        <v>0</v>
      </c>
      <c r="AY51" s="116">
        <v>0</v>
      </c>
      <c r="AZ51" s="116">
        <v>0</v>
      </c>
    </row>
    <row r="52" spans="1:52" x14ac:dyDescent="0.15">
      <c r="A52" s="166" t="s">
        <v>242</v>
      </c>
      <c r="B52" s="116">
        <v>0</v>
      </c>
      <c r="C52" s="116">
        <v>0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  <c r="AZ52" s="116">
        <v>0</v>
      </c>
    </row>
    <row r="53" spans="1:52" x14ac:dyDescent="0.15">
      <c r="A53" s="166" t="s">
        <v>254</v>
      </c>
      <c r="B53" s="116">
        <v>0</v>
      </c>
      <c r="C53" s="116">
        <v>0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M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6640625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83</v>
      </c>
      <c r="B1" s="3" t="s">
        <v>0</v>
      </c>
      <c r="C1" s="169" t="s">
        <v>243</v>
      </c>
      <c r="D1" s="169" t="s">
        <v>244</v>
      </c>
      <c r="E1" s="169" t="s">
        <v>245</v>
      </c>
      <c r="F1" s="169" t="s">
        <v>246</v>
      </c>
      <c r="G1" s="169" t="s">
        <v>247</v>
      </c>
      <c r="H1" s="169" t="s">
        <v>248</v>
      </c>
      <c r="I1" s="169" t="s">
        <v>249</v>
      </c>
      <c r="J1" s="169" t="s">
        <v>250</v>
      </c>
      <c r="K1" s="169" t="s">
        <v>251</v>
      </c>
      <c r="L1" s="169" t="s">
        <v>252</v>
      </c>
      <c r="M1" s="169" t="s">
        <v>253</v>
      </c>
    </row>
    <row r="2" spans="1:13" x14ac:dyDescent="0.15">
      <c r="A2">
        <v>1</v>
      </c>
      <c r="B2" s="16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6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6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68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0.8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168" t="s">
        <v>196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68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168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68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68" t="s">
        <v>200</v>
      </c>
      <c r="C10">
        <v>0</v>
      </c>
      <c r="D10">
        <v>0.8</v>
      </c>
      <c r="E10">
        <v>0.8</v>
      </c>
      <c r="F10">
        <v>0.8</v>
      </c>
      <c r="G10">
        <v>0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0.8</v>
      </c>
    </row>
    <row r="11" spans="1:13" x14ac:dyDescent="0.15">
      <c r="A11">
        <v>10</v>
      </c>
      <c r="B11" s="16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68" t="s">
        <v>202</v>
      </c>
      <c r="C12">
        <v>0</v>
      </c>
      <c r="D12">
        <v>0.8</v>
      </c>
      <c r="E12">
        <v>0.8</v>
      </c>
      <c r="F12">
        <v>0.8</v>
      </c>
      <c r="G12">
        <v>0</v>
      </c>
      <c r="H12">
        <v>0.8</v>
      </c>
      <c r="I12">
        <v>0.8</v>
      </c>
      <c r="J12">
        <v>0.8</v>
      </c>
      <c r="K12">
        <v>0.8</v>
      </c>
      <c r="L12">
        <v>0</v>
      </c>
      <c r="M12">
        <v>0.8</v>
      </c>
    </row>
    <row r="13" spans="1:13" x14ac:dyDescent="0.15">
      <c r="A13">
        <v>12</v>
      </c>
      <c r="B13" s="168" t="s">
        <v>203</v>
      </c>
      <c r="C13">
        <v>0</v>
      </c>
      <c r="D13">
        <v>0.8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68" t="s">
        <v>204</v>
      </c>
      <c r="C14">
        <v>0</v>
      </c>
      <c r="D14">
        <v>0.8</v>
      </c>
      <c r="E14">
        <v>0.8</v>
      </c>
      <c r="F14">
        <v>0</v>
      </c>
      <c r="G14">
        <v>0</v>
      </c>
      <c r="H14">
        <v>0.8</v>
      </c>
      <c r="I14">
        <v>0.8</v>
      </c>
      <c r="J14">
        <v>0.8</v>
      </c>
      <c r="K14">
        <v>0</v>
      </c>
      <c r="L14">
        <v>0</v>
      </c>
      <c r="M14">
        <v>0.8</v>
      </c>
    </row>
    <row r="15" spans="1:13" x14ac:dyDescent="0.15">
      <c r="A15">
        <v>14</v>
      </c>
      <c r="B15" s="168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68" t="s">
        <v>206</v>
      </c>
      <c r="C16">
        <v>0</v>
      </c>
      <c r="D16">
        <v>0.8</v>
      </c>
      <c r="E16">
        <v>0.8</v>
      </c>
      <c r="F16">
        <v>0.8</v>
      </c>
      <c r="G16">
        <v>0</v>
      </c>
      <c r="H16">
        <v>0</v>
      </c>
      <c r="I16">
        <v>0.8</v>
      </c>
      <c r="J16">
        <v>0</v>
      </c>
      <c r="K16">
        <v>0</v>
      </c>
      <c r="L16">
        <v>0</v>
      </c>
      <c r="M16">
        <v>0.8</v>
      </c>
    </row>
    <row r="17" spans="1:13" x14ac:dyDescent="0.15">
      <c r="A17">
        <v>16</v>
      </c>
      <c r="B17" s="168" t="s">
        <v>207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0.8</v>
      </c>
      <c r="I17">
        <v>0.8</v>
      </c>
      <c r="J17">
        <v>0.8</v>
      </c>
      <c r="K17">
        <v>0</v>
      </c>
      <c r="L17">
        <v>0</v>
      </c>
      <c r="M17">
        <v>0.8</v>
      </c>
    </row>
    <row r="18" spans="1:13" x14ac:dyDescent="0.15">
      <c r="A18">
        <v>17</v>
      </c>
      <c r="B18" s="168" t="s">
        <v>208</v>
      </c>
      <c r="C18">
        <v>0</v>
      </c>
      <c r="D18">
        <v>0.8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0.8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68" t="s">
        <v>209</v>
      </c>
      <c r="C19">
        <v>0</v>
      </c>
      <c r="D19">
        <v>0.8</v>
      </c>
      <c r="E19">
        <v>0.8</v>
      </c>
      <c r="F19">
        <v>0</v>
      </c>
      <c r="G19">
        <v>0</v>
      </c>
      <c r="H19">
        <v>0.8</v>
      </c>
      <c r="I19">
        <v>0.8</v>
      </c>
      <c r="J19">
        <v>0.8</v>
      </c>
      <c r="K19">
        <v>0</v>
      </c>
      <c r="L19">
        <v>0</v>
      </c>
      <c r="M19">
        <v>0</v>
      </c>
    </row>
    <row r="20" spans="1:13" x14ac:dyDescent="0.15">
      <c r="A20">
        <v>19</v>
      </c>
      <c r="B20" s="168" t="s">
        <v>210</v>
      </c>
      <c r="C20">
        <v>0</v>
      </c>
      <c r="D20">
        <v>0.8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68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0.8</v>
      </c>
    </row>
    <row r="22" spans="1:13" x14ac:dyDescent="0.15">
      <c r="A22">
        <v>21</v>
      </c>
      <c r="B22" s="168" t="s">
        <v>212</v>
      </c>
      <c r="C22">
        <v>0</v>
      </c>
      <c r="D22">
        <v>0</v>
      </c>
      <c r="E22">
        <v>0.8</v>
      </c>
      <c r="F22">
        <v>0</v>
      </c>
      <c r="G22">
        <v>0.8</v>
      </c>
      <c r="H22">
        <v>0.8</v>
      </c>
      <c r="I22">
        <v>0.8</v>
      </c>
      <c r="J22">
        <v>0.8</v>
      </c>
      <c r="K22">
        <v>0</v>
      </c>
      <c r="L22">
        <v>0</v>
      </c>
      <c r="M22">
        <v>0.8</v>
      </c>
    </row>
    <row r="23" spans="1:13" x14ac:dyDescent="0.15">
      <c r="A23">
        <v>22</v>
      </c>
      <c r="B23" s="168" t="s">
        <v>213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0.8</v>
      </c>
    </row>
    <row r="24" spans="1:13" x14ac:dyDescent="0.15">
      <c r="A24">
        <v>23</v>
      </c>
      <c r="B24" s="16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168" t="s">
        <v>215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0.8</v>
      </c>
    </row>
    <row r="26" spans="1:13" x14ac:dyDescent="0.15">
      <c r="A26">
        <v>25</v>
      </c>
      <c r="B26" s="16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68" t="s">
        <v>217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6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6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0.8</v>
      </c>
      <c r="J29">
        <v>0.8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6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0.8</v>
      </c>
      <c r="I30">
        <v>0.8</v>
      </c>
      <c r="J30">
        <v>0.8</v>
      </c>
      <c r="K30">
        <v>0</v>
      </c>
      <c r="L30">
        <v>0</v>
      </c>
      <c r="M30">
        <v>0.8</v>
      </c>
    </row>
    <row r="31" spans="1:13" x14ac:dyDescent="0.15">
      <c r="A31">
        <v>30</v>
      </c>
      <c r="B31" s="168" t="s">
        <v>221</v>
      </c>
      <c r="C31">
        <v>0</v>
      </c>
      <c r="D31">
        <v>0.8</v>
      </c>
      <c r="E31">
        <v>0.8</v>
      </c>
      <c r="F31">
        <v>0</v>
      </c>
      <c r="G31">
        <v>0.8</v>
      </c>
      <c r="H31">
        <v>0.8</v>
      </c>
      <c r="I31">
        <v>0</v>
      </c>
      <c r="J31">
        <v>0.8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68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6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68" t="s">
        <v>224</v>
      </c>
      <c r="C34">
        <v>0</v>
      </c>
      <c r="D34">
        <v>0.8</v>
      </c>
      <c r="E34">
        <v>0</v>
      </c>
      <c r="F34">
        <v>0</v>
      </c>
      <c r="G34">
        <v>0.8</v>
      </c>
      <c r="H34">
        <v>0.8</v>
      </c>
      <c r="I34">
        <v>0.8</v>
      </c>
      <c r="J34">
        <v>0.8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6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0.8</v>
      </c>
      <c r="J35">
        <v>0</v>
      </c>
      <c r="K35">
        <v>0</v>
      </c>
      <c r="L35">
        <v>0</v>
      </c>
      <c r="M35">
        <v>0.8</v>
      </c>
    </row>
    <row r="36" spans="1:13" x14ac:dyDescent="0.15">
      <c r="A36">
        <v>35</v>
      </c>
      <c r="B36" s="168" t="s">
        <v>226</v>
      </c>
      <c r="C36">
        <v>0</v>
      </c>
      <c r="D36">
        <v>0.8</v>
      </c>
      <c r="E36">
        <v>0.8</v>
      </c>
      <c r="F36">
        <v>0</v>
      </c>
      <c r="G36">
        <v>0</v>
      </c>
      <c r="H36">
        <v>0.8</v>
      </c>
      <c r="I36">
        <v>0.8</v>
      </c>
      <c r="J36">
        <v>0.8</v>
      </c>
      <c r="K36">
        <v>0</v>
      </c>
      <c r="L36">
        <v>0</v>
      </c>
      <c r="M36">
        <v>0.8</v>
      </c>
    </row>
    <row r="37" spans="1:13" x14ac:dyDescent="0.15">
      <c r="A37">
        <v>36</v>
      </c>
      <c r="B37" s="16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168" t="s">
        <v>228</v>
      </c>
      <c r="C38">
        <v>0</v>
      </c>
      <c r="D38">
        <v>0.8</v>
      </c>
      <c r="E38">
        <v>0.8</v>
      </c>
      <c r="F38">
        <v>0</v>
      </c>
      <c r="G38">
        <v>0</v>
      </c>
      <c r="H38">
        <v>0</v>
      </c>
      <c r="I38">
        <v>0.8</v>
      </c>
      <c r="J38">
        <v>0.8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16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16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0.8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6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16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0.8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68" t="s">
        <v>233</v>
      </c>
      <c r="C43">
        <v>0</v>
      </c>
      <c r="D43">
        <v>0.8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16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0.8</v>
      </c>
      <c r="M44">
        <v>0</v>
      </c>
    </row>
    <row r="45" spans="1:13" x14ac:dyDescent="0.15">
      <c r="A45">
        <v>44</v>
      </c>
      <c r="B45" s="16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6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  <c r="L46">
        <v>0</v>
      </c>
      <c r="M46">
        <v>0</v>
      </c>
    </row>
    <row r="47" spans="1:13" x14ac:dyDescent="0.15">
      <c r="A47">
        <v>46</v>
      </c>
      <c r="B47" s="16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15">
      <c r="A48">
        <v>47</v>
      </c>
      <c r="B48" s="16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15">
      <c r="A49">
        <v>48</v>
      </c>
      <c r="B49" s="16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15">
      <c r="A50">
        <v>49</v>
      </c>
      <c r="B50" s="16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15">
      <c r="A51">
        <v>50</v>
      </c>
      <c r="B51" s="16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15">
      <c r="A52">
        <v>51</v>
      </c>
      <c r="B52" s="16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M5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6640625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82</v>
      </c>
      <c r="B1" s="3" t="s">
        <v>0</v>
      </c>
      <c r="C1" s="171" t="s">
        <v>243</v>
      </c>
      <c r="D1" s="171" t="s">
        <v>244</v>
      </c>
      <c r="E1" s="171" t="s">
        <v>245</v>
      </c>
      <c r="F1" s="171" t="s">
        <v>246</v>
      </c>
      <c r="G1" s="171" t="s">
        <v>247</v>
      </c>
      <c r="H1" s="171" t="s">
        <v>248</v>
      </c>
      <c r="I1" s="171" t="s">
        <v>249</v>
      </c>
      <c r="J1" s="171" t="s">
        <v>250</v>
      </c>
      <c r="K1" s="171" t="s">
        <v>251</v>
      </c>
      <c r="L1" s="171" t="s">
        <v>252</v>
      </c>
      <c r="M1" s="171" t="s">
        <v>253</v>
      </c>
    </row>
    <row r="2" spans="1:13" x14ac:dyDescent="0.15">
      <c r="A2">
        <v>1</v>
      </c>
      <c r="B2" s="17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7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7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70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0.8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170" t="s">
        <v>196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70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170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70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70" t="s">
        <v>200</v>
      </c>
      <c r="C10">
        <v>0</v>
      </c>
      <c r="D10">
        <v>0.8</v>
      </c>
      <c r="E10">
        <v>0.8</v>
      </c>
      <c r="F10">
        <v>0.8</v>
      </c>
      <c r="G10">
        <v>0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0.8</v>
      </c>
    </row>
    <row r="11" spans="1:13" x14ac:dyDescent="0.15">
      <c r="A11">
        <v>10</v>
      </c>
      <c r="B11" s="17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70" t="s">
        <v>202</v>
      </c>
      <c r="C12">
        <v>0</v>
      </c>
      <c r="D12">
        <v>0.8</v>
      </c>
      <c r="E12">
        <v>0.8</v>
      </c>
      <c r="F12">
        <v>0.8</v>
      </c>
      <c r="G12">
        <v>0</v>
      </c>
      <c r="H12">
        <v>0.8</v>
      </c>
      <c r="I12">
        <v>0.8</v>
      </c>
      <c r="J12">
        <v>0.8</v>
      </c>
      <c r="K12">
        <v>0.8</v>
      </c>
      <c r="L12">
        <v>0</v>
      </c>
      <c r="M12">
        <v>0.8</v>
      </c>
    </row>
    <row r="13" spans="1:13" x14ac:dyDescent="0.15">
      <c r="A13">
        <v>12</v>
      </c>
      <c r="B13" s="170" t="s">
        <v>203</v>
      </c>
      <c r="C13">
        <v>0</v>
      </c>
      <c r="D13">
        <v>0.8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70" t="s">
        <v>204</v>
      </c>
      <c r="C14">
        <v>0</v>
      </c>
      <c r="D14">
        <v>0.8</v>
      </c>
      <c r="E14">
        <v>0.8</v>
      </c>
      <c r="F14">
        <v>0</v>
      </c>
      <c r="G14">
        <v>0</v>
      </c>
      <c r="H14">
        <v>0.8</v>
      </c>
      <c r="I14">
        <v>0.8</v>
      </c>
      <c r="J14">
        <v>0.8</v>
      </c>
      <c r="K14">
        <v>0</v>
      </c>
      <c r="L14">
        <v>0</v>
      </c>
      <c r="M14">
        <v>0.8</v>
      </c>
    </row>
    <row r="15" spans="1:13" x14ac:dyDescent="0.15">
      <c r="A15">
        <v>14</v>
      </c>
      <c r="B15" s="170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70" t="s">
        <v>206</v>
      </c>
      <c r="C16">
        <v>0</v>
      </c>
      <c r="D16">
        <v>0.8</v>
      </c>
      <c r="E16">
        <v>0.8</v>
      </c>
      <c r="F16">
        <v>0.8</v>
      </c>
      <c r="G16">
        <v>0</v>
      </c>
      <c r="H16">
        <v>0</v>
      </c>
      <c r="I16">
        <v>0.8</v>
      </c>
      <c r="J16">
        <v>0</v>
      </c>
      <c r="K16">
        <v>0</v>
      </c>
      <c r="L16">
        <v>0</v>
      </c>
      <c r="M16">
        <v>0.8</v>
      </c>
    </row>
    <row r="17" spans="1:13" x14ac:dyDescent="0.15">
      <c r="A17">
        <v>16</v>
      </c>
      <c r="B17" s="170" t="s">
        <v>207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0.8</v>
      </c>
      <c r="I17">
        <v>0.8</v>
      </c>
      <c r="J17">
        <v>0.8</v>
      </c>
      <c r="K17">
        <v>0</v>
      </c>
      <c r="L17">
        <v>0</v>
      </c>
      <c r="M17">
        <v>0.8</v>
      </c>
    </row>
    <row r="18" spans="1:13" x14ac:dyDescent="0.15">
      <c r="A18">
        <v>17</v>
      </c>
      <c r="B18" s="170" t="s">
        <v>208</v>
      </c>
      <c r="C18">
        <v>0</v>
      </c>
      <c r="D18">
        <v>0.8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0.8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70" t="s">
        <v>209</v>
      </c>
      <c r="C19">
        <v>0</v>
      </c>
      <c r="D19">
        <v>0.8</v>
      </c>
      <c r="E19">
        <v>0.8</v>
      </c>
      <c r="F19">
        <v>0</v>
      </c>
      <c r="G19">
        <v>0</v>
      </c>
      <c r="H19">
        <v>0.8</v>
      </c>
      <c r="I19">
        <v>0.8</v>
      </c>
      <c r="J19">
        <v>0.8</v>
      </c>
      <c r="K19">
        <v>0</v>
      </c>
      <c r="L19">
        <v>0</v>
      </c>
      <c r="M19">
        <v>0</v>
      </c>
    </row>
    <row r="20" spans="1:13" x14ac:dyDescent="0.15">
      <c r="A20">
        <v>19</v>
      </c>
      <c r="B20" s="170" t="s">
        <v>210</v>
      </c>
      <c r="C20">
        <v>0</v>
      </c>
      <c r="D20">
        <v>0.8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70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0.8</v>
      </c>
    </row>
    <row r="22" spans="1:13" x14ac:dyDescent="0.15">
      <c r="A22">
        <v>21</v>
      </c>
      <c r="B22" s="170" t="s">
        <v>212</v>
      </c>
      <c r="C22">
        <v>0</v>
      </c>
      <c r="D22">
        <v>0</v>
      </c>
      <c r="E22">
        <v>0.8</v>
      </c>
      <c r="F22">
        <v>0</v>
      </c>
      <c r="G22">
        <v>0.8</v>
      </c>
      <c r="H22">
        <v>0.8</v>
      </c>
      <c r="I22">
        <v>0.8</v>
      </c>
      <c r="J22">
        <v>0.8</v>
      </c>
      <c r="K22">
        <v>0</v>
      </c>
      <c r="L22">
        <v>0</v>
      </c>
      <c r="M22">
        <v>0.8</v>
      </c>
    </row>
    <row r="23" spans="1:13" x14ac:dyDescent="0.15">
      <c r="A23">
        <v>22</v>
      </c>
      <c r="B23" s="170" t="s">
        <v>213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0.8</v>
      </c>
    </row>
    <row r="24" spans="1:13" x14ac:dyDescent="0.15">
      <c r="A24">
        <v>23</v>
      </c>
      <c r="B24" s="170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170" t="s">
        <v>215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0.8</v>
      </c>
    </row>
    <row r="26" spans="1:13" x14ac:dyDescent="0.15">
      <c r="A26">
        <v>25</v>
      </c>
      <c r="B26" s="17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70" t="s">
        <v>217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70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7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0.8</v>
      </c>
      <c r="J29">
        <v>0.8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7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0.8</v>
      </c>
      <c r="I30">
        <v>0.8</v>
      </c>
      <c r="J30">
        <v>0.8</v>
      </c>
      <c r="K30">
        <v>0</v>
      </c>
      <c r="L30">
        <v>0</v>
      </c>
      <c r="M30">
        <v>0.8</v>
      </c>
    </row>
    <row r="31" spans="1:13" x14ac:dyDescent="0.15">
      <c r="A31">
        <v>30</v>
      </c>
      <c r="B31" s="170" t="s">
        <v>221</v>
      </c>
      <c r="C31">
        <v>0</v>
      </c>
      <c r="D31">
        <v>0.8</v>
      </c>
      <c r="E31">
        <v>0.8</v>
      </c>
      <c r="F31">
        <v>0</v>
      </c>
      <c r="G31">
        <v>0.8</v>
      </c>
      <c r="H31">
        <v>0.8</v>
      </c>
      <c r="I31">
        <v>0</v>
      </c>
      <c r="J31">
        <v>0.8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70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7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70" t="s">
        <v>224</v>
      </c>
      <c r="C34">
        <v>0</v>
      </c>
      <c r="D34">
        <v>0.8</v>
      </c>
      <c r="E34">
        <v>0</v>
      </c>
      <c r="F34">
        <v>0</v>
      </c>
      <c r="G34">
        <v>0.8</v>
      </c>
      <c r="H34">
        <v>0.8</v>
      </c>
      <c r="I34">
        <v>0.8</v>
      </c>
      <c r="J34">
        <v>0.8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7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0.8</v>
      </c>
      <c r="J35">
        <v>0</v>
      </c>
      <c r="K35">
        <v>0</v>
      </c>
      <c r="L35">
        <v>0</v>
      </c>
      <c r="M35">
        <v>0.8</v>
      </c>
    </row>
    <row r="36" spans="1:13" x14ac:dyDescent="0.15">
      <c r="A36">
        <v>35</v>
      </c>
      <c r="B36" s="170" t="s">
        <v>226</v>
      </c>
      <c r="C36">
        <v>0</v>
      </c>
      <c r="D36">
        <v>0.8</v>
      </c>
      <c r="E36">
        <v>0.8</v>
      </c>
      <c r="F36">
        <v>0</v>
      </c>
      <c r="G36">
        <v>0</v>
      </c>
      <c r="H36">
        <v>0.8</v>
      </c>
      <c r="I36">
        <v>0.8</v>
      </c>
      <c r="J36">
        <v>0.8</v>
      </c>
      <c r="K36">
        <v>0</v>
      </c>
      <c r="L36">
        <v>0</v>
      </c>
      <c r="M36">
        <v>0.8</v>
      </c>
    </row>
    <row r="37" spans="1:13" x14ac:dyDescent="0.15">
      <c r="A37">
        <v>36</v>
      </c>
      <c r="B37" s="17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170" t="s">
        <v>228</v>
      </c>
      <c r="C38">
        <v>0</v>
      </c>
      <c r="D38">
        <v>0.8</v>
      </c>
      <c r="E38">
        <v>0.8</v>
      </c>
      <c r="F38">
        <v>0</v>
      </c>
      <c r="G38">
        <v>0</v>
      </c>
      <c r="H38">
        <v>0</v>
      </c>
      <c r="I38">
        <v>0.8</v>
      </c>
      <c r="J38">
        <v>0.8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17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170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0.8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70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170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0.8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70" t="s">
        <v>233</v>
      </c>
      <c r="C43">
        <v>0</v>
      </c>
      <c r="D43">
        <v>0.8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170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0.8</v>
      </c>
      <c r="M44">
        <v>0</v>
      </c>
    </row>
    <row r="45" spans="1:13" x14ac:dyDescent="0.15">
      <c r="A45">
        <v>44</v>
      </c>
      <c r="B45" s="170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70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  <c r="L46">
        <v>0</v>
      </c>
      <c r="M46">
        <v>0</v>
      </c>
    </row>
    <row r="47" spans="1:13" x14ac:dyDescent="0.15">
      <c r="A47">
        <v>46</v>
      </c>
      <c r="B47" s="170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15">
      <c r="A48">
        <v>47</v>
      </c>
      <c r="B48" s="170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15">
      <c r="A49">
        <v>48</v>
      </c>
      <c r="B49" s="170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15">
      <c r="A50">
        <v>49</v>
      </c>
      <c r="B50" s="170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15">
      <c r="A51">
        <v>50</v>
      </c>
      <c r="B51" s="170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15">
      <c r="A52">
        <v>51</v>
      </c>
      <c r="B52" s="170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62">
        <v>1</v>
      </c>
      <c r="B2" s="262" t="s">
        <v>192</v>
      </c>
      <c r="C2" s="8">
        <v>3.2958073616027832</v>
      </c>
      <c r="D2" s="9">
        <v>9.9999999747524271E-7</v>
      </c>
      <c r="E2" s="9">
        <v>5.9999998658895493E-2</v>
      </c>
      <c r="F2" s="9">
        <v>16.846200942993164</v>
      </c>
      <c r="G2" s="7">
        <v>0</v>
      </c>
      <c r="H2" s="9">
        <v>3.5616338718682528E-3</v>
      </c>
      <c r="I2">
        <v>0</v>
      </c>
      <c r="J2"/>
    </row>
    <row r="3" spans="1:10" ht="15" customHeight="1" x14ac:dyDescent="0.15">
      <c r="A3" s="263">
        <v>2</v>
      </c>
      <c r="B3" s="263" t="s">
        <v>193</v>
      </c>
      <c r="C3" s="8">
        <v>3.9766654968261719</v>
      </c>
      <c r="D3" s="9">
        <v>0.25099998712539673</v>
      </c>
      <c r="E3" s="9">
        <v>0.10000000149011612</v>
      </c>
      <c r="F3" s="9">
        <v>11.793999671936035</v>
      </c>
      <c r="G3" s="7">
        <v>0</v>
      </c>
      <c r="H3" s="9">
        <v>8.4788883104920387E-3</v>
      </c>
      <c r="I3">
        <v>0</v>
      </c>
      <c r="J3"/>
    </row>
    <row r="4" spans="1:10" ht="15" customHeight="1" x14ac:dyDescent="0.15">
      <c r="A4" s="264">
        <v>3</v>
      </c>
      <c r="B4" s="264" t="s">
        <v>194</v>
      </c>
      <c r="C4" s="8">
        <v>4.3520164489746094</v>
      </c>
      <c r="D4" s="9">
        <v>9.9999999747524271E-7</v>
      </c>
      <c r="E4" s="9">
        <v>5.9999998658895493E-2</v>
      </c>
      <c r="F4" s="9">
        <v>16</v>
      </c>
      <c r="G4" s="9">
        <v>0.28102299571037292</v>
      </c>
      <c r="H4" s="9">
        <v>3.7499999161809683E-3</v>
      </c>
      <c r="I4">
        <v>0</v>
      </c>
      <c r="J4"/>
    </row>
    <row r="5" spans="1:10" ht="15" customHeight="1" x14ac:dyDescent="0.15">
      <c r="A5" s="265">
        <v>4</v>
      </c>
      <c r="B5" s="265" t="s">
        <v>195</v>
      </c>
      <c r="C5" s="8">
        <v>4.1290378570556641</v>
      </c>
      <c r="D5" s="9">
        <v>0.18400000035762787</v>
      </c>
      <c r="E5" s="9">
        <v>0.10199999809265137</v>
      </c>
      <c r="F5" s="9">
        <v>17.41200065612793</v>
      </c>
      <c r="G5" s="9">
        <v>0.16144590079784393</v>
      </c>
      <c r="H5" s="9">
        <v>5.8580287732183933E-3</v>
      </c>
      <c r="I5">
        <v>3.0299997888505459E-3</v>
      </c>
      <c r="J5"/>
    </row>
    <row r="6" spans="1:10" ht="15" customHeight="1" x14ac:dyDescent="0.15">
      <c r="A6" s="266">
        <v>5</v>
      </c>
      <c r="B6" s="266" t="s">
        <v>196</v>
      </c>
      <c r="C6" s="8">
        <v>4.6502599716186523</v>
      </c>
      <c r="D6" s="9">
        <v>3.4000001847743988E-2</v>
      </c>
      <c r="E6" s="9">
        <v>0.10899999737739563</v>
      </c>
      <c r="F6" s="9">
        <v>13.100000381469727</v>
      </c>
      <c r="G6" s="9">
        <v>4.830460250377655E-2</v>
      </c>
      <c r="H6" s="9">
        <v>8.3206100389361382E-3</v>
      </c>
      <c r="I6">
        <v>1.7899999511428177E-4</v>
      </c>
      <c r="J6"/>
    </row>
    <row r="7" spans="1:10" ht="15" customHeight="1" x14ac:dyDescent="0.15">
      <c r="A7" s="267">
        <v>6</v>
      </c>
      <c r="B7" s="267" t="s">
        <v>197</v>
      </c>
      <c r="C7" s="8">
        <v>3</v>
      </c>
      <c r="D7" s="9">
        <v>1.6799999866634607E-4</v>
      </c>
      <c r="E7" s="9">
        <v>0.25</v>
      </c>
      <c r="F7" s="9">
        <v>54.75</v>
      </c>
      <c r="G7" s="9">
        <v>0.3333333432674408</v>
      </c>
      <c r="H7" s="9">
        <v>4.5662098564207554E-3</v>
      </c>
      <c r="I7">
        <v>1.4000000192027073E-5</v>
      </c>
      <c r="J7"/>
    </row>
    <row r="8" spans="1:10" ht="15" customHeight="1" x14ac:dyDescent="0.15">
      <c r="A8" s="268">
        <v>7</v>
      </c>
      <c r="B8" s="268" t="s">
        <v>198</v>
      </c>
      <c r="C8" s="8">
        <v>4.1415247917175293</v>
      </c>
      <c r="D8" s="9">
        <v>9.9889999255537987E-3</v>
      </c>
      <c r="E8" s="9">
        <v>0.25</v>
      </c>
      <c r="F8" s="9">
        <v>54.75</v>
      </c>
      <c r="G8" s="9">
        <v>0.40873962640762329</v>
      </c>
      <c r="H8" s="9">
        <v>4.5662098564207554E-3</v>
      </c>
      <c r="I8">
        <v>8.0999999772757292E-4</v>
      </c>
      <c r="J8"/>
    </row>
    <row r="9" spans="1:10" ht="15" customHeight="1" x14ac:dyDescent="0.15">
      <c r="A9" s="269">
        <v>8</v>
      </c>
      <c r="B9" s="269" t="s">
        <v>199</v>
      </c>
      <c r="C9" s="8">
        <v>3.2996351718902588</v>
      </c>
      <c r="D9" s="9">
        <v>2.1689999848604202E-3</v>
      </c>
      <c r="E9" s="9">
        <v>0.25</v>
      </c>
      <c r="F9" s="9">
        <v>54.75</v>
      </c>
      <c r="G9" s="9">
        <v>0.32457354664802551</v>
      </c>
      <c r="H9" s="9">
        <v>4.5662098564207554E-3</v>
      </c>
      <c r="I9">
        <v>1.7600000137463212E-4</v>
      </c>
      <c r="J9"/>
    </row>
    <row r="10" spans="1:10" ht="15" customHeight="1" x14ac:dyDescent="0.15">
      <c r="A10" s="270">
        <v>9</v>
      </c>
      <c r="B10" s="270" t="s">
        <v>200</v>
      </c>
      <c r="C10" s="8">
        <v>4.0684032440185547</v>
      </c>
      <c r="D10" s="9">
        <v>2.4150700569152832</v>
      </c>
      <c r="E10" s="9">
        <v>0.34999999403953552</v>
      </c>
      <c r="F10" s="9">
        <v>3.2400000095367432</v>
      </c>
      <c r="G10" s="9">
        <v>0.57959765195846558</v>
      </c>
      <c r="H10" s="9">
        <v>0.10802468657493591</v>
      </c>
      <c r="I10">
        <v>0.55687898397445679</v>
      </c>
      <c r="J10"/>
    </row>
    <row r="11" spans="1:10" ht="15" customHeight="1" x14ac:dyDescent="0.15">
      <c r="A11" s="271">
        <v>10</v>
      </c>
      <c r="B11" s="271" t="s">
        <v>201</v>
      </c>
      <c r="C11" s="8">
        <v>3.7372434139251709</v>
      </c>
      <c r="D11" s="9">
        <v>0.34000000357627869</v>
      </c>
      <c r="E11" s="9">
        <v>0.80000001192092896</v>
      </c>
      <c r="F11" s="9">
        <v>6.0900001525878906</v>
      </c>
      <c r="G11" s="10"/>
      <c r="H11" s="9">
        <v>0.13136288523674011</v>
      </c>
      <c r="I11">
        <v>0</v>
      </c>
      <c r="J11"/>
    </row>
    <row r="12" spans="1:10" ht="15" customHeight="1" x14ac:dyDescent="0.15">
      <c r="A12" s="272">
        <v>11</v>
      </c>
      <c r="B12" s="272" t="s">
        <v>202</v>
      </c>
      <c r="C12" s="8">
        <v>3.5922889709472656</v>
      </c>
      <c r="D12" s="9">
        <v>0.97000002861022949</v>
      </c>
      <c r="E12" s="9">
        <v>0.54000002145767212</v>
      </c>
      <c r="F12" s="9">
        <v>2</v>
      </c>
      <c r="G12" s="9">
        <v>2.5991670787334442E-2</v>
      </c>
      <c r="H12" s="9">
        <v>0.27000001072883606</v>
      </c>
      <c r="I12">
        <v>0.10208899527788162</v>
      </c>
      <c r="J12"/>
    </row>
    <row r="13" spans="1:10" ht="15" customHeight="1" x14ac:dyDescent="0.15">
      <c r="A13" s="273">
        <v>12</v>
      </c>
      <c r="B13" s="273" t="s">
        <v>203</v>
      </c>
      <c r="C13" s="8">
        <v>3.5969297885894775</v>
      </c>
      <c r="D13" s="9">
        <v>0.77999997138977051</v>
      </c>
      <c r="E13" s="9">
        <v>0.62999999523162842</v>
      </c>
      <c r="F13" s="9">
        <v>3.7400000095367432</v>
      </c>
      <c r="G13" s="9">
        <v>0.16797532141208649</v>
      </c>
      <c r="H13" s="9">
        <v>0.16844919323921204</v>
      </c>
      <c r="I13">
        <v>2.500000037252903E-2</v>
      </c>
      <c r="J13"/>
    </row>
    <row r="14" spans="1:10" ht="15" customHeight="1" x14ac:dyDescent="0.15">
      <c r="A14" s="274">
        <v>13</v>
      </c>
      <c r="B14" s="274" t="s">
        <v>204</v>
      </c>
      <c r="C14" s="8">
        <v>4.3692398071289062</v>
      </c>
      <c r="D14" s="9">
        <v>0.34999999403953552</v>
      </c>
      <c r="E14" s="9">
        <v>0.30000001192092896</v>
      </c>
      <c r="F14" s="9">
        <v>1.4800000190734863</v>
      </c>
      <c r="G14" s="9">
        <v>0.96884340047836304</v>
      </c>
      <c r="H14" s="9">
        <v>0.20270270109176636</v>
      </c>
      <c r="I14">
        <v>3.5083997994661331E-2</v>
      </c>
      <c r="J14"/>
    </row>
    <row r="15" spans="1:10" ht="15" customHeight="1" x14ac:dyDescent="0.15">
      <c r="A15" s="275">
        <v>14</v>
      </c>
      <c r="B15" s="275" t="s">
        <v>205</v>
      </c>
      <c r="C15" s="8">
        <v>4.0933504104614258</v>
      </c>
      <c r="D15" s="9">
        <v>0.5</v>
      </c>
      <c r="E15" s="9">
        <v>0.87000000476837158</v>
      </c>
      <c r="F15" s="9">
        <v>4.4800000190734863</v>
      </c>
      <c r="G15" s="9">
        <v>0.77591592073440552</v>
      </c>
      <c r="H15" s="9">
        <v>0.1941964328289032</v>
      </c>
      <c r="I15">
        <v>2.0000000949949026E-3</v>
      </c>
      <c r="J15"/>
    </row>
    <row r="16" spans="1:10" ht="15" customHeight="1" x14ac:dyDescent="0.15">
      <c r="A16" s="276">
        <v>15</v>
      </c>
      <c r="B16" s="276" t="s">
        <v>206</v>
      </c>
      <c r="C16" s="8">
        <v>3.1015274524688721</v>
      </c>
      <c r="D16" s="9">
        <v>0.17132523655891418</v>
      </c>
      <c r="E16" s="9">
        <v>0.53366899490356445</v>
      </c>
      <c r="F16" s="9">
        <v>3.5999999046325684</v>
      </c>
      <c r="G16" s="10"/>
      <c r="H16" s="9">
        <v>0.14824138581752777</v>
      </c>
      <c r="I16">
        <v>5.1853001117706299E-2</v>
      </c>
      <c r="J16"/>
    </row>
    <row r="17" spans="1:10" ht="15" customHeight="1" x14ac:dyDescent="0.15">
      <c r="A17" s="277">
        <v>16</v>
      </c>
      <c r="B17" s="277" t="s">
        <v>207</v>
      </c>
      <c r="C17" s="8">
        <v>3.0201070308685303</v>
      </c>
      <c r="D17" s="9">
        <v>0.38933232426643372</v>
      </c>
      <c r="E17" s="9">
        <v>0.5878639817237854</v>
      </c>
      <c r="F17" s="9">
        <v>2.3044829368591309</v>
      </c>
      <c r="G17" s="9">
        <v>0.26468673348426819</v>
      </c>
      <c r="H17" s="9">
        <v>0.25509583950042725</v>
      </c>
      <c r="I17">
        <v>2.4882001802325249E-2</v>
      </c>
      <c r="J17"/>
    </row>
    <row r="18" spans="1:10" ht="15" customHeight="1" x14ac:dyDescent="0.15">
      <c r="A18" s="278">
        <v>17</v>
      </c>
      <c r="B18" s="278" t="s">
        <v>208</v>
      </c>
      <c r="C18" s="8">
        <v>3.0791373252868652</v>
      </c>
      <c r="D18" s="9">
        <v>4.835871234536171E-2</v>
      </c>
      <c r="E18" s="9">
        <v>0.26736700534820557</v>
      </c>
      <c r="F18" s="9">
        <v>1.6435710191726685</v>
      </c>
      <c r="G18" s="9">
        <v>0.94999998807907104</v>
      </c>
      <c r="H18" s="9">
        <v>0.1626744419336319</v>
      </c>
      <c r="I18">
        <v>2.6259999722242355E-3</v>
      </c>
      <c r="J18"/>
    </row>
    <row r="19" spans="1:10" ht="15" customHeight="1" x14ac:dyDescent="0.15">
      <c r="A19" s="279">
        <v>18</v>
      </c>
      <c r="B19" s="279" t="s">
        <v>209</v>
      </c>
      <c r="C19" s="8">
        <v>4.0685462951660156</v>
      </c>
      <c r="D19" s="9">
        <v>0.51999998092651367</v>
      </c>
      <c r="E19" s="9">
        <v>0.28999999165534973</v>
      </c>
      <c r="F19" s="9">
        <v>2.878000020980835</v>
      </c>
      <c r="G19" s="10"/>
      <c r="H19" s="9">
        <v>0.10076441615819931</v>
      </c>
      <c r="I19">
        <v>3.706200048327446E-2</v>
      </c>
      <c r="J19"/>
    </row>
    <row r="20" spans="1:10" ht="15" customHeight="1" x14ac:dyDescent="0.15">
      <c r="A20" s="280">
        <v>19</v>
      </c>
      <c r="B20" s="280" t="s">
        <v>210</v>
      </c>
      <c r="C20" s="8">
        <v>3.8848814964294434</v>
      </c>
      <c r="D20" s="9">
        <v>1.7510915175080299E-2</v>
      </c>
      <c r="E20" s="9">
        <v>0.19298000633716583</v>
      </c>
      <c r="F20" s="9">
        <v>4.7699999809265137</v>
      </c>
      <c r="G20" s="9">
        <v>0.9500001072883606</v>
      </c>
      <c r="H20" s="9">
        <v>4.0457025170326233E-2</v>
      </c>
      <c r="I20">
        <v>2.4999998277053237E-4</v>
      </c>
      <c r="J20"/>
    </row>
    <row r="21" spans="1:10" ht="15" customHeight="1" x14ac:dyDescent="0.15">
      <c r="A21" s="281">
        <v>20</v>
      </c>
      <c r="B21" s="281" t="s">
        <v>211</v>
      </c>
      <c r="C21" s="8">
        <v>3.5188100337982178</v>
      </c>
      <c r="D21" s="9">
        <v>1.8799999952316284</v>
      </c>
      <c r="E21" s="9">
        <v>0.33000001311302185</v>
      </c>
      <c r="F21" s="9">
        <v>2</v>
      </c>
      <c r="G21" s="9">
        <v>0.52934980392456055</v>
      </c>
      <c r="H21" s="9">
        <v>0.16500000655651093</v>
      </c>
      <c r="I21">
        <v>0.17768999934196472</v>
      </c>
      <c r="J21"/>
    </row>
    <row r="22" spans="1:10" ht="15" customHeight="1" x14ac:dyDescent="0.15">
      <c r="A22" s="282">
        <v>21</v>
      </c>
      <c r="B22" s="282" t="s">
        <v>212</v>
      </c>
      <c r="C22" s="8">
        <v>3.7501211166381836</v>
      </c>
      <c r="D22" s="9">
        <v>0.37254700064659119</v>
      </c>
      <c r="E22" s="9">
        <v>0.30000001192092896</v>
      </c>
      <c r="F22" s="9">
        <v>4.4000000953674316</v>
      </c>
      <c r="G22" s="9">
        <v>0.16546075046062469</v>
      </c>
      <c r="H22" s="9">
        <v>6.8181820213794708E-2</v>
      </c>
      <c r="I22">
        <v>1.8285999074578285E-2</v>
      </c>
      <c r="J22"/>
    </row>
    <row r="23" spans="1:10" ht="15" customHeight="1" x14ac:dyDescent="0.15">
      <c r="A23" s="283">
        <v>22</v>
      </c>
      <c r="B23" s="283" t="s">
        <v>213</v>
      </c>
      <c r="C23" s="8">
        <v>4.244257926940918</v>
      </c>
      <c r="D23" s="9">
        <v>0.11074809730052948</v>
      </c>
      <c r="E23" s="9">
        <v>0.61661297082901001</v>
      </c>
      <c r="F23" s="9">
        <v>4.110753059387207</v>
      </c>
      <c r="G23" s="10"/>
      <c r="H23" s="9">
        <v>0.15000000596046448</v>
      </c>
      <c r="I23">
        <v>2.1588997915387154E-2</v>
      </c>
      <c r="J23"/>
    </row>
    <row r="24" spans="1:10" ht="15" customHeight="1" x14ac:dyDescent="0.15">
      <c r="A24" s="284">
        <v>23</v>
      </c>
      <c r="B24" s="284" t="s">
        <v>214</v>
      </c>
      <c r="C24" s="8">
        <v>3.8100230693817139</v>
      </c>
      <c r="D24" s="9">
        <v>4.6433415412902832</v>
      </c>
      <c r="E24" s="9">
        <v>0.14672799408435822</v>
      </c>
      <c r="F24" s="9">
        <v>1.3999999761581421</v>
      </c>
      <c r="G24" s="9">
        <v>0.94998794794082642</v>
      </c>
      <c r="H24" s="9">
        <v>0.10480571538209915</v>
      </c>
      <c r="I24">
        <v>0</v>
      </c>
      <c r="J24"/>
    </row>
    <row r="25" spans="1:10" ht="15" customHeight="1" x14ac:dyDescent="0.15">
      <c r="A25" s="285">
        <v>24</v>
      </c>
      <c r="B25" s="285" t="s">
        <v>215</v>
      </c>
      <c r="C25" s="8">
        <v>3.3134391307830811</v>
      </c>
      <c r="D25" s="9">
        <v>0.26732924580574036</v>
      </c>
      <c r="E25" s="9">
        <v>0.27173799276351929</v>
      </c>
      <c r="F25" s="9">
        <v>1.746999979019165</v>
      </c>
      <c r="G25" s="10"/>
      <c r="H25" s="9">
        <v>0.15554550290107727</v>
      </c>
      <c r="I25">
        <v>3.0709998682141304E-2</v>
      </c>
      <c r="J25"/>
    </row>
    <row r="26" spans="1:10" ht="15" customHeight="1" x14ac:dyDescent="0.15">
      <c r="A26" s="286">
        <v>25</v>
      </c>
      <c r="B26" s="286" t="s">
        <v>216</v>
      </c>
      <c r="C26" s="8">
        <v>3.2256486415863037</v>
      </c>
      <c r="D26" s="9">
        <v>5.3331723213195801</v>
      </c>
      <c r="E26" s="9">
        <v>0.23242500424385071</v>
      </c>
      <c r="F26" s="9">
        <v>2</v>
      </c>
      <c r="G26" s="9">
        <v>0.94996458292007446</v>
      </c>
      <c r="H26" s="9">
        <v>0.11621250212192535</v>
      </c>
      <c r="I26">
        <v>0</v>
      </c>
      <c r="J26"/>
    </row>
    <row r="27" spans="1:10" ht="15" customHeight="1" x14ac:dyDescent="0.15">
      <c r="A27" s="287">
        <v>26</v>
      </c>
      <c r="B27" s="287" t="s">
        <v>217</v>
      </c>
      <c r="C27" s="8">
        <v>3.0887520313262939</v>
      </c>
      <c r="D27" s="9">
        <v>1.5717775821685791</v>
      </c>
      <c r="E27" s="9">
        <v>0.56403201818466187</v>
      </c>
      <c r="F27" s="9">
        <v>4.5</v>
      </c>
      <c r="G27" s="9">
        <v>0.94992244243621826</v>
      </c>
      <c r="H27" s="9">
        <v>0.12534044682979584</v>
      </c>
      <c r="I27">
        <v>8.9000001025851816E-5</v>
      </c>
      <c r="J27"/>
    </row>
    <row r="28" spans="1:10" ht="15" customHeight="1" x14ac:dyDescent="0.15">
      <c r="A28" s="288">
        <v>27</v>
      </c>
      <c r="B28" s="288" t="s">
        <v>218</v>
      </c>
      <c r="C28" s="8">
        <v>3.377535343170166</v>
      </c>
      <c r="D28" s="9">
        <v>0.23245926201343536</v>
      </c>
      <c r="E28" s="9">
        <v>0.11427299678325653</v>
      </c>
      <c r="F28" s="9">
        <v>1.3999999761581421</v>
      </c>
      <c r="G28" s="9">
        <v>0.95000004768371582</v>
      </c>
      <c r="H28" s="9">
        <v>8.1623569130897522E-2</v>
      </c>
      <c r="I28">
        <v>0</v>
      </c>
      <c r="J28"/>
    </row>
    <row r="29" spans="1:10" ht="15" customHeight="1" x14ac:dyDescent="0.15">
      <c r="A29" s="289">
        <v>28</v>
      </c>
      <c r="B29" s="289" t="s">
        <v>219</v>
      </c>
      <c r="C29" s="8">
        <v>3.9516434669494629</v>
      </c>
      <c r="D29" s="9">
        <v>0.10552514344453812</v>
      </c>
      <c r="E29" s="9">
        <v>0.16600899398326874</v>
      </c>
      <c r="F29" s="9">
        <v>1.2999999523162842</v>
      </c>
      <c r="G29" s="9">
        <v>0.95000004768371582</v>
      </c>
      <c r="H29" s="9">
        <v>0.12769922614097595</v>
      </c>
      <c r="I29">
        <v>1.9999999494757503E-5</v>
      </c>
      <c r="J29"/>
    </row>
    <row r="30" spans="1:10" ht="15" customHeight="1" x14ac:dyDescent="0.15">
      <c r="A30" s="290">
        <v>29</v>
      </c>
      <c r="B30" s="290" t="s">
        <v>220</v>
      </c>
      <c r="C30" s="8">
        <v>4.1370763778686523</v>
      </c>
      <c r="D30" s="9">
        <v>1.4126669615507126E-2</v>
      </c>
      <c r="E30" s="9">
        <v>0.61391472816467285</v>
      </c>
      <c r="F30" s="9">
        <v>4.0927648544311523</v>
      </c>
      <c r="G30" s="9">
        <v>0.94999831914901733</v>
      </c>
      <c r="H30" s="9">
        <v>0.15000000596046448</v>
      </c>
      <c r="I30">
        <v>3.5480000078678131E-3</v>
      </c>
      <c r="J30"/>
    </row>
    <row r="31" spans="1:10" ht="15" customHeight="1" x14ac:dyDescent="0.15">
      <c r="A31" s="291">
        <v>30</v>
      </c>
      <c r="B31" s="291" t="s">
        <v>221</v>
      </c>
      <c r="C31" s="8">
        <v>3.1173701286315918</v>
      </c>
      <c r="D31" s="9">
        <v>13.609999656677246</v>
      </c>
      <c r="E31" s="9">
        <v>1.1499999761581421</v>
      </c>
      <c r="F31" s="9">
        <v>4.3000001907348633</v>
      </c>
      <c r="G31" s="9">
        <v>0.91091924905776978</v>
      </c>
      <c r="H31" s="9">
        <v>0.26744183897972107</v>
      </c>
      <c r="I31">
        <v>0.12598399817943573</v>
      </c>
      <c r="J31"/>
    </row>
    <row r="32" spans="1:10" ht="15" customHeight="1" x14ac:dyDescent="0.15">
      <c r="A32" s="292">
        <v>31</v>
      </c>
      <c r="B32" s="292" t="s">
        <v>222</v>
      </c>
      <c r="C32" s="8">
        <v>3.109595775604248</v>
      </c>
      <c r="D32" s="9">
        <v>2.690000057220459</v>
      </c>
      <c r="E32" s="9">
        <v>1.1499999761581421</v>
      </c>
      <c r="F32" s="9">
        <v>7.6669998168945312</v>
      </c>
      <c r="G32" s="9">
        <v>0.91025865077972412</v>
      </c>
      <c r="H32" s="9">
        <v>0.14999347925186157</v>
      </c>
      <c r="I32">
        <v>8.2999998994637281E-5</v>
      </c>
      <c r="J32"/>
    </row>
    <row r="33" spans="1:10" ht="15" customHeight="1" x14ac:dyDescent="0.15">
      <c r="A33" s="293">
        <v>32</v>
      </c>
      <c r="B33" s="293" t="s">
        <v>223</v>
      </c>
      <c r="C33" s="8">
        <v>3.2453548908233643</v>
      </c>
      <c r="D33" s="9">
        <v>3</v>
      </c>
      <c r="E33" s="9">
        <v>0.40000000596046448</v>
      </c>
      <c r="F33" s="9">
        <v>2.6329998970031738</v>
      </c>
      <c r="G33" s="9">
        <v>0.80695158243179321</v>
      </c>
      <c r="H33" s="9">
        <v>0.15191797912120819</v>
      </c>
      <c r="I33">
        <v>0</v>
      </c>
      <c r="J33"/>
    </row>
    <row r="34" spans="1:10" ht="15" customHeight="1" x14ac:dyDescent="0.15">
      <c r="A34" s="294">
        <v>33</v>
      </c>
      <c r="B34" s="294" t="s">
        <v>224</v>
      </c>
      <c r="C34" s="8">
        <v>3.1606364250183105</v>
      </c>
      <c r="D34" s="9">
        <v>1.5129837989807129</v>
      </c>
      <c r="E34" s="9">
        <v>0.54396897554397583</v>
      </c>
      <c r="F34" s="9">
        <v>4.0999999046325684</v>
      </c>
      <c r="G34" s="9">
        <v>0.94996798038482666</v>
      </c>
      <c r="H34" s="9">
        <v>0.13267536461353302</v>
      </c>
      <c r="I34">
        <v>1.8182000145316124E-2</v>
      </c>
      <c r="J34"/>
    </row>
    <row r="35" spans="1:10" ht="15" customHeight="1" x14ac:dyDescent="0.15">
      <c r="A35" s="295">
        <v>34</v>
      </c>
      <c r="B35" s="295" t="s">
        <v>225</v>
      </c>
      <c r="C35" s="8">
        <v>3.9256110191345215</v>
      </c>
      <c r="D35" s="9">
        <v>1.2356140650808811E-2</v>
      </c>
      <c r="E35" s="9">
        <v>0.40000000596046448</v>
      </c>
      <c r="F35" s="9">
        <v>1.9900000095367432</v>
      </c>
      <c r="G35" s="9">
        <v>0.94997906684875488</v>
      </c>
      <c r="H35" s="9">
        <v>0.20100502669811249</v>
      </c>
      <c r="I35">
        <v>7.1499997284263372E-4</v>
      </c>
      <c r="J35"/>
    </row>
    <row r="36" spans="1:10" ht="15" customHeight="1" x14ac:dyDescent="0.15">
      <c r="A36" s="296">
        <v>35</v>
      </c>
      <c r="B36" s="296" t="s">
        <v>226</v>
      </c>
      <c r="C36" s="8">
        <v>3.2348484992980957</v>
      </c>
      <c r="D36" s="9">
        <v>4.7063097953796387</v>
      </c>
      <c r="E36" s="9">
        <v>0.63838201761245728</v>
      </c>
      <c r="F36" s="9">
        <v>1.7669999599456787</v>
      </c>
      <c r="G36" s="9">
        <v>0.9499896764755249</v>
      </c>
      <c r="H36" s="9">
        <v>0.36128014326095581</v>
      </c>
      <c r="I36">
        <v>1.6749999485909939E-3</v>
      </c>
      <c r="J36"/>
    </row>
    <row r="37" spans="1:10" ht="15" customHeight="1" x14ac:dyDescent="0.15">
      <c r="A37" s="297">
        <v>36</v>
      </c>
      <c r="B37" s="297" t="s">
        <v>227</v>
      </c>
      <c r="C37" s="8">
        <v>3.2614161968231201</v>
      </c>
      <c r="D37" s="9">
        <v>1.5274219512939453</v>
      </c>
      <c r="E37" s="9">
        <v>1.4220420122146606</v>
      </c>
      <c r="F37" s="9">
        <v>4.7893819808959961</v>
      </c>
      <c r="G37" s="9">
        <v>0.94989180564880371</v>
      </c>
      <c r="H37" s="9">
        <v>0.29691556096076965</v>
      </c>
      <c r="I37">
        <v>0</v>
      </c>
      <c r="J37"/>
    </row>
    <row r="38" spans="1:10" ht="15" customHeight="1" x14ac:dyDescent="0.15">
      <c r="A38" s="298">
        <v>37</v>
      </c>
      <c r="B38" s="298" t="s">
        <v>228</v>
      </c>
      <c r="C38" s="8">
        <v>3.8875370025634766</v>
      </c>
      <c r="D38" s="9">
        <v>0.81109827756881714</v>
      </c>
      <c r="E38" s="9">
        <v>0.60000002384185791</v>
      </c>
      <c r="F38" s="9">
        <v>4</v>
      </c>
      <c r="G38" s="9">
        <v>0.94999510049819946</v>
      </c>
      <c r="H38" s="9">
        <v>0.15000000596046448</v>
      </c>
      <c r="I38">
        <v>1.1620000004768372E-3</v>
      </c>
      <c r="J38"/>
    </row>
    <row r="39" spans="1:10" ht="15" customHeight="1" x14ac:dyDescent="0.15">
      <c r="A39" s="299">
        <v>38</v>
      </c>
      <c r="B39" s="299" t="s">
        <v>229</v>
      </c>
      <c r="C39" s="8">
        <v>3.1565656661987305</v>
      </c>
      <c r="D39" s="9">
        <v>1.8521184921264648</v>
      </c>
      <c r="E39" s="9">
        <v>0.5</v>
      </c>
      <c r="F39" s="9">
        <v>3.3333332538604736</v>
      </c>
      <c r="G39" s="9">
        <v>0.94990754127502441</v>
      </c>
      <c r="H39" s="9">
        <v>0.15000000596046448</v>
      </c>
      <c r="I39">
        <v>0</v>
      </c>
      <c r="J39"/>
    </row>
    <row r="40" spans="1:10" ht="15" customHeight="1" x14ac:dyDescent="0.15">
      <c r="A40" s="300">
        <v>39</v>
      </c>
      <c r="B40" s="300" t="s">
        <v>230</v>
      </c>
      <c r="C40" s="8">
        <v>2.9128298759460449</v>
      </c>
      <c r="D40" s="9">
        <v>0.17443400621414185</v>
      </c>
      <c r="E40" s="9">
        <v>0.37999999523162842</v>
      </c>
      <c r="F40" s="9">
        <v>4.4200000762939453</v>
      </c>
      <c r="G40" s="9">
        <v>0.38951557874679565</v>
      </c>
      <c r="H40" s="9">
        <v>8.5972845554351807E-2</v>
      </c>
      <c r="I40">
        <v>1.4345000497996807E-2</v>
      </c>
      <c r="J40"/>
    </row>
    <row r="41" spans="1:10" ht="15" customHeight="1" x14ac:dyDescent="0.15">
      <c r="A41" s="301">
        <v>40</v>
      </c>
      <c r="B41" s="301" t="s">
        <v>231</v>
      </c>
      <c r="C41" s="8">
        <v>3.0155980587005615</v>
      </c>
      <c r="D41" s="9">
        <v>7.6042375564575195</v>
      </c>
      <c r="E41" s="9">
        <v>0.37999999523162842</v>
      </c>
      <c r="F41" s="9">
        <v>4.4200000762939453</v>
      </c>
      <c r="G41" s="9">
        <v>0.91966056823730469</v>
      </c>
      <c r="H41" s="9">
        <v>8.5972845554351807E-2</v>
      </c>
      <c r="I41">
        <v>0</v>
      </c>
      <c r="J41"/>
    </row>
    <row r="42" spans="1:10" ht="15" customHeight="1" x14ac:dyDescent="0.15">
      <c r="A42" s="302">
        <v>41</v>
      </c>
      <c r="B42" s="302" t="s">
        <v>232</v>
      </c>
      <c r="C42" s="8">
        <v>2.9249701499938965</v>
      </c>
      <c r="D42" s="9">
        <v>4.4789998792111874E-3</v>
      </c>
      <c r="E42" s="9">
        <v>0.37999999523162842</v>
      </c>
      <c r="F42" s="9">
        <v>4.4200000762939453</v>
      </c>
      <c r="G42" s="9">
        <v>0.9406546950340271</v>
      </c>
      <c r="H42" s="9">
        <v>8.5972845554351807E-2</v>
      </c>
      <c r="I42">
        <v>1.4159999554976821E-3</v>
      </c>
      <c r="J42"/>
    </row>
    <row r="43" spans="1:10" ht="15" customHeight="1" x14ac:dyDescent="0.15">
      <c r="A43" s="303">
        <v>42</v>
      </c>
      <c r="B43" s="303" t="s">
        <v>233</v>
      </c>
      <c r="C43" s="8">
        <v>2.4275758266448975</v>
      </c>
      <c r="D43" s="9">
        <v>1.4600000381469727</v>
      </c>
      <c r="E43" s="9">
        <v>1.4500000476837158</v>
      </c>
      <c r="F43" s="9">
        <v>9.6669998168945312</v>
      </c>
      <c r="G43" s="9">
        <v>0.99111193418502808</v>
      </c>
      <c r="H43" s="9">
        <v>0.14999483525753021</v>
      </c>
      <c r="I43">
        <v>3.0930000357329845E-3</v>
      </c>
      <c r="J43"/>
    </row>
    <row r="44" spans="1:10" ht="15" customHeight="1" x14ac:dyDescent="0.15">
      <c r="A44" s="304">
        <v>43</v>
      </c>
      <c r="B44" s="304" t="s">
        <v>234</v>
      </c>
      <c r="C44" s="8">
        <v>2</v>
      </c>
      <c r="D44" s="9">
        <v>112.30000305175781</v>
      </c>
      <c r="E44" s="9">
        <v>0.60000002384185791</v>
      </c>
      <c r="F44" s="9">
        <v>6.6669998168945312</v>
      </c>
      <c r="G44" s="9">
        <v>0.11779532581567764</v>
      </c>
      <c r="H44" s="9">
        <v>8.9995503425598145E-2</v>
      </c>
      <c r="I44">
        <v>1.0000000116860974E-7</v>
      </c>
      <c r="J44"/>
    </row>
    <row r="45" spans="1:10" ht="15" customHeight="1" x14ac:dyDescent="0.15">
      <c r="A45" s="305">
        <v>44</v>
      </c>
      <c r="B45" s="305" t="s">
        <v>235</v>
      </c>
      <c r="C45" s="8">
        <v>2</v>
      </c>
      <c r="D45" s="9">
        <v>10.5</v>
      </c>
      <c r="E45" s="9">
        <v>2</v>
      </c>
      <c r="F45" s="9">
        <v>22.222000122070312</v>
      </c>
      <c r="G45" s="9">
        <v>0.38359946012496948</v>
      </c>
      <c r="H45" s="9">
        <v>9.0000897645950317E-2</v>
      </c>
      <c r="I45">
        <v>0</v>
      </c>
      <c r="J45"/>
    </row>
    <row r="46" spans="1:10" ht="15" customHeight="1" x14ac:dyDescent="0.15">
      <c r="A46" s="306">
        <v>45</v>
      </c>
      <c r="B46" s="306" t="s">
        <v>236</v>
      </c>
      <c r="C46" s="8">
        <v>2</v>
      </c>
      <c r="D46" s="9">
        <v>42.099998474121094</v>
      </c>
      <c r="E46" s="9">
        <v>0.56999999284744263</v>
      </c>
      <c r="F46" s="9">
        <v>6.3330001831054688</v>
      </c>
      <c r="G46" s="9">
        <v>0.41738605499267578</v>
      </c>
      <c r="H46" s="9">
        <v>9.0004734694957733E-2</v>
      </c>
      <c r="I46">
        <v>2.4399999529123306E-4</v>
      </c>
      <c r="J46"/>
    </row>
    <row r="47" spans="1:10" ht="15" customHeight="1" x14ac:dyDescent="0.15">
      <c r="A47" s="307">
        <v>46</v>
      </c>
      <c r="B47" s="307" t="s">
        <v>237</v>
      </c>
      <c r="C47" s="8">
        <v>2</v>
      </c>
      <c r="D47" s="9">
        <v>7.8000001907348633</v>
      </c>
      <c r="E47" s="9">
        <v>2.5</v>
      </c>
      <c r="F47" s="9">
        <v>12.5</v>
      </c>
      <c r="G47" s="9">
        <v>0.73844611644744873</v>
      </c>
      <c r="H47" s="9">
        <v>0.20000000298023224</v>
      </c>
      <c r="I47">
        <v>0</v>
      </c>
      <c r="J47"/>
    </row>
    <row r="48" spans="1:10" ht="15" customHeight="1" x14ac:dyDescent="0.15">
      <c r="A48" s="308">
        <v>47</v>
      </c>
      <c r="B48" s="308" t="s">
        <v>238</v>
      </c>
      <c r="C48" s="8">
        <v>2.3131313323974609</v>
      </c>
      <c r="D48" s="9">
        <v>22.459999084472656</v>
      </c>
      <c r="E48" s="9">
        <v>3.4330000877380371</v>
      </c>
      <c r="F48" s="9">
        <v>19.5</v>
      </c>
      <c r="G48" s="9">
        <v>0.90545517206192017</v>
      </c>
      <c r="H48" s="9">
        <v>0.17605128884315491</v>
      </c>
      <c r="I48">
        <v>0</v>
      </c>
      <c r="J48"/>
    </row>
    <row r="49" spans="1:10" ht="15" customHeight="1" x14ac:dyDescent="0.15">
      <c r="A49" s="309">
        <v>48</v>
      </c>
      <c r="B49" s="309" t="s">
        <v>239</v>
      </c>
      <c r="C49" s="8">
        <v>2</v>
      </c>
      <c r="D49" s="9">
        <v>33.669998168945312</v>
      </c>
      <c r="E49" s="9">
        <v>8.3999996185302734</v>
      </c>
      <c r="F49" s="9">
        <v>20.666999816894531</v>
      </c>
      <c r="G49" s="9">
        <v>0.72827905416488647</v>
      </c>
      <c r="H49" s="9">
        <v>0.40644505620002747</v>
      </c>
      <c r="I49">
        <v>0</v>
      </c>
      <c r="J49"/>
    </row>
    <row r="50" spans="1:10" ht="15" customHeight="1" x14ac:dyDescent="0.15">
      <c r="A50" s="310">
        <v>49</v>
      </c>
      <c r="B50" s="310" t="s">
        <v>240</v>
      </c>
      <c r="C50" s="8">
        <v>1</v>
      </c>
      <c r="D50" s="9">
        <v>26.860000610351562</v>
      </c>
      <c r="E50" s="9">
        <v>93.099998474121094</v>
      </c>
      <c r="F50" s="10"/>
      <c r="G50" s="9">
        <v>0.38208213448524475</v>
      </c>
      <c r="H50" s="10"/>
      <c r="I50">
        <v>0</v>
      </c>
      <c r="J50"/>
    </row>
    <row r="51" spans="1:10" ht="15" customHeight="1" x14ac:dyDescent="0.15">
      <c r="A51" s="311">
        <v>50</v>
      </c>
      <c r="B51" s="311" t="s">
        <v>241</v>
      </c>
      <c r="C51" s="8">
        <v>1</v>
      </c>
      <c r="D51" s="9">
        <v>389</v>
      </c>
      <c r="E51" s="10"/>
      <c r="F51" s="10"/>
      <c r="G51" s="9">
        <v>0.61751002073287964</v>
      </c>
      <c r="H51" s="10"/>
      <c r="I51">
        <v>0</v>
      </c>
      <c r="J51"/>
    </row>
    <row r="52" spans="1:10" ht="15" customHeight="1" x14ac:dyDescent="0.15">
      <c r="A52" s="312">
        <v>51</v>
      </c>
      <c r="B52" s="312" t="s">
        <v>242</v>
      </c>
      <c r="C52" s="8">
        <v>1</v>
      </c>
      <c r="D52" s="9">
        <v>5</v>
      </c>
      <c r="E52" s="10"/>
      <c r="F52" s="10"/>
      <c r="G52" s="7">
        <v>0</v>
      </c>
      <c r="H52" s="10"/>
      <c r="I52">
        <v>0</v>
      </c>
      <c r="J52"/>
    </row>
    <row r="53" spans="1:10" ht="15" customHeight="1" x14ac:dyDescent="0.15">
      <c r="A53" s="313">
        <v>52</v>
      </c>
      <c r="B53" s="313" t="s">
        <v>243</v>
      </c>
      <c r="C53" s="8">
        <v>5.1009631156921387</v>
      </c>
      <c r="D53" s="10"/>
      <c r="E53" s="10"/>
      <c r="F53" s="10"/>
      <c r="G53" s="10"/>
      <c r="H53" s="10"/>
      <c r="I53">
        <v>2.0789999980479479E-3</v>
      </c>
      <c r="J53"/>
    </row>
    <row r="54" spans="1:10" ht="15" customHeight="1" x14ac:dyDescent="0.15">
      <c r="A54" s="314">
        <v>53</v>
      </c>
      <c r="B54" s="314" t="s">
        <v>244</v>
      </c>
      <c r="C54" s="8">
        <v>4.7876195907592773</v>
      </c>
      <c r="D54" s="10"/>
      <c r="E54" s="10"/>
      <c r="F54" s="10"/>
      <c r="G54" s="10"/>
      <c r="H54" s="10"/>
      <c r="I54">
        <v>0.82208287715911865</v>
      </c>
      <c r="J54"/>
    </row>
    <row r="55" spans="1:10" ht="15" customHeight="1" x14ac:dyDescent="0.15">
      <c r="A55" s="315">
        <v>54</v>
      </c>
      <c r="B55" s="315" t="s">
        <v>245</v>
      </c>
      <c r="C55" s="8">
        <v>4.3046402931213379</v>
      </c>
      <c r="D55" s="10"/>
      <c r="E55" s="10"/>
      <c r="F55" s="10"/>
      <c r="G55" s="10"/>
      <c r="H55" s="10"/>
      <c r="I55">
        <v>9.6400000154972076E-2</v>
      </c>
      <c r="J55"/>
    </row>
    <row r="56" spans="1:10" ht="15" customHeight="1" x14ac:dyDescent="0.15">
      <c r="A56" s="316">
        <v>55</v>
      </c>
      <c r="B56" s="316" t="s">
        <v>246</v>
      </c>
      <c r="C56" s="8">
        <v>4.8142757415771484</v>
      </c>
      <c r="D56" s="10"/>
      <c r="E56" s="10"/>
      <c r="F56" s="10"/>
      <c r="G56" s="10"/>
      <c r="H56" s="10"/>
      <c r="I56">
        <v>9.6199993276968598E-4</v>
      </c>
      <c r="J56"/>
    </row>
    <row r="57" spans="1:10" ht="15" customHeight="1" x14ac:dyDescent="0.15">
      <c r="A57" s="317">
        <v>56</v>
      </c>
      <c r="B57" s="317" t="s">
        <v>247</v>
      </c>
      <c r="C57" s="8">
        <v>4.3202986717224121</v>
      </c>
      <c r="D57" s="10"/>
      <c r="E57" s="10"/>
      <c r="F57" s="10"/>
      <c r="G57" s="10"/>
      <c r="H57" s="10"/>
      <c r="I57">
        <v>5.2236996591091156E-2</v>
      </c>
      <c r="J57"/>
    </row>
    <row r="58" spans="1:10" ht="15" customHeight="1" x14ac:dyDescent="0.15">
      <c r="A58" s="318">
        <v>57</v>
      </c>
      <c r="B58" s="318" t="s">
        <v>248</v>
      </c>
      <c r="C58" s="8">
        <v>5.0135493278503418</v>
      </c>
      <c r="D58" s="10"/>
      <c r="E58" s="10"/>
      <c r="F58" s="10"/>
      <c r="G58" s="10"/>
      <c r="H58" s="10"/>
      <c r="I58">
        <v>9.9718004465103149E-2</v>
      </c>
      <c r="J58"/>
    </row>
    <row r="59" spans="1:10" ht="15" customHeight="1" x14ac:dyDescent="0.15">
      <c r="A59" s="319">
        <v>58</v>
      </c>
      <c r="B59" s="319" t="s">
        <v>249</v>
      </c>
      <c r="C59" s="8">
        <v>5.0789928436279297</v>
      </c>
      <c r="D59" s="10"/>
      <c r="E59" s="10"/>
      <c r="F59" s="10"/>
      <c r="G59" s="10"/>
      <c r="H59" s="10"/>
      <c r="I59">
        <v>4.5981999486684799E-2</v>
      </c>
      <c r="J59"/>
    </row>
    <row r="60" spans="1:10" ht="15" customHeight="1" x14ac:dyDescent="0.15">
      <c r="A60" s="320">
        <v>59</v>
      </c>
      <c r="B60" s="320" t="s">
        <v>250</v>
      </c>
      <c r="C60" s="8">
        <v>4.5825033187866211</v>
      </c>
      <c r="D60" s="10"/>
      <c r="E60" s="10"/>
      <c r="F60" s="10"/>
      <c r="G60" s="10"/>
      <c r="H60" s="10"/>
      <c r="I60">
        <v>0.128727987408638</v>
      </c>
      <c r="J60"/>
    </row>
    <row r="61" spans="1:10" ht="15" customHeight="1" x14ac:dyDescent="0.15">
      <c r="A61" s="321">
        <v>60</v>
      </c>
      <c r="B61" s="321" t="s">
        <v>251</v>
      </c>
      <c r="C61" s="8">
        <v>3.0129456520080566</v>
      </c>
      <c r="D61" s="10"/>
      <c r="E61" s="10"/>
      <c r="F61" s="10"/>
      <c r="G61" s="10"/>
      <c r="H61" s="10"/>
      <c r="I61">
        <v>2.4599998141638935E-4</v>
      </c>
      <c r="J61"/>
    </row>
    <row r="62" spans="1:10" ht="15" customHeight="1" x14ac:dyDescent="0.15">
      <c r="A62" s="322">
        <v>61</v>
      </c>
      <c r="B62" s="322" t="s">
        <v>252</v>
      </c>
      <c r="C62" s="8">
        <v>3</v>
      </c>
      <c r="D62" s="10"/>
      <c r="E62" s="10"/>
      <c r="F62" s="10"/>
      <c r="G62" s="10"/>
      <c r="H62" s="10"/>
      <c r="I62">
        <v>1.0000000116860974E-7</v>
      </c>
      <c r="J62"/>
    </row>
    <row r="63" spans="1:10" ht="15" customHeight="1" x14ac:dyDescent="0.15">
      <c r="A63" s="323">
        <v>62</v>
      </c>
      <c r="B63" s="323" t="s">
        <v>253</v>
      </c>
      <c r="C63" s="8">
        <v>4.9632501602172852</v>
      </c>
      <c r="D63" s="10"/>
      <c r="E63" s="10"/>
      <c r="F63" s="10"/>
      <c r="G63" s="10"/>
      <c r="H63" s="10"/>
      <c r="I63">
        <v>1.2329998426139355E-2</v>
      </c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5.9999998658895493E-2</v>
      </c>
      <c r="C2">
        <v>5.9999998658895493E-2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0.10000000149011612</v>
      </c>
      <c r="C3">
        <v>0.10000000149011612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5.9999998658895493E-2</v>
      </c>
      <c r="C4">
        <v>4.3138619512319565E-2</v>
      </c>
      <c r="D4"/>
      <c r="E4"/>
      <c r="F4"/>
      <c r="G4"/>
      <c r="H4"/>
      <c r="I4"/>
      <c r="J4"/>
      <c r="K4"/>
      <c r="L4"/>
      <c r="M4"/>
      <c r="N4"/>
      <c r="O4" s="202">
        <v>1.6861379146575928E-2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0.10199999809265137</v>
      </c>
      <c r="C5">
        <v>8.5532516241073608E-2</v>
      </c>
      <c r="D5" s="29">
        <v>4.8913042992353439E-3</v>
      </c>
      <c r="E5"/>
      <c r="F5"/>
      <c r="G5"/>
      <c r="H5"/>
      <c r="I5" s="194">
        <v>1.1576086282730103E-2</v>
      </c>
      <c r="J5"/>
      <c r="K5"/>
      <c r="L5"/>
      <c r="M5"/>
      <c r="N5"/>
      <c r="O5" s="11">
        <v>9.1637936350252858E-8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0.10899999737739563</v>
      </c>
      <c r="C6">
        <v>0.10373479872941971</v>
      </c>
      <c r="D6" s="181">
        <v>5.2647055126726627E-3</v>
      </c>
      <c r="E6"/>
      <c r="F6"/>
      <c r="G6"/>
      <c r="H6"/>
      <c r="I6"/>
      <c r="J6"/>
      <c r="K6"/>
      <c r="L6"/>
      <c r="M6"/>
      <c r="N6"/>
      <c r="O6" s="11">
        <v>4.959229045198299E-7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0.25</v>
      </c>
      <c r="C7">
        <v>0.1666666567325592</v>
      </c>
      <c r="D7" s="182">
        <v>8.3333335816860199E-2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0.25</v>
      </c>
      <c r="C8">
        <v>0.14781509339809418</v>
      </c>
      <c r="D8" s="183">
        <v>8.1089198589324951E-2</v>
      </c>
      <c r="E8"/>
      <c r="F8"/>
      <c r="G8"/>
      <c r="H8"/>
      <c r="I8"/>
      <c r="J8"/>
      <c r="K8"/>
      <c r="L8"/>
      <c r="M8"/>
      <c r="N8"/>
      <c r="O8"/>
      <c r="P8"/>
      <c r="Q8"/>
      <c r="R8" s="204">
        <v>2.1095708012580872E-2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0.25</v>
      </c>
      <c r="C9">
        <v>0.16885662078857422</v>
      </c>
      <c r="D9" s="184">
        <v>8.1143386662006378E-2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0.34999999403953552</v>
      </c>
      <c r="C10">
        <v>0.14714081585407257</v>
      </c>
      <c r="D10"/>
      <c r="E10" s="185">
        <v>0.15883845090866089</v>
      </c>
      <c r="F10" s="11">
        <v>3.0351086752489209E-4</v>
      </c>
      <c r="G10" s="11">
        <v>2.4222898355219513E-4</v>
      </c>
      <c r="H10"/>
      <c r="I10" s="195">
        <v>2.4289978668093681E-2</v>
      </c>
      <c r="J10" s="199">
        <v>1.6101811081171036E-2</v>
      </c>
      <c r="K10" s="76">
        <v>2.7199624106287956E-2</v>
      </c>
      <c r="L10"/>
      <c r="M10"/>
      <c r="N10" s="15">
        <v>3.6094188690185547E-3</v>
      </c>
      <c r="O10"/>
      <c r="P10"/>
      <c r="Q10" s="11">
        <v>6.6184475144837052E-7</v>
      </c>
      <c r="R10" s="18">
        <v>3.9791930466890335E-3</v>
      </c>
      <c r="S10" s="22">
        <v>2.5845386553555727E-3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0.80000001192092896</v>
      </c>
      <c r="C11">
        <v>2.4526791572570801</v>
      </c>
      <c r="D11"/>
      <c r="E11"/>
      <c r="F11"/>
      <c r="G11"/>
      <c r="H11"/>
      <c r="I11"/>
      <c r="J11"/>
      <c r="K11"/>
      <c r="L11"/>
      <c r="M11"/>
      <c r="N11"/>
      <c r="O11"/>
      <c r="P11" s="225">
        <v>0.10448094457387924</v>
      </c>
      <c r="Q11" s="11">
        <v>4.2780739022418857E-6</v>
      </c>
      <c r="R11" s="72">
        <v>5.6529585272073746E-2</v>
      </c>
      <c r="S11" s="195">
        <v>5.5075075477361679E-2</v>
      </c>
      <c r="T11"/>
      <c r="U11" s="18">
        <v>9.6209337934851646E-3</v>
      </c>
      <c r="V11"/>
      <c r="W11" s="234">
        <v>0.2531554102897644</v>
      </c>
      <c r="X11" s="218">
        <v>4.2595982551574707E-2</v>
      </c>
      <c r="Y11" s="11">
        <v>5.7024660054594278E-4</v>
      </c>
      <c r="Z11" s="20">
        <v>3.4347347915172577E-2</v>
      </c>
      <c r="AA11" s="228">
        <v>0.13718637824058533</v>
      </c>
      <c r="AB11" s="220">
        <v>5.9312004595994949E-2</v>
      </c>
      <c r="AC11"/>
      <c r="AD11"/>
      <c r="AE11"/>
      <c r="AF11" s="64">
        <v>4.4104233384132385E-2</v>
      </c>
      <c r="AG11" s="23">
        <v>4.9084480851888657E-3</v>
      </c>
      <c r="AH11" s="24">
        <v>2.2117648273706436E-2</v>
      </c>
      <c r="AI11"/>
      <c r="AJ11" s="222">
        <v>7.2443358600139618E-2</v>
      </c>
      <c r="AK11" s="14">
        <v>1.9119648495689034E-3</v>
      </c>
      <c r="AL11" s="12">
        <v>2.7463897131383419E-3</v>
      </c>
      <c r="AM11" s="189">
        <v>3.1381070613861084E-2</v>
      </c>
      <c r="AN11"/>
      <c r="AO11"/>
      <c r="AP11"/>
      <c r="AQ11" s="11">
        <v>3.7411085213534534E-4</v>
      </c>
      <c r="AR11"/>
      <c r="AS11"/>
      <c r="AT11"/>
      <c r="AU11"/>
      <c r="AV11" s="11">
        <v>7.2247450589202344E-5</v>
      </c>
      <c r="AW11"/>
      <c r="AX11"/>
      <c r="AY11" s="18">
        <v>9.5389867201447487E-3</v>
      </c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0.54000002145767212</v>
      </c>
      <c r="C12">
        <v>0.52596449851989746</v>
      </c>
      <c r="D12"/>
      <c r="E12" s="114">
        <v>9.8545357584953308E-2</v>
      </c>
      <c r="F12" s="11">
        <v>8.8659791799727827E-5</v>
      </c>
      <c r="G12" s="11">
        <v>1.1546391760930419E-4</v>
      </c>
      <c r="H12"/>
      <c r="I12" s="18">
        <v>6.0515464283525944E-3</v>
      </c>
      <c r="J12" s="11">
        <v>2.8453607228584588E-4</v>
      </c>
      <c r="K12" s="11">
        <v>1.5154638094827533E-4</v>
      </c>
      <c r="L12" s="11">
        <v>2.061855639112764E-6</v>
      </c>
      <c r="M12"/>
      <c r="N12" s="11">
        <v>7.2164948505815119E-6</v>
      </c>
      <c r="O12"/>
      <c r="P12"/>
      <c r="Q12"/>
      <c r="R12" s="111">
        <v>3.6326572299003601E-2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0.62999999523162842</v>
      </c>
      <c r="C13">
        <v>0.52417552471160889</v>
      </c>
      <c r="D13"/>
      <c r="E13" s="70">
        <v>3.2051283866167068E-2</v>
      </c>
      <c r="F13"/>
      <c r="G13"/>
      <c r="H13"/>
      <c r="I13"/>
      <c r="J13"/>
      <c r="K13"/>
      <c r="L13"/>
      <c r="M13"/>
      <c r="N13"/>
      <c r="O13" s="11">
        <v>2.1617152867747791E-7</v>
      </c>
      <c r="P13"/>
      <c r="Q13" s="11">
        <v>1.4344630017149029E-7</v>
      </c>
      <c r="R13" s="235">
        <v>0.15195345878601074</v>
      </c>
      <c r="S13"/>
      <c r="T13"/>
      <c r="U13"/>
      <c r="V13"/>
      <c r="W13" s="240">
        <v>0.27085861563682556</v>
      </c>
      <c r="X13" s="11">
        <v>5.2965182112529874E-4</v>
      </c>
      <c r="Y13" s="14">
        <v>7.4570724973455071E-4</v>
      </c>
      <c r="Z13" s="23">
        <v>3.7429805379360914E-3</v>
      </c>
      <c r="AA13" s="11">
        <v>6.6310778493061662E-5</v>
      </c>
      <c r="AB13"/>
      <c r="AC13"/>
      <c r="AD13"/>
      <c r="AE13"/>
      <c r="AF13" s="12">
        <v>1.9224925199523568E-3</v>
      </c>
      <c r="AG13"/>
      <c r="AH13"/>
      <c r="AI13"/>
      <c r="AJ13" s="68">
        <v>3.9179954677820206E-2</v>
      </c>
      <c r="AK13" s="207">
        <v>8.3592839539051056E-2</v>
      </c>
      <c r="AL13" s="11">
        <v>5.9857213636860251E-4</v>
      </c>
      <c r="AM13" s="65">
        <v>1.3678928837180138E-2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0.30000001192092896</v>
      </c>
      <c r="C14">
        <v>9.3469806015491486E-3</v>
      </c>
      <c r="D14"/>
      <c r="E14" s="110">
        <v>4.732571542263031E-2</v>
      </c>
      <c r="F14" s="11">
        <v>3.7142857763683423E-5</v>
      </c>
      <c r="G14"/>
      <c r="H14"/>
      <c r="I14" s="196">
        <v>5.2597146481275558E-2</v>
      </c>
      <c r="J14" s="11">
        <v>1.6285714809782803E-4</v>
      </c>
      <c r="K14" s="11">
        <v>1.1428571451688185E-4</v>
      </c>
      <c r="L14"/>
      <c r="M14"/>
      <c r="N14" s="11">
        <v>2.8571428174473112E-6</v>
      </c>
      <c r="O14"/>
      <c r="P14"/>
      <c r="Q14"/>
      <c r="R14" s="223">
        <v>7.3219269514083862E-2</v>
      </c>
      <c r="S14" s="227">
        <v>0.11719377338886261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0.87000000476837158</v>
      </c>
      <c r="C15">
        <v>0.19495314359664917</v>
      </c>
      <c r="D15"/>
      <c r="E15" s="12">
        <v>4.0000001899898052E-3</v>
      </c>
      <c r="F15"/>
      <c r="G15"/>
      <c r="H15"/>
      <c r="I15"/>
      <c r="J15"/>
      <c r="K15"/>
      <c r="L15"/>
      <c r="M15"/>
      <c r="N15"/>
      <c r="O15"/>
      <c r="P15"/>
      <c r="Q15" s="11">
        <v>3.1968031777296346E-8</v>
      </c>
      <c r="R15" s="231">
        <v>0.10891366750001907</v>
      </c>
      <c r="S15" s="236">
        <v>0.24699863791465759</v>
      </c>
      <c r="T15"/>
      <c r="U15"/>
      <c r="V15"/>
      <c r="W15" s="229">
        <v>9.3897640705108643E-2</v>
      </c>
      <c r="X15" s="15">
        <v>8.2757910713553429E-3</v>
      </c>
      <c r="Y15" s="12">
        <v>3.8699221331626177E-3</v>
      </c>
      <c r="Z15" s="17">
        <v>1.1678098700940609E-2</v>
      </c>
      <c r="AA15" s="233">
        <v>0.15651440620422363</v>
      </c>
      <c r="AB15" s="26">
        <v>2.2406758740544319E-2</v>
      </c>
      <c r="AC15"/>
      <c r="AD15"/>
      <c r="AE15"/>
      <c r="AF15" s="12">
        <v>2.9990882612764835E-3</v>
      </c>
      <c r="AG15" s="11">
        <v>5.0066172843798995E-4</v>
      </c>
      <c r="AH15"/>
      <c r="AI15"/>
      <c r="AJ15" s="14">
        <v>1.824499573558569E-3</v>
      </c>
      <c r="AK15" s="16">
        <v>1.3040482066571712E-2</v>
      </c>
      <c r="AL15"/>
      <c r="AM15"/>
      <c r="AN15"/>
      <c r="AO15"/>
      <c r="AP15"/>
      <c r="AQ15" s="11">
        <v>1.2719769438263029E-4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0.53366899490356445</v>
      </c>
      <c r="C16">
        <v>1.438313364982605</v>
      </c>
      <c r="D16"/>
      <c r="E16" s="186">
        <v>0.30154925584793091</v>
      </c>
      <c r="F16" s="11">
        <v>7.0042224251665175E-5</v>
      </c>
      <c r="G16" s="14">
        <v>8.988751214928925E-4</v>
      </c>
      <c r="H16"/>
      <c r="I16"/>
      <c r="J16" s="11">
        <v>1.2841074203606695E-4</v>
      </c>
      <c r="K16"/>
      <c r="L16"/>
      <c r="M16"/>
      <c r="N16" s="11">
        <v>1.1673703738779295E-5</v>
      </c>
      <c r="O16" s="11">
        <v>3.9366949522445793E-7</v>
      </c>
      <c r="P16"/>
      <c r="Q16" s="11">
        <v>6.5307426666549873E-7</v>
      </c>
      <c r="R16" s="14">
        <v>7.2680070297792554E-4</v>
      </c>
      <c r="S16" s="217">
        <v>5.4649058729410172E-2</v>
      </c>
      <c r="T16"/>
      <c r="U16"/>
      <c r="V16"/>
      <c r="W16" s="214">
        <v>4.56722192466259E-2</v>
      </c>
      <c r="X16"/>
      <c r="Y16" s="14">
        <v>1.1316712480038404E-3</v>
      </c>
      <c r="Z16" s="152">
        <v>0.13632665574550629</v>
      </c>
      <c r="AA16"/>
      <c r="AB16"/>
      <c r="AC16"/>
      <c r="AD16"/>
      <c r="AE16"/>
      <c r="AF16"/>
      <c r="AG16"/>
      <c r="AH16"/>
      <c r="AI16"/>
      <c r="AJ16" s="64">
        <v>2.9285665601491928E-2</v>
      </c>
      <c r="AK16" s="226">
        <v>0.2283460944890976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0.5878639817237854</v>
      </c>
      <c r="C17">
        <v>0.43226417899131775</v>
      </c>
      <c r="D17"/>
      <c r="E17" s="187">
        <v>6.0755297541618347E-2</v>
      </c>
      <c r="F17" s="14">
        <v>6.0102896532043815E-4</v>
      </c>
      <c r="G17" s="11">
        <v>4.3664498662110418E-5</v>
      </c>
      <c r="H17"/>
      <c r="I17" s="12">
        <v>2.4837392847985029E-3</v>
      </c>
      <c r="J17" s="11">
        <v>1.5411000276799314E-5</v>
      </c>
      <c r="K17" s="11">
        <v>5.1369997891015373E-6</v>
      </c>
      <c r="L17"/>
      <c r="M17"/>
      <c r="N17" s="11">
        <v>5.1369997891015373E-6</v>
      </c>
      <c r="O17" s="11">
        <v>1.7323380063771765E-7</v>
      </c>
      <c r="P17"/>
      <c r="Q17" s="11">
        <v>1.2316480706431321E-6</v>
      </c>
      <c r="R17" s="180">
        <v>0.60062837600708008</v>
      </c>
      <c r="S17" s="224">
        <v>8.8176943361759186E-2</v>
      </c>
      <c r="T17"/>
      <c r="U17"/>
      <c r="V17"/>
      <c r="W17" s="12">
        <v>2.0037610083818436E-3</v>
      </c>
      <c r="X17"/>
      <c r="Y17" s="11">
        <v>4.9799057887867093E-4</v>
      </c>
      <c r="Z17"/>
      <c r="AA17" s="12">
        <v>2.6622998993843794E-3</v>
      </c>
      <c r="AB17"/>
      <c r="AC17"/>
      <c r="AD17"/>
      <c r="AE17"/>
      <c r="AF17" s="212">
        <v>1.9257891923189163E-2</v>
      </c>
      <c r="AG17"/>
      <c r="AH17"/>
      <c r="AI17"/>
      <c r="AJ17" s="22">
        <v>4.6862266026437283E-3</v>
      </c>
      <c r="AK17" s="193">
        <v>3.3494476228952408E-2</v>
      </c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0.26736700534820557</v>
      </c>
      <c r="C18">
        <v>1.3368353247642517E-2</v>
      </c>
      <c r="D18"/>
      <c r="E18" s="16">
        <v>4.3218685314059258E-3</v>
      </c>
      <c r="F18"/>
      <c r="G18"/>
      <c r="H18"/>
      <c r="I18" s="197">
        <v>4.7478519380092621E-2</v>
      </c>
      <c r="J18" s="12">
        <v>8.6850946536287665E-4</v>
      </c>
      <c r="K18" s="23">
        <v>1.6336248954758048E-3</v>
      </c>
      <c r="L18"/>
      <c r="M18"/>
      <c r="N18"/>
      <c r="O18" s="11">
        <v>1.3946921626484254E-6</v>
      </c>
      <c r="P18"/>
      <c r="Q18" s="11">
        <v>9.9159051387687214E-6</v>
      </c>
      <c r="R18" s="203">
        <v>6.0741463676095009E-3</v>
      </c>
      <c r="S18" s="216">
        <v>0.19361066818237305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0.28999999165534973</v>
      </c>
      <c r="C19">
        <v>0.36671602725982666</v>
      </c>
      <c r="D19"/>
      <c r="E19" s="188">
        <v>6.5511539578437805E-2</v>
      </c>
      <c r="F19" s="19">
        <v>5.1173078827559948E-3</v>
      </c>
      <c r="G19"/>
      <c r="H19"/>
      <c r="I19" s="14">
        <v>5.8269232977181673E-4</v>
      </c>
      <c r="J19" s="11">
        <v>5.3846157243242487E-5</v>
      </c>
      <c r="K19" s="11">
        <v>7.6923079177504405E-6</v>
      </c>
      <c r="L19"/>
      <c r="M19"/>
      <c r="N19"/>
      <c r="O19"/>
      <c r="P19"/>
      <c r="Q19" s="11">
        <v>1.229539634550747E-7</v>
      </c>
      <c r="R19" s="11">
        <v>6.1400064623740036E-6</v>
      </c>
      <c r="S19"/>
      <c r="T19"/>
      <c r="U19"/>
      <c r="V19"/>
      <c r="W19" s="15">
        <v>2.9704910703003407E-3</v>
      </c>
      <c r="X19"/>
      <c r="Y19"/>
      <c r="Z19"/>
      <c r="AA19" s="12">
        <v>9.9665333982557058E-4</v>
      </c>
      <c r="AB19"/>
      <c r="AC19"/>
      <c r="AD19"/>
      <c r="AE19"/>
      <c r="AF19"/>
      <c r="AG19"/>
      <c r="AH19"/>
      <c r="AI19"/>
      <c r="AJ19" s="18">
        <v>3.5086532589048147E-3</v>
      </c>
      <c r="AK19" s="214">
        <v>2.5077851489186287E-2</v>
      </c>
      <c r="AL19" s="11">
        <v>2.6839057682082057E-4</v>
      </c>
      <c r="AM19" s="17">
        <v>4.0938477031886578E-3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0.19298000633716583</v>
      </c>
      <c r="C20">
        <v>9.6489796414971352E-3</v>
      </c>
      <c r="D20"/>
      <c r="E20" s="189">
        <v>7.5952624902129173E-3</v>
      </c>
      <c r="F20" s="28">
        <v>6.6815470345318317E-3</v>
      </c>
      <c r="G20"/>
      <c r="H20"/>
      <c r="I20"/>
      <c r="J20"/>
      <c r="K20"/>
      <c r="L20"/>
      <c r="M20"/>
      <c r="N20"/>
      <c r="O20"/>
      <c r="P20" s="209">
        <v>0.16905421018600464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0.33000001311302185</v>
      </c>
      <c r="C21">
        <v>0.15531456470489502</v>
      </c>
      <c r="D21"/>
      <c r="E21" s="190">
        <v>7.5353190302848816E-2</v>
      </c>
      <c r="F21" s="193">
        <v>1.8907979130744934E-2</v>
      </c>
      <c r="G21"/>
      <c r="H21"/>
      <c r="I21" s="11">
        <v>2.5319147971458733E-4</v>
      </c>
      <c r="J21" s="11">
        <v>5.319149067872786E-7</v>
      </c>
      <c r="K21" s="11">
        <v>5.319149067872786E-7</v>
      </c>
      <c r="L21"/>
      <c r="M21"/>
      <c r="N21" s="11">
        <v>5.319149067872786E-7</v>
      </c>
      <c r="O21"/>
      <c r="P21"/>
      <c r="Q21" s="11">
        <v>5.1012811752570997E-8</v>
      </c>
      <c r="R21" s="16">
        <v>5.1117180846631527E-3</v>
      </c>
      <c r="S21" s="214">
        <v>2.8221096843481064E-2</v>
      </c>
      <c r="T21"/>
      <c r="U21"/>
      <c r="V21"/>
      <c r="W21" s="68">
        <v>2.0810646936297417E-2</v>
      </c>
      <c r="X21" s="11">
        <v>1.0987457790179178E-4</v>
      </c>
      <c r="Y21"/>
      <c r="Z21" s="12">
        <v>1.5529387164860964E-3</v>
      </c>
      <c r="AA21" s="148">
        <v>3.2804735004901886E-2</v>
      </c>
      <c r="AB21"/>
      <c r="AC21"/>
      <c r="AD21"/>
      <c r="AE21"/>
      <c r="AF21" s="203">
        <v>7.9762982204556465E-3</v>
      </c>
      <c r="AG21" s="22">
        <v>2.3523999843746424E-3</v>
      </c>
      <c r="AH21" s="20">
        <v>1.4000000432133675E-2</v>
      </c>
      <c r="AI21"/>
      <c r="AJ21" s="19">
        <v>5.5802511051297188E-3</v>
      </c>
      <c r="AK21" s="231">
        <v>4.1618563234806061E-2</v>
      </c>
      <c r="AL21" s="17">
        <v>4.7185318544507027E-3</v>
      </c>
      <c r="AM21" s="112">
        <v>5.6752994656562805E-2</v>
      </c>
      <c r="AN21"/>
      <c r="AO21"/>
      <c r="AP21"/>
      <c r="AQ21"/>
      <c r="AR21"/>
      <c r="AS21"/>
      <c r="AT21"/>
      <c r="AU21"/>
      <c r="AV21" s="11">
        <v>2.6132056518690661E-5</v>
      </c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0.30000001192092896</v>
      </c>
      <c r="C22">
        <v>0.25036177039146423</v>
      </c>
      <c r="D22"/>
      <c r="E22"/>
      <c r="F22" s="11">
        <v>1.0736900003394112E-4</v>
      </c>
      <c r="G22"/>
      <c r="H22" s="79">
        <v>4.2641598731279373E-2</v>
      </c>
      <c r="I22" s="18">
        <v>3.7176515907049179E-3</v>
      </c>
      <c r="J22" s="11">
        <v>1.8789576643030159E-5</v>
      </c>
      <c r="K22" s="23">
        <v>1.7071671318262815E-3</v>
      </c>
      <c r="L22"/>
      <c r="M22"/>
      <c r="N22" s="12">
        <v>8.911627228371799E-4</v>
      </c>
      <c r="O22"/>
      <c r="P22"/>
      <c r="Q22" s="11">
        <v>2.1452345322359179E-7</v>
      </c>
      <c r="R22"/>
      <c r="S22"/>
      <c r="T22"/>
      <c r="U22" s="14">
        <v>5.5427470942959189E-4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0.61661297082901001</v>
      </c>
      <c r="C23">
        <v>0.75585436820983887</v>
      </c>
      <c r="D23"/>
      <c r="E23" s="191">
        <v>0.12423689663410187</v>
      </c>
      <c r="F23" s="23">
        <v>3.133236663416028E-3</v>
      </c>
      <c r="G23" s="11">
        <v>4.5147500350140035E-4</v>
      </c>
      <c r="H23"/>
      <c r="I23" s="151">
        <v>1.8329886719584465E-2</v>
      </c>
      <c r="J23" s="76">
        <v>4.8669006675481796E-2</v>
      </c>
      <c r="K23" s="11">
        <v>3.6118002753937617E-5</v>
      </c>
      <c r="L23"/>
      <c r="M23"/>
      <c r="N23" s="11">
        <v>8.1265505286864936E-5</v>
      </c>
      <c r="O23"/>
      <c r="P23" s="221">
        <v>0.48113951086997986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0.14672799408435822</v>
      </c>
      <c r="C24">
        <v>7.3381680995225906E-3</v>
      </c>
      <c r="D24"/>
      <c r="E24"/>
      <c r="F24"/>
      <c r="G24"/>
      <c r="H24"/>
      <c r="I24"/>
      <c r="J24"/>
      <c r="K24"/>
      <c r="L24"/>
      <c r="M24"/>
      <c r="N24"/>
      <c r="O24" s="11">
        <v>7.2626060720892838E-9</v>
      </c>
      <c r="P24" s="76">
        <v>1.1475633829832077E-2</v>
      </c>
      <c r="Q24" s="11">
        <v>1.411364110026625E-7</v>
      </c>
      <c r="R24" s="11">
        <v>6.8760897420361289E-7</v>
      </c>
      <c r="S24"/>
      <c r="T24"/>
      <c r="U24" s="12">
        <v>4.696499090641737E-4</v>
      </c>
      <c r="V24"/>
      <c r="W24" s="14">
        <v>1.6801024321466684E-4</v>
      </c>
      <c r="X24" s="11">
        <v>4.4486110709840432E-5</v>
      </c>
      <c r="Y24"/>
      <c r="Z24"/>
      <c r="AA24"/>
      <c r="AB24"/>
      <c r="AC24"/>
      <c r="AD24"/>
      <c r="AE24"/>
      <c r="AF24" s="232">
        <v>1.6470195725560188E-2</v>
      </c>
      <c r="AG24" s="14">
        <v>2.3361775674857199E-4</v>
      </c>
      <c r="AH24"/>
      <c r="AI24"/>
      <c r="AJ24" s="214">
        <v>1.2770164757966995E-2</v>
      </c>
      <c r="AK24" s="248">
        <v>9.6890702843666077E-2</v>
      </c>
      <c r="AL24" s="11">
        <v>3.0056608011364006E-5</v>
      </c>
      <c r="AM24" s="12">
        <v>4.5846306602470577E-4</v>
      </c>
      <c r="AN24"/>
      <c r="AO24"/>
      <c r="AP24"/>
      <c r="AQ24"/>
      <c r="AR24"/>
      <c r="AS24"/>
      <c r="AT24"/>
      <c r="AU24"/>
      <c r="AV24" s="11">
        <v>6.3482213590759784E-5</v>
      </c>
      <c r="AW24"/>
      <c r="AX24"/>
      <c r="AY24" s="14">
        <v>3.1454206327907741E-4</v>
      </c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0.27173799276351929</v>
      </c>
      <c r="C25">
        <v>0.42367377877235413</v>
      </c>
      <c r="D25"/>
      <c r="E25" s="192">
        <v>0.11252041906118393</v>
      </c>
      <c r="F25" s="11">
        <v>1.2718398647848517E-4</v>
      </c>
      <c r="G25" s="11">
        <v>1.6459105245303363E-4</v>
      </c>
      <c r="H25"/>
      <c r="I25" s="23">
        <v>1.503763603977859E-3</v>
      </c>
      <c r="J25" s="14">
        <v>4.4140327372588217E-4</v>
      </c>
      <c r="K25" s="11">
        <v>1.047397599904798E-4</v>
      </c>
      <c r="L25"/>
      <c r="M25"/>
      <c r="N25" s="11">
        <v>1.4962822206143755E-5</v>
      </c>
      <c r="O25"/>
      <c r="P25" s="230">
        <v>0.19932456314563751</v>
      </c>
      <c r="Q25"/>
      <c r="R25" s="219">
        <v>7.1896582841873169E-2</v>
      </c>
      <c r="S25" s="211">
        <v>2.1681115031242371E-2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0.23242500424385071</v>
      </c>
      <c r="C26">
        <v>1.1629481799900532E-2</v>
      </c>
      <c r="D26"/>
      <c r="E26"/>
      <c r="F26"/>
      <c r="G26"/>
      <c r="H26"/>
      <c r="I26"/>
      <c r="J26"/>
      <c r="K26"/>
      <c r="L26"/>
      <c r="M26"/>
      <c r="N26"/>
      <c r="O26" s="11">
        <v>3.1616039564141829E-8</v>
      </c>
      <c r="P26" s="20">
        <v>9.991292841732502E-3</v>
      </c>
      <c r="Q26" s="11">
        <v>7.7924418917518778E-8</v>
      </c>
      <c r="R26" s="16">
        <v>3.6038700491189957E-3</v>
      </c>
      <c r="S26" s="17">
        <v>3.260346595197916E-3</v>
      </c>
      <c r="T26"/>
      <c r="U26" s="14">
        <v>4.0890200762078166E-4</v>
      </c>
      <c r="V26"/>
      <c r="W26" s="110">
        <v>3.6679875105619431E-2</v>
      </c>
      <c r="X26" s="22">
        <v>1.9396969582885504E-3</v>
      </c>
      <c r="Y26" s="23">
        <v>1.451264601200819E-3</v>
      </c>
      <c r="Z26" s="17">
        <v>3.2845642417669296E-3</v>
      </c>
      <c r="AA26" s="28">
        <v>8.0656595528125763E-3</v>
      </c>
      <c r="AB26" s="11">
        <v>1.6765300824772567E-4</v>
      </c>
      <c r="AC26"/>
      <c r="AD26"/>
      <c r="AE26"/>
      <c r="AF26" s="80">
        <v>3.9083044975996017E-2</v>
      </c>
      <c r="AG26" s="14">
        <v>5.4761534556746483E-4</v>
      </c>
      <c r="AH26" s="12">
        <v>7.0502131711691618E-4</v>
      </c>
      <c r="AI26"/>
      <c r="AJ26" s="64">
        <v>1.257232204079628E-2</v>
      </c>
      <c r="AK26" s="250">
        <v>9.5361396670341492E-2</v>
      </c>
      <c r="AL26" s="11">
        <v>3.4891825634986162E-5</v>
      </c>
      <c r="AM26" s="14">
        <v>3.9916217792779207E-4</v>
      </c>
      <c r="AN26" s="18">
        <v>2.6524548884481192E-3</v>
      </c>
      <c r="AO26"/>
      <c r="AP26" s="14">
        <v>2.5722529971972108E-4</v>
      </c>
      <c r="AQ26"/>
      <c r="AR26"/>
      <c r="AS26"/>
      <c r="AT26"/>
      <c r="AU26"/>
      <c r="AV26" s="11">
        <v>5.527096800506115E-5</v>
      </c>
      <c r="AW26"/>
      <c r="AX26"/>
      <c r="AY26" s="14">
        <v>2.7385694556869566E-4</v>
      </c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0.56403201818466187</v>
      </c>
      <c r="C27">
        <v>2.8245346620678902E-2</v>
      </c>
      <c r="D27"/>
      <c r="E27" s="11">
        <v>5.6623786804266274E-5</v>
      </c>
      <c r="F27"/>
      <c r="G27"/>
      <c r="H27"/>
      <c r="I27"/>
      <c r="J27"/>
      <c r="K27"/>
      <c r="L27"/>
      <c r="M27"/>
      <c r="N27"/>
      <c r="O27" s="11">
        <v>1.7164134646918683E-7</v>
      </c>
      <c r="P27"/>
      <c r="Q27" s="11">
        <v>3.0508161330544681E-8</v>
      </c>
      <c r="R27" s="29">
        <v>2.6494499295949936E-2</v>
      </c>
      <c r="S27"/>
      <c r="T27"/>
      <c r="U27" s="14">
        <v>1.3874386204406619E-3</v>
      </c>
      <c r="V27"/>
      <c r="W27" s="207">
        <v>7.4674718081951141E-2</v>
      </c>
      <c r="X27" s="199">
        <v>2.5009902194142342E-2</v>
      </c>
      <c r="Y27" s="18">
        <v>6.155326496809721E-3</v>
      </c>
      <c r="Z27" s="181">
        <v>2.7862001210451126E-2</v>
      </c>
      <c r="AA27" s="18">
        <v>6.2648388557136059E-3</v>
      </c>
      <c r="AB27" s="19">
        <v>9.9789761006832123E-3</v>
      </c>
      <c r="AC27"/>
      <c r="AD27" s="15">
        <v>5.1374235190451145E-3</v>
      </c>
      <c r="AE27" s="23">
        <v>3.5906517878174782E-3</v>
      </c>
      <c r="AF27" s="67">
        <v>3.3391520380973816E-2</v>
      </c>
      <c r="AG27" s="11">
        <v>5.308869294822216E-4</v>
      </c>
      <c r="AH27"/>
      <c r="AI27"/>
      <c r="AJ27" s="218">
        <v>2.9600074514746666E-2</v>
      </c>
      <c r="AK27" s="245">
        <v>0.22400945425033569</v>
      </c>
      <c r="AL27" s="11">
        <v>2.9704347252845764E-4</v>
      </c>
      <c r="AM27" s="18">
        <v>6.7882146686315536E-3</v>
      </c>
      <c r="AN27" s="78">
        <v>3.6000002175569534E-2</v>
      </c>
      <c r="AO27"/>
      <c r="AP27" s="25">
        <v>1.745573990046978E-2</v>
      </c>
      <c r="AQ27"/>
      <c r="AR27"/>
      <c r="AS27"/>
      <c r="AT27"/>
      <c r="AU27"/>
      <c r="AV27" s="11">
        <v>1.7191072402056307E-4</v>
      </c>
      <c r="AW27"/>
      <c r="AX27"/>
      <c r="AY27" s="14">
        <v>9.2921941541135311E-4</v>
      </c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0.11427299678325653</v>
      </c>
      <c r="C28">
        <v>5.7136444374918938E-3</v>
      </c>
      <c r="D28"/>
      <c r="E28"/>
      <c r="F28"/>
      <c r="G28"/>
      <c r="H28"/>
      <c r="I28"/>
      <c r="J28"/>
      <c r="K28"/>
      <c r="L28"/>
      <c r="M28"/>
      <c r="N28"/>
      <c r="O28"/>
      <c r="P28" s="221">
        <v>8.9142747223377228E-2</v>
      </c>
      <c r="Q28" s="11">
        <v>1.0314073506378918E-6</v>
      </c>
      <c r="R28"/>
      <c r="S28"/>
      <c r="T28"/>
      <c r="U28" s="205">
        <v>9.3811918050050735E-3</v>
      </c>
      <c r="V28"/>
      <c r="W28" s="206">
        <v>1.0034384205937386E-2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0.16600899398326874</v>
      </c>
      <c r="C29">
        <v>8.30044224858284E-3</v>
      </c>
      <c r="D29"/>
      <c r="E29"/>
      <c r="F29"/>
      <c r="G29"/>
      <c r="H29"/>
      <c r="I29" s="11">
        <v>4.7382072807522491E-5</v>
      </c>
      <c r="J29" s="11">
        <v>1.2319338566157967E-4</v>
      </c>
      <c r="K29" s="11">
        <v>1.8952829123008996E-5</v>
      </c>
      <c r="L29"/>
      <c r="M29"/>
      <c r="N29"/>
      <c r="O29" s="11">
        <v>3.1957085866451962E-7</v>
      </c>
      <c r="P29" s="215">
        <v>8.4158904850482941E-2</v>
      </c>
      <c r="Q29" s="11">
        <v>6.0588456562982174E-7</v>
      </c>
      <c r="R29" s="114">
        <v>3.0356207862496376E-2</v>
      </c>
      <c r="S29"/>
      <c r="T29"/>
      <c r="U29" s="109">
        <v>2.0665641874074936E-2</v>
      </c>
      <c r="V29"/>
      <c r="W29" s="207">
        <v>2.2104548290371895E-2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14">
        <v>2.3277990112546831E-4</v>
      </c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0.61391472816467285</v>
      </c>
      <c r="C30">
        <v>3.0696768313646317E-2</v>
      </c>
      <c r="D30"/>
      <c r="E30"/>
      <c r="F30"/>
      <c r="G30"/>
      <c r="H30"/>
      <c r="I30" s="198">
        <v>0.12720620632171631</v>
      </c>
      <c r="J30" s="14">
        <v>1.3449736870825291E-3</v>
      </c>
      <c r="K30" s="12">
        <v>2.8315235394984484E-3</v>
      </c>
      <c r="L30"/>
      <c r="M30"/>
      <c r="N30" s="115">
        <v>0.11977344751358032</v>
      </c>
      <c r="O30"/>
      <c r="P30" s="208">
        <v>0.20955356955528259</v>
      </c>
      <c r="Q30" s="11">
        <v>2.2629558316111797E-6</v>
      </c>
      <c r="R30"/>
      <c r="S30"/>
      <c r="T30"/>
      <c r="U30" s="203">
        <v>1.4617272652685642E-2</v>
      </c>
      <c r="V30"/>
      <c r="W30"/>
      <c r="X30"/>
      <c r="Y30"/>
      <c r="Z30"/>
      <c r="AA30"/>
      <c r="AB30"/>
      <c r="AC30"/>
      <c r="AD30"/>
      <c r="AE30"/>
      <c r="AF30" s="112">
        <v>0.10614986717700958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14">
        <v>1.7388481646776199E-3</v>
      </c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1.1499999761581421</v>
      </c>
      <c r="C31">
        <v>0.10244286060333252</v>
      </c>
      <c r="D31"/>
      <c r="E31" s="11">
        <v>2.2777369395043934E-6</v>
      </c>
      <c r="F31" s="12">
        <v>4.1525349952280521E-3</v>
      </c>
      <c r="G31"/>
      <c r="H31" s="14">
        <v>1.7394563183188438E-3</v>
      </c>
      <c r="I31" s="11">
        <v>7.3475388262522756E-7</v>
      </c>
      <c r="J31"/>
      <c r="K31" s="14">
        <v>3.3617191947996616E-3</v>
      </c>
      <c r="L31"/>
      <c r="M31"/>
      <c r="N31"/>
      <c r="O31" s="11">
        <v>5.451143536561176E-8</v>
      </c>
      <c r="P31" s="204">
        <v>9.5921352505683899E-2</v>
      </c>
      <c r="Q31" s="11">
        <v>1.4093179956375934E-8</v>
      </c>
      <c r="R31" s="75">
        <v>0.10732728987932205</v>
      </c>
      <c r="S31" s="11">
        <v>1.9655219512060285E-4</v>
      </c>
      <c r="T31"/>
      <c r="U31" s="24">
        <v>3.1765934079885483E-2</v>
      </c>
      <c r="V31"/>
      <c r="W31" s="255">
        <v>0.18397773802280426</v>
      </c>
      <c r="X31" s="193">
        <v>6.5215177834033966E-2</v>
      </c>
      <c r="Y31" s="13">
        <v>4.2367402464151382E-2</v>
      </c>
      <c r="Z31" s="78">
        <v>7.3363520205020905E-2</v>
      </c>
      <c r="AA31" s="16">
        <v>1.728801429271698E-2</v>
      </c>
      <c r="AB31" s="146">
        <v>0.13730521500110626</v>
      </c>
      <c r="AC31" s="14">
        <v>1.7691507237032056E-3</v>
      </c>
      <c r="AD31"/>
      <c r="AE31"/>
      <c r="AF31" s="16">
        <v>1.6967654228210449E-2</v>
      </c>
      <c r="AG31" s="11">
        <v>9.2578877229243517E-4</v>
      </c>
      <c r="AH31" s="14">
        <v>1.9338722340762615E-3</v>
      </c>
      <c r="AI31" s="218">
        <v>6.0220681130886078E-2</v>
      </c>
      <c r="AJ31" s="12">
        <v>4.0887021459639072E-3</v>
      </c>
      <c r="AK31" s="26">
        <v>3.0181866139173508E-2</v>
      </c>
      <c r="AL31" s="11">
        <v>1.0634440695866942E-3</v>
      </c>
      <c r="AM31" s="18">
        <v>1.2543205171823502E-2</v>
      </c>
      <c r="AN31" s="15">
        <v>1.0393827222287655E-2</v>
      </c>
      <c r="AO31" s="14">
        <v>2.3912047035992146E-3</v>
      </c>
      <c r="AP31" s="12">
        <v>4.0318206883966923E-3</v>
      </c>
      <c r="AQ31" s="14">
        <v>2.0510004833340645E-3</v>
      </c>
      <c r="AR31" s="65">
        <v>2.592964842915535E-2</v>
      </c>
      <c r="AS31"/>
      <c r="AT31" s="21">
        <v>2.2054517641663551E-2</v>
      </c>
      <c r="AU31"/>
      <c r="AV31" s="11">
        <v>1.3536443293560296E-4</v>
      </c>
      <c r="AW31"/>
      <c r="AX31" s="12">
        <v>5.37502346560359E-3</v>
      </c>
      <c r="AY31" s="148">
        <v>0.11390712112188339</v>
      </c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1.1499999761581421</v>
      </c>
      <c r="C32">
        <v>0.10320255160331726</v>
      </c>
      <c r="D32"/>
      <c r="E32" s="11">
        <v>3.0855018849251792E-5</v>
      </c>
      <c r="F32"/>
      <c r="G32"/>
      <c r="H32"/>
      <c r="I32"/>
      <c r="J32"/>
      <c r="K32"/>
      <c r="L32"/>
      <c r="M32"/>
      <c r="N32"/>
      <c r="O32"/>
      <c r="P32" s="18">
        <v>1.3205770403146744E-2</v>
      </c>
      <c r="Q32" s="11">
        <v>2.6798475118994247E-6</v>
      </c>
      <c r="R32" s="249">
        <v>0.17386174201965332</v>
      </c>
      <c r="S32"/>
      <c r="T32"/>
      <c r="U32" s="15">
        <v>1.1552273295819759E-2</v>
      </c>
      <c r="V32"/>
      <c r="W32" s="246">
        <v>0.14544244110584259</v>
      </c>
      <c r="X32" s="65">
        <v>2.3842889815568924E-2</v>
      </c>
      <c r="Y32" s="244">
        <v>0.12156517803668976</v>
      </c>
      <c r="Z32" s="214">
        <v>9.9849909543991089E-2</v>
      </c>
      <c r="AA32"/>
      <c r="AB32" s="11">
        <v>1.6619374218862504E-4</v>
      </c>
      <c r="AC32" s="22">
        <v>9.1804936528205872E-3</v>
      </c>
      <c r="AD32"/>
      <c r="AE32"/>
      <c r="AF32" s="70">
        <v>5.7974938303232193E-2</v>
      </c>
      <c r="AG32" s="14">
        <v>1.5509966760873795E-3</v>
      </c>
      <c r="AH32" s="12">
        <v>5.591078195720911E-3</v>
      </c>
      <c r="AI32" s="24">
        <v>3.0468529090285301E-2</v>
      </c>
      <c r="AJ32" s="26">
        <v>2.967354841530323E-2</v>
      </c>
      <c r="AK32" s="251">
        <v>0.218149334192276</v>
      </c>
      <c r="AL32" s="14">
        <v>2.0827641710639E-3</v>
      </c>
      <c r="AM32" s="203">
        <v>2.7764663100242615E-2</v>
      </c>
      <c r="AN32" s="203">
        <v>2.6293676346540451E-2</v>
      </c>
      <c r="AO32" s="11">
        <v>1.2098252045689151E-4</v>
      </c>
      <c r="AP32" s="14">
        <v>2.5498641189187765E-3</v>
      </c>
      <c r="AQ32" s="12">
        <v>3.9354339241981506E-3</v>
      </c>
      <c r="AR32" s="21">
        <v>2.1865086629986763E-2</v>
      </c>
      <c r="AS32"/>
      <c r="AT32"/>
      <c r="AU32"/>
      <c r="AV32" s="11">
        <v>7.8532163752242923E-4</v>
      </c>
      <c r="AW32"/>
      <c r="AX32"/>
      <c r="AY32" s="19">
        <v>1.9290735945105553E-2</v>
      </c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0.40000000596046448</v>
      </c>
      <c r="C33">
        <v>7.7219367027282715E-2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">
        <v>1.0656009408194222E-8</v>
      </c>
      <c r="R33" s="113">
        <v>0.11852368712425232</v>
      </c>
      <c r="S33" s="24">
        <v>1.0700300335884094E-2</v>
      </c>
      <c r="T33"/>
      <c r="U33" s="25">
        <v>1.2357554398477077E-2</v>
      </c>
      <c r="V33"/>
      <c r="W33" s="224">
        <v>5.9990163892507553E-2</v>
      </c>
      <c r="X33" s="64">
        <v>2.2068776190280914E-2</v>
      </c>
      <c r="Y33" s="14">
        <v>6.4498704159632325E-4</v>
      </c>
      <c r="Z33" s="15">
        <v>3.8926994893699884E-3</v>
      </c>
      <c r="AA33" s="17">
        <v>5.5281035602092743E-3</v>
      </c>
      <c r="AB33" s="75">
        <v>3.7344601005315781E-2</v>
      </c>
      <c r="AC33"/>
      <c r="AD33"/>
      <c r="AE33"/>
      <c r="AF33" s="14">
        <v>4.9984804354608059E-4</v>
      </c>
      <c r="AG33" s="11">
        <v>2.7814539862447418E-5</v>
      </c>
      <c r="AH33"/>
      <c r="AI33" s="195">
        <v>2.7320114895701408E-2</v>
      </c>
      <c r="AJ33"/>
      <c r="AK33"/>
      <c r="AL33"/>
      <c r="AM33"/>
      <c r="AN33" s="151">
        <v>1.1788331903517246E-2</v>
      </c>
      <c r="AO33" s="11">
        <v>2.16961998376064E-4</v>
      </c>
      <c r="AP33" s="23">
        <v>2.2863782942295074E-3</v>
      </c>
      <c r="AQ33"/>
      <c r="AR33"/>
      <c r="AS33"/>
      <c r="AT33" s="17">
        <v>5.2660000510513783E-3</v>
      </c>
      <c r="AU33"/>
      <c r="AV33"/>
      <c r="AW33"/>
      <c r="AX33"/>
      <c r="AY33" s="18">
        <v>4.3243402615189552E-3</v>
      </c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0.54396897554397583</v>
      </c>
      <c r="C34">
        <v>2.721586637198925E-2</v>
      </c>
      <c r="D34"/>
      <c r="E34" s="11">
        <v>7.9313476817333139E-6</v>
      </c>
      <c r="F34"/>
      <c r="G34"/>
      <c r="H34" s="16">
        <v>8.3788074553012848E-3</v>
      </c>
      <c r="I34" s="23">
        <v>3.2611056230962276E-3</v>
      </c>
      <c r="J34" s="11">
        <v>1.3218912044976605E-6</v>
      </c>
      <c r="K34" s="11">
        <v>3.6814669147133827E-4</v>
      </c>
      <c r="L34"/>
      <c r="M34"/>
      <c r="N34"/>
      <c r="O34"/>
      <c r="P34" s="239">
        <v>0.12522196769714355</v>
      </c>
      <c r="Q34" s="11">
        <v>7.9234223449020647E-7</v>
      </c>
      <c r="R34" s="189">
        <v>2.1172353997826576E-2</v>
      </c>
      <c r="S34" s="13">
        <v>2.0627593621611595E-2</v>
      </c>
      <c r="T34"/>
      <c r="U34" s="22">
        <v>3.9637228474020958E-3</v>
      </c>
      <c r="V34"/>
      <c r="W34" s="29">
        <v>2.5858845561742783E-2</v>
      </c>
      <c r="X34" s="66">
        <v>2.1879391744732857E-2</v>
      </c>
      <c r="Y34"/>
      <c r="Z34"/>
      <c r="AA34"/>
      <c r="AB34"/>
      <c r="AC34"/>
      <c r="AD34"/>
      <c r="AE34"/>
      <c r="AF34"/>
      <c r="AG34" s="22">
        <v>3.86061891913414E-3</v>
      </c>
      <c r="AH34"/>
      <c r="AI34" s="148">
        <v>5.4171327501535416E-2</v>
      </c>
      <c r="AJ34"/>
      <c r="AK34"/>
      <c r="AL34" s="11">
        <v>3.0747873097425327E-5</v>
      </c>
      <c r="AM34"/>
      <c r="AN34" s="19">
        <v>9.3497363850474358E-3</v>
      </c>
      <c r="AO34" s="11">
        <v>4.3020021985284984E-4</v>
      </c>
      <c r="AP34" s="12">
        <v>1.813405891880393E-3</v>
      </c>
      <c r="AQ34" s="22">
        <v>4.4137150980532169E-3</v>
      </c>
      <c r="AR34"/>
      <c r="AS34"/>
      <c r="AT34"/>
      <c r="AU34"/>
      <c r="AV34" s="12">
        <v>1.8670887220650911E-3</v>
      </c>
      <c r="AW34"/>
      <c r="AX34"/>
      <c r="AY34" s="243">
        <v>0.2100742906332016</v>
      </c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0.40000000596046448</v>
      </c>
      <c r="C35">
        <v>2.0008374005556107E-2</v>
      </c>
      <c r="D35"/>
      <c r="E35"/>
      <c r="F35"/>
      <c r="G35"/>
      <c r="H35"/>
      <c r="I35"/>
      <c r="J35" s="200">
        <v>5.729944258928299E-2</v>
      </c>
      <c r="K35"/>
      <c r="L35"/>
      <c r="M35"/>
      <c r="N35" s="14">
        <v>5.6651997147127986E-4</v>
      </c>
      <c r="O35"/>
      <c r="P35"/>
      <c r="Q35" s="11">
        <v>6.4680448303988669E-6</v>
      </c>
      <c r="R35"/>
      <c r="S35" s="210">
        <v>0.28866353631019592</v>
      </c>
      <c r="T35"/>
      <c r="U35" s="66">
        <v>1.6711803153157234E-2</v>
      </c>
      <c r="V35"/>
      <c r="W35"/>
      <c r="X35"/>
      <c r="Y35"/>
      <c r="Z35"/>
      <c r="AA35" s="66">
        <v>1.6743870452046394E-2</v>
      </c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0.63838201761245728</v>
      </c>
      <c r="C36">
        <v>3.1925689429044724E-2</v>
      </c>
      <c r="D36"/>
      <c r="E36" s="11">
        <v>5.312017492542509E-6</v>
      </c>
      <c r="F36" s="11">
        <v>1.2536361282400321E-5</v>
      </c>
      <c r="G36"/>
      <c r="H36"/>
      <c r="I36" s="11">
        <v>3.8246525946306065E-6</v>
      </c>
      <c r="J36" s="11">
        <v>2.974729795823805E-6</v>
      </c>
      <c r="K36" s="11">
        <v>6.3744209910510108E-7</v>
      </c>
      <c r="L36"/>
      <c r="M36"/>
      <c r="N36" s="11">
        <v>3.3061995054595172E-4</v>
      </c>
      <c r="O36"/>
      <c r="P36" s="78">
        <v>4.0885340422391891E-2</v>
      </c>
      <c r="Q36" s="11">
        <v>1.4604069065171643E-7</v>
      </c>
      <c r="R36" s="11">
        <v>1.3568180747824954E-6</v>
      </c>
      <c r="S36" s="12">
        <v>2.7472758665680885E-3</v>
      </c>
      <c r="T36"/>
      <c r="U36" s="14">
        <v>6.9504935527220368E-4</v>
      </c>
      <c r="V36"/>
      <c r="W36" s="256">
        <v>0.53203827142715454</v>
      </c>
      <c r="X36"/>
      <c r="Y36"/>
      <c r="Z36"/>
      <c r="AA36"/>
      <c r="AB36"/>
      <c r="AC36"/>
      <c r="AD36"/>
      <c r="AE36"/>
      <c r="AF36"/>
      <c r="AG36" s="11">
        <v>3.5460316576063633E-4</v>
      </c>
      <c r="AH36"/>
      <c r="AI36"/>
      <c r="AJ36" s="12">
        <v>2.0352723076939583E-3</v>
      </c>
      <c r="AK36" s="203">
        <v>1.523968018591404E-2</v>
      </c>
      <c r="AL36" s="14">
        <v>7.936346810311079E-4</v>
      </c>
      <c r="AM36" s="17">
        <v>9.068305604159832E-3</v>
      </c>
      <c r="AN36" s="14">
        <v>1.5028759371489286E-3</v>
      </c>
      <c r="AO36" s="11">
        <v>1.383007038384676E-4</v>
      </c>
      <c r="AP36"/>
      <c r="AQ36"/>
      <c r="AR36"/>
      <c r="AS36"/>
      <c r="AT36"/>
      <c r="AU36"/>
      <c r="AV36" s="11">
        <v>6.0023140395060182E-4</v>
      </c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1.4220420122146606</v>
      </c>
      <c r="C37">
        <v>7.1255959570407867E-2</v>
      </c>
      <c r="D37"/>
      <c r="E37"/>
      <c r="F37"/>
      <c r="G37"/>
      <c r="H37"/>
      <c r="I37"/>
      <c r="J37"/>
      <c r="K37"/>
      <c r="L37"/>
      <c r="M37"/>
      <c r="N37"/>
      <c r="O37"/>
      <c r="P37" s="29">
        <v>6.7833438515663147E-2</v>
      </c>
      <c r="Q37" s="11">
        <v>1.0464700750389966E-7</v>
      </c>
      <c r="R37" s="11">
        <v>7.9850282054394484E-4</v>
      </c>
      <c r="S37"/>
      <c r="T37"/>
      <c r="U37" s="12">
        <v>6.067848764359951E-3</v>
      </c>
      <c r="V37"/>
      <c r="W37" s="22">
        <v>1.0245765559375286E-2</v>
      </c>
      <c r="X37" s="11">
        <v>1.3545358087867498E-3</v>
      </c>
      <c r="Y37"/>
      <c r="Z37"/>
      <c r="AA37" s="14">
        <v>3.7323390133678913E-3</v>
      </c>
      <c r="AB37" s="22">
        <v>1.1735728941857815E-2</v>
      </c>
      <c r="AC37"/>
      <c r="AD37"/>
      <c r="AE37"/>
      <c r="AF37" s="23">
        <v>8.8357357308268547E-3</v>
      </c>
      <c r="AG37" s="14">
        <v>2.7315183542668819E-3</v>
      </c>
      <c r="AH37" s="253">
        <v>0.57356774806976318</v>
      </c>
      <c r="AI37"/>
      <c r="AJ37" s="22">
        <v>1.1049088090658188E-2</v>
      </c>
      <c r="AK37" s="193">
        <v>8.1106975674629211E-2</v>
      </c>
      <c r="AL37" s="18">
        <v>1.6506152227520943E-2</v>
      </c>
      <c r="AM37" s="200">
        <v>0.20257489383220673</v>
      </c>
      <c r="AN37"/>
      <c r="AO37"/>
      <c r="AP37"/>
      <c r="AQ37" s="23">
        <v>7.2828708216547966E-3</v>
      </c>
      <c r="AR37"/>
      <c r="AS37"/>
      <c r="AT37"/>
      <c r="AU37"/>
      <c r="AV37" s="14">
        <v>1.8494399264454842E-3</v>
      </c>
      <c r="AW37"/>
      <c r="AX37" s="80">
        <v>0.23946911096572876</v>
      </c>
      <c r="AY37" s="237">
        <v>0.10404426604509354</v>
      </c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0.60000002384185791</v>
      </c>
      <c r="C38">
        <v>3.0002940446138382E-2</v>
      </c>
      <c r="D38"/>
      <c r="E38" s="14">
        <v>9.4069982878863811E-4</v>
      </c>
      <c r="F38" s="11">
        <v>1.2328962384344777E-6</v>
      </c>
      <c r="G38"/>
      <c r="H38"/>
      <c r="I38"/>
      <c r="J38" s="11">
        <v>4.8329529818147421E-4</v>
      </c>
      <c r="K38" s="11">
        <v>7.3973774306068663E-6</v>
      </c>
      <c r="L38"/>
      <c r="M38"/>
      <c r="N38"/>
      <c r="O38"/>
      <c r="P38"/>
      <c r="Q38" s="11">
        <v>5.911988978368754E-7</v>
      </c>
      <c r="R38" s="199">
        <v>2.764572761952877E-2</v>
      </c>
      <c r="S38" s="199">
        <v>2.693440206348896E-2</v>
      </c>
      <c r="T38"/>
      <c r="U38" s="23">
        <v>4.0329485200345516E-3</v>
      </c>
      <c r="V38"/>
      <c r="W38" s="16">
        <v>9.6471710130572319E-3</v>
      </c>
      <c r="X38"/>
      <c r="Y38"/>
      <c r="Z38"/>
      <c r="AA38" s="14">
        <v>6.3896045321598649E-4</v>
      </c>
      <c r="AB38"/>
      <c r="AC38"/>
      <c r="AD38"/>
      <c r="AE38"/>
      <c r="AF38" s="188">
        <v>0.13496109843254089</v>
      </c>
      <c r="AG38" s="12">
        <v>2.5719332043081522E-3</v>
      </c>
      <c r="AH38"/>
      <c r="AI38"/>
      <c r="AJ38" s="22">
        <v>4.4988370500504971E-3</v>
      </c>
      <c r="AK38" s="241">
        <v>0.35370635986328125</v>
      </c>
      <c r="AL38" s="11">
        <v>5.735560625907965E-5</v>
      </c>
      <c r="AM38" s="14">
        <v>1.3122950913384557E-3</v>
      </c>
      <c r="AN38"/>
      <c r="AO38"/>
      <c r="AP38" s="14">
        <v>8.4566004807129502E-4</v>
      </c>
      <c r="AQ38"/>
      <c r="AR38"/>
      <c r="AS38"/>
      <c r="AT38"/>
      <c r="AU38"/>
      <c r="AV38" s="14">
        <v>1.7111190827563405E-3</v>
      </c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0.5</v>
      </c>
      <c r="C39">
        <v>2.5046229362487793E-2</v>
      </c>
      <c r="D39"/>
      <c r="E39"/>
      <c r="F39"/>
      <c r="G39"/>
      <c r="H39"/>
      <c r="I39"/>
      <c r="J39"/>
      <c r="K39"/>
      <c r="L39"/>
      <c r="M39"/>
      <c r="N39"/>
      <c r="O39"/>
      <c r="P39" s="238">
        <v>0.10229302942752838</v>
      </c>
      <c r="Q39"/>
      <c r="R39" s="14">
        <v>6.8265071604400873E-4</v>
      </c>
      <c r="S39" s="203">
        <v>1.179538294672966E-2</v>
      </c>
      <c r="T39"/>
      <c r="U39" s="23">
        <v>3.2379401382058859E-3</v>
      </c>
      <c r="V39"/>
      <c r="W39" s="26">
        <v>1.2674356810748577E-2</v>
      </c>
      <c r="X39" s="12">
        <v>2.2341418080031872E-3</v>
      </c>
      <c r="Y39" s="14">
        <v>1.0447285603731871E-3</v>
      </c>
      <c r="Z39" s="11">
        <v>1.6055814921855927E-4</v>
      </c>
      <c r="AA39" s="22">
        <v>4.1972985491156578E-3</v>
      </c>
      <c r="AB39" s="220">
        <v>3.7503514438867569E-2</v>
      </c>
      <c r="AC39"/>
      <c r="AD39"/>
      <c r="AE39"/>
      <c r="AF39" s="14">
        <v>8.0963724758476019E-4</v>
      </c>
      <c r="AG39" s="15">
        <v>4.5053069479763508E-3</v>
      </c>
      <c r="AH39" s="181">
        <v>2.4361291900277138E-2</v>
      </c>
      <c r="AI39"/>
      <c r="AJ39"/>
      <c r="AK39"/>
      <c r="AL39" s="14">
        <v>1.0083293309435248E-3</v>
      </c>
      <c r="AM39" s="29">
        <v>2.3042939603328705E-2</v>
      </c>
      <c r="AN39"/>
      <c r="AO39" s="11">
        <v>3.5142782144248486E-4</v>
      </c>
      <c r="AP39" s="11">
        <v>3.7033992703072727E-4</v>
      </c>
      <c r="AQ39" s="11">
        <v>1.3735373795498163E-4</v>
      </c>
      <c r="AR39"/>
      <c r="AS39"/>
      <c r="AT39"/>
      <c r="AU39"/>
      <c r="AV39" s="14">
        <v>7.4935040902346373E-4</v>
      </c>
      <c r="AW39"/>
      <c r="AX39" s="234">
        <v>0.15799003839492798</v>
      </c>
      <c r="AY39" s="112">
        <v>8.5804171860218048E-2</v>
      </c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0.37999999523162842</v>
      </c>
      <c r="C40">
        <v>0.23198407888412476</v>
      </c>
      <c r="D40"/>
      <c r="E40"/>
      <c r="F40"/>
      <c r="G40"/>
      <c r="H40"/>
      <c r="I40" s="11">
        <v>1.3758784916717559E-4</v>
      </c>
      <c r="J40"/>
      <c r="K40" s="147">
        <v>8.209981769323349E-2</v>
      </c>
      <c r="L40"/>
      <c r="M40"/>
      <c r="N40"/>
      <c r="O40"/>
      <c r="P40"/>
      <c r="Q40" s="11">
        <v>9.1633602039564721E-8</v>
      </c>
      <c r="R40" s="181">
        <v>1.8364211544394493E-2</v>
      </c>
      <c r="S40" s="23">
        <v>2.5559572968631983E-3</v>
      </c>
      <c r="T40"/>
      <c r="U40"/>
      <c r="V40"/>
      <c r="W40" s="213">
        <v>4.4858247041702271E-2</v>
      </c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0.37999999523162842</v>
      </c>
      <c r="C41">
        <v>3.0528983101248741E-2</v>
      </c>
      <c r="D41"/>
      <c r="E41"/>
      <c r="F41"/>
      <c r="G41"/>
      <c r="H41"/>
      <c r="I41"/>
      <c r="J41"/>
      <c r="K41"/>
      <c r="L41"/>
      <c r="M41"/>
      <c r="N41"/>
      <c r="O41" s="11">
        <v>2.6608390157889517E-7</v>
      </c>
      <c r="P41"/>
      <c r="Q41"/>
      <c r="R41" s="11">
        <v>6.3400613726116717E-5</v>
      </c>
      <c r="S41"/>
      <c r="T41"/>
      <c r="U41"/>
      <c r="V41"/>
      <c r="W41" s="79">
        <v>5.3508300334215164E-2</v>
      </c>
      <c r="X41" s="19">
        <v>6.5298788249492645E-3</v>
      </c>
      <c r="Y41" s="212">
        <v>1.246845256537199E-2</v>
      </c>
      <c r="Z41" s="26">
        <v>9.5983473584055901E-3</v>
      </c>
      <c r="AA41"/>
      <c r="AB41"/>
      <c r="AC41"/>
      <c r="AD41" s="11">
        <v>1.1798812920460477E-4</v>
      </c>
      <c r="AE41" s="11">
        <v>1.8813951101037674E-5</v>
      </c>
      <c r="AF41" s="79">
        <v>5.3440786898136139E-2</v>
      </c>
      <c r="AG41"/>
      <c r="AH41"/>
      <c r="AI41"/>
      <c r="AJ41" s="14">
        <v>6.5981288207694888E-4</v>
      </c>
      <c r="AK41" s="247">
        <v>5.2304353564977646E-2</v>
      </c>
      <c r="AL41" s="17">
        <v>5.4030395112931728E-3</v>
      </c>
      <c r="AM41" s="254">
        <v>0.14311696588993073</v>
      </c>
      <c r="AN41" s="203">
        <v>9.3013914301991463E-3</v>
      </c>
      <c r="AO41"/>
      <c r="AP41" s="14">
        <v>1.0824176715686917E-3</v>
      </c>
      <c r="AQ41"/>
      <c r="AR41"/>
      <c r="AS41"/>
      <c r="AT41"/>
      <c r="AU41"/>
      <c r="AV41"/>
      <c r="AW41"/>
      <c r="AX41"/>
      <c r="AY41"/>
      <c r="AZ41"/>
      <c r="BA41" s="11">
        <v>1.0139062214875594E-4</v>
      </c>
      <c r="BB41"/>
      <c r="BC41" s="11">
        <v>2.6034404072561301E-5</v>
      </c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0.37999999523162842</v>
      </c>
      <c r="C42">
        <v>2.2551216185092926E-2</v>
      </c>
      <c r="D42"/>
      <c r="E42"/>
      <c r="F42"/>
      <c r="G42"/>
      <c r="H42"/>
      <c r="I42"/>
      <c r="J42"/>
      <c r="K42" s="201">
        <v>0.31614199280738831</v>
      </c>
      <c r="L42"/>
      <c r="M42"/>
      <c r="N42"/>
      <c r="O42" s="11">
        <v>3.7600278801619424E-7</v>
      </c>
      <c r="P42"/>
      <c r="Q42"/>
      <c r="R42"/>
      <c r="S42"/>
      <c r="T42"/>
      <c r="U42"/>
      <c r="V42"/>
      <c r="W42" s="199">
        <v>1.7417479306459427E-2</v>
      </c>
      <c r="X42"/>
      <c r="Y42"/>
      <c r="Z42"/>
      <c r="AA42"/>
      <c r="AB42"/>
      <c r="AC42"/>
      <c r="AD42"/>
      <c r="AE42"/>
      <c r="AF42" s="22">
        <v>3.3412175253033638E-3</v>
      </c>
      <c r="AG42"/>
      <c r="AH42"/>
      <c r="AI42"/>
      <c r="AJ42" s="24">
        <v>1.0161232203245163E-2</v>
      </c>
      <c r="AK42"/>
      <c r="AL42" s="24">
        <v>1.0386478155851364E-2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1.4500000476837158</v>
      </c>
      <c r="C43">
        <v>1.2887695804238319E-2</v>
      </c>
      <c r="D43"/>
      <c r="E43" s="14">
        <v>2.1184931974858046E-3</v>
      </c>
      <c r="F43"/>
      <c r="G43"/>
      <c r="H43"/>
      <c r="I43"/>
      <c r="J43"/>
      <c r="K43"/>
      <c r="L43"/>
      <c r="M43"/>
      <c r="N43"/>
      <c r="O43" s="11">
        <v>1.3858665397492587E-6</v>
      </c>
      <c r="P43"/>
      <c r="Q43"/>
      <c r="R43" s="187">
        <v>0.15139085054397583</v>
      </c>
      <c r="S43"/>
      <c r="T43"/>
      <c r="U43" s="14">
        <v>2.6139067485928535E-3</v>
      </c>
      <c r="V43"/>
      <c r="W43" s="242">
        <v>0.20901870727539062</v>
      </c>
      <c r="X43" s="27">
        <v>0.11194991320371628</v>
      </c>
      <c r="Y43" s="14">
        <v>3.9759469218552113E-3</v>
      </c>
      <c r="Z43" s="19">
        <v>2.5995766744017601E-2</v>
      </c>
      <c r="AA43" s="12">
        <v>5.3245848976075649E-3</v>
      </c>
      <c r="AB43" s="203">
        <v>3.3763609826564789E-2</v>
      </c>
      <c r="AC43"/>
      <c r="AD43" s="15">
        <v>1.2905069626867771E-2</v>
      </c>
      <c r="AE43"/>
      <c r="AF43" s="18">
        <v>1.7460444942116737E-2</v>
      </c>
      <c r="AG43" s="22">
        <v>1.0001803748309612E-2</v>
      </c>
      <c r="AH43" s="68">
        <v>9.0136989951133728E-2</v>
      </c>
      <c r="AI43"/>
      <c r="AJ43" s="12">
        <v>6.5607000142335892E-3</v>
      </c>
      <c r="AK43" s="252">
        <v>0.45552369952201843</v>
      </c>
      <c r="AL43" s="19">
        <v>2.4943239986896515E-2</v>
      </c>
      <c r="AM43" s="26">
        <v>3.6539599299430847E-2</v>
      </c>
      <c r="AN43" s="111">
        <v>9.6890397369861603E-2</v>
      </c>
      <c r="AO43" s="14">
        <v>2.2290612105280161E-3</v>
      </c>
      <c r="AP43" s="22">
        <v>1.127528864890337E-2</v>
      </c>
      <c r="AQ43" s="11">
        <v>2.3760466137900949E-4</v>
      </c>
      <c r="AR43"/>
      <c r="AS43"/>
      <c r="AT43"/>
      <c r="AU43"/>
      <c r="AV43" s="11">
        <v>2.0189696806482971E-4</v>
      </c>
      <c r="AW43"/>
      <c r="AX43"/>
      <c r="AY43"/>
      <c r="AZ43"/>
      <c r="BA43" s="22">
        <v>1.0561619885265827E-2</v>
      </c>
      <c r="BB43" s="211">
        <v>0.11522047221660614</v>
      </c>
      <c r="BC43" s="11">
        <v>2.711942361202091E-4</v>
      </c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0.60000002384185791</v>
      </c>
      <c r="C44">
        <v>0.52932280302047729</v>
      </c>
      <c r="D44"/>
      <c r="E44"/>
      <c r="F44"/>
      <c r="G44"/>
      <c r="H44"/>
      <c r="I44"/>
      <c r="J44"/>
      <c r="K44"/>
      <c r="L44"/>
      <c r="M44" s="11">
        <v>8.9047191842439588E-10</v>
      </c>
      <c r="N44"/>
      <c r="O44" s="11">
        <v>7.5072916772001008E-9</v>
      </c>
      <c r="P44"/>
      <c r="Q44"/>
      <c r="R44"/>
      <c r="S44"/>
      <c r="T44"/>
      <c r="U44"/>
      <c r="V44"/>
      <c r="W44" s="11">
        <v>2.7871070778928697E-4</v>
      </c>
      <c r="X44" s="11">
        <v>3.6787923818337731E-6</v>
      </c>
      <c r="Y44" s="22">
        <v>5.1346421241760254E-3</v>
      </c>
      <c r="Z44" s="23">
        <v>2.9637203551828861E-3</v>
      </c>
      <c r="AA44"/>
      <c r="AB44" s="11">
        <v>1.990477130675572E-6</v>
      </c>
      <c r="AC44" s="11">
        <v>4.0132980211637914E-4</v>
      </c>
      <c r="AD44" s="11">
        <v>4.7936402552295476E-5</v>
      </c>
      <c r="AE44" s="11">
        <v>7.2410497523378581E-5</v>
      </c>
      <c r="AF44" s="11">
        <v>4.0059057937469333E-5</v>
      </c>
      <c r="AG44"/>
      <c r="AH44"/>
      <c r="AI44"/>
      <c r="AJ44" s="11">
        <v>1.2184990737296175E-5</v>
      </c>
      <c r="AK44" s="14">
        <v>9.8703568801283836E-4</v>
      </c>
      <c r="AL44" s="14">
        <v>1.3262396678328514E-3</v>
      </c>
      <c r="AM44" s="67">
        <v>3.5343524068593979E-2</v>
      </c>
      <c r="AN44" s="15">
        <v>6.298307329416275E-3</v>
      </c>
      <c r="AO44" s="11">
        <v>2.8979780836380087E-5</v>
      </c>
      <c r="AP44" s="11">
        <v>2.4431466954411007E-5</v>
      </c>
      <c r="AQ44"/>
      <c r="AR44"/>
      <c r="AS44"/>
      <c r="AT44"/>
      <c r="AU44"/>
      <c r="AV44"/>
      <c r="AW44"/>
      <c r="AX44"/>
      <c r="AY44"/>
      <c r="AZ44"/>
      <c r="BA44" s="12">
        <v>2.0802535582333803E-3</v>
      </c>
      <c r="BB44" s="26">
        <v>1.5578873455524445E-2</v>
      </c>
      <c r="BC44" s="11">
        <v>5.2886498451698571E-5</v>
      </c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1.232801079750061</v>
      </c>
      <c r="D45"/>
      <c r="E45"/>
      <c r="F45"/>
      <c r="G45"/>
      <c r="H45"/>
      <c r="I45"/>
      <c r="J45"/>
      <c r="K45"/>
      <c r="L45"/>
      <c r="M45"/>
      <c r="N45"/>
      <c r="O45" s="11">
        <v>1.6058454832545976E-7</v>
      </c>
      <c r="P45"/>
      <c r="Q45"/>
      <c r="R45"/>
      <c r="S45"/>
      <c r="T45"/>
      <c r="U45"/>
      <c r="V45"/>
      <c r="W45" s="14">
        <v>4.4713160023093224E-3</v>
      </c>
      <c r="X45" s="14">
        <v>3.3497249241918325E-3</v>
      </c>
      <c r="Y45" s="14">
        <v>3.1327938195317984E-3</v>
      </c>
      <c r="Z45" s="16">
        <v>3.1419645994901657E-2</v>
      </c>
      <c r="AA45"/>
      <c r="AB45"/>
      <c r="AC45" s="18">
        <v>2.3754747584462166E-2</v>
      </c>
      <c r="AD45" s="24">
        <v>5.6396041065454483E-2</v>
      </c>
      <c r="AE45" s="11">
        <v>9.9777395371347666E-4</v>
      </c>
      <c r="AF45" s="23">
        <v>9.9969608709216118E-3</v>
      </c>
      <c r="AG45" s="11">
        <v>1.9867529044859111E-4</v>
      </c>
      <c r="AH45"/>
      <c r="AI45"/>
      <c r="AJ45" s="11">
        <v>1.3032137940172106E-4</v>
      </c>
      <c r="AK45" s="23">
        <v>1.1177556589245796E-2</v>
      </c>
      <c r="AL45" s="14">
        <v>3.8684862665832043E-3</v>
      </c>
      <c r="AM45" s="70">
        <v>0.10364718735218048</v>
      </c>
      <c r="AN45" s="111">
        <v>0.13472379744052887</v>
      </c>
      <c r="AO45" s="11">
        <v>3.09945666231215E-4</v>
      </c>
      <c r="AP45" s="11">
        <v>1.9597525533754379E-4</v>
      </c>
      <c r="AQ45"/>
      <c r="AR45"/>
      <c r="AS45"/>
      <c r="AT45"/>
      <c r="AU45"/>
      <c r="AV45" s="11">
        <v>7.0183236857701559E-6</v>
      </c>
      <c r="AW45"/>
      <c r="AX45"/>
      <c r="AY45"/>
      <c r="AZ45"/>
      <c r="BA45" s="18">
        <v>2.2248808294534683E-2</v>
      </c>
      <c r="BB45" s="80">
        <v>0.33644375205039978</v>
      </c>
      <c r="BC45" s="11">
        <v>5.656337016262114E-4</v>
      </c>
      <c r="BD45" s="15">
        <v>2.0162599161267281E-2</v>
      </c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0.56999999284744263</v>
      </c>
      <c r="C46">
        <v>0.33208993077278137</v>
      </c>
      <c r="D46"/>
      <c r="E46"/>
      <c r="F46"/>
      <c r="G46"/>
      <c r="H46"/>
      <c r="I46"/>
      <c r="J46"/>
      <c r="K46"/>
      <c r="L46" s="11">
        <v>5.7957245189754758E-6</v>
      </c>
      <c r="M46"/>
      <c r="N46"/>
      <c r="O46" s="11">
        <v>1.2015235029139149E-7</v>
      </c>
      <c r="P46"/>
      <c r="Q46"/>
      <c r="R46" s="11">
        <v>9.1006262437076657E-7</v>
      </c>
      <c r="S46"/>
      <c r="T46" s="11">
        <v>1.9663182320073247E-4</v>
      </c>
      <c r="U46"/>
      <c r="V46"/>
      <c r="W46" s="23">
        <v>3.903108648955822E-3</v>
      </c>
      <c r="X46" s="11">
        <v>2.4571825633756816E-4</v>
      </c>
      <c r="Y46" s="12">
        <v>2.7576640713959932E-3</v>
      </c>
      <c r="Z46" s="14">
        <v>1.5256425831466913E-3</v>
      </c>
      <c r="AA46"/>
      <c r="AB46"/>
      <c r="AC46" s="11">
        <v>4.3994409497827291E-4</v>
      </c>
      <c r="AD46" s="11">
        <v>2.3442534438800067E-4</v>
      </c>
      <c r="AE46" s="11">
        <v>1.0630062024574727E-4</v>
      </c>
      <c r="AF46" s="11">
        <v>3.5618628317024559E-5</v>
      </c>
      <c r="AG46"/>
      <c r="AH46"/>
      <c r="AI46"/>
      <c r="AJ46"/>
      <c r="AK46"/>
      <c r="AL46" s="11">
        <v>2.9942826949991286E-4</v>
      </c>
      <c r="AM46" s="17">
        <v>8.1098824739456177E-3</v>
      </c>
      <c r="AN46" s="16">
        <v>8.400237187743187E-3</v>
      </c>
      <c r="AO46"/>
      <c r="AP46" s="11">
        <v>1.6292480722768232E-5</v>
      </c>
      <c r="AQ46"/>
      <c r="AR46"/>
      <c r="AS46"/>
      <c r="AT46"/>
      <c r="AU46"/>
      <c r="AV46"/>
      <c r="AW46"/>
      <c r="AX46"/>
      <c r="AY46"/>
      <c r="AZ46"/>
      <c r="BA46" s="12">
        <v>2.1976197604089975E-3</v>
      </c>
      <c r="BB46" s="258">
        <v>0.20937830209732056</v>
      </c>
      <c r="BC46" s="11">
        <v>5.6429020332871005E-5</v>
      </c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</v>
      </c>
      <c r="C47">
        <v>0.65388470888137817</v>
      </c>
      <c r="D47"/>
      <c r="E47"/>
      <c r="F47"/>
      <c r="G47"/>
      <c r="H47"/>
      <c r="I47"/>
      <c r="J47"/>
      <c r="K47"/>
      <c r="L47"/>
      <c r="M47"/>
      <c r="N47"/>
      <c r="O47" s="11">
        <v>4.3234300051153696E-7</v>
      </c>
      <c r="P47"/>
      <c r="Q47"/>
      <c r="R47" s="11">
        <v>2.8653360004682327E-6</v>
      </c>
      <c r="S47"/>
      <c r="T47" s="11">
        <v>1.1792307486757636E-4</v>
      </c>
      <c r="U47"/>
      <c r="V47"/>
      <c r="W47" s="23">
        <v>1.3041338883340359E-2</v>
      </c>
      <c r="X47" s="16">
        <v>3.6869708448648453E-2</v>
      </c>
      <c r="Y47" s="22">
        <v>1.8605394288897514E-2</v>
      </c>
      <c r="Z47" s="65">
        <v>5.3524620831012726E-2</v>
      </c>
      <c r="AA47" s="11">
        <v>1.3288710033521056E-4</v>
      </c>
      <c r="AB47" s="11">
        <v>1.149064744822681E-3</v>
      </c>
      <c r="AC47" s="18">
        <v>2.9286365956068039E-2</v>
      </c>
      <c r="AD47" s="17">
        <v>3.3472824841737747E-2</v>
      </c>
      <c r="AE47" s="14">
        <v>6.4885416068136692E-3</v>
      </c>
      <c r="AF47" s="14">
        <v>7.3054707609117031E-3</v>
      </c>
      <c r="AG47" s="11">
        <v>2.6744749629870057E-4</v>
      </c>
      <c r="AH47"/>
      <c r="AI47" s="26">
        <v>6.3046418130397797E-2</v>
      </c>
      <c r="AJ47" s="11">
        <v>5.8477540733292699E-4</v>
      </c>
      <c r="AK47" s="21">
        <v>4.931977391242981E-2</v>
      </c>
      <c r="AL47" s="12">
        <v>1.1193300597369671E-2</v>
      </c>
      <c r="AM47" s="146">
        <v>0.29683268070220947</v>
      </c>
      <c r="AN47" s="228">
        <v>0.42800712585449219</v>
      </c>
      <c r="AO47" s="11">
        <v>4.1723452159203589E-4</v>
      </c>
      <c r="AP47" s="11">
        <v>3.5175046650692821E-4</v>
      </c>
      <c r="AQ47"/>
      <c r="AR47"/>
      <c r="AS47"/>
      <c r="AT47"/>
      <c r="AU47" s="25">
        <v>7.9528637230396271E-2</v>
      </c>
      <c r="AV47" s="11">
        <v>5.9835703723365441E-5</v>
      </c>
      <c r="AW47"/>
      <c r="AX47"/>
      <c r="AY47"/>
      <c r="AZ47"/>
      <c r="BA47" s="12">
        <v>1.1861511506140232E-2</v>
      </c>
      <c r="BB47" s="257">
        <v>0.67720091342926025</v>
      </c>
      <c r="BC47" s="11">
        <v>3.045719931833446E-4</v>
      </c>
      <c r="BD47" s="18">
        <v>2.7141960337758064E-2</v>
      </c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3.4330000877380371</v>
      </c>
      <c r="C48">
        <v>0.32457241415977478</v>
      </c>
      <c r="D48"/>
      <c r="E48"/>
      <c r="F48"/>
      <c r="G48"/>
      <c r="H48"/>
      <c r="I48"/>
      <c r="J48"/>
      <c r="K48"/>
      <c r="L48"/>
      <c r="M48"/>
      <c r="N48"/>
      <c r="O48"/>
      <c r="P48" s="12">
        <v>1.6343563795089722E-2</v>
      </c>
      <c r="Q48"/>
      <c r="R48" s="11">
        <v>2.1393653005361557E-3</v>
      </c>
      <c r="S48"/>
      <c r="T48"/>
      <c r="U48"/>
      <c r="V48" s="14">
        <v>5.059417337179184E-3</v>
      </c>
      <c r="W48" s="23">
        <v>1.7071031033992767E-2</v>
      </c>
      <c r="X48" s="23">
        <v>1.7686465755105019E-2</v>
      </c>
      <c r="Y48" s="11">
        <v>1.8091800156980753E-3</v>
      </c>
      <c r="Z48" s="12">
        <v>1.2218847870826721E-2</v>
      </c>
      <c r="AA48" s="11">
        <v>9.2299153038766235E-5</v>
      </c>
      <c r="AB48" s="11">
        <v>2.8931258711963892E-3</v>
      </c>
      <c r="AC48" s="11">
        <v>1.1819988721981645E-3</v>
      </c>
      <c r="AD48" s="11">
        <v>3.9947008190210909E-5</v>
      </c>
      <c r="AE48"/>
      <c r="AF48" s="11">
        <v>1.3353020767681301E-4</v>
      </c>
      <c r="AG48" s="11">
        <v>6.5016181906685233E-4</v>
      </c>
      <c r="AH48" s="26">
        <v>9.0065889060497284E-2</v>
      </c>
      <c r="AI48" s="14">
        <v>3.6491695791482925E-3</v>
      </c>
      <c r="AJ48" s="11">
        <v>8.1233272794634104E-4</v>
      </c>
      <c r="AK48" s="65">
        <v>7.6611362397670746E-2</v>
      </c>
      <c r="AL48" s="11">
        <v>1.5382717829197645E-3</v>
      </c>
      <c r="AM48" s="18">
        <v>4.1329119354486465E-2</v>
      </c>
      <c r="AN48" s="12">
        <v>1.5745770186185837E-2</v>
      </c>
      <c r="AO48" s="12">
        <v>1.160640362650156E-2</v>
      </c>
      <c r="AP48" s="11">
        <v>1.2215733295306563E-4</v>
      </c>
      <c r="AQ48" s="11">
        <v>3.2177838875213638E-5</v>
      </c>
      <c r="AR48" s="219">
        <v>0.91132444143295288</v>
      </c>
      <c r="AS48" s="75">
        <v>0.32139274477958679</v>
      </c>
      <c r="AT48" s="78">
        <v>0.22508281469345093</v>
      </c>
      <c r="AU48" s="66">
        <v>0.14168561995029449</v>
      </c>
      <c r="AV48" s="11">
        <v>3.2263665343634784E-4</v>
      </c>
      <c r="AW48" s="211">
        <v>0.27769532799720764</v>
      </c>
      <c r="AX48" s="20">
        <v>0.14656871557235718</v>
      </c>
      <c r="AY48" s="17">
        <v>4.3898019939661026E-2</v>
      </c>
      <c r="AZ48" s="189">
        <v>0.13743829727172852</v>
      </c>
      <c r="BA48" s="11">
        <v>6.8655237555503845E-4</v>
      </c>
      <c r="BB48" s="69">
        <v>0.3130754828453064</v>
      </c>
      <c r="BC48" s="11">
        <v>1.762883402989246E-5</v>
      </c>
      <c r="BD48" s="65">
        <v>7.5407765805721283E-2</v>
      </c>
      <c r="BE48"/>
      <c r="BF48"/>
      <c r="BG48"/>
      <c r="BH48"/>
      <c r="BI48" s="193">
        <v>0.19499999284744263</v>
      </c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8.3999996185302734</v>
      </c>
      <c r="C49">
        <v>2.2824559211730957</v>
      </c>
      <c r="D49"/>
      <c r="E49"/>
      <c r="F49"/>
      <c r="G49"/>
      <c r="H49"/>
      <c r="I49"/>
      <c r="J49"/>
      <c r="K49"/>
      <c r="L49"/>
      <c r="M49"/>
      <c r="N49"/>
      <c r="O49" s="9">
        <v>5.00783459145282E-9</v>
      </c>
      <c r="P49" s="14">
        <v>8.7041612714529037E-3</v>
      </c>
      <c r="Q49"/>
      <c r="R49"/>
      <c r="S49"/>
      <c r="T49"/>
      <c r="U49"/>
      <c r="V49" s="11">
        <v>1.5201198402792215E-4</v>
      </c>
      <c r="W49"/>
      <c r="X49" s="11">
        <v>1.2269926628505345E-5</v>
      </c>
      <c r="Y49"/>
      <c r="Z49" s="11">
        <v>8.831979357637465E-6</v>
      </c>
      <c r="AA49"/>
      <c r="AB49"/>
      <c r="AC49"/>
      <c r="AD49"/>
      <c r="AE49"/>
      <c r="AF49" s="11">
        <v>4.4536507630255073E-5</v>
      </c>
      <c r="AG49"/>
      <c r="AH49" s="14">
        <v>1.7979210242629051E-2</v>
      </c>
      <c r="AI49"/>
      <c r="AJ49" s="11">
        <v>4.0640763472765684E-5</v>
      </c>
      <c r="AK49" s="11">
        <v>2.9047704301774502E-3</v>
      </c>
      <c r="AL49" s="11">
        <v>9.7065756563097239E-5</v>
      </c>
      <c r="AM49" s="11">
        <v>2.8519770130515099E-3</v>
      </c>
      <c r="AN49" s="14">
        <v>1.0503415018320084E-2</v>
      </c>
      <c r="AO49" s="11">
        <v>4.8328330740332603E-4</v>
      </c>
      <c r="AP49"/>
      <c r="AQ49"/>
      <c r="AR49" s="207">
        <v>1.1179964542388916</v>
      </c>
      <c r="AS49" s="29">
        <v>0.39815118908882141</v>
      </c>
      <c r="AT49" s="15">
        <v>7.5072169303894043E-2</v>
      </c>
      <c r="AU49" s="22">
        <v>7.1299418807029724E-2</v>
      </c>
      <c r="AV49" s="11">
        <v>9.4842216640245169E-6</v>
      </c>
      <c r="AW49" s="22">
        <v>6.1746731400489807E-2</v>
      </c>
      <c r="AX49" s="18">
        <v>9.7770512104034424E-2</v>
      </c>
      <c r="AY49"/>
      <c r="AZ49" s="18">
        <v>9.1679960489273071E-2</v>
      </c>
      <c r="BA49" s="11">
        <v>2.2898672614246607E-4</v>
      </c>
      <c r="BB49" s="21">
        <v>0.15688054263591766</v>
      </c>
      <c r="BC49" s="11">
        <v>5.8797686506295577E-6</v>
      </c>
      <c r="BD49" s="18">
        <v>0.10060340911149979</v>
      </c>
      <c r="BE49"/>
      <c r="BF49"/>
      <c r="BG49"/>
      <c r="BH49"/>
      <c r="BI49" s="259">
        <v>3.9023170471191406</v>
      </c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93.099998474121094</v>
      </c>
      <c r="C50">
        <v>57.528152465820312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11">
        <v>4.4663988053798676E-2</v>
      </c>
      <c r="BE50"/>
      <c r="BF50"/>
      <c r="BG50"/>
      <c r="BH50"/>
      <c r="BI50" s="187">
        <v>9.6203374862670898</v>
      </c>
      <c r="BJ50" s="260">
        <v>25.906843185424805</v>
      </c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/>
      <c r="C51">
        <v>0.61751002073287964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9">
        <v>7.941281795501709E-2</v>
      </c>
      <c r="BB51" s="9">
        <v>1.7495075464248657</v>
      </c>
      <c r="BC51" s="9">
        <v>1.9797179847955704E-3</v>
      </c>
      <c r="BD51" s="9">
        <v>7.4097552299499512</v>
      </c>
      <c r="BE51" s="9">
        <v>748.7041015625</v>
      </c>
      <c r="BF51" s="9">
        <v>233.33099365234375</v>
      </c>
      <c r="BG51" s="9">
        <v>266.61929321289062</v>
      </c>
      <c r="BH51" s="9">
        <v>97.5</v>
      </c>
      <c r="BI51" s="9">
        <v>43.7969970703125</v>
      </c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72" t="s">
        <v>192</v>
      </c>
      <c r="E5">
        <v>4</v>
      </c>
      <c r="F5">
        <v>3.13</v>
      </c>
      <c r="G5">
        <v>4</v>
      </c>
      <c r="H5" s="173" t="s">
        <v>192</v>
      </c>
      <c r="J5" s="57"/>
      <c r="K5" s="58"/>
    </row>
    <row r="6" spans="1:12" ht="14" thickBot="1" x14ac:dyDescent="0.2">
      <c r="A6" s="41" t="s">
        <v>121</v>
      </c>
      <c r="D6" s="172" t="s">
        <v>193</v>
      </c>
      <c r="E6">
        <v>5</v>
      </c>
      <c r="F6">
        <v>3.13</v>
      </c>
      <c r="G6">
        <v>5</v>
      </c>
      <c r="H6" s="173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72" t="s">
        <v>194</v>
      </c>
      <c r="E7">
        <v>6</v>
      </c>
      <c r="F7">
        <v>3.13</v>
      </c>
      <c r="G7">
        <v>6</v>
      </c>
      <c r="H7" s="173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72" t="s">
        <v>195</v>
      </c>
      <c r="E8">
        <v>7</v>
      </c>
      <c r="F8">
        <v>3.13</v>
      </c>
      <c r="G8">
        <v>7</v>
      </c>
      <c r="H8" s="173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72" t="s">
        <v>196</v>
      </c>
      <c r="E9">
        <v>8</v>
      </c>
      <c r="F9">
        <v>3.13</v>
      </c>
      <c r="G9">
        <v>8</v>
      </c>
      <c r="H9" s="173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72" t="s">
        <v>197</v>
      </c>
      <c r="E10">
        <v>9</v>
      </c>
      <c r="F10">
        <v>3.13</v>
      </c>
      <c r="G10">
        <v>9</v>
      </c>
      <c r="H10" s="173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72" t="s">
        <v>198</v>
      </c>
      <c r="E11">
        <v>10</v>
      </c>
      <c r="F11">
        <v>3.13</v>
      </c>
      <c r="G11">
        <v>10</v>
      </c>
      <c r="H11" s="173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72" t="s">
        <v>199</v>
      </c>
      <c r="E12">
        <v>11</v>
      </c>
      <c r="F12">
        <v>3.13</v>
      </c>
      <c r="G12">
        <v>11</v>
      </c>
      <c r="H12" s="173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72" t="s">
        <v>200</v>
      </c>
      <c r="E13">
        <v>12</v>
      </c>
      <c r="F13">
        <v>3.22</v>
      </c>
      <c r="G13">
        <v>12</v>
      </c>
      <c r="H13" s="173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72" t="s">
        <v>201</v>
      </c>
      <c r="E14">
        <v>13</v>
      </c>
      <c r="F14">
        <v>3.22</v>
      </c>
      <c r="G14">
        <v>13</v>
      </c>
      <c r="H14" s="173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72" t="s">
        <v>202</v>
      </c>
      <c r="E15">
        <v>14</v>
      </c>
      <c r="F15">
        <v>3.22</v>
      </c>
      <c r="G15">
        <v>14</v>
      </c>
      <c r="H15" s="173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72" t="s">
        <v>203</v>
      </c>
      <c r="E16">
        <v>15</v>
      </c>
      <c r="F16">
        <v>3.22</v>
      </c>
      <c r="G16">
        <v>15</v>
      </c>
      <c r="H16" s="173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72" t="s">
        <v>204</v>
      </c>
      <c r="E17">
        <v>16</v>
      </c>
      <c r="F17">
        <v>3.22</v>
      </c>
      <c r="G17">
        <v>16</v>
      </c>
      <c r="H17" s="173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72" t="s">
        <v>205</v>
      </c>
      <c r="E18">
        <v>17</v>
      </c>
      <c r="F18">
        <v>3.22</v>
      </c>
      <c r="G18">
        <v>17</v>
      </c>
      <c r="H18" s="173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72" t="s">
        <v>206</v>
      </c>
      <c r="E19">
        <v>18</v>
      </c>
      <c r="F19">
        <v>3.22</v>
      </c>
      <c r="G19">
        <v>18</v>
      </c>
      <c r="H19" s="173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72" t="s">
        <v>207</v>
      </c>
      <c r="E20">
        <v>19</v>
      </c>
      <c r="F20">
        <v>3.22</v>
      </c>
      <c r="G20">
        <v>19</v>
      </c>
      <c r="H20" s="173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72" t="s">
        <v>208</v>
      </c>
      <c r="E21">
        <v>20</v>
      </c>
      <c r="F21">
        <v>3.22</v>
      </c>
      <c r="G21">
        <v>20</v>
      </c>
      <c r="H21" s="173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72" t="s">
        <v>209</v>
      </c>
      <c r="E22">
        <v>21</v>
      </c>
      <c r="F22">
        <v>3.22</v>
      </c>
      <c r="G22">
        <v>21</v>
      </c>
      <c r="H22" s="173" t="s">
        <v>209</v>
      </c>
    </row>
    <row r="23" spans="1:12" x14ac:dyDescent="0.15">
      <c r="A23" s="36" t="s">
        <v>129</v>
      </c>
      <c r="B23" s="44">
        <v>4</v>
      </c>
      <c r="C23" s="38"/>
      <c r="D23" s="172" t="s">
        <v>210</v>
      </c>
      <c r="E23">
        <v>22</v>
      </c>
      <c r="F23">
        <v>3.22</v>
      </c>
      <c r="G23">
        <v>22</v>
      </c>
      <c r="H23" s="173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72" t="s">
        <v>211</v>
      </c>
      <c r="E24">
        <v>23</v>
      </c>
      <c r="F24">
        <v>3</v>
      </c>
      <c r="G24">
        <v>23</v>
      </c>
      <c r="H24" s="173" t="s">
        <v>211</v>
      </c>
    </row>
    <row r="25" spans="1:12" x14ac:dyDescent="0.15">
      <c r="A25" s="36" t="s">
        <v>70</v>
      </c>
      <c r="B25" s="44">
        <v>4.2</v>
      </c>
      <c r="C25" s="38"/>
      <c r="D25" s="172" t="s">
        <v>212</v>
      </c>
      <c r="E25">
        <v>24</v>
      </c>
      <c r="F25">
        <v>3.12</v>
      </c>
      <c r="G25">
        <v>24</v>
      </c>
      <c r="H25" s="173" t="s">
        <v>212</v>
      </c>
    </row>
    <row r="26" spans="1:12" x14ac:dyDescent="0.15">
      <c r="A26" s="36" t="s">
        <v>123</v>
      </c>
      <c r="B26" s="44">
        <v>4.3</v>
      </c>
      <c r="C26" s="38"/>
      <c r="D26" s="172" t="s">
        <v>213</v>
      </c>
      <c r="E26">
        <v>25</v>
      </c>
      <c r="F26">
        <v>3.2</v>
      </c>
      <c r="G26">
        <v>25</v>
      </c>
      <c r="H26" s="173" t="s">
        <v>213</v>
      </c>
    </row>
    <row r="27" spans="1:12" x14ac:dyDescent="0.15">
      <c r="A27" s="36" t="s">
        <v>125</v>
      </c>
      <c r="B27" s="44">
        <v>6.1</v>
      </c>
      <c r="D27" s="172" t="s">
        <v>214</v>
      </c>
      <c r="E27">
        <v>26</v>
      </c>
      <c r="F27">
        <v>3.2</v>
      </c>
      <c r="G27">
        <v>26</v>
      </c>
      <c r="H27" s="173" t="s">
        <v>214</v>
      </c>
    </row>
    <row r="28" spans="1:12" x14ac:dyDescent="0.15">
      <c r="A28" s="36" t="s">
        <v>124</v>
      </c>
      <c r="B28" s="44">
        <v>6.2</v>
      </c>
      <c r="D28" s="172" t="s">
        <v>215</v>
      </c>
      <c r="E28">
        <v>27</v>
      </c>
      <c r="F28">
        <v>3.2</v>
      </c>
      <c r="G28">
        <v>27</v>
      </c>
      <c r="H28" s="173" t="s">
        <v>215</v>
      </c>
    </row>
    <row r="29" spans="1:12" x14ac:dyDescent="0.15">
      <c r="A29" s="36" t="s">
        <v>44</v>
      </c>
      <c r="B29" s="44">
        <v>5</v>
      </c>
      <c r="D29" s="172" t="s">
        <v>216</v>
      </c>
      <c r="E29">
        <v>28</v>
      </c>
      <c r="F29">
        <v>3.2</v>
      </c>
      <c r="G29">
        <v>28</v>
      </c>
      <c r="H29" s="173" t="s">
        <v>216</v>
      </c>
    </row>
    <row r="30" spans="1:12" x14ac:dyDescent="0.15">
      <c r="A30" s="36" t="s">
        <v>73</v>
      </c>
      <c r="B30" s="44">
        <v>7</v>
      </c>
      <c r="D30" s="172" t="s">
        <v>217</v>
      </c>
      <c r="E30">
        <v>29</v>
      </c>
      <c r="F30">
        <v>3</v>
      </c>
      <c r="G30">
        <v>29</v>
      </c>
      <c r="H30" s="173" t="s">
        <v>217</v>
      </c>
    </row>
    <row r="31" spans="1:12" x14ac:dyDescent="0.15">
      <c r="A31" s="36" t="s">
        <v>169</v>
      </c>
      <c r="B31" s="44">
        <v>3.14</v>
      </c>
      <c r="D31" s="172" t="s">
        <v>218</v>
      </c>
      <c r="E31">
        <v>30</v>
      </c>
      <c r="F31">
        <v>3.12</v>
      </c>
      <c r="G31">
        <v>30</v>
      </c>
      <c r="H31" s="173" t="s">
        <v>218</v>
      </c>
    </row>
    <row r="32" spans="1:12" ht="12" customHeight="1" thickBot="1" x14ac:dyDescent="0.2">
      <c r="A32" s="42" t="s">
        <v>170</v>
      </c>
      <c r="B32" s="45">
        <v>9</v>
      </c>
      <c r="D32" s="172" t="s">
        <v>219</v>
      </c>
      <c r="E32">
        <v>31</v>
      </c>
      <c r="F32">
        <v>3.22</v>
      </c>
      <c r="G32">
        <v>31</v>
      </c>
      <c r="H32" s="173" t="s">
        <v>219</v>
      </c>
    </row>
    <row r="33" spans="4:8" customFormat="1" ht="12" customHeight="1" x14ac:dyDescent="0.15">
      <c r="D33" s="172" t="s">
        <v>220</v>
      </c>
      <c r="E33">
        <v>32</v>
      </c>
      <c r="F33">
        <v>3.12</v>
      </c>
      <c r="G33">
        <v>32</v>
      </c>
      <c r="H33" s="173" t="s">
        <v>220</v>
      </c>
    </row>
    <row r="34" spans="4:8" customFormat="1" ht="12" customHeight="1" x14ac:dyDescent="0.15">
      <c r="D34" s="172" t="s">
        <v>221</v>
      </c>
      <c r="E34">
        <v>33</v>
      </c>
      <c r="F34">
        <v>3.12</v>
      </c>
      <c r="G34">
        <v>33</v>
      </c>
      <c r="H34" s="173" t="s">
        <v>221</v>
      </c>
    </row>
    <row r="35" spans="4:8" customFormat="1" x14ac:dyDescent="0.15">
      <c r="D35" s="172" t="s">
        <v>222</v>
      </c>
      <c r="E35">
        <v>34</v>
      </c>
      <c r="F35">
        <v>3.12</v>
      </c>
      <c r="G35">
        <v>34</v>
      </c>
      <c r="H35" s="173" t="s">
        <v>222</v>
      </c>
    </row>
    <row r="36" spans="4:8" customFormat="1" x14ac:dyDescent="0.15">
      <c r="D36" s="172" t="s">
        <v>223</v>
      </c>
      <c r="E36">
        <v>35</v>
      </c>
      <c r="F36">
        <v>3.22</v>
      </c>
      <c r="G36">
        <v>35</v>
      </c>
      <c r="H36" s="173" t="s">
        <v>223</v>
      </c>
    </row>
    <row r="37" spans="4:8" customFormat="1" ht="12" customHeight="1" x14ac:dyDescent="0.15">
      <c r="D37" s="172" t="s">
        <v>224</v>
      </c>
      <c r="E37">
        <v>36</v>
      </c>
      <c r="F37">
        <v>3.12</v>
      </c>
      <c r="G37">
        <v>36</v>
      </c>
      <c r="H37" s="173" t="s">
        <v>224</v>
      </c>
    </row>
    <row r="38" spans="4:8" customFormat="1" x14ac:dyDescent="0.15">
      <c r="D38" s="172" t="s">
        <v>225</v>
      </c>
      <c r="E38">
        <v>37</v>
      </c>
      <c r="F38">
        <v>3.1</v>
      </c>
      <c r="G38">
        <v>37</v>
      </c>
      <c r="H38" s="173" t="s">
        <v>225</v>
      </c>
    </row>
    <row r="39" spans="4:8" customFormat="1" x14ac:dyDescent="0.15">
      <c r="D39" s="172" t="s">
        <v>226</v>
      </c>
      <c r="E39">
        <v>38</v>
      </c>
      <c r="F39">
        <v>3.12</v>
      </c>
      <c r="G39">
        <v>38</v>
      </c>
      <c r="H39" s="173" t="s">
        <v>226</v>
      </c>
    </row>
    <row r="40" spans="4:8" customFormat="1" x14ac:dyDescent="0.15">
      <c r="D40" s="172" t="s">
        <v>227</v>
      </c>
      <c r="E40">
        <v>39</v>
      </c>
      <c r="F40">
        <v>3.12</v>
      </c>
      <c r="G40">
        <v>39</v>
      </c>
      <c r="H40" s="173" t="s">
        <v>227</v>
      </c>
    </row>
    <row r="41" spans="4:8" customFormat="1" x14ac:dyDescent="0.15">
      <c r="D41" s="172" t="s">
        <v>228</v>
      </c>
      <c r="E41">
        <v>40</v>
      </c>
      <c r="F41">
        <v>3.12</v>
      </c>
      <c r="G41">
        <v>40</v>
      </c>
      <c r="H41" s="173" t="s">
        <v>228</v>
      </c>
    </row>
    <row r="42" spans="4:8" customFormat="1" x14ac:dyDescent="0.15">
      <c r="D42" s="172" t="s">
        <v>229</v>
      </c>
      <c r="E42">
        <v>41</v>
      </c>
      <c r="F42">
        <v>3.12</v>
      </c>
      <c r="G42">
        <v>41</v>
      </c>
      <c r="H42" s="173" t="s">
        <v>229</v>
      </c>
    </row>
    <row r="43" spans="4:8" customFormat="1" x14ac:dyDescent="0.15">
      <c r="D43" s="172" t="s">
        <v>230</v>
      </c>
      <c r="E43">
        <v>42</v>
      </c>
      <c r="F43">
        <v>3.21</v>
      </c>
      <c r="G43">
        <v>42</v>
      </c>
      <c r="H43" s="173" t="s">
        <v>230</v>
      </c>
    </row>
    <row r="44" spans="4:8" customFormat="1" x14ac:dyDescent="0.15">
      <c r="D44" s="172" t="s">
        <v>231</v>
      </c>
      <c r="E44">
        <v>43</v>
      </c>
      <c r="F44">
        <v>3.21</v>
      </c>
      <c r="G44">
        <v>43</v>
      </c>
      <c r="H44" s="173" t="s">
        <v>231</v>
      </c>
    </row>
    <row r="45" spans="4:8" customFormat="1" x14ac:dyDescent="0.15">
      <c r="D45" s="172" t="s">
        <v>232</v>
      </c>
      <c r="E45">
        <v>44</v>
      </c>
      <c r="F45">
        <v>3.21</v>
      </c>
      <c r="G45">
        <v>44</v>
      </c>
      <c r="H45" s="173" t="s">
        <v>232</v>
      </c>
    </row>
    <row r="46" spans="4:8" customFormat="1" x14ac:dyDescent="0.15">
      <c r="D46" s="172" t="s">
        <v>233</v>
      </c>
      <c r="E46">
        <v>45</v>
      </c>
      <c r="F46">
        <v>3</v>
      </c>
      <c r="G46">
        <v>45</v>
      </c>
      <c r="H46" s="173" t="s">
        <v>233</v>
      </c>
    </row>
    <row r="47" spans="4:8" customFormat="1" x14ac:dyDescent="0.15">
      <c r="D47" s="172" t="s">
        <v>234</v>
      </c>
      <c r="E47">
        <v>46</v>
      </c>
      <c r="F47">
        <v>3.21</v>
      </c>
      <c r="G47">
        <v>46</v>
      </c>
      <c r="H47" s="173" t="s">
        <v>234</v>
      </c>
    </row>
    <row r="48" spans="4:8" customFormat="1" x14ac:dyDescent="0.15">
      <c r="D48" s="172" t="s">
        <v>235</v>
      </c>
      <c r="E48">
        <v>47</v>
      </c>
      <c r="F48">
        <v>3.21</v>
      </c>
      <c r="G48">
        <v>47</v>
      </c>
      <c r="H48" s="173" t="s">
        <v>235</v>
      </c>
    </row>
    <row r="49" spans="4:8" customFormat="1" x14ac:dyDescent="0.15">
      <c r="D49" s="172" t="s">
        <v>236</v>
      </c>
      <c r="E49">
        <v>48</v>
      </c>
      <c r="F49">
        <v>3.21</v>
      </c>
      <c r="G49">
        <v>48</v>
      </c>
      <c r="H49" s="173" t="s">
        <v>236</v>
      </c>
    </row>
    <row r="50" spans="4:8" customFormat="1" ht="12" customHeight="1" x14ac:dyDescent="0.15">
      <c r="D50" s="172" t="s">
        <v>237</v>
      </c>
      <c r="E50">
        <v>49</v>
      </c>
      <c r="F50">
        <v>3.21</v>
      </c>
      <c r="G50">
        <v>49</v>
      </c>
      <c r="H50" s="173" t="s">
        <v>237</v>
      </c>
    </row>
    <row r="51" spans="4:8" customFormat="1" x14ac:dyDescent="0.15">
      <c r="D51" s="172" t="s">
        <v>238</v>
      </c>
      <c r="E51">
        <v>50</v>
      </c>
      <c r="F51">
        <v>3.11</v>
      </c>
      <c r="G51">
        <v>50</v>
      </c>
      <c r="H51" s="173" t="s">
        <v>238</v>
      </c>
    </row>
    <row r="52" spans="4:8" customFormat="1" ht="12" customHeight="1" x14ac:dyDescent="0.15">
      <c r="D52" s="172" t="s">
        <v>239</v>
      </c>
      <c r="E52">
        <v>51</v>
      </c>
      <c r="F52">
        <v>3.11</v>
      </c>
      <c r="G52">
        <v>51</v>
      </c>
      <c r="H52" s="173" t="s">
        <v>239</v>
      </c>
    </row>
    <row r="53" spans="4:8" customFormat="1" x14ac:dyDescent="0.15">
      <c r="D53" s="172" t="s">
        <v>240</v>
      </c>
      <c r="E53">
        <v>52</v>
      </c>
      <c r="F53">
        <v>2</v>
      </c>
      <c r="G53">
        <v>52</v>
      </c>
      <c r="H53" s="173" t="s">
        <v>240</v>
      </c>
    </row>
    <row r="54" spans="4:8" customFormat="1" ht="12" customHeight="1" x14ac:dyDescent="0.15">
      <c r="D54" s="172" t="s">
        <v>241</v>
      </c>
      <c r="E54">
        <v>53</v>
      </c>
      <c r="F54">
        <v>4.0999999999999996</v>
      </c>
      <c r="G54">
        <v>53</v>
      </c>
      <c r="H54" s="173" t="s">
        <v>241</v>
      </c>
    </row>
    <row r="55" spans="4:8" customFormat="1" ht="12" customHeight="1" x14ac:dyDescent="0.15">
      <c r="D55" s="172" t="s">
        <v>242</v>
      </c>
      <c r="E55">
        <v>54</v>
      </c>
      <c r="F55">
        <v>4.3</v>
      </c>
      <c r="G55">
        <v>54</v>
      </c>
      <c r="H55" s="173" t="s">
        <v>242</v>
      </c>
    </row>
    <row r="56" spans="4:8" customFormat="1" x14ac:dyDescent="0.15">
      <c r="D56" s="172" t="s">
        <v>243</v>
      </c>
      <c r="E56">
        <v>55</v>
      </c>
      <c r="F56">
        <v>5</v>
      </c>
      <c r="G56">
        <v>55</v>
      </c>
      <c r="H56" s="173" t="s">
        <v>243</v>
      </c>
    </row>
    <row r="57" spans="4:8" customFormat="1" x14ac:dyDescent="0.15">
      <c r="D57" s="172" t="s">
        <v>244</v>
      </c>
      <c r="E57">
        <v>56</v>
      </c>
      <c r="F57">
        <v>5</v>
      </c>
      <c r="G57">
        <v>56</v>
      </c>
      <c r="H57" s="173" t="s">
        <v>244</v>
      </c>
    </row>
    <row r="58" spans="4:8" customFormat="1" x14ac:dyDescent="0.15">
      <c r="D58" s="172" t="s">
        <v>245</v>
      </c>
      <c r="E58">
        <v>57</v>
      </c>
      <c r="F58">
        <v>5</v>
      </c>
      <c r="G58">
        <v>57</v>
      </c>
      <c r="H58" s="173" t="s">
        <v>245</v>
      </c>
    </row>
    <row r="59" spans="4:8" customFormat="1" x14ac:dyDescent="0.15">
      <c r="D59" s="172" t="s">
        <v>246</v>
      </c>
      <c r="E59">
        <v>58</v>
      </c>
      <c r="F59">
        <v>5</v>
      </c>
      <c r="G59">
        <v>58</v>
      </c>
      <c r="H59" s="173" t="s">
        <v>246</v>
      </c>
    </row>
    <row r="60" spans="4:8" customFormat="1" x14ac:dyDescent="0.15">
      <c r="D60" s="172" t="s">
        <v>247</v>
      </c>
      <c r="E60">
        <v>59</v>
      </c>
      <c r="F60">
        <v>5</v>
      </c>
      <c r="G60">
        <v>59</v>
      </c>
      <c r="H60" s="173" t="s">
        <v>247</v>
      </c>
    </row>
    <row r="61" spans="4:8" customFormat="1" x14ac:dyDescent="0.15">
      <c r="D61" s="172" t="s">
        <v>248</v>
      </c>
      <c r="E61">
        <v>60</v>
      </c>
      <c r="F61">
        <v>5</v>
      </c>
      <c r="G61">
        <v>60</v>
      </c>
      <c r="H61" s="173" t="s">
        <v>248</v>
      </c>
    </row>
    <row r="62" spans="4:8" customFormat="1" x14ac:dyDescent="0.15">
      <c r="D62" s="172" t="s">
        <v>249</v>
      </c>
      <c r="E62">
        <v>61</v>
      </c>
      <c r="F62">
        <v>5</v>
      </c>
      <c r="G62">
        <v>61</v>
      </c>
      <c r="H62" s="173" t="s">
        <v>249</v>
      </c>
    </row>
    <row r="63" spans="4:8" customFormat="1" x14ac:dyDescent="0.15">
      <c r="D63" s="172" t="s">
        <v>250</v>
      </c>
      <c r="E63">
        <v>62</v>
      </c>
      <c r="F63">
        <v>5</v>
      </c>
      <c r="G63">
        <v>62</v>
      </c>
      <c r="H63" s="173" t="s">
        <v>250</v>
      </c>
    </row>
    <row r="64" spans="4:8" customFormat="1" x14ac:dyDescent="0.15">
      <c r="D64" s="172" t="s">
        <v>251</v>
      </c>
      <c r="E64">
        <v>63</v>
      </c>
      <c r="F64">
        <v>5</v>
      </c>
      <c r="G64">
        <v>63</v>
      </c>
      <c r="H64" s="173" t="s">
        <v>251</v>
      </c>
    </row>
    <row r="65" spans="4:8" customFormat="1" x14ac:dyDescent="0.15">
      <c r="D65" s="172" t="s">
        <v>252</v>
      </c>
      <c r="E65">
        <v>64</v>
      </c>
      <c r="F65">
        <v>5</v>
      </c>
      <c r="G65">
        <v>64</v>
      </c>
      <c r="H65" s="173" t="s">
        <v>252</v>
      </c>
    </row>
    <row r="66" spans="4:8" customFormat="1" x14ac:dyDescent="0.15">
      <c r="D66" s="172" t="s">
        <v>253</v>
      </c>
      <c r="E66">
        <v>65</v>
      </c>
      <c r="F66">
        <v>5</v>
      </c>
      <c r="G66">
        <v>65</v>
      </c>
      <c r="H66" s="173" t="s">
        <v>253</v>
      </c>
    </row>
    <row r="67" spans="4:8" customFormat="1" x14ac:dyDescent="0.15">
      <c r="D67" s="172" t="s">
        <v>138</v>
      </c>
      <c r="E67">
        <v>66</v>
      </c>
      <c r="F67">
        <v>6.1</v>
      </c>
      <c r="G67">
        <v>66</v>
      </c>
      <c r="H67" s="173" t="s">
        <v>138</v>
      </c>
    </row>
    <row r="68" spans="4:8" customFormat="1" x14ac:dyDescent="0.15">
      <c r="D68" s="172" t="s">
        <v>45</v>
      </c>
      <c r="E68">
        <v>67</v>
      </c>
      <c r="F68">
        <v>6.2</v>
      </c>
      <c r="G68">
        <v>67</v>
      </c>
      <c r="H68" s="173" t="s">
        <v>45</v>
      </c>
    </row>
    <row r="69" spans="4:8" customFormat="1" x14ac:dyDescent="0.15"/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6" bestFit="1" customWidth="1"/>
    <col min="2" max="2" width="5.83203125" style="85" customWidth="1"/>
    <col min="3" max="3" width="13.1640625" style="85" customWidth="1"/>
    <col min="4" max="4" width="39.6640625" style="85" customWidth="1"/>
    <col min="5" max="5" width="8.1640625" style="85" customWidth="1"/>
    <col min="6" max="6" width="26.6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5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5">
        <v>0</v>
      </c>
      <c r="R4" s="117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5">
        <v>0</v>
      </c>
      <c r="R5" s="117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174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1</v>
      </c>
      <c r="M6" s="85">
        <v>0</v>
      </c>
      <c r="N6" s="85">
        <v>1</v>
      </c>
      <c r="O6" s="85">
        <v>0</v>
      </c>
      <c r="P6" s="73">
        <v>1</v>
      </c>
      <c r="Q6" s="85">
        <v>0</v>
      </c>
      <c r="R6" s="74">
        <v>1</v>
      </c>
      <c r="S6"/>
      <c r="T6"/>
    </row>
    <row r="7" spans="1:23" ht="15" customHeight="1" thickBot="1" x14ac:dyDescent="0.2">
      <c r="F7" s="174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1</v>
      </c>
      <c r="C8" s="175" t="s">
        <v>240</v>
      </c>
      <c r="D8" s="89" t="s">
        <v>160</v>
      </c>
      <c r="F8" s="174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1</v>
      </c>
      <c r="M8" s="85">
        <v>0</v>
      </c>
      <c r="N8" s="85">
        <v>1</v>
      </c>
      <c r="O8" s="85">
        <v>0</v>
      </c>
      <c r="P8" s="73">
        <v>1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31" t="s">
        <v>168</v>
      </c>
      <c r="B9" s="96"/>
      <c r="C9" s="84"/>
      <c r="D9" s="89" t="s">
        <v>160</v>
      </c>
      <c r="F9" s="174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174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174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174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174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174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174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174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174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174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1</v>
      </c>
      <c r="C19" s="176" t="s">
        <v>240</v>
      </c>
      <c r="D19" s="89" t="s">
        <v>160</v>
      </c>
      <c r="F19" s="174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31" t="s">
        <v>168</v>
      </c>
      <c r="B20" s="96"/>
      <c r="C20" s="84"/>
      <c r="D20" s="89" t="s">
        <v>160</v>
      </c>
      <c r="F20" s="174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1</v>
      </c>
      <c r="M20" s="85">
        <v>0</v>
      </c>
      <c r="N20" s="85">
        <v>1</v>
      </c>
      <c r="O20" s="85">
        <v>0</v>
      </c>
      <c r="P20" s="73">
        <v>1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174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174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1</v>
      </c>
      <c r="M22" s="85">
        <v>0</v>
      </c>
      <c r="N22" s="85">
        <v>1</v>
      </c>
      <c r="O22" s="85">
        <v>0</v>
      </c>
      <c r="P22" s="73">
        <v>1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174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174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174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174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174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174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174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174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32"/>
      <c r="B31" s="143" t="s">
        <v>17</v>
      </c>
      <c r="C31" s="143" t="s">
        <v>1</v>
      </c>
      <c r="D31" s="143" t="s">
        <v>161</v>
      </c>
      <c r="E31" s="144" t="s">
        <v>163</v>
      </c>
      <c r="F31" s="174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177" t="s">
        <v>240</v>
      </c>
      <c r="B32" s="97">
        <v>26.86</v>
      </c>
      <c r="C32" s="97">
        <v>93.1</v>
      </c>
      <c r="D32" s="97">
        <v>2500.6659999999997</v>
      </c>
      <c r="E32" s="134">
        <v>1</v>
      </c>
      <c r="F32" s="174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133"/>
      <c r="B33" s="97"/>
      <c r="C33" s="97"/>
      <c r="D33" s="97"/>
      <c r="E33" s="134"/>
      <c r="F33" s="174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5"/>
      <c r="B34" s="97"/>
      <c r="C34" s="97"/>
      <c r="D34" s="97"/>
      <c r="E34" s="134"/>
      <c r="F34" s="174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6"/>
      <c r="B35" s="97"/>
      <c r="C35" s="97"/>
      <c r="D35" s="97"/>
      <c r="E35" s="134"/>
      <c r="F35" s="174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7"/>
      <c r="B36" s="97"/>
      <c r="C36" s="97"/>
      <c r="D36" s="97"/>
      <c r="E36" s="134"/>
      <c r="F36" s="174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7"/>
      <c r="B37" s="97"/>
      <c r="C37" s="97"/>
      <c r="D37" s="97"/>
      <c r="E37" s="134"/>
      <c r="F37" s="174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8"/>
      <c r="B38" s="97"/>
      <c r="C38" s="97"/>
      <c r="D38" s="97"/>
      <c r="E38" s="134"/>
      <c r="F38" s="174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8"/>
      <c r="B39" s="97"/>
      <c r="C39" s="97"/>
      <c r="D39" s="97"/>
      <c r="E39" s="134"/>
      <c r="F39" s="174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8"/>
      <c r="B40" s="97"/>
      <c r="C40" s="97"/>
      <c r="D40" s="97"/>
      <c r="E40" s="134"/>
      <c r="F40" s="174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8"/>
      <c r="B41" s="97"/>
      <c r="C41" s="97"/>
      <c r="D41" s="98"/>
      <c r="E41" s="139"/>
      <c r="F41" s="174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40"/>
      <c r="B42" s="141"/>
      <c r="C42" s="141" t="s">
        <v>162</v>
      </c>
      <c r="D42" s="141">
        <f>SUM(D32:D41)</f>
        <v>2500.6659999999997</v>
      </c>
      <c r="E42" s="142">
        <f>SUM(E32:E41)</f>
        <v>1</v>
      </c>
      <c r="F42" s="174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1</v>
      </c>
      <c r="M42" s="85">
        <v>0</v>
      </c>
      <c r="N42" s="85">
        <v>1</v>
      </c>
      <c r="O42" s="85">
        <v>0</v>
      </c>
      <c r="P42" s="73">
        <v>1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174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3">
        <v>0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174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1</v>
      </c>
      <c r="L44" s="85">
        <v>0</v>
      </c>
      <c r="M44" s="85">
        <v>1</v>
      </c>
      <c r="N44" s="85">
        <v>0</v>
      </c>
      <c r="O44" s="85">
        <v>1</v>
      </c>
      <c r="P44" s="73">
        <v>0</v>
      </c>
      <c r="Q44" s="85">
        <v>0</v>
      </c>
      <c r="R44" s="74">
        <v>1</v>
      </c>
    </row>
    <row r="45" spans="1:20" ht="15" customHeight="1" x14ac:dyDescent="0.15">
      <c r="A45" s="85"/>
      <c r="F45" s="174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174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1</v>
      </c>
      <c r="L46" s="85">
        <v>0</v>
      </c>
      <c r="M46" s="85">
        <v>1</v>
      </c>
      <c r="N46" s="85">
        <v>0</v>
      </c>
      <c r="O46" s="85">
        <v>1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174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1</v>
      </c>
      <c r="L47" s="85">
        <v>0</v>
      </c>
      <c r="M47" s="85">
        <v>1</v>
      </c>
      <c r="N47" s="85">
        <v>0</v>
      </c>
      <c r="O47" s="85">
        <v>1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174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1</v>
      </c>
      <c r="L48" s="85">
        <v>0</v>
      </c>
      <c r="M48" s="85">
        <v>1</v>
      </c>
      <c r="N48" s="85">
        <v>0</v>
      </c>
      <c r="O48" s="85">
        <v>1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174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1</v>
      </c>
      <c r="L49" s="85">
        <v>0</v>
      </c>
      <c r="M49" s="85">
        <v>1</v>
      </c>
      <c r="N49" s="85">
        <v>0</v>
      </c>
      <c r="O49" s="85">
        <v>1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174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1</v>
      </c>
      <c r="L50" s="85">
        <v>0</v>
      </c>
      <c r="M50" s="85">
        <v>1</v>
      </c>
      <c r="N50" s="85">
        <v>0</v>
      </c>
      <c r="O50" s="85">
        <v>1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174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1</v>
      </c>
      <c r="L51" s="85">
        <v>0</v>
      </c>
      <c r="M51" s="85">
        <v>1</v>
      </c>
      <c r="N51" s="85">
        <v>0</v>
      </c>
      <c r="O51" s="85">
        <v>1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 s="174" t="s">
        <v>238</v>
      </c>
      <c r="G52" s="85">
        <v>0</v>
      </c>
      <c r="H52" s="85">
        <v>0</v>
      </c>
      <c r="I52" s="85">
        <v>0</v>
      </c>
      <c r="J52" s="85">
        <v>0</v>
      </c>
      <c r="K52" s="85">
        <v>1</v>
      </c>
      <c r="L52" s="85">
        <v>0</v>
      </c>
      <c r="M52" s="85">
        <v>1</v>
      </c>
      <c r="N52" s="85">
        <v>0</v>
      </c>
      <c r="O52" s="85">
        <v>1</v>
      </c>
      <c r="P52" s="73">
        <v>0</v>
      </c>
      <c r="Q52" s="85">
        <v>0</v>
      </c>
      <c r="R52" s="74">
        <v>1</v>
      </c>
    </row>
    <row r="53" spans="6:18" s="85" customFormat="1" ht="15" customHeight="1" x14ac:dyDescent="0.15">
      <c r="F53" s="174" t="s">
        <v>239</v>
      </c>
      <c r="G53" s="85">
        <v>0</v>
      </c>
      <c r="H53" s="85">
        <v>0</v>
      </c>
      <c r="I53" s="85">
        <v>0</v>
      </c>
      <c r="J53" s="85">
        <v>0</v>
      </c>
      <c r="K53" s="85">
        <v>1</v>
      </c>
      <c r="L53" s="85">
        <v>0</v>
      </c>
      <c r="M53" s="85">
        <v>1</v>
      </c>
      <c r="N53" s="85">
        <v>0</v>
      </c>
      <c r="O53" s="85">
        <v>1</v>
      </c>
      <c r="P53" s="73">
        <v>0</v>
      </c>
      <c r="Q53" s="85">
        <v>0</v>
      </c>
      <c r="R53" s="74">
        <v>1</v>
      </c>
    </row>
    <row r="54" spans="6:18" s="85" customFormat="1" ht="15" customHeight="1" x14ac:dyDescent="0.15">
      <c r="F54" s="174" t="s">
        <v>240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1</v>
      </c>
      <c r="N54" s="85">
        <v>0</v>
      </c>
      <c r="O54" s="85">
        <v>0</v>
      </c>
      <c r="P54" s="73">
        <v>0</v>
      </c>
      <c r="Q54" s="85">
        <v>0</v>
      </c>
      <c r="R54" s="74">
        <v>1</v>
      </c>
    </row>
    <row r="55" spans="6:18" s="85" customFormat="1" ht="15" customHeight="1" x14ac:dyDescent="0.15">
      <c r="F55" s="174" t="s">
        <v>241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1</v>
      </c>
      <c r="M55" s="85">
        <v>0</v>
      </c>
      <c r="N55" s="85">
        <v>1</v>
      </c>
      <c r="O55" s="85">
        <v>0</v>
      </c>
      <c r="P55" s="73">
        <v>1</v>
      </c>
      <c r="Q55" s="85">
        <v>0</v>
      </c>
      <c r="R55" s="74">
        <v>1</v>
      </c>
    </row>
    <row r="56" spans="6:18" s="85" customFormat="1" ht="15" customHeight="1" x14ac:dyDescent="0.15">
      <c r="F56" s="174" t="s">
        <v>242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1</v>
      </c>
      <c r="M56" s="85">
        <v>0</v>
      </c>
      <c r="N56" s="85">
        <v>1</v>
      </c>
      <c r="O56" s="85">
        <v>0</v>
      </c>
      <c r="P56" s="73">
        <v>1</v>
      </c>
      <c r="Q56" s="85">
        <v>0</v>
      </c>
      <c r="R56" s="74">
        <v>1</v>
      </c>
    </row>
    <row r="57" spans="6:18" s="85" customFormat="1" ht="15" customHeight="1" x14ac:dyDescent="0.15">
      <c r="F57" s="174" t="s">
        <v>243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1</v>
      </c>
      <c r="M57" s="85">
        <v>0</v>
      </c>
      <c r="N57" s="85">
        <v>0</v>
      </c>
      <c r="O57" s="85">
        <v>0</v>
      </c>
      <c r="P57" s="73">
        <v>0</v>
      </c>
      <c r="Q57" s="85">
        <v>0</v>
      </c>
      <c r="R57" s="74">
        <v>1</v>
      </c>
    </row>
    <row r="58" spans="6:18" s="85" customFormat="1" ht="15" customHeight="1" x14ac:dyDescent="0.15">
      <c r="F58" s="174" t="s">
        <v>244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1</v>
      </c>
      <c r="M58" s="85">
        <v>0</v>
      </c>
      <c r="N58" s="85">
        <v>0</v>
      </c>
      <c r="O58" s="85">
        <v>0</v>
      </c>
      <c r="P58" s="73">
        <v>0</v>
      </c>
      <c r="Q58" s="85">
        <v>0</v>
      </c>
      <c r="R58" s="74">
        <v>1</v>
      </c>
    </row>
    <row r="59" spans="6:18" s="85" customFormat="1" ht="15" customHeight="1" x14ac:dyDescent="0.15">
      <c r="F59" s="174" t="s">
        <v>245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1</v>
      </c>
      <c r="M59" s="85">
        <v>0</v>
      </c>
      <c r="N59" s="85">
        <v>0</v>
      </c>
      <c r="O59" s="85">
        <v>0</v>
      </c>
      <c r="P59" s="73">
        <v>0</v>
      </c>
      <c r="Q59" s="85">
        <v>0</v>
      </c>
      <c r="R59" s="74">
        <v>1</v>
      </c>
    </row>
    <row r="60" spans="6:18" s="85" customFormat="1" ht="15" customHeight="1" x14ac:dyDescent="0.15">
      <c r="F60" s="174" t="s">
        <v>246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1</v>
      </c>
      <c r="M60" s="85">
        <v>0</v>
      </c>
      <c r="N60" s="85">
        <v>0</v>
      </c>
      <c r="O60" s="85">
        <v>0</v>
      </c>
      <c r="P60" s="73">
        <v>0</v>
      </c>
      <c r="Q60" s="85">
        <v>0</v>
      </c>
      <c r="R60" s="74">
        <v>1</v>
      </c>
    </row>
    <row r="61" spans="6:18" s="85" customFormat="1" ht="15" customHeight="1" x14ac:dyDescent="0.15">
      <c r="F61" s="174" t="s">
        <v>247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1</v>
      </c>
      <c r="M61" s="85">
        <v>0</v>
      </c>
      <c r="N61" s="85">
        <v>0</v>
      </c>
      <c r="O61" s="85">
        <v>0</v>
      </c>
      <c r="P61" s="73">
        <v>0</v>
      </c>
      <c r="Q61" s="85">
        <v>0</v>
      </c>
      <c r="R61" s="74">
        <v>1</v>
      </c>
    </row>
    <row r="62" spans="6:18" s="85" customFormat="1" ht="15" customHeight="1" x14ac:dyDescent="0.15">
      <c r="F62" s="174" t="s">
        <v>248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1</v>
      </c>
      <c r="M62" s="85">
        <v>0</v>
      </c>
      <c r="N62" s="85">
        <v>0</v>
      </c>
      <c r="O62" s="85">
        <v>0</v>
      </c>
      <c r="P62" s="73">
        <v>0</v>
      </c>
      <c r="Q62" s="85">
        <v>0</v>
      </c>
      <c r="R62" s="74">
        <v>1</v>
      </c>
    </row>
    <row r="63" spans="6:18" s="85" customFormat="1" ht="15" customHeight="1" x14ac:dyDescent="0.15">
      <c r="F63" s="174" t="s">
        <v>249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1</v>
      </c>
      <c r="M63" s="85">
        <v>0</v>
      </c>
      <c r="N63" s="85">
        <v>0</v>
      </c>
      <c r="O63" s="85">
        <v>0</v>
      </c>
      <c r="P63" s="73">
        <v>0</v>
      </c>
      <c r="Q63" s="85">
        <v>0</v>
      </c>
      <c r="R63" s="74">
        <v>1</v>
      </c>
    </row>
    <row r="64" spans="6:18" s="85" customFormat="1" ht="15" customHeight="1" x14ac:dyDescent="0.15">
      <c r="F64" s="174" t="s">
        <v>250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0</v>
      </c>
      <c r="O64" s="85">
        <v>0</v>
      </c>
      <c r="P64" s="73">
        <v>0</v>
      </c>
      <c r="Q64" s="85">
        <v>0</v>
      </c>
      <c r="R64" s="74">
        <v>1</v>
      </c>
    </row>
    <row r="65" spans="1:18" ht="15" customHeight="1" x14ac:dyDescent="0.15">
      <c r="F65" s="174" t="s">
        <v>251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0</v>
      </c>
      <c r="O65" s="85">
        <v>0</v>
      </c>
      <c r="P65" s="73">
        <v>0</v>
      </c>
      <c r="Q65" s="85">
        <v>0</v>
      </c>
      <c r="R65" s="74">
        <v>1</v>
      </c>
    </row>
    <row r="66" spans="1:18" ht="15" customHeight="1" x14ac:dyDescent="0.15">
      <c r="F66" s="174" t="s">
        <v>252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1</v>
      </c>
      <c r="M66" s="85">
        <v>0</v>
      </c>
      <c r="N66" s="85">
        <v>0</v>
      </c>
      <c r="O66" s="85">
        <v>0</v>
      </c>
      <c r="P66" s="73">
        <v>0</v>
      </c>
      <c r="Q66" s="85">
        <v>0</v>
      </c>
      <c r="R66" s="74">
        <v>1</v>
      </c>
    </row>
    <row r="67" spans="1:18" ht="15" customHeight="1" x14ac:dyDescent="0.15">
      <c r="F67" s="174" t="s">
        <v>253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1</v>
      </c>
      <c r="M67" s="85">
        <v>0</v>
      </c>
      <c r="N67" s="85">
        <v>0</v>
      </c>
      <c r="O67" s="85">
        <v>0</v>
      </c>
      <c r="P67" s="73">
        <v>0</v>
      </c>
      <c r="Q67" s="85">
        <v>0</v>
      </c>
      <c r="R67" s="74">
        <v>1</v>
      </c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R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6.6640625" bestFit="1" customWidth="1"/>
    <col min="2" max="2" width="2.33203125" style="117" customWidth="1"/>
    <col min="3" max="5" width="7.83203125" style="117" customWidth="1"/>
    <col min="6" max="8" width="8.83203125" style="6"/>
    <col min="9" max="10" width="10.1640625" style="6" customWidth="1"/>
    <col min="11" max="11" width="10.33203125" style="6" customWidth="1"/>
    <col min="12" max="12" width="10.5" style="6" customWidth="1"/>
    <col min="13" max="13" width="12.83203125" style="6" customWidth="1"/>
    <col min="14" max="14" width="6.5" style="6" customWidth="1"/>
    <col min="15" max="15" width="15.5" style="6" customWidth="1"/>
    <col min="16" max="16" width="17.1640625" style="6" customWidth="1"/>
    <col min="17" max="17" width="11.5" style="6" customWidth="1"/>
    <col min="18" max="19" width="13.6640625" style="6" customWidth="1"/>
    <col min="20" max="20" width="16" style="6" customWidth="1"/>
    <col min="21" max="21" width="15.83203125" style="6" customWidth="1"/>
    <col min="22" max="22" width="13.33203125" style="6" customWidth="1"/>
    <col min="23" max="23" width="16.1640625" style="6" customWidth="1"/>
    <col min="24" max="24" width="13.1640625" style="6" customWidth="1"/>
    <col min="25" max="25" width="13.6640625" style="6" customWidth="1"/>
    <col min="26" max="26" width="7.1640625" style="6" customWidth="1"/>
    <col min="27" max="28" width="7.5" style="6" customWidth="1"/>
    <col min="29" max="29" width="25" style="6" customWidth="1"/>
    <col min="30" max="30" width="20.1640625" style="6" customWidth="1"/>
    <col min="31" max="31" width="21.1640625" style="6" customWidth="1"/>
    <col min="32" max="32" width="25.83203125" style="6" customWidth="1"/>
    <col min="33" max="33" width="26.6640625" style="6" customWidth="1"/>
    <col min="34" max="34" width="14" style="6" customWidth="1"/>
    <col min="35" max="35" width="8.6640625" style="6" customWidth="1"/>
    <col min="36" max="36" width="13.33203125" style="6" customWidth="1"/>
    <col min="37" max="38" width="7.5" style="6" customWidth="1"/>
    <col min="39" max="39" width="10" customWidth="1"/>
    <col min="40" max="40" width="9.6640625" customWidth="1"/>
    <col min="41" max="41" width="7.1640625" customWidth="1"/>
    <col min="42" max="42" width="16.5" customWidth="1"/>
    <col min="43" max="43" width="13.6640625" customWidth="1"/>
    <col min="44" max="44" width="18" customWidth="1"/>
    <col min="45" max="45" width="16.1640625" customWidth="1"/>
    <col min="46" max="46" width="11.1640625" customWidth="1"/>
    <col min="47" max="47" width="18.6640625" customWidth="1"/>
    <col min="48" max="48" width="18.83203125" customWidth="1"/>
    <col min="49" max="49" width="7.5" customWidth="1"/>
    <col min="50" max="50" width="7.1640625" customWidth="1"/>
    <col min="51" max="51" width="12.1640625" customWidth="1"/>
    <col min="52" max="52" width="11.5" customWidth="1"/>
    <col min="53" max="53" width="7.83203125" customWidth="1"/>
    <col min="54" max="54" width="13.83203125" customWidth="1"/>
    <col min="55" max="55" width="12.83203125" customWidth="1"/>
    <col min="56" max="57" width="13.1640625" customWidth="1"/>
    <col min="58" max="58" width="7.6640625" customWidth="1"/>
    <col min="59" max="59" width="21.6640625" customWidth="1"/>
    <col min="60" max="60" width="9.1640625" customWidth="1"/>
    <col min="61" max="61" width="11.6640625" customWidth="1"/>
    <col min="62" max="62" width="13.1640625" customWidth="1"/>
    <col min="63" max="63" width="12" customWidth="1"/>
    <col min="64" max="64" width="11.83203125" customWidth="1"/>
    <col min="65" max="65" width="16.83203125" customWidth="1"/>
    <col min="66" max="66" width="13.1640625" customWidth="1"/>
    <col min="67" max="67" width="16" customWidth="1"/>
    <col min="68" max="68" width="8.1640625" customWidth="1"/>
    <col min="69" max="69" width="9.1640625" customWidth="1"/>
    <col min="70" max="70" width="10" customWidth="1"/>
    <col min="81" max="81" width="22.1640625" bestFit="1" customWidth="1"/>
  </cols>
  <sheetData>
    <row r="1" spans="1:7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9" t="s">
        <v>192</v>
      </c>
      <c r="J1" s="179" t="s">
        <v>193</v>
      </c>
      <c r="K1" s="179" t="s">
        <v>194</v>
      </c>
      <c r="L1" s="179" t="s">
        <v>195</v>
      </c>
      <c r="M1" s="179" t="s">
        <v>196</v>
      </c>
      <c r="N1" s="179" t="s">
        <v>197</v>
      </c>
      <c r="O1" s="179" t="s">
        <v>198</v>
      </c>
      <c r="P1" s="179" t="s">
        <v>199</v>
      </c>
      <c r="Q1" s="179" t="s">
        <v>200</v>
      </c>
      <c r="R1" s="179" t="s">
        <v>201</v>
      </c>
      <c r="S1" s="179" t="s">
        <v>202</v>
      </c>
      <c r="T1" s="179" t="s">
        <v>203</v>
      </c>
      <c r="U1" s="179" t="s">
        <v>204</v>
      </c>
      <c r="V1" s="179" t="s">
        <v>205</v>
      </c>
      <c r="W1" s="179" t="s">
        <v>206</v>
      </c>
      <c r="X1" s="179" t="s">
        <v>207</v>
      </c>
      <c r="Y1" s="179" t="s">
        <v>208</v>
      </c>
      <c r="Z1" s="179" t="s">
        <v>209</v>
      </c>
      <c r="AA1" s="179" t="s">
        <v>210</v>
      </c>
      <c r="AB1" s="179" t="s">
        <v>211</v>
      </c>
      <c r="AC1" s="179" t="s">
        <v>212</v>
      </c>
      <c r="AD1" s="179" t="s">
        <v>213</v>
      </c>
      <c r="AE1" s="179" t="s">
        <v>214</v>
      </c>
      <c r="AF1" s="179" t="s">
        <v>215</v>
      </c>
      <c r="AG1" s="179" t="s">
        <v>216</v>
      </c>
      <c r="AH1" s="179" t="s">
        <v>217</v>
      </c>
      <c r="AI1" s="179" t="s">
        <v>218</v>
      </c>
      <c r="AJ1" s="179" t="s">
        <v>219</v>
      </c>
      <c r="AK1" s="179" t="s">
        <v>220</v>
      </c>
      <c r="AL1" s="179" t="s">
        <v>221</v>
      </c>
      <c r="AM1" s="179" t="s">
        <v>222</v>
      </c>
      <c r="AN1" s="179" t="s">
        <v>223</v>
      </c>
      <c r="AO1" s="179" t="s">
        <v>224</v>
      </c>
      <c r="AP1" s="179" t="s">
        <v>225</v>
      </c>
      <c r="AQ1" s="179" t="s">
        <v>226</v>
      </c>
      <c r="AR1" s="179" t="s">
        <v>227</v>
      </c>
      <c r="AS1" s="179" t="s">
        <v>228</v>
      </c>
      <c r="AT1" s="179" t="s">
        <v>229</v>
      </c>
      <c r="AU1" s="179" t="s">
        <v>230</v>
      </c>
      <c r="AV1" s="179" t="s">
        <v>231</v>
      </c>
      <c r="AW1" s="179" t="s">
        <v>232</v>
      </c>
      <c r="AX1" s="179" t="s">
        <v>233</v>
      </c>
      <c r="AY1" s="179" t="s">
        <v>234</v>
      </c>
      <c r="AZ1" s="179" t="s">
        <v>235</v>
      </c>
      <c r="BA1" s="179" t="s">
        <v>236</v>
      </c>
      <c r="BB1" s="179" t="s">
        <v>237</v>
      </c>
      <c r="BC1" s="179" t="s">
        <v>238</v>
      </c>
      <c r="BD1" s="179" t="s">
        <v>239</v>
      </c>
      <c r="BE1" s="179" t="s">
        <v>240</v>
      </c>
      <c r="BF1" s="179" t="s">
        <v>241</v>
      </c>
      <c r="BG1" s="179" t="s">
        <v>242</v>
      </c>
      <c r="BH1" s="179" t="s">
        <v>243</v>
      </c>
      <c r="BI1" s="179" t="s">
        <v>244</v>
      </c>
      <c r="BJ1" s="179" t="s">
        <v>245</v>
      </c>
      <c r="BK1" s="179" t="s">
        <v>246</v>
      </c>
      <c r="BL1" s="179" t="s">
        <v>247</v>
      </c>
      <c r="BM1" s="179" t="s">
        <v>248</v>
      </c>
      <c r="BN1" s="179" t="s">
        <v>249</v>
      </c>
      <c r="BO1" s="179" t="s">
        <v>250</v>
      </c>
      <c r="BP1" s="179" t="s">
        <v>251</v>
      </c>
      <c r="BQ1" s="179" t="s">
        <v>252</v>
      </c>
      <c r="BR1" s="179" t="s">
        <v>253</v>
      </c>
    </row>
    <row r="2" spans="1:70" x14ac:dyDescent="0.15">
      <c r="A2" t="s">
        <v>38</v>
      </c>
      <c r="B2" s="11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0" x14ac:dyDescent="0.15">
      <c r="A3" t="s">
        <v>40</v>
      </c>
      <c r="B3" s="11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0" x14ac:dyDescent="0.15">
      <c r="A4" t="s">
        <v>41</v>
      </c>
      <c r="B4" s="11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0" x14ac:dyDescent="0.15">
      <c r="A5" s="178" t="s">
        <v>192</v>
      </c>
      <c r="B5" s="11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0" x14ac:dyDescent="0.15">
      <c r="A6" s="178" t="s">
        <v>193</v>
      </c>
      <c r="B6" s="11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0" x14ac:dyDescent="0.15">
      <c r="A7" s="178" t="s">
        <v>194</v>
      </c>
      <c r="B7" s="11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0" x14ac:dyDescent="0.15">
      <c r="A8" s="178" t="s">
        <v>195</v>
      </c>
      <c r="B8" s="11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0" x14ac:dyDescent="0.15">
      <c r="A9" s="178" t="s">
        <v>196</v>
      </c>
      <c r="B9" s="11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0" x14ac:dyDescent="0.15">
      <c r="A10" s="178" t="s">
        <v>197</v>
      </c>
      <c r="B10" s="11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0" x14ac:dyDescent="0.15">
      <c r="A11" s="178" t="s">
        <v>198</v>
      </c>
      <c r="B11" s="11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0" x14ac:dyDescent="0.15">
      <c r="A12" s="178" t="s">
        <v>199</v>
      </c>
      <c r="B12" s="11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0" x14ac:dyDescent="0.15">
      <c r="A13" s="178" t="s">
        <v>200</v>
      </c>
      <c r="B13" s="11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0" x14ac:dyDescent="0.15">
      <c r="A14" s="178" t="s">
        <v>201</v>
      </c>
      <c r="B14" s="11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0" x14ac:dyDescent="0.15">
      <c r="A15" s="178" t="s">
        <v>202</v>
      </c>
      <c r="B15" s="11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0" x14ac:dyDescent="0.15">
      <c r="A16" s="178" t="s">
        <v>203</v>
      </c>
      <c r="B16" s="11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8" t="s">
        <v>204</v>
      </c>
      <c r="B17" s="11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8" t="s">
        <v>205</v>
      </c>
      <c r="B18" s="11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8" t="s">
        <v>206</v>
      </c>
      <c r="B19" s="11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8" t="s">
        <v>207</v>
      </c>
      <c r="B20" s="11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8" t="s">
        <v>208</v>
      </c>
      <c r="B21" s="11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8" t="s">
        <v>209</v>
      </c>
      <c r="B22" s="11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8" t="s">
        <v>210</v>
      </c>
      <c r="B23" s="11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8" t="s">
        <v>211</v>
      </c>
      <c r="B24" s="11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8" t="s">
        <v>212</v>
      </c>
      <c r="B25" s="11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8" t="s">
        <v>213</v>
      </c>
      <c r="B26" s="11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8" t="s">
        <v>214</v>
      </c>
      <c r="B27" s="11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8" t="s">
        <v>215</v>
      </c>
      <c r="B28" s="11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8" t="s">
        <v>216</v>
      </c>
      <c r="B29" s="11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8" t="s">
        <v>217</v>
      </c>
      <c r="B30" s="11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8" t="s">
        <v>218</v>
      </c>
      <c r="B31" s="11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8" t="s">
        <v>219</v>
      </c>
      <c r="B32" s="11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8" t="s">
        <v>220</v>
      </c>
      <c r="B33" s="11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8" t="s">
        <v>221</v>
      </c>
      <c r="B34" s="11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8" t="s">
        <v>222</v>
      </c>
      <c r="B35" s="11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8" t="s">
        <v>223</v>
      </c>
      <c r="B36" s="117">
        <v>0</v>
      </c>
      <c r="C36"/>
      <c r="D36"/>
    </row>
    <row r="37" spans="1:38" ht="15" customHeight="1" x14ac:dyDescent="0.15">
      <c r="A37" s="178" t="s">
        <v>224</v>
      </c>
      <c r="B37" s="117">
        <v>0</v>
      </c>
      <c r="C37"/>
      <c r="D37"/>
    </row>
    <row r="38" spans="1:38" ht="15" customHeight="1" x14ac:dyDescent="0.15">
      <c r="A38" s="178" t="s">
        <v>225</v>
      </c>
      <c r="B38" s="11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8" t="s">
        <v>226</v>
      </c>
      <c r="B39" s="117">
        <v>0</v>
      </c>
      <c r="C39"/>
      <c r="D39"/>
    </row>
    <row r="40" spans="1:38" ht="15" customHeight="1" x14ac:dyDescent="0.15">
      <c r="A40" s="178" t="s">
        <v>227</v>
      </c>
      <c r="B40" s="117">
        <v>0</v>
      </c>
      <c r="C40"/>
      <c r="D40"/>
    </row>
    <row r="41" spans="1:38" ht="15" customHeight="1" x14ac:dyDescent="0.15">
      <c r="A41" s="178" t="s">
        <v>228</v>
      </c>
      <c r="B41" s="117">
        <v>0</v>
      </c>
      <c r="C41"/>
      <c r="D41"/>
    </row>
    <row r="42" spans="1:38" ht="15" customHeight="1" x14ac:dyDescent="0.15">
      <c r="A42" s="178" t="s">
        <v>229</v>
      </c>
      <c r="B42" s="117">
        <v>0</v>
      </c>
    </row>
    <row r="43" spans="1:38" ht="15" customHeight="1" x14ac:dyDescent="0.15">
      <c r="A43" s="178" t="s">
        <v>230</v>
      </c>
      <c r="B43" s="117">
        <v>0</v>
      </c>
    </row>
    <row r="44" spans="1:38" ht="15" customHeight="1" x14ac:dyDescent="0.15">
      <c r="A44" s="178" t="s">
        <v>231</v>
      </c>
      <c r="B44" s="117">
        <v>0</v>
      </c>
    </row>
    <row r="45" spans="1:38" ht="15" customHeight="1" x14ac:dyDescent="0.15">
      <c r="A45" s="178" t="s">
        <v>232</v>
      </c>
      <c r="B45" s="117">
        <v>0</v>
      </c>
    </row>
    <row r="46" spans="1:38" ht="15" customHeight="1" x14ac:dyDescent="0.15">
      <c r="A46" s="178" t="s">
        <v>233</v>
      </c>
      <c r="B46" s="117">
        <v>0</v>
      </c>
    </row>
    <row r="47" spans="1:38" ht="15" customHeight="1" x14ac:dyDescent="0.15">
      <c r="A47" s="178" t="s">
        <v>234</v>
      </c>
      <c r="B47" s="117">
        <v>0</v>
      </c>
    </row>
    <row r="48" spans="1:38" ht="15" customHeight="1" x14ac:dyDescent="0.15">
      <c r="A48" s="178" t="s">
        <v>235</v>
      </c>
      <c r="B48" s="117">
        <v>0</v>
      </c>
    </row>
    <row r="49" spans="1:38" ht="15" customHeight="1" x14ac:dyDescent="0.15">
      <c r="A49" s="178" t="s">
        <v>236</v>
      </c>
      <c r="B49" s="117">
        <v>0</v>
      </c>
    </row>
    <row r="50" spans="1:38" ht="15" customHeight="1" x14ac:dyDescent="0.15">
      <c r="A50" s="178" t="s">
        <v>237</v>
      </c>
      <c r="B50" s="117">
        <v>0</v>
      </c>
    </row>
    <row r="51" spans="1:38" ht="15" customHeight="1" x14ac:dyDescent="0.15">
      <c r="A51" s="178" t="s">
        <v>238</v>
      </c>
      <c r="B51" s="117">
        <v>0</v>
      </c>
    </row>
    <row r="52" spans="1:38" ht="15" customHeight="1" x14ac:dyDescent="0.15">
      <c r="A52" s="178" t="s">
        <v>239</v>
      </c>
      <c r="B52" s="117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78" t="s">
        <v>240</v>
      </c>
      <c r="B53" s="117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78" t="s">
        <v>241</v>
      </c>
      <c r="B54" s="117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78" t="s">
        <v>242</v>
      </c>
      <c r="B55" s="117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78" t="s">
        <v>243</v>
      </c>
      <c r="B56" s="117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78" t="s">
        <v>244</v>
      </c>
      <c r="B57" s="117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78" t="s">
        <v>245</v>
      </c>
      <c r="B58" s="117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178" t="s">
        <v>246</v>
      </c>
      <c r="B59" s="117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178" t="s">
        <v>247</v>
      </c>
      <c r="B60" s="117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178" t="s">
        <v>248</v>
      </c>
      <c r="B61" s="117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178" t="s">
        <v>249</v>
      </c>
      <c r="B62" s="117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178" t="s">
        <v>250</v>
      </c>
      <c r="B63" s="117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178" t="s">
        <v>251</v>
      </c>
      <c r="B64" s="117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178" t="s">
        <v>252</v>
      </c>
      <c r="B65" s="117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178" t="s">
        <v>253</v>
      </c>
      <c r="B66" s="117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2022-10-24T04:40:26Z</dcterms:modified>
</cp:coreProperties>
</file>