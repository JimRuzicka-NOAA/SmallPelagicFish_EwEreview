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Atlantic/Atlantic_ECOTRAN_K-path_versions/"/>
    </mc:Choice>
  </mc:AlternateContent>
  <xr:revisionPtr revIDLastSave="0" documentId="13_ncr:1_{766A55F8-DF00-9943-9BE7-1105437938DF}" xr6:coauthVersionLast="45" xr6:coauthVersionMax="45" xr10:uidLastSave="{00000000-0000-0000-0000-000000000000}"/>
  <bookViews>
    <workbookView xWindow="0" yWindow="460" windowWidth="25600" windowHeight="14240" tabRatio="728" activeTab="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Main!$C$2:$N$48</definedName>
    <definedName name="matDetritus">Detritus!$C$2:$E$48</definedName>
    <definedName name="matDiet">Diets!$B$2:$AR$47</definedName>
    <definedName name="matDiscards">Discards!$C$2:$D$46</definedName>
    <definedName name="matFishery">Fishing!$C$2:$D$46</definedName>
    <definedName name="matFishing">Fishing!#REF!</definedName>
    <definedName name="matMort">Mortalities!$A$1:$AX$46</definedName>
    <definedName name="matOut">MainOutputs!$A$2:$I$48</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<sst xmlns="http://schemas.openxmlformats.org/spreadsheetml/2006/main" count="1260" uniqueCount="244">
  <si>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</si>
  <si>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</si>
  <si>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</si>
  <si>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</si>
  <si>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</si>
  <si>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</si>
  <si>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</si>
  <si>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</si>
  <si>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</si>
  <si>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</si>
  <si>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</si>
  <si>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</si>
  <si>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</si>
  <si>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</si>
  <si>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</si>
  <si>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</si>
  <si>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</si>
  <si>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</si>
  <si>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</si>
  <si>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</si>
  <si>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</si>
  <si>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</si>
  <si>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</si>
  <si>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</si>
  <si>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</si>
  <si>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</si>
  <si>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</si>
  <si>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</si>
  <si>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</si>
  <si>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</si>
  <si>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</si>
  <si>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</si>
  <si>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</si>
  <si>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</si>
  <si>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</si>
  <si>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</si>
  <si>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</si>
  <si>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</si>
  <si>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</si>
  <si>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</si>
  <si>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</si>
  <si>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</si>
  <si>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</si>
  <si>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</si>
  <si>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</si>
  <si>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</si>
  <si>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</si>
  <si>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</si>
  <si>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</si>
  <si>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</si>
  <si>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</si>
  <si>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</si>
  <si>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</si>
  <si>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</si>
  <si>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</si>
  <si>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</si>
  <si>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</si>
  <si>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</si>
  <si>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</si>
  <si>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</si>
  <si>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</si>
  <si>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</si>
  <si>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</si>
  <si>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</si>
  <si>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</si>
  <si>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</si>
  <si>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</si>
  <si>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</si>
  <si>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</si>
  <si>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</si>
  <si>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</si>
  <si>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</si>
  <si>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</si>
  <si>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</si>
  <si>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</si>
  <si>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</si>
  <si>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</si>
  <si>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</si>
  <si>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</si>
  <si>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</si>
  <si>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</si>
  <si>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</si>
  <si>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</si>
  <si>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</si>
  <si>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</si>
  <si>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</si>
  <si>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</si>
  <si>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</si>
  <si>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</si>
  <si>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</si>
  <si>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</si>
  <si>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</si>
  <si>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</si>
  <si>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</si>
  <si>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</si>
  <si>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</si>
  <si>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</si>
  <si>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</si>
  <si>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</si>
  <si>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</si>
  <si>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</si>
  <si>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</si>
  <si>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</si>
  <si>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</si>
  <si>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</si>
  <si>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</si>
  <si>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</si>
  <si>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</si>
  <si>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</si>
  <si>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</si>
  <si>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</si>
  <si>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</si>
  <si>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</si>
  <si>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</si>
  <si>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</si>
  <si>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</si>
  <si>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</si>
  <si>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</si>
  <si>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</si>
  <si>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</si>
  <si>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</si>
  <si>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</si>
  <si>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</si>
  <si>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</si>
  <si>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</si>
  <si>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</si>
  <si>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</si>
  <si>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</si>
  <si>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</si>
  <si>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</si>
  <si>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</si>
  <si>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</si>
  <si>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</si>
  <si>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</si>
  <si>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</si>
  <si>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</si>
  <si>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</si>
  <si>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</si>
  <si>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</si>
  <si>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</si>
  <si>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</si>
  <si>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</si>
  <si>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</si>
  <si>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</si>
  <si>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</si>
  <si>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</si>
  <si>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</si>
  <si>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</si>
  <si>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</si>
  <si>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</si>
  <si>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</si>
  <si>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</si>
  <si>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</si>
  <si>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</si>
  <si>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</si>
  <si>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</si>
  <si>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</si>
  <si>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</si>
  <si>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</si>
  <si>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</si>
  <si>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</si>
  <si>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</si>
  <si>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</si>
  <si>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</si>
  <si>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</si>
  <si>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</si>
  <si>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</si>
  <si>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</si>
  <si>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</si>
  <si>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</si>
  <si>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</si>
  <si>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</si>
  <si>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</si>
  <si>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</si>
  <si>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</si>
  <si>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</si>
  <si>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</si>
  <si>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</si>
  <si>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</si>
  <si>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</si>
  <si>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</si>
  <si>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</si>
  <si>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</si>
  <si>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</si>
  <si>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</si>
  <si>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Sierra Leone</t>
  </si>
  <si>
    <t>BOX(-16.2272958506799 3.9965055861276,-11.4250418750915 9.094973358341)</t>
  </si>
  <si>
    <t>continental shelf</t>
  </si>
  <si>
    <t>WetWeight</t>
  </si>
  <si>
    <t>This model is constructed with the 1964 Guinea Trawl survey data and catches obtained from  Brainard (1980)                                                                                  Brainerd, T. R. 1980. The demersal fisheries of Sierra Leone with notes on recent research surveys. Pages 25-50 in FAO, editor. Report of the second ad hoc working group on Coastal demersal stocks from Southern Mauritania to Liberia (CECAF Statistical Divisions 34.3.1 and 34.3.3). FAO, Dakar, Senegal.; 6/6/02 12:16:25 PM; 06-Jun-02 17:27:40</t>
  </si>
  <si>
    <t>Heymans J.J.,Vakily J.M.(2004). Structure and dynamics of the marine ecosystem off Sierra Leone for three time periods: 1964, 1978, 1990 West African marine ecosystems: models and fisheries impacts. pp 160-169. In Palomares M.L.D.,Pauly D.</t>
  </si>
  <si>
    <t>Baleen whales</t>
  </si>
  <si>
    <t>Toothed whales and dolphins</t>
  </si>
  <si>
    <t>Turtles</t>
  </si>
  <si>
    <t>Seabirds</t>
  </si>
  <si>
    <t>L Deep Sharks and Rays</t>
  </si>
  <si>
    <t>L Coastal Sharks and Rays</t>
  </si>
  <si>
    <t>M Deep Sharks and Rays</t>
  </si>
  <si>
    <t>M Coastal Sharks and Rays</t>
  </si>
  <si>
    <t>Large Tuna</t>
  </si>
  <si>
    <t>Small Tuna</t>
  </si>
  <si>
    <t>Large pelagic predators</t>
  </si>
  <si>
    <t>Jacks</t>
  </si>
  <si>
    <t>Small pelagic predators</t>
  </si>
  <si>
    <t>Small pelagic invert feeders</t>
  </si>
  <si>
    <t>Scads and mackerels</t>
  </si>
  <si>
    <t>Bongo shad</t>
  </si>
  <si>
    <t>Sardinellas</t>
  </si>
  <si>
    <t>Groupers</t>
  </si>
  <si>
    <t>Croackers</t>
  </si>
  <si>
    <t>Gaint African Threadfin</t>
  </si>
  <si>
    <t>Large demersal predators</t>
  </si>
  <si>
    <t>Large demersal invert feeders</t>
  </si>
  <si>
    <t>Medium demersal predators</t>
  </si>
  <si>
    <t>Catfish</t>
  </si>
  <si>
    <t>Sickle-and spadefish</t>
  </si>
  <si>
    <t>Mullets and other herbivores</t>
  </si>
  <si>
    <t>Lesser African Threadfin</t>
  </si>
  <si>
    <t>Medium demersal invert feeders</t>
  </si>
  <si>
    <t>Small demersal predators</t>
  </si>
  <si>
    <t>Royal Threadfin</t>
  </si>
  <si>
    <t>Small demersal invert feeders</t>
  </si>
  <si>
    <t>Large Bathydem predators</t>
  </si>
  <si>
    <t>SM Bathydem invert feeders</t>
  </si>
  <si>
    <t>Large Bathypelagic predators</t>
  </si>
  <si>
    <t>M Bathypelagic invert feeders</t>
  </si>
  <si>
    <t>Small Bathypelagic predators</t>
  </si>
  <si>
    <t>Mesopelagics</t>
  </si>
  <si>
    <t>Cephalopods</t>
  </si>
  <si>
    <t>Crustaceans</t>
  </si>
  <si>
    <t>Benthos</t>
  </si>
  <si>
    <t>Carnivorous zooplankton</t>
  </si>
  <si>
    <t>Herbivorous zooplankton</t>
  </si>
  <si>
    <t>Primary producers</t>
  </si>
  <si>
    <t>Detritus</t>
  </si>
  <si>
    <t>detritus_TerminalBenthic</t>
  </si>
  <si>
    <t>Artisanal fleet</t>
  </si>
  <si>
    <t>Industrial fleet</t>
  </si>
  <si>
    <t>Import</t>
  </si>
  <si>
    <t>export</t>
  </si>
  <si>
    <t>sum</t>
  </si>
  <si>
    <t>TOTAL</t>
  </si>
  <si>
    <t>F Artisanal fleet</t>
  </si>
  <si>
    <t>F Industrial fleet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</si>
</sst>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78">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8FF00"/>
        <bgColor indexed="64"/>
      </patternFill>
    </fill>
    <fill>
      <patternFill patternType="solid">
        <fgColor rgb="FF21FF00"/>
        <bgColor indexed="64"/>
      </patternFill>
    </fill>
    <fill>
      <patternFill patternType="solid">
        <fgColor rgb="FF71FF00"/>
        <bgColor indexed="64"/>
      </patternFill>
    </fill>
    <fill>
      <patternFill patternType="solid">
        <fgColor rgb="FF3FFF00"/>
        <bgColor indexed="64"/>
      </patternFill>
    </fill>
    <fill>
      <patternFill patternType="solid">
        <fgColor rgb="FF22FF00"/>
        <bgColor indexed="64"/>
      </patternFill>
    </fill>
    <fill>
      <patternFill patternType="solid">
        <fgColor rgb="FF58FF00"/>
        <bgColor indexed="64"/>
      </patternFill>
    </fill>
    <fill>
      <patternFill patternType="solid">
        <fgColor rgb="FF5DFF00"/>
        <bgColor indexed="64"/>
      </patternFill>
    </fill>
    <fill>
      <patternFill patternType="solid">
        <fgColor rgb="FF42FF00"/>
        <bgColor indexed="64"/>
      </patternFill>
    </fill>
    <fill>
      <patternFill patternType="solid">
        <fgColor rgb="FF33FF00"/>
        <bgColor indexed="64"/>
      </patternFill>
    </fill>
    <fill>
      <patternFill patternType="solid">
        <fgColor rgb="FF0FFF00"/>
        <bgColor indexed="64"/>
      </patternFill>
    </fill>
    <fill>
      <patternFill patternType="solid">
        <fgColor rgb="FF80FF00"/>
        <bgColor indexed="64"/>
      </patternFill>
    </fill>
    <fill>
      <patternFill patternType="solid">
        <fgColor rgb="FF82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7FF00"/>
        <bgColor indexed="64"/>
      </patternFill>
    </fill>
    <fill>
      <patternFill patternType="solid">
        <fgColor rgb="FF54FF00"/>
        <bgColor indexed="64"/>
      </patternFill>
    </fill>
    <fill>
      <patternFill patternType="solid">
        <fgColor rgb="FF5AFF00"/>
        <bgColor indexed="64"/>
      </patternFill>
    </fill>
    <fill>
      <patternFill patternType="solid">
        <fgColor rgb="FF26FF00"/>
        <bgColor indexed="64"/>
      </patternFill>
    </fill>
    <fill>
      <patternFill patternType="solid">
        <fgColor rgb="FF23FF00"/>
        <bgColor indexed="64"/>
      </patternFill>
    </fill>
    <fill>
      <patternFill patternType="solid">
        <fgColor rgb="FFA8FF00"/>
        <bgColor indexed="64"/>
      </patternFill>
    </fill>
    <fill>
      <patternFill patternType="solid">
        <fgColor rgb="FFC8FF00"/>
        <bgColor indexed="64"/>
      </patternFill>
    </fill>
    <fill>
      <patternFill patternType="solid">
        <fgColor rgb="FF0CFF00"/>
        <bgColor indexed="64"/>
      </patternFill>
    </fill>
    <fill>
      <patternFill patternType="solid">
        <fgColor rgb="FF31FF00"/>
        <bgColor indexed="64"/>
      </patternFill>
    </fill>
    <fill>
      <patternFill patternType="solid">
        <fgColor rgb="FF1BFF00"/>
        <bgColor indexed="64"/>
      </patternFill>
    </fill>
    <fill>
      <patternFill patternType="solid">
        <fgColor rgb="FF14FF00"/>
        <bgColor indexed="64"/>
      </patternFill>
    </fill>
    <fill>
      <patternFill patternType="solid">
        <fgColor rgb="FF8FFF00"/>
        <bgColor indexed="64"/>
      </patternFill>
    </fill>
    <fill>
      <patternFill patternType="solid">
        <fgColor rgb="FF29FF00"/>
        <bgColor indexed="64"/>
      </patternFill>
    </fill>
    <fill>
      <patternFill patternType="solid">
        <fgColor rgb="FF11FF00"/>
        <bgColor indexed="64"/>
      </patternFill>
    </fill>
    <fill>
      <patternFill patternType="solid">
        <fgColor rgb="FFF0FF00"/>
        <bgColor indexed="64"/>
      </patternFill>
    </fill>
    <fill>
      <patternFill patternType="solid">
        <fgColor rgb="FF3CFF00"/>
        <bgColor indexed="64"/>
      </patternFill>
    </fill>
    <fill>
      <patternFill patternType="solid">
        <fgColor rgb="FF39FF00"/>
        <bgColor indexed="64"/>
      </patternFill>
    </fill>
    <fill>
      <patternFill patternType="solid">
        <fgColor rgb="FF55FF00"/>
        <bgColor indexed="64"/>
      </patternFill>
    </fill>
    <fill>
      <patternFill patternType="solid">
        <fgColor rgb="FF34FF00"/>
        <bgColor indexed="64"/>
      </patternFill>
    </fill>
    <fill>
      <patternFill patternType="solid">
        <fgColor rgb="FF32FF00"/>
        <bgColor indexed="64"/>
      </patternFill>
    </fill>
    <fill>
      <patternFill patternType="solid">
        <fgColor rgb="FF9EFF00"/>
        <bgColor indexed="64"/>
      </patternFill>
    </fill>
    <fill>
      <patternFill patternType="solid">
        <fgColor rgb="FF6FFF00"/>
        <bgColor indexed="64"/>
      </patternFill>
    </fill>
    <fill>
      <patternFill patternType="solid">
        <fgColor rgb="FFA3FF00"/>
        <bgColor indexed="64"/>
      </patternFill>
    </fill>
    <fill>
      <patternFill patternType="solid">
        <fgColor rgb="FF3AFF00"/>
        <bgColor indexed="64"/>
      </patternFill>
    </fill>
    <fill>
      <patternFill patternType="solid">
        <fgColor rgb="FF7DFF00"/>
        <bgColor indexed="64"/>
      </patternFill>
    </fill>
    <fill>
      <patternFill patternType="solid">
        <fgColor rgb="FF92FF00"/>
        <bgColor indexed="64"/>
      </patternFill>
    </fill>
    <fill>
      <patternFill patternType="solid">
        <fgColor rgb="FF4FFF00"/>
        <bgColor indexed="64"/>
      </patternFill>
    </fill>
    <fill>
      <patternFill patternType="solid">
        <fgColor rgb="FFACFF00"/>
        <bgColor indexed="64"/>
      </patternFill>
    </fill>
    <fill>
      <patternFill patternType="solid">
        <fgColor rgb="FF35FF00"/>
        <bgColor indexed="64"/>
      </patternFill>
    </fill>
    <fill>
      <patternFill patternType="solid">
        <fgColor rgb="FF51FF00"/>
        <bgColor indexed="64"/>
      </patternFill>
    </fill>
    <fill>
      <patternFill patternType="solid">
        <fgColor rgb="FF4EFF00"/>
        <bgColor indexed="64"/>
      </patternFill>
    </fill>
    <fill>
      <patternFill patternType="solid">
        <fgColor rgb="FF19FF00"/>
        <bgColor indexed="64"/>
      </patternFill>
    </fill>
    <fill>
      <patternFill patternType="solid">
        <fgColor rgb="FFFF6D00"/>
        <bgColor indexed="64"/>
      </patternFill>
    </fill>
    <fill>
      <patternFill patternType="solid">
        <fgColor rgb="FFFF9000"/>
        <bgColor indexed="64"/>
      </patternFill>
    </fill>
    <fill>
      <patternFill patternType="solid">
        <fgColor rgb="FF3BFF00"/>
        <bgColor indexed="64"/>
      </patternFill>
    </fill>
    <fill>
      <patternFill patternType="solid">
        <fgColor rgb="FF44FF00"/>
        <bgColor indexed="64"/>
      </patternFill>
    </fill>
    <fill>
      <patternFill patternType="solid">
        <fgColor rgb="FF1DFF00"/>
        <bgColor indexed="64"/>
      </patternFill>
    </fill>
    <fill>
      <patternFill patternType="solid">
        <fgColor rgb="FF70FF00"/>
        <bgColor indexed="64"/>
      </patternFill>
    </fill>
    <fill>
      <patternFill patternType="solid">
        <fgColor rgb="FF5BFF00"/>
        <bgColor indexed="64"/>
      </patternFill>
    </fill>
    <fill>
      <patternFill patternType="solid">
        <fgColor rgb="FFFFFD00"/>
        <bgColor indexed="64"/>
      </patternFill>
    </fill>
    <fill>
      <patternFill patternType="solid">
        <fgColor rgb="FF5EFF00"/>
        <bgColor indexed="64"/>
      </patternFill>
    </fill>
    <fill>
      <patternFill patternType="solid">
        <fgColor rgb="FF45FF00"/>
        <bgColor indexed="64"/>
      </patternFill>
    </fill>
    <fill>
      <patternFill patternType="solid">
        <fgColor rgb="FFFFCB00"/>
        <bgColor indexed="64"/>
      </patternFill>
    </fill>
    <fill>
      <patternFill patternType="solid">
        <fgColor rgb="FF74FF00"/>
        <bgColor indexed="64"/>
      </patternFill>
    </fill>
    <fill>
      <patternFill patternType="solid">
        <fgColor rgb="FF47FF00"/>
        <bgColor indexed="64"/>
      </patternFill>
    </fill>
    <fill>
      <patternFill patternType="solid">
        <fgColor rgb="FF2EFF00"/>
        <bgColor indexed="64"/>
      </patternFill>
    </fill>
    <fill>
      <patternFill patternType="solid">
        <fgColor rgb="FF62FF00"/>
        <bgColor indexed="64"/>
      </patternFill>
    </fill>
    <fill>
      <patternFill patternType="solid">
        <fgColor rgb="FFFFC400"/>
        <bgColor indexed="64"/>
      </patternFill>
    </fill>
    <fill>
      <patternFill patternType="solid">
        <fgColor rgb="FF5FFF00"/>
        <bgColor indexed="64"/>
      </patternFill>
    </fill>
    <fill>
      <patternFill patternType="solid">
        <fgColor rgb="FFE5FF00"/>
        <bgColor indexed="64"/>
      </patternFill>
    </fill>
    <fill>
      <patternFill patternType="solid">
        <fgColor rgb="FFB9FF00"/>
        <bgColor indexed="64"/>
      </patternFill>
    </fill>
    <fill>
      <patternFill patternType="solid">
        <fgColor rgb="FFFF9D00"/>
        <bgColor indexed="64"/>
      </patternFill>
    </fill>
    <fill>
      <patternFill patternType="solid">
        <fgColor rgb="FF7BFF00"/>
        <bgColor indexed="64"/>
      </patternFill>
    </fill>
    <fill>
      <patternFill patternType="solid">
        <fgColor rgb="FF41FF00"/>
        <bgColor indexed="64"/>
      </patternFill>
    </fill>
    <fill>
      <patternFill patternType="solid">
        <fgColor rgb="FFFF6A00"/>
        <bgColor indexed="64"/>
      </patternFill>
    </fill>
    <fill>
      <patternFill patternType="solid">
        <fgColor rgb="FFFF5300"/>
        <bgColor indexed="64"/>
      </patternFill>
    </fill>
    <fill>
      <patternFill patternType="solid">
        <fgColor rgb="FFFF6F00"/>
        <bgColor indexed="64"/>
      </patternFill>
    </fill>
    <fill>
      <patternFill patternType="solid">
        <fgColor rgb="FFCFFF00"/>
        <bgColor indexed="64"/>
      </patternFill>
    </fill>
    <fill>
      <patternFill patternType="solid">
        <fgColor rgb="FF3EFF00"/>
        <bgColor indexed="64"/>
      </patternFill>
    </fill>
    <fill>
      <patternFill patternType="solid">
        <fgColor rgb="FF17FF00"/>
        <bgColor indexed="64"/>
      </patternFill>
    </fill>
    <fill>
      <patternFill patternType="solid">
        <fgColor rgb="FFFFF200"/>
        <bgColor indexed="64"/>
      </patternFill>
    </fill>
    <fill>
      <patternFill patternType="solid">
        <fgColor rgb="FFFF6000"/>
        <bgColor indexed="64"/>
      </patternFill>
    </fill>
    <fill>
      <patternFill patternType="solid">
        <fgColor rgb="FFFF9300"/>
        <bgColor indexed="64"/>
      </patternFill>
    </fill>
    <fill>
      <patternFill patternType="solid">
        <fgColor rgb="FF46FF00"/>
        <bgColor indexed="64"/>
      </patternFill>
    </fill>
    <fill>
      <patternFill patternType="solid">
        <fgColor rgb="FF9FFF00"/>
        <bgColor indexed="64"/>
      </patternFill>
    </fill>
    <fill>
      <patternFill patternType="solid">
        <fgColor rgb="FFC7FF00"/>
        <bgColor indexed="64"/>
      </patternFill>
    </fill>
    <fill>
      <patternFill patternType="solid">
        <fgColor rgb="FFC6FF00"/>
        <bgColor indexed="64"/>
      </patternFill>
    </fill>
    <fill>
      <patternFill patternType="solid">
        <fgColor rgb="FF93FF00"/>
        <bgColor indexed="64"/>
      </patternFill>
    </fill>
    <fill>
      <patternFill patternType="solid">
        <fgColor rgb="FFD4FF00"/>
        <bgColor indexed="64"/>
      </patternFill>
    </fill>
    <fill>
      <patternFill patternType="solid">
        <fgColor rgb="FFFF8000"/>
        <bgColor indexed="64"/>
      </patternFill>
    </fill>
    <fill>
      <patternFill patternType="solid">
        <fgColor rgb="FF2DFF00"/>
        <bgColor indexed="64"/>
      </patternFill>
    </fill>
    <fill>
      <patternFill patternType="solid">
        <fgColor rgb="FFFF4700"/>
        <bgColor indexed="64"/>
      </patternFill>
    </fill>
    <fill>
      <patternFill patternType="solid">
        <fgColor rgb="FF8BFF00"/>
        <bgColor indexed="64"/>
      </patternFill>
    </fill>
    <fill>
      <patternFill patternType="solid">
        <fgColor rgb="FF2CFF00"/>
        <bgColor indexed="64"/>
      </patternFill>
    </fill>
    <fill>
      <patternFill patternType="solid">
        <fgColor rgb="FF90FF00"/>
        <bgColor indexed="64"/>
      </patternFill>
    </fill>
    <fill>
      <patternFill patternType="solid">
        <fgColor rgb="FF2AFF00"/>
        <bgColor indexed="64"/>
      </patternFill>
    </fill>
    <fill>
      <patternFill patternType="solid">
        <fgColor rgb="FFFFF500"/>
        <bgColor indexed="64"/>
      </patternFill>
    </fill>
    <fill>
      <patternFill patternType="solid">
        <fgColor rgb="FFFFDF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301">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1" fillId="0" borderId="0" xfId="0" applyFont="1" applyAlignment="1">
      <alignment horizontal="center"/>
    </xf>
    <xf numFmtId="0" fontId="0" fillId="38" borderId="0" xfId="0" applyFill="1"/>
    <xf numFmtId="0" fontId="0" fillId="0" borderId="0" xfId="0" applyFont="1" applyFill="1"/>
    <xf numFmtId="0" fontId="0" fillId="0" borderId="0" xfId="0" applyFont="1" applyAlignment="1">
      <alignment horizontal="center"/>
    </xf>
    <xf numFmtId="0" fontId="0" fillId="40" borderId="0" xfId="0" applyFill="1"/>
    <xf numFmtId="0" fontId="0" fillId="41" borderId="0" xfId="0" applyFill="1"/>
    <xf numFmtId="0" fontId="0" fillId="0" borderId="0" xfId="0" applyFont="1" applyFill="1" applyAlignment="1">
      <alignment horizontal="center"/>
    </xf>
    <xf numFmtId="0" fontId="0" fillId="42" borderId="0" xfId="0" applyFill="1"/>
    <xf numFmtId="0" fontId="0" fillId="43"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9"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9" borderId="3" xfId="0" applyNumberFormat="1" applyFont="1" applyFill="1" applyBorder="1"/>
    <xf numFmtId="0" fontId="0" fillId="39" borderId="2" xfId="0" applyFont="1" applyFill="1" applyBorder="1"/>
    <xf numFmtId="0" fontId="0" fillId="39" borderId="3" xfId="0" applyFont="1" applyFill="1" applyBorder="1"/>
    <xf numFmtId="0" fontId="0" fillId="39"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4" borderId="0" xfId="0" applyFill="1"/>
    <xf numFmtId="0" fontId="0" fillId="45" borderId="0" xfId="0" applyFill="1"/>
    <xf numFmtId="0" fontId="0" fillId="46" borderId="0" xfId="0" applyFill="1"/>
    <xf numFmtId="0" fontId="0" fillId="47"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30" borderId="0" xfId="0" applyFont="1" applyFill="1" applyAlignment="1">
      <alignment horizontal="center"/>
    </xf>
    <xf numFmtId="0" fontId="12" fillId="28" borderId="0" xfId="0" applyFont="1" applyFill="1" applyAlignment="1">
      <alignment horizontal="center"/>
    </xf>
    <xf numFmtId="0" fontId="12" fillId="29"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7" xfId="0" applyFont="1" applyBorder="1"/>
    <xf numFmtId="0" fontId="0" fillId="0" borderId="18" xfId="0" applyBorder="1" applyAlignment="1">
      <alignment horizontal="right"/>
    </xf>
    <xf numFmtId="0" fontId="0" fillId="0" borderId="19" xfId="0" applyFont="1" applyBorder="1"/>
    <xf numFmtId="0" fontId="0" fillId="0" borderId="18" xfId="0"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48" borderId="0" xfId="0" applyFill="1"/>
    <xf numFmtId="0" fontId="0" fillId="49" borderId="0" xfId="0" applyFill="1"/>
    <xf numFmtId="0" fontId="1" fillId="2" borderId="0" xfId="0" applyNumberFormat="1" applyFont="1" applyFill="1"/>
    <xf numFmtId="0" fontId="0" fillId="0" borderId="0" xfId="0" applyNumberFormat="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426.33203125"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79" t="s">
        <v>171</v>
      </c>
      <c r="C53" s="112">
        <v>135</v>
      </c>
      <c r="D53" s="112"/>
    </row>
    <row r="54" spans="2:4" x14ac:dyDescent="0.15">
      <c r="B54" s="179" t="s">
        <v>172</v>
      </c>
      <c r="C54" s="179" t="s">
        <v>185</v>
      </c>
      <c r="D54" s="112"/>
    </row>
    <row r="55" spans="2:4" x14ac:dyDescent="0.15">
      <c r="B55" s="179" t="s">
        <v>173</v>
      </c>
      <c r="C55" s="179" t="s">
        <v>185</v>
      </c>
      <c r="D55" s="112"/>
    </row>
    <row r="56" spans="2:4" x14ac:dyDescent="0.15">
      <c r="B56" s="179" t="s">
        <v>174</v>
      </c>
      <c r="C56" s="112">
        <v>168000</v>
      </c>
      <c r="D56" s="112"/>
    </row>
    <row r="57" spans="2:4" x14ac:dyDescent="0.15">
      <c r="B57" s="179" t="s">
        <v>175</v>
      </c>
      <c r="C57" s="179" t="s">
        <v>186</v>
      </c>
      <c r="D57" s="112"/>
    </row>
    <row r="58" spans="2:4" x14ac:dyDescent="0.15">
      <c r="B58" s="179" t="s">
        <v>176</v>
      </c>
      <c r="C58" s="179" t="s">
        <v>187</v>
      </c>
      <c r="D58" s="112"/>
    </row>
    <row r="59" spans="2:4" x14ac:dyDescent="0.15">
      <c r="B59" s="179" t="s">
        <v>177</v>
      </c>
      <c r="C59" s="179" t="s">
        <v>188</v>
      </c>
      <c r="D59" s="112"/>
    </row>
    <row r="60" spans="2:4" x14ac:dyDescent="0.15">
      <c r="B60" s="179" t="s">
        <v>178</v>
      </c>
      <c r="C60" s="179" t="s">
        <v>189</v>
      </c>
      <c r="D60" s="112"/>
    </row>
    <row r="61" spans="2:4" x14ac:dyDescent="0.15">
      <c r="B61" s="179" t="s">
        <v>179</v>
      </c>
      <c r="C61" s="112">
        <v>44</v>
      </c>
      <c r="D61" s="112"/>
    </row>
    <row r="62" spans="2:4" x14ac:dyDescent="0.15">
      <c r="B62" s="179" t="s">
        <v>180</v>
      </c>
      <c r="C62" s="112">
        <v>2</v>
      </c>
      <c r="D62" s="112"/>
    </row>
    <row r="63" spans="2:4" x14ac:dyDescent="0.15">
      <c r="B63" s="179" t="s">
        <v>181</v>
      </c>
      <c r="C63" s="112">
        <v>1964</v>
      </c>
      <c r="D63" s="112"/>
    </row>
    <row r="64" spans="2:4" x14ac:dyDescent="0.15">
      <c r="B64" s="179" t="s">
        <v>182</v>
      </c>
      <c r="C64" s="112">
        <v>1</v>
      </c>
      <c r="D64" s="112"/>
    </row>
    <row r="65" spans="2:4" x14ac:dyDescent="0.15">
      <c r="B65" s="179" t="s">
        <v>183</v>
      </c>
      <c r="C65" s="179" t="s">
        <v>190</v>
      </c>
      <c r="D65" s="112"/>
    </row>
    <row r="66" spans="2:4" x14ac:dyDescent="0.15">
      <c r="B66" s="179" t="s">
        <v>184</v>
      </c>
      <c r="D66" s="112"/>
    </row>
    <row r="67" spans="2:4" x14ac:dyDescent="0.15">
      <c r="B67" s="112"/>
      <c r="C67" s="112"/>
      <c r="D67" s="112"/>
    </row>
    <row r="68" spans="2:4" x14ac:dyDescent="0.15">
      <c r="B68" s="112"/>
      <c r="C68" s="112"/>
      <c r="D68" s="112"/>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8" sqref="Q8"/>
    </sheetView>
  </sheetViews>
  <sheetFormatPr baseColWidth="10" defaultColWidth="8.83203125" defaultRowHeight="15" customHeight="1" x14ac:dyDescent="0.15"/>
  <cols>
    <col min="1" max="1" width="22.5" style="84" customWidth="1"/>
    <col min="2" max="3" width="3.33203125" style="84" customWidth="1"/>
    <col min="4" max="4" width="14.33203125" style="84" customWidth="1"/>
    <col min="5" max="5" width="27.5" style="84" bestFit="1" customWidth="1"/>
    <col min="6" max="6" width="2.33203125" style="84" bestFit="1" customWidth="1"/>
    <col min="7" max="7" width="12.83203125" style="84" bestFit="1" customWidth="1"/>
    <col min="8" max="8" width="11.83203125" style="84" customWidth="1"/>
    <col min="9" max="9" width="5.83203125" style="84" customWidth="1"/>
    <col min="10" max="10" width="12.83203125" style="84" customWidth="1"/>
    <col min="11" max="11" width="13.83203125" style="84" customWidth="1"/>
    <col min="12" max="12" width="2.33203125" style="84" customWidth="1"/>
    <col min="13" max="13" width="3.83203125" style="84" customWidth="1"/>
    <col min="14" max="14" width="2.33203125" style="84" customWidth="1"/>
    <col min="16" max="25" width="8.83203125" style="84"/>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4"/>
  </cols>
  <sheetData>
    <row r="1" spans="1:46" s="101" customFormat="1" ht="15" customHeight="1" x14ac:dyDescent="0.15">
      <c r="A1" s="80" t="s">
        <v>18</v>
      </c>
      <c r="C1" s="81" t="s">
        <v>8</v>
      </c>
      <c r="D1" s="80" t="s">
        <v>23</v>
      </c>
      <c r="E1" s="80" t="s">
        <v>0</v>
      </c>
      <c r="F1" s="80" t="s">
        <v>7</v>
      </c>
      <c r="G1" s="82" t="s">
        <v>13</v>
      </c>
      <c r="H1" s="80" t="s">
        <v>1</v>
      </c>
      <c r="I1" s="80" t="s">
        <v>2</v>
      </c>
      <c r="J1" s="80" t="s">
        <v>14</v>
      </c>
      <c r="K1" s="80" t="s">
        <v>3</v>
      </c>
      <c r="L1" s="80" t="s">
        <v>4</v>
      </c>
      <c r="M1" s="80" t="s">
        <v>5</v>
      </c>
      <c r="N1" s="80" t="s">
        <v>6</v>
      </c>
      <c r="O1"/>
      <c r="Z1"/>
      <c r="AA1"/>
      <c r="AB1"/>
      <c r="AC1"/>
      <c r="AD1"/>
      <c r="AE1"/>
      <c r="AF1"/>
      <c r="AG1"/>
      <c r="AH1"/>
      <c r="AI1"/>
      <c r="AJ1"/>
      <c r="AK1"/>
      <c r="AL1"/>
      <c r="AM1"/>
      <c r="AN1"/>
      <c r="AO1"/>
      <c r="AP1"/>
      <c r="AQ1"/>
      <c r="AR1"/>
      <c r="AS1"/>
      <c r="AT1"/>
    </row>
    <row r="2" spans="1:46" ht="15" customHeight="1" x14ac:dyDescent="0.15">
      <c r="C2" s="101">
        <v>1</v>
      </c>
      <c r="D2"/>
      <c r="E2" s="180" t="s">
        <v>191</v>
      </c>
      <c r="F2" s="84">
        <v>0</v>
      </c>
      <c r="G2" s="84">
        <v>3.0901137700000001E-2</v>
      </c>
      <c r="H2" s="84">
        <v>0.02</v>
      </c>
      <c r="I2" s="6">
        <v>4.8499999999999996</v>
      </c>
      <c r="J2" s="6">
        <v>0.72146916400000005</v>
      </c>
      <c r="K2" s="6">
        <v>4.1237114900000002E-3</v>
      </c>
      <c r="L2" s="6">
        <v>0</v>
      </c>
      <c r="M2" s="84">
        <v>0.2</v>
      </c>
      <c r="N2" s="84">
        <v>0</v>
      </c>
    </row>
    <row r="3" spans="1:46" ht="15" customHeight="1" x14ac:dyDescent="0.15">
      <c r="A3" s="1" t="s">
        <v>9</v>
      </c>
      <c r="B3" s="4">
        <v>43</v>
      </c>
      <c r="C3" s="84">
        <v>2</v>
      </c>
      <c r="D3"/>
      <c r="E3" s="180" t="s">
        <v>192</v>
      </c>
      <c r="F3" s="84">
        <v>0</v>
      </c>
      <c r="G3" s="84">
        <v>6.1803314800000002E-2</v>
      </c>
      <c r="H3" s="84">
        <v>7.0000000000000007E-2</v>
      </c>
      <c r="I3" s="84">
        <v>14.55</v>
      </c>
      <c r="J3" s="84">
        <v>0.75025070000000005</v>
      </c>
      <c r="K3" s="84">
        <v>4.81099635E-3</v>
      </c>
      <c r="L3" s="84">
        <v>0</v>
      </c>
      <c r="M3" s="84">
        <v>0.2</v>
      </c>
      <c r="N3" s="84">
        <v>0</v>
      </c>
    </row>
    <row r="4" spans="1:46" ht="15" customHeight="1" x14ac:dyDescent="0.15">
      <c r="A4" s="1" t="s">
        <v>10</v>
      </c>
      <c r="B4" s="4">
        <v>2</v>
      </c>
      <c r="C4" s="84">
        <v>3</v>
      </c>
      <c r="D4"/>
      <c r="E4" s="180" t="s">
        <v>193</v>
      </c>
      <c r="F4" s="84">
        <v>0</v>
      </c>
      <c r="G4" s="84">
        <v>4.9618200000000001E-2</v>
      </c>
      <c r="H4" s="84">
        <v>0.15</v>
      </c>
      <c r="I4" s="84">
        <v>3.5</v>
      </c>
      <c r="J4" s="84">
        <v>0.95</v>
      </c>
      <c r="K4" s="84">
        <v>4.2857144E-2</v>
      </c>
      <c r="L4" s="84">
        <v>0</v>
      </c>
      <c r="M4" s="84">
        <v>0.2</v>
      </c>
      <c r="N4" s="84">
        <v>0</v>
      </c>
      <c r="V4" s="1" t="s">
        <v>29</v>
      </c>
    </row>
    <row r="5" spans="1:46" ht="15" customHeight="1" thickBot="1" x14ac:dyDescent="0.2">
      <c r="A5" s="1" t="s">
        <v>11</v>
      </c>
      <c r="B5" s="4">
        <v>2</v>
      </c>
      <c r="C5" s="84">
        <v>4</v>
      </c>
      <c r="D5"/>
      <c r="E5" s="180" t="s">
        <v>194</v>
      </c>
      <c r="F5" s="84">
        <v>0</v>
      </c>
      <c r="G5" s="84">
        <v>5.0000000000000001E-3</v>
      </c>
      <c r="H5" s="84">
        <v>1.4999999999999999E-2</v>
      </c>
      <c r="I5" s="84">
        <v>86.41</v>
      </c>
      <c r="J5" s="84">
        <v>0</v>
      </c>
      <c r="K5" s="84">
        <v>1.7359100000000001E-4</v>
      </c>
      <c r="L5" s="84">
        <v>0</v>
      </c>
      <c r="M5" s="84">
        <v>0.2</v>
      </c>
      <c r="N5" s="84">
        <v>0</v>
      </c>
      <c r="P5" s="73"/>
      <c r="Q5" s="73"/>
      <c r="R5" s="73"/>
    </row>
    <row r="6" spans="1:46" ht="15" customHeight="1" thickBot="1" x14ac:dyDescent="0.2">
      <c r="B6" s="1"/>
      <c r="C6" s="84">
        <v>5</v>
      </c>
      <c r="D6"/>
      <c r="E6" s="180" t="s">
        <v>195</v>
      </c>
      <c r="F6" s="84">
        <v>0</v>
      </c>
      <c r="G6" s="84">
        <v>5.4289629999999998E-2</v>
      </c>
      <c r="H6" s="84">
        <v>0.2</v>
      </c>
      <c r="I6" s="84">
        <v>4.46</v>
      </c>
      <c r="J6" s="84">
        <v>9.3603216099999997E-2</v>
      </c>
      <c r="K6" s="84">
        <v>4.4843047900000002E-2</v>
      </c>
      <c r="L6" s="84">
        <v>0</v>
      </c>
      <c r="M6" s="84">
        <v>0.2</v>
      </c>
      <c r="N6" s="84">
        <v>0</v>
      </c>
      <c r="P6" s="73"/>
      <c r="Q6" s="73"/>
      <c r="R6" s="73"/>
      <c r="W6" s="36" t="s">
        <v>31</v>
      </c>
      <c r="X6" s="52">
        <f>MAX(MainOutputs!G:G)</f>
        <v>0.9718049168586731</v>
      </c>
    </row>
    <row r="7" spans="1:46" ht="15" customHeight="1" x14ac:dyDescent="0.15">
      <c r="A7" s="2" t="s">
        <v>27</v>
      </c>
      <c r="B7" s="84">
        <f ca="1">COUNTIF(OFFSET(cornerDiets,1,1,NumLiving+NumDead+1,NumLiving+NumDead),"&gt;0")+NumLiving+NumDead+1</f>
        <v>455</v>
      </c>
      <c r="C7" s="84">
        <v>6</v>
      </c>
      <c r="D7"/>
      <c r="E7" s="180" t="s">
        <v>196</v>
      </c>
      <c r="F7" s="84">
        <v>0</v>
      </c>
      <c r="G7" s="84">
        <v>4.5125357800000002E-2</v>
      </c>
      <c r="H7" s="84">
        <v>0.28999999999999998</v>
      </c>
      <c r="I7" s="84">
        <v>4.5</v>
      </c>
      <c r="J7" s="84">
        <v>0.84001320000000002</v>
      </c>
      <c r="K7" s="84">
        <v>6.4444445099999997E-2</v>
      </c>
      <c r="L7" s="84">
        <v>0</v>
      </c>
      <c r="M7" s="84">
        <v>0.2</v>
      </c>
      <c r="N7" s="84">
        <v>0</v>
      </c>
      <c r="P7" s="73"/>
      <c r="Q7" s="73"/>
      <c r="R7" s="73"/>
    </row>
    <row r="8" spans="1:46" ht="15" customHeight="1" x14ac:dyDescent="0.15">
      <c r="A8" s="2" t="s">
        <v>28</v>
      </c>
      <c r="B8" s="84">
        <f ca="1">COUNTIF(OFFSET(cornerFishing,1,2,NumLiving+NumDead,NumGears),"&gt;0")+NumDead*COUNTIF(OFFSET(cornerDiscards,1,2,NumLiving+NumDead,NumGears),"&gt;0")+NumLiving+NumDead+1</f>
        <v>70</v>
      </c>
      <c r="C8" s="84">
        <v>7</v>
      </c>
      <c r="D8"/>
      <c r="E8" s="180" t="s">
        <v>197</v>
      </c>
      <c r="F8" s="84">
        <v>0</v>
      </c>
      <c r="G8" s="84">
        <v>2.0538564799999999E-2</v>
      </c>
      <c r="H8" s="84">
        <v>0.4</v>
      </c>
      <c r="I8" s="84">
        <v>7.99</v>
      </c>
      <c r="J8" s="84">
        <v>0.95</v>
      </c>
      <c r="K8" s="84">
        <v>5.00625819E-2</v>
      </c>
      <c r="L8" s="84">
        <v>0</v>
      </c>
      <c r="M8" s="84">
        <v>0.2</v>
      </c>
      <c r="N8" s="84">
        <v>0</v>
      </c>
      <c r="P8" s="73"/>
      <c r="Q8" s="73"/>
      <c r="R8" s="73"/>
    </row>
    <row r="9" spans="1:46" ht="15" customHeight="1" x14ac:dyDescent="0.15">
      <c r="B9" s="1"/>
      <c r="C9" s="84">
        <v>8</v>
      </c>
      <c r="D9"/>
      <c r="E9" s="180" t="s">
        <v>198</v>
      </c>
      <c r="F9" s="84">
        <v>0</v>
      </c>
      <c r="G9" s="84">
        <v>4.14132439E-2</v>
      </c>
      <c r="H9" s="84">
        <v>0.42</v>
      </c>
      <c r="I9" s="84">
        <v>7.99</v>
      </c>
      <c r="J9" s="84">
        <v>0.45391480000000001</v>
      </c>
      <c r="K9" s="84">
        <v>5.2565710000000002E-2</v>
      </c>
      <c r="L9" s="84">
        <v>0</v>
      </c>
      <c r="M9" s="84">
        <v>0.2</v>
      </c>
      <c r="N9" s="84">
        <v>0</v>
      </c>
      <c r="P9" s="73"/>
      <c r="Q9" s="73"/>
      <c r="R9" s="73"/>
    </row>
    <row r="10" spans="1:46" ht="15" customHeight="1" x14ac:dyDescent="0.15">
      <c r="B10" s="1"/>
      <c r="C10" s="84">
        <v>9</v>
      </c>
      <c r="D10"/>
      <c r="E10" s="180" t="s">
        <v>199</v>
      </c>
      <c r="F10" s="84">
        <v>0</v>
      </c>
      <c r="G10" s="84">
        <v>9.2899999999999996E-2</v>
      </c>
      <c r="H10" s="84">
        <v>0.52</v>
      </c>
      <c r="I10" s="84">
        <v>4.8499999999999996</v>
      </c>
      <c r="J10" s="84">
        <v>0.20059032700000001</v>
      </c>
      <c r="K10" s="84">
        <v>0.107216492</v>
      </c>
      <c r="L10" s="84">
        <v>0</v>
      </c>
      <c r="M10" s="84">
        <v>0.2</v>
      </c>
      <c r="N10" s="84">
        <v>0</v>
      </c>
    </row>
    <row r="11" spans="1:46" ht="15" customHeight="1" x14ac:dyDescent="0.15">
      <c r="C11" s="84">
        <v>10</v>
      </c>
      <c r="D11"/>
      <c r="E11" s="180" t="s">
        <v>200</v>
      </c>
      <c r="F11" s="84">
        <v>0</v>
      </c>
      <c r="G11" s="84">
        <v>2.6480034E-2</v>
      </c>
      <c r="H11" s="84">
        <v>0.75</v>
      </c>
      <c r="I11" s="84">
        <v>6.6</v>
      </c>
      <c r="J11" s="84">
        <v>0.95</v>
      </c>
      <c r="K11" s="84">
        <v>0.113636367</v>
      </c>
      <c r="L11" s="84">
        <v>0</v>
      </c>
      <c r="M11" s="84">
        <v>0.2</v>
      </c>
      <c r="N11" s="84">
        <v>0</v>
      </c>
    </row>
    <row r="12" spans="1:46" ht="15" customHeight="1" x14ac:dyDescent="0.15">
      <c r="C12" s="84">
        <v>11</v>
      </c>
      <c r="D12"/>
      <c r="E12" s="180" t="s">
        <v>201</v>
      </c>
      <c r="F12" s="84">
        <v>0</v>
      </c>
      <c r="G12" s="84">
        <v>8.5357929999999999E-2</v>
      </c>
      <c r="H12" s="84">
        <v>0.68</v>
      </c>
      <c r="I12" s="84">
        <v>6.26</v>
      </c>
      <c r="J12" s="84">
        <v>0.95</v>
      </c>
      <c r="K12" s="84">
        <v>0.108626194</v>
      </c>
      <c r="L12" s="84">
        <v>0</v>
      </c>
      <c r="M12" s="84">
        <v>0.2</v>
      </c>
      <c r="N12" s="84">
        <v>0</v>
      </c>
    </row>
    <row r="13" spans="1:46" ht="15" customHeight="1" x14ac:dyDescent="0.15">
      <c r="C13" s="84">
        <v>12</v>
      </c>
      <c r="D13"/>
      <c r="E13" s="180" t="s">
        <v>202</v>
      </c>
      <c r="F13" s="84">
        <v>0</v>
      </c>
      <c r="G13" s="84">
        <v>2.9992064499999999E-2</v>
      </c>
      <c r="H13" s="84">
        <v>0.7</v>
      </c>
      <c r="I13" s="84">
        <v>9.4600000000000009</v>
      </c>
      <c r="J13" s="84">
        <v>0.95</v>
      </c>
      <c r="K13" s="84">
        <v>7.3995770000000002E-2</v>
      </c>
      <c r="L13" s="84">
        <v>0</v>
      </c>
      <c r="M13" s="84">
        <v>0.2</v>
      </c>
      <c r="N13" s="84">
        <v>0</v>
      </c>
    </row>
    <row r="14" spans="1:46" ht="15" customHeight="1" x14ac:dyDescent="0.15">
      <c r="C14" s="84">
        <v>13</v>
      </c>
      <c r="D14"/>
      <c r="E14" s="180" t="s">
        <v>203</v>
      </c>
      <c r="F14" s="84">
        <v>0</v>
      </c>
      <c r="G14" s="84">
        <v>1.6600098599999999</v>
      </c>
      <c r="H14" s="84">
        <v>1.39</v>
      </c>
      <c r="I14" s="84">
        <v>14.08</v>
      </c>
      <c r="J14" s="84">
        <v>0.89107440000000004</v>
      </c>
      <c r="K14" s="84">
        <v>9.8721589999999998E-2</v>
      </c>
      <c r="L14" s="84">
        <v>0</v>
      </c>
      <c r="M14" s="84">
        <v>0.2</v>
      </c>
      <c r="N14" s="84">
        <v>0</v>
      </c>
    </row>
    <row r="15" spans="1:46" ht="15" customHeight="1" x14ac:dyDescent="0.15">
      <c r="C15" s="84">
        <v>14</v>
      </c>
      <c r="D15"/>
      <c r="E15" s="180" t="s">
        <v>204</v>
      </c>
      <c r="F15" s="84">
        <v>0</v>
      </c>
      <c r="G15" s="84">
        <v>1.1725398300000001</v>
      </c>
      <c r="H15" s="84">
        <v>2.08</v>
      </c>
      <c r="I15" s="84">
        <v>13.65</v>
      </c>
      <c r="J15" s="84">
        <v>0.95</v>
      </c>
      <c r="K15" s="84">
        <v>0.15238095800000001</v>
      </c>
      <c r="L15" s="84">
        <v>0</v>
      </c>
      <c r="M15" s="84">
        <v>0.2</v>
      </c>
      <c r="N15" s="84">
        <v>0</v>
      </c>
    </row>
    <row r="16" spans="1:46" ht="15" customHeight="1" x14ac:dyDescent="0.15">
      <c r="C16" s="84">
        <v>15</v>
      </c>
      <c r="D16"/>
      <c r="E16" s="180" t="s">
        <v>205</v>
      </c>
      <c r="F16" s="84">
        <v>0</v>
      </c>
      <c r="G16" s="84">
        <v>2.9606029999999999</v>
      </c>
      <c r="H16" s="84">
        <v>0.56999999999999995</v>
      </c>
      <c r="I16" s="84">
        <v>10.06</v>
      </c>
      <c r="J16" s="84">
        <v>0.95</v>
      </c>
      <c r="K16" s="84">
        <v>5.6660037500000003E-2</v>
      </c>
      <c r="L16" s="84">
        <v>0</v>
      </c>
      <c r="M16" s="84">
        <v>0.2</v>
      </c>
      <c r="N16" s="84">
        <v>0</v>
      </c>
    </row>
    <row r="17" spans="1:22" ht="15" customHeight="1" x14ac:dyDescent="0.15">
      <c r="C17" s="84">
        <v>16</v>
      </c>
      <c r="D17"/>
      <c r="E17" s="180" t="s">
        <v>206</v>
      </c>
      <c r="F17" s="84">
        <v>0</v>
      </c>
      <c r="G17" s="84">
        <v>1.08836746</v>
      </c>
      <c r="H17" s="84">
        <v>0.86</v>
      </c>
      <c r="I17" s="84">
        <v>13.51</v>
      </c>
      <c r="J17" s="84">
        <v>0.95</v>
      </c>
      <c r="K17" s="84">
        <v>6.3656550000000006E-2</v>
      </c>
      <c r="L17" s="84">
        <v>0</v>
      </c>
      <c r="M17" s="84">
        <v>0.2</v>
      </c>
      <c r="N17" s="84">
        <v>0</v>
      </c>
      <c r="V17" s="1" t="s">
        <v>30</v>
      </c>
    </row>
    <row r="18" spans="1:22" ht="15" customHeight="1" x14ac:dyDescent="0.15">
      <c r="C18" s="84">
        <v>17</v>
      </c>
      <c r="D18"/>
      <c r="E18" s="180" t="s">
        <v>207</v>
      </c>
      <c r="F18" s="84">
        <v>0</v>
      </c>
      <c r="G18" s="84">
        <v>1.1266259000000001</v>
      </c>
      <c r="H18" s="84">
        <v>1.6</v>
      </c>
      <c r="I18" s="84">
        <v>11.83</v>
      </c>
      <c r="J18" s="84">
        <v>0.95</v>
      </c>
      <c r="K18" s="84">
        <v>0.135249376</v>
      </c>
      <c r="L18" s="84">
        <v>0</v>
      </c>
      <c r="M18" s="84">
        <v>0.2</v>
      </c>
      <c r="N18" s="84">
        <v>0</v>
      </c>
      <c r="V18" s="1"/>
    </row>
    <row r="19" spans="1:22" ht="15" customHeight="1" x14ac:dyDescent="0.15">
      <c r="C19" s="84">
        <v>18</v>
      </c>
      <c r="D19"/>
      <c r="E19" s="180" t="s">
        <v>208</v>
      </c>
      <c r="F19" s="84">
        <v>0</v>
      </c>
      <c r="G19" s="84">
        <v>1.5985280000000001E-2</v>
      </c>
      <c r="H19" s="84">
        <v>0.99300003100000001</v>
      </c>
      <c r="I19" s="84">
        <v>6.62</v>
      </c>
      <c r="J19" s="84">
        <v>0.63664299999999996</v>
      </c>
      <c r="K19" s="84">
        <v>0.15</v>
      </c>
      <c r="L19" s="84">
        <v>0</v>
      </c>
      <c r="M19" s="84">
        <v>0.2</v>
      </c>
      <c r="N19" s="84">
        <v>0</v>
      </c>
    </row>
    <row r="20" spans="1:22" ht="15" customHeight="1" thickBot="1" x14ac:dyDescent="0.2">
      <c r="C20" s="84">
        <v>19</v>
      </c>
      <c r="D20"/>
      <c r="E20" s="180" t="s">
        <v>209</v>
      </c>
      <c r="F20" s="84">
        <v>0</v>
      </c>
      <c r="G20" s="84">
        <v>3.9046770000000001E-2</v>
      </c>
      <c r="H20" s="84">
        <v>0.96</v>
      </c>
      <c r="I20" s="84">
        <v>8.3699999999999992</v>
      </c>
      <c r="J20" s="84">
        <v>0.72806304700000002</v>
      </c>
      <c r="K20" s="84">
        <v>0.11469534000000001</v>
      </c>
      <c r="L20" s="84">
        <v>0</v>
      </c>
      <c r="M20" s="84">
        <v>0.2</v>
      </c>
      <c r="N20" s="84">
        <v>0</v>
      </c>
    </row>
    <row r="21" spans="1:22" ht="15" customHeight="1" thickBot="1" x14ac:dyDescent="0.2">
      <c r="A21" s="47" t="s">
        <v>137</v>
      </c>
      <c r="B21" s="102"/>
      <c r="C21" s="84">
        <v>20</v>
      </c>
      <c r="D21"/>
      <c r="E21" s="180" t="s">
        <v>210</v>
      </c>
      <c r="F21" s="84">
        <v>0</v>
      </c>
      <c r="G21" s="84">
        <v>1.7563084100000001E-2</v>
      </c>
      <c r="H21" s="84">
        <v>0.76</v>
      </c>
      <c r="I21" s="84">
        <v>8.3699999999999992</v>
      </c>
      <c r="J21" s="84">
        <v>0.95</v>
      </c>
      <c r="K21" s="84">
        <v>9.0800480000000003E-2</v>
      </c>
      <c r="L21" s="84">
        <v>0</v>
      </c>
      <c r="M21" s="84">
        <v>0.2</v>
      </c>
      <c r="N21" s="84">
        <v>0</v>
      </c>
    </row>
    <row r="22" spans="1:22" ht="15" customHeight="1" x14ac:dyDescent="0.15">
      <c r="A22" s="103" t="s">
        <v>58</v>
      </c>
      <c r="B22" s="104">
        <v>0</v>
      </c>
      <c r="C22" s="84">
        <v>21</v>
      </c>
      <c r="D22"/>
      <c r="E22" s="180" t="s">
        <v>211</v>
      </c>
      <c r="F22" s="84">
        <v>0</v>
      </c>
      <c r="G22" s="84">
        <v>0.102639884</v>
      </c>
      <c r="H22" s="84">
        <v>0.53</v>
      </c>
      <c r="I22" s="84">
        <v>7.09</v>
      </c>
      <c r="J22" s="84">
        <v>0.97180485699999997</v>
      </c>
      <c r="K22" s="84">
        <v>7.4753165199999999E-2</v>
      </c>
      <c r="L22" s="84">
        <v>0</v>
      </c>
      <c r="M22" s="84">
        <v>0.2</v>
      </c>
      <c r="N22" s="84">
        <v>0</v>
      </c>
    </row>
    <row r="23" spans="1:22" ht="15" customHeight="1" x14ac:dyDescent="0.15">
      <c r="A23" s="103" t="s">
        <v>59</v>
      </c>
      <c r="B23" s="104">
        <v>1</v>
      </c>
      <c r="C23" s="84">
        <v>22</v>
      </c>
      <c r="D23"/>
      <c r="E23" s="180" t="s">
        <v>212</v>
      </c>
      <c r="F23" s="84">
        <v>0</v>
      </c>
      <c r="G23" s="84">
        <v>1.2435574099999999E-2</v>
      </c>
      <c r="H23" s="84">
        <v>0.51</v>
      </c>
      <c r="I23" s="84">
        <v>7.71</v>
      </c>
      <c r="J23" s="84">
        <v>9.6150810000000003E-2</v>
      </c>
      <c r="K23" s="84">
        <v>6.6147860000000003E-2</v>
      </c>
      <c r="L23" s="84">
        <v>0</v>
      </c>
      <c r="M23" s="84">
        <v>0.2</v>
      </c>
      <c r="N23" s="84">
        <v>0</v>
      </c>
    </row>
    <row r="24" spans="1:22" ht="15" customHeight="1" x14ac:dyDescent="0.15">
      <c r="A24" s="103" t="s">
        <v>60</v>
      </c>
      <c r="B24" s="104">
        <v>2</v>
      </c>
      <c r="C24" s="84">
        <v>23</v>
      </c>
      <c r="D24"/>
      <c r="E24" s="180" t="s">
        <v>213</v>
      </c>
      <c r="F24" s="84">
        <v>0</v>
      </c>
      <c r="G24" s="84">
        <v>0.102732688</v>
      </c>
      <c r="H24" s="84">
        <v>0.67</v>
      </c>
      <c r="I24" s="84">
        <v>9.8699999999999992</v>
      </c>
      <c r="J24" s="84">
        <v>0.909589231</v>
      </c>
      <c r="K24" s="84">
        <v>6.7882479999999995E-2</v>
      </c>
      <c r="L24" s="84">
        <v>0</v>
      </c>
      <c r="M24" s="84">
        <v>0.2</v>
      </c>
      <c r="N24" s="84">
        <v>0</v>
      </c>
    </row>
    <row r="25" spans="1:22" ht="15" customHeight="1" thickBot="1" x14ac:dyDescent="0.2">
      <c r="A25" s="105" t="s">
        <v>44</v>
      </c>
      <c r="B25" s="106">
        <v>3</v>
      </c>
      <c r="C25" s="84">
        <v>24</v>
      </c>
      <c r="D25"/>
      <c r="E25" s="180" t="s">
        <v>214</v>
      </c>
      <c r="F25" s="84">
        <v>0</v>
      </c>
      <c r="G25" s="84">
        <v>2.45665051E-2</v>
      </c>
      <c r="H25" s="84">
        <v>0.47</v>
      </c>
      <c r="I25" s="84">
        <v>8.32</v>
      </c>
      <c r="J25" s="84">
        <v>0.95</v>
      </c>
      <c r="K25" s="84">
        <v>5.64903878E-2</v>
      </c>
      <c r="L25" s="84">
        <v>0</v>
      </c>
      <c r="M25" s="84">
        <v>0.2</v>
      </c>
      <c r="N25" s="84">
        <v>0</v>
      </c>
    </row>
    <row r="26" spans="1:22" ht="15" customHeight="1" x14ac:dyDescent="0.15">
      <c r="A26" s="107" t="s">
        <v>140</v>
      </c>
      <c r="C26" s="84">
        <v>25</v>
      </c>
      <c r="D26"/>
      <c r="E26" s="180" t="s">
        <v>215</v>
      </c>
      <c r="F26" s="84">
        <v>0</v>
      </c>
      <c r="G26" s="84">
        <v>3.4647570000000003E-2</v>
      </c>
      <c r="H26" s="84">
        <v>0.85</v>
      </c>
      <c r="I26" s="84">
        <v>10.37</v>
      </c>
      <c r="J26" s="84">
        <v>0.95</v>
      </c>
      <c r="K26" s="84">
        <v>8.1967219999999993E-2</v>
      </c>
      <c r="L26" s="84">
        <v>0</v>
      </c>
      <c r="M26" s="84">
        <v>0.2</v>
      </c>
      <c r="N26" s="84">
        <v>0</v>
      </c>
    </row>
    <row r="27" spans="1:22" ht="15" customHeight="1" x14ac:dyDescent="0.15">
      <c r="C27" s="84">
        <v>26</v>
      </c>
      <c r="D27"/>
      <c r="E27" s="180" t="s">
        <v>216</v>
      </c>
      <c r="F27" s="84">
        <v>0</v>
      </c>
      <c r="G27" s="84">
        <v>0.20032167400000001</v>
      </c>
      <c r="H27" s="84">
        <v>0.76</v>
      </c>
      <c r="I27" s="84">
        <v>13.71</v>
      </c>
      <c r="J27" s="84">
        <v>0.95</v>
      </c>
      <c r="K27" s="84">
        <v>5.5433990000000002E-2</v>
      </c>
      <c r="L27" s="84">
        <v>0</v>
      </c>
      <c r="M27" s="84">
        <v>0.2</v>
      </c>
      <c r="N27" s="84">
        <v>0</v>
      </c>
    </row>
    <row r="28" spans="1:22" ht="15" customHeight="1" x14ac:dyDescent="0.15">
      <c r="C28" s="84">
        <v>27</v>
      </c>
      <c r="D28"/>
      <c r="E28" s="180" t="s">
        <v>217</v>
      </c>
      <c r="F28" s="84">
        <v>0</v>
      </c>
      <c r="G28" s="84">
        <v>4.4964816400000003E-2</v>
      </c>
      <c r="H28" s="84">
        <v>0.83</v>
      </c>
      <c r="I28" s="84">
        <v>9.01</v>
      </c>
      <c r="J28" s="84">
        <v>0.95</v>
      </c>
      <c r="K28" s="84">
        <v>9.2119865100000003E-2</v>
      </c>
      <c r="L28" s="84">
        <v>0</v>
      </c>
      <c r="M28" s="84">
        <v>0.2</v>
      </c>
      <c r="N28" s="84">
        <v>0</v>
      </c>
    </row>
    <row r="29" spans="1:22" customFormat="1" ht="15" customHeight="1" x14ac:dyDescent="0.15">
      <c r="C29" s="84">
        <v>28</v>
      </c>
      <c r="E29" s="180" t="s">
        <v>218</v>
      </c>
      <c r="F29" s="84">
        <v>0</v>
      </c>
      <c r="G29" s="84">
        <v>0.153</v>
      </c>
      <c r="H29" s="84">
        <v>0.75</v>
      </c>
      <c r="I29" s="84">
        <v>10.86</v>
      </c>
      <c r="J29" s="84">
        <v>0.951314569</v>
      </c>
      <c r="K29" s="84">
        <v>6.9060769999999994E-2</v>
      </c>
      <c r="L29" s="84">
        <v>0</v>
      </c>
      <c r="M29" s="84">
        <v>0.2</v>
      </c>
      <c r="N29" s="84">
        <v>0</v>
      </c>
    </row>
    <row r="30" spans="1:22" customFormat="1" ht="15" customHeight="1" x14ac:dyDescent="0.15">
      <c r="C30" s="84">
        <v>29</v>
      </c>
      <c r="E30" s="180" t="s">
        <v>219</v>
      </c>
      <c r="F30" s="84">
        <v>0</v>
      </c>
      <c r="G30" s="84">
        <v>0.13379489999999999</v>
      </c>
      <c r="H30" s="84">
        <v>1.66</v>
      </c>
      <c r="I30" s="84">
        <v>10.130000000000001</v>
      </c>
      <c r="J30" s="84">
        <v>0.95</v>
      </c>
      <c r="K30" s="84">
        <v>0.16386970000000001</v>
      </c>
      <c r="L30" s="84">
        <v>0</v>
      </c>
      <c r="M30" s="84">
        <v>0.2</v>
      </c>
      <c r="N30" s="84">
        <v>0</v>
      </c>
    </row>
    <row r="31" spans="1:22" customFormat="1" ht="15" customHeight="1" x14ac:dyDescent="0.15">
      <c r="C31" s="84">
        <v>30</v>
      </c>
      <c r="E31" s="180" t="s">
        <v>220</v>
      </c>
      <c r="F31" s="84">
        <v>0</v>
      </c>
      <c r="G31" s="84">
        <v>3.9223609999999999E-2</v>
      </c>
      <c r="H31" s="84">
        <v>0.92</v>
      </c>
      <c r="I31" s="84">
        <v>11.7</v>
      </c>
      <c r="J31" s="84">
        <v>0.95</v>
      </c>
      <c r="K31" s="84">
        <v>7.8632480000000005E-2</v>
      </c>
      <c r="L31" s="84">
        <v>0</v>
      </c>
      <c r="M31" s="84">
        <v>0.2</v>
      </c>
      <c r="N31" s="84">
        <v>0</v>
      </c>
    </row>
    <row r="32" spans="1:22" customFormat="1" ht="15" customHeight="1" x14ac:dyDescent="0.15">
      <c r="C32" s="84">
        <v>31</v>
      </c>
      <c r="E32" s="180" t="s">
        <v>221</v>
      </c>
      <c r="F32" s="84">
        <v>0</v>
      </c>
      <c r="G32" s="84">
        <v>0.18461594000000001</v>
      </c>
      <c r="H32" s="84">
        <v>1.38</v>
      </c>
      <c r="I32" s="84">
        <v>10.45</v>
      </c>
      <c r="J32" s="84">
        <v>0.95</v>
      </c>
      <c r="K32" s="84">
        <v>0.13205741300000001</v>
      </c>
      <c r="L32" s="84">
        <v>0</v>
      </c>
      <c r="M32" s="84">
        <v>0.2</v>
      </c>
      <c r="N32" s="84">
        <v>0</v>
      </c>
    </row>
    <row r="33" spans="3:14" customFormat="1" ht="15" customHeight="1" x14ac:dyDescent="0.15">
      <c r="C33" s="84">
        <v>32</v>
      </c>
      <c r="E33" s="180" t="s">
        <v>222</v>
      </c>
      <c r="F33" s="84">
        <v>0</v>
      </c>
      <c r="G33" s="84">
        <v>2.5770433200000002E-2</v>
      </c>
      <c r="H33" s="84">
        <v>0.73</v>
      </c>
      <c r="I33" s="84">
        <v>6</v>
      </c>
      <c r="J33" s="84">
        <v>0.95</v>
      </c>
      <c r="K33" s="84">
        <v>0.12166667</v>
      </c>
      <c r="L33" s="84">
        <v>0</v>
      </c>
      <c r="M33" s="84">
        <v>0.2</v>
      </c>
      <c r="N33" s="84">
        <v>0</v>
      </c>
    </row>
    <row r="34" spans="3:14" customFormat="1" ht="15" customHeight="1" x14ac:dyDescent="0.15">
      <c r="C34" s="84">
        <v>33</v>
      </c>
      <c r="E34" s="180" t="s">
        <v>223</v>
      </c>
      <c r="F34" s="84">
        <v>0</v>
      </c>
      <c r="G34" s="84">
        <v>0.31204939999999998</v>
      </c>
      <c r="H34" s="84">
        <v>0.52</v>
      </c>
      <c r="I34" s="84">
        <v>4.17</v>
      </c>
      <c r="J34" s="84">
        <v>0.59118740000000003</v>
      </c>
      <c r="K34" s="84">
        <v>0.12470023299999999</v>
      </c>
      <c r="L34" s="84">
        <v>0</v>
      </c>
      <c r="M34" s="84">
        <v>0.2</v>
      </c>
      <c r="N34" s="84">
        <v>0</v>
      </c>
    </row>
    <row r="35" spans="3:14" customFormat="1" ht="15" customHeight="1" x14ac:dyDescent="0.15">
      <c r="C35" s="84">
        <v>34</v>
      </c>
      <c r="E35" s="180" t="s">
        <v>224</v>
      </c>
      <c r="F35" s="84">
        <v>0</v>
      </c>
      <c r="G35" s="84">
        <v>3.776152E-2</v>
      </c>
      <c r="H35" s="84">
        <v>0.59</v>
      </c>
      <c r="I35" s="84">
        <v>5.23</v>
      </c>
      <c r="J35" s="84">
        <v>0.95</v>
      </c>
      <c r="K35" s="84">
        <v>0.1128107</v>
      </c>
      <c r="L35" s="84">
        <v>0</v>
      </c>
      <c r="M35" s="84">
        <v>0.2</v>
      </c>
      <c r="N35" s="84">
        <v>0</v>
      </c>
    </row>
    <row r="36" spans="3:14" customFormat="1" ht="15" customHeight="1" x14ac:dyDescent="0.15">
      <c r="C36" s="84">
        <v>35</v>
      </c>
      <c r="E36" s="180" t="s">
        <v>225</v>
      </c>
      <c r="F36" s="84">
        <v>0</v>
      </c>
      <c r="G36" s="84">
        <v>6.5794720000000001E-2</v>
      </c>
      <c r="H36" s="84">
        <v>0.3</v>
      </c>
      <c r="I36" s="84">
        <v>4.7</v>
      </c>
      <c r="J36" s="84">
        <v>0.95</v>
      </c>
      <c r="K36" s="84">
        <v>6.3829794499999995E-2</v>
      </c>
      <c r="L36" s="84">
        <v>0</v>
      </c>
      <c r="M36" s="84">
        <v>0.2</v>
      </c>
      <c r="N36" s="84">
        <v>0</v>
      </c>
    </row>
    <row r="37" spans="3:14" customFormat="1" ht="15" customHeight="1" x14ac:dyDescent="0.15">
      <c r="C37" s="84">
        <v>36</v>
      </c>
      <c r="E37" s="180" t="s">
        <v>226</v>
      </c>
      <c r="F37" s="84">
        <v>0</v>
      </c>
      <c r="G37" s="84">
        <v>0.33019864599999998</v>
      </c>
      <c r="H37" s="84">
        <v>0.8</v>
      </c>
      <c r="I37" s="84">
        <v>5</v>
      </c>
      <c r="J37" s="84">
        <v>0.95</v>
      </c>
      <c r="K37" s="84">
        <v>0.16</v>
      </c>
      <c r="L37" s="84">
        <v>0</v>
      </c>
      <c r="M37" s="84">
        <v>0.2</v>
      </c>
      <c r="N37" s="84">
        <v>0</v>
      </c>
    </row>
    <row r="38" spans="3:14" customFormat="1" ht="15" customHeight="1" x14ac:dyDescent="0.15">
      <c r="C38" s="84">
        <v>37</v>
      </c>
      <c r="E38" s="180" t="s">
        <v>227</v>
      </c>
      <c r="F38" s="84">
        <v>0</v>
      </c>
      <c r="G38" s="84">
        <v>3.566614</v>
      </c>
      <c r="H38" s="84">
        <v>2.72</v>
      </c>
      <c r="I38" s="84">
        <v>9.5</v>
      </c>
      <c r="J38" s="84">
        <v>0.38898959999999999</v>
      </c>
      <c r="K38" s="84">
        <v>0.28631580000000001</v>
      </c>
      <c r="L38" s="84">
        <v>0</v>
      </c>
      <c r="M38" s="84">
        <v>0.2</v>
      </c>
      <c r="N38" s="84">
        <v>0</v>
      </c>
    </row>
    <row r="39" spans="3:14" customFormat="1" ht="15" customHeight="1" x14ac:dyDescent="0.15">
      <c r="C39" s="84">
        <v>38</v>
      </c>
      <c r="E39" s="180" t="s">
        <v>228</v>
      </c>
      <c r="F39" s="84">
        <v>0</v>
      </c>
      <c r="G39" s="84">
        <v>0.57850029999999997</v>
      </c>
      <c r="H39" s="84">
        <v>2.5</v>
      </c>
      <c r="I39" s="84">
        <v>10</v>
      </c>
      <c r="J39" s="84">
        <v>0.95</v>
      </c>
      <c r="K39" s="84">
        <v>0.25</v>
      </c>
      <c r="L39" s="84">
        <v>0</v>
      </c>
      <c r="M39" s="84">
        <v>0.2</v>
      </c>
      <c r="N39" s="84">
        <v>0</v>
      </c>
    </row>
    <row r="40" spans="3:14" customFormat="1" ht="15" customHeight="1" x14ac:dyDescent="0.15">
      <c r="C40" s="84">
        <v>39</v>
      </c>
      <c r="E40" s="180" t="s">
        <v>229</v>
      </c>
      <c r="F40" s="84">
        <v>0</v>
      </c>
      <c r="G40" s="84">
        <v>2.3624837400000001</v>
      </c>
      <c r="H40" s="84">
        <v>5.5</v>
      </c>
      <c r="I40" s="84">
        <v>20</v>
      </c>
      <c r="J40" s="84">
        <v>0.95</v>
      </c>
      <c r="K40" s="84">
        <v>0.27500000000000002</v>
      </c>
      <c r="L40" s="84">
        <v>0</v>
      </c>
      <c r="M40" s="84">
        <v>0.2</v>
      </c>
      <c r="N40" s="84">
        <v>0</v>
      </c>
    </row>
    <row r="41" spans="3:14" customFormat="1" ht="15" customHeight="1" x14ac:dyDescent="0.15">
      <c r="C41" s="84">
        <v>40</v>
      </c>
      <c r="E41" s="180" t="s">
        <v>230</v>
      </c>
      <c r="F41" s="84">
        <v>0</v>
      </c>
      <c r="G41" s="84">
        <v>9.0962770000000006</v>
      </c>
      <c r="H41" s="84">
        <v>5</v>
      </c>
      <c r="I41" s="84">
        <v>25</v>
      </c>
      <c r="J41" s="84">
        <v>0.95</v>
      </c>
      <c r="K41" s="84">
        <v>0.2</v>
      </c>
      <c r="L41" s="84">
        <v>0</v>
      </c>
      <c r="M41" s="84">
        <v>0.2</v>
      </c>
      <c r="N41" s="84">
        <v>0</v>
      </c>
    </row>
    <row r="42" spans="3:14" customFormat="1" ht="15" customHeight="1" x14ac:dyDescent="0.15">
      <c r="C42" s="84">
        <v>41</v>
      </c>
      <c r="E42" s="180" t="s">
        <v>231</v>
      </c>
      <c r="F42" s="84">
        <v>0</v>
      </c>
      <c r="G42" s="84">
        <v>4.0375576000000004</v>
      </c>
      <c r="H42" s="84">
        <v>10</v>
      </c>
      <c r="I42" s="84">
        <v>50</v>
      </c>
      <c r="J42" s="84">
        <v>0.95</v>
      </c>
      <c r="K42" s="84">
        <v>0.2</v>
      </c>
      <c r="L42" s="84">
        <v>0</v>
      </c>
      <c r="M42" s="84">
        <v>0.2</v>
      </c>
      <c r="N42" s="84">
        <v>0</v>
      </c>
    </row>
    <row r="43" spans="3:14" customFormat="1" ht="15" customHeight="1" x14ac:dyDescent="0.15">
      <c r="C43" s="84">
        <v>42</v>
      </c>
      <c r="E43" s="180" t="s">
        <v>232</v>
      </c>
      <c r="F43" s="84">
        <v>0</v>
      </c>
      <c r="G43" s="84">
        <v>6.7155814200000004</v>
      </c>
      <c r="H43" s="84">
        <v>40</v>
      </c>
      <c r="I43" s="84">
        <v>200</v>
      </c>
      <c r="J43" s="84">
        <v>0.95</v>
      </c>
      <c r="K43" s="84">
        <v>0.2</v>
      </c>
      <c r="L43" s="84">
        <v>0</v>
      </c>
      <c r="M43" s="84">
        <v>0.2</v>
      </c>
      <c r="N43" s="84">
        <v>0</v>
      </c>
    </row>
    <row r="44" spans="3:14" customFormat="1" ht="15" customHeight="1" x14ac:dyDescent="0.15">
      <c r="C44" s="84">
        <v>43</v>
      </c>
      <c r="E44" s="180" t="s">
        <v>233</v>
      </c>
      <c r="F44" s="84">
        <v>1</v>
      </c>
      <c r="G44" s="84">
        <v>24</v>
      </c>
      <c r="H44" s="84">
        <v>197</v>
      </c>
      <c r="I44" s="84">
        <v>0</v>
      </c>
      <c r="J44" s="84">
        <v>0.26541048299999997</v>
      </c>
      <c r="K44" s="84">
        <v>0</v>
      </c>
      <c r="L44" s="84">
        <v>0</v>
      </c>
      <c r="M44" s="84">
        <v>0</v>
      </c>
      <c r="N44" s="84">
        <v>0</v>
      </c>
    </row>
    <row r="45" spans="3:14" customFormat="1" ht="15" customHeight="1" x14ac:dyDescent="0.15">
      <c r="C45" s="84">
        <v>44</v>
      </c>
      <c r="E45" s="180" t="s">
        <v>234</v>
      </c>
      <c r="F45" s="84">
        <v>2</v>
      </c>
      <c r="G45" s="84">
        <v>153.31246899999999</v>
      </c>
      <c r="H45" s="84">
        <v>0</v>
      </c>
      <c r="I45" s="84">
        <v>0</v>
      </c>
      <c r="J45" s="84">
        <v>0</v>
      </c>
      <c r="K45" s="84">
        <v>0</v>
      </c>
      <c r="L45" s="84">
        <v>0</v>
      </c>
      <c r="M45" s="84">
        <v>0</v>
      </c>
      <c r="N45" s="84">
        <v>0</v>
      </c>
    </row>
    <row r="46" spans="3:14" customFormat="1" ht="15" customHeight="1" x14ac:dyDescent="0.15">
      <c r="C46" s="84">
        <v>45</v>
      </c>
      <c r="E46" s="180" t="s">
        <v>235</v>
      </c>
      <c r="F46" s="84">
        <v>2</v>
      </c>
      <c r="G46" s="84">
        <v>5</v>
      </c>
      <c r="H46" s="84">
        <v>0</v>
      </c>
      <c r="I46" s="84">
        <v>0</v>
      </c>
      <c r="J46" s="84">
        <v>0</v>
      </c>
      <c r="K46" s="84">
        <v>0</v>
      </c>
      <c r="L46" s="84">
        <v>0</v>
      </c>
      <c r="M46" s="84">
        <v>0</v>
      </c>
      <c r="N46" s="84">
        <v>0</v>
      </c>
    </row>
    <row r="47" spans="3:14" customFormat="1" ht="15" customHeight="1" x14ac:dyDescent="0.15">
      <c r="C47" s="84">
        <v>46</v>
      </c>
      <c r="E47" s="180" t="s">
        <v>236</v>
      </c>
      <c r="F47" s="84">
        <v>3</v>
      </c>
      <c r="G47" s="84">
        <v>0</v>
      </c>
      <c r="H47" s="84">
        <v>0</v>
      </c>
      <c r="I47" s="84">
        <v>0</v>
      </c>
      <c r="J47" s="84">
        <v>0</v>
      </c>
      <c r="K47" s="84">
        <v>0</v>
      </c>
      <c r="L47" s="84">
        <v>0</v>
      </c>
      <c r="M47" s="84">
        <v>0</v>
      </c>
      <c r="N47" s="84">
        <v>0</v>
      </c>
    </row>
    <row r="48" spans="3:14" customFormat="1" ht="15" customHeight="1" x14ac:dyDescent="0.15">
      <c r="C48" s="84">
        <v>47</v>
      </c>
      <c r="E48" s="180" t="s">
        <v>237</v>
      </c>
      <c r="F48" s="84">
        <v>3</v>
      </c>
      <c r="G48" s="84">
        <v>0</v>
      </c>
      <c r="H48" s="84">
        <v>0</v>
      </c>
      <c r="I48" s="84">
        <v>0</v>
      </c>
      <c r="J48" s="84">
        <v>0</v>
      </c>
      <c r="K48" s="84">
        <v>0</v>
      </c>
      <c r="L48" s="84">
        <v>0</v>
      </c>
      <c r="M48" s="84">
        <v>0</v>
      </c>
      <c r="N48" s="84">
        <v>0</v>
      </c>
    </row>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T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27.5" style="145" bestFit="1" customWidth="1"/>
    <col min="2" max="2" width="13.83203125" style="145" bestFit="1" customWidth="1"/>
    <col min="3" max="3" width="5.83203125" style="145" bestFit="1" customWidth="1"/>
    <col min="4" max="4" width="3.83203125" style="145" bestFit="1" customWidth="1"/>
    <col min="5" max="7" width="14.83203125" style="145" bestFit="1" customWidth="1"/>
    <col min="8" max="8" width="15.83203125" style="145" bestFit="1" customWidth="1"/>
    <col min="9" max="9" width="13.83203125" style="145" bestFit="1" customWidth="1"/>
    <col min="10" max="10" width="14.83203125" style="145" bestFit="1" customWidth="1"/>
    <col min="11" max="11" width="13.83203125" style="145" bestFit="1" customWidth="1"/>
    <col min="12" max="13" width="14.83203125" style="145" bestFit="1" customWidth="1"/>
    <col min="14" max="14" width="5.83203125" style="145" bestFit="1" customWidth="1"/>
    <col min="15" max="15" width="14.83203125" style="145" bestFit="1" customWidth="1"/>
    <col min="16" max="16" width="13.83203125" style="145" bestFit="1" customWidth="1"/>
    <col min="17" max="17" width="3.83203125" style="145" bestFit="1" customWidth="1"/>
    <col min="18" max="20" width="5.83203125" style="145" bestFit="1" customWidth="1"/>
    <col min="21" max="21" width="13.83203125" style="145" bestFit="1" customWidth="1"/>
    <col min="22" max="22" width="14.83203125" style="145" bestFit="1" customWidth="1"/>
    <col min="23" max="23" width="5.83203125" style="145" bestFit="1" customWidth="1"/>
    <col min="24" max="24" width="14.83203125" style="145" bestFit="1" customWidth="1"/>
    <col min="25" max="25" width="13.83203125" style="145" bestFit="1" customWidth="1"/>
    <col min="26" max="26" width="5.83203125" style="145" bestFit="1" customWidth="1"/>
    <col min="27" max="27" width="15.83203125" style="145" bestFit="1" customWidth="1"/>
    <col min="28" max="28" width="13.83203125" style="145" bestFit="1" customWidth="1"/>
    <col min="29" max="29" width="14.83203125" style="145" bestFit="1" customWidth="1"/>
    <col min="30" max="30" width="13.83203125" style="145" customWidth="1"/>
    <col min="31" max="32" width="14.83203125" style="145" customWidth="1"/>
    <col min="33" max="34" width="5.83203125" style="145" customWidth="1"/>
    <col min="35" max="35" width="13.83203125" style="145" customWidth="1"/>
    <col min="36" max="36" width="3.83203125" style="145" customWidth="1"/>
    <col min="37" max="38" width="13.83203125" style="145" customWidth="1"/>
    <col min="39" max="39" width="5.83203125" style="145" customWidth="1"/>
    <col min="40" max="42" width="4.83203125" style="145" customWidth="1"/>
    <col min="43" max="43" width="3.83203125" style="145" customWidth="1"/>
    <col min="44" max="46" width="2.33203125" style="145" customWidth="1"/>
    <col min="47" max="16384" width="8.83203125" style="145"/>
  </cols>
  <sheetData>
    <row r="1" spans="1:46" x14ac:dyDescent="0.15">
      <c r="A1" s="144" t="s">
        <v>19</v>
      </c>
      <c r="B1" s="182" t="s">
        <v>191</v>
      </c>
      <c r="C1" s="182" t="s">
        <v>192</v>
      </c>
      <c r="D1" s="182" t="s">
        <v>193</v>
      </c>
      <c r="E1" s="182" t="s">
        <v>194</v>
      </c>
      <c r="F1" s="182" t="s">
        <v>195</v>
      </c>
      <c r="G1" s="182" t="s">
        <v>196</v>
      </c>
      <c r="H1" s="182" t="s">
        <v>197</v>
      </c>
      <c r="I1" s="182" t="s">
        <v>198</v>
      </c>
      <c r="J1" s="182" t="s">
        <v>199</v>
      </c>
      <c r="K1" s="182" t="s">
        <v>200</v>
      </c>
      <c r="L1" s="182" t="s">
        <v>201</v>
      </c>
      <c r="M1" s="182" t="s">
        <v>202</v>
      </c>
      <c r="N1" s="182" t="s">
        <v>203</v>
      </c>
      <c r="O1" s="182" t="s">
        <v>204</v>
      </c>
      <c r="P1" s="182" t="s">
        <v>205</v>
      </c>
      <c r="Q1" s="182" t="s">
        <v>206</v>
      </c>
      <c r="R1" s="182" t="s">
        <v>207</v>
      </c>
      <c r="S1" s="182" t="s">
        <v>208</v>
      </c>
      <c r="T1" s="182" t="s">
        <v>209</v>
      </c>
      <c r="U1" s="182" t="s">
        <v>210</v>
      </c>
      <c r="V1" s="182" t="s">
        <v>211</v>
      </c>
      <c r="W1" s="182" t="s">
        <v>212</v>
      </c>
      <c r="X1" s="182" t="s">
        <v>213</v>
      </c>
      <c r="Y1" s="182" t="s">
        <v>214</v>
      </c>
      <c r="Z1" s="182" t="s">
        <v>215</v>
      </c>
      <c r="AA1" s="182" t="s">
        <v>216</v>
      </c>
      <c r="AB1" s="182" t="s">
        <v>217</v>
      </c>
      <c r="AC1" s="182" t="s">
        <v>218</v>
      </c>
      <c r="AD1" s="182" t="s">
        <v>219</v>
      </c>
      <c r="AE1" s="182" t="s">
        <v>220</v>
      </c>
      <c r="AF1" s="182" t="s">
        <v>221</v>
      </c>
      <c r="AG1" s="182" t="s">
        <v>222</v>
      </c>
      <c r="AH1" s="182" t="s">
        <v>223</v>
      </c>
      <c r="AI1" s="182" t="s">
        <v>224</v>
      </c>
      <c r="AJ1" s="182" t="s">
        <v>225</v>
      </c>
      <c r="AK1" s="182" t="s">
        <v>226</v>
      </c>
      <c r="AL1" s="182" t="s">
        <v>227</v>
      </c>
      <c r="AM1" s="182" t="s">
        <v>228</v>
      </c>
      <c r="AN1" s="182" t="s">
        <v>229</v>
      </c>
      <c r="AO1" s="182" t="s">
        <v>230</v>
      </c>
      <c r="AP1" s="182" t="s">
        <v>231</v>
      </c>
      <c r="AQ1" s="182" t="s">
        <v>232</v>
      </c>
      <c r="AR1" s="182" t="s">
        <v>233</v>
      </c>
      <c r="AS1" s="182" t="s">
        <v>234</v>
      </c>
      <c r="AT1" s="182" t="s">
        <v>235</v>
      </c>
    </row>
    <row r="2" spans="1:46" customFormat="1" x14ac:dyDescent="0.15">
      <c r="A2" s="181" t="s">
        <v>191</v>
      </c>
      <c r="B2" s="145">
        <v>0</v>
      </c>
      <c r="C2" s="145">
        <v>0</v>
      </c>
      <c r="D2" s="145">
        <v>0</v>
      </c>
      <c r="E2" s="145">
        <v>0</v>
      </c>
      <c r="F2" s="145">
        <v>1.0020040317635277E-3</v>
      </c>
      <c r="G2" s="145">
        <v>1.001001022522523E-3</v>
      </c>
      <c r="H2" s="145">
        <v>0</v>
      </c>
      <c r="I2" s="145">
        <v>0</v>
      </c>
      <c r="J2" s="145">
        <v>0</v>
      </c>
      <c r="K2" s="145">
        <v>0</v>
      </c>
      <c r="L2" s="145">
        <v>0</v>
      </c>
      <c r="M2" s="145">
        <v>0</v>
      </c>
      <c r="N2" s="145">
        <v>0</v>
      </c>
      <c r="O2" s="145">
        <v>0</v>
      </c>
      <c r="P2" s="145">
        <v>0</v>
      </c>
      <c r="Q2" s="145">
        <v>0</v>
      </c>
      <c r="R2" s="145">
        <v>0</v>
      </c>
      <c r="S2" s="145">
        <v>0</v>
      </c>
      <c r="T2" s="145">
        <v>0</v>
      </c>
      <c r="U2" s="145">
        <v>0</v>
      </c>
      <c r="V2" s="145">
        <v>0</v>
      </c>
      <c r="W2" s="145">
        <v>0</v>
      </c>
      <c r="X2" s="145">
        <v>0</v>
      </c>
      <c r="Y2" s="145">
        <v>0</v>
      </c>
      <c r="Z2" s="145">
        <v>0</v>
      </c>
      <c r="AA2" s="145">
        <v>0</v>
      </c>
      <c r="AB2" s="145">
        <v>0</v>
      </c>
      <c r="AC2" s="145">
        <v>0</v>
      </c>
      <c r="AD2" s="145">
        <v>0</v>
      </c>
      <c r="AE2" s="145">
        <v>0</v>
      </c>
      <c r="AF2" s="145">
        <v>0</v>
      </c>
      <c r="AG2" s="145">
        <v>0</v>
      </c>
      <c r="AH2" s="145">
        <v>0</v>
      </c>
      <c r="AI2" s="145">
        <v>0</v>
      </c>
      <c r="AJ2" s="145">
        <v>0</v>
      </c>
      <c r="AK2" s="145">
        <v>0</v>
      </c>
      <c r="AL2" s="145">
        <v>0</v>
      </c>
      <c r="AM2" s="145">
        <v>0</v>
      </c>
      <c r="AN2" s="145">
        <v>0</v>
      </c>
      <c r="AO2" s="145">
        <v>0</v>
      </c>
      <c r="AP2" s="145">
        <v>0</v>
      </c>
      <c r="AQ2" s="145">
        <v>0</v>
      </c>
      <c r="AR2" s="145">
        <v>0</v>
      </c>
      <c r="AS2" s="145">
        <v>0</v>
      </c>
      <c r="AT2" s="145">
        <v>0</v>
      </c>
    </row>
    <row r="3" spans="1:46" customFormat="1" x14ac:dyDescent="0.15">
      <c r="A3" s="181" t="s">
        <v>192</v>
      </c>
      <c r="B3" s="145">
        <v>0</v>
      </c>
      <c r="C3" s="145">
        <v>0</v>
      </c>
      <c r="D3" s="145">
        <v>0</v>
      </c>
      <c r="E3" s="145">
        <v>0</v>
      </c>
      <c r="F3" s="145">
        <v>5.0100201588176383E-3</v>
      </c>
      <c r="G3" s="145">
        <v>1.0010010225225229E-2</v>
      </c>
      <c r="H3" s="145">
        <v>0</v>
      </c>
      <c r="I3" s="145">
        <v>0</v>
      </c>
      <c r="J3" s="145">
        <v>0</v>
      </c>
      <c r="K3" s="145">
        <v>0</v>
      </c>
      <c r="L3" s="145">
        <v>0</v>
      </c>
      <c r="M3" s="145">
        <v>0</v>
      </c>
      <c r="N3" s="145">
        <v>0</v>
      </c>
      <c r="O3" s="145">
        <v>0</v>
      </c>
      <c r="P3" s="145">
        <v>0</v>
      </c>
      <c r="Q3" s="145">
        <v>0</v>
      </c>
      <c r="R3" s="145">
        <v>0</v>
      </c>
      <c r="S3" s="145">
        <v>0</v>
      </c>
      <c r="T3" s="145">
        <v>0</v>
      </c>
      <c r="U3" s="145">
        <v>0</v>
      </c>
      <c r="V3" s="145">
        <v>0</v>
      </c>
      <c r="W3" s="145">
        <v>0</v>
      </c>
      <c r="X3" s="145">
        <v>0</v>
      </c>
      <c r="Y3" s="145">
        <v>0</v>
      </c>
      <c r="Z3" s="145">
        <v>0</v>
      </c>
      <c r="AA3" s="145">
        <v>0</v>
      </c>
      <c r="AB3" s="145">
        <v>0</v>
      </c>
      <c r="AC3" s="145">
        <v>0</v>
      </c>
      <c r="AD3" s="145">
        <v>0</v>
      </c>
      <c r="AE3" s="145">
        <v>0</v>
      </c>
      <c r="AF3" s="145">
        <v>0</v>
      </c>
      <c r="AG3" s="145">
        <v>0</v>
      </c>
      <c r="AH3" s="145">
        <v>0</v>
      </c>
      <c r="AI3" s="145">
        <v>0</v>
      </c>
      <c r="AJ3" s="145">
        <v>0</v>
      </c>
      <c r="AK3" s="145">
        <v>0</v>
      </c>
      <c r="AL3" s="145">
        <v>0</v>
      </c>
      <c r="AM3" s="145">
        <v>0</v>
      </c>
      <c r="AN3" s="145">
        <v>0</v>
      </c>
      <c r="AO3" s="145">
        <v>0</v>
      </c>
      <c r="AP3" s="145">
        <v>0</v>
      </c>
      <c r="AQ3" s="145">
        <v>0</v>
      </c>
      <c r="AR3" s="145">
        <v>0</v>
      </c>
      <c r="AS3" s="145">
        <v>0</v>
      </c>
      <c r="AT3" s="145">
        <v>0</v>
      </c>
    </row>
    <row r="4" spans="1:46" customFormat="1" x14ac:dyDescent="0.15">
      <c r="A4" s="181" t="s">
        <v>193</v>
      </c>
      <c r="B4" s="145">
        <v>0</v>
      </c>
      <c r="C4" s="145">
        <v>0</v>
      </c>
      <c r="D4" s="145">
        <v>0</v>
      </c>
      <c r="E4" s="145">
        <v>0</v>
      </c>
      <c r="F4" s="145">
        <v>0</v>
      </c>
      <c r="G4" s="145">
        <v>6.0060061351351378E-3</v>
      </c>
      <c r="H4" s="145">
        <v>0</v>
      </c>
      <c r="I4" s="145">
        <v>0</v>
      </c>
      <c r="J4" s="145">
        <v>0</v>
      </c>
      <c r="K4" s="145">
        <v>0</v>
      </c>
      <c r="L4" s="145">
        <v>0</v>
      </c>
      <c r="M4" s="145">
        <v>0</v>
      </c>
      <c r="N4" s="145">
        <v>0</v>
      </c>
      <c r="O4" s="145">
        <v>0</v>
      </c>
      <c r="P4" s="145">
        <v>0</v>
      </c>
      <c r="Q4" s="145">
        <v>0</v>
      </c>
      <c r="R4" s="145">
        <v>0</v>
      </c>
      <c r="S4" s="145">
        <v>0</v>
      </c>
      <c r="T4" s="145">
        <v>0</v>
      </c>
      <c r="U4" s="145">
        <v>0</v>
      </c>
      <c r="V4" s="145">
        <v>8.0402008428140728E-3</v>
      </c>
      <c r="W4" s="145">
        <v>0</v>
      </c>
      <c r="X4" s="145">
        <v>0</v>
      </c>
      <c r="Y4" s="145">
        <v>0</v>
      </c>
      <c r="Z4" s="145">
        <v>0</v>
      </c>
      <c r="AA4" s="145">
        <v>0</v>
      </c>
      <c r="AB4" s="145">
        <v>0</v>
      </c>
      <c r="AC4" s="145">
        <v>0</v>
      </c>
      <c r="AD4" s="145">
        <v>0</v>
      </c>
      <c r="AE4" s="145">
        <v>0</v>
      </c>
      <c r="AF4" s="145">
        <v>0</v>
      </c>
      <c r="AG4" s="145">
        <v>0</v>
      </c>
      <c r="AH4" s="145">
        <v>0</v>
      </c>
      <c r="AI4" s="145">
        <v>0</v>
      </c>
      <c r="AJ4" s="145">
        <v>0</v>
      </c>
      <c r="AK4" s="145">
        <v>0</v>
      </c>
      <c r="AL4" s="145">
        <v>0</v>
      </c>
      <c r="AM4" s="145">
        <v>0</v>
      </c>
      <c r="AN4" s="145">
        <v>0</v>
      </c>
      <c r="AO4" s="145">
        <v>0</v>
      </c>
      <c r="AP4" s="145">
        <v>0</v>
      </c>
      <c r="AQ4" s="145">
        <v>0</v>
      </c>
      <c r="AR4" s="145">
        <v>0</v>
      </c>
      <c r="AS4" s="145">
        <v>0</v>
      </c>
      <c r="AT4" s="145">
        <v>0</v>
      </c>
    </row>
    <row r="5" spans="1:46" customFormat="1" x14ac:dyDescent="0.15">
      <c r="A5" s="181" t="s">
        <v>194</v>
      </c>
      <c r="B5" s="145">
        <v>0</v>
      </c>
      <c r="C5" s="145">
        <v>0</v>
      </c>
      <c r="D5" s="145">
        <v>0</v>
      </c>
      <c r="E5" s="145">
        <v>0</v>
      </c>
      <c r="F5" s="145">
        <v>0</v>
      </c>
      <c r="G5" s="145">
        <v>0</v>
      </c>
      <c r="H5" s="145">
        <v>0</v>
      </c>
      <c r="I5" s="145">
        <v>0</v>
      </c>
      <c r="J5" s="145">
        <v>0</v>
      </c>
      <c r="K5" s="145">
        <v>0</v>
      </c>
      <c r="L5" s="145">
        <v>0</v>
      </c>
      <c r="M5" s="145">
        <v>0</v>
      </c>
      <c r="N5" s="145">
        <v>0</v>
      </c>
      <c r="O5" s="145">
        <v>0</v>
      </c>
      <c r="P5" s="145">
        <v>0</v>
      </c>
      <c r="Q5" s="145">
        <v>0</v>
      </c>
      <c r="R5" s="145">
        <v>0</v>
      </c>
      <c r="S5" s="145">
        <v>0</v>
      </c>
      <c r="T5" s="145">
        <v>0</v>
      </c>
      <c r="U5" s="145">
        <v>0</v>
      </c>
      <c r="V5" s="145">
        <v>0</v>
      </c>
      <c r="W5" s="145">
        <v>0</v>
      </c>
      <c r="X5" s="145">
        <v>0</v>
      </c>
      <c r="Y5" s="145">
        <v>0</v>
      </c>
      <c r="Z5" s="145">
        <v>0</v>
      </c>
      <c r="AA5" s="145">
        <v>0</v>
      </c>
      <c r="AB5" s="145">
        <v>0</v>
      </c>
      <c r="AC5" s="145">
        <v>0</v>
      </c>
      <c r="AD5" s="145">
        <v>0</v>
      </c>
      <c r="AE5" s="145">
        <v>0</v>
      </c>
      <c r="AF5" s="145">
        <v>0</v>
      </c>
      <c r="AG5" s="145">
        <v>0</v>
      </c>
      <c r="AH5" s="145">
        <v>0</v>
      </c>
      <c r="AI5" s="145">
        <v>0</v>
      </c>
      <c r="AJ5" s="145">
        <v>0</v>
      </c>
      <c r="AK5" s="145">
        <v>0</v>
      </c>
      <c r="AL5" s="145">
        <v>0</v>
      </c>
      <c r="AM5" s="145">
        <v>0</v>
      </c>
      <c r="AN5" s="145">
        <v>0</v>
      </c>
      <c r="AO5" s="145">
        <v>0</v>
      </c>
      <c r="AP5" s="145">
        <v>0</v>
      </c>
      <c r="AQ5" s="145">
        <v>0</v>
      </c>
      <c r="AR5" s="145">
        <v>0</v>
      </c>
      <c r="AS5" s="145">
        <v>0</v>
      </c>
      <c r="AT5" s="145">
        <v>0</v>
      </c>
    </row>
    <row r="6" spans="1:46" customFormat="1" x14ac:dyDescent="0.15">
      <c r="A6" s="181" t="s">
        <v>195</v>
      </c>
      <c r="B6" s="145">
        <v>0</v>
      </c>
      <c r="C6" s="145">
        <v>0</v>
      </c>
      <c r="D6" s="145">
        <v>0</v>
      </c>
      <c r="E6" s="145">
        <v>0</v>
      </c>
      <c r="F6" s="145">
        <v>0</v>
      </c>
      <c r="G6" s="145">
        <v>5.0050051126126144E-3</v>
      </c>
      <c r="H6" s="145">
        <v>0</v>
      </c>
      <c r="I6" s="145">
        <v>0</v>
      </c>
      <c r="J6" s="145">
        <v>0</v>
      </c>
      <c r="K6" s="145">
        <v>0</v>
      </c>
      <c r="L6" s="145">
        <v>0</v>
      </c>
      <c r="M6" s="145">
        <v>0</v>
      </c>
      <c r="N6" s="145">
        <v>0</v>
      </c>
      <c r="O6" s="145">
        <v>0</v>
      </c>
      <c r="P6" s="145">
        <v>0</v>
      </c>
      <c r="Q6" s="145">
        <v>0</v>
      </c>
      <c r="R6" s="145">
        <v>0</v>
      </c>
      <c r="S6" s="145">
        <v>0</v>
      </c>
      <c r="T6" s="145">
        <v>0</v>
      </c>
      <c r="U6" s="145">
        <v>0</v>
      </c>
      <c r="V6" s="145">
        <v>0</v>
      </c>
      <c r="W6" s="145">
        <v>0</v>
      </c>
      <c r="X6" s="145">
        <v>0</v>
      </c>
      <c r="Y6" s="145">
        <v>0</v>
      </c>
      <c r="Z6" s="145">
        <v>0</v>
      </c>
      <c r="AA6" s="145">
        <v>0</v>
      </c>
      <c r="AB6" s="145">
        <v>0</v>
      </c>
      <c r="AC6" s="145">
        <v>0</v>
      </c>
      <c r="AD6" s="145">
        <v>0</v>
      </c>
      <c r="AE6" s="145">
        <v>0</v>
      </c>
      <c r="AF6" s="145">
        <v>0</v>
      </c>
      <c r="AG6" s="145">
        <v>0</v>
      </c>
      <c r="AH6" s="145">
        <v>0</v>
      </c>
      <c r="AI6" s="145">
        <v>0</v>
      </c>
      <c r="AJ6" s="145">
        <v>0</v>
      </c>
      <c r="AK6" s="145">
        <v>0</v>
      </c>
      <c r="AL6" s="145">
        <v>0</v>
      </c>
      <c r="AM6" s="145">
        <v>0</v>
      </c>
      <c r="AN6" s="145">
        <v>0</v>
      </c>
      <c r="AO6" s="145">
        <v>0</v>
      </c>
      <c r="AP6" s="145">
        <v>0</v>
      </c>
      <c r="AQ6" s="145">
        <v>0</v>
      </c>
      <c r="AR6" s="145">
        <v>0</v>
      </c>
      <c r="AS6" s="145">
        <v>0</v>
      </c>
      <c r="AT6" s="145">
        <v>0</v>
      </c>
    </row>
    <row r="7" spans="1:46" customFormat="1" x14ac:dyDescent="0.15">
      <c r="A7" s="181" t="s">
        <v>196</v>
      </c>
      <c r="B7" s="145">
        <v>0</v>
      </c>
      <c r="C7" s="145">
        <v>0</v>
      </c>
      <c r="D7" s="145">
        <v>0</v>
      </c>
      <c r="E7" s="145">
        <v>0</v>
      </c>
      <c r="F7" s="145">
        <v>0</v>
      </c>
      <c r="G7" s="145">
        <v>2.0020020450450458E-2</v>
      </c>
      <c r="H7" s="145">
        <v>0</v>
      </c>
      <c r="I7" s="145">
        <v>0</v>
      </c>
      <c r="J7" s="145">
        <v>0</v>
      </c>
      <c r="K7" s="145">
        <v>0</v>
      </c>
      <c r="L7" s="145">
        <v>0</v>
      </c>
      <c r="M7" s="145">
        <v>0</v>
      </c>
      <c r="N7" s="145">
        <v>0</v>
      </c>
      <c r="O7" s="145">
        <v>0</v>
      </c>
      <c r="P7" s="145">
        <v>0</v>
      </c>
      <c r="Q7" s="145">
        <v>0</v>
      </c>
      <c r="R7" s="145">
        <v>0</v>
      </c>
      <c r="S7" s="145">
        <v>0</v>
      </c>
      <c r="T7" s="145">
        <v>0</v>
      </c>
      <c r="U7" s="145">
        <v>0</v>
      </c>
      <c r="V7" s="145">
        <v>9.0452258231658346E-3</v>
      </c>
      <c r="W7" s="145">
        <v>0</v>
      </c>
      <c r="X7" s="145">
        <v>0</v>
      </c>
      <c r="Y7" s="145">
        <v>0</v>
      </c>
      <c r="Z7" s="145">
        <v>0</v>
      </c>
      <c r="AA7" s="145">
        <v>0</v>
      </c>
      <c r="AB7" s="145">
        <v>0</v>
      </c>
      <c r="AC7" s="145">
        <v>0</v>
      </c>
      <c r="AD7" s="145">
        <v>0</v>
      </c>
      <c r="AE7" s="145">
        <v>0</v>
      </c>
      <c r="AF7" s="145">
        <v>0</v>
      </c>
      <c r="AG7" s="145">
        <v>0</v>
      </c>
      <c r="AH7" s="145">
        <v>0</v>
      </c>
      <c r="AI7" s="145">
        <v>0</v>
      </c>
      <c r="AJ7" s="145">
        <v>0</v>
      </c>
      <c r="AK7" s="145">
        <v>0</v>
      </c>
      <c r="AL7" s="145">
        <v>0</v>
      </c>
      <c r="AM7" s="145">
        <v>0</v>
      </c>
      <c r="AN7" s="145">
        <v>0</v>
      </c>
      <c r="AO7" s="145">
        <v>0</v>
      </c>
      <c r="AP7" s="145">
        <v>0</v>
      </c>
      <c r="AQ7" s="145">
        <v>0</v>
      </c>
      <c r="AR7" s="145">
        <v>0</v>
      </c>
      <c r="AS7" s="145">
        <v>0</v>
      </c>
      <c r="AT7" s="145">
        <v>0</v>
      </c>
    </row>
    <row r="8" spans="1:46" customFormat="1" x14ac:dyDescent="0.15">
      <c r="A8" s="181" t="s">
        <v>197</v>
      </c>
      <c r="B8" s="145">
        <v>0</v>
      </c>
      <c r="C8" s="145">
        <v>0</v>
      </c>
      <c r="D8" s="145">
        <v>0</v>
      </c>
      <c r="E8" s="145">
        <v>0</v>
      </c>
      <c r="F8" s="145">
        <v>6.0120241905811667E-3</v>
      </c>
      <c r="G8" s="145">
        <v>2.9029029153153155E-2</v>
      </c>
      <c r="H8" s="145">
        <v>0</v>
      </c>
      <c r="I8" s="145">
        <v>0</v>
      </c>
      <c r="J8" s="145">
        <v>1.0080645724596757E-3</v>
      </c>
      <c r="K8" s="145">
        <v>0</v>
      </c>
      <c r="L8" s="145">
        <v>0</v>
      </c>
      <c r="M8" s="145">
        <v>0</v>
      </c>
      <c r="N8" s="145">
        <v>0</v>
      </c>
      <c r="O8" s="145">
        <v>0</v>
      </c>
      <c r="P8" s="145">
        <v>0</v>
      </c>
      <c r="Q8" s="145">
        <v>0</v>
      </c>
      <c r="R8" s="145">
        <v>0</v>
      </c>
      <c r="S8" s="145">
        <v>0</v>
      </c>
      <c r="T8" s="145">
        <v>0</v>
      </c>
      <c r="U8" s="145">
        <v>0</v>
      </c>
      <c r="V8" s="145">
        <v>0</v>
      </c>
      <c r="W8" s="145">
        <v>0</v>
      </c>
      <c r="X8" s="145">
        <v>0</v>
      </c>
      <c r="Y8" s="145">
        <v>0</v>
      </c>
      <c r="Z8" s="145">
        <v>0</v>
      </c>
      <c r="AA8" s="145">
        <v>0</v>
      </c>
      <c r="AB8" s="145">
        <v>0</v>
      </c>
      <c r="AC8" s="145">
        <v>0</v>
      </c>
      <c r="AD8" s="145">
        <v>0</v>
      </c>
      <c r="AE8" s="145">
        <v>0</v>
      </c>
      <c r="AF8" s="145">
        <v>0</v>
      </c>
      <c r="AG8" s="145">
        <v>0</v>
      </c>
      <c r="AH8" s="145">
        <v>0</v>
      </c>
      <c r="AI8" s="145">
        <v>0</v>
      </c>
      <c r="AJ8" s="145">
        <v>0</v>
      </c>
      <c r="AK8" s="145">
        <v>0</v>
      </c>
      <c r="AL8" s="145">
        <v>0</v>
      </c>
      <c r="AM8" s="145">
        <v>0</v>
      </c>
      <c r="AN8" s="145">
        <v>0</v>
      </c>
      <c r="AO8" s="145">
        <v>0</v>
      </c>
      <c r="AP8" s="145">
        <v>0</v>
      </c>
      <c r="AQ8" s="145">
        <v>0</v>
      </c>
      <c r="AR8" s="145">
        <v>0</v>
      </c>
      <c r="AS8" s="145">
        <v>0</v>
      </c>
      <c r="AT8" s="145">
        <v>0</v>
      </c>
    </row>
    <row r="9" spans="1:46" customFormat="1" x14ac:dyDescent="0.15">
      <c r="A9" s="181" t="s">
        <v>198</v>
      </c>
      <c r="B9" s="145">
        <v>0</v>
      </c>
      <c r="C9" s="145">
        <v>0</v>
      </c>
      <c r="D9" s="145">
        <v>0</v>
      </c>
      <c r="E9" s="145">
        <v>0</v>
      </c>
      <c r="F9" s="145">
        <v>3.0060120952905833E-3</v>
      </c>
      <c r="G9" s="145">
        <v>2.1021020472972961E-2</v>
      </c>
      <c r="H9" s="145">
        <v>0</v>
      </c>
      <c r="I9" s="145">
        <v>0</v>
      </c>
      <c r="J9" s="145">
        <v>0</v>
      </c>
      <c r="K9" s="145">
        <v>0</v>
      </c>
      <c r="L9" s="145">
        <v>0</v>
      </c>
      <c r="M9" s="145">
        <v>7.2314050896694227E-3</v>
      </c>
      <c r="N9" s="145">
        <v>0</v>
      </c>
      <c r="O9" s="145">
        <v>0</v>
      </c>
      <c r="P9" s="145">
        <v>0</v>
      </c>
      <c r="Q9" s="145">
        <v>0</v>
      </c>
      <c r="R9" s="145">
        <v>0</v>
      </c>
      <c r="S9" s="145">
        <v>0</v>
      </c>
      <c r="T9" s="145">
        <v>0</v>
      </c>
      <c r="U9" s="145">
        <v>0</v>
      </c>
      <c r="V9" s="145">
        <v>0</v>
      </c>
      <c r="W9" s="145">
        <v>0</v>
      </c>
      <c r="X9" s="145">
        <v>0</v>
      </c>
      <c r="Y9" s="145">
        <v>0</v>
      </c>
      <c r="Z9" s="145">
        <v>0</v>
      </c>
      <c r="AA9" s="145">
        <v>0</v>
      </c>
      <c r="AB9" s="145">
        <v>0</v>
      </c>
      <c r="AC9" s="145">
        <v>0</v>
      </c>
      <c r="AD9" s="145">
        <v>0</v>
      </c>
      <c r="AE9" s="145">
        <v>0</v>
      </c>
      <c r="AF9" s="145">
        <v>0</v>
      </c>
      <c r="AG9" s="145">
        <v>0</v>
      </c>
      <c r="AH9" s="145">
        <v>0</v>
      </c>
      <c r="AI9" s="145">
        <v>0</v>
      </c>
      <c r="AJ9" s="145">
        <v>0</v>
      </c>
      <c r="AK9" s="145">
        <v>0</v>
      </c>
      <c r="AL9" s="145">
        <v>0</v>
      </c>
      <c r="AM9" s="145">
        <v>0</v>
      </c>
      <c r="AN9" s="145">
        <v>0</v>
      </c>
      <c r="AO9" s="145">
        <v>0</v>
      </c>
      <c r="AP9" s="145">
        <v>0</v>
      </c>
      <c r="AQ9" s="145">
        <v>0</v>
      </c>
      <c r="AR9" s="145">
        <v>0</v>
      </c>
      <c r="AS9" s="145">
        <v>0</v>
      </c>
      <c r="AT9" s="145">
        <v>0</v>
      </c>
    </row>
    <row r="10" spans="1:46" customFormat="1" x14ac:dyDescent="0.15">
      <c r="A10" s="181" t="s">
        <v>199</v>
      </c>
      <c r="B10" s="145">
        <v>0</v>
      </c>
      <c r="C10" s="145">
        <v>0</v>
      </c>
      <c r="D10" s="145">
        <v>0</v>
      </c>
      <c r="E10" s="145">
        <v>0</v>
      </c>
      <c r="F10" s="145">
        <v>0</v>
      </c>
      <c r="G10" s="145">
        <v>1.6016016160360361E-2</v>
      </c>
      <c r="H10" s="145">
        <v>0</v>
      </c>
      <c r="I10" s="145">
        <v>0</v>
      </c>
      <c r="J10" s="145">
        <v>0</v>
      </c>
      <c r="K10" s="145">
        <v>0</v>
      </c>
      <c r="L10" s="145">
        <v>1.204819336975904E-2</v>
      </c>
      <c r="M10" s="145">
        <v>0</v>
      </c>
      <c r="N10" s="145">
        <v>0</v>
      </c>
      <c r="O10" s="145">
        <v>0</v>
      </c>
      <c r="P10" s="145">
        <v>0</v>
      </c>
      <c r="Q10" s="145">
        <v>0</v>
      </c>
      <c r="R10" s="145">
        <v>0</v>
      </c>
      <c r="S10" s="145">
        <v>0</v>
      </c>
      <c r="T10" s="145">
        <v>0</v>
      </c>
      <c r="U10" s="145">
        <v>0</v>
      </c>
      <c r="V10" s="145">
        <v>0</v>
      </c>
      <c r="W10" s="145">
        <v>0</v>
      </c>
      <c r="X10" s="145">
        <v>0</v>
      </c>
      <c r="Y10" s="145">
        <v>0</v>
      </c>
      <c r="Z10" s="145">
        <v>0</v>
      </c>
      <c r="AA10" s="145">
        <v>0</v>
      </c>
      <c r="AB10" s="145">
        <v>0</v>
      </c>
      <c r="AC10" s="145">
        <v>0</v>
      </c>
      <c r="AD10" s="145">
        <v>0</v>
      </c>
      <c r="AE10" s="145">
        <v>0</v>
      </c>
      <c r="AF10" s="145">
        <v>0</v>
      </c>
      <c r="AG10" s="145">
        <v>0</v>
      </c>
      <c r="AH10" s="145">
        <v>0</v>
      </c>
      <c r="AI10" s="145">
        <v>0</v>
      </c>
      <c r="AJ10" s="145">
        <v>0</v>
      </c>
      <c r="AK10" s="145">
        <v>0</v>
      </c>
      <c r="AL10" s="145">
        <v>0</v>
      </c>
      <c r="AM10" s="145">
        <v>0</v>
      </c>
      <c r="AN10" s="145">
        <v>0</v>
      </c>
      <c r="AO10" s="145">
        <v>0</v>
      </c>
      <c r="AP10" s="145">
        <v>0</v>
      </c>
      <c r="AQ10" s="145">
        <v>0</v>
      </c>
      <c r="AR10" s="145">
        <v>0</v>
      </c>
      <c r="AS10" s="145">
        <v>0</v>
      </c>
      <c r="AT10" s="145">
        <v>0</v>
      </c>
    </row>
    <row r="11" spans="1:46" customFormat="1" x14ac:dyDescent="0.15">
      <c r="A11" s="181" t="s">
        <v>200</v>
      </c>
      <c r="B11" s="145">
        <v>0</v>
      </c>
      <c r="C11" s="145">
        <v>0</v>
      </c>
      <c r="D11" s="145">
        <v>0</v>
      </c>
      <c r="E11" s="145">
        <v>0</v>
      </c>
      <c r="F11" s="145">
        <v>0</v>
      </c>
      <c r="G11" s="145">
        <v>1.1011011247747751E-2</v>
      </c>
      <c r="H11" s="145">
        <v>0</v>
      </c>
      <c r="I11" s="145">
        <v>0</v>
      </c>
      <c r="J11" s="145">
        <v>0</v>
      </c>
      <c r="K11" s="145">
        <v>0</v>
      </c>
      <c r="L11" s="145">
        <v>3.1124496980210838E-2</v>
      </c>
      <c r="M11" s="145">
        <v>0</v>
      </c>
      <c r="N11" s="145">
        <v>0</v>
      </c>
      <c r="O11" s="145">
        <v>0</v>
      </c>
      <c r="P11" s="145">
        <v>0</v>
      </c>
      <c r="Q11" s="145">
        <v>0</v>
      </c>
      <c r="R11" s="145">
        <v>0</v>
      </c>
      <c r="S11" s="145">
        <v>0</v>
      </c>
      <c r="T11" s="145">
        <v>0</v>
      </c>
      <c r="U11" s="145">
        <v>0</v>
      </c>
      <c r="V11" s="145">
        <v>0</v>
      </c>
      <c r="W11" s="145">
        <v>0</v>
      </c>
      <c r="X11" s="145">
        <v>0</v>
      </c>
      <c r="Y11" s="145">
        <v>0</v>
      </c>
      <c r="Z11" s="145">
        <v>0</v>
      </c>
      <c r="AA11" s="145">
        <v>0</v>
      </c>
      <c r="AB11" s="145">
        <v>0</v>
      </c>
      <c r="AC11" s="145">
        <v>0</v>
      </c>
      <c r="AD11" s="145">
        <v>0</v>
      </c>
      <c r="AE11" s="145">
        <v>0</v>
      </c>
      <c r="AF11" s="145">
        <v>0</v>
      </c>
      <c r="AG11" s="145">
        <v>0</v>
      </c>
      <c r="AH11" s="145">
        <v>0</v>
      </c>
      <c r="AI11" s="145">
        <v>0</v>
      </c>
      <c r="AJ11" s="145">
        <v>0</v>
      </c>
      <c r="AK11" s="145">
        <v>0</v>
      </c>
      <c r="AL11" s="145">
        <v>0</v>
      </c>
      <c r="AM11" s="145">
        <v>0</v>
      </c>
      <c r="AN11" s="145">
        <v>0</v>
      </c>
      <c r="AO11" s="145">
        <v>0</v>
      </c>
      <c r="AP11" s="145">
        <v>0</v>
      </c>
      <c r="AQ11" s="145">
        <v>0</v>
      </c>
      <c r="AR11" s="145">
        <v>0</v>
      </c>
      <c r="AS11" s="145">
        <v>0</v>
      </c>
      <c r="AT11" s="145">
        <v>0</v>
      </c>
    </row>
    <row r="12" spans="1:46" customFormat="1" x14ac:dyDescent="0.15">
      <c r="A12" s="181" t="s">
        <v>201</v>
      </c>
      <c r="B12" s="145">
        <v>0</v>
      </c>
      <c r="C12" s="145">
        <v>0</v>
      </c>
      <c r="D12" s="145">
        <v>0</v>
      </c>
      <c r="E12" s="145">
        <v>1.4999999220000042E-2</v>
      </c>
      <c r="F12" s="145">
        <v>9.7194393081062258E-2</v>
      </c>
      <c r="G12" s="145">
        <v>6.9069066754053998E-2</v>
      </c>
      <c r="H12" s="145">
        <v>0</v>
      </c>
      <c r="I12" s="145">
        <v>0</v>
      </c>
      <c r="J12" s="145">
        <v>0</v>
      </c>
      <c r="K12" s="145">
        <v>0</v>
      </c>
      <c r="L12" s="145">
        <v>1.807228860463855E-2</v>
      </c>
      <c r="M12" s="145">
        <v>4.1322317512396739E-3</v>
      </c>
      <c r="N12" s="145">
        <v>0</v>
      </c>
      <c r="O12" s="145">
        <v>0</v>
      </c>
      <c r="P12" s="145">
        <v>0</v>
      </c>
      <c r="Q12" s="145">
        <v>0</v>
      </c>
      <c r="R12" s="145">
        <v>0</v>
      </c>
      <c r="S12" s="145">
        <v>0</v>
      </c>
      <c r="T12" s="145">
        <v>0</v>
      </c>
      <c r="U12" s="145">
        <v>0</v>
      </c>
      <c r="V12" s="145">
        <v>0</v>
      </c>
      <c r="W12" s="145">
        <v>0</v>
      </c>
      <c r="X12" s="145">
        <v>0</v>
      </c>
      <c r="Y12" s="145">
        <v>0</v>
      </c>
      <c r="Z12" s="145">
        <v>0</v>
      </c>
      <c r="AA12" s="145">
        <v>0</v>
      </c>
      <c r="AB12" s="145">
        <v>0</v>
      </c>
      <c r="AC12" s="145">
        <v>0</v>
      </c>
      <c r="AD12" s="145">
        <v>0</v>
      </c>
      <c r="AE12" s="145">
        <v>0</v>
      </c>
      <c r="AF12" s="145">
        <v>0</v>
      </c>
      <c r="AG12" s="145">
        <v>0</v>
      </c>
      <c r="AH12" s="145">
        <v>0</v>
      </c>
      <c r="AI12" s="145">
        <v>0</v>
      </c>
      <c r="AJ12" s="145">
        <v>0</v>
      </c>
      <c r="AK12" s="145">
        <v>0</v>
      </c>
      <c r="AL12" s="145">
        <v>0</v>
      </c>
      <c r="AM12" s="145">
        <v>0</v>
      </c>
      <c r="AN12" s="145">
        <v>0</v>
      </c>
      <c r="AO12" s="145">
        <v>0</v>
      </c>
      <c r="AP12" s="145">
        <v>0</v>
      </c>
      <c r="AQ12" s="145">
        <v>0</v>
      </c>
      <c r="AR12" s="145">
        <v>0</v>
      </c>
      <c r="AS12" s="145">
        <v>0</v>
      </c>
      <c r="AT12" s="145">
        <v>0</v>
      </c>
    </row>
    <row r="13" spans="1:46" customFormat="1" x14ac:dyDescent="0.15">
      <c r="A13" s="181" t="s">
        <v>202</v>
      </c>
      <c r="B13" s="145">
        <v>0</v>
      </c>
      <c r="C13" s="145">
        <v>0</v>
      </c>
      <c r="D13" s="145">
        <v>0</v>
      </c>
      <c r="E13" s="145">
        <v>0</v>
      </c>
      <c r="F13" s="145">
        <v>0</v>
      </c>
      <c r="G13" s="145">
        <v>1.001001022522523E-3</v>
      </c>
      <c r="H13" s="145">
        <v>0</v>
      </c>
      <c r="I13" s="145">
        <v>0</v>
      </c>
      <c r="J13" s="145">
        <v>0</v>
      </c>
      <c r="K13" s="145">
        <v>1.1088709080443558E-2</v>
      </c>
      <c r="L13" s="145">
        <v>3.1124496980210838E-2</v>
      </c>
      <c r="M13" s="145">
        <v>4.1322317512396739E-3</v>
      </c>
      <c r="N13" s="145">
        <v>0</v>
      </c>
      <c r="O13" s="145">
        <v>0</v>
      </c>
      <c r="P13" s="145">
        <v>0</v>
      </c>
      <c r="Q13" s="145">
        <v>0</v>
      </c>
      <c r="R13" s="145">
        <v>0</v>
      </c>
      <c r="S13" s="145">
        <v>0</v>
      </c>
      <c r="T13" s="145">
        <v>0</v>
      </c>
      <c r="U13" s="145">
        <v>0</v>
      </c>
      <c r="V13" s="145">
        <v>0</v>
      </c>
      <c r="W13" s="145">
        <v>0</v>
      </c>
      <c r="X13" s="145">
        <v>0</v>
      </c>
      <c r="Y13" s="145">
        <v>0</v>
      </c>
      <c r="Z13" s="145">
        <v>0</v>
      </c>
      <c r="AA13" s="145">
        <v>0</v>
      </c>
      <c r="AB13" s="145">
        <v>0</v>
      </c>
      <c r="AC13" s="145">
        <v>0</v>
      </c>
      <c r="AD13" s="145">
        <v>0</v>
      </c>
      <c r="AE13" s="145">
        <v>0</v>
      </c>
      <c r="AF13" s="145">
        <v>0</v>
      </c>
      <c r="AG13" s="145">
        <v>0</v>
      </c>
      <c r="AH13" s="145">
        <v>0</v>
      </c>
      <c r="AI13" s="145">
        <v>0</v>
      </c>
      <c r="AJ13" s="145">
        <v>0</v>
      </c>
      <c r="AK13" s="145">
        <v>0</v>
      </c>
      <c r="AL13" s="145">
        <v>0</v>
      </c>
      <c r="AM13" s="145">
        <v>0</v>
      </c>
      <c r="AN13" s="145">
        <v>0</v>
      </c>
      <c r="AO13" s="145">
        <v>0</v>
      </c>
      <c r="AP13" s="145">
        <v>0</v>
      </c>
      <c r="AQ13" s="145">
        <v>0</v>
      </c>
      <c r="AR13" s="145">
        <v>0</v>
      </c>
      <c r="AS13" s="145">
        <v>0</v>
      </c>
      <c r="AT13" s="145">
        <v>0</v>
      </c>
    </row>
    <row r="14" spans="1:46" customFormat="1" x14ac:dyDescent="0.15">
      <c r="A14" s="181" t="s">
        <v>203</v>
      </c>
      <c r="B14" s="145">
        <v>0</v>
      </c>
      <c r="C14" s="145">
        <v>0</v>
      </c>
      <c r="D14" s="145">
        <v>0</v>
      </c>
      <c r="E14" s="145">
        <v>0</v>
      </c>
      <c r="F14" s="145">
        <v>3.0060119052905773E-2</v>
      </c>
      <c r="G14" s="145">
        <v>1.0010010225225229E-2</v>
      </c>
      <c r="H14" s="145">
        <v>1.6983018208591473E-2</v>
      </c>
      <c r="I14" s="145">
        <v>0</v>
      </c>
      <c r="J14" s="145">
        <v>0</v>
      </c>
      <c r="K14" s="145">
        <v>7.7620968463104817E-2</v>
      </c>
      <c r="L14" s="145">
        <v>1.5060240087198791E-2</v>
      </c>
      <c r="M14" s="145">
        <v>0</v>
      </c>
      <c r="N14" s="145">
        <v>0</v>
      </c>
      <c r="O14" s="145">
        <v>0</v>
      </c>
      <c r="P14" s="145">
        <v>0</v>
      </c>
      <c r="Q14" s="145">
        <v>0</v>
      </c>
      <c r="R14" s="145">
        <v>0</v>
      </c>
      <c r="S14" s="145">
        <v>0</v>
      </c>
      <c r="T14" s="145">
        <v>0</v>
      </c>
      <c r="U14" s="145">
        <v>9.0090096900900973E-2</v>
      </c>
      <c r="V14" s="145">
        <v>3.4170854131959798E-2</v>
      </c>
      <c r="W14" s="145">
        <v>0</v>
      </c>
      <c r="X14" s="145">
        <v>0</v>
      </c>
      <c r="Y14" s="145">
        <v>0</v>
      </c>
      <c r="Z14" s="145">
        <v>0</v>
      </c>
      <c r="AA14" s="145">
        <v>0</v>
      </c>
      <c r="AB14" s="145">
        <v>0</v>
      </c>
      <c r="AC14" s="145">
        <v>0</v>
      </c>
      <c r="AD14" s="145">
        <v>0</v>
      </c>
      <c r="AE14" s="145">
        <v>0</v>
      </c>
      <c r="AF14" s="145">
        <v>0</v>
      </c>
      <c r="AG14" s="145">
        <v>0</v>
      </c>
      <c r="AH14" s="145">
        <v>0</v>
      </c>
      <c r="AI14" s="145">
        <v>0</v>
      </c>
      <c r="AJ14" s="145">
        <v>0</v>
      </c>
      <c r="AK14" s="145">
        <v>0</v>
      </c>
      <c r="AL14" s="145">
        <v>0</v>
      </c>
      <c r="AM14" s="145">
        <v>0.34300000000000003</v>
      </c>
      <c r="AN14" s="145">
        <v>0</v>
      </c>
      <c r="AO14" s="145">
        <v>0</v>
      </c>
      <c r="AP14" s="145">
        <v>0</v>
      </c>
      <c r="AQ14" s="145">
        <v>0</v>
      </c>
      <c r="AR14" s="145">
        <v>0</v>
      </c>
      <c r="AS14" s="145">
        <v>0</v>
      </c>
      <c r="AT14" s="145">
        <v>0</v>
      </c>
    </row>
    <row r="15" spans="1:46" customFormat="1" x14ac:dyDescent="0.15">
      <c r="A15" s="181" t="s">
        <v>204</v>
      </c>
      <c r="B15" s="145">
        <v>3.2967032495604356E-2</v>
      </c>
      <c r="C15" s="145">
        <v>1.3000000000000001E-2</v>
      </c>
      <c r="D15" s="145">
        <v>0</v>
      </c>
      <c r="E15" s="145">
        <v>6.4999996620000181E-2</v>
      </c>
      <c r="F15" s="145">
        <v>0.10120240920811636</v>
      </c>
      <c r="G15" s="145">
        <v>6.4064061441441375E-2</v>
      </c>
      <c r="H15" s="145">
        <v>9.8901095291208579E-2</v>
      </c>
      <c r="I15" s="145">
        <v>0.14556961142088584</v>
      </c>
      <c r="J15" s="145">
        <v>0.20766129432669342</v>
      </c>
      <c r="K15" s="145">
        <v>0.33770161231350804</v>
      </c>
      <c r="L15" s="145">
        <v>0.20682731419753017</v>
      </c>
      <c r="M15" s="145">
        <v>0.48760330604628105</v>
      </c>
      <c r="N15" s="145">
        <v>0.03</v>
      </c>
      <c r="O15" s="145">
        <v>1.0010010360360373E-2</v>
      </c>
      <c r="P15" s="145">
        <v>1.0010009540540562E-2</v>
      </c>
      <c r="Q15" s="145">
        <v>0</v>
      </c>
      <c r="R15" s="145">
        <v>0</v>
      </c>
      <c r="S15" s="145">
        <v>6.0999999999999999E-2</v>
      </c>
      <c r="T15" s="145">
        <v>2.7E-2</v>
      </c>
      <c r="U15" s="145">
        <v>0</v>
      </c>
      <c r="V15" s="145">
        <v>0.12562814154396981</v>
      </c>
      <c r="W15" s="145">
        <v>0</v>
      </c>
      <c r="X15" s="145">
        <v>5.2791881177258949E-2</v>
      </c>
      <c r="Y15" s="145">
        <v>0</v>
      </c>
      <c r="Z15" s="145">
        <v>0</v>
      </c>
      <c r="AA15" s="145">
        <v>0</v>
      </c>
      <c r="AB15" s="145">
        <v>0</v>
      </c>
      <c r="AC15" s="145">
        <v>5.0050051801801866E-3</v>
      </c>
      <c r="AD15" s="145">
        <v>0</v>
      </c>
      <c r="AE15" s="145">
        <v>0.16683315659624315</v>
      </c>
      <c r="AF15" s="145">
        <v>7.007007121221224E-3</v>
      </c>
      <c r="AG15" s="145">
        <v>6.2E-2</v>
      </c>
      <c r="AH15" s="145">
        <v>0</v>
      </c>
      <c r="AI15" s="145">
        <v>0</v>
      </c>
      <c r="AJ15" s="145">
        <v>0</v>
      </c>
      <c r="AK15" s="145">
        <v>5.5944057224475569E-2</v>
      </c>
      <c r="AL15" s="145">
        <v>0</v>
      </c>
      <c r="AM15" s="145">
        <v>4.2999999999999997E-2</v>
      </c>
      <c r="AN15" s="145">
        <v>0</v>
      </c>
      <c r="AO15" s="145">
        <v>0</v>
      </c>
      <c r="AP15" s="145">
        <v>0</v>
      </c>
      <c r="AQ15" s="145">
        <v>0</v>
      </c>
      <c r="AR15" s="145">
        <v>0</v>
      </c>
      <c r="AS15" s="145">
        <v>0</v>
      </c>
      <c r="AT15" s="145">
        <v>0</v>
      </c>
    </row>
    <row r="16" spans="1:46" customFormat="1" x14ac:dyDescent="0.15">
      <c r="A16" s="181" t="s">
        <v>205</v>
      </c>
      <c r="B16" s="145">
        <v>3.2967032495604356E-2</v>
      </c>
      <c r="C16" s="145">
        <v>1.3000000000000001E-2</v>
      </c>
      <c r="D16" s="145">
        <v>0</v>
      </c>
      <c r="E16" s="145">
        <v>4.099999786800012E-2</v>
      </c>
      <c r="F16" s="145">
        <v>0</v>
      </c>
      <c r="G16" s="145">
        <v>3.1031030698198188E-2</v>
      </c>
      <c r="H16" s="145">
        <v>4.9950052672327813E-2</v>
      </c>
      <c r="I16" s="145">
        <v>0</v>
      </c>
      <c r="J16" s="145">
        <v>0.28629034017854788</v>
      </c>
      <c r="K16" s="145">
        <v>0.10080645000403228</v>
      </c>
      <c r="L16" s="145">
        <v>6.2248994060421677E-2</v>
      </c>
      <c r="M16" s="145">
        <v>1.239669435371901E-2</v>
      </c>
      <c r="N16" s="145">
        <v>0.03</v>
      </c>
      <c r="O16" s="145">
        <v>0</v>
      </c>
      <c r="P16" s="145">
        <v>0</v>
      </c>
      <c r="Q16" s="145">
        <v>0</v>
      </c>
      <c r="R16" s="145">
        <v>0</v>
      </c>
      <c r="S16" s="145">
        <v>0</v>
      </c>
      <c r="T16" s="145">
        <v>0</v>
      </c>
      <c r="U16" s="145">
        <v>0</v>
      </c>
      <c r="V16" s="145">
        <v>1.4070352224924613E-2</v>
      </c>
      <c r="W16" s="145">
        <v>0</v>
      </c>
      <c r="X16" s="145">
        <v>0</v>
      </c>
      <c r="Y16" s="145">
        <v>0</v>
      </c>
      <c r="Z16" s="145">
        <v>0</v>
      </c>
      <c r="AA16" s="145">
        <v>0</v>
      </c>
      <c r="AB16" s="145">
        <v>0</v>
      </c>
      <c r="AC16" s="145">
        <v>0</v>
      </c>
      <c r="AD16" s="145">
        <v>0</v>
      </c>
      <c r="AE16" s="145">
        <v>0</v>
      </c>
      <c r="AF16" s="145">
        <v>0</v>
      </c>
      <c r="AG16" s="145">
        <v>0</v>
      </c>
      <c r="AH16" s="145">
        <v>0</v>
      </c>
      <c r="AI16" s="145">
        <v>0</v>
      </c>
      <c r="AJ16" s="145">
        <v>0</v>
      </c>
      <c r="AK16" s="145">
        <v>0</v>
      </c>
      <c r="AL16" s="145">
        <v>0</v>
      </c>
      <c r="AM16" s="145">
        <v>0.114</v>
      </c>
      <c r="AN16" s="145">
        <v>0</v>
      </c>
      <c r="AO16" s="145">
        <v>0</v>
      </c>
      <c r="AP16" s="145">
        <v>0</v>
      </c>
      <c r="AQ16" s="145">
        <v>0</v>
      </c>
      <c r="AR16" s="145">
        <v>0</v>
      </c>
      <c r="AS16" s="145">
        <v>0</v>
      </c>
      <c r="AT16" s="145">
        <v>0</v>
      </c>
    </row>
    <row r="17" spans="1:46" customFormat="1" x14ac:dyDescent="0.15">
      <c r="A17" s="181" t="s">
        <v>206</v>
      </c>
      <c r="B17" s="145">
        <v>0</v>
      </c>
      <c r="C17" s="145">
        <v>1.3000000000000001E-2</v>
      </c>
      <c r="D17" s="145">
        <v>0</v>
      </c>
      <c r="E17" s="145">
        <v>6.9999996360000205E-2</v>
      </c>
      <c r="F17" s="145">
        <v>0</v>
      </c>
      <c r="G17" s="145">
        <v>0</v>
      </c>
      <c r="H17" s="145">
        <v>0</v>
      </c>
      <c r="I17" s="145">
        <v>0</v>
      </c>
      <c r="J17" s="145">
        <v>0</v>
      </c>
      <c r="K17" s="145">
        <v>2.1169354680846773E-2</v>
      </c>
      <c r="L17" s="145">
        <v>0.10943774963364457</v>
      </c>
      <c r="M17" s="145">
        <v>0</v>
      </c>
      <c r="N17" s="145">
        <v>0.03</v>
      </c>
      <c r="O17" s="145">
        <v>0</v>
      </c>
      <c r="P17" s="145">
        <v>0</v>
      </c>
      <c r="Q17" s="145">
        <v>0</v>
      </c>
      <c r="R17" s="145">
        <v>0</v>
      </c>
      <c r="S17" s="145">
        <v>6.0999999999999999E-2</v>
      </c>
      <c r="T17" s="145">
        <v>0</v>
      </c>
      <c r="U17" s="145">
        <v>9.0090096900900973E-2</v>
      </c>
      <c r="V17" s="145">
        <v>0</v>
      </c>
      <c r="W17" s="145">
        <v>0</v>
      </c>
      <c r="X17" s="145">
        <v>0</v>
      </c>
      <c r="Y17" s="145">
        <v>2.7972028533566451E-2</v>
      </c>
      <c r="Z17" s="145">
        <v>0</v>
      </c>
      <c r="AA17" s="145">
        <v>0</v>
      </c>
      <c r="AB17" s="145">
        <v>4.1958041047552373E-2</v>
      </c>
      <c r="AC17" s="145">
        <v>0</v>
      </c>
      <c r="AD17" s="145">
        <v>0</v>
      </c>
      <c r="AE17" s="145">
        <v>0</v>
      </c>
      <c r="AF17" s="145">
        <v>7.007007121221224E-3</v>
      </c>
      <c r="AG17" s="145">
        <v>0</v>
      </c>
      <c r="AH17" s="145">
        <v>0</v>
      </c>
      <c r="AI17" s="145">
        <v>0</v>
      </c>
      <c r="AJ17" s="145">
        <v>0</v>
      </c>
      <c r="AK17" s="145">
        <v>0</v>
      </c>
      <c r="AL17" s="145">
        <v>0</v>
      </c>
      <c r="AM17" s="145">
        <v>0</v>
      </c>
      <c r="AN17" s="145">
        <v>0</v>
      </c>
      <c r="AO17" s="145">
        <v>0</v>
      </c>
      <c r="AP17" s="145">
        <v>0</v>
      </c>
      <c r="AQ17" s="145">
        <v>0</v>
      </c>
      <c r="AR17" s="145">
        <v>0</v>
      </c>
      <c r="AS17" s="145">
        <v>0</v>
      </c>
      <c r="AT17" s="145">
        <v>0</v>
      </c>
    </row>
    <row r="18" spans="1:46" customFormat="1" x14ac:dyDescent="0.15">
      <c r="A18" s="181" t="s">
        <v>207</v>
      </c>
      <c r="B18" s="145">
        <v>3.2967032495604356E-2</v>
      </c>
      <c r="C18" s="145">
        <v>1.3000000000000001E-2</v>
      </c>
      <c r="D18" s="145">
        <v>0</v>
      </c>
      <c r="E18" s="145">
        <v>3.0999998388000088E-2</v>
      </c>
      <c r="F18" s="145">
        <v>2.6052105125851731E-2</v>
      </c>
      <c r="G18" s="145">
        <v>1.5015014737837829E-2</v>
      </c>
      <c r="H18" s="145">
        <v>8.4915084542957014E-2</v>
      </c>
      <c r="I18" s="145">
        <v>9.282700218143454E-2</v>
      </c>
      <c r="J18" s="145">
        <v>0</v>
      </c>
      <c r="K18" s="145">
        <v>3.8306451541532255E-2</v>
      </c>
      <c r="L18" s="145">
        <v>2.0080320116265052E-2</v>
      </c>
      <c r="M18" s="145">
        <v>0.17871900221611561</v>
      </c>
      <c r="N18" s="145">
        <v>0.03</v>
      </c>
      <c r="O18" s="145">
        <v>0</v>
      </c>
      <c r="P18" s="145">
        <v>1.0010009540540562E-2</v>
      </c>
      <c r="Q18" s="145">
        <v>0</v>
      </c>
      <c r="R18" s="145">
        <v>0</v>
      </c>
      <c r="S18" s="145">
        <v>6.0999999999999999E-2</v>
      </c>
      <c r="T18" s="145">
        <v>0.11799999999999999</v>
      </c>
      <c r="U18" s="145">
        <v>0</v>
      </c>
      <c r="V18" s="145">
        <v>5.025125471758797E-3</v>
      </c>
      <c r="W18" s="145">
        <v>0</v>
      </c>
      <c r="X18" s="145">
        <v>0</v>
      </c>
      <c r="Y18" s="145">
        <v>0</v>
      </c>
      <c r="Z18" s="145">
        <v>0</v>
      </c>
      <c r="AA18" s="145">
        <v>0</v>
      </c>
      <c r="AB18" s="145">
        <v>0</v>
      </c>
      <c r="AC18" s="145">
        <v>5.0050051801801866E-3</v>
      </c>
      <c r="AD18" s="145">
        <v>0</v>
      </c>
      <c r="AE18" s="145">
        <v>0.16683315659624315</v>
      </c>
      <c r="AF18" s="145">
        <v>0</v>
      </c>
      <c r="AG18" s="145">
        <v>6.2E-2</v>
      </c>
      <c r="AH18" s="145">
        <v>0</v>
      </c>
      <c r="AI18" s="145">
        <v>6.9138272488977817E-2</v>
      </c>
      <c r="AJ18" s="145">
        <v>0</v>
      </c>
      <c r="AK18" s="145">
        <v>5.5944057224475569E-2</v>
      </c>
      <c r="AL18" s="145">
        <v>0</v>
      </c>
      <c r="AM18" s="145">
        <v>4.2999999999999997E-2</v>
      </c>
      <c r="AN18" s="145">
        <v>0</v>
      </c>
      <c r="AO18" s="145">
        <v>0</v>
      </c>
      <c r="AP18" s="145">
        <v>0</v>
      </c>
      <c r="AQ18" s="145">
        <v>0</v>
      </c>
      <c r="AR18" s="145">
        <v>0</v>
      </c>
      <c r="AS18" s="145">
        <v>0</v>
      </c>
      <c r="AT18" s="145">
        <v>0</v>
      </c>
    </row>
    <row r="19" spans="1:46" customFormat="1" x14ac:dyDescent="0.15">
      <c r="A19" s="181" t="s">
        <v>208</v>
      </c>
      <c r="B19" s="145">
        <v>0</v>
      </c>
      <c r="C19" s="145">
        <v>0</v>
      </c>
      <c r="D19" s="145">
        <v>0</v>
      </c>
      <c r="E19" s="145">
        <v>0</v>
      </c>
      <c r="F19" s="145">
        <v>0</v>
      </c>
      <c r="G19" s="145">
        <v>1.001001022522523E-3</v>
      </c>
      <c r="H19" s="145">
        <v>0</v>
      </c>
      <c r="I19" s="145">
        <v>1.3713080322257386E-2</v>
      </c>
      <c r="J19" s="145">
        <v>0</v>
      </c>
      <c r="K19" s="145">
        <v>0</v>
      </c>
      <c r="L19" s="145">
        <v>1.0040160058132526E-2</v>
      </c>
      <c r="M19" s="145">
        <v>0</v>
      </c>
      <c r="N19" s="145">
        <v>0</v>
      </c>
      <c r="O19" s="145">
        <v>0</v>
      </c>
      <c r="P19" s="145">
        <v>0</v>
      </c>
      <c r="Q19" s="145">
        <v>0</v>
      </c>
      <c r="R19" s="145">
        <v>0</v>
      </c>
      <c r="S19" s="145">
        <v>0</v>
      </c>
      <c r="T19" s="145">
        <v>0</v>
      </c>
      <c r="U19" s="145">
        <v>0</v>
      </c>
      <c r="V19" s="145">
        <v>0</v>
      </c>
      <c r="W19" s="145">
        <v>0</v>
      </c>
      <c r="X19" s="145">
        <v>0</v>
      </c>
      <c r="Y19" s="145">
        <v>0</v>
      </c>
      <c r="Z19" s="145">
        <v>0</v>
      </c>
      <c r="AA19" s="145">
        <v>0</v>
      </c>
      <c r="AB19" s="145">
        <v>0</v>
      </c>
      <c r="AC19" s="145">
        <v>0</v>
      </c>
      <c r="AD19" s="145">
        <v>0</v>
      </c>
      <c r="AE19" s="145">
        <v>0</v>
      </c>
      <c r="AF19" s="145">
        <v>0</v>
      </c>
      <c r="AG19" s="145">
        <v>0</v>
      </c>
      <c r="AH19" s="145">
        <v>0</v>
      </c>
      <c r="AI19" s="145">
        <v>0</v>
      </c>
      <c r="AJ19" s="145">
        <v>0</v>
      </c>
      <c r="AK19" s="145">
        <v>0</v>
      </c>
      <c r="AL19" s="145">
        <v>0</v>
      </c>
      <c r="AM19" s="145">
        <v>0</v>
      </c>
      <c r="AN19" s="145">
        <v>0</v>
      </c>
      <c r="AO19" s="145">
        <v>0</v>
      </c>
      <c r="AP19" s="145">
        <v>0</v>
      </c>
      <c r="AQ19" s="145">
        <v>0</v>
      </c>
      <c r="AR19" s="145">
        <v>0</v>
      </c>
      <c r="AS19" s="145">
        <v>0</v>
      </c>
      <c r="AT19" s="145">
        <v>0</v>
      </c>
    </row>
    <row r="20" spans="1:46" customFormat="1" x14ac:dyDescent="0.15">
      <c r="A20" s="181" t="s">
        <v>209</v>
      </c>
      <c r="B20" s="145">
        <v>0</v>
      </c>
      <c r="C20" s="145">
        <v>0</v>
      </c>
      <c r="D20" s="145">
        <v>0</v>
      </c>
      <c r="E20" s="145">
        <v>0</v>
      </c>
      <c r="F20" s="145">
        <v>0</v>
      </c>
      <c r="G20" s="145">
        <v>1.001001022522523E-3</v>
      </c>
      <c r="H20" s="145">
        <v>0</v>
      </c>
      <c r="I20" s="145">
        <v>4.1139240966772156E-2</v>
      </c>
      <c r="J20" s="145">
        <v>0</v>
      </c>
      <c r="K20" s="145">
        <v>0</v>
      </c>
      <c r="L20" s="145">
        <v>0</v>
      </c>
      <c r="M20" s="145">
        <v>0</v>
      </c>
      <c r="N20" s="145">
        <v>0</v>
      </c>
      <c r="O20" s="145">
        <v>0</v>
      </c>
      <c r="P20" s="145">
        <v>0</v>
      </c>
      <c r="Q20" s="145">
        <v>0</v>
      </c>
      <c r="R20" s="145">
        <v>0</v>
      </c>
      <c r="S20" s="145">
        <v>0</v>
      </c>
      <c r="T20" s="145">
        <v>3.0000000000000001E-3</v>
      </c>
      <c r="U20" s="145">
        <v>0</v>
      </c>
      <c r="V20" s="145">
        <v>0</v>
      </c>
      <c r="W20" s="145">
        <v>0</v>
      </c>
      <c r="X20" s="145">
        <v>0</v>
      </c>
      <c r="Y20" s="145">
        <v>0</v>
      </c>
      <c r="Z20" s="145">
        <v>0</v>
      </c>
      <c r="AA20" s="145">
        <v>0</v>
      </c>
      <c r="AB20" s="145">
        <v>0</v>
      </c>
      <c r="AC20" s="145">
        <v>0</v>
      </c>
      <c r="AD20" s="145">
        <v>0</v>
      </c>
      <c r="AE20" s="145">
        <v>0</v>
      </c>
      <c r="AF20" s="145">
        <v>0</v>
      </c>
      <c r="AG20" s="145">
        <v>0</v>
      </c>
      <c r="AH20" s="145">
        <v>0</v>
      </c>
      <c r="AI20" s="145">
        <v>0</v>
      </c>
      <c r="AJ20" s="145">
        <v>0</v>
      </c>
      <c r="AK20" s="145">
        <v>0</v>
      </c>
      <c r="AL20" s="145">
        <v>0</v>
      </c>
      <c r="AM20" s="145">
        <v>0</v>
      </c>
      <c r="AN20" s="145">
        <v>0</v>
      </c>
      <c r="AO20" s="145">
        <v>0</v>
      </c>
      <c r="AP20" s="145">
        <v>0</v>
      </c>
      <c r="AQ20" s="145">
        <v>0</v>
      </c>
      <c r="AR20" s="145">
        <v>0</v>
      </c>
      <c r="AS20" s="145">
        <v>0</v>
      </c>
      <c r="AT20" s="145">
        <v>0</v>
      </c>
    </row>
    <row r="21" spans="1:46" customFormat="1" x14ac:dyDescent="0.15">
      <c r="A21" s="181" t="s">
        <v>210</v>
      </c>
      <c r="B21" s="145">
        <v>0</v>
      </c>
      <c r="C21" s="145">
        <v>0</v>
      </c>
      <c r="D21" s="145">
        <v>0</v>
      </c>
      <c r="E21" s="145">
        <v>0</v>
      </c>
      <c r="F21" s="145">
        <v>0</v>
      </c>
      <c r="G21" s="145">
        <v>2.1021020472972961E-2</v>
      </c>
      <c r="H21" s="145">
        <v>0</v>
      </c>
      <c r="I21" s="145">
        <v>0</v>
      </c>
      <c r="J21" s="145">
        <v>0</v>
      </c>
      <c r="K21" s="145">
        <v>0</v>
      </c>
      <c r="L21" s="145">
        <v>0</v>
      </c>
      <c r="M21" s="145">
        <v>0</v>
      </c>
      <c r="N21" s="145">
        <v>0</v>
      </c>
      <c r="O21" s="145">
        <v>0</v>
      </c>
      <c r="P21" s="145">
        <v>0</v>
      </c>
      <c r="Q21" s="145">
        <v>0</v>
      </c>
      <c r="R21" s="145">
        <v>0</v>
      </c>
      <c r="S21" s="145">
        <v>0</v>
      </c>
      <c r="T21" s="145">
        <v>1E-3</v>
      </c>
      <c r="U21" s="145">
        <v>0</v>
      </c>
      <c r="V21" s="145">
        <v>1.1055276483869343E-2</v>
      </c>
      <c r="W21" s="145">
        <v>0</v>
      </c>
      <c r="X21" s="145">
        <v>0</v>
      </c>
      <c r="Y21" s="145">
        <v>0</v>
      </c>
      <c r="Z21" s="145">
        <v>0</v>
      </c>
      <c r="AA21" s="145">
        <v>0</v>
      </c>
      <c r="AB21" s="145">
        <v>0</v>
      </c>
      <c r="AC21" s="145">
        <v>0</v>
      </c>
      <c r="AD21" s="145">
        <v>0</v>
      </c>
      <c r="AE21" s="145">
        <v>0</v>
      </c>
      <c r="AF21" s="145">
        <v>0</v>
      </c>
      <c r="AG21" s="145">
        <v>0</v>
      </c>
      <c r="AH21" s="145">
        <v>0</v>
      </c>
      <c r="AI21" s="145">
        <v>0</v>
      </c>
      <c r="AJ21" s="145">
        <v>0</v>
      </c>
      <c r="AK21" s="145">
        <v>0</v>
      </c>
      <c r="AL21" s="145">
        <v>0</v>
      </c>
      <c r="AM21" s="145">
        <v>0</v>
      </c>
      <c r="AN21" s="145">
        <v>0</v>
      </c>
      <c r="AO21" s="145">
        <v>0</v>
      </c>
      <c r="AP21" s="145">
        <v>0</v>
      </c>
      <c r="AQ21" s="145">
        <v>0</v>
      </c>
      <c r="AR21" s="145">
        <v>0</v>
      </c>
      <c r="AS21" s="145">
        <v>0</v>
      </c>
      <c r="AT21" s="145">
        <v>0</v>
      </c>
    </row>
    <row r="22" spans="1:46" customFormat="1" x14ac:dyDescent="0.15">
      <c r="A22" s="181" t="s">
        <v>211</v>
      </c>
      <c r="B22" s="145">
        <v>0</v>
      </c>
      <c r="C22" s="145">
        <v>0</v>
      </c>
      <c r="D22" s="145">
        <v>0</v>
      </c>
      <c r="E22" s="145">
        <v>0</v>
      </c>
      <c r="F22" s="145">
        <v>6.0120241905811667E-3</v>
      </c>
      <c r="G22" s="145">
        <v>2.8028028730630643E-2</v>
      </c>
      <c r="H22" s="145">
        <v>0</v>
      </c>
      <c r="I22" s="145">
        <v>3.1645570743670907E-2</v>
      </c>
      <c r="J22" s="145">
        <v>4.0322582998387028E-3</v>
      </c>
      <c r="K22" s="145">
        <v>0</v>
      </c>
      <c r="L22" s="145">
        <v>1.0040160058132526E-2</v>
      </c>
      <c r="M22" s="145">
        <v>1.0330578428099174E-2</v>
      </c>
      <c r="N22" s="145">
        <v>0</v>
      </c>
      <c r="O22" s="145">
        <v>0</v>
      </c>
      <c r="P22" s="145">
        <v>0</v>
      </c>
      <c r="Q22" s="145">
        <v>0</v>
      </c>
      <c r="R22" s="145">
        <v>0</v>
      </c>
      <c r="S22" s="145">
        <v>0</v>
      </c>
      <c r="T22" s="145">
        <v>6.0000000000000001E-3</v>
      </c>
      <c r="U22" s="145">
        <v>0</v>
      </c>
      <c r="V22" s="145">
        <v>1.0050250903517594E-2</v>
      </c>
      <c r="W22" s="145">
        <v>0</v>
      </c>
      <c r="X22" s="145">
        <v>0</v>
      </c>
      <c r="Y22" s="145">
        <v>0</v>
      </c>
      <c r="Z22" s="145">
        <v>0</v>
      </c>
      <c r="AA22" s="145">
        <v>0</v>
      </c>
      <c r="AB22" s="145">
        <v>0</v>
      </c>
      <c r="AC22" s="145">
        <v>0</v>
      </c>
      <c r="AD22" s="145">
        <v>0</v>
      </c>
      <c r="AE22" s="145">
        <v>0</v>
      </c>
      <c r="AF22" s="145">
        <v>0</v>
      </c>
      <c r="AG22" s="145">
        <v>4.1000000000000002E-2</v>
      </c>
      <c r="AH22" s="145">
        <v>0</v>
      </c>
      <c r="AI22" s="145">
        <v>0</v>
      </c>
      <c r="AJ22" s="145">
        <v>0</v>
      </c>
      <c r="AK22" s="145">
        <v>0</v>
      </c>
      <c r="AL22" s="145">
        <v>0</v>
      </c>
      <c r="AM22" s="145">
        <v>0</v>
      </c>
      <c r="AN22" s="145">
        <v>0</v>
      </c>
      <c r="AO22" s="145">
        <v>0</v>
      </c>
      <c r="AP22" s="145">
        <v>0</v>
      </c>
      <c r="AQ22" s="145">
        <v>0</v>
      </c>
      <c r="AR22" s="145">
        <v>0</v>
      </c>
      <c r="AS22" s="145">
        <v>0</v>
      </c>
      <c r="AT22" s="145">
        <v>0</v>
      </c>
    </row>
    <row r="23" spans="1:46" customFormat="1" x14ac:dyDescent="0.15">
      <c r="A23" s="181" t="s">
        <v>212</v>
      </c>
      <c r="B23" s="145">
        <v>0</v>
      </c>
      <c r="C23" s="145">
        <v>0</v>
      </c>
      <c r="D23" s="145">
        <v>0</v>
      </c>
      <c r="E23" s="145">
        <v>0</v>
      </c>
      <c r="F23" s="145">
        <v>0</v>
      </c>
      <c r="G23" s="145">
        <v>3.0030030675675689E-3</v>
      </c>
      <c r="H23" s="145">
        <v>0</v>
      </c>
      <c r="I23" s="145">
        <v>0</v>
      </c>
      <c r="J23" s="145">
        <v>0</v>
      </c>
      <c r="K23" s="145">
        <v>0</v>
      </c>
      <c r="L23" s="145">
        <v>0</v>
      </c>
      <c r="M23" s="145">
        <v>0</v>
      </c>
      <c r="N23" s="145">
        <v>0</v>
      </c>
      <c r="O23" s="145">
        <v>0</v>
      </c>
      <c r="P23" s="145">
        <v>0</v>
      </c>
      <c r="Q23" s="145">
        <v>0</v>
      </c>
      <c r="R23" s="145">
        <v>0</v>
      </c>
      <c r="S23" s="145">
        <v>0</v>
      </c>
      <c r="T23" s="145">
        <v>0</v>
      </c>
      <c r="U23" s="145">
        <v>0</v>
      </c>
      <c r="V23" s="145">
        <v>0</v>
      </c>
      <c r="W23" s="145">
        <v>0</v>
      </c>
      <c r="X23" s="145">
        <v>0</v>
      </c>
      <c r="Y23" s="145">
        <v>0</v>
      </c>
      <c r="Z23" s="145">
        <v>0</v>
      </c>
      <c r="AA23" s="145">
        <v>0</v>
      </c>
      <c r="AB23" s="145">
        <v>0</v>
      </c>
      <c r="AC23" s="145">
        <v>0</v>
      </c>
      <c r="AD23" s="145">
        <v>0</v>
      </c>
      <c r="AE23" s="145">
        <v>0</v>
      </c>
      <c r="AF23" s="145">
        <v>0</v>
      </c>
      <c r="AG23" s="145">
        <v>0</v>
      </c>
      <c r="AH23" s="145">
        <v>0</v>
      </c>
      <c r="AI23" s="145">
        <v>0</v>
      </c>
      <c r="AJ23" s="145">
        <v>0</v>
      </c>
      <c r="AK23" s="145">
        <v>0</v>
      </c>
      <c r="AL23" s="145">
        <v>0</v>
      </c>
      <c r="AM23" s="145">
        <v>0</v>
      </c>
      <c r="AN23" s="145">
        <v>0</v>
      </c>
      <c r="AO23" s="145">
        <v>0</v>
      </c>
      <c r="AP23" s="145">
        <v>0</v>
      </c>
      <c r="AQ23" s="145">
        <v>0</v>
      </c>
      <c r="AR23" s="145">
        <v>0</v>
      </c>
      <c r="AS23" s="145">
        <v>0</v>
      </c>
      <c r="AT23" s="145">
        <v>0</v>
      </c>
    </row>
    <row r="24" spans="1:46" customFormat="1" x14ac:dyDescent="0.15">
      <c r="A24" s="181" t="s">
        <v>213</v>
      </c>
      <c r="B24" s="145">
        <v>0</v>
      </c>
      <c r="C24" s="145">
        <v>0</v>
      </c>
      <c r="D24" s="145">
        <v>0</v>
      </c>
      <c r="E24" s="145">
        <v>0</v>
      </c>
      <c r="F24" s="145">
        <v>0</v>
      </c>
      <c r="G24" s="145">
        <v>4.704704615855853E-2</v>
      </c>
      <c r="H24" s="145">
        <v>0</v>
      </c>
      <c r="I24" s="145">
        <v>3.1645570743670907E-2</v>
      </c>
      <c r="J24" s="145">
        <v>1.0080644624596787E-2</v>
      </c>
      <c r="K24" s="145">
        <v>0</v>
      </c>
      <c r="L24" s="145">
        <v>2.4096386639518082E-2</v>
      </c>
      <c r="M24" s="145">
        <v>1.1363636840909097E-2</v>
      </c>
      <c r="N24" s="145">
        <v>0</v>
      </c>
      <c r="O24" s="145">
        <v>0</v>
      </c>
      <c r="P24" s="145">
        <v>0</v>
      </c>
      <c r="Q24" s="145">
        <v>0</v>
      </c>
      <c r="R24" s="145">
        <v>0</v>
      </c>
      <c r="S24" s="145">
        <v>0</v>
      </c>
      <c r="T24" s="145">
        <v>0</v>
      </c>
      <c r="U24" s="145">
        <v>0</v>
      </c>
      <c r="V24" s="145">
        <v>3.0150751910552796E-2</v>
      </c>
      <c r="W24" s="145">
        <v>0</v>
      </c>
      <c r="X24" s="145">
        <v>0</v>
      </c>
      <c r="Y24" s="145">
        <v>0</v>
      </c>
      <c r="Z24" s="145">
        <v>0</v>
      </c>
      <c r="AA24" s="145">
        <v>0</v>
      </c>
      <c r="AB24" s="145">
        <v>0</v>
      </c>
      <c r="AC24" s="145">
        <v>0</v>
      </c>
      <c r="AD24" s="145">
        <v>0</v>
      </c>
      <c r="AE24" s="145">
        <v>0</v>
      </c>
      <c r="AF24" s="145">
        <v>0</v>
      </c>
      <c r="AG24" s="145">
        <v>0</v>
      </c>
      <c r="AH24" s="145">
        <v>0</v>
      </c>
      <c r="AI24" s="145">
        <v>0</v>
      </c>
      <c r="AJ24" s="145">
        <v>0</v>
      </c>
      <c r="AK24" s="145">
        <v>0</v>
      </c>
      <c r="AL24" s="145">
        <v>0</v>
      </c>
      <c r="AM24" s="145">
        <v>0</v>
      </c>
      <c r="AN24" s="145">
        <v>0</v>
      </c>
      <c r="AO24" s="145">
        <v>0</v>
      </c>
      <c r="AP24" s="145">
        <v>0</v>
      </c>
      <c r="AQ24" s="145">
        <v>0</v>
      </c>
      <c r="AR24" s="145">
        <v>0</v>
      </c>
      <c r="AS24" s="145">
        <v>0</v>
      </c>
      <c r="AT24" s="145">
        <v>0</v>
      </c>
    </row>
    <row r="25" spans="1:46" customFormat="1" x14ac:dyDescent="0.15">
      <c r="A25" s="181" t="s">
        <v>214</v>
      </c>
      <c r="B25" s="145">
        <v>0</v>
      </c>
      <c r="C25" s="145">
        <v>0</v>
      </c>
      <c r="D25" s="145">
        <v>0</v>
      </c>
      <c r="E25" s="145">
        <v>9.9999994800000283E-4</v>
      </c>
      <c r="F25" s="145">
        <v>0</v>
      </c>
      <c r="G25" s="145">
        <v>3.0030030675675689E-3</v>
      </c>
      <c r="H25" s="145">
        <v>0</v>
      </c>
      <c r="I25" s="145">
        <v>2.7426160644514773E-2</v>
      </c>
      <c r="J25" s="145">
        <v>0</v>
      </c>
      <c r="K25" s="145">
        <v>0</v>
      </c>
      <c r="L25" s="145">
        <v>0</v>
      </c>
      <c r="M25" s="145">
        <v>0</v>
      </c>
      <c r="N25" s="145">
        <v>0</v>
      </c>
      <c r="O25" s="145">
        <v>0</v>
      </c>
      <c r="P25" s="145">
        <v>0</v>
      </c>
      <c r="Q25" s="145">
        <v>0</v>
      </c>
      <c r="R25" s="145">
        <v>0</v>
      </c>
      <c r="S25" s="145">
        <v>0</v>
      </c>
      <c r="T25" s="145">
        <v>0</v>
      </c>
      <c r="U25" s="145">
        <v>0</v>
      </c>
      <c r="V25" s="145">
        <v>0</v>
      </c>
      <c r="W25" s="145">
        <v>0</v>
      </c>
      <c r="X25" s="145">
        <v>0</v>
      </c>
      <c r="Y25" s="145">
        <v>0</v>
      </c>
      <c r="Z25" s="145">
        <v>0</v>
      </c>
      <c r="AA25" s="145">
        <v>0</v>
      </c>
      <c r="AB25" s="145">
        <v>0</v>
      </c>
      <c r="AC25" s="145">
        <v>0</v>
      </c>
      <c r="AD25" s="145">
        <v>0</v>
      </c>
      <c r="AE25" s="145">
        <v>0</v>
      </c>
      <c r="AF25" s="145">
        <v>0</v>
      </c>
      <c r="AG25" s="145">
        <v>0</v>
      </c>
      <c r="AH25" s="145">
        <v>0</v>
      </c>
      <c r="AI25" s="145">
        <v>0</v>
      </c>
      <c r="AJ25" s="145">
        <v>0</v>
      </c>
      <c r="AK25" s="145">
        <v>0</v>
      </c>
      <c r="AL25" s="145">
        <v>0</v>
      </c>
      <c r="AM25" s="145">
        <v>0</v>
      </c>
      <c r="AN25" s="145">
        <v>0</v>
      </c>
      <c r="AO25" s="145">
        <v>0</v>
      </c>
      <c r="AP25" s="145">
        <v>0</v>
      </c>
      <c r="AQ25" s="145">
        <v>0</v>
      </c>
      <c r="AR25" s="145">
        <v>0</v>
      </c>
      <c r="AS25" s="145">
        <v>0</v>
      </c>
      <c r="AT25" s="145">
        <v>0</v>
      </c>
    </row>
    <row r="26" spans="1:46" customFormat="1" x14ac:dyDescent="0.15">
      <c r="A26" s="181" t="s">
        <v>215</v>
      </c>
      <c r="B26" s="145">
        <v>0</v>
      </c>
      <c r="C26" s="145">
        <v>0</v>
      </c>
      <c r="D26" s="145">
        <v>0</v>
      </c>
      <c r="E26" s="145">
        <v>0</v>
      </c>
      <c r="F26" s="145">
        <v>0</v>
      </c>
      <c r="G26" s="145">
        <v>1.0010010225225229E-2</v>
      </c>
      <c r="H26" s="145">
        <v>0</v>
      </c>
      <c r="I26" s="145">
        <v>1.3713080322257386E-2</v>
      </c>
      <c r="J26" s="145">
        <v>0</v>
      </c>
      <c r="K26" s="145">
        <v>0</v>
      </c>
      <c r="L26" s="145">
        <v>0</v>
      </c>
      <c r="M26" s="145">
        <v>0</v>
      </c>
      <c r="N26" s="145">
        <v>0</v>
      </c>
      <c r="O26" s="145">
        <v>0</v>
      </c>
      <c r="P26" s="145">
        <v>0</v>
      </c>
      <c r="Q26" s="145">
        <v>0</v>
      </c>
      <c r="R26" s="145">
        <v>0</v>
      </c>
      <c r="S26" s="145">
        <v>6.0999999999999999E-2</v>
      </c>
      <c r="T26" s="145">
        <v>0</v>
      </c>
      <c r="U26" s="145">
        <v>9.0090096900900973E-2</v>
      </c>
      <c r="V26" s="145">
        <v>0</v>
      </c>
      <c r="W26" s="145">
        <v>0</v>
      </c>
      <c r="X26" s="145">
        <v>0</v>
      </c>
      <c r="Y26" s="145">
        <v>0</v>
      </c>
      <c r="Z26" s="145">
        <v>0</v>
      </c>
      <c r="AA26" s="145">
        <v>0</v>
      </c>
      <c r="AB26" s="145">
        <v>0</v>
      </c>
      <c r="AC26" s="145">
        <v>0</v>
      </c>
      <c r="AD26" s="145">
        <v>0</v>
      </c>
      <c r="AE26" s="145">
        <v>0</v>
      </c>
      <c r="AF26" s="145">
        <v>0</v>
      </c>
      <c r="AG26" s="145">
        <v>0</v>
      </c>
      <c r="AH26" s="145">
        <v>0</v>
      </c>
      <c r="AI26" s="145">
        <v>0</v>
      </c>
      <c r="AJ26" s="145">
        <v>0</v>
      </c>
      <c r="AK26" s="145">
        <v>0</v>
      </c>
      <c r="AL26" s="145">
        <v>0</v>
      </c>
      <c r="AM26" s="145">
        <v>0</v>
      </c>
      <c r="AN26" s="145">
        <v>0</v>
      </c>
      <c r="AO26" s="145">
        <v>0</v>
      </c>
      <c r="AP26" s="145">
        <v>0</v>
      </c>
      <c r="AQ26" s="145">
        <v>0</v>
      </c>
      <c r="AR26" s="145">
        <v>0</v>
      </c>
      <c r="AS26" s="145">
        <v>0</v>
      </c>
      <c r="AT26" s="145">
        <v>0</v>
      </c>
    </row>
    <row r="27" spans="1:46" customFormat="1" x14ac:dyDescent="0.15">
      <c r="A27" s="181" t="s">
        <v>216</v>
      </c>
      <c r="B27" s="145">
        <v>0</v>
      </c>
      <c r="C27" s="145">
        <v>5.000000000000001E-3</v>
      </c>
      <c r="D27" s="145">
        <v>0</v>
      </c>
      <c r="E27" s="145">
        <v>9.9999994800000283E-3</v>
      </c>
      <c r="F27" s="145">
        <v>0</v>
      </c>
      <c r="G27" s="145">
        <v>3.0030030675675689E-3</v>
      </c>
      <c r="H27" s="145">
        <v>0</v>
      </c>
      <c r="I27" s="145">
        <v>0</v>
      </c>
      <c r="J27" s="145">
        <v>0</v>
      </c>
      <c r="K27" s="145">
        <v>1.5120967000604852E-2</v>
      </c>
      <c r="L27" s="145">
        <v>5.020080029066263E-3</v>
      </c>
      <c r="M27" s="145">
        <v>0</v>
      </c>
      <c r="N27" s="145">
        <v>0</v>
      </c>
      <c r="O27" s="145">
        <v>0</v>
      </c>
      <c r="P27" s="145">
        <v>0</v>
      </c>
      <c r="Q27" s="145">
        <v>0</v>
      </c>
      <c r="R27" s="145">
        <v>0</v>
      </c>
      <c r="S27" s="145">
        <v>0.01</v>
      </c>
      <c r="T27" s="145">
        <v>0</v>
      </c>
      <c r="U27" s="145">
        <v>1.0010010100100102E-2</v>
      </c>
      <c r="V27" s="145">
        <v>5.025125471758797E-3</v>
      </c>
      <c r="W27" s="145">
        <v>0</v>
      </c>
      <c r="X27" s="145">
        <v>0</v>
      </c>
      <c r="Y27" s="145">
        <v>0</v>
      </c>
      <c r="Z27" s="145">
        <v>0</v>
      </c>
      <c r="AA27" s="145">
        <v>0</v>
      </c>
      <c r="AB27" s="145">
        <v>0</v>
      </c>
      <c r="AC27" s="145">
        <v>0</v>
      </c>
      <c r="AD27" s="145">
        <v>0</v>
      </c>
      <c r="AE27" s="145">
        <v>0</v>
      </c>
      <c r="AF27" s="145">
        <v>0</v>
      </c>
      <c r="AG27" s="145">
        <v>0</v>
      </c>
      <c r="AH27" s="145">
        <v>0</v>
      </c>
      <c r="AI27" s="145">
        <v>0</v>
      </c>
      <c r="AJ27" s="145">
        <v>0.4</v>
      </c>
      <c r="AK27" s="145">
        <v>0</v>
      </c>
      <c r="AL27" s="145">
        <v>0</v>
      </c>
      <c r="AM27" s="145">
        <v>0</v>
      </c>
      <c r="AN27" s="145">
        <v>0</v>
      </c>
      <c r="AO27" s="145">
        <v>0</v>
      </c>
      <c r="AP27" s="145">
        <v>0</v>
      </c>
      <c r="AQ27" s="145">
        <v>0</v>
      </c>
      <c r="AR27" s="145">
        <v>0</v>
      </c>
      <c r="AS27" s="145">
        <v>0</v>
      </c>
      <c r="AT27" s="145">
        <v>0</v>
      </c>
    </row>
    <row r="28" spans="1:46" customFormat="1" x14ac:dyDescent="0.15">
      <c r="A28" s="181" t="s">
        <v>217</v>
      </c>
      <c r="B28" s="145">
        <v>0</v>
      </c>
      <c r="C28" s="145">
        <v>0</v>
      </c>
      <c r="D28" s="145">
        <v>0</v>
      </c>
      <c r="E28" s="145">
        <v>0</v>
      </c>
      <c r="F28" s="145">
        <v>0</v>
      </c>
      <c r="G28" s="145">
        <v>2.1021020472972961E-2</v>
      </c>
      <c r="H28" s="145">
        <v>0</v>
      </c>
      <c r="I28" s="145">
        <v>0</v>
      </c>
      <c r="J28" s="145">
        <v>0</v>
      </c>
      <c r="K28" s="145">
        <v>0</v>
      </c>
      <c r="L28" s="145">
        <v>0</v>
      </c>
      <c r="M28" s="145">
        <v>0</v>
      </c>
      <c r="N28" s="145">
        <v>0</v>
      </c>
      <c r="O28" s="145">
        <v>0</v>
      </c>
      <c r="P28" s="145">
        <v>0</v>
      </c>
      <c r="Q28" s="145">
        <v>0</v>
      </c>
      <c r="R28" s="145">
        <v>0</v>
      </c>
      <c r="S28" s="145">
        <v>6.0999999999999999E-2</v>
      </c>
      <c r="T28" s="145">
        <v>1.4E-2</v>
      </c>
      <c r="U28" s="145">
        <v>0</v>
      </c>
      <c r="V28" s="145">
        <v>5.025125471758797E-3</v>
      </c>
      <c r="W28" s="145">
        <v>0</v>
      </c>
      <c r="X28" s="145">
        <v>8.1218281811167668E-3</v>
      </c>
      <c r="Y28" s="145">
        <v>2.7972028533566451E-2</v>
      </c>
      <c r="Z28" s="145">
        <v>0</v>
      </c>
      <c r="AA28" s="145">
        <v>0</v>
      </c>
      <c r="AB28" s="145">
        <v>0</v>
      </c>
      <c r="AC28" s="145">
        <v>0</v>
      </c>
      <c r="AD28" s="145">
        <v>0</v>
      </c>
      <c r="AE28" s="145">
        <v>0</v>
      </c>
      <c r="AF28" s="145">
        <v>0</v>
      </c>
      <c r="AG28" s="145">
        <v>0</v>
      </c>
      <c r="AH28" s="145">
        <v>0</v>
      </c>
      <c r="AI28" s="145">
        <v>0</v>
      </c>
      <c r="AJ28" s="145">
        <v>0</v>
      </c>
      <c r="AK28" s="145">
        <v>0</v>
      </c>
      <c r="AL28" s="145">
        <v>0</v>
      </c>
      <c r="AM28" s="145">
        <v>0</v>
      </c>
      <c r="AN28" s="145">
        <v>0</v>
      </c>
      <c r="AO28" s="145">
        <v>0</v>
      </c>
      <c r="AP28" s="145">
        <v>0</v>
      </c>
      <c r="AQ28" s="145">
        <v>0</v>
      </c>
      <c r="AR28" s="145">
        <v>0</v>
      </c>
      <c r="AS28" s="145">
        <v>0</v>
      </c>
      <c r="AT28" s="145">
        <v>0</v>
      </c>
    </row>
    <row r="29" spans="1:46" customFormat="1" x14ac:dyDescent="0.15">
      <c r="A29" s="181" t="s">
        <v>218</v>
      </c>
      <c r="B29" s="145">
        <v>0</v>
      </c>
      <c r="C29" s="145">
        <v>1.0000000000000002E-2</v>
      </c>
      <c r="D29" s="145">
        <v>0</v>
      </c>
      <c r="E29" s="145">
        <v>3.2999998284000097E-2</v>
      </c>
      <c r="F29" s="145">
        <v>9.01803628587175E-3</v>
      </c>
      <c r="G29" s="145">
        <v>4.0040040900900915E-2</v>
      </c>
      <c r="H29" s="145">
        <v>0</v>
      </c>
      <c r="I29" s="145">
        <v>5.2742616539451476E-2</v>
      </c>
      <c r="J29" s="145">
        <v>1.0080644624596787E-2</v>
      </c>
      <c r="K29" s="145">
        <v>0</v>
      </c>
      <c r="L29" s="145">
        <v>1.0040160058132526E-2</v>
      </c>
      <c r="M29" s="145">
        <v>5.1652894040495882E-2</v>
      </c>
      <c r="N29" s="145">
        <v>0</v>
      </c>
      <c r="O29" s="145">
        <v>0</v>
      </c>
      <c r="P29" s="145">
        <v>0</v>
      </c>
      <c r="Q29" s="145">
        <v>0</v>
      </c>
      <c r="R29" s="145">
        <v>0</v>
      </c>
      <c r="S29" s="145">
        <v>6.0999999999999999E-2</v>
      </c>
      <c r="T29" s="145">
        <v>8.0000000000000002E-3</v>
      </c>
      <c r="U29" s="145">
        <v>0</v>
      </c>
      <c r="V29" s="145">
        <v>1.0050250903517594E-2</v>
      </c>
      <c r="W29" s="145">
        <v>0</v>
      </c>
      <c r="X29" s="145">
        <v>1.0152284326395941E-2</v>
      </c>
      <c r="Y29" s="145">
        <v>2.7972028533566451E-2</v>
      </c>
      <c r="Z29" s="145">
        <v>0</v>
      </c>
      <c r="AA29" s="145">
        <v>0</v>
      </c>
      <c r="AB29" s="145">
        <v>0</v>
      </c>
      <c r="AC29" s="145">
        <v>0</v>
      </c>
      <c r="AD29" s="145">
        <v>0</v>
      </c>
      <c r="AE29" s="145">
        <v>0</v>
      </c>
      <c r="AF29" s="145">
        <v>0</v>
      </c>
      <c r="AG29" s="145">
        <v>0</v>
      </c>
      <c r="AH29" s="145">
        <v>0</v>
      </c>
      <c r="AI29" s="145">
        <v>0</v>
      </c>
      <c r="AJ29" s="145">
        <v>0</v>
      </c>
      <c r="AK29" s="145">
        <v>0</v>
      </c>
      <c r="AL29" s="145">
        <v>0</v>
      </c>
      <c r="AM29" s="145">
        <v>0</v>
      </c>
      <c r="AN29" s="145">
        <v>0</v>
      </c>
      <c r="AO29" s="145">
        <v>0</v>
      </c>
      <c r="AP29" s="145">
        <v>0</v>
      </c>
      <c r="AQ29" s="145">
        <v>0</v>
      </c>
      <c r="AR29" s="145">
        <v>0</v>
      </c>
      <c r="AS29" s="145">
        <v>0</v>
      </c>
      <c r="AT29" s="145">
        <v>0</v>
      </c>
    </row>
    <row r="30" spans="1:46" customFormat="1" x14ac:dyDescent="0.15">
      <c r="A30" s="181" t="s">
        <v>219</v>
      </c>
      <c r="B30" s="145">
        <v>0</v>
      </c>
      <c r="C30" s="145">
        <v>1.0000000000000002E-2</v>
      </c>
      <c r="D30" s="145">
        <v>0</v>
      </c>
      <c r="E30" s="145">
        <v>9.9999994800000283E-4</v>
      </c>
      <c r="F30" s="145">
        <v>0</v>
      </c>
      <c r="G30" s="145">
        <v>1.6016016160360361E-2</v>
      </c>
      <c r="H30" s="145">
        <v>0</v>
      </c>
      <c r="I30" s="145">
        <v>1.8987340446202497E-2</v>
      </c>
      <c r="J30" s="145">
        <v>0</v>
      </c>
      <c r="K30" s="145">
        <v>2.3185483640927422E-2</v>
      </c>
      <c r="L30" s="145">
        <v>0</v>
      </c>
      <c r="M30" s="145">
        <v>0</v>
      </c>
      <c r="N30" s="145">
        <v>0</v>
      </c>
      <c r="O30" s="145">
        <v>0</v>
      </c>
      <c r="P30" s="145">
        <v>0</v>
      </c>
      <c r="Q30" s="145">
        <v>0</v>
      </c>
      <c r="R30" s="145">
        <v>0</v>
      </c>
      <c r="S30" s="145">
        <v>6.0999999999999999E-2</v>
      </c>
      <c r="T30" s="145">
        <v>1.6E-2</v>
      </c>
      <c r="U30" s="145">
        <v>9.0090096900900973E-2</v>
      </c>
      <c r="V30" s="145">
        <v>8.0402008428140728E-3</v>
      </c>
      <c r="W30" s="145">
        <v>0</v>
      </c>
      <c r="X30" s="145">
        <v>1.6243655562233516E-2</v>
      </c>
      <c r="Y30" s="145">
        <v>2.7972028533566451E-2</v>
      </c>
      <c r="Z30" s="145">
        <v>0</v>
      </c>
      <c r="AA30" s="145">
        <v>0</v>
      </c>
      <c r="AB30" s="145">
        <v>0</v>
      </c>
      <c r="AC30" s="145">
        <v>0</v>
      </c>
      <c r="AD30" s="145">
        <v>8.6172343188376715E-2</v>
      </c>
      <c r="AE30" s="145">
        <v>9.9900100546253777E-3</v>
      </c>
      <c r="AF30" s="145">
        <v>4.0040040692692711E-3</v>
      </c>
      <c r="AG30" s="145">
        <v>0</v>
      </c>
      <c r="AH30" s="145">
        <v>0</v>
      </c>
      <c r="AI30" s="145">
        <v>0</v>
      </c>
      <c r="AJ30" s="145">
        <v>0</v>
      </c>
      <c r="AK30" s="145">
        <v>0</v>
      </c>
      <c r="AL30" s="145">
        <v>0</v>
      </c>
      <c r="AM30" s="145">
        <v>0</v>
      </c>
      <c r="AN30" s="145">
        <v>0</v>
      </c>
      <c r="AO30" s="145">
        <v>0</v>
      </c>
      <c r="AP30" s="145">
        <v>0</v>
      </c>
      <c r="AQ30" s="145">
        <v>0</v>
      </c>
      <c r="AR30" s="145">
        <v>0</v>
      </c>
      <c r="AS30" s="145">
        <v>0</v>
      </c>
      <c r="AT30" s="145">
        <v>0</v>
      </c>
    </row>
    <row r="31" spans="1:46" customFormat="1" x14ac:dyDescent="0.15">
      <c r="A31" s="181" t="s">
        <v>220</v>
      </c>
      <c r="B31" s="145">
        <v>0</v>
      </c>
      <c r="C31" s="145">
        <v>0</v>
      </c>
      <c r="D31" s="145">
        <v>0</v>
      </c>
      <c r="E31" s="145">
        <v>0</v>
      </c>
      <c r="F31" s="145">
        <v>0</v>
      </c>
      <c r="G31" s="145">
        <v>0</v>
      </c>
      <c r="H31" s="145">
        <v>0</v>
      </c>
      <c r="I31" s="145">
        <v>0</v>
      </c>
      <c r="J31" s="145">
        <v>0</v>
      </c>
      <c r="K31" s="145">
        <v>0</v>
      </c>
      <c r="L31" s="145">
        <v>0</v>
      </c>
      <c r="M31" s="145">
        <v>0</v>
      </c>
      <c r="N31" s="145">
        <v>0</v>
      </c>
      <c r="O31" s="145">
        <v>0</v>
      </c>
      <c r="P31" s="145">
        <v>0</v>
      </c>
      <c r="Q31" s="145">
        <v>0</v>
      </c>
      <c r="R31" s="145">
        <v>0</v>
      </c>
      <c r="S31" s="145">
        <v>6.0999999999999999E-2</v>
      </c>
      <c r="T31" s="145">
        <v>1.0999999999999999E-2</v>
      </c>
      <c r="U31" s="145">
        <v>4.5045048450450487E-2</v>
      </c>
      <c r="V31" s="145">
        <v>5.025125471758797E-3</v>
      </c>
      <c r="W31" s="145">
        <v>0</v>
      </c>
      <c r="X31" s="145">
        <v>8.1218281811167668E-3</v>
      </c>
      <c r="Y31" s="145">
        <v>2.7972028533566451E-2</v>
      </c>
      <c r="Z31" s="145">
        <v>0</v>
      </c>
      <c r="AA31" s="145">
        <v>0</v>
      </c>
      <c r="AB31" s="145">
        <v>0</v>
      </c>
      <c r="AC31" s="145">
        <v>0</v>
      </c>
      <c r="AD31" s="145">
        <v>0</v>
      </c>
      <c r="AE31" s="145">
        <v>0</v>
      </c>
      <c r="AF31" s="145">
        <v>0</v>
      </c>
      <c r="AG31" s="145">
        <v>0</v>
      </c>
      <c r="AH31" s="145">
        <v>0</v>
      </c>
      <c r="AI31" s="145">
        <v>0</v>
      </c>
      <c r="AJ31" s="145">
        <v>0</v>
      </c>
      <c r="AK31" s="145">
        <v>0</v>
      </c>
      <c r="AL31" s="145">
        <v>0</v>
      </c>
      <c r="AM31" s="145">
        <v>0</v>
      </c>
      <c r="AN31" s="145">
        <v>0</v>
      </c>
      <c r="AO31" s="145">
        <v>0</v>
      </c>
      <c r="AP31" s="145">
        <v>0</v>
      </c>
      <c r="AQ31" s="145">
        <v>0</v>
      </c>
      <c r="AR31" s="145">
        <v>0</v>
      </c>
      <c r="AS31" s="145">
        <v>0</v>
      </c>
      <c r="AT31" s="145">
        <v>0</v>
      </c>
    </row>
    <row r="32" spans="1:46" customFormat="1" x14ac:dyDescent="0.15">
      <c r="A32" s="181" t="s">
        <v>221</v>
      </c>
      <c r="B32" s="145">
        <v>0</v>
      </c>
      <c r="C32" s="145">
        <v>1.0000000000000002E-2</v>
      </c>
      <c r="D32" s="145">
        <v>0</v>
      </c>
      <c r="E32" s="145">
        <v>9.9999994800000283E-3</v>
      </c>
      <c r="F32" s="145">
        <v>4.208416623406807E-2</v>
      </c>
      <c r="G32" s="145">
        <v>5.0050051126126142E-2</v>
      </c>
      <c r="H32" s="145">
        <v>8.9910094810190053E-3</v>
      </c>
      <c r="I32" s="145">
        <v>5.2742616539451476E-2</v>
      </c>
      <c r="J32" s="145">
        <v>1.0080644624596787E-2</v>
      </c>
      <c r="K32" s="145">
        <v>5.0403225202016136E-2</v>
      </c>
      <c r="L32" s="145">
        <v>1.3052209375572292E-2</v>
      </c>
      <c r="M32" s="145">
        <v>5.1652894040495882E-2</v>
      </c>
      <c r="N32" s="145">
        <v>0</v>
      </c>
      <c r="O32" s="145">
        <v>0</v>
      </c>
      <c r="P32" s="145">
        <v>0</v>
      </c>
      <c r="Q32" s="145">
        <v>0</v>
      </c>
      <c r="R32" s="145">
        <v>0</v>
      </c>
      <c r="S32" s="145">
        <v>6.0999999999999999E-2</v>
      </c>
      <c r="T32" s="145">
        <v>0.02</v>
      </c>
      <c r="U32" s="145">
        <v>4.5045048450450487E-2</v>
      </c>
      <c r="V32" s="145">
        <v>1.0050250903517594E-2</v>
      </c>
      <c r="W32" s="145">
        <v>0</v>
      </c>
      <c r="X32" s="145">
        <v>3.0456852879187816E-2</v>
      </c>
      <c r="Y32" s="145">
        <v>2.7972028533566451E-2</v>
      </c>
      <c r="Z32" s="145">
        <v>0</v>
      </c>
      <c r="AA32" s="145">
        <v>0</v>
      </c>
      <c r="AB32" s="145">
        <v>4.1958041047552373E-2</v>
      </c>
      <c r="AC32" s="145">
        <v>1.0010010360360375E-3</v>
      </c>
      <c r="AD32" s="145">
        <v>1.0020040370741494E-2</v>
      </c>
      <c r="AE32" s="145">
        <v>0</v>
      </c>
      <c r="AF32" s="145">
        <v>7.007007121221224E-3</v>
      </c>
      <c r="AG32" s="145">
        <v>0</v>
      </c>
      <c r="AH32" s="145">
        <v>0</v>
      </c>
      <c r="AI32" s="145">
        <v>0</v>
      </c>
      <c r="AJ32" s="145">
        <v>0</v>
      </c>
      <c r="AK32" s="145">
        <v>0</v>
      </c>
      <c r="AL32" s="145">
        <v>0</v>
      </c>
      <c r="AM32" s="145">
        <v>0</v>
      </c>
      <c r="AN32" s="145">
        <v>0</v>
      </c>
      <c r="AO32" s="145">
        <v>0</v>
      </c>
      <c r="AP32" s="145">
        <v>0</v>
      </c>
      <c r="AQ32" s="145">
        <v>0</v>
      </c>
      <c r="AR32" s="145">
        <v>0</v>
      </c>
      <c r="AS32" s="145">
        <v>0</v>
      </c>
      <c r="AT32" s="145">
        <v>0</v>
      </c>
    </row>
    <row r="33" spans="1:46" customFormat="1" x14ac:dyDescent="0.15">
      <c r="A33" s="181" t="s">
        <v>222</v>
      </c>
      <c r="B33" s="145">
        <v>0</v>
      </c>
      <c r="C33" s="145">
        <v>0</v>
      </c>
      <c r="D33" s="145">
        <v>0</v>
      </c>
      <c r="E33" s="145">
        <v>0</v>
      </c>
      <c r="F33" s="145">
        <v>6.0120241905811667E-3</v>
      </c>
      <c r="G33" s="145">
        <v>5.7057057883783797E-2</v>
      </c>
      <c r="H33" s="145">
        <v>2.4975025536163865E-2</v>
      </c>
      <c r="I33" s="145">
        <v>0</v>
      </c>
      <c r="J33" s="145">
        <v>0</v>
      </c>
      <c r="K33" s="145">
        <v>0</v>
      </c>
      <c r="L33" s="145">
        <v>0</v>
      </c>
      <c r="M33" s="145">
        <v>0</v>
      </c>
      <c r="N33" s="145">
        <v>0</v>
      </c>
      <c r="O33" s="145">
        <v>0</v>
      </c>
      <c r="P33" s="145">
        <v>0</v>
      </c>
      <c r="Q33" s="145">
        <v>0</v>
      </c>
      <c r="R33" s="145">
        <v>0</v>
      </c>
      <c r="S33" s="145">
        <v>0</v>
      </c>
      <c r="T33" s="145">
        <v>0</v>
      </c>
      <c r="U33" s="145">
        <v>0</v>
      </c>
      <c r="V33" s="145">
        <v>1.0050250903517596E-3</v>
      </c>
      <c r="W33" s="145">
        <v>0</v>
      </c>
      <c r="X33" s="145">
        <v>0</v>
      </c>
      <c r="Y33" s="145">
        <v>0</v>
      </c>
      <c r="Z33" s="145">
        <v>0</v>
      </c>
      <c r="AA33" s="145">
        <v>0</v>
      </c>
      <c r="AB33" s="145">
        <v>0</v>
      </c>
      <c r="AC33" s="145">
        <v>0</v>
      </c>
      <c r="AD33" s="145">
        <v>0</v>
      </c>
      <c r="AE33" s="145">
        <v>0</v>
      </c>
      <c r="AF33" s="145">
        <v>0</v>
      </c>
      <c r="AG33" s="145">
        <v>0</v>
      </c>
      <c r="AH33" s="145">
        <v>0</v>
      </c>
      <c r="AI33" s="145">
        <v>0</v>
      </c>
      <c r="AJ33" s="145">
        <v>0</v>
      </c>
      <c r="AK33" s="145">
        <v>0</v>
      </c>
      <c r="AL33" s="145">
        <v>0</v>
      </c>
      <c r="AM33" s="145">
        <v>0</v>
      </c>
      <c r="AN33" s="145">
        <v>0</v>
      </c>
      <c r="AO33" s="145">
        <v>0</v>
      </c>
      <c r="AP33" s="145">
        <v>0</v>
      </c>
      <c r="AQ33" s="145">
        <v>0</v>
      </c>
      <c r="AR33" s="145">
        <v>0</v>
      </c>
      <c r="AS33" s="145">
        <v>0</v>
      </c>
      <c r="AT33" s="145">
        <v>0</v>
      </c>
    </row>
    <row r="34" spans="1:46" customFormat="1" x14ac:dyDescent="0.15">
      <c r="A34" s="181" t="s">
        <v>223</v>
      </c>
      <c r="B34" s="145">
        <v>2.197802166373624E-2</v>
      </c>
      <c r="C34" s="145">
        <v>3.1000000000000003E-2</v>
      </c>
      <c r="D34" s="145">
        <v>0</v>
      </c>
      <c r="E34" s="145">
        <v>0</v>
      </c>
      <c r="F34" s="145">
        <v>6.1122244337575141E-2</v>
      </c>
      <c r="G34" s="145">
        <v>3.0030030675675689E-3</v>
      </c>
      <c r="H34" s="145">
        <v>0.12587412373426562</v>
      </c>
      <c r="I34" s="145">
        <v>0</v>
      </c>
      <c r="J34" s="145">
        <v>0</v>
      </c>
      <c r="K34" s="145">
        <v>0</v>
      </c>
      <c r="L34" s="145">
        <v>0</v>
      </c>
      <c r="M34" s="145">
        <v>0</v>
      </c>
      <c r="N34" s="145">
        <v>0</v>
      </c>
      <c r="O34" s="145">
        <v>0</v>
      </c>
      <c r="P34" s="145">
        <v>0</v>
      </c>
      <c r="Q34" s="145">
        <v>0</v>
      </c>
      <c r="R34" s="145">
        <v>0</v>
      </c>
      <c r="S34" s="145">
        <v>0</v>
      </c>
      <c r="T34" s="145">
        <v>0</v>
      </c>
      <c r="U34" s="145">
        <v>0</v>
      </c>
      <c r="V34" s="145">
        <v>9.0452258231658346E-3</v>
      </c>
      <c r="W34" s="145">
        <v>0</v>
      </c>
      <c r="X34" s="145">
        <v>0</v>
      </c>
      <c r="Y34" s="145">
        <v>0</v>
      </c>
      <c r="Z34" s="145">
        <v>0</v>
      </c>
      <c r="AA34" s="145">
        <v>0</v>
      </c>
      <c r="AB34" s="145">
        <v>0</v>
      </c>
      <c r="AC34" s="145">
        <v>0</v>
      </c>
      <c r="AD34" s="145">
        <v>0</v>
      </c>
      <c r="AE34" s="145">
        <v>0</v>
      </c>
      <c r="AF34" s="145">
        <v>0</v>
      </c>
      <c r="AG34" s="145">
        <v>0.14299999999999999</v>
      </c>
      <c r="AH34" s="145">
        <v>0</v>
      </c>
      <c r="AI34" s="145">
        <v>0</v>
      </c>
      <c r="AJ34" s="145">
        <v>0</v>
      </c>
      <c r="AK34" s="145">
        <v>0</v>
      </c>
      <c r="AL34" s="145">
        <v>0</v>
      </c>
      <c r="AM34" s="145">
        <v>0</v>
      </c>
      <c r="AN34" s="145">
        <v>0</v>
      </c>
      <c r="AO34" s="145">
        <v>0</v>
      </c>
      <c r="AP34" s="145">
        <v>0</v>
      </c>
      <c r="AQ34" s="145">
        <v>0</v>
      </c>
      <c r="AR34" s="145">
        <v>0</v>
      </c>
      <c r="AS34" s="145">
        <v>0</v>
      </c>
      <c r="AT34" s="145">
        <v>0</v>
      </c>
    </row>
    <row r="35" spans="1:46" customFormat="1" x14ac:dyDescent="0.15">
      <c r="A35" s="181" t="s">
        <v>224</v>
      </c>
      <c r="B35" s="145">
        <v>0</v>
      </c>
      <c r="C35" s="145">
        <v>0</v>
      </c>
      <c r="D35" s="145">
        <v>0</v>
      </c>
      <c r="E35" s="145">
        <v>0</v>
      </c>
      <c r="F35" s="145">
        <v>6.0120241905811667E-3</v>
      </c>
      <c r="G35" s="145">
        <v>0</v>
      </c>
      <c r="H35" s="145">
        <v>1.0989010587912065E-2</v>
      </c>
      <c r="I35" s="145">
        <v>5.2742616539451476E-2</v>
      </c>
      <c r="J35" s="145">
        <v>1.0080645724596757E-3</v>
      </c>
      <c r="K35" s="145">
        <v>0</v>
      </c>
      <c r="L35" s="145">
        <v>0</v>
      </c>
      <c r="M35" s="145">
        <v>0</v>
      </c>
      <c r="N35" s="145">
        <v>0</v>
      </c>
      <c r="O35" s="145">
        <v>0</v>
      </c>
      <c r="P35" s="145">
        <v>0</v>
      </c>
      <c r="Q35" s="145">
        <v>0</v>
      </c>
      <c r="R35" s="145">
        <v>0</v>
      </c>
      <c r="S35" s="145">
        <v>0</v>
      </c>
      <c r="T35" s="145">
        <v>0</v>
      </c>
      <c r="U35" s="145">
        <v>0</v>
      </c>
      <c r="V35" s="145">
        <v>0</v>
      </c>
      <c r="W35" s="145">
        <v>0</v>
      </c>
      <c r="X35" s="145">
        <v>0</v>
      </c>
      <c r="Y35" s="145">
        <v>0</v>
      </c>
      <c r="Z35" s="145">
        <v>0</v>
      </c>
      <c r="AA35" s="145">
        <v>0</v>
      </c>
      <c r="AB35" s="145">
        <v>0</v>
      </c>
      <c r="AC35" s="145">
        <v>0</v>
      </c>
      <c r="AD35" s="145">
        <v>0</v>
      </c>
      <c r="AE35" s="145">
        <v>0</v>
      </c>
      <c r="AF35" s="145">
        <v>0</v>
      </c>
      <c r="AG35" s="145">
        <v>0</v>
      </c>
      <c r="AH35" s="145">
        <v>0</v>
      </c>
      <c r="AI35" s="145">
        <v>0</v>
      </c>
      <c r="AJ35" s="145">
        <v>0</v>
      </c>
      <c r="AK35" s="145">
        <v>0</v>
      </c>
      <c r="AL35" s="145">
        <v>0</v>
      </c>
      <c r="AM35" s="145">
        <v>0</v>
      </c>
      <c r="AN35" s="145">
        <v>0</v>
      </c>
      <c r="AO35" s="145">
        <v>0</v>
      </c>
      <c r="AP35" s="145">
        <v>0</v>
      </c>
      <c r="AQ35" s="145">
        <v>0</v>
      </c>
      <c r="AR35" s="145">
        <v>0</v>
      </c>
      <c r="AS35" s="145">
        <v>0</v>
      </c>
      <c r="AT35" s="145">
        <v>0</v>
      </c>
    </row>
    <row r="36" spans="1:46" customFormat="1" x14ac:dyDescent="0.15">
      <c r="A36" s="181" t="s">
        <v>225</v>
      </c>
      <c r="B36" s="145">
        <v>2.197802166373624E-2</v>
      </c>
      <c r="C36" s="145">
        <v>0</v>
      </c>
      <c r="D36" s="145">
        <v>0</v>
      </c>
      <c r="E36" s="145">
        <v>0</v>
      </c>
      <c r="F36" s="145">
        <v>0</v>
      </c>
      <c r="G36" s="145">
        <v>0</v>
      </c>
      <c r="H36" s="145">
        <v>1.0989010587912065E-2</v>
      </c>
      <c r="I36" s="145">
        <v>0</v>
      </c>
      <c r="J36" s="145">
        <v>0</v>
      </c>
      <c r="K36" s="145">
        <v>0</v>
      </c>
      <c r="L36" s="145">
        <v>0</v>
      </c>
      <c r="M36" s="145">
        <v>0</v>
      </c>
      <c r="N36" s="145">
        <v>0</v>
      </c>
      <c r="O36" s="145">
        <v>0</v>
      </c>
      <c r="P36" s="145">
        <v>0</v>
      </c>
      <c r="Q36" s="145">
        <v>0</v>
      </c>
      <c r="R36" s="145">
        <v>0</v>
      </c>
      <c r="S36" s="145">
        <v>0</v>
      </c>
      <c r="T36" s="145">
        <v>0</v>
      </c>
      <c r="U36" s="145">
        <v>0</v>
      </c>
      <c r="V36" s="145">
        <v>0</v>
      </c>
      <c r="W36" s="145">
        <v>0</v>
      </c>
      <c r="X36" s="145">
        <v>0</v>
      </c>
      <c r="Y36" s="145">
        <v>0</v>
      </c>
      <c r="Z36" s="145">
        <v>0</v>
      </c>
      <c r="AA36" s="145">
        <v>0</v>
      </c>
      <c r="AB36" s="145">
        <v>0</v>
      </c>
      <c r="AC36" s="145">
        <v>0</v>
      </c>
      <c r="AD36" s="145">
        <v>0</v>
      </c>
      <c r="AE36" s="145">
        <v>0</v>
      </c>
      <c r="AF36" s="145">
        <v>0</v>
      </c>
      <c r="AG36" s="145">
        <v>0</v>
      </c>
      <c r="AH36" s="145">
        <v>0</v>
      </c>
      <c r="AI36" s="145">
        <v>6.9138272488977817E-2</v>
      </c>
      <c r="AJ36" s="145">
        <v>0</v>
      </c>
      <c r="AK36" s="145">
        <v>0</v>
      </c>
      <c r="AL36" s="145">
        <v>0</v>
      </c>
      <c r="AM36" s="145">
        <v>0</v>
      </c>
      <c r="AN36" s="145">
        <v>0</v>
      </c>
      <c r="AO36" s="145">
        <v>0</v>
      </c>
      <c r="AP36" s="145">
        <v>0</v>
      </c>
      <c r="AQ36" s="145">
        <v>0</v>
      </c>
      <c r="AR36" s="145">
        <v>0</v>
      </c>
      <c r="AS36" s="145">
        <v>0</v>
      </c>
      <c r="AT36" s="145">
        <v>0</v>
      </c>
    </row>
    <row r="37" spans="1:46" customFormat="1" x14ac:dyDescent="0.15">
      <c r="A37" s="181" t="s">
        <v>226</v>
      </c>
      <c r="B37" s="145">
        <v>2.197802166373624E-2</v>
      </c>
      <c r="C37" s="145">
        <v>0.20900000000000002</v>
      </c>
      <c r="D37" s="145">
        <v>0</v>
      </c>
      <c r="E37" s="145">
        <v>0</v>
      </c>
      <c r="F37" s="145">
        <v>0</v>
      </c>
      <c r="G37" s="145">
        <v>1.001001022522523E-3</v>
      </c>
      <c r="H37" s="145">
        <v>9.1908094917083058E-2</v>
      </c>
      <c r="I37" s="145">
        <v>0</v>
      </c>
      <c r="J37" s="145">
        <v>2.7217743156411258E-2</v>
      </c>
      <c r="K37" s="145">
        <v>0</v>
      </c>
      <c r="L37" s="145">
        <v>0</v>
      </c>
      <c r="M37" s="145">
        <v>0</v>
      </c>
      <c r="N37" s="145">
        <v>0</v>
      </c>
      <c r="O37" s="145">
        <v>0</v>
      </c>
      <c r="P37" s="145">
        <v>0</v>
      </c>
      <c r="Q37" s="145">
        <v>0</v>
      </c>
      <c r="R37" s="145">
        <v>0</v>
      </c>
      <c r="S37" s="145">
        <v>0</v>
      </c>
      <c r="T37" s="145">
        <v>0</v>
      </c>
      <c r="U37" s="145">
        <v>0</v>
      </c>
      <c r="V37" s="145">
        <v>1.0050250903517596E-3</v>
      </c>
      <c r="W37" s="145">
        <v>0</v>
      </c>
      <c r="X37" s="145">
        <v>0</v>
      </c>
      <c r="Y37" s="145">
        <v>0</v>
      </c>
      <c r="Z37" s="145">
        <v>0</v>
      </c>
      <c r="AA37" s="145">
        <v>0</v>
      </c>
      <c r="AB37" s="145">
        <v>0</v>
      </c>
      <c r="AC37" s="145">
        <v>0</v>
      </c>
      <c r="AD37" s="145">
        <v>0</v>
      </c>
      <c r="AE37" s="145">
        <v>0</v>
      </c>
      <c r="AF37" s="145">
        <v>0</v>
      </c>
      <c r="AG37" s="145">
        <v>0.115</v>
      </c>
      <c r="AH37" s="145">
        <v>0</v>
      </c>
      <c r="AI37" s="145">
        <v>6.9138272488977817E-2</v>
      </c>
      <c r="AJ37" s="145">
        <v>0</v>
      </c>
      <c r="AK37" s="145">
        <v>0</v>
      </c>
      <c r="AL37" s="145">
        <v>0</v>
      </c>
      <c r="AM37" s="145">
        <v>0</v>
      </c>
      <c r="AN37" s="145">
        <v>0</v>
      </c>
      <c r="AO37" s="145">
        <v>0</v>
      </c>
      <c r="AP37" s="145">
        <v>0</v>
      </c>
      <c r="AQ37" s="145">
        <v>0</v>
      </c>
      <c r="AR37" s="145">
        <v>0</v>
      </c>
      <c r="AS37" s="145">
        <v>0</v>
      </c>
      <c r="AT37" s="145">
        <v>0</v>
      </c>
    </row>
    <row r="38" spans="1:46" customFormat="1" x14ac:dyDescent="0.15">
      <c r="A38" s="181" t="s">
        <v>227</v>
      </c>
      <c r="B38" s="145">
        <v>4.395604332747248E-2</v>
      </c>
      <c r="C38" s="145">
        <v>6.3000000000000014E-2</v>
      </c>
      <c r="D38" s="145">
        <v>0</v>
      </c>
      <c r="E38" s="145">
        <v>0</v>
      </c>
      <c r="F38" s="145">
        <v>4.0080161270541106E-2</v>
      </c>
      <c r="G38" s="145">
        <v>0</v>
      </c>
      <c r="H38" s="145">
        <v>0.13986014548251777</v>
      </c>
      <c r="I38" s="145">
        <v>0.10654008650369201</v>
      </c>
      <c r="J38" s="145">
        <v>0.10584676710826632</v>
      </c>
      <c r="K38" s="145">
        <v>0</v>
      </c>
      <c r="L38" s="145">
        <v>0</v>
      </c>
      <c r="M38" s="145">
        <v>0</v>
      </c>
      <c r="N38" s="145">
        <v>0</v>
      </c>
      <c r="O38" s="145">
        <v>0</v>
      </c>
      <c r="P38" s="145">
        <v>0</v>
      </c>
      <c r="Q38" s="145">
        <v>0</v>
      </c>
      <c r="R38" s="145">
        <v>0</v>
      </c>
      <c r="S38" s="145">
        <v>0</v>
      </c>
      <c r="T38" s="145">
        <v>0</v>
      </c>
      <c r="U38" s="145">
        <v>0</v>
      </c>
      <c r="V38" s="145">
        <v>5.0251255717587942E-2</v>
      </c>
      <c r="W38" s="145">
        <v>0</v>
      </c>
      <c r="X38" s="145">
        <v>0</v>
      </c>
      <c r="Y38" s="145">
        <v>0</v>
      </c>
      <c r="Z38" s="145">
        <v>0</v>
      </c>
      <c r="AA38" s="145">
        <v>0</v>
      </c>
      <c r="AB38" s="145">
        <v>0</v>
      </c>
      <c r="AC38" s="145">
        <v>0</v>
      </c>
      <c r="AD38" s="145">
        <v>0</v>
      </c>
      <c r="AE38" s="145">
        <v>0</v>
      </c>
      <c r="AF38" s="145">
        <v>0</v>
      </c>
      <c r="AG38" s="145">
        <v>0.124</v>
      </c>
      <c r="AH38" s="145">
        <v>0</v>
      </c>
      <c r="AI38" s="145">
        <v>6.9138272488977817E-2</v>
      </c>
      <c r="AJ38" s="145">
        <v>0</v>
      </c>
      <c r="AK38" s="145">
        <v>0.51348651766393616</v>
      </c>
      <c r="AL38" s="145">
        <v>1.0010010400400417E-3</v>
      </c>
      <c r="AM38" s="145">
        <v>0.45700000000000002</v>
      </c>
      <c r="AN38" s="145">
        <v>0</v>
      </c>
      <c r="AO38" s="145">
        <v>0</v>
      </c>
      <c r="AP38" s="145">
        <v>0</v>
      </c>
      <c r="AQ38" s="145">
        <v>0</v>
      </c>
      <c r="AR38" s="145">
        <v>0</v>
      </c>
      <c r="AS38" s="145">
        <v>0</v>
      </c>
      <c r="AT38" s="145">
        <v>0</v>
      </c>
    </row>
    <row r="39" spans="1:46" x14ac:dyDescent="0.15">
      <c r="A39" s="181" t="s">
        <v>228</v>
      </c>
      <c r="B39" s="145">
        <v>3.7962037173726211E-2</v>
      </c>
      <c r="C39" s="145">
        <v>0.50000000000000011</v>
      </c>
      <c r="D39" s="145">
        <v>0</v>
      </c>
      <c r="E39" s="145">
        <v>4.4999997660000124E-2</v>
      </c>
      <c r="F39" s="145">
        <v>0.27454907570320569</v>
      </c>
      <c r="G39" s="145">
        <v>0.12012011870270266</v>
      </c>
      <c r="H39" s="145">
        <v>0.21878121170479481</v>
      </c>
      <c r="I39" s="145">
        <v>5.2742616539451476E-2</v>
      </c>
      <c r="J39" s="145">
        <v>0.25403224705983901</v>
      </c>
      <c r="K39" s="145">
        <v>0.20866935986834664</v>
      </c>
      <c r="L39" s="145">
        <v>0.17771084702894582</v>
      </c>
      <c r="M39" s="145">
        <v>0.12396694153719008</v>
      </c>
      <c r="N39" s="145">
        <v>0</v>
      </c>
      <c r="O39" s="145">
        <v>4.0040041441441491E-3</v>
      </c>
      <c r="P39" s="145">
        <v>0</v>
      </c>
      <c r="Q39" s="145">
        <v>0</v>
      </c>
      <c r="R39" s="145">
        <v>0</v>
      </c>
      <c r="S39" s="145">
        <v>0.105</v>
      </c>
      <c r="T39" s="145">
        <v>1.7999999999999999E-2</v>
      </c>
      <c r="U39" s="145">
        <v>0</v>
      </c>
      <c r="V39" s="145">
        <v>7.6381908506733681E-2</v>
      </c>
      <c r="W39" s="145">
        <v>0</v>
      </c>
      <c r="X39" s="145">
        <v>7.106599158477161E-3</v>
      </c>
      <c r="Y39" s="145">
        <v>0</v>
      </c>
      <c r="Z39" s="145">
        <v>0</v>
      </c>
      <c r="AA39" s="145">
        <v>0</v>
      </c>
      <c r="AB39" s="145">
        <v>0</v>
      </c>
      <c r="AC39" s="145">
        <v>6.5065062342342245E-2</v>
      </c>
      <c r="AD39" s="145">
        <v>4.3086171594188358E-2</v>
      </c>
      <c r="AE39" s="145">
        <v>0</v>
      </c>
      <c r="AF39" s="145">
        <v>0</v>
      </c>
      <c r="AG39" s="145">
        <v>0.13900000000000001</v>
      </c>
      <c r="AH39" s="145">
        <v>1E-3</v>
      </c>
      <c r="AI39" s="145">
        <v>0.19438878399799625</v>
      </c>
      <c r="AJ39" s="145">
        <v>0</v>
      </c>
      <c r="AK39" s="145">
        <v>0</v>
      </c>
      <c r="AL39" s="145">
        <v>3.003003120120125E-3</v>
      </c>
      <c r="AM39" s="145">
        <v>0</v>
      </c>
      <c r="AN39" s="145">
        <v>0</v>
      </c>
      <c r="AO39" s="145">
        <v>0</v>
      </c>
      <c r="AP39" s="145">
        <v>0</v>
      </c>
      <c r="AQ39" s="145">
        <v>0</v>
      </c>
      <c r="AR39" s="145">
        <v>0</v>
      </c>
      <c r="AS39" s="145">
        <v>0</v>
      </c>
      <c r="AT39" s="145">
        <v>0</v>
      </c>
    </row>
    <row r="40" spans="1:46" x14ac:dyDescent="0.15">
      <c r="A40" s="181" t="s">
        <v>229</v>
      </c>
      <c r="B40" s="145">
        <v>0</v>
      </c>
      <c r="C40" s="145">
        <v>0</v>
      </c>
      <c r="D40" s="145">
        <v>0</v>
      </c>
      <c r="E40" s="145">
        <v>7.9999995840000226E-2</v>
      </c>
      <c r="F40" s="145">
        <v>0.11222445555751524</v>
      </c>
      <c r="G40" s="145">
        <v>7.2072071621621603E-2</v>
      </c>
      <c r="H40" s="145">
        <v>6.1938063313686384E-2</v>
      </c>
      <c r="I40" s="145">
        <v>0.10654008650369201</v>
      </c>
      <c r="J40" s="145">
        <v>2.0161291549193514E-3</v>
      </c>
      <c r="K40" s="145">
        <v>1.9153225820766128E-2</v>
      </c>
      <c r="L40" s="145">
        <v>0.20783132420334338</v>
      </c>
      <c r="M40" s="145">
        <v>4.2355374025206644E-2</v>
      </c>
      <c r="N40" s="145">
        <v>0.05</v>
      </c>
      <c r="O40" s="145">
        <v>0.26726726662162159</v>
      </c>
      <c r="P40" s="145">
        <v>0</v>
      </c>
      <c r="Q40" s="145">
        <v>0</v>
      </c>
      <c r="R40" s="145">
        <v>3.5000000000000003E-2</v>
      </c>
      <c r="S40" s="145">
        <v>0.33600000000000002</v>
      </c>
      <c r="T40" s="145">
        <v>0.754</v>
      </c>
      <c r="U40" s="145">
        <v>0.53953950539539508</v>
      </c>
      <c r="V40" s="145">
        <v>0.2512562950879394</v>
      </c>
      <c r="W40" s="145">
        <v>0.16700000000000001</v>
      </c>
      <c r="X40" s="145">
        <v>0.56548221261025333</v>
      </c>
      <c r="Y40" s="145">
        <v>0.49950049788511486</v>
      </c>
      <c r="Z40" s="145">
        <v>0.31000000000000005</v>
      </c>
      <c r="AA40" s="145">
        <v>9.9900101918081971E-4</v>
      </c>
      <c r="AB40" s="145">
        <v>0.74925075799200869</v>
      </c>
      <c r="AC40" s="145">
        <v>0.14714715429729758</v>
      </c>
      <c r="AD40" s="145">
        <v>0.30961922945591153</v>
      </c>
      <c r="AE40" s="145">
        <v>0.65634367675288829</v>
      </c>
      <c r="AF40" s="145">
        <v>5.9059058421721711E-2</v>
      </c>
      <c r="AG40" s="145">
        <v>0.16200000000000001</v>
      </c>
      <c r="AH40" s="145">
        <v>0.14399999999999999</v>
      </c>
      <c r="AI40" s="145">
        <v>0.11122245000400821</v>
      </c>
      <c r="AJ40" s="145">
        <v>0</v>
      </c>
      <c r="AK40" s="145">
        <v>0.16683315273906046</v>
      </c>
      <c r="AL40" s="145">
        <v>1.7017018680680746E-2</v>
      </c>
      <c r="AM40" s="145">
        <v>0</v>
      </c>
      <c r="AN40" s="145">
        <v>0.05</v>
      </c>
      <c r="AO40" s="145">
        <v>0</v>
      </c>
      <c r="AP40" s="145">
        <v>0</v>
      </c>
      <c r="AQ40" s="145">
        <v>0</v>
      </c>
      <c r="AR40" s="145">
        <v>0</v>
      </c>
      <c r="AS40" s="145">
        <v>0</v>
      </c>
      <c r="AT40" s="145">
        <v>0</v>
      </c>
    </row>
    <row r="41" spans="1:46" x14ac:dyDescent="0.15">
      <c r="A41" s="181" t="s">
        <v>230</v>
      </c>
      <c r="B41" s="145">
        <v>0</v>
      </c>
      <c r="C41" s="145">
        <v>0.11000000000000001</v>
      </c>
      <c r="D41" s="145">
        <v>0</v>
      </c>
      <c r="E41" s="145">
        <v>0.28999998492000079</v>
      </c>
      <c r="F41" s="145">
        <v>0.14929860473276577</v>
      </c>
      <c r="G41" s="145">
        <v>9.6096102162162286E-2</v>
      </c>
      <c r="H41" s="145">
        <v>9.9900105344655622E-4</v>
      </c>
      <c r="I41" s="145">
        <v>0.10654008650369201</v>
      </c>
      <c r="J41" s="145">
        <v>2.1169354521653232E-2</v>
      </c>
      <c r="K41" s="145">
        <v>2.9233870421169365E-2</v>
      </c>
      <c r="L41" s="145">
        <v>3.0120483274397596E-3</v>
      </c>
      <c r="M41" s="145">
        <v>5.1652890640495842E-3</v>
      </c>
      <c r="N41" s="145">
        <v>0</v>
      </c>
      <c r="O41" s="145">
        <v>0.12412412146846838</v>
      </c>
      <c r="P41" s="145">
        <v>4.404404187837848E-2</v>
      </c>
      <c r="Q41" s="145">
        <v>0.1</v>
      </c>
      <c r="R41" s="145">
        <v>0</v>
      </c>
      <c r="S41" s="145">
        <v>0</v>
      </c>
      <c r="T41" s="145">
        <v>0</v>
      </c>
      <c r="U41" s="145">
        <v>0</v>
      </c>
      <c r="V41" s="145">
        <v>0.29849245516447248</v>
      </c>
      <c r="W41" s="145">
        <v>0.45800000000000002</v>
      </c>
      <c r="X41" s="145">
        <v>0.25989848979573632</v>
      </c>
      <c r="Y41" s="145">
        <v>0.33266733091348649</v>
      </c>
      <c r="Z41" s="145">
        <v>0.31000000000000005</v>
      </c>
      <c r="AA41" s="145">
        <v>1.3986014068531472E-2</v>
      </c>
      <c r="AB41" s="145">
        <v>0.16683315991288655</v>
      </c>
      <c r="AC41" s="145">
        <v>0.63363362281081048</v>
      </c>
      <c r="AD41" s="145">
        <v>0.24749499015731469</v>
      </c>
      <c r="AE41" s="145">
        <v>0</v>
      </c>
      <c r="AF41" s="145">
        <v>0.61661661066746742</v>
      </c>
      <c r="AG41" s="145">
        <v>3.5000000000000003E-2</v>
      </c>
      <c r="AH41" s="145">
        <v>0.39500000000000002</v>
      </c>
      <c r="AI41" s="145">
        <v>0</v>
      </c>
      <c r="AJ41" s="145">
        <v>0.4</v>
      </c>
      <c r="AK41" s="145">
        <v>0</v>
      </c>
      <c r="AL41" s="145">
        <v>0.17417416696696666</v>
      </c>
      <c r="AM41" s="145">
        <v>0</v>
      </c>
      <c r="AN41" s="145">
        <v>0.5</v>
      </c>
      <c r="AO41" s="145">
        <v>0.02</v>
      </c>
      <c r="AP41" s="145">
        <v>0</v>
      </c>
      <c r="AQ41" s="145">
        <v>0</v>
      </c>
      <c r="AR41" s="145">
        <v>0</v>
      </c>
      <c r="AS41" s="145">
        <v>0</v>
      </c>
      <c r="AT41" s="145">
        <v>0</v>
      </c>
    </row>
    <row r="42" spans="1:46" x14ac:dyDescent="0.15">
      <c r="A42" s="181" t="s">
        <v>231</v>
      </c>
      <c r="B42" s="145">
        <v>0.75324675702077948</v>
      </c>
      <c r="C42" s="145">
        <v>0</v>
      </c>
      <c r="D42" s="145">
        <v>0.1</v>
      </c>
      <c r="E42" s="145">
        <v>2.4999998700000071E-2</v>
      </c>
      <c r="F42" s="145">
        <v>1.9038076203507014E-2</v>
      </c>
      <c r="G42" s="145">
        <v>1.0010010225225229E-2</v>
      </c>
      <c r="H42" s="145">
        <v>5.3946052886113822E-2</v>
      </c>
      <c r="I42" s="145">
        <v>5.2742616539451476E-2</v>
      </c>
      <c r="J42" s="145">
        <v>4.7379028705604939E-2</v>
      </c>
      <c r="K42" s="145">
        <v>2.9233870421169365E-2</v>
      </c>
      <c r="L42" s="145">
        <v>0</v>
      </c>
      <c r="M42" s="145">
        <v>2.0661158756198369E-3</v>
      </c>
      <c r="N42" s="145">
        <v>0.48799999999999999</v>
      </c>
      <c r="O42" s="145">
        <v>0.21721720781981949</v>
      </c>
      <c r="P42" s="145">
        <v>0</v>
      </c>
      <c r="Q42" s="145">
        <v>0</v>
      </c>
      <c r="R42" s="145">
        <v>2.5000000000000001E-2</v>
      </c>
      <c r="S42" s="145">
        <v>0</v>
      </c>
      <c r="T42" s="145">
        <v>0</v>
      </c>
      <c r="U42" s="145">
        <v>0</v>
      </c>
      <c r="V42" s="145">
        <v>1.8090450746331685E-2</v>
      </c>
      <c r="W42" s="145">
        <v>0</v>
      </c>
      <c r="X42" s="145">
        <v>4.1624368128223406E-2</v>
      </c>
      <c r="Y42" s="145">
        <v>0</v>
      </c>
      <c r="Z42" s="145">
        <v>0.16700000000000004</v>
      </c>
      <c r="AA42" s="145">
        <v>0.10689310205234757</v>
      </c>
      <c r="AB42" s="145">
        <v>0</v>
      </c>
      <c r="AC42" s="145">
        <v>5.6056058218018102E-2</v>
      </c>
      <c r="AD42" s="145">
        <v>0.26853708393587211</v>
      </c>
      <c r="AE42" s="145">
        <v>0</v>
      </c>
      <c r="AF42" s="145">
        <v>4.3043044244644675E-2</v>
      </c>
      <c r="AG42" s="145">
        <v>0.104</v>
      </c>
      <c r="AH42" s="145">
        <v>0.40400000000000003</v>
      </c>
      <c r="AI42" s="145">
        <v>0.25050100901803635</v>
      </c>
      <c r="AJ42" s="145">
        <v>0.1</v>
      </c>
      <c r="AK42" s="145">
        <v>0.20779221514805221</v>
      </c>
      <c r="AL42" s="145">
        <v>0.18318318532732741</v>
      </c>
      <c r="AM42" s="145">
        <v>0</v>
      </c>
      <c r="AN42" s="145">
        <v>0.1</v>
      </c>
      <c r="AO42" s="145">
        <v>0</v>
      </c>
      <c r="AP42" s="145">
        <v>0.05</v>
      </c>
      <c r="AQ42" s="145">
        <v>0</v>
      </c>
      <c r="AR42" s="145">
        <v>0</v>
      </c>
      <c r="AS42" s="145">
        <v>0</v>
      </c>
      <c r="AT42" s="145">
        <v>0</v>
      </c>
    </row>
    <row r="43" spans="1:46" x14ac:dyDescent="0.15">
      <c r="A43" s="181" t="s">
        <v>232</v>
      </c>
      <c r="B43" s="145">
        <v>0</v>
      </c>
      <c r="C43" s="145">
        <v>0</v>
      </c>
      <c r="D43" s="145">
        <v>0</v>
      </c>
      <c r="E43" s="145">
        <v>0</v>
      </c>
      <c r="F43" s="145">
        <v>0</v>
      </c>
      <c r="G43" s="145">
        <v>0</v>
      </c>
      <c r="H43" s="145">
        <v>0</v>
      </c>
      <c r="I43" s="145">
        <v>0</v>
      </c>
      <c r="J43" s="145">
        <v>1.209677446951612E-2</v>
      </c>
      <c r="K43" s="145">
        <v>3.8306451541532255E-2</v>
      </c>
      <c r="L43" s="145">
        <v>3.3132530191837352E-2</v>
      </c>
      <c r="M43" s="145">
        <v>2.0661158756198369E-3</v>
      </c>
      <c r="N43" s="145">
        <v>0.34200000000000003</v>
      </c>
      <c r="O43" s="145">
        <v>0.15715717365765827</v>
      </c>
      <c r="P43" s="145">
        <v>0.74874876563243165</v>
      </c>
      <c r="Q43" s="145">
        <v>0.4</v>
      </c>
      <c r="R43" s="145">
        <v>0.33700000000000002</v>
      </c>
      <c r="S43" s="145">
        <v>0</v>
      </c>
      <c r="T43" s="145">
        <v>0</v>
      </c>
      <c r="U43" s="145">
        <v>0</v>
      </c>
      <c r="V43" s="145">
        <v>1.0050250903517596E-3</v>
      </c>
      <c r="W43" s="145">
        <v>0.2</v>
      </c>
      <c r="X43" s="145">
        <v>0</v>
      </c>
      <c r="Y43" s="145">
        <v>0</v>
      </c>
      <c r="Z43" s="145">
        <v>7.1000000000000008E-2</v>
      </c>
      <c r="AA43" s="145">
        <v>0.10789210207152837</v>
      </c>
      <c r="AB43" s="145">
        <v>0</v>
      </c>
      <c r="AC43" s="145">
        <v>2.6026026336936951E-2</v>
      </c>
      <c r="AD43" s="145">
        <v>0</v>
      </c>
      <c r="AE43" s="145">
        <v>0</v>
      </c>
      <c r="AF43" s="145">
        <v>7.7077077133433453E-2</v>
      </c>
      <c r="AG43" s="145">
        <v>1.2999999999999999E-2</v>
      </c>
      <c r="AH43" s="145">
        <v>5.6000000000000001E-2</v>
      </c>
      <c r="AI43" s="145">
        <v>0.16733466702404803</v>
      </c>
      <c r="AJ43" s="145">
        <v>0.1</v>
      </c>
      <c r="AK43" s="145">
        <v>0</v>
      </c>
      <c r="AL43" s="145">
        <v>0.62162162486486494</v>
      </c>
      <c r="AM43" s="145">
        <v>0</v>
      </c>
      <c r="AN43" s="145">
        <v>0.1</v>
      </c>
      <c r="AO43" s="145">
        <v>0.15</v>
      </c>
      <c r="AP43" s="145">
        <v>0.75</v>
      </c>
      <c r="AQ43" s="145">
        <v>0</v>
      </c>
      <c r="AR43" s="145">
        <v>0</v>
      </c>
      <c r="AS43" s="145">
        <v>0</v>
      </c>
      <c r="AT43" s="145">
        <v>0</v>
      </c>
    </row>
    <row r="44" spans="1:46" x14ac:dyDescent="0.15">
      <c r="A44" s="181" t="s">
        <v>233</v>
      </c>
      <c r="B44" s="145">
        <v>0</v>
      </c>
      <c r="C44" s="145">
        <v>0</v>
      </c>
      <c r="D44" s="145">
        <v>0.9</v>
      </c>
      <c r="E44" s="145">
        <v>0</v>
      </c>
      <c r="F44" s="145">
        <v>0</v>
      </c>
      <c r="G44" s="145">
        <v>3.0030030675675689E-3</v>
      </c>
      <c r="H44" s="145">
        <v>0</v>
      </c>
      <c r="I44" s="145">
        <v>0</v>
      </c>
      <c r="J44" s="145">
        <v>0</v>
      </c>
      <c r="K44" s="145">
        <v>0</v>
      </c>
      <c r="L44" s="145">
        <v>0</v>
      </c>
      <c r="M44" s="145">
        <v>0</v>
      </c>
      <c r="N44" s="145">
        <v>0</v>
      </c>
      <c r="O44" s="145">
        <v>0.21221220763963947</v>
      </c>
      <c r="P44" s="145">
        <v>0.15615614483243295</v>
      </c>
      <c r="Q44" s="145">
        <v>0.5</v>
      </c>
      <c r="R44" s="145">
        <v>0.128</v>
      </c>
      <c r="S44" s="145">
        <v>0</v>
      </c>
      <c r="T44" s="145">
        <v>0</v>
      </c>
      <c r="U44" s="145">
        <v>0</v>
      </c>
      <c r="V44" s="145">
        <v>3.0150752810552779E-3</v>
      </c>
      <c r="W44" s="145">
        <v>0</v>
      </c>
      <c r="X44" s="145">
        <v>0</v>
      </c>
      <c r="Y44" s="145">
        <v>0</v>
      </c>
      <c r="Z44" s="145">
        <v>7.1000000000000008E-2</v>
      </c>
      <c r="AA44" s="145">
        <v>0.48651347534105877</v>
      </c>
      <c r="AB44" s="145">
        <v>0</v>
      </c>
      <c r="AC44" s="145">
        <v>5.4054057345946073E-2</v>
      </c>
      <c r="AD44" s="145">
        <v>0</v>
      </c>
      <c r="AE44" s="145">
        <v>0</v>
      </c>
      <c r="AF44" s="145">
        <v>0.17117117596126136</v>
      </c>
      <c r="AG44" s="145">
        <v>0</v>
      </c>
      <c r="AH44" s="145">
        <v>0</v>
      </c>
      <c r="AI44" s="145">
        <v>0</v>
      </c>
      <c r="AJ44" s="145">
        <v>0</v>
      </c>
      <c r="AK44" s="145">
        <v>0</v>
      </c>
      <c r="AL44" s="145">
        <v>0</v>
      </c>
      <c r="AM44" s="145">
        <v>0</v>
      </c>
      <c r="AN44" s="145">
        <v>0</v>
      </c>
      <c r="AO44" s="145">
        <v>0.03</v>
      </c>
      <c r="AP44" s="145">
        <v>0.1</v>
      </c>
      <c r="AQ44" s="145">
        <v>0.9</v>
      </c>
      <c r="AR44" s="145">
        <v>0</v>
      </c>
      <c r="AS44" s="145">
        <v>0</v>
      </c>
      <c r="AT44" s="145">
        <v>0</v>
      </c>
    </row>
    <row r="45" spans="1:46" x14ac:dyDescent="0.15">
      <c r="A45" s="181" t="s">
        <v>234</v>
      </c>
      <c r="B45" s="145">
        <v>0</v>
      </c>
      <c r="C45" s="145">
        <v>0</v>
      </c>
      <c r="D45" s="145">
        <v>0</v>
      </c>
      <c r="E45" s="145">
        <v>0</v>
      </c>
      <c r="F45" s="145">
        <v>5.0100201588176383E-3</v>
      </c>
      <c r="G45" s="145">
        <v>8.4084081891891843E-2</v>
      </c>
      <c r="H45" s="145">
        <v>0</v>
      </c>
      <c r="I45" s="145">
        <v>0</v>
      </c>
      <c r="J45" s="145">
        <v>0</v>
      </c>
      <c r="K45" s="145">
        <v>0</v>
      </c>
      <c r="L45" s="145">
        <v>0</v>
      </c>
      <c r="M45" s="145">
        <v>5.1652890640495842E-3</v>
      </c>
      <c r="N45" s="145">
        <v>0</v>
      </c>
      <c r="O45" s="145">
        <v>7.0070072522522607E-3</v>
      </c>
      <c r="P45" s="145">
        <v>3.103102857567579E-2</v>
      </c>
      <c r="Q45" s="145">
        <v>0</v>
      </c>
      <c r="R45" s="145">
        <v>0.47499999999999998</v>
      </c>
      <c r="S45" s="145">
        <v>0</v>
      </c>
      <c r="T45" s="145">
        <v>4.0000000000000001E-3</v>
      </c>
      <c r="U45" s="145">
        <v>0</v>
      </c>
      <c r="V45" s="145">
        <v>0</v>
      </c>
      <c r="W45" s="145">
        <v>0.17499999999999999</v>
      </c>
      <c r="X45" s="145">
        <v>0</v>
      </c>
      <c r="Y45" s="145">
        <v>0</v>
      </c>
      <c r="Z45" s="145">
        <v>7.1000000000000008E-2</v>
      </c>
      <c r="AA45" s="145">
        <v>0.28371630544735305</v>
      </c>
      <c r="AB45" s="145">
        <v>0</v>
      </c>
      <c r="AC45" s="145">
        <v>7.0070072522522616E-3</v>
      </c>
      <c r="AD45" s="145">
        <v>3.5070141297595232E-2</v>
      </c>
      <c r="AE45" s="145">
        <v>0</v>
      </c>
      <c r="AF45" s="145">
        <v>6.0060061039039067E-3</v>
      </c>
      <c r="AG45" s="145">
        <v>0</v>
      </c>
      <c r="AH45" s="145">
        <v>0</v>
      </c>
      <c r="AI45" s="145">
        <v>0</v>
      </c>
      <c r="AJ45" s="145">
        <v>0</v>
      </c>
      <c r="AK45" s="145">
        <v>0</v>
      </c>
      <c r="AL45" s="145">
        <v>0</v>
      </c>
      <c r="AM45" s="145">
        <v>0</v>
      </c>
      <c r="AN45" s="145">
        <v>0.25</v>
      </c>
      <c r="AO45" s="145">
        <v>0.8</v>
      </c>
      <c r="AP45" s="145">
        <v>0.1</v>
      </c>
      <c r="AQ45" s="145">
        <v>0.1</v>
      </c>
      <c r="AR45" s="145">
        <v>0</v>
      </c>
      <c r="AS45" s="145">
        <v>0</v>
      </c>
      <c r="AT45" s="145">
        <v>0</v>
      </c>
    </row>
    <row r="46" spans="1:46" x14ac:dyDescent="0.15">
      <c r="A46" s="181" t="s">
        <v>235</v>
      </c>
      <c r="B46" s="145">
        <v>0</v>
      </c>
      <c r="C46" s="145">
        <v>0</v>
      </c>
      <c r="D46" s="145">
        <v>0</v>
      </c>
      <c r="E46" s="145">
        <v>0</v>
      </c>
      <c r="F46" s="145">
        <v>0</v>
      </c>
      <c r="G46" s="145">
        <v>0</v>
      </c>
      <c r="H46" s="145">
        <v>0</v>
      </c>
      <c r="I46" s="145">
        <v>0</v>
      </c>
      <c r="J46" s="145">
        <v>0</v>
      </c>
      <c r="K46" s="145">
        <v>0</v>
      </c>
      <c r="L46" s="145">
        <v>0</v>
      </c>
      <c r="M46" s="145">
        <v>0</v>
      </c>
      <c r="N46" s="145">
        <v>0</v>
      </c>
      <c r="O46" s="145">
        <v>0</v>
      </c>
      <c r="P46" s="145">
        <v>0</v>
      </c>
      <c r="Q46" s="145">
        <v>0</v>
      </c>
      <c r="R46" s="145">
        <v>0</v>
      </c>
      <c r="S46" s="145">
        <v>0</v>
      </c>
      <c r="T46" s="145">
        <v>0</v>
      </c>
      <c r="U46" s="145">
        <v>0</v>
      </c>
      <c r="V46" s="145">
        <v>0</v>
      </c>
      <c r="W46" s="145">
        <v>0</v>
      </c>
      <c r="X46" s="145">
        <v>0</v>
      </c>
      <c r="Y46" s="145">
        <v>0</v>
      </c>
      <c r="Z46" s="145">
        <v>0</v>
      </c>
      <c r="AA46" s="145">
        <v>0</v>
      </c>
      <c r="AB46" s="145">
        <v>0</v>
      </c>
      <c r="AC46" s="145">
        <v>0</v>
      </c>
      <c r="AD46" s="145">
        <v>0</v>
      </c>
      <c r="AE46" s="145">
        <v>0</v>
      </c>
      <c r="AF46" s="145">
        <v>0</v>
      </c>
      <c r="AG46" s="145">
        <v>0</v>
      </c>
      <c r="AH46" s="145">
        <v>0</v>
      </c>
      <c r="AI46" s="145">
        <v>0</v>
      </c>
      <c r="AJ46" s="145">
        <v>0</v>
      </c>
      <c r="AK46" s="145">
        <v>0</v>
      </c>
      <c r="AL46" s="145">
        <v>0</v>
      </c>
      <c r="AM46" s="145">
        <v>0</v>
      </c>
      <c r="AN46" s="145">
        <v>0</v>
      </c>
      <c r="AO46" s="145">
        <v>0</v>
      </c>
      <c r="AP46" s="145">
        <v>0</v>
      </c>
      <c r="AQ46" s="145">
        <v>0</v>
      </c>
      <c r="AR46" s="145">
        <v>0</v>
      </c>
      <c r="AS46" s="145">
        <v>0</v>
      </c>
      <c r="AT46" s="145">
        <v>0</v>
      </c>
    </row>
    <row r="47" spans="1:46" x14ac:dyDescent="0.15">
      <c r="A47" s="181" t="s">
        <v>238</v>
      </c>
      <c r="B47" s="145">
        <v>0</v>
      </c>
      <c r="C47" s="145">
        <v>0</v>
      </c>
      <c r="D47" s="145">
        <v>0</v>
      </c>
      <c r="E47" s="145">
        <v>0.28300003728399808</v>
      </c>
      <c r="F47" s="145">
        <v>0</v>
      </c>
      <c r="G47" s="145">
        <v>0</v>
      </c>
      <c r="H47" s="145">
        <v>0</v>
      </c>
      <c r="I47" s="145">
        <v>0</v>
      </c>
      <c r="J47" s="145">
        <v>0</v>
      </c>
      <c r="K47" s="145">
        <v>0</v>
      </c>
      <c r="L47" s="145">
        <v>0</v>
      </c>
      <c r="M47" s="145">
        <v>0</v>
      </c>
      <c r="N47" s="145">
        <v>0</v>
      </c>
      <c r="O47" s="145">
        <v>1.0010010360360373E-3</v>
      </c>
      <c r="P47" s="145">
        <v>0</v>
      </c>
      <c r="Q47" s="145">
        <v>0</v>
      </c>
      <c r="R47" s="145">
        <v>0</v>
      </c>
      <c r="S47" s="145">
        <v>0</v>
      </c>
      <c r="T47" s="145">
        <v>0</v>
      </c>
      <c r="U47" s="145">
        <v>0</v>
      </c>
      <c r="V47" s="145">
        <v>0</v>
      </c>
      <c r="W47" s="145">
        <v>0</v>
      </c>
      <c r="X47" s="145">
        <v>0</v>
      </c>
      <c r="Y47" s="145">
        <v>0</v>
      </c>
      <c r="Z47" s="145">
        <v>0</v>
      </c>
      <c r="AA47" s="145">
        <v>0</v>
      </c>
      <c r="AB47" s="145">
        <v>0</v>
      </c>
      <c r="AC47" s="145">
        <v>0</v>
      </c>
      <c r="AD47" s="145">
        <v>0</v>
      </c>
      <c r="AE47" s="145">
        <v>0</v>
      </c>
      <c r="AF47" s="145">
        <v>2.0020020346346356E-3</v>
      </c>
      <c r="AG47" s="145">
        <v>0</v>
      </c>
      <c r="AH47" s="145">
        <v>0</v>
      </c>
      <c r="AI47" s="145">
        <v>0</v>
      </c>
      <c r="AJ47" s="145">
        <v>0</v>
      </c>
      <c r="AK47" s="145">
        <v>0</v>
      </c>
      <c r="AL47" s="145">
        <v>0</v>
      </c>
      <c r="AM47" s="145">
        <v>0</v>
      </c>
      <c r="AN47" s="145">
        <v>0</v>
      </c>
      <c r="AO47" s="145">
        <v>0</v>
      </c>
      <c r="AP47" s="145">
        <v>0</v>
      </c>
      <c r="AQ47" s="145">
        <v>0</v>
      </c>
      <c r="AR47" s="145">
        <v>0</v>
      </c>
      <c r="AS47" s="145">
        <v>0</v>
      </c>
      <c r="AT47" s="145">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tabSelected="1" workbookViewId="0">
      <pane xSplit="2" ySplit="1" topLeftCell="C36" activePane="bottomRight" state="frozen"/>
      <selection pane="topRight" activeCell="C1" sqref="C1"/>
      <selection pane="bottomLeft" activeCell="A2" sqref="A2"/>
      <selection pane="bottomRight" activeCell="G52" sqref="G52"/>
    </sheetView>
  </sheetViews>
  <sheetFormatPr baseColWidth="10" defaultColWidth="8.83203125" defaultRowHeight="13" x14ac:dyDescent="0.15"/>
  <cols>
    <col min="1" max="1" width="3.33203125" customWidth="1"/>
    <col min="2" max="2" width="27.5" customWidth="1"/>
    <col min="3" max="4" width="16.5" style="114" customWidth="1"/>
    <col min="5" max="6" width="16.5" style="113" customWidth="1"/>
    <col min="7" max="8" width="8.83203125" style="114"/>
  </cols>
  <sheetData>
    <row r="1" spans="1:8" ht="70" x14ac:dyDescent="0.15">
      <c r="A1" s="5" t="s">
        <v>20</v>
      </c>
      <c r="B1" s="1" t="s">
        <v>0</v>
      </c>
      <c r="C1" s="184" t="s">
        <v>234</v>
      </c>
      <c r="D1" s="184" t="s">
        <v>235</v>
      </c>
      <c r="E1" s="184" t="s">
        <v>239</v>
      </c>
      <c r="F1" s="184" t="s">
        <v>240</v>
      </c>
      <c r="G1"/>
      <c r="H1"/>
    </row>
    <row r="2" spans="1:8" x14ac:dyDescent="0.15">
      <c r="A2">
        <v>1</v>
      </c>
      <c r="B2" s="183" t="s">
        <v>191</v>
      </c>
      <c r="C2" s="114">
        <v>1</v>
      </c>
      <c r="D2" s="114">
        <v>0</v>
      </c>
      <c r="E2" s="113">
        <v>0</v>
      </c>
      <c r="F2" s="113">
        <v>1</v>
      </c>
      <c r="G2"/>
      <c r="H2"/>
    </row>
    <row r="3" spans="1:8" x14ac:dyDescent="0.15">
      <c r="A3">
        <v>2</v>
      </c>
      <c r="B3" s="183" t="s">
        <v>192</v>
      </c>
      <c r="C3" s="114">
        <v>1</v>
      </c>
      <c r="D3" s="114">
        <v>0</v>
      </c>
      <c r="E3" s="113">
        <v>0</v>
      </c>
      <c r="F3" s="113">
        <v>1</v>
      </c>
      <c r="G3"/>
      <c r="H3"/>
    </row>
    <row r="4" spans="1:8" x14ac:dyDescent="0.15">
      <c r="A4">
        <v>3</v>
      </c>
      <c r="B4" s="183" t="s">
        <v>193</v>
      </c>
      <c r="C4" s="114">
        <v>1</v>
      </c>
      <c r="D4" s="114">
        <v>0</v>
      </c>
      <c r="E4" s="113">
        <v>0</v>
      </c>
      <c r="F4" s="113">
        <v>1</v>
      </c>
      <c r="G4"/>
      <c r="H4"/>
    </row>
    <row r="5" spans="1:8" x14ac:dyDescent="0.15">
      <c r="A5">
        <v>4</v>
      </c>
      <c r="B5" s="183" t="s">
        <v>194</v>
      </c>
      <c r="C5" s="114">
        <v>1</v>
      </c>
      <c r="D5" s="114">
        <v>0</v>
      </c>
      <c r="E5" s="113">
        <v>0</v>
      </c>
      <c r="F5" s="113">
        <v>1</v>
      </c>
      <c r="G5"/>
      <c r="H5"/>
    </row>
    <row r="6" spans="1:8" x14ac:dyDescent="0.15">
      <c r="A6">
        <v>5</v>
      </c>
      <c r="B6" s="183" t="s">
        <v>195</v>
      </c>
      <c r="C6" s="114">
        <v>1</v>
      </c>
      <c r="D6" s="114">
        <v>0</v>
      </c>
      <c r="E6" s="113">
        <v>0</v>
      </c>
      <c r="F6" s="113">
        <v>1</v>
      </c>
      <c r="G6"/>
      <c r="H6"/>
    </row>
    <row r="7" spans="1:8" x14ac:dyDescent="0.15">
      <c r="A7">
        <v>6</v>
      </c>
      <c r="B7" s="183" t="s">
        <v>196</v>
      </c>
      <c r="C7" s="114">
        <v>1</v>
      </c>
      <c r="D7" s="114">
        <v>0</v>
      </c>
      <c r="E7" s="113">
        <v>0</v>
      </c>
      <c r="F7" s="113">
        <v>1</v>
      </c>
      <c r="G7"/>
      <c r="H7"/>
    </row>
    <row r="8" spans="1:8" x14ac:dyDescent="0.15">
      <c r="A8">
        <v>7</v>
      </c>
      <c r="B8" s="183" t="s">
        <v>197</v>
      </c>
      <c r="C8" s="114">
        <v>1</v>
      </c>
      <c r="D8" s="114">
        <v>0</v>
      </c>
      <c r="E8" s="113">
        <v>0</v>
      </c>
      <c r="F8" s="113">
        <v>1</v>
      </c>
      <c r="G8"/>
      <c r="H8"/>
    </row>
    <row r="9" spans="1:8" x14ac:dyDescent="0.15">
      <c r="A9">
        <v>8</v>
      </c>
      <c r="B9" s="183" t="s">
        <v>198</v>
      </c>
      <c r="C9" s="114">
        <v>1</v>
      </c>
      <c r="D9" s="114">
        <v>0</v>
      </c>
      <c r="E9" s="113">
        <v>0</v>
      </c>
      <c r="F9" s="113">
        <v>1</v>
      </c>
      <c r="G9"/>
      <c r="H9"/>
    </row>
    <row r="10" spans="1:8" x14ac:dyDescent="0.15">
      <c r="A10">
        <v>9</v>
      </c>
      <c r="B10" s="183" t="s">
        <v>199</v>
      </c>
      <c r="C10" s="114">
        <v>1</v>
      </c>
      <c r="D10" s="114">
        <v>0</v>
      </c>
      <c r="E10" s="113">
        <v>0</v>
      </c>
      <c r="F10" s="113">
        <v>1</v>
      </c>
      <c r="G10"/>
      <c r="H10"/>
    </row>
    <row r="11" spans="1:8" x14ac:dyDescent="0.15">
      <c r="A11">
        <v>10</v>
      </c>
      <c r="B11" s="183" t="s">
        <v>200</v>
      </c>
      <c r="C11" s="114">
        <v>1</v>
      </c>
      <c r="D11" s="114">
        <v>0</v>
      </c>
      <c r="E11" s="113">
        <v>0</v>
      </c>
      <c r="F11" s="113">
        <v>1</v>
      </c>
      <c r="G11"/>
      <c r="H11"/>
    </row>
    <row r="12" spans="1:8" x14ac:dyDescent="0.15">
      <c r="A12">
        <v>11</v>
      </c>
      <c r="B12" s="183" t="s">
        <v>201</v>
      </c>
      <c r="C12" s="114">
        <v>1</v>
      </c>
      <c r="D12" s="114">
        <v>0</v>
      </c>
      <c r="E12" s="113">
        <v>0</v>
      </c>
      <c r="F12" s="113">
        <v>1</v>
      </c>
      <c r="G12"/>
      <c r="H12"/>
    </row>
    <row r="13" spans="1:8" x14ac:dyDescent="0.15">
      <c r="A13">
        <v>12</v>
      </c>
      <c r="B13" s="183" t="s">
        <v>202</v>
      </c>
      <c r="C13" s="114">
        <v>1</v>
      </c>
      <c r="D13" s="114">
        <v>0</v>
      </c>
      <c r="E13" s="113">
        <v>0</v>
      </c>
      <c r="F13" s="113">
        <v>1</v>
      </c>
      <c r="G13"/>
      <c r="H13"/>
    </row>
    <row r="14" spans="1:8" x14ac:dyDescent="0.15">
      <c r="A14">
        <v>13</v>
      </c>
      <c r="B14" s="183" t="s">
        <v>203</v>
      </c>
      <c r="C14" s="114">
        <v>1</v>
      </c>
      <c r="D14" s="114">
        <v>0</v>
      </c>
      <c r="E14" s="113">
        <v>0</v>
      </c>
      <c r="F14" s="113">
        <v>1</v>
      </c>
      <c r="G14"/>
      <c r="H14"/>
    </row>
    <row r="15" spans="1:8" x14ac:dyDescent="0.15">
      <c r="A15">
        <v>14</v>
      </c>
      <c r="B15" s="183" t="s">
        <v>204</v>
      </c>
      <c r="C15" s="114">
        <v>1</v>
      </c>
      <c r="D15" s="114">
        <v>0</v>
      </c>
      <c r="E15" s="113">
        <v>0</v>
      </c>
      <c r="F15" s="113">
        <v>1</v>
      </c>
      <c r="G15"/>
      <c r="H15"/>
    </row>
    <row r="16" spans="1:8" x14ac:dyDescent="0.15">
      <c r="A16">
        <v>15</v>
      </c>
      <c r="B16" s="183" t="s">
        <v>205</v>
      </c>
      <c r="C16" s="114">
        <v>1</v>
      </c>
      <c r="D16" s="114">
        <v>0</v>
      </c>
      <c r="E16" s="113">
        <v>0</v>
      </c>
      <c r="F16" s="113">
        <v>1</v>
      </c>
      <c r="G16"/>
      <c r="H16"/>
    </row>
    <row r="17" spans="1:8" ht="15" customHeight="1" x14ac:dyDescent="0.15">
      <c r="A17">
        <v>16</v>
      </c>
      <c r="B17" s="183" t="s">
        <v>206</v>
      </c>
      <c r="C17" s="114">
        <v>1</v>
      </c>
      <c r="D17" s="114">
        <v>0</v>
      </c>
      <c r="E17" s="113">
        <v>0</v>
      </c>
      <c r="F17" s="113">
        <v>1</v>
      </c>
      <c r="G17"/>
      <c r="H17"/>
    </row>
    <row r="18" spans="1:8" ht="15" customHeight="1" x14ac:dyDescent="0.15">
      <c r="A18">
        <v>17</v>
      </c>
      <c r="B18" s="183" t="s">
        <v>207</v>
      </c>
      <c r="C18" s="114">
        <v>1</v>
      </c>
      <c r="D18" s="114">
        <v>0</v>
      </c>
      <c r="E18" s="113">
        <v>0</v>
      </c>
      <c r="F18" s="113">
        <v>1</v>
      </c>
      <c r="G18"/>
      <c r="H18"/>
    </row>
    <row r="19" spans="1:8" ht="15" customHeight="1" x14ac:dyDescent="0.15">
      <c r="A19">
        <v>18</v>
      </c>
      <c r="B19" s="183" t="s">
        <v>208</v>
      </c>
      <c r="C19" s="114">
        <v>1</v>
      </c>
      <c r="D19" s="114">
        <v>0</v>
      </c>
      <c r="E19" s="113">
        <v>0</v>
      </c>
      <c r="F19" s="113">
        <v>1</v>
      </c>
      <c r="G19"/>
      <c r="H19"/>
    </row>
    <row r="20" spans="1:8" ht="15" customHeight="1" x14ac:dyDescent="0.15">
      <c r="A20">
        <v>19</v>
      </c>
      <c r="B20" s="183" t="s">
        <v>209</v>
      </c>
      <c r="C20" s="114">
        <v>1</v>
      </c>
      <c r="D20" s="114">
        <v>0</v>
      </c>
      <c r="E20" s="113">
        <v>0</v>
      </c>
      <c r="F20" s="113">
        <v>1</v>
      </c>
      <c r="G20"/>
      <c r="H20"/>
    </row>
    <row r="21" spans="1:8" ht="15" customHeight="1" x14ac:dyDescent="0.15">
      <c r="A21">
        <v>20</v>
      </c>
      <c r="B21" s="183" t="s">
        <v>210</v>
      </c>
      <c r="C21" s="114">
        <v>1</v>
      </c>
      <c r="D21" s="114">
        <v>0</v>
      </c>
      <c r="E21" s="113">
        <v>0</v>
      </c>
      <c r="F21" s="113">
        <v>1</v>
      </c>
      <c r="G21"/>
      <c r="H21"/>
    </row>
    <row r="22" spans="1:8" ht="15" customHeight="1" x14ac:dyDescent="0.15">
      <c r="A22">
        <v>21</v>
      </c>
      <c r="B22" s="183" t="s">
        <v>211</v>
      </c>
      <c r="C22" s="114">
        <v>1</v>
      </c>
      <c r="D22" s="114">
        <v>0</v>
      </c>
      <c r="E22" s="113">
        <v>0</v>
      </c>
      <c r="F22" s="113">
        <v>1</v>
      </c>
      <c r="G22"/>
      <c r="H22"/>
    </row>
    <row r="23" spans="1:8" ht="15" customHeight="1" x14ac:dyDescent="0.15">
      <c r="A23">
        <v>22</v>
      </c>
      <c r="B23" s="183" t="s">
        <v>212</v>
      </c>
      <c r="C23" s="114">
        <v>1</v>
      </c>
      <c r="D23" s="114">
        <v>0</v>
      </c>
      <c r="E23" s="113">
        <v>0</v>
      </c>
      <c r="F23" s="113">
        <v>1</v>
      </c>
      <c r="G23"/>
      <c r="H23"/>
    </row>
    <row r="24" spans="1:8" ht="15" customHeight="1" x14ac:dyDescent="0.15">
      <c r="A24">
        <v>23</v>
      </c>
      <c r="B24" s="183" t="s">
        <v>213</v>
      </c>
      <c r="C24" s="114">
        <v>1</v>
      </c>
      <c r="D24" s="114">
        <v>0</v>
      </c>
      <c r="E24" s="113">
        <v>0</v>
      </c>
      <c r="F24" s="113">
        <v>1</v>
      </c>
      <c r="G24"/>
      <c r="H24"/>
    </row>
    <row r="25" spans="1:8" ht="15" customHeight="1" x14ac:dyDescent="0.15">
      <c r="A25">
        <v>24</v>
      </c>
      <c r="B25" s="183" t="s">
        <v>214</v>
      </c>
      <c r="C25" s="114">
        <v>1</v>
      </c>
      <c r="D25" s="114">
        <v>0</v>
      </c>
      <c r="E25" s="113">
        <v>0</v>
      </c>
      <c r="F25" s="113">
        <v>1</v>
      </c>
      <c r="G25"/>
      <c r="H25"/>
    </row>
    <row r="26" spans="1:8" ht="15" customHeight="1" x14ac:dyDescent="0.15">
      <c r="A26">
        <v>25</v>
      </c>
      <c r="B26" s="183" t="s">
        <v>215</v>
      </c>
      <c r="C26" s="114">
        <v>1</v>
      </c>
      <c r="D26" s="114">
        <v>0</v>
      </c>
      <c r="E26" s="113">
        <v>0</v>
      </c>
      <c r="F26" s="113">
        <v>1</v>
      </c>
      <c r="G26"/>
      <c r="H26"/>
    </row>
    <row r="27" spans="1:8" ht="15" customHeight="1" x14ac:dyDescent="0.15">
      <c r="A27">
        <v>26</v>
      </c>
      <c r="B27" s="183" t="s">
        <v>216</v>
      </c>
      <c r="C27" s="114">
        <v>1</v>
      </c>
      <c r="D27" s="114">
        <v>0</v>
      </c>
      <c r="E27" s="113">
        <v>0</v>
      </c>
      <c r="F27" s="113">
        <v>1</v>
      </c>
      <c r="G27"/>
      <c r="H27"/>
    </row>
    <row r="28" spans="1:8" ht="15" customHeight="1" x14ac:dyDescent="0.15">
      <c r="A28">
        <v>27</v>
      </c>
      <c r="B28" s="183" t="s">
        <v>217</v>
      </c>
      <c r="C28" s="114">
        <v>1</v>
      </c>
      <c r="D28" s="114">
        <v>0</v>
      </c>
      <c r="E28" s="113">
        <v>0</v>
      </c>
      <c r="F28" s="113">
        <v>1</v>
      </c>
      <c r="G28"/>
      <c r="H28"/>
    </row>
    <row r="29" spans="1:8" ht="15" customHeight="1" x14ac:dyDescent="0.15">
      <c r="A29">
        <v>28</v>
      </c>
      <c r="B29" s="183" t="s">
        <v>218</v>
      </c>
      <c r="C29" s="114">
        <v>1</v>
      </c>
      <c r="D29" s="114">
        <v>0</v>
      </c>
      <c r="E29" s="113">
        <v>0</v>
      </c>
      <c r="F29" s="113">
        <v>1</v>
      </c>
      <c r="G29"/>
      <c r="H29"/>
    </row>
    <row r="30" spans="1:8" ht="15" customHeight="1" x14ac:dyDescent="0.15">
      <c r="A30">
        <v>29</v>
      </c>
      <c r="B30" s="183" t="s">
        <v>219</v>
      </c>
      <c r="C30" s="114">
        <v>1</v>
      </c>
      <c r="D30" s="114">
        <v>0</v>
      </c>
      <c r="E30" s="113">
        <v>0</v>
      </c>
      <c r="F30" s="113">
        <v>1</v>
      </c>
      <c r="G30"/>
      <c r="H30"/>
    </row>
    <row r="31" spans="1:8" ht="15" customHeight="1" x14ac:dyDescent="0.15">
      <c r="A31">
        <v>30</v>
      </c>
      <c r="B31" s="183" t="s">
        <v>220</v>
      </c>
      <c r="C31" s="114">
        <v>1</v>
      </c>
      <c r="D31" s="114">
        <v>0</v>
      </c>
      <c r="E31" s="113">
        <v>0</v>
      </c>
      <c r="F31" s="113">
        <v>1</v>
      </c>
      <c r="G31"/>
      <c r="H31"/>
    </row>
    <row r="32" spans="1:8" ht="15" customHeight="1" x14ac:dyDescent="0.15">
      <c r="A32">
        <v>31</v>
      </c>
      <c r="B32" s="183" t="s">
        <v>221</v>
      </c>
      <c r="C32" s="114">
        <v>1</v>
      </c>
      <c r="D32" s="114">
        <v>0</v>
      </c>
      <c r="E32" s="113">
        <v>0</v>
      </c>
      <c r="F32" s="113">
        <v>1</v>
      </c>
    </row>
    <row r="33" spans="1:8" ht="15" customHeight="1" x14ac:dyDescent="0.15">
      <c r="A33">
        <v>32</v>
      </c>
      <c r="B33" s="183" t="s">
        <v>222</v>
      </c>
      <c r="C33" s="114">
        <v>1</v>
      </c>
      <c r="D33" s="114">
        <v>0</v>
      </c>
      <c r="E33" s="113">
        <v>0</v>
      </c>
      <c r="F33" s="113">
        <v>1</v>
      </c>
    </row>
    <row r="34" spans="1:8" ht="15" customHeight="1" x14ac:dyDescent="0.15">
      <c r="A34">
        <v>33</v>
      </c>
      <c r="B34" s="183" t="s">
        <v>223</v>
      </c>
      <c r="C34" s="114">
        <v>1</v>
      </c>
      <c r="D34" s="114">
        <v>0</v>
      </c>
      <c r="E34" s="113">
        <v>0</v>
      </c>
      <c r="F34" s="113">
        <v>1</v>
      </c>
    </row>
    <row r="35" spans="1:8" ht="15" customHeight="1" x14ac:dyDescent="0.15">
      <c r="A35">
        <v>34</v>
      </c>
      <c r="B35" s="183" t="s">
        <v>224</v>
      </c>
      <c r="C35" s="114">
        <v>1</v>
      </c>
      <c r="D35" s="114">
        <v>0</v>
      </c>
      <c r="E35" s="113">
        <v>0</v>
      </c>
      <c r="F35" s="113">
        <v>1</v>
      </c>
    </row>
    <row r="36" spans="1:8" ht="15" customHeight="1" x14ac:dyDescent="0.15">
      <c r="A36">
        <v>35</v>
      </c>
      <c r="B36" s="183" t="s">
        <v>225</v>
      </c>
      <c r="C36" s="114">
        <v>1</v>
      </c>
      <c r="D36" s="114">
        <v>0</v>
      </c>
      <c r="E36" s="114">
        <v>0</v>
      </c>
      <c r="F36" s="114">
        <v>1</v>
      </c>
      <c r="G36"/>
      <c r="H36"/>
    </row>
    <row r="37" spans="1:8" ht="15" customHeight="1" x14ac:dyDescent="0.15">
      <c r="A37">
        <v>36</v>
      </c>
      <c r="B37" s="183" t="s">
        <v>226</v>
      </c>
      <c r="C37" s="114">
        <v>1</v>
      </c>
      <c r="D37" s="114">
        <v>0</v>
      </c>
      <c r="E37" s="114">
        <v>0</v>
      </c>
      <c r="F37" s="114">
        <v>1</v>
      </c>
      <c r="G37"/>
      <c r="H37"/>
    </row>
    <row r="38" spans="1:8" ht="15" customHeight="1" x14ac:dyDescent="0.15">
      <c r="A38">
        <v>37</v>
      </c>
      <c r="B38" s="183" t="s">
        <v>227</v>
      </c>
      <c r="C38" s="114">
        <v>1</v>
      </c>
      <c r="D38" s="114">
        <v>0</v>
      </c>
      <c r="E38" s="114">
        <v>0</v>
      </c>
      <c r="F38" s="114">
        <v>1</v>
      </c>
      <c r="G38"/>
      <c r="H38"/>
    </row>
    <row r="39" spans="1:8" ht="15" customHeight="1" x14ac:dyDescent="0.15">
      <c r="A39">
        <v>38</v>
      </c>
      <c r="B39" s="183" t="s">
        <v>228</v>
      </c>
      <c r="C39" s="114">
        <v>1</v>
      </c>
      <c r="D39" s="114">
        <v>0</v>
      </c>
      <c r="E39" s="114">
        <v>0</v>
      </c>
      <c r="F39" s="114">
        <v>1</v>
      </c>
      <c r="G39"/>
      <c r="H39"/>
    </row>
    <row r="40" spans="1:8" ht="15" customHeight="1" x14ac:dyDescent="0.15">
      <c r="A40">
        <v>39</v>
      </c>
      <c r="B40" s="183" t="s">
        <v>229</v>
      </c>
      <c r="C40" s="114">
        <v>1</v>
      </c>
      <c r="D40" s="114">
        <v>0</v>
      </c>
      <c r="E40" s="114">
        <v>0</v>
      </c>
      <c r="F40" s="114">
        <v>1</v>
      </c>
      <c r="G40"/>
      <c r="H40"/>
    </row>
    <row r="41" spans="1:8" ht="15" customHeight="1" x14ac:dyDescent="0.15">
      <c r="A41">
        <v>40</v>
      </c>
      <c r="B41" s="183" t="s">
        <v>230</v>
      </c>
      <c r="C41" s="114">
        <v>1</v>
      </c>
      <c r="D41" s="114">
        <v>0</v>
      </c>
      <c r="E41" s="114">
        <v>0</v>
      </c>
      <c r="F41" s="114">
        <v>1</v>
      </c>
      <c r="G41"/>
      <c r="H41"/>
    </row>
    <row r="42" spans="1:8" ht="15" customHeight="1" x14ac:dyDescent="0.15">
      <c r="A42">
        <v>41</v>
      </c>
      <c r="B42" s="183" t="s">
        <v>231</v>
      </c>
      <c r="C42" s="114">
        <v>1</v>
      </c>
      <c r="D42" s="114">
        <v>0</v>
      </c>
      <c r="E42" s="114">
        <v>0</v>
      </c>
      <c r="F42" s="114">
        <v>1</v>
      </c>
      <c r="G42"/>
      <c r="H42"/>
    </row>
    <row r="43" spans="1:8" ht="15" customHeight="1" x14ac:dyDescent="0.15">
      <c r="A43">
        <v>42</v>
      </c>
      <c r="B43" s="183" t="s">
        <v>232</v>
      </c>
      <c r="C43" s="114">
        <v>1</v>
      </c>
      <c r="D43" s="114">
        <v>0</v>
      </c>
      <c r="E43" s="114">
        <v>0</v>
      </c>
      <c r="F43" s="114">
        <v>1</v>
      </c>
      <c r="G43"/>
      <c r="H43"/>
    </row>
    <row r="44" spans="1:8" ht="15" customHeight="1" x14ac:dyDescent="0.15">
      <c r="A44">
        <v>43</v>
      </c>
      <c r="B44" s="183" t="s">
        <v>233</v>
      </c>
      <c r="C44" s="114">
        <v>1</v>
      </c>
      <c r="D44" s="114">
        <v>0</v>
      </c>
      <c r="E44" s="113">
        <v>0</v>
      </c>
      <c r="F44" s="113">
        <v>1</v>
      </c>
      <c r="G44"/>
      <c r="H44"/>
    </row>
    <row r="45" spans="1:8" ht="15" customHeight="1" x14ac:dyDescent="0.15">
      <c r="A45">
        <v>44</v>
      </c>
      <c r="B45" s="183" t="s">
        <v>234</v>
      </c>
      <c r="C45" s="114">
        <v>0</v>
      </c>
      <c r="D45" s="114">
        <v>1</v>
      </c>
      <c r="E45" s="113">
        <v>0</v>
      </c>
      <c r="F45" s="113">
        <v>1</v>
      </c>
      <c r="G45"/>
      <c r="H45"/>
    </row>
    <row r="46" spans="1:8" ht="15" customHeight="1" x14ac:dyDescent="0.15">
      <c r="A46">
        <v>45</v>
      </c>
      <c r="B46" s="183" t="s">
        <v>235</v>
      </c>
      <c r="C46" s="114">
        <v>0</v>
      </c>
      <c r="D46" s="114">
        <v>0</v>
      </c>
      <c r="E46" s="114">
        <v>1</v>
      </c>
      <c r="F46" s="114">
        <v>1</v>
      </c>
      <c r="G46"/>
      <c r="H46"/>
    </row>
    <row r="47" spans="1:8" ht="15" customHeight="1" x14ac:dyDescent="0.15">
      <c r="A47">
        <v>46</v>
      </c>
      <c r="B47" s="183" t="s">
        <v>236</v>
      </c>
      <c r="C47" s="114">
        <v>0</v>
      </c>
      <c r="D47" s="114">
        <v>1</v>
      </c>
      <c r="E47" s="113">
        <v>0</v>
      </c>
      <c r="F47" s="113">
        <v>1</v>
      </c>
      <c r="G47"/>
      <c r="H47"/>
    </row>
    <row r="48" spans="1:8" ht="15" customHeight="1" x14ac:dyDescent="0.15">
      <c r="A48">
        <v>47</v>
      </c>
      <c r="B48" s="183" t="s">
        <v>237</v>
      </c>
      <c r="C48" s="114">
        <v>0</v>
      </c>
      <c r="D48" s="114">
        <v>1</v>
      </c>
      <c r="E48" s="113">
        <v>0</v>
      </c>
      <c r="F48" s="113">
        <v>1</v>
      </c>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E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7.5" bestFit="1" customWidth="1"/>
    <col min="3" max="5" width="8.83203125" bestFit="1" customWidth="1"/>
  </cols>
  <sheetData>
    <row r="1" spans="1:5" s="115" customFormat="1" ht="112" x14ac:dyDescent="0.15">
      <c r="A1" s="5" t="s">
        <v>21</v>
      </c>
      <c r="B1" s="3" t="s">
        <v>0</v>
      </c>
      <c r="C1" s="186" t="s">
        <v>236</v>
      </c>
      <c r="D1" s="186" t="s">
        <v>237</v>
      </c>
      <c r="E1" s="186" t="s">
        <v>241</v>
      </c>
    </row>
    <row r="2" spans="1:5" ht="15" customHeight="1" x14ac:dyDescent="0.15">
      <c r="A2">
        <v>1</v>
      </c>
      <c r="B2" s="185" t="s">
        <v>191</v>
      </c>
      <c r="C2">
        <v>0</v>
      </c>
      <c r="D2">
        <v>0</v>
      </c>
      <c r="E2">
        <v>0</v>
      </c>
    </row>
    <row r="3" spans="1:5" ht="15" customHeight="1" x14ac:dyDescent="0.15">
      <c r="A3">
        <v>2</v>
      </c>
      <c r="B3" s="185" t="s">
        <v>192</v>
      </c>
      <c r="C3">
        <v>0</v>
      </c>
      <c r="D3">
        <v>0</v>
      </c>
      <c r="E3">
        <v>0</v>
      </c>
    </row>
    <row r="4" spans="1:5" ht="15" customHeight="1" x14ac:dyDescent="0.15">
      <c r="A4">
        <v>3</v>
      </c>
      <c r="B4" s="185" t="s">
        <v>193</v>
      </c>
      <c r="C4">
        <v>0</v>
      </c>
      <c r="D4">
        <v>0</v>
      </c>
      <c r="E4">
        <v>0</v>
      </c>
    </row>
    <row r="5" spans="1:5" ht="15" customHeight="1" x14ac:dyDescent="0.15">
      <c r="A5">
        <v>4</v>
      </c>
      <c r="B5" s="185" t="s">
        <v>194</v>
      </c>
      <c r="C5">
        <v>0</v>
      </c>
      <c r="D5">
        <v>0</v>
      </c>
      <c r="E5">
        <v>0</v>
      </c>
    </row>
    <row r="6" spans="1:5" ht="15" customHeight="1" x14ac:dyDescent="0.15">
      <c r="A6">
        <v>5</v>
      </c>
      <c r="B6" s="185" t="s">
        <v>195</v>
      </c>
      <c r="C6">
        <v>0</v>
      </c>
      <c r="D6">
        <v>0</v>
      </c>
      <c r="E6">
        <v>0</v>
      </c>
    </row>
    <row r="7" spans="1:5" ht="15" customHeight="1" x14ac:dyDescent="0.15">
      <c r="A7">
        <v>6</v>
      </c>
      <c r="B7" s="185" t="s">
        <v>196</v>
      </c>
      <c r="C7">
        <v>0</v>
      </c>
      <c r="D7">
        <v>3.4499999999999998E-4</v>
      </c>
      <c r="E7">
        <v>3.4499999999999998E-4</v>
      </c>
    </row>
    <row r="8" spans="1:5" ht="15" customHeight="1" x14ac:dyDescent="0.15">
      <c r="A8">
        <v>7</v>
      </c>
      <c r="B8" s="185" t="s">
        <v>197</v>
      </c>
      <c r="C8">
        <v>0</v>
      </c>
      <c r="D8">
        <v>0</v>
      </c>
      <c r="E8">
        <v>0</v>
      </c>
    </row>
    <row r="9" spans="1:5" ht="15" customHeight="1" x14ac:dyDescent="0.15">
      <c r="A9">
        <v>8</v>
      </c>
      <c r="B9" s="185" t="s">
        <v>198</v>
      </c>
      <c r="C9">
        <v>3.8099999999999999E-4</v>
      </c>
      <c r="D9">
        <v>4.66E-4</v>
      </c>
      <c r="E9">
        <v>8.4699999999999999E-4</v>
      </c>
    </row>
    <row r="10" spans="1:5" ht="15" customHeight="1" x14ac:dyDescent="0.15">
      <c r="A10">
        <v>9</v>
      </c>
      <c r="B10" s="185" t="s">
        <v>199</v>
      </c>
      <c r="C10">
        <v>0</v>
      </c>
      <c r="D10">
        <v>0</v>
      </c>
      <c r="E10">
        <v>0</v>
      </c>
    </row>
    <row r="11" spans="1:5" ht="15" customHeight="1" x14ac:dyDescent="0.15">
      <c r="A11">
        <v>10</v>
      </c>
      <c r="B11" s="185" t="s">
        <v>200</v>
      </c>
      <c r="C11">
        <v>0</v>
      </c>
      <c r="D11">
        <v>0</v>
      </c>
      <c r="E11">
        <v>0</v>
      </c>
    </row>
    <row r="12" spans="1:5" ht="15" customHeight="1" x14ac:dyDescent="0.15">
      <c r="A12">
        <v>11</v>
      </c>
      <c r="B12" s="185" t="s">
        <v>201</v>
      </c>
      <c r="C12">
        <v>0</v>
      </c>
      <c r="D12">
        <v>2.72E-4</v>
      </c>
      <c r="E12">
        <v>2.72E-4</v>
      </c>
    </row>
    <row r="13" spans="1:5" ht="15" customHeight="1" x14ac:dyDescent="0.15">
      <c r="A13">
        <v>12</v>
      </c>
      <c r="B13" s="185" t="s">
        <v>202</v>
      </c>
      <c r="C13">
        <v>0</v>
      </c>
      <c r="D13">
        <v>0</v>
      </c>
      <c r="E13">
        <v>0</v>
      </c>
    </row>
    <row r="14" spans="1:5" ht="15" customHeight="1" x14ac:dyDescent="0.15">
      <c r="A14">
        <v>13</v>
      </c>
      <c r="B14" s="185" t="s">
        <v>203</v>
      </c>
      <c r="C14">
        <v>0</v>
      </c>
      <c r="D14">
        <v>0</v>
      </c>
      <c r="E14">
        <v>0</v>
      </c>
    </row>
    <row r="15" spans="1:5" ht="15" customHeight="1" x14ac:dyDescent="0.15">
      <c r="A15">
        <v>14</v>
      </c>
      <c r="B15" s="185" t="s">
        <v>204</v>
      </c>
      <c r="C15">
        <v>0</v>
      </c>
      <c r="D15">
        <v>0</v>
      </c>
      <c r="E15">
        <v>0</v>
      </c>
    </row>
    <row r="16" spans="1:5" ht="15" customHeight="1" x14ac:dyDescent="0.15">
      <c r="A16">
        <v>15</v>
      </c>
      <c r="B16" s="185" t="s">
        <v>205</v>
      </c>
      <c r="C16">
        <v>0</v>
      </c>
      <c r="D16">
        <v>1.5999999999999999E-5</v>
      </c>
      <c r="E16">
        <v>1.5999999999999999E-5</v>
      </c>
    </row>
    <row r="17" spans="1:5" ht="15" customHeight="1" x14ac:dyDescent="0.15">
      <c r="A17">
        <v>16</v>
      </c>
      <c r="B17" s="185" t="s">
        <v>206</v>
      </c>
      <c r="C17">
        <v>2.7965E-2</v>
      </c>
      <c r="D17">
        <v>0</v>
      </c>
      <c r="E17">
        <v>2.7965E-2</v>
      </c>
    </row>
    <row r="18" spans="1:5" ht="15" customHeight="1" x14ac:dyDescent="0.15">
      <c r="A18">
        <v>17</v>
      </c>
      <c r="B18" s="185" t="s">
        <v>207</v>
      </c>
      <c r="C18">
        <v>6.3070000000000001E-2</v>
      </c>
      <c r="D18">
        <v>0</v>
      </c>
      <c r="E18">
        <v>6.3070000000000001E-2</v>
      </c>
    </row>
    <row r="19" spans="1:5" ht="15" customHeight="1" x14ac:dyDescent="0.15">
      <c r="A19">
        <v>18</v>
      </c>
      <c r="B19" s="185" t="s">
        <v>208</v>
      </c>
      <c r="C19">
        <v>0</v>
      </c>
      <c r="D19">
        <v>0</v>
      </c>
      <c r="E19">
        <v>0</v>
      </c>
    </row>
    <row r="20" spans="1:5" ht="15" customHeight="1" x14ac:dyDescent="0.15">
      <c r="A20">
        <v>19</v>
      </c>
      <c r="B20" s="185" t="s">
        <v>209</v>
      </c>
      <c r="C20">
        <v>8.7620000000000007E-3</v>
      </c>
      <c r="D20">
        <v>3.7330000000000002E-3</v>
      </c>
      <c r="E20">
        <v>1.2495000000000001E-2</v>
      </c>
    </row>
    <row r="21" spans="1:5" ht="15" customHeight="1" x14ac:dyDescent="0.15">
      <c r="A21">
        <v>20</v>
      </c>
      <c r="B21" s="185" t="s">
        <v>210</v>
      </c>
      <c r="C21">
        <v>0</v>
      </c>
      <c r="D21">
        <v>4.0000000000000003E-5</v>
      </c>
      <c r="E21">
        <v>4.0000000000000003E-5</v>
      </c>
    </row>
    <row r="22" spans="1:5" ht="15" customHeight="1" x14ac:dyDescent="0.15">
      <c r="A22">
        <v>21</v>
      </c>
      <c r="B22" s="185" t="s">
        <v>211</v>
      </c>
      <c r="C22">
        <v>8.9820000000000004E-3</v>
      </c>
      <c r="D22">
        <v>5.3799999999999996E-4</v>
      </c>
      <c r="E22">
        <v>9.5200000000000007E-3</v>
      </c>
    </row>
    <row r="23" spans="1:5" ht="15" customHeight="1" x14ac:dyDescent="0.15">
      <c r="A23">
        <v>22</v>
      </c>
      <c r="B23" s="185" t="s">
        <v>212</v>
      </c>
      <c r="C23">
        <v>0</v>
      </c>
      <c r="D23">
        <v>0</v>
      </c>
      <c r="E23">
        <v>0</v>
      </c>
    </row>
    <row r="24" spans="1:5" ht="15" customHeight="1" x14ac:dyDescent="0.15">
      <c r="A24">
        <v>23</v>
      </c>
      <c r="B24" s="185" t="s">
        <v>213</v>
      </c>
      <c r="C24">
        <v>0</v>
      </c>
      <c r="D24">
        <v>0</v>
      </c>
      <c r="E24">
        <v>0</v>
      </c>
    </row>
    <row r="25" spans="1:5" ht="15" customHeight="1" x14ac:dyDescent="0.15">
      <c r="A25">
        <v>24</v>
      </c>
      <c r="B25" s="185" t="s">
        <v>214</v>
      </c>
      <c r="C25">
        <v>0</v>
      </c>
      <c r="D25">
        <v>8.52E-4</v>
      </c>
      <c r="E25">
        <v>8.52E-4</v>
      </c>
    </row>
    <row r="26" spans="1:5" ht="15" customHeight="1" x14ac:dyDescent="0.15">
      <c r="A26">
        <v>25</v>
      </c>
      <c r="B26" s="185" t="s">
        <v>215</v>
      </c>
      <c r="C26">
        <v>0</v>
      </c>
      <c r="D26">
        <v>1.709E-3</v>
      </c>
      <c r="E26">
        <v>1.709E-3</v>
      </c>
    </row>
    <row r="27" spans="1:5" ht="15" customHeight="1" x14ac:dyDescent="0.15">
      <c r="A27">
        <v>26</v>
      </c>
      <c r="B27" s="185" t="s">
        <v>216</v>
      </c>
      <c r="C27">
        <v>0</v>
      </c>
      <c r="D27">
        <v>0</v>
      </c>
      <c r="E27">
        <v>0</v>
      </c>
    </row>
    <row r="28" spans="1:5" ht="15" customHeight="1" x14ac:dyDescent="0.15">
      <c r="A28">
        <v>27</v>
      </c>
      <c r="B28" s="185" t="s">
        <v>217</v>
      </c>
      <c r="C28">
        <v>0</v>
      </c>
      <c r="D28">
        <v>2.5460000000000001E-3</v>
      </c>
      <c r="E28">
        <v>2.5460000000000001E-3</v>
      </c>
    </row>
    <row r="29" spans="1:5" ht="15" customHeight="1" x14ac:dyDescent="0.15">
      <c r="A29">
        <v>28</v>
      </c>
      <c r="B29" s="185" t="s">
        <v>218</v>
      </c>
      <c r="C29">
        <v>1.6000000000000001E-4</v>
      </c>
      <c r="D29">
        <v>1.0300000000000001E-3</v>
      </c>
      <c r="E29">
        <v>1.1900000000000001E-3</v>
      </c>
    </row>
    <row r="30" spans="1:5" ht="15" customHeight="1" x14ac:dyDescent="0.15">
      <c r="A30">
        <v>29</v>
      </c>
      <c r="B30" s="185" t="s">
        <v>219</v>
      </c>
      <c r="C30">
        <v>3.5539999999999999E-3</v>
      </c>
      <c r="D30">
        <v>2.3600000000000001E-3</v>
      </c>
      <c r="E30">
        <v>5.914E-3</v>
      </c>
    </row>
    <row r="31" spans="1:5" ht="15" customHeight="1" x14ac:dyDescent="0.15">
      <c r="A31">
        <v>30</v>
      </c>
      <c r="B31" s="185" t="s">
        <v>220</v>
      </c>
      <c r="C31">
        <v>0</v>
      </c>
      <c r="D31">
        <v>0</v>
      </c>
      <c r="E31">
        <v>0</v>
      </c>
    </row>
    <row r="32" spans="1:5" ht="15" customHeight="1" x14ac:dyDescent="0.15">
      <c r="A32">
        <v>31</v>
      </c>
      <c r="B32" s="185" t="s">
        <v>221</v>
      </c>
      <c r="C32">
        <v>4.5023000000000001E-2</v>
      </c>
      <c r="D32">
        <v>1.47E-4</v>
      </c>
      <c r="E32">
        <v>4.5170000000000002E-2</v>
      </c>
    </row>
    <row r="33" spans="1:5" ht="15" customHeight="1" x14ac:dyDescent="0.15">
      <c r="A33">
        <v>32</v>
      </c>
      <c r="B33" s="185" t="s">
        <v>222</v>
      </c>
      <c r="C33">
        <v>0</v>
      </c>
      <c r="D33">
        <v>0</v>
      </c>
      <c r="E33">
        <v>0</v>
      </c>
    </row>
    <row r="34" spans="1:5" ht="15" customHeight="1" x14ac:dyDescent="0.15">
      <c r="A34">
        <v>33</v>
      </c>
      <c r="B34" s="185" t="s">
        <v>223</v>
      </c>
      <c r="C34">
        <v>0</v>
      </c>
      <c r="D34">
        <v>0</v>
      </c>
      <c r="E34">
        <v>0</v>
      </c>
    </row>
    <row r="35" spans="1:5" ht="15" customHeight="1" x14ac:dyDescent="0.15">
      <c r="A35">
        <v>34</v>
      </c>
      <c r="B35" s="185" t="s">
        <v>224</v>
      </c>
      <c r="C35">
        <v>0</v>
      </c>
      <c r="D35">
        <v>0</v>
      </c>
      <c r="E35">
        <v>0</v>
      </c>
    </row>
    <row r="36" spans="1:5" ht="15" customHeight="1" x14ac:dyDescent="0.15">
      <c r="A36">
        <v>35</v>
      </c>
      <c r="B36" s="185" t="s">
        <v>225</v>
      </c>
      <c r="C36">
        <v>0</v>
      </c>
      <c r="D36">
        <v>0</v>
      </c>
      <c r="E36">
        <v>0</v>
      </c>
    </row>
    <row r="37" spans="1:5" ht="15" customHeight="1" x14ac:dyDescent="0.15">
      <c r="A37">
        <v>36</v>
      </c>
      <c r="B37" s="185" t="s">
        <v>226</v>
      </c>
      <c r="C37">
        <v>0</v>
      </c>
      <c r="D37">
        <v>0</v>
      </c>
      <c r="E37">
        <v>0</v>
      </c>
    </row>
    <row r="38" spans="1:5" ht="15" customHeight="1" x14ac:dyDescent="0.15">
      <c r="A38">
        <v>37</v>
      </c>
      <c r="B38" s="185" t="s">
        <v>227</v>
      </c>
      <c r="C38">
        <v>0</v>
      </c>
      <c r="D38">
        <v>0</v>
      </c>
      <c r="E38">
        <v>0</v>
      </c>
    </row>
    <row r="39" spans="1:5" ht="15" customHeight="1" x14ac:dyDescent="0.15">
      <c r="A39">
        <v>38</v>
      </c>
      <c r="B39" s="185" t="s">
        <v>228</v>
      </c>
      <c r="C39">
        <v>5.9500000000000004E-4</v>
      </c>
      <c r="D39">
        <v>0</v>
      </c>
      <c r="E39">
        <v>5.9500000000000004E-4</v>
      </c>
    </row>
    <row r="40" spans="1:5" ht="15" customHeight="1" x14ac:dyDescent="0.15">
      <c r="A40">
        <v>39</v>
      </c>
      <c r="B40" s="185" t="s">
        <v>229</v>
      </c>
      <c r="C40">
        <v>5.7899999999999998E-4</v>
      </c>
      <c r="D40">
        <v>1.5999999999999999E-5</v>
      </c>
      <c r="E40">
        <v>5.9499999999999993E-4</v>
      </c>
    </row>
    <row r="41" spans="1:5" ht="15" customHeight="1" x14ac:dyDescent="0.15">
      <c r="A41">
        <v>40</v>
      </c>
      <c r="B41" s="185" t="s">
        <v>230</v>
      </c>
      <c r="C41">
        <v>0</v>
      </c>
      <c r="D41">
        <v>0</v>
      </c>
      <c r="E41">
        <v>0</v>
      </c>
    </row>
    <row r="42" spans="1:5" ht="15" customHeight="1" x14ac:dyDescent="0.15">
      <c r="A42">
        <v>41</v>
      </c>
      <c r="B42" s="185" t="s">
        <v>231</v>
      </c>
      <c r="C42">
        <v>0</v>
      </c>
      <c r="D42">
        <v>0</v>
      </c>
      <c r="E42">
        <v>0</v>
      </c>
    </row>
    <row r="43" spans="1:5" ht="15" customHeight="1" x14ac:dyDescent="0.15">
      <c r="A43">
        <v>42</v>
      </c>
      <c r="B43" s="185" t="s">
        <v>232</v>
      </c>
      <c r="C43">
        <v>0</v>
      </c>
      <c r="D43">
        <v>0</v>
      </c>
      <c r="E43">
        <v>0</v>
      </c>
    </row>
    <row r="44" spans="1:5" ht="15" customHeight="1" x14ac:dyDescent="0.15">
      <c r="A44">
        <v>43</v>
      </c>
      <c r="B44" s="185" t="s">
        <v>233</v>
      </c>
      <c r="C44">
        <v>0</v>
      </c>
      <c r="D44">
        <v>0</v>
      </c>
      <c r="E44">
        <v>0</v>
      </c>
    </row>
    <row r="45" spans="1:5" ht="15" customHeight="1" x14ac:dyDescent="0.15">
      <c r="A45">
        <v>44</v>
      </c>
      <c r="B45" s="185" t="s">
        <v>234</v>
      </c>
      <c r="C45">
        <v>0</v>
      </c>
      <c r="D45">
        <v>0</v>
      </c>
      <c r="E45">
        <v>0</v>
      </c>
    </row>
    <row r="46" spans="1:5" ht="15" customHeight="1" x14ac:dyDescent="0.15">
      <c r="A46">
        <v>45</v>
      </c>
      <c r="B46" s="185" t="s">
        <v>235</v>
      </c>
      <c r="C46">
        <v>0</v>
      </c>
      <c r="D46">
        <v>0</v>
      </c>
      <c r="E46">
        <v>0</v>
      </c>
    </row>
    <row r="47" spans="1:5" ht="15" customHeight="1" x14ac:dyDescent="0.15"/>
    <row r="48" spans="1:5"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E46"/>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7.5" bestFit="1" customWidth="1"/>
    <col min="3" max="5" width="2.33203125" bestFit="1" customWidth="1"/>
  </cols>
  <sheetData>
    <row r="1" spans="1:5" s="115" customFormat="1" ht="112" x14ac:dyDescent="0.15">
      <c r="A1" s="5" t="s">
        <v>22</v>
      </c>
      <c r="B1" s="3" t="s">
        <v>0</v>
      </c>
      <c r="C1" s="188" t="s">
        <v>236</v>
      </c>
      <c r="D1" s="188" t="s">
        <v>237</v>
      </c>
      <c r="E1" s="188" t="s">
        <v>241</v>
      </c>
    </row>
    <row r="2" spans="1:5" x14ac:dyDescent="0.15">
      <c r="A2">
        <v>1</v>
      </c>
      <c r="B2" s="187" t="s">
        <v>191</v>
      </c>
      <c r="C2">
        <v>0</v>
      </c>
      <c r="D2">
        <v>0</v>
      </c>
      <c r="E2">
        <v>0</v>
      </c>
    </row>
    <row r="3" spans="1:5" x14ac:dyDescent="0.15">
      <c r="A3">
        <v>2</v>
      </c>
      <c r="B3" s="187" t="s">
        <v>192</v>
      </c>
      <c r="C3">
        <v>0</v>
      </c>
      <c r="D3">
        <v>0</v>
      </c>
      <c r="E3">
        <v>0</v>
      </c>
    </row>
    <row r="4" spans="1:5" x14ac:dyDescent="0.15">
      <c r="A4">
        <v>3</v>
      </c>
      <c r="B4" s="187" t="s">
        <v>193</v>
      </c>
      <c r="C4">
        <v>0</v>
      </c>
      <c r="D4">
        <v>0</v>
      </c>
      <c r="E4">
        <v>0</v>
      </c>
    </row>
    <row r="5" spans="1:5" x14ac:dyDescent="0.15">
      <c r="A5">
        <v>4</v>
      </c>
      <c r="B5" s="187" t="s">
        <v>194</v>
      </c>
      <c r="C5">
        <v>0</v>
      </c>
      <c r="D5">
        <v>0</v>
      </c>
      <c r="E5">
        <v>0</v>
      </c>
    </row>
    <row r="6" spans="1:5" x14ac:dyDescent="0.15">
      <c r="A6">
        <v>5</v>
      </c>
      <c r="B6" s="187" t="s">
        <v>195</v>
      </c>
      <c r="C6">
        <v>0</v>
      </c>
      <c r="D6">
        <v>0</v>
      </c>
      <c r="E6">
        <v>0</v>
      </c>
    </row>
    <row r="7" spans="1:5" x14ac:dyDescent="0.15">
      <c r="A7">
        <v>6</v>
      </c>
      <c r="B7" s="187" t="s">
        <v>196</v>
      </c>
      <c r="C7">
        <v>0</v>
      </c>
      <c r="D7">
        <v>0</v>
      </c>
      <c r="E7">
        <v>0</v>
      </c>
    </row>
    <row r="8" spans="1:5" x14ac:dyDescent="0.15">
      <c r="A8">
        <v>7</v>
      </c>
      <c r="B8" s="187" t="s">
        <v>197</v>
      </c>
      <c r="C8">
        <v>0</v>
      </c>
      <c r="D8">
        <v>0</v>
      </c>
      <c r="E8">
        <v>0</v>
      </c>
    </row>
    <row r="9" spans="1:5" x14ac:dyDescent="0.15">
      <c r="A9">
        <v>8</v>
      </c>
      <c r="B9" s="187" t="s">
        <v>198</v>
      </c>
      <c r="C9">
        <v>0</v>
      </c>
      <c r="D9">
        <v>0</v>
      </c>
      <c r="E9">
        <v>0</v>
      </c>
    </row>
    <row r="10" spans="1:5" x14ac:dyDescent="0.15">
      <c r="A10">
        <v>9</v>
      </c>
      <c r="B10" s="187" t="s">
        <v>199</v>
      </c>
      <c r="C10">
        <v>0</v>
      </c>
      <c r="D10">
        <v>0</v>
      </c>
      <c r="E10">
        <v>0</v>
      </c>
    </row>
    <row r="11" spans="1:5" x14ac:dyDescent="0.15">
      <c r="A11">
        <v>10</v>
      </c>
      <c r="B11" s="187" t="s">
        <v>200</v>
      </c>
      <c r="C11">
        <v>0</v>
      </c>
      <c r="D11">
        <v>0</v>
      </c>
      <c r="E11">
        <v>0</v>
      </c>
    </row>
    <row r="12" spans="1:5" x14ac:dyDescent="0.15">
      <c r="A12">
        <v>11</v>
      </c>
      <c r="B12" s="187" t="s">
        <v>201</v>
      </c>
      <c r="C12">
        <v>0</v>
      </c>
      <c r="D12">
        <v>0</v>
      </c>
      <c r="E12">
        <v>0</v>
      </c>
    </row>
    <row r="13" spans="1:5" x14ac:dyDescent="0.15">
      <c r="A13">
        <v>12</v>
      </c>
      <c r="B13" s="187" t="s">
        <v>202</v>
      </c>
      <c r="C13">
        <v>0</v>
      </c>
      <c r="D13">
        <v>0</v>
      </c>
      <c r="E13">
        <v>0</v>
      </c>
    </row>
    <row r="14" spans="1:5" x14ac:dyDescent="0.15">
      <c r="A14">
        <v>13</v>
      </c>
      <c r="B14" s="187" t="s">
        <v>203</v>
      </c>
      <c r="C14">
        <v>0</v>
      </c>
      <c r="D14">
        <v>0</v>
      </c>
      <c r="E14">
        <v>0</v>
      </c>
    </row>
    <row r="15" spans="1:5" x14ac:dyDescent="0.15">
      <c r="A15">
        <v>14</v>
      </c>
      <c r="B15" s="187" t="s">
        <v>204</v>
      </c>
      <c r="C15">
        <v>0</v>
      </c>
      <c r="D15">
        <v>0</v>
      </c>
      <c r="E15">
        <v>0</v>
      </c>
    </row>
    <row r="16" spans="1:5" x14ac:dyDescent="0.15">
      <c r="A16">
        <v>15</v>
      </c>
      <c r="B16" s="187" t="s">
        <v>205</v>
      </c>
      <c r="C16">
        <v>0</v>
      </c>
      <c r="D16">
        <v>0</v>
      </c>
      <c r="E16">
        <v>0</v>
      </c>
    </row>
    <row r="17" spans="1:5" x14ac:dyDescent="0.15">
      <c r="A17">
        <v>16</v>
      </c>
      <c r="B17" s="187" t="s">
        <v>206</v>
      </c>
      <c r="C17">
        <v>0</v>
      </c>
      <c r="D17">
        <v>0</v>
      </c>
      <c r="E17">
        <v>0</v>
      </c>
    </row>
    <row r="18" spans="1:5" x14ac:dyDescent="0.15">
      <c r="A18">
        <v>17</v>
      </c>
      <c r="B18" s="187" t="s">
        <v>207</v>
      </c>
      <c r="C18">
        <v>0</v>
      </c>
      <c r="D18">
        <v>0</v>
      </c>
      <c r="E18">
        <v>0</v>
      </c>
    </row>
    <row r="19" spans="1:5" x14ac:dyDescent="0.15">
      <c r="A19">
        <v>18</v>
      </c>
      <c r="B19" s="187" t="s">
        <v>208</v>
      </c>
      <c r="C19">
        <v>0</v>
      </c>
      <c r="D19">
        <v>0</v>
      </c>
      <c r="E19">
        <v>0</v>
      </c>
    </row>
    <row r="20" spans="1:5" x14ac:dyDescent="0.15">
      <c r="A20">
        <v>19</v>
      </c>
      <c r="B20" s="187" t="s">
        <v>209</v>
      </c>
      <c r="C20">
        <v>0</v>
      </c>
      <c r="D20">
        <v>0</v>
      </c>
      <c r="E20">
        <v>0</v>
      </c>
    </row>
    <row r="21" spans="1:5" x14ac:dyDescent="0.15">
      <c r="A21">
        <v>20</v>
      </c>
      <c r="B21" s="187" t="s">
        <v>210</v>
      </c>
      <c r="C21">
        <v>0</v>
      </c>
      <c r="D21">
        <v>0</v>
      </c>
      <c r="E21">
        <v>0</v>
      </c>
    </row>
    <row r="22" spans="1:5" x14ac:dyDescent="0.15">
      <c r="A22">
        <v>21</v>
      </c>
      <c r="B22" s="187" t="s">
        <v>211</v>
      </c>
      <c r="C22">
        <v>0</v>
      </c>
      <c r="D22">
        <v>0</v>
      </c>
      <c r="E22">
        <v>0</v>
      </c>
    </row>
    <row r="23" spans="1:5" x14ac:dyDescent="0.15">
      <c r="A23">
        <v>22</v>
      </c>
      <c r="B23" s="187" t="s">
        <v>212</v>
      </c>
      <c r="C23">
        <v>0</v>
      </c>
      <c r="D23">
        <v>0</v>
      </c>
      <c r="E23">
        <v>0</v>
      </c>
    </row>
    <row r="24" spans="1:5" x14ac:dyDescent="0.15">
      <c r="A24">
        <v>23</v>
      </c>
      <c r="B24" s="187" t="s">
        <v>213</v>
      </c>
      <c r="C24">
        <v>0</v>
      </c>
      <c r="D24">
        <v>0</v>
      </c>
      <c r="E24">
        <v>0</v>
      </c>
    </row>
    <row r="25" spans="1:5" x14ac:dyDescent="0.15">
      <c r="A25">
        <v>24</v>
      </c>
      <c r="B25" s="187" t="s">
        <v>214</v>
      </c>
      <c r="C25">
        <v>0</v>
      </c>
      <c r="D25">
        <v>0</v>
      </c>
      <c r="E25">
        <v>0</v>
      </c>
    </row>
    <row r="26" spans="1:5" x14ac:dyDescent="0.15">
      <c r="A26">
        <v>25</v>
      </c>
      <c r="B26" s="187" t="s">
        <v>215</v>
      </c>
      <c r="C26">
        <v>0</v>
      </c>
      <c r="D26">
        <v>0</v>
      </c>
      <c r="E26">
        <v>0</v>
      </c>
    </row>
    <row r="27" spans="1:5" x14ac:dyDescent="0.15">
      <c r="A27">
        <v>26</v>
      </c>
      <c r="B27" s="187" t="s">
        <v>216</v>
      </c>
      <c r="C27">
        <v>0</v>
      </c>
      <c r="D27">
        <v>0</v>
      </c>
      <c r="E27">
        <v>0</v>
      </c>
    </row>
    <row r="28" spans="1:5" x14ac:dyDescent="0.15">
      <c r="A28">
        <v>27</v>
      </c>
      <c r="B28" s="187" t="s">
        <v>217</v>
      </c>
      <c r="C28">
        <v>0</v>
      </c>
      <c r="D28">
        <v>0</v>
      </c>
      <c r="E28">
        <v>0</v>
      </c>
    </row>
    <row r="29" spans="1:5" x14ac:dyDescent="0.15">
      <c r="A29">
        <v>28</v>
      </c>
      <c r="B29" s="187" t="s">
        <v>218</v>
      </c>
      <c r="C29">
        <v>0</v>
      </c>
      <c r="D29">
        <v>0</v>
      </c>
      <c r="E29">
        <v>0</v>
      </c>
    </row>
    <row r="30" spans="1:5" x14ac:dyDescent="0.15">
      <c r="A30">
        <v>29</v>
      </c>
      <c r="B30" s="187" t="s">
        <v>219</v>
      </c>
      <c r="C30">
        <v>0</v>
      </c>
      <c r="D30">
        <v>0</v>
      </c>
      <c r="E30">
        <v>0</v>
      </c>
    </row>
    <row r="31" spans="1:5" x14ac:dyDescent="0.15">
      <c r="A31">
        <v>30</v>
      </c>
      <c r="B31" s="187" t="s">
        <v>220</v>
      </c>
      <c r="C31">
        <v>0</v>
      </c>
      <c r="D31">
        <v>0</v>
      </c>
      <c r="E31">
        <v>0</v>
      </c>
    </row>
    <row r="32" spans="1:5" x14ac:dyDescent="0.15">
      <c r="A32">
        <v>31</v>
      </c>
      <c r="B32" s="187" t="s">
        <v>221</v>
      </c>
      <c r="C32">
        <v>0</v>
      </c>
      <c r="D32">
        <v>0</v>
      </c>
      <c r="E32">
        <v>0</v>
      </c>
    </row>
    <row r="33" spans="1:5" x14ac:dyDescent="0.15">
      <c r="A33">
        <v>32</v>
      </c>
      <c r="B33" s="187" t="s">
        <v>222</v>
      </c>
      <c r="C33">
        <v>0</v>
      </c>
      <c r="D33">
        <v>0</v>
      </c>
      <c r="E33">
        <v>0</v>
      </c>
    </row>
    <row r="34" spans="1:5" x14ac:dyDescent="0.15">
      <c r="A34">
        <v>33</v>
      </c>
      <c r="B34" s="187" t="s">
        <v>223</v>
      </c>
      <c r="C34">
        <v>0</v>
      </c>
      <c r="D34">
        <v>0</v>
      </c>
      <c r="E34">
        <v>0</v>
      </c>
    </row>
    <row r="35" spans="1:5" x14ac:dyDescent="0.15">
      <c r="A35">
        <v>34</v>
      </c>
      <c r="B35" s="187" t="s">
        <v>224</v>
      </c>
      <c r="C35">
        <v>0</v>
      </c>
      <c r="D35">
        <v>0</v>
      </c>
      <c r="E35">
        <v>0</v>
      </c>
    </row>
    <row r="36" spans="1:5" x14ac:dyDescent="0.15">
      <c r="A36">
        <v>35</v>
      </c>
      <c r="B36" s="187" t="s">
        <v>225</v>
      </c>
      <c r="C36">
        <v>0</v>
      </c>
      <c r="D36">
        <v>0</v>
      </c>
      <c r="E36">
        <v>0</v>
      </c>
    </row>
    <row r="37" spans="1:5" x14ac:dyDescent="0.15">
      <c r="A37">
        <v>36</v>
      </c>
      <c r="B37" s="187" t="s">
        <v>226</v>
      </c>
      <c r="C37">
        <v>0</v>
      </c>
      <c r="D37">
        <v>0</v>
      </c>
      <c r="E37">
        <v>0</v>
      </c>
    </row>
    <row r="38" spans="1:5" x14ac:dyDescent="0.15">
      <c r="A38">
        <v>37</v>
      </c>
      <c r="B38" s="187" t="s">
        <v>227</v>
      </c>
      <c r="C38">
        <v>0</v>
      </c>
      <c r="D38">
        <v>0</v>
      </c>
      <c r="E38">
        <v>0</v>
      </c>
    </row>
    <row r="39" spans="1:5" x14ac:dyDescent="0.15">
      <c r="A39">
        <v>38</v>
      </c>
      <c r="B39" s="187" t="s">
        <v>228</v>
      </c>
      <c r="C39">
        <v>0</v>
      </c>
      <c r="D39">
        <v>0</v>
      </c>
      <c r="E39">
        <v>0</v>
      </c>
    </row>
    <row r="40" spans="1:5" x14ac:dyDescent="0.15">
      <c r="A40">
        <v>39</v>
      </c>
      <c r="B40" s="187" t="s">
        <v>229</v>
      </c>
      <c r="C40">
        <v>0</v>
      </c>
      <c r="D40">
        <v>0</v>
      </c>
      <c r="E40">
        <v>0</v>
      </c>
    </row>
    <row r="41" spans="1:5" x14ac:dyDescent="0.15">
      <c r="A41">
        <v>40</v>
      </c>
      <c r="B41" s="187" t="s">
        <v>230</v>
      </c>
      <c r="C41">
        <v>0</v>
      </c>
      <c r="D41">
        <v>0</v>
      </c>
      <c r="E41">
        <v>0</v>
      </c>
    </row>
    <row r="42" spans="1:5" x14ac:dyDescent="0.15">
      <c r="A42">
        <v>41</v>
      </c>
      <c r="B42" s="187" t="s">
        <v>231</v>
      </c>
      <c r="C42">
        <v>0</v>
      </c>
      <c r="D42">
        <v>0</v>
      </c>
      <c r="E42">
        <v>0</v>
      </c>
    </row>
    <row r="43" spans="1:5" x14ac:dyDescent="0.15">
      <c r="A43">
        <v>42</v>
      </c>
      <c r="B43" s="187" t="s">
        <v>232</v>
      </c>
      <c r="C43">
        <v>0</v>
      </c>
      <c r="D43">
        <v>0</v>
      </c>
      <c r="E43">
        <v>0</v>
      </c>
    </row>
    <row r="44" spans="1:5" x14ac:dyDescent="0.15">
      <c r="A44">
        <v>43</v>
      </c>
      <c r="B44" s="187" t="s">
        <v>233</v>
      </c>
      <c r="C44">
        <v>0</v>
      </c>
      <c r="D44">
        <v>0</v>
      </c>
      <c r="E44">
        <v>0</v>
      </c>
    </row>
    <row r="45" spans="1:5" x14ac:dyDescent="0.15">
      <c r="A45">
        <v>44</v>
      </c>
      <c r="B45" s="187" t="s">
        <v>234</v>
      </c>
      <c r="C45">
        <v>0</v>
      </c>
      <c r="D45">
        <v>0</v>
      </c>
      <c r="E45">
        <v>0</v>
      </c>
    </row>
    <row r="46" spans="1:5" x14ac:dyDescent="0.15">
      <c r="A46">
        <v>45</v>
      </c>
      <c r="B46" s="187" t="s">
        <v>235</v>
      </c>
      <c r="C46">
        <v>0</v>
      </c>
      <c r="D46">
        <v>0</v>
      </c>
      <c r="E46">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27.5" bestFit="1" customWidth="1"/>
    <col min="6" max="6" width="4.83203125" bestFit="1" customWidth="1"/>
    <col min="7" max="9" width="3.83203125" bestFit="1" customWidth="1"/>
    <col min="10" max="11" width="4.83203125" style="114"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6" customFormat="1" ht="14" thickBot="1" x14ac:dyDescent="0.2">
      <c r="D1" s="117" t="s">
        <v>8</v>
      </c>
      <c r="E1" s="117" t="s">
        <v>0</v>
      </c>
      <c r="F1" s="118" t="s">
        <v>99</v>
      </c>
      <c r="G1" s="119" t="s">
        <v>84</v>
      </c>
      <c r="H1" s="119" t="s">
        <v>85</v>
      </c>
      <c r="I1" s="119" t="s">
        <v>86</v>
      </c>
      <c r="J1" s="119" t="s">
        <v>87</v>
      </c>
      <c r="K1" s="119" t="s">
        <v>88</v>
      </c>
      <c r="L1" s="120" t="s">
        <v>89</v>
      </c>
      <c r="M1" s="120" t="s">
        <v>93</v>
      </c>
      <c r="N1" s="120" t="s">
        <v>92</v>
      </c>
      <c r="O1" s="120" t="s">
        <v>90</v>
      </c>
      <c r="P1" s="120" t="s">
        <v>91</v>
      </c>
      <c r="Q1" s="121" t="s">
        <v>94</v>
      </c>
      <c r="R1" s="121" t="s">
        <v>95</v>
      </c>
      <c r="S1" s="121" t="s">
        <v>96</v>
      </c>
      <c r="T1" s="121" t="s">
        <v>97</v>
      </c>
      <c r="U1" s="121" t="s">
        <v>98</v>
      </c>
      <c r="V1" s="119" t="s">
        <v>100</v>
      </c>
      <c r="W1" s="119" t="s">
        <v>101</v>
      </c>
      <c r="X1" s="119" t="s">
        <v>102</v>
      </c>
      <c r="Y1" s="119" t="s">
        <v>134</v>
      </c>
      <c r="Z1" s="120" t="s">
        <v>103</v>
      </c>
      <c r="AA1" s="120" t="s">
        <v>104</v>
      </c>
      <c r="AB1" s="120" t="s">
        <v>105</v>
      </c>
      <c r="AC1" s="122" t="s">
        <v>135</v>
      </c>
      <c r="AD1" s="121" t="s">
        <v>106</v>
      </c>
      <c r="AE1" s="121" t="s">
        <v>107</v>
      </c>
      <c r="AF1" s="121" t="s">
        <v>108</v>
      </c>
      <c r="AG1" s="121" t="s">
        <v>136</v>
      </c>
      <c r="AH1" s="119" t="s">
        <v>109</v>
      </c>
      <c r="AI1" s="119" t="s">
        <v>111</v>
      </c>
      <c r="AJ1" s="119" t="s">
        <v>110</v>
      </c>
      <c r="AK1" s="120" t="s">
        <v>115</v>
      </c>
      <c r="AL1" s="120" t="s">
        <v>116</v>
      </c>
      <c r="AM1" s="120" t="s">
        <v>117</v>
      </c>
      <c r="AN1" s="121" t="s">
        <v>112</v>
      </c>
      <c r="AO1" s="121" t="s">
        <v>113</v>
      </c>
      <c r="AP1" s="121" t="s">
        <v>114</v>
      </c>
    </row>
    <row r="2" spans="1:42" x14ac:dyDescent="0.15">
      <c r="A2" s="123" t="s">
        <v>74</v>
      </c>
      <c r="B2" s="124">
        <v>1</v>
      </c>
      <c r="D2">
        <v>1</v>
      </c>
      <c r="E2" s="189" t="s">
        <v>191</v>
      </c>
      <c r="F2">
        <v>0.98</v>
      </c>
      <c r="G2">
        <v>0.8</v>
      </c>
      <c r="H2">
        <v>0.8</v>
      </c>
      <c r="I2">
        <v>0.8</v>
      </c>
      <c r="J2" s="114">
        <v>0.25</v>
      </c>
      <c r="K2" s="114">
        <v>0.05</v>
      </c>
    </row>
    <row r="3" spans="1:42" x14ac:dyDescent="0.15">
      <c r="A3" s="123" t="s">
        <v>75</v>
      </c>
      <c r="B3" s="125">
        <v>1</v>
      </c>
      <c r="D3">
        <v>2</v>
      </c>
      <c r="E3" s="189" t="s">
        <v>192</v>
      </c>
      <c r="F3">
        <v>0.98</v>
      </c>
      <c r="G3">
        <v>0.8</v>
      </c>
      <c r="H3">
        <v>0.8</v>
      </c>
      <c r="I3">
        <v>0.8</v>
      </c>
      <c r="J3" s="114">
        <v>0.25</v>
      </c>
      <c r="K3" s="114">
        <v>0.05</v>
      </c>
    </row>
    <row r="4" spans="1:42" x14ac:dyDescent="0.15">
      <c r="A4" s="123" t="s">
        <v>76</v>
      </c>
      <c r="B4" s="125">
        <v>1</v>
      </c>
      <c r="D4">
        <v>3</v>
      </c>
      <c r="E4" s="189" t="s">
        <v>193</v>
      </c>
      <c r="F4">
        <v>0.98</v>
      </c>
      <c r="G4">
        <v>0.8</v>
      </c>
      <c r="H4">
        <v>0.8</v>
      </c>
      <c r="I4">
        <v>0.8</v>
      </c>
      <c r="J4" s="114">
        <v>0.25</v>
      </c>
      <c r="K4" s="114">
        <v>0.05</v>
      </c>
    </row>
    <row r="5" spans="1:42" x14ac:dyDescent="0.15">
      <c r="A5" s="123" t="s">
        <v>77</v>
      </c>
      <c r="B5" s="125">
        <v>1</v>
      </c>
      <c r="D5">
        <v>4</v>
      </c>
      <c r="E5" s="189" t="s">
        <v>194</v>
      </c>
      <c r="F5">
        <v>0.98</v>
      </c>
      <c r="G5">
        <v>0.8</v>
      </c>
      <c r="H5">
        <v>0.8</v>
      </c>
      <c r="I5">
        <v>0.8</v>
      </c>
      <c r="J5" s="114">
        <v>0.25</v>
      </c>
      <c r="K5" s="114">
        <v>0.05</v>
      </c>
    </row>
    <row r="6" spans="1:42" x14ac:dyDescent="0.15">
      <c r="A6" s="123" t="s">
        <v>78</v>
      </c>
      <c r="B6" s="125">
        <v>1</v>
      </c>
      <c r="D6">
        <v>5</v>
      </c>
      <c r="E6" s="189" t="s">
        <v>195</v>
      </c>
      <c r="F6">
        <v>0.98</v>
      </c>
      <c r="G6">
        <v>0.8</v>
      </c>
      <c r="H6">
        <v>0.8</v>
      </c>
      <c r="I6">
        <v>0.8</v>
      </c>
      <c r="J6" s="114">
        <v>0.25</v>
      </c>
      <c r="K6" s="114">
        <v>0.05</v>
      </c>
    </row>
    <row r="7" spans="1:42" x14ac:dyDescent="0.15">
      <c r="A7" s="123" t="s">
        <v>79</v>
      </c>
      <c r="B7" s="125">
        <v>1</v>
      </c>
      <c r="D7">
        <v>6</v>
      </c>
      <c r="E7" s="189" t="s">
        <v>196</v>
      </c>
      <c r="F7">
        <v>0.98</v>
      </c>
      <c r="G7">
        <v>0.8</v>
      </c>
      <c r="H7">
        <v>0.8</v>
      </c>
      <c r="I7">
        <v>0.8</v>
      </c>
      <c r="J7" s="114">
        <v>0.25</v>
      </c>
      <c r="K7" s="114">
        <v>0.05</v>
      </c>
    </row>
    <row r="8" spans="1:42" x14ac:dyDescent="0.15">
      <c r="A8" s="123" t="s">
        <v>80</v>
      </c>
      <c r="B8" s="125">
        <v>1</v>
      </c>
      <c r="D8">
        <v>7</v>
      </c>
      <c r="E8" s="189" t="s">
        <v>197</v>
      </c>
      <c r="F8">
        <v>0.98</v>
      </c>
      <c r="G8">
        <v>0.8</v>
      </c>
      <c r="H8">
        <v>0.8</v>
      </c>
      <c r="I8">
        <v>0.8</v>
      </c>
      <c r="J8" s="114">
        <v>0.25</v>
      </c>
      <c r="K8" s="114">
        <v>0.05</v>
      </c>
    </row>
    <row r="9" spans="1:42" x14ac:dyDescent="0.15">
      <c r="A9" s="123" t="s">
        <v>81</v>
      </c>
      <c r="B9" s="125">
        <v>0.1</v>
      </c>
      <c r="C9" s="61" t="s">
        <v>150</v>
      </c>
      <c r="D9">
        <v>8</v>
      </c>
      <c r="E9" s="189" t="s">
        <v>198</v>
      </c>
      <c r="F9">
        <v>0.98</v>
      </c>
      <c r="G9">
        <v>0.8</v>
      </c>
      <c r="H9">
        <v>0.8</v>
      </c>
      <c r="I9">
        <v>0.8</v>
      </c>
      <c r="J9" s="114">
        <v>0.25</v>
      </c>
      <c r="K9" s="114">
        <v>0.05</v>
      </c>
    </row>
    <row r="10" spans="1:42" ht="14" thickBot="1" x14ac:dyDescent="0.2">
      <c r="A10" s="123" t="s">
        <v>149</v>
      </c>
      <c r="B10" s="126">
        <f>1/3</f>
        <v>0.33333333333333331</v>
      </c>
      <c r="C10" s="61" t="s">
        <v>150</v>
      </c>
      <c r="D10">
        <v>9</v>
      </c>
      <c r="E10" s="189" t="s">
        <v>199</v>
      </c>
      <c r="F10">
        <v>0.98</v>
      </c>
      <c r="G10">
        <v>0.8</v>
      </c>
      <c r="H10">
        <v>0.8</v>
      </c>
      <c r="I10">
        <v>0.8</v>
      </c>
      <c r="J10" s="114">
        <v>0.25</v>
      </c>
      <c r="K10" s="114">
        <v>0.05</v>
      </c>
    </row>
    <row r="11" spans="1:42" x14ac:dyDescent="0.15">
      <c r="D11">
        <v>10</v>
      </c>
      <c r="E11" s="189" t="s">
        <v>200</v>
      </c>
      <c r="F11">
        <v>0.98</v>
      </c>
      <c r="G11">
        <v>0.8</v>
      </c>
      <c r="H11">
        <v>0.8</v>
      </c>
      <c r="I11">
        <v>0.8</v>
      </c>
      <c r="J11" s="114">
        <v>0.25</v>
      </c>
      <c r="K11" s="114">
        <v>0.05</v>
      </c>
    </row>
    <row r="12" spans="1:42" x14ac:dyDescent="0.15">
      <c r="D12">
        <v>11</v>
      </c>
      <c r="E12" s="189" t="s">
        <v>201</v>
      </c>
      <c r="F12">
        <v>0.98</v>
      </c>
      <c r="G12">
        <v>0.8</v>
      </c>
      <c r="H12">
        <v>0.8</v>
      </c>
      <c r="I12">
        <v>0.8</v>
      </c>
      <c r="J12" s="114">
        <v>0.25</v>
      </c>
      <c r="K12" s="114">
        <v>0.05</v>
      </c>
    </row>
    <row r="13" spans="1:42" x14ac:dyDescent="0.15">
      <c r="D13">
        <v>12</v>
      </c>
      <c r="E13" s="189" t="s">
        <v>202</v>
      </c>
      <c r="F13">
        <v>0.98</v>
      </c>
      <c r="G13">
        <v>0.8</v>
      </c>
      <c r="H13">
        <v>0.8</v>
      </c>
      <c r="I13">
        <v>0.8</v>
      </c>
      <c r="J13" s="114">
        <v>0.25</v>
      </c>
      <c r="K13" s="114">
        <v>0.05</v>
      </c>
    </row>
    <row r="14" spans="1:42" x14ac:dyDescent="0.15">
      <c r="D14">
        <v>13</v>
      </c>
      <c r="E14" s="189" t="s">
        <v>203</v>
      </c>
      <c r="F14">
        <v>0.98</v>
      </c>
      <c r="G14">
        <v>0.8</v>
      </c>
      <c r="H14">
        <v>0.8</v>
      </c>
      <c r="I14">
        <v>0.8</v>
      </c>
      <c r="J14" s="114">
        <v>0.25</v>
      </c>
      <c r="K14" s="114">
        <v>0.05</v>
      </c>
    </row>
    <row r="15" spans="1:42" x14ac:dyDescent="0.15">
      <c r="D15">
        <v>14</v>
      </c>
      <c r="E15" s="189" t="s">
        <v>204</v>
      </c>
      <c r="F15">
        <v>0.98</v>
      </c>
      <c r="G15">
        <v>0.8</v>
      </c>
      <c r="H15">
        <v>0.8</v>
      </c>
      <c r="I15">
        <v>0.8</v>
      </c>
      <c r="J15" s="114">
        <v>0.25</v>
      </c>
      <c r="K15" s="114">
        <v>0.05</v>
      </c>
    </row>
    <row r="16" spans="1:42" x14ac:dyDescent="0.15">
      <c r="D16">
        <v>15</v>
      </c>
      <c r="E16" s="189" t="s">
        <v>205</v>
      </c>
      <c r="F16">
        <v>0.98</v>
      </c>
      <c r="G16">
        <v>0.8</v>
      </c>
      <c r="H16">
        <v>0.8</v>
      </c>
      <c r="I16">
        <v>0.8</v>
      </c>
      <c r="J16" s="114">
        <v>0.25</v>
      </c>
      <c r="K16" s="114">
        <v>0.05</v>
      </c>
    </row>
    <row r="17" spans="4:33" ht="15" customHeight="1" x14ac:dyDescent="0.15">
      <c r="D17">
        <v>16</v>
      </c>
      <c r="E17" s="189" t="s">
        <v>206</v>
      </c>
      <c r="F17">
        <v>0.98</v>
      </c>
      <c r="G17">
        <v>0.8</v>
      </c>
      <c r="H17">
        <v>0.8</v>
      </c>
      <c r="I17">
        <v>0.8</v>
      </c>
      <c r="J17" s="114">
        <v>0.25</v>
      </c>
      <c r="K17" s="114">
        <v>0.05</v>
      </c>
    </row>
    <row r="18" spans="4:33" ht="15" customHeight="1" x14ac:dyDescent="0.15">
      <c r="D18">
        <v>17</v>
      </c>
      <c r="E18" s="189" t="s">
        <v>207</v>
      </c>
      <c r="F18">
        <v>0.98</v>
      </c>
      <c r="G18">
        <v>0.8</v>
      </c>
      <c r="H18">
        <v>0.8</v>
      </c>
      <c r="I18">
        <v>0.8</v>
      </c>
      <c r="J18" s="114">
        <v>0.25</v>
      </c>
      <c r="K18" s="114">
        <v>0.05</v>
      </c>
    </row>
    <row r="19" spans="4:33" ht="15" customHeight="1" x14ac:dyDescent="0.15">
      <c r="D19">
        <v>18</v>
      </c>
      <c r="E19" s="189" t="s">
        <v>208</v>
      </c>
      <c r="F19">
        <v>0.98</v>
      </c>
      <c r="G19">
        <v>0.8</v>
      </c>
      <c r="H19">
        <v>0.8</v>
      </c>
      <c r="I19">
        <v>0.8</v>
      </c>
      <c r="J19" s="114">
        <v>0.25</v>
      </c>
      <c r="K19" s="114">
        <v>0.05</v>
      </c>
    </row>
    <row r="20" spans="4:33" ht="15" customHeight="1" x14ac:dyDescent="0.15">
      <c r="D20">
        <v>19</v>
      </c>
      <c r="E20" s="189" t="s">
        <v>209</v>
      </c>
      <c r="F20">
        <v>0.98</v>
      </c>
      <c r="G20">
        <v>0.8</v>
      </c>
      <c r="H20">
        <v>0.8</v>
      </c>
      <c r="I20">
        <v>0.8</v>
      </c>
      <c r="J20" s="114">
        <v>0.25</v>
      </c>
      <c r="K20" s="114">
        <v>0.05</v>
      </c>
    </row>
    <row r="21" spans="4:33" ht="15" customHeight="1" x14ac:dyDescent="0.15">
      <c r="D21">
        <v>20</v>
      </c>
      <c r="E21" s="189" t="s">
        <v>210</v>
      </c>
      <c r="F21">
        <v>0.98</v>
      </c>
      <c r="G21">
        <v>0.8</v>
      </c>
      <c r="H21">
        <v>0.8</v>
      </c>
      <c r="I21">
        <v>0.8</v>
      </c>
      <c r="J21" s="114">
        <v>0.25</v>
      </c>
      <c r="K21" s="114">
        <v>0.05</v>
      </c>
    </row>
    <row r="22" spans="4:33" ht="15" customHeight="1" x14ac:dyDescent="0.15">
      <c r="D22">
        <v>21</v>
      </c>
      <c r="E22" s="189" t="s">
        <v>211</v>
      </c>
      <c r="F22">
        <v>0.98</v>
      </c>
      <c r="G22">
        <v>0.8</v>
      </c>
      <c r="H22">
        <v>0.8</v>
      </c>
      <c r="I22">
        <v>0.8</v>
      </c>
      <c r="J22" s="114">
        <v>0.25</v>
      </c>
      <c r="K22" s="114">
        <v>0.05</v>
      </c>
    </row>
    <row r="23" spans="4:33" ht="15" customHeight="1" x14ac:dyDescent="0.15">
      <c r="D23">
        <v>22</v>
      </c>
      <c r="E23" s="189" t="s">
        <v>212</v>
      </c>
      <c r="F23">
        <v>0.98</v>
      </c>
      <c r="G23">
        <v>0.8</v>
      </c>
      <c r="H23">
        <v>0.8</v>
      </c>
      <c r="I23">
        <v>0.8</v>
      </c>
      <c r="J23" s="114">
        <v>0.25</v>
      </c>
      <c r="K23" s="114">
        <v>0.05</v>
      </c>
    </row>
    <row r="24" spans="4:33" ht="15" customHeight="1" x14ac:dyDescent="0.15">
      <c r="D24">
        <v>23</v>
      </c>
      <c r="E24" s="189" t="s">
        <v>213</v>
      </c>
      <c r="F24">
        <v>0.98</v>
      </c>
      <c r="G24">
        <v>0.8</v>
      </c>
      <c r="H24">
        <v>0.8</v>
      </c>
      <c r="I24">
        <v>0.8</v>
      </c>
      <c r="J24" s="114">
        <v>0.25</v>
      </c>
      <c r="K24" s="114">
        <v>0.05</v>
      </c>
    </row>
    <row r="25" spans="4:33" ht="15" customHeight="1" x14ac:dyDescent="0.15">
      <c r="D25">
        <v>24</v>
      </c>
      <c r="E25" s="189" t="s">
        <v>214</v>
      </c>
      <c r="F25">
        <v>0.98</v>
      </c>
      <c r="G25">
        <v>0.8</v>
      </c>
      <c r="H25">
        <v>0.8</v>
      </c>
      <c r="I25">
        <v>0.8</v>
      </c>
      <c r="J25" s="114">
        <v>0.25</v>
      </c>
      <c r="K25" s="114">
        <v>0.05</v>
      </c>
    </row>
    <row r="26" spans="4:33" ht="15" customHeight="1" x14ac:dyDescent="0.15">
      <c r="D26">
        <v>25</v>
      </c>
      <c r="E26" s="189" t="s">
        <v>215</v>
      </c>
      <c r="F26">
        <v>0.98</v>
      </c>
      <c r="G26">
        <v>0.8</v>
      </c>
      <c r="H26">
        <v>0.8</v>
      </c>
      <c r="I26">
        <v>0.8</v>
      </c>
      <c r="J26" s="114">
        <v>0.25</v>
      </c>
      <c r="K26" s="114">
        <v>0.05</v>
      </c>
    </row>
    <row r="27" spans="4:33" ht="15" customHeight="1" x14ac:dyDescent="0.15">
      <c r="D27">
        <v>26</v>
      </c>
      <c r="E27" s="189" t="s">
        <v>216</v>
      </c>
      <c r="F27">
        <v>0.98</v>
      </c>
      <c r="G27">
        <v>0.8</v>
      </c>
      <c r="H27">
        <v>0.8</v>
      </c>
      <c r="I27">
        <v>0.8</v>
      </c>
      <c r="J27" s="114">
        <v>0.25</v>
      </c>
      <c r="K27" s="114">
        <v>0.05</v>
      </c>
    </row>
    <row r="28" spans="4:33" ht="15" customHeight="1" x14ac:dyDescent="0.15">
      <c r="D28">
        <v>27</v>
      </c>
      <c r="E28" s="189" t="s">
        <v>217</v>
      </c>
      <c r="F28">
        <v>0.98</v>
      </c>
      <c r="G28">
        <v>0.8</v>
      </c>
      <c r="H28">
        <v>0.8</v>
      </c>
      <c r="I28">
        <v>0.8</v>
      </c>
      <c r="J28" s="114">
        <v>0.25</v>
      </c>
      <c r="K28" s="114">
        <v>0.05</v>
      </c>
    </row>
    <row r="29" spans="4:33" ht="15" customHeight="1" x14ac:dyDescent="0.15">
      <c r="D29">
        <v>28</v>
      </c>
      <c r="E29" s="189" t="s">
        <v>218</v>
      </c>
      <c r="F29">
        <v>0.98</v>
      </c>
      <c r="G29">
        <v>0.8</v>
      </c>
      <c r="H29">
        <v>0.8</v>
      </c>
      <c r="I29">
        <v>0.8</v>
      </c>
      <c r="J29" s="114">
        <v>0.25</v>
      </c>
      <c r="K29" s="114">
        <v>0.05</v>
      </c>
      <c r="Y29"/>
      <c r="AC29"/>
      <c r="AG29"/>
    </row>
    <row r="30" spans="4:33" ht="15" customHeight="1" x14ac:dyDescent="0.15">
      <c r="D30">
        <v>29</v>
      </c>
      <c r="E30" s="189" t="s">
        <v>219</v>
      </c>
      <c r="F30">
        <v>0.98</v>
      </c>
      <c r="G30">
        <v>0.8</v>
      </c>
      <c r="H30">
        <v>0.8</v>
      </c>
      <c r="I30">
        <v>0.8</v>
      </c>
      <c r="J30" s="114">
        <v>0.25</v>
      </c>
      <c r="K30" s="114">
        <v>0.05</v>
      </c>
      <c r="Y30"/>
      <c r="AC30"/>
      <c r="AG30"/>
    </row>
    <row r="31" spans="4:33" ht="15" customHeight="1" x14ac:dyDescent="0.15">
      <c r="D31">
        <v>30</v>
      </c>
      <c r="E31" s="189" t="s">
        <v>220</v>
      </c>
      <c r="F31">
        <v>0.98</v>
      </c>
      <c r="G31">
        <v>0.8</v>
      </c>
      <c r="H31">
        <v>0.8</v>
      </c>
      <c r="I31">
        <v>0.8</v>
      </c>
      <c r="J31" s="114">
        <v>0.25</v>
      </c>
      <c r="K31" s="114">
        <v>0.05</v>
      </c>
      <c r="Y31"/>
      <c r="AC31"/>
      <c r="AG31"/>
    </row>
    <row r="32" spans="4:33" ht="15" customHeight="1" x14ac:dyDescent="0.15">
      <c r="D32">
        <v>31</v>
      </c>
      <c r="E32" s="189" t="s">
        <v>221</v>
      </c>
      <c r="F32">
        <v>0.98</v>
      </c>
      <c r="G32">
        <v>0.8</v>
      </c>
      <c r="H32">
        <v>0.8</v>
      </c>
      <c r="I32">
        <v>0.8</v>
      </c>
      <c r="J32" s="114">
        <v>0.25</v>
      </c>
      <c r="K32" s="114">
        <v>0.05</v>
      </c>
      <c r="Y32"/>
      <c r="AC32"/>
      <c r="AG32"/>
    </row>
    <row r="33" spans="4:33" ht="15" customHeight="1" x14ac:dyDescent="0.15">
      <c r="D33">
        <v>32</v>
      </c>
      <c r="E33" s="189" t="s">
        <v>222</v>
      </c>
      <c r="F33">
        <v>0.98</v>
      </c>
      <c r="G33">
        <v>0.8</v>
      </c>
      <c r="H33">
        <v>0.8</v>
      </c>
      <c r="I33">
        <v>0.8</v>
      </c>
      <c r="J33" s="114">
        <v>0.25</v>
      </c>
      <c r="K33" s="114">
        <v>0.05</v>
      </c>
      <c r="Y33"/>
      <c r="AC33"/>
      <c r="AG33"/>
    </row>
    <row r="34" spans="4:33" ht="15" customHeight="1" x14ac:dyDescent="0.15">
      <c r="D34">
        <v>33</v>
      </c>
      <c r="E34" s="189" t="s">
        <v>223</v>
      </c>
      <c r="F34">
        <v>0.98</v>
      </c>
      <c r="G34">
        <v>0.8</v>
      </c>
      <c r="H34">
        <v>0.8</v>
      </c>
      <c r="I34">
        <v>0.8</v>
      </c>
      <c r="J34" s="114">
        <v>0.25</v>
      </c>
      <c r="K34" s="114">
        <v>0.05</v>
      </c>
      <c r="Y34"/>
      <c r="AC34"/>
      <c r="AG34"/>
    </row>
    <row r="35" spans="4:33" ht="15" customHeight="1" x14ac:dyDescent="0.15">
      <c r="D35">
        <v>34</v>
      </c>
      <c r="E35" s="189" t="s">
        <v>224</v>
      </c>
      <c r="F35">
        <v>0.98</v>
      </c>
      <c r="G35">
        <v>0.8</v>
      </c>
      <c r="H35">
        <v>0.8</v>
      </c>
      <c r="I35">
        <v>0.8</v>
      </c>
      <c r="J35" s="114">
        <v>0.25</v>
      </c>
      <c r="K35" s="114">
        <v>0.05</v>
      </c>
      <c r="Y35"/>
      <c r="AC35"/>
      <c r="AG35"/>
    </row>
    <row r="36" spans="4:33" ht="15" customHeight="1" x14ac:dyDescent="0.15">
      <c r="D36">
        <v>35</v>
      </c>
      <c r="E36" s="189" t="s">
        <v>225</v>
      </c>
      <c r="F36">
        <v>0.98</v>
      </c>
      <c r="G36">
        <v>0.8</v>
      </c>
      <c r="H36">
        <v>0.8</v>
      </c>
      <c r="I36">
        <v>0.8</v>
      </c>
      <c r="J36" s="114">
        <v>0.25</v>
      </c>
      <c r="K36" s="114">
        <v>0.05</v>
      </c>
      <c r="Y36"/>
      <c r="AC36"/>
      <c r="AG36"/>
    </row>
    <row r="37" spans="4:33" ht="15" customHeight="1" x14ac:dyDescent="0.15">
      <c r="D37">
        <v>36</v>
      </c>
      <c r="E37" s="189" t="s">
        <v>226</v>
      </c>
      <c r="F37">
        <v>0.98</v>
      </c>
      <c r="G37">
        <v>0.8</v>
      </c>
      <c r="H37">
        <v>0.8</v>
      </c>
      <c r="I37">
        <v>0.8</v>
      </c>
      <c r="J37" s="114">
        <v>0.25</v>
      </c>
      <c r="K37" s="114">
        <v>0.05</v>
      </c>
      <c r="Y37"/>
      <c r="AC37"/>
      <c r="AG37"/>
    </row>
    <row r="38" spans="4:33" ht="15" customHeight="1" x14ac:dyDescent="0.15">
      <c r="D38">
        <v>37</v>
      </c>
      <c r="E38" s="189" t="s">
        <v>227</v>
      </c>
      <c r="F38">
        <v>0.98</v>
      </c>
      <c r="G38">
        <v>0.8</v>
      </c>
      <c r="H38">
        <v>0.8</v>
      </c>
      <c r="I38">
        <v>0.8</v>
      </c>
      <c r="J38" s="114">
        <v>0.25</v>
      </c>
      <c r="K38" s="114">
        <v>0.05</v>
      </c>
      <c r="Y38"/>
      <c r="AC38"/>
      <c r="AG38"/>
    </row>
    <row r="39" spans="4:33" ht="15" customHeight="1" x14ac:dyDescent="0.15">
      <c r="D39">
        <v>38</v>
      </c>
      <c r="E39" s="189" t="s">
        <v>228</v>
      </c>
      <c r="F39">
        <v>0.98</v>
      </c>
      <c r="G39">
        <v>0.8</v>
      </c>
      <c r="H39">
        <v>0.8</v>
      </c>
      <c r="I39">
        <v>0.8</v>
      </c>
      <c r="J39" s="114">
        <v>0.25</v>
      </c>
      <c r="K39" s="114">
        <v>0.05</v>
      </c>
    </row>
    <row r="40" spans="4:33" ht="15" customHeight="1" x14ac:dyDescent="0.15">
      <c r="D40">
        <v>39</v>
      </c>
      <c r="E40" s="189" t="s">
        <v>229</v>
      </c>
      <c r="F40">
        <v>0.98</v>
      </c>
      <c r="G40">
        <v>0.8</v>
      </c>
      <c r="H40">
        <v>0.8</v>
      </c>
      <c r="I40">
        <v>0.8</v>
      </c>
      <c r="J40" s="114">
        <v>0.25</v>
      </c>
      <c r="K40" s="114">
        <v>0.05</v>
      </c>
      <c r="Y40"/>
      <c r="AC40"/>
      <c r="AG40"/>
    </row>
    <row r="41" spans="4:33" ht="15" customHeight="1" x14ac:dyDescent="0.15">
      <c r="D41">
        <v>40</v>
      </c>
      <c r="E41" s="189" t="s">
        <v>230</v>
      </c>
      <c r="F41">
        <v>0.98</v>
      </c>
      <c r="G41">
        <v>0.8</v>
      </c>
      <c r="H41">
        <v>0.8</v>
      </c>
      <c r="I41">
        <v>0.8</v>
      </c>
      <c r="J41" s="114">
        <v>0.25</v>
      </c>
      <c r="K41" s="114">
        <v>0.05</v>
      </c>
      <c r="Y41"/>
      <c r="AC41"/>
      <c r="AG41"/>
    </row>
    <row r="42" spans="4:33" ht="15" customHeight="1" x14ac:dyDescent="0.15">
      <c r="D42">
        <v>41</v>
      </c>
      <c r="E42" s="189" t="s">
        <v>231</v>
      </c>
      <c r="F42">
        <v>0.98</v>
      </c>
      <c r="G42">
        <v>0.8</v>
      </c>
      <c r="H42">
        <v>0.8</v>
      </c>
      <c r="I42">
        <v>0.8</v>
      </c>
      <c r="J42" s="114">
        <v>0.25</v>
      </c>
      <c r="K42" s="114">
        <v>0.05</v>
      </c>
      <c r="Y42"/>
      <c r="AC42"/>
      <c r="AG42"/>
    </row>
    <row r="43" spans="4:33" ht="15" customHeight="1" x14ac:dyDescent="0.15">
      <c r="D43">
        <v>42</v>
      </c>
      <c r="E43" s="189" t="s">
        <v>232</v>
      </c>
      <c r="F43">
        <v>0.98</v>
      </c>
      <c r="G43">
        <v>0.8</v>
      </c>
      <c r="H43">
        <v>0.8</v>
      </c>
      <c r="I43">
        <v>0.8</v>
      </c>
      <c r="J43" s="114">
        <v>0.25</v>
      </c>
      <c r="K43" s="114">
        <v>0.05</v>
      </c>
      <c r="Y43"/>
      <c r="AC43"/>
      <c r="AG43"/>
    </row>
    <row r="44" spans="4:33" ht="15" customHeight="1" x14ac:dyDescent="0.15">
      <c r="D44">
        <v>43</v>
      </c>
      <c r="E44" s="189" t="s">
        <v>233</v>
      </c>
      <c r="F44">
        <v>0.98</v>
      </c>
      <c r="G44">
        <v>0.8</v>
      </c>
      <c r="H44">
        <v>0.8</v>
      </c>
      <c r="I44">
        <v>0</v>
      </c>
      <c r="J44" s="114">
        <v>0</v>
      </c>
      <c r="K44" s="114">
        <v>0</v>
      </c>
      <c r="Y44"/>
      <c r="AC44"/>
      <c r="AG44"/>
    </row>
    <row r="45" spans="4:33" ht="15" customHeight="1" x14ac:dyDescent="0.15">
      <c r="D45">
        <v>44</v>
      </c>
      <c r="E45" s="189" t="s">
        <v>234</v>
      </c>
      <c r="F45">
        <v>0.98</v>
      </c>
      <c r="G45">
        <v>0.8</v>
      </c>
      <c r="H45">
        <v>0</v>
      </c>
      <c r="I45">
        <v>0</v>
      </c>
      <c r="J45" s="114">
        <v>0</v>
      </c>
      <c r="K45" s="114">
        <v>0</v>
      </c>
      <c r="Y45"/>
      <c r="AC45"/>
      <c r="AG45"/>
    </row>
    <row r="46" spans="4:33" ht="15" customHeight="1" x14ac:dyDescent="0.15">
      <c r="D46">
        <v>45</v>
      </c>
      <c r="E46" s="189" t="s">
        <v>235</v>
      </c>
      <c r="F46">
        <v>0.98</v>
      </c>
      <c r="G46">
        <v>0.8</v>
      </c>
      <c r="H46">
        <v>0</v>
      </c>
      <c r="I46">
        <v>0</v>
      </c>
      <c r="J46" s="114">
        <v>0</v>
      </c>
      <c r="K46" s="114">
        <v>0</v>
      </c>
      <c r="Y46"/>
      <c r="AC46"/>
      <c r="AG46"/>
    </row>
    <row r="47" spans="4:33" ht="15" customHeight="1" x14ac:dyDescent="0.15">
      <c r="J47"/>
      <c r="K47"/>
      <c r="Y47"/>
      <c r="AC47"/>
      <c r="AG47"/>
    </row>
    <row r="48" spans="4: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T47"/>
  <sheetViews>
    <sheetView workbookViewId="0">
      <selection activeCell="A3" sqref="A3"/>
    </sheetView>
  </sheetViews>
  <sheetFormatPr baseColWidth="10" defaultRowHeight="13" x14ac:dyDescent="0.15"/>
  <cols>
    <col min="1" max="1" width="27.5" style="112" bestFit="1" customWidth="1"/>
    <col min="2" max="43" width="3.83203125" style="112" customWidth="1"/>
    <col min="44" max="46" width="2.33203125" style="112" customWidth="1"/>
    <col min="47" max="16384" width="10.83203125" style="112"/>
  </cols>
  <sheetData>
    <row r="1" spans="1:46" x14ac:dyDescent="0.15">
      <c r="A1" s="63" t="s">
        <v>118</v>
      </c>
      <c r="B1" s="191" t="s">
        <v>191</v>
      </c>
      <c r="C1" s="191" t="s">
        <v>192</v>
      </c>
      <c r="D1" s="191" t="s">
        <v>193</v>
      </c>
      <c r="E1" s="191" t="s">
        <v>194</v>
      </c>
      <c r="F1" s="191" t="s">
        <v>195</v>
      </c>
      <c r="G1" s="191" t="s">
        <v>196</v>
      </c>
      <c r="H1" s="191" t="s">
        <v>197</v>
      </c>
      <c r="I1" s="191" t="s">
        <v>198</v>
      </c>
      <c r="J1" s="191" t="s">
        <v>199</v>
      </c>
      <c r="K1" s="191" t="s">
        <v>200</v>
      </c>
      <c r="L1" s="191" t="s">
        <v>201</v>
      </c>
      <c r="M1" s="191" t="s">
        <v>202</v>
      </c>
      <c r="N1" s="191" t="s">
        <v>203</v>
      </c>
      <c r="O1" s="191" t="s">
        <v>204</v>
      </c>
      <c r="P1" s="191" t="s">
        <v>205</v>
      </c>
      <c r="Q1" s="191" t="s">
        <v>206</v>
      </c>
      <c r="R1" s="191" t="s">
        <v>207</v>
      </c>
      <c r="S1" s="191" t="s">
        <v>208</v>
      </c>
      <c r="T1" s="191" t="s">
        <v>209</v>
      </c>
      <c r="U1" s="191" t="s">
        <v>210</v>
      </c>
      <c r="V1" s="191" t="s">
        <v>211</v>
      </c>
      <c r="W1" s="191" t="s">
        <v>212</v>
      </c>
      <c r="X1" s="191" t="s">
        <v>213</v>
      </c>
      <c r="Y1" s="191" t="s">
        <v>214</v>
      </c>
      <c r="Z1" s="191" t="s">
        <v>215</v>
      </c>
      <c r="AA1" s="191" t="s">
        <v>216</v>
      </c>
      <c r="AB1" s="191" t="s">
        <v>217</v>
      </c>
      <c r="AC1" s="191" t="s">
        <v>218</v>
      </c>
      <c r="AD1" s="191" t="s">
        <v>219</v>
      </c>
      <c r="AE1" s="191" t="s">
        <v>220</v>
      </c>
      <c r="AF1" s="191" t="s">
        <v>221</v>
      </c>
      <c r="AG1" s="191" t="s">
        <v>222</v>
      </c>
      <c r="AH1" s="191" t="s">
        <v>223</v>
      </c>
      <c r="AI1" s="191" t="s">
        <v>224</v>
      </c>
      <c r="AJ1" s="191" t="s">
        <v>225</v>
      </c>
      <c r="AK1" s="191" t="s">
        <v>226</v>
      </c>
      <c r="AL1" s="191" t="s">
        <v>227</v>
      </c>
      <c r="AM1" s="191" t="s">
        <v>228</v>
      </c>
      <c r="AN1" s="191" t="s">
        <v>229</v>
      </c>
      <c r="AO1" s="191" t="s">
        <v>230</v>
      </c>
      <c r="AP1" s="191" t="s">
        <v>231</v>
      </c>
      <c r="AQ1" s="191" t="s">
        <v>232</v>
      </c>
      <c r="AR1" s="191" t="s">
        <v>233</v>
      </c>
      <c r="AS1" s="191" t="s">
        <v>234</v>
      </c>
      <c r="AT1" s="191" t="s">
        <v>235</v>
      </c>
    </row>
    <row r="2" spans="1:46" customFormat="1" x14ac:dyDescent="0.15">
      <c r="A2" s="190" t="s">
        <v>191</v>
      </c>
      <c r="B2" s="112">
        <v>0</v>
      </c>
      <c r="C2" s="112">
        <v>0</v>
      </c>
      <c r="D2" s="112">
        <v>0</v>
      </c>
      <c r="E2" s="112">
        <v>0</v>
      </c>
      <c r="F2" s="112">
        <v>0.8</v>
      </c>
      <c r="G2" s="112">
        <v>0.8</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c r="AQ2" s="112">
        <v>0</v>
      </c>
      <c r="AR2" s="112">
        <v>0</v>
      </c>
      <c r="AS2" s="112">
        <v>0</v>
      </c>
      <c r="AT2" s="112">
        <v>0</v>
      </c>
    </row>
    <row r="3" spans="1:46" customFormat="1" x14ac:dyDescent="0.15">
      <c r="A3" s="190" t="s">
        <v>192</v>
      </c>
      <c r="B3" s="112">
        <v>0</v>
      </c>
      <c r="C3" s="112">
        <v>0</v>
      </c>
      <c r="D3" s="112">
        <v>0</v>
      </c>
      <c r="E3" s="112">
        <v>0</v>
      </c>
      <c r="F3" s="112">
        <v>0.8</v>
      </c>
      <c r="G3" s="112">
        <v>0.8</v>
      </c>
      <c r="H3" s="112">
        <v>0</v>
      </c>
      <c r="I3" s="112">
        <v>0</v>
      </c>
      <c r="J3" s="112">
        <v>0</v>
      </c>
      <c r="K3" s="112">
        <v>0</v>
      </c>
      <c r="L3" s="112">
        <v>0</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c r="AQ3" s="112">
        <v>0</v>
      </c>
      <c r="AR3" s="112">
        <v>0</v>
      </c>
      <c r="AS3" s="112">
        <v>0</v>
      </c>
      <c r="AT3" s="112">
        <v>0</v>
      </c>
    </row>
    <row r="4" spans="1:46" customFormat="1" x14ac:dyDescent="0.15">
      <c r="A4" s="190" t="s">
        <v>193</v>
      </c>
      <c r="B4" s="112">
        <v>0</v>
      </c>
      <c r="C4" s="112">
        <v>0</v>
      </c>
      <c r="D4" s="112">
        <v>0</v>
      </c>
      <c r="E4" s="112">
        <v>0</v>
      </c>
      <c r="F4" s="112">
        <v>0</v>
      </c>
      <c r="G4" s="112">
        <v>0.8</v>
      </c>
      <c r="H4" s="112">
        <v>0</v>
      </c>
      <c r="I4" s="112">
        <v>0</v>
      </c>
      <c r="J4" s="112">
        <v>0</v>
      </c>
      <c r="K4" s="112">
        <v>0</v>
      </c>
      <c r="L4" s="112">
        <v>0</v>
      </c>
      <c r="M4" s="112">
        <v>0</v>
      </c>
      <c r="N4" s="112">
        <v>0</v>
      </c>
      <c r="O4" s="112">
        <v>0</v>
      </c>
      <c r="P4" s="112">
        <v>0</v>
      </c>
      <c r="Q4" s="112">
        <v>0</v>
      </c>
      <c r="R4" s="112">
        <v>0</v>
      </c>
      <c r="S4" s="112">
        <v>0</v>
      </c>
      <c r="T4" s="112">
        <v>0</v>
      </c>
      <c r="U4" s="112">
        <v>0</v>
      </c>
      <c r="V4" s="112">
        <v>0.8</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c r="AQ4" s="112">
        <v>0</v>
      </c>
      <c r="AR4" s="112">
        <v>0</v>
      </c>
      <c r="AS4" s="112">
        <v>0</v>
      </c>
      <c r="AT4" s="112">
        <v>0</v>
      </c>
    </row>
    <row r="5" spans="1:46" customFormat="1" x14ac:dyDescent="0.15">
      <c r="A5" s="190" t="s">
        <v>194</v>
      </c>
      <c r="B5" s="112">
        <v>0</v>
      </c>
      <c r="C5" s="112">
        <v>0</v>
      </c>
      <c r="D5" s="112">
        <v>0</v>
      </c>
      <c r="E5" s="112">
        <v>0</v>
      </c>
      <c r="F5" s="112">
        <v>0</v>
      </c>
      <c r="G5" s="112">
        <v>0</v>
      </c>
      <c r="H5" s="112">
        <v>0</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c r="AQ5" s="112">
        <v>0</v>
      </c>
      <c r="AR5" s="112">
        <v>0</v>
      </c>
      <c r="AS5" s="112">
        <v>0</v>
      </c>
      <c r="AT5" s="112">
        <v>0</v>
      </c>
    </row>
    <row r="6" spans="1:46" customFormat="1" x14ac:dyDescent="0.15">
      <c r="A6" s="190" t="s">
        <v>195</v>
      </c>
      <c r="B6" s="112">
        <v>0</v>
      </c>
      <c r="C6" s="112">
        <v>0</v>
      </c>
      <c r="D6" s="112">
        <v>0</v>
      </c>
      <c r="E6" s="112">
        <v>0</v>
      </c>
      <c r="F6" s="112">
        <v>0</v>
      </c>
      <c r="G6" s="112">
        <v>0.8</v>
      </c>
      <c r="H6" s="112">
        <v>0</v>
      </c>
      <c r="I6" s="112">
        <v>0</v>
      </c>
      <c r="J6" s="112">
        <v>0</v>
      </c>
      <c r="K6" s="112">
        <v>0</v>
      </c>
      <c r="L6" s="112">
        <v>0</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c r="AQ6" s="112">
        <v>0</v>
      </c>
      <c r="AR6" s="112">
        <v>0</v>
      </c>
      <c r="AS6" s="112">
        <v>0</v>
      </c>
      <c r="AT6" s="112">
        <v>0</v>
      </c>
    </row>
    <row r="7" spans="1:46" customFormat="1" x14ac:dyDescent="0.15">
      <c r="A7" s="190" t="s">
        <v>196</v>
      </c>
      <c r="B7" s="112">
        <v>0</v>
      </c>
      <c r="C7" s="112">
        <v>0</v>
      </c>
      <c r="D7" s="112">
        <v>0</v>
      </c>
      <c r="E7" s="112">
        <v>0</v>
      </c>
      <c r="F7" s="112">
        <v>0</v>
      </c>
      <c r="G7" s="112">
        <v>0.8</v>
      </c>
      <c r="H7" s="112">
        <v>0</v>
      </c>
      <c r="I7" s="112">
        <v>0</v>
      </c>
      <c r="J7" s="112">
        <v>0</v>
      </c>
      <c r="K7" s="112">
        <v>0</v>
      </c>
      <c r="L7" s="112">
        <v>0</v>
      </c>
      <c r="M7" s="112">
        <v>0</v>
      </c>
      <c r="N7" s="112">
        <v>0</v>
      </c>
      <c r="O7" s="112">
        <v>0</v>
      </c>
      <c r="P7" s="112">
        <v>0</v>
      </c>
      <c r="Q7" s="112">
        <v>0</v>
      </c>
      <c r="R7" s="112">
        <v>0</v>
      </c>
      <c r="S7" s="112">
        <v>0</v>
      </c>
      <c r="T7" s="112">
        <v>0</v>
      </c>
      <c r="U7" s="112">
        <v>0</v>
      </c>
      <c r="V7" s="112">
        <v>0.8</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c r="AQ7" s="112">
        <v>0</v>
      </c>
      <c r="AR7" s="112">
        <v>0</v>
      </c>
      <c r="AS7" s="112">
        <v>0</v>
      </c>
      <c r="AT7" s="112">
        <v>0</v>
      </c>
    </row>
    <row r="8" spans="1:46" customFormat="1" x14ac:dyDescent="0.15">
      <c r="A8" s="190" t="s">
        <v>197</v>
      </c>
      <c r="B8" s="112">
        <v>0</v>
      </c>
      <c r="C8" s="112">
        <v>0</v>
      </c>
      <c r="D8" s="112">
        <v>0</v>
      </c>
      <c r="E8" s="112">
        <v>0</v>
      </c>
      <c r="F8" s="112">
        <v>0.8</v>
      </c>
      <c r="G8" s="112">
        <v>0.8</v>
      </c>
      <c r="H8" s="112">
        <v>0</v>
      </c>
      <c r="I8" s="112">
        <v>0</v>
      </c>
      <c r="J8" s="112">
        <v>0.8</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c r="AQ8" s="112">
        <v>0</v>
      </c>
      <c r="AR8" s="112">
        <v>0</v>
      </c>
      <c r="AS8" s="112">
        <v>0</v>
      </c>
      <c r="AT8" s="112">
        <v>0</v>
      </c>
    </row>
    <row r="9" spans="1:46" customFormat="1" x14ac:dyDescent="0.15">
      <c r="A9" s="190" t="s">
        <v>198</v>
      </c>
      <c r="B9" s="112">
        <v>0</v>
      </c>
      <c r="C9" s="112">
        <v>0</v>
      </c>
      <c r="D9" s="112">
        <v>0</v>
      </c>
      <c r="E9" s="112">
        <v>0</v>
      </c>
      <c r="F9" s="112">
        <v>0.8</v>
      </c>
      <c r="G9" s="112">
        <v>0.8</v>
      </c>
      <c r="H9" s="112">
        <v>0</v>
      </c>
      <c r="I9" s="112">
        <v>0</v>
      </c>
      <c r="J9" s="112">
        <v>0</v>
      </c>
      <c r="K9" s="112">
        <v>0</v>
      </c>
      <c r="L9" s="112">
        <v>0</v>
      </c>
      <c r="M9" s="112">
        <v>0.8</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c r="AQ9" s="112">
        <v>0</v>
      </c>
      <c r="AR9" s="112">
        <v>0</v>
      </c>
      <c r="AS9" s="112">
        <v>0</v>
      </c>
      <c r="AT9" s="112">
        <v>0</v>
      </c>
    </row>
    <row r="10" spans="1:46" customFormat="1" x14ac:dyDescent="0.15">
      <c r="A10" s="190" t="s">
        <v>199</v>
      </c>
      <c r="B10" s="112">
        <v>0</v>
      </c>
      <c r="C10" s="112">
        <v>0</v>
      </c>
      <c r="D10" s="112">
        <v>0</v>
      </c>
      <c r="E10" s="112">
        <v>0</v>
      </c>
      <c r="F10" s="112">
        <v>0</v>
      </c>
      <c r="G10" s="112">
        <v>0.8</v>
      </c>
      <c r="H10" s="112">
        <v>0</v>
      </c>
      <c r="I10" s="112">
        <v>0</v>
      </c>
      <c r="J10" s="112">
        <v>0</v>
      </c>
      <c r="K10" s="112">
        <v>0</v>
      </c>
      <c r="L10" s="112">
        <v>0.8</v>
      </c>
      <c r="M10" s="112">
        <v>0</v>
      </c>
      <c r="N10" s="112">
        <v>0</v>
      </c>
      <c r="O10" s="112">
        <v>0</v>
      </c>
      <c r="P10" s="112">
        <v>0</v>
      </c>
      <c r="Q10" s="112">
        <v>0</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c r="AQ10" s="112">
        <v>0</v>
      </c>
      <c r="AR10" s="112">
        <v>0</v>
      </c>
      <c r="AS10" s="112">
        <v>0</v>
      </c>
      <c r="AT10" s="112">
        <v>0</v>
      </c>
    </row>
    <row r="11" spans="1:46" customFormat="1" x14ac:dyDescent="0.15">
      <c r="A11" s="190" t="s">
        <v>200</v>
      </c>
      <c r="B11" s="112">
        <v>0</v>
      </c>
      <c r="C11" s="112">
        <v>0</v>
      </c>
      <c r="D11" s="112">
        <v>0</v>
      </c>
      <c r="E11" s="112">
        <v>0</v>
      </c>
      <c r="F11" s="112">
        <v>0</v>
      </c>
      <c r="G11" s="112">
        <v>0.8</v>
      </c>
      <c r="H11" s="112">
        <v>0</v>
      </c>
      <c r="I11" s="112">
        <v>0</v>
      </c>
      <c r="J11" s="112">
        <v>0</v>
      </c>
      <c r="K11" s="112">
        <v>0</v>
      </c>
      <c r="L11" s="112">
        <v>0.8</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c r="AQ11" s="112">
        <v>0</v>
      </c>
      <c r="AR11" s="112">
        <v>0</v>
      </c>
      <c r="AS11" s="112">
        <v>0</v>
      </c>
      <c r="AT11" s="112">
        <v>0</v>
      </c>
    </row>
    <row r="12" spans="1:46" customFormat="1" x14ac:dyDescent="0.15">
      <c r="A12" s="190" t="s">
        <v>201</v>
      </c>
      <c r="B12" s="112">
        <v>0</v>
      </c>
      <c r="C12" s="112">
        <v>0</v>
      </c>
      <c r="D12" s="112">
        <v>0</v>
      </c>
      <c r="E12" s="112">
        <v>0.8</v>
      </c>
      <c r="F12" s="112">
        <v>0.8</v>
      </c>
      <c r="G12" s="112">
        <v>0.8</v>
      </c>
      <c r="H12" s="112">
        <v>0</v>
      </c>
      <c r="I12" s="112">
        <v>0</v>
      </c>
      <c r="J12" s="112">
        <v>0</v>
      </c>
      <c r="K12" s="112">
        <v>0</v>
      </c>
      <c r="L12" s="112">
        <v>0.8</v>
      </c>
      <c r="M12" s="112">
        <v>0.8</v>
      </c>
      <c r="N12" s="112">
        <v>0</v>
      </c>
      <c r="O12" s="112">
        <v>0</v>
      </c>
      <c r="P12" s="112">
        <v>0</v>
      </c>
      <c r="Q12" s="112">
        <v>0</v>
      </c>
      <c r="R12" s="112">
        <v>0</v>
      </c>
      <c r="S12" s="112">
        <v>0</v>
      </c>
      <c r="T12" s="112">
        <v>0</v>
      </c>
      <c r="U12" s="112">
        <v>0</v>
      </c>
      <c r="V12" s="112">
        <v>0</v>
      </c>
      <c r="W12" s="112">
        <v>0</v>
      </c>
      <c r="X12" s="112">
        <v>0</v>
      </c>
      <c r="Y12" s="112">
        <v>0</v>
      </c>
      <c r="Z12" s="112">
        <v>0</v>
      </c>
      <c r="AA12" s="112">
        <v>0</v>
      </c>
      <c r="AB12" s="112">
        <v>0</v>
      </c>
      <c r="AC12" s="112">
        <v>0</v>
      </c>
      <c r="AD12" s="112">
        <v>0</v>
      </c>
      <c r="AE12" s="112">
        <v>0</v>
      </c>
      <c r="AF12" s="112">
        <v>0</v>
      </c>
      <c r="AG12" s="112">
        <v>0</v>
      </c>
      <c r="AH12" s="112">
        <v>0</v>
      </c>
      <c r="AI12" s="112">
        <v>0</v>
      </c>
      <c r="AJ12" s="112">
        <v>0</v>
      </c>
      <c r="AK12" s="112">
        <v>0</v>
      </c>
      <c r="AL12" s="112">
        <v>0</v>
      </c>
      <c r="AM12" s="112">
        <v>0</v>
      </c>
      <c r="AN12" s="112">
        <v>0</v>
      </c>
      <c r="AO12" s="112">
        <v>0</v>
      </c>
      <c r="AP12" s="112">
        <v>0</v>
      </c>
      <c r="AQ12" s="112">
        <v>0</v>
      </c>
      <c r="AR12" s="112">
        <v>0</v>
      </c>
      <c r="AS12" s="112">
        <v>0</v>
      </c>
      <c r="AT12" s="112">
        <v>0</v>
      </c>
    </row>
    <row r="13" spans="1:46" customFormat="1" x14ac:dyDescent="0.15">
      <c r="A13" s="190" t="s">
        <v>202</v>
      </c>
      <c r="B13" s="112">
        <v>0</v>
      </c>
      <c r="C13" s="112">
        <v>0</v>
      </c>
      <c r="D13" s="112">
        <v>0</v>
      </c>
      <c r="E13" s="112">
        <v>0</v>
      </c>
      <c r="F13" s="112">
        <v>0</v>
      </c>
      <c r="G13" s="112">
        <v>0.8</v>
      </c>
      <c r="H13" s="112">
        <v>0</v>
      </c>
      <c r="I13" s="112">
        <v>0</v>
      </c>
      <c r="J13" s="112">
        <v>0</v>
      </c>
      <c r="K13" s="112">
        <v>0.8</v>
      </c>
      <c r="L13" s="112">
        <v>0.8</v>
      </c>
      <c r="M13" s="112">
        <v>0.8</v>
      </c>
      <c r="N13" s="112">
        <v>0</v>
      </c>
      <c r="O13" s="112">
        <v>0</v>
      </c>
      <c r="P13" s="112">
        <v>0</v>
      </c>
      <c r="Q13" s="112">
        <v>0</v>
      </c>
      <c r="R13" s="112">
        <v>0</v>
      </c>
      <c r="S13" s="112">
        <v>0</v>
      </c>
      <c r="T13" s="112">
        <v>0</v>
      </c>
      <c r="U13" s="112">
        <v>0</v>
      </c>
      <c r="V13" s="112">
        <v>0</v>
      </c>
      <c r="W13" s="112">
        <v>0</v>
      </c>
      <c r="X13" s="112">
        <v>0</v>
      </c>
      <c r="Y13" s="112">
        <v>0</v>
      </c>
      <c r="Z13" s="112">
        <v>0</v>
      </c>
      <c r="AA13" s="112">
        <v>0</v>
      </c>
      <c r="AB13" s="112">
        <v>0</v>
      </c>
      <c r="AC13" s="112">
        <v>0</v>
      </c>
      <c r="AD13" s="112">
        <v>0</v>
      </c>
      <c r="AE13" s="112">
        <v>0</v>
      </c>
      <c r="AF13" s="112">
        <v>0</v>
      </c>
      <c r="AG13" s="112">
        <v>0</v>
      </c>
      <c r="AH13" s="112">
        <v>0</v>
      </c>
      <c r="AI13" s="112">
        <v>0</v>
      </c>
      <c r="AJ13" s="112">
        <v>0</v>
      </c>
      <c r="AK13" s="112">
        <v>0</v>
      </c>
      <c r="AL13" s="112">
        <v>0</v>
      </c>
      <c r="AM13" s="112">
        <v>0</v>
      </c>
      <c r="AN13" s="112">
        <v>0</v>
      </c>
      <c r="AO13" s="112">
        <v>0</v>
      </c>
      <c r="AP13" s="112">
        <v>0</v>
      </c>
      <c r="AQ13" s="112">
        <v>0</v>
      </c>
      <c r="AR13" s="112">
        <v>0</v>
      </c>
      <c r="AS13" s="112">
        <v>0</v>
      </c>
      <c r="AT13" s="112">
        <v>0</v>
      </c>
    </row>
    <row r="14" spans="1:46" customFormat="1" x14ac:dyDescent="0.15">
      <c r="A14" s="190" t="s">
        <v>203</v>
      </c>
      <c r="B14" s="112">
        <v>0</v>
      </c>
      <c r="C14" s="112">
        <v>0</v>
      </c>
      <c r="D14" s="112">
        <v>0</v>
      </c>
      <c r="E14" s="112">
        <v>0</v>
      </c>
      <c r="F14" s="112">
        <v>0.8</v>
      </c>
      <c r="G14" s="112">
        <v>0.8</v>
      </c>
      <c r="H14" s="112">
        <v>0.8</v>
      </c>
      <c r="I14" s="112">
        <v>0</v>
      </c>
      <c r="J14" s="112">
        <v>0</v>
      </c>
      <c r="K14" s="112">
        <v>0.8</v>
      </c>
      <c r="L14" s="112">
        <v>0.8</v>
      </c>
      <c r="M14" s="112">
        <v>0</v>
      </c>
      <c r="N14" s="112">
        <v>0</v>
      </c>
      <c r="O14" s="112">
        <v>0</v>
      </c>
      <c r="P14" s="112">
        <v>0</v>
      </c>
      <c r="Q14" s="112">
        <v>0</v>
      </c>
      <c r="R14" s="112">
        <v>0</v>
      </c>
      <c r="S14" s="112">
        <v>0</v>
      </c>
      <c r="T14" s="112">
        <v>0</v>
      </c>
      <c r="U14" s="112">
        <v>0.8</v>
      </c>
      <c r="V14" s="112">
        <v>0.8</v>
      </c>
      <c r="W14" s="112">
        <v>0</v>
      </c>
      <c r="X14" s="112">
        <v>0</v>
      </c>
      <c r="Y14" s="112">
        <v>0</v>
      </c>
      <c r="Z14" s="112">
        <v>0</v>
      </c>
      <c r="AA14" s="112">
        <v>0</v>
      </c>
      <c r="AB14" s="112">
        <v>0</v>
      </c>
      <c r="AC14" s="112">
        <v>0</v>
      </c>
      <c r="AD14" s="112">
        <v>0</v>
      </c>
      <c r="AE14" s="112">
        <v>0</v>
      </c>
      <c r="AF14" s="112">
        <v>0</v>
      </c>
      <c r="AG14" s="112">
        <v>0</v>
      </c>
      <c r="AH14" s="112">
        <v>0</v>
      </c>
      <c r="AI14" s="112">
        <v>0</v>
      </c>
      <c r="AJ14" s="112">
        <v>0</v>
      </c>
      <c r="AK14" s="112">
        <v>0</v>
      </c>
      <c r="AL14" s="112">
        <v>0</v>
      </c>
      <c r="AM14" s="112">
        <v>0.8</v>
      </c>
      <c r="AN14" s="112">
        <v>0</v>
      </c>
      <c r="AO14" s="112">
        <v>0</v>
      </c>
      <c r="AP14" s="112">
        <v>0</v>
      </c>
      <c r="AQ14" s="112">
        <v>0</v>
      </c>
      <c r="AR14" s="112">
        <v>0</v>
      </c>
      <c r="AS14" s="112">
        <v>0</v>
      </c>
      <c r="AT14" s="112">
        <v>0</v>
      </c>
    </row>
    <row r="15" spans="1:46" customFormat="1" x14ac:dyDescent="0.15">
      <c r="A15" s="190" t="s">
        <v>204</v>
      </c>
      <c r="B15" s="112">
        <v>0.8</v>
      </c>
      <c r="C15" s="112">
        <v>0.8</v>
      </c>
      <c r="D15" s="112">
        <v>0</v>
      </c>
      <c r="E15" s="112">
        <v>0.8</v>
      </c>
      <c r="F15" s="112">
        <v>0.8</v>
      </c>
      <c r="G15" s="112">
        <v>0.8</v>
      </c>
      <c r="H15" s="112">
        <v>0.8</v>
      </c>
      <c r="I15" s="112">
        <v>0.8</v>
      </c>
      <c r="J15" s="112">
        <v>0.8</v>
      </c>
      <c r="K15" s="112">
        <v>0.8</v>
      </c>
      <c r="L15" s="112">
        <v>0.8</v>
      </c>
      <c r="M15" s="112">
        <v>0.8</v>
      </c>
      <c r="N15" s="112">
        <v>0.8</v>
      </c>
      <c r="O15" s="112">
        <v>0.8</v>
      </c>
      <c r="P15" s="112">
        <v>0.8</v>
      </c>
      <c r="Q15" s="112">
        <v>0</v>
      </c>
      <c r="R15" s="112">
        <v>0</v>
      </c>
      <c r="S15" s="112">
        <v>0.8</v>
      </c>
      <c r="T15" s="112">
        <v>0.8</v>
      </c>
      <c r="U15" s="112">
        <v>0</v>
      </c>
      <c r="V15" s="112">
        <v>0.8</v>
      </c>
      <c r="W15" s="112">
        <v>0</v>
      </c>
      <c r="X15" s="112">
        <v>0.8</v>
      </c>
      <c r="Y15" s="112">
        <v>0</v>
      </c>
      <c r="Z15" s="112">
        <v>0</v>
      </c>
      <c r="AA15" s="112">
        <v>0</v>
      </c>
      <c r="AB15" s="112">
        <v>0</v>
      </c>
      <c r="AC15" s="112">
        <v>0.8</v>
      </c>
      <c r="AD15" s="112">
        <v>0</v>
      </c>
      <c r="AE15" s="112">
        <v>0.8</v>
      </c>
      <c r="AF15" s="112">
        <v>0.8</v>
      </c>
      <c r="AG15" s="112">
        <v>0.8</v>
      </c>
      <c r="AH15" s="112">
        <v>0</v>
      </c>
      <c r="AI15" s="112">
        <v>0</v>
      </c>
      <c r="AJ15" s="112">
        <v>0</v>
      </c>
      <c r="AK15" s="112">
        <v>0.8</v>
      </c>
      <c r="AL15" s="112">
        <v>0</v>
      </c>
      <c r="AM15" s="112">
        <v>0.8</v>
      </c>
      <c r="AN15" s="112">
        <v>0</v>
      </c>
      <c r="AO15" s="112">
        <v>0</v>
      </c>
      <c r="AP15" s="112">
        <v>0</v>
      </c>
      <c r="AQ15" s="112">
        <v>0</v>
      </c>
      <c r="AR15" s="112">
        <v>0</v>
      </c>
      <c r="AS15" s="112">
        <v>0</v>
      </c>
      <c r="AT15" s="112">
        <v>0</v>
      </c>
    </row>
    <row r="16" spans="1:46" customFormat="1" x14ac:dyDescent="0.15">
      <c r="A16" s="190" t="s">
        <v>205</v>
      </c>
      <c r="B16" s="112">
        <v>0.8</v>
      </c>
      <c r="C16" s="112">
        <v>0.8</v>
      </c>
      <c r="D16" s="112">
        <v>0</v>
      </c>
      <c r="E16" s="112">
        <v>0.8</v>
      </c>
      <c r="F16" s="112">
        <v>0</v>
      </c>
      <c r="G16" s="112">
        <v>0.8</v>
      </c>
      <c r="H16" s="112">
        <v>0.8</v>
      </c>
      <c r="I16" s="112">
        <v>0</v>
      </c>
      <c r="J16" s="112">
        <v>0.8</v>
      </c>
      <c r="K16" s="112">
        <v>0.8</v>
      </c>
      <c r="L16" s="112">
        <v>0.8</v>
      </c>
      <c r="M16" s="112">
        <v>0.8</v>
      </c>
      <c r="N16" s="112">
        <v>0.8</v>
      </c>
      <c r="O16" s="112">
        <v>0</v>
      </c>
      <c r="P16" s="112">
        <v>0</v>
      </c>
      <c r="Q16" s="112">
        <v>0</v>
      </c>
      <c r="R16" s="112">
        <v>0</v>
      </c>
      <c r="S16" s="112">
        <v>0</v>
      </c>
      <c r="T16" s="112">
        <v>0</v>
      </c>
      <c r="U16" s="112">
        <v>0</v>
      </c>
      <c r="V16" s="112">
        <v>0.8</v>
      </c>
      <c r="W16" s="112">
        <v>0</v>
      </c>
      <c r="X16" s="112">
        <v>0</v>
      </c>
      <c r="Y16" s="112">
        <v>0</v>
      </c>
      <c r="Z16" s="112">
        <v>0</v>
      </c>
      <c r="AA16" s="112">
        <v>0</v>
      </c>
      <c r="AB16" s="112">
        <v>0</v>
      </c>
      <c r="AC16" s="112">
        <v>0</v>
      </c>
      <c r="AD16" s="112">
        <v>0</v>
      </c>
      <c r="AE16" s="112">
        <v>0</v>
      </c>
      <c r="AF16" s="112">
        <v>0</v>
      </c>
      <c r="AG16" s="112">
        <v>0</v>
      </c>
      <c r="AH16" s="112">
        <v>0</v>
      </c>
      <c r="AI16" s="112">
        <v>0</v>
      </c>
      <c r="AJ16" s="112">
        <v>0</v>
      </c>
      <c r="AK16" s="112">
        <v>0</v>
      </c>
      <c r="AL16" s="112">
        <v>0</v>
      </c>
      <c r="AM16" s="112">
        <v>0.8</v>
      </c>
      <c r="AN16" s="112">
        <v>0</v>
      </c>
      <c r="AO16" s="112">
        <v>0</v>
      </c>
      <c r="AP16" s="112">
        <v>0</v>
      </c>
      <c r="AQ16" s="112">
        <v>0</v>
      </c>
      <c r="AR16" s="112">
        <v>0</v>
      </c>
      <c r="AS16" s="112">
        <v>0</v>
      </c>
      <c r="AT16" s="112">
        <v>0</v>
      </c>
    </row>
    <row r="17" spans="1:46" customFormat="1" x14ac:dyDescent="0.15">
      <c r="A17" s="190" t="s">
        <v>206</v>
      </c>
      <c r="B17" s="112">
        <v>0</v>
      </c>
      <c r="C17" s="112">
        <v>0.8</v>
      </c>
      <c r="D17" s="112">
        <v>0</v>
      </c>
      <c r="E17" s="112">
        <v>0.8</v>
      </c>
      <c r="F17" s="112">
        <v>0</v>
      </c>
      <c r="G17" s="112">
        <v>0</v>
      </c>
      <c r="H17" s="112">
        <v>0</v>
      </c>
      <c r="I17" s="112">
        <v>0</v>
      </c>
      <c r="J17" s="112">
        <v>0</v>
      </c>
      <c r="K17" s="112">
        <v>0.8</v>
      </c>
      <c r="L17" s="112">
        <v>0.8</v>
      </c>
      <c r="M17" s="112">
        <v>0</v>
      </c>
      <c r="N17" s="112">
        <v>0.8</v>
      </c>
      <c r="O17" s="112">
        <v>0</v>
      </c>
      <c r="P17" s="112">
        <v>0</v>
      </c>
      <c r="Q17" s="112">
        <v>0</v>
      </c>
      <c r="R17" s="112">
        <v>0</v>
      </c>
      <c r="S17" s="112">
        <v>0.8</v>
      </c>
      <c r="T17" s="112">
        <v>0</v>
      </c>
      <c r="U17" s="112">
        <v>0.8</v>
      </c>
      <c r="V17" s="112">
        <v>0</v>
      </c>
      <c r="W17" s="112">
        <v>0</v>
      </c>
      <c r="X17" s="112">
        <v>0</v>
      </c>
      <c r="Y17" s="112">
        <v>0.8</v>
      </c>
      <c r="Z17" s="112">
        <v>0</v>
      </c>
      <c r="AA17" s="112">
        <v>0</v>
      </c>
      <c r="AB17" s="112">
        <v>0.8</v>
      </c>
      <c r="AC17" s="112">
        <v>0</v>
      </c>
      <c r="AD17" s="112">
        <v>0</v>
      </c>
      <c r="AE17" s="112">
        <v>0</v>
      </c>
      <c r="AF17" s="112">
        <v>0.8</v>
      </c>
      <c r="AG17" s="112">
        <v>0</v>
      </c>
      <c r="AH17" s="112">
        <v>0</v>
      </c>
      <c r="AI17" s="112">
        <v>0</v>
      </c>
      <c r="AJ17" s="112">
        <v>0</v>
      </c>
      <c r="AK17" s="112">
        <v>0</v>
      </c>
      <c r="AL17" s="112">
        <v>0</v>
      </c>
      <c r="AM17" s="112">
        <v>0</v>
      </c>
      <c r="AN17" s="112">
        <v>0</v>
      </c>
      <c r="AO17" s="112">
        <v>0</v>
      </c>
      <c r="AP17" s="112">
        <v>0</v>
      </c>
      <c r="AQ17" s="112">
        <v>0</v>
      </c>
      <c r="AR17" s="112">
        <v>0</v>
      </c>
      <c r="AS17" s="112">
        <v>0</v>
      </c>
      <c r="AT17" s="112">
        <v>0</v>
      </c>
    </row>
    <row r="18" spans="1:46" customFormat="1" x14ac:dyDescent="0.15">
      <c r="A18" s="190" t="s">
        <v>207</v>
      </c>
      <c r="B18" s="112">
        <v>0.8</v>
      </c>
      <c r="C18" s="112">
        <v>0.8</v>
      </c>
      <c r="D18" s="112">
        <v>0</v>
      </c>
      <c r="E18" s="112">
        <v>0.8</v>
      </c>
      <c r="F18" s="112">
        <v>0.8</v>
      </c>
      <c r="G18" s="112">
        <v>0.8</v>
      </c>
      <c r="H18" s="112">
        <v>0.8</v>
      </c>
      <c r="I18" s="112">
        <v>0.8</v>
      </c>
      <c r="J18" s="112">
        <v>0</v>
      </c>
      <c r="K18" s="112">
        <v>0.8</v>
      </c>
      <c r="L18" s="112">
        <v>0.8</v>
      </c>
      <c r="M18" s="112">
        <v>0.8</v>
      </c>
      <c r="N18" s="112">
        <v>0.8</v>
      </c>
      <c r="O18" s="112">
        <v>0</v>
      </c>
      <c r="P18" s="112">
        <v>0.8</v>
      </c>
      <c r="Q18" s="112">
        <v>0</v>
      </c>
      <c r="R18" s="112">
        <v>0</v>
      </c>
      <c r="S18" s="112">
        <v>0.8</v>
      </c>
      <c r="T18" s="112">
        <v>0.8</v>
      </c>
      <c r="U18" s="112">
        <v>0</v>
      </c>
      <c r="V18" s="112">
        <v>0.8</v>
      </c>
      <c r="W18" s="112">
        <v>0</v>
      </c>
      <c r="X18" s="112">
        <v>0</v>
      </c>
      <c r="Y18" s="112">
        <v>0</v>
      </c>
      <c r="Z18" s="112">
        <v>0</v>
      </c>
      <c r="AA18" s="112">
        <v>0</v>
      </c>
      <c r="AB18" s="112">
        <v>0</v>
      </c>
      <c r="AC18" s="112">
        <v>0.8</v>
      </c>
      <c r="AD18" s="112">
        <v>0</v>
      </c>
      <c r="AE18" s="112">
        <v>0.8</v>
      </c>
      <c r="AF18" s="112">
        <v>0</v>
      </c>
      <c r="AG18" s="112">
        <v>0.8</v>
      </c>
      <c r="AH18" s="112">
        <v>0</v>
      </c>
      <c r="AI18" s="112">
        <v>0.8</v>
      </c>
      <c r="AJ18" s="112">
        <v>0</v>
      </c>
      <c r="AK18" s="112">
        <v>0.8</v>
      </c>
      <c r="AL18" s="112">
        <v>0</v>
      </c>
      <c r="AM18" s="112">
        <v>0.8</v>
      </c>
      <c r="AN18" s="112">
        <v>0</v>
      </c>
      <c r="AO18" s="112">
        <v>0</v>
      </c>
      <c r="AP18" s="112">
        <v>0</v>
      </c>
      <c r="AQ18" s="112">
        <v>0</v>
      </c>
      <c r="AR18" s="112">
        <v>0</v>
      </c>
      <c r="AS18" s="112">
        <v>0</v>
      </c>
      <c r="AT18" s="112">
        <v>0</v>
      </c>
    </row>
    <row r="19" spans="1:46" customFormat="1" x14ac:dyDescent="0.15">
      <c r="A19" s="190" t="s">
        <v>208</v>
      </c>
      <c r="B19" s="112">
        <v>0</v>
      </c>
      <c r="C19" s="112">
        <v>0</v>
      </c>
      <c r="D19" s="112">
        <v>0</v>
      </c>
      <c r="E19" s="112">
        <v>0</v>
      </c>
      <c r="F19" s="112">
        <v>0</v>
      </c>
      <c r="G19" s="112">
        <v>0.8</v>
      </c>
      <c r="H19" s="112">
        <v>0</v>
      </c>
      <c r="I19" s="112">
        <v>0.8</v>
      </c>
      <c r="J19" s="112">
        <v>0</v>
      </c>
      <c r="K19" s="112">
        <v>0</v>
      </c>
      <c r="L19" s="112">
        <v>0.8</v>
      </c>
      <c r="M19" s="112">
        <v>0</v>
      </c>
      <c r="N19" s="112">
        <v>0</v>
      </c>
      <c r="O19" s="112">
        <v>0</v>
      </c>
      <c r="P19" s="112">
        <v>0</v>
      </c>
      <c r="Q19" s="112">
        <v>0</v>
      </c>
      <c r="R19" s="112">
        <v>0</v>
      </c>
      <c r="S19" s="112">
        <v>0</v>
      </c>
      <c r="T19" s="112">
        <v>0</v>
      </c>
      <c r="U19" s="112">
        <v>0</v>
      </c>
      <c r="V19" s="112">
        <v>0</v>
      </c>
      <c r="W19" s="112">
        <v>0</v>
      </c>
      <c r="X19" s="112">
        <v>0</v>
      </c>
      <c r="Y19" s="112">
        <v>0</v>
      </c>
      <c r="Z19" s="112">
        <v>0</v>
      </c>
      <c r="AA19" s="112">
        <v>0</v>
      </c>
      <c r="AB19" s="112">
        <v>0</v>
      </c>
      <c r="AC19" s="112">
        <v>0</v>
      </c>
      <c r="AD19" s="112">
        <v>0</v>
      </c>
      <c r="AE19" s="112">
        <v>0</v>
      </c>
      <c r="AF19" s="112">
        <v>0</v>
      </c>
      <c r="AG19" s="112">
        <v>0</v>
      </c>
      <c r="AH19" s="112">
        <v>0</v>
      </c>
      <c r="AI19" s="112">
        <v>0</v>
      </c>
      <c r="AJ19" s="112">
        <v>0</v>
      </c>
      <c r="AK19" s="112">
        <v>0</v>
      </c>
      <c r="AL19" s="112">
        <v>0</v>
      </c>
      <c r="AM19" s="112">
        <v>0</v>
      </c>
      <c r="AN19" s="112">
        <v>0</v>
      </c>
      <c r="AO19" s="112">
        <v>0</v>
      </c>
      <c r="AP19" s="112">
        <v>0</v>
      </c>
      <c r="AQ19" s="112">
        <v>0</v>
      </c>
      <c r="AR19" s="112">
        <v>0</v>
      </c>
      <c r="AS19" s="112">
        <v>0</v>
      </c>
      <c r="AT19" s="112">
        <v>0</v>
      </c>
    </row>
    <row r="20" spans="1:46" customFormat="1" x14ac:dyDescent="0.15">
      <c r="A20" s="190" t="s">
        <v>209</v>
      </c>
      <c r="B20" s="112">
        <v>0</v>
      </c>
      <c r="C20" s="112">
        <v>0</v>
      </c>
      <c r="D20" s="112">
        <v>0</v>
      </c>
      <c r="E20" s="112">
        <v>0</v>
      </c>
      <c r="F20" s="112">
        <v>0</v>
      </c>
      <c r="G20" s="112">
        <v>0.8</v>
      </c>
      <c r="H20" s="112">
        <v>0</v>
      </c>
      <c r="I20" s="112">
        <v>0.8</v>
      </c>
      <c r="J20" s="112">
        <v>0</v>
      </c>
      <c r="K20" s="112">
        <v>0</v>
      </c>
      <c r="L20" s="112">
        <v>0</v>
      </c>
      <c r="M20" s="112">
        <v>0</v>
      </c>
      <c r="N20" s="112">
        <v>0</v>
      </c>
      <c r="O20" s="112">
        <v>0</v>
      </c>
      <c r="P20" s="112">
        <v>0</v>
      </c>
      <c r="Q20" s="112">
        <v>0</v>
      </c>
      <c r="R20" s="112">
        <v>0</v>
      </c>
      <c r="S20" s="112">
        <v>0</v>
      </c>
      <c r="T20" s="112">
        <v>0.8</v>
      </c>
      <c r="U20" s="112">
        <v>0</v>
      </c>
      <c r="V20" s="112">
        <v>0</v>
      </c>
      <c r="W20" s="112">
        <v>0</v>
      </c>
      <c r="X20" s="112">
        <v>0</v>
      </c>
      <c r="Y20" s="112">
        <v>0</v>
      </c>
      <c r="Z20" s="112">
        <v>0</v>
      </c>
      <c r="AA20" s="112">
        <v>0</v>
      </c>
      <c r="AB20" s="112">
        <v>0</v>
      </c>
      <c r="AC20" s="112">
        <v>0</v>
      </c>
      <c r="AD20" s="112">
        <v>0</v>
      </c>
      <c r="AE20" s="112">
        <v>0</v>
      </c>
      <c r="AF20" s="112">
        <v>0</v>
      </c>
      <c r="AG20" s="112">
        <v>0</v>
      </c>
      <c r="AH20" s="112">
        <v>0</v>
      </c>
      <c r="AI20" s="112">
        <v>0</v>
      </c>
      <c r="AJ20" s="112">
        <v>0</v>
      </c>
      <c r="AK20" s="112">
        <v>0</v>
      </c>
      <c r="AL20" s="112">
        <v>0</v>
      </c>
      <c r="AM20" s="112">
        <v>0</v>
      </c>
      <c r="AN20" s="112">
        <v>0</v>
      </c>
      <c r="AO20" s="112">
        <v>0</v>
      </c>
      <c r="AP20" s="112">
        <v>0</v>
      </c>
      <c r="AQ20" s="112">
        <v>0</v>
      </c>
      <c r="AR20" s="112">
        <v>0</v>
      </c>
      <c r="AS20" s="112">
        <v>0</v>
      </c>
      <c r="AT20" s="112">
        <v>0</v>
      </c>
    </row>
    <row r="21" spans="1:46" customFormat="1" x14ac:dyDescent="0.15">
      <c r="A21" s="190" t="s">
        <v>210</v>
      </c>
      <c r="B21" s="112">
        <v>0</v>
      </c>
      <c r="C21" s="112">
        <v>0</v>
      </c>
      <c r="D21" s="112">
        <v>0</v>
      </c>
      <c r="E21" s="112">
        <v>0</v>
      </c>
      <c r="F21" s="112">
        <v>0</v>
      </c>
      <c r="G21" s="112">
        <v>0.8</v>
      </c>
      <c r="H21" s="112">
        <v>0</v>
      </c>
      <c r="I21" s="112">
        <v>0</v>
      </c>
      <c r="J21" s="112">
        <v>0</v>
      </c>
      <c r="K21" s="112">
        <v>0</v>
      </c>
      <c r="L21" s="112">
        <v>0</v>
      </c>
      <c r="M21" s="112">
        <v>0</v>
      </c>
      <c r="N21" s="112">
        <v>0</v>
      </c>
      <c r="O21" s="112">
        <v>0</v>
      </c>
      <c r="P21" s="112">
        <v>0</v>
      </c>
      <c r="Q21" s="112">
        <v>0</v>
      </c>
      <c r="R21" s="112">
        <v>0</v>
      </c>
      <c r="S21" s="112">
        <v>0</v>
      </c>
      <c r="T21" s="112">
        <v>0.8</v>
      </c>
      <c r="U21" s="112">
        <v>0</v>
      </c>
      <c r="V21" s="112">
        <v>0.8</v>
      </c>
      <c r="W21" s="112">
        <v>0</v>
      </c>
      <c r="X21" s="112">
        <v>0</v>
      </c>
      <c r="Y21" s="112">
        <v>0</v>
      </c>
      <c r="Z21" s="112">
        <v>0</v>
      </c>
      <c r="AA21" s="112">
        <v>0</v>
      </c>
      <c r="AB21" s="112">
        <v>0</v>
      </c>
      <c r="AC21" s="112">
        <v>0</v>
      </c>
      <c r="AD21" s="112">
        <v>0</v>
      </c>
      <c r="AE21" s="112">
        <v>0</v>
      </c>
      <c r="AF21" s="112">
        <v>0</v>
      </c>
      <c r="AG21" s="112">
        <v>0</v>
      </c>
      <c r="AH21" s="112">
        <v>0</v>
      </c>
      <c r="AI21" s="112">
        <v>0</v>
      </c>
      <c r="AJ21" s="112">
        <v>0</v>
      </c>
      <c r="AK21" s="112">
        <v>0</v>
      </c>
      <c r="AL21" s="112">
        <v>0</v>
      </c>
      <c r="AM21" s="112">
        <v>0</v>
      </c>
      <c r="AN21" s="112">
        <v>0</v>
      </c>
      <c r="AO21" s="112">
        <v>0</v>
      </c>
      <c r="AP21" s="112">
        <v>0</v>
      </c>
      <c r="AQ21" s="112">
        <v>0</v>
      </c>
      <c r="AR21" s="112">
        <v>0</v>
      </c>
      <c r="AS21" s="112">
        <v>0</v>
      </c>
      <c r="AT21" s="112">
        <v>0</v>
      </c>
    </row>
    <row r="22" spans="1:46" customFormat="1" x14ac:dyDescent="0.15">
      <c r="A22" s="190" t="s">
        <v>211</v>
      </c>
      <c r="B22" s="112">
        <v>0</v>
      </c>
      <c r="C22" s="112">
        <v>0</v>
      </c>
      <c r="D22" s="112">
        <v>0</v>
      </c>
      <c r="E22" s="112">
        <v>0</v>
      </c>
      <c r="F22" s="112">
        <v>0.8</v>
      </c>
      <c r="G22" s="112">
        <v>0.8</v>
      </c>
      <c r="H22" s="112">
        <v>0</v>
      </c>
      <c r="I22" s="112">
        <v>0.8</v>
      </c>
      <c r="J22" s="112">
        <v>0.8</v>
      </c>
      <c r="K22" s="112">
        <v>0</v>
      </c>
      <c r="L22" s="112">
        <v>0.8</v>
      </c>
      <c r="M22" s="112">
        <v>0.8</v>
      </c>
      <c r="N22" s="112">
        <v>0</v>
      </c>
      <c r="O22" s="112">
        <v>0</v>
      </c>
      <c r="P22" s="112">
        <v>0</v>
      </c>
      <c r="Q22" s="112">
        <v>0</v>
      </c>
      <c r="R22" s="112">
        <v>0</v>
      </c>
      <c r="S22" s="112">
        <v>0</v>
      </c>
      <c r="T22" s="112">
        <v>0.8</v>
      </c>
      <c r="U22" s="112">
        <v>0</v>
      </c>
      <c r="V22" s="112">
        <v>0.8</v>
      </c>
      <c r="W22" s="112">
        <v>0</v>
      </c>
      <c r="X22" s="112">
        <v>0</v>
      </c>
      <c r="Y22" s="112">
        <v>0</v>
      </c>
      <c r="Z22" s="112">
        <v>0</v>
      </c>
      <c r="AA22" s="112">
        <v>0</v>
      </c>
      <c r="AB22" s="112">
        <v>0</v>
      </c>
      <c r="AC22" s="112">
        <v>0</v>
      </c>
      <c r="AD22" s="112">
        <v>0</v>
      </c>
      <c r="AE22" s="112">
        <v>0</v>
      </c>
      <c r="AF22" s="112">
        <v>0</v>
      </c>
      <c r="AG22" s="112">
        <v>0.8</v>
      </c>
      <c r="AH22" s="112">
        <v>0</v>
      </c>
      <c r="AI22" s="112">
        <v>0</v>
      </c>
      <c r="AJ22" s="112">
        <v>0</v>
      </c>
      <c r="AK22" s="112">
        <v>0</v>
      </c>
      <c r="AL22" s="112">
        <v>0</v>
      </c>
      <c r="AM22" s="112">
        <v>0</v>
      </c>
      <c r="AN22" s="112">
        <v>0</v>
      </c>
      <c r="AO22" s="112">
        <v>0</v>
      </c>
      <c r="AP22" s="112">
        <v>0</v>
      </c>
      <c r="AQ22" s="112">
        <v>0</v>
      </c>
      <c r="AR22" s="112">
        <v>0</v>
      </c>
      <c r="AS22" s="112">
        <v>0</v>
      </c>
      <c r="AT22" s="112">
        <v>0</v>
      </c>
    </row>
    <row r="23" spans="1:46" customFormat="1" x14ac:dyDescent="0.15">
      <c r="A23" s="190" t="s">
        <v>212</v>
      </c>
      <c r="B23" s="112">
        <v>0</v>
      </c>
      <c r="C23" s="112">
        <v>0</v>
      </c>
      <c r="D23" s="112">
        <v>0</v>
      </c>
      <c r="E23" s="112">
        <v>0</v>
      </c>
      <c r="F23" s="112">
        <v>0</v>
      </c>
      <c r="G23" s="112">
        <v>0.8</v>
      </c>
      <c r="H23" s="112">
        <v>0</v>
      </c>
      <c r="I23" s="112">
        <v>0</v>
      </c>
      <c r="J23" s="112">
        <v>0</v>
      </c>
      <c r="K23" s="112">
        <v>0</v>
      </c>
      <c r="L23" s="112">
        <v>0</v>
      </c>
      <c r="M23" s="112">
        <v>0</v>
      </c>
      <c r="N23" s="112">
        <v>0</v>
      </c>
      <c r="O23" s="112">
        <v>0</v>
      </c>
      <c r="P23" s="112">
        <v>0</v>
      </c>
      <c r="Q23" s="112">
        <v>0</v>
      </c>
      <c r="R23" s="112">
        <v>0</v>
      </c>
      <c r="S23" s="112">
        <v>0</v>
      </c>
      <c r="T23" s="112">
        <v>0</v>
      </c>
      <c r="U23" s="112">
        <v>0</v>
      </c>
      <c r="V23" s="112">
        <v>0</v>
      </c>
      <c r="W23" s="112">
        <v>0</v>
      </c>
      <c r="X23" s="112">
        <v>0</v>
      </c>
      <c r="Y23" s="112">
        <v>0</v>
      </c>
      <c r="Z23" s="112">
        <v>0</v>
      </c>
      <c r="AA23" s="112">
        <v>0</v>
      </c>
      <c r="AB23" s="112">
        <v>0</v>
      </c>
      <c r="AC23" s="112">
        <v>0</v>
      </c>
      <c r="AD23" s="112">
        <v>0</v>
      </c>
      <c r="AE23" s="112">
        <v>0</v>
      </c>
      <c r="AF23" s="112">
        <v>0</v>
      </c>
      <c r="AG23" s="112">
        <v>0</v>
      </c>
      <c r="AH23" s="112">
        <v>0</v>
      </c>
      <c r="AI23" s="112">
        <v>0</v>
      </c>
      <c r="AJ23" s="112">
        <v>0</v>
      </c>
      <c r="AK23" s="112">
        <v>0</v>
      </c>
      <c r="AL23" s="112">
        <v>0</v>
      </c>
      <c r="AM23" s="112">
        <v>0</v>
      </c>
      <c r="AN23" s="112">
        <v>0</v>
      </c>
      <c r="AO23" s="112">
        <v>0</v>
      </c>
      <c r="AP23" s="112">
        <v>0</v>
      </c>
      <c r="AQ23" s="112">
        <v>0</v>
      </c>
      <c r="AR23" s="112">
        <v>0</v>
      </c>
      <c r="AS23" s="112">
        <v>0</v>
      </c>
      <c r="AT23" s="112">
        <v>0</v>
      </c>
    </row>
    <row r="24" spans="1:46" customFormat="1" x14ac:dyDescent="0.15">
      <c r="A24" s="190" t="s">
        <v>213</v>
      </c>
      <c r="B24" s="112">
        <v>0</v>
      </c>
      <c r="C24" s="112">
        <v>0</v>
      </c>
      <c r="D24" s="112">
        <v>0</v>
      </c>
      <c r="E24" s="112">
        <v>0</v>
      </c>
      <c r="F24" s="112">
        <v>0</v>
      </c>
      <c r="G24" s="112">
        <v>0.8</v>
      </c>
      <c r="H24" s="112">
        <v>0</v>
      </c>
      <c r="I24" s="112">
        <v>0.8</v>
      </c>
      <c r="J24" s="112">
        <v>0.8</v>
      </c>
      <c r="K24" s="112">
        <v>0</v>
      </c>
      <c r="L24" s="112">
        <v>0.8</v>
      </c>
      <c r="M24" s="112">
        <v>0.8</v>
      </c>
      <c r="N24" s="112">
        <v>0</v>
      </c>
      <c r="O24" s="112">
        <v>0</v>
      </c>
      <c r="P24" s="112">
        <v>0</v>
      </c>
      <c r="Q24" s="112">
        <v>0</v>
      </c>
      <c r="R24" s="112">
        <v>0</v>
      </c>
      <c r="S24" s="112">
        <v>0</v>
      </c>
      <c r="T24" s="112">
        <v>0</v>
      </c>
      <c r="U24" s="112">
        <v>0</v>
      </c>
      <c r="V24" s="112">
        <v>0.8</v>
      </c>
      <c r="W24" s="112">
        <v>0</v>
      </c>
      <c r="X24" s="112">
        <v>0</v>
      </c>
      <c r="Y24" s="112">
        <v>0</v>
      </c>
      <c r="Z24" s="112">
        <v>0</v>
      </c>
      <c r="AA24" s="112">
        <v>0</v>
      </c>
      <c r="AB24" s="112">
        <v>0</v>
      </c>
      <c r="AC24" s="112">
        <v>0</v>
      </c>
      <c r="AD24" s="112">
        <v>0</v>
      </c>
      <c r="AE24" s="112">
        <v>0</v>
      </c>
      <c r="AF24" s="112">
        <v>0</v>
      </c>
      <c r="AG24" s="112">
        <v>0</v>
      </c>
      <c r="AH24" s="112">
        <v>0</v>
      </c>
      <c r="AI24" s="112">
        <v>0</v>
      </c>
      <c r="AJ24" s="112">
        <v>0</v>
      </c>
      <c r="AK24" s="112">
        <v>0</v>
      </c>
      <c r="AL24" s="112">
        <v>0</v>
      </c>
      <c r="AM24" s="112">
        <v>0</v>
      </c>
      <c r="AN24" s="112">
        <v>0</v>
      </c>
      <c r="AO24" s="112">
        <v>0</v>
      </c>
      <c r="AP24" s="112">
        <v>0</v>
      </c>
      <c r="AQ24" s="112">
        <v>0</v>
      </c>
      <c r="AR24" s="112">
        <v>0</v>
      </c>
      <c r="AS24" s="112">
        <v>0</v>
      </c>
      <c r="AT24" s="112">
        <v>0</v>
      </c>
    </row>
    <row r="25" spans="1:46" customFormat="1" x14ac:dyDescent="0.15">
      <c r="A25" s="190" t="s">
        <v>214</v>
      </c>
      <c r="B25" s="112">
        <v>0</v>
      </c>
      <c r="C25" s="112">
        <v>0</v>
      </c>
      <c r="D25" s="112">
        <v>0</v>
      </c>
      <c r="E25" s="112">
        <v>0.8</v>
      </c>
      <c r="F25" s="112">
        <v>0</v>
      </c>
      <c r="G25" s="112">
        <v>0.8</v>
      </c>
      <c r="H25" s="112">
        <v>0</v>
      </c>
      <c r="I25" s="112">
        <v>0.8</v>
      </c>
      <c r="J25" s="112">
        <v>0</v>
      </c>
      <c r="K25" s="112">
        <v>0</v>
      </c>
      <c r="L25" s="112">
        <v>0</v>
      </c>
      <c r="M25" s="112">
        <v>0</v>
      </c>
      <c r="N25" s="112">
        <v>0</v>
      </c>
      <c r="O25" s="112">
        <v>0</v>
      </c>
      <c r="P25" s="112">
        <v>0</v>
      </c>
      <c r="Q25" s="112">
        <v>0</v>
      </c>
      <c r="R25" s="112">
        <v>0</v>
      </c>
      <c r="S25" s="112">
        <v>0</v>
      </c>
      <c r="T25" s="112">
        <v>0</v>
      </c>
      <c r="U25" s="112">
        <v>0</v>
      </c>
      <c r="V25" s="112">
        <v>0</v>
      </c>
      <c r="W25" s="112">
        <v>0</v>
      </c>
      <c r="X25" s="112">
        <v>0</v>
      </c>
      <c r="Y25" s="112">
        <v>0</v>
      </c>
      <c r="Z25" s="112">
        <v>0</v>
      </c>
      <c r="AA25" s="112">
        <v>0</v>
      </c>
      <c r="AB25" s="112">
        <v>0</v>
      </c>
      <c r="AC25" s="112">
        <v>0</v>
      </c>
      <c r="AD25" s="112">
        <v>0</v>
      </c>
      <c r="AE25" s="112">
        <v>0</v>
      </c>
      <c r="AF25" s="112">
        <v>0</v>
      </c>
      <c r="AG25" s="112">
        <v>0</v>
      </c>
      <c r="AH25" s="112">
        <v>0</v>
      </c>
      <c r="AI25" s="112">
        <v>0</v>
      </c>
      <c r="AJ25" s="112">
        <v>0</v>
      </c>
      <c r="AK25" s="112">
        <v>0</v>
      </c>
      <c r="AL25" s="112">
        <v>0</v>
      </c>
      <c r="AM25" s="112">
        <v>0</v>
      </c>
      <c r="AN25" s="112">
        <v>0</v>
      </c>
      <c r="AO25" s="112">
        <v>0</v>
      </c>
      <c r="AP25" s="112">
        <v>0</v>
      </c>
      <c r="AQ25" s="112">
        <v>0</v>
      </c>
      <c r="AR25" s="112">
        <v>0</v>
      </c>
      <c r="AS25" s="112">
        <v>0</v>
      </c>
      <c r="AT25" s="112">
        <v>0</v>
      </c>
    </row>
    <row r="26" spans="1:46" customFormat="1" x14ac:dyDescent="0.15">
      <c r="A26" s="190" t="s">
        <v>215</v>
      </c>
      <c r="B26" s="112">
        <v>0</v>
      </c>
      <c r="C26" s="112">
        <v>0</v>
      </c>
      <c r="D26" s="112">
        <v>0</v>
      </c>
      <c r="E26" s="112">
        <v>0</v>
      </c>
      <c r="F26" s="112">
        <v>0</v>
      </c>
      <c r="G26" s="112">
        <v>0.8</v>
      </c>
      <c r="H26" s="112">
        <v>0</v>
      </c>
      <c r="I26" s="112">
        <v>0.8</v>
      </c>
      <c r="J26" s="112">
        <v>0</v>
      </c>
      <c r="K26" s="112">
        <v>0</v>
      </c>
      <c r="L26" s="112">
        <v>0</v>
      </c>
      <c r="M26" s="112">
        <v>0</v>
      </c>
      <c r="N26" s="112">
        <v>0</v>
      </c>
      <c r="O26" s="112">
        <v>0</v>
      </c>
      <c r="P26" s="112">
        <v>0</v>
      </c>
      <c r="Q26" s="112">
        <v>0</v>
      </c>
      <c r="R26" s="112">
        <v>0</v>
      </c>
      <c r="S26" s="112">
        <v>0.8</v>
      </c>
      <c r="T26" s="112">
        <v>0</v>
      </c>
      <c r="U26" s="112">
        <v>0.8</v>
      </c>
      <c r="V26" s="112">
        <v>0</v>
      </c>
      <c r="W26" s="112">
        <v>0</v>
      </c>
      <c r="X26" s="112">
        <v>0</v>
      </c>
      <c r="Y26" s="112">
        <v>0</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c r="AQ26" s="112">
        <v>0</v>
      </c>
      <c r="AR26" s="112">
        <v>0</v>
      </c>
      <c r="AS26" s="112">
        <v>0</v>
      </c>
      <c r="AT26" s="112">
        <v>0</v>
      </c>
    </row>
    <row r="27" spans="1:46" customFormat="1" x14ac:dyDescent="0.15">
      <c r="A27" s="190" t="s">
        <v>216</v>
      </c>
      <c r="B27" s="112">
        <v>0</v>
      </c>
      <c r="C27" s="112">
        <v>0.8</v>
      </c>
      <c r="D27" s="112">
        <v>0</v>
      </c>
      <c r="E27" s="112">
        <v>0.8</v>
      </c>
      <c r="F27" s="112">
        <v>0</v>
      </c>
      <c r="G27" s="112">
        <v>0.8</v>
      </c>
      <c r="H27" s="112">
        <v>0</v>
      </c>
      <c r="I27" s="112">
        <v>0</v>
      </c>
      <c r="J27" s="112">
        <v>0</v>
      </c>
      <c r="K27" s="112">
        <v>0.8</v>
      </c>
      <c r="L27" s="112">
        <v>0.8</v>
      </c>
      <c r="M27" s="112">
        <v>0</v>
      </c>
      <c r="N27" s="112">
        <v>0</v>
      </c>
      <c r="O27" s="112">
        <v>0</v>
      </c>
      <c r="P27" s="112">
        <v>0</v>
      </c>
      <c r="Q27" s="112">
        <v>0</v>
      </c>
      <c r="R27" s="112">
        <v>0</v>
      </c>
      <c r="S27" s="112">
        <v>0.8</v>
      </c>
      <c r="T27" s="112">
        <v>0</v>
      </c>
      <c r="U27" s="112">
        <v>0.8</v>
      </c>
      <c r="V27" s="112">
        <v>0.8</v>
      </c>
      <c r="W27" s="112">
        <v>0</v>
      </c>
      <c r="X27" s="112">
        <v>0</v>
      </c>
      <c r="Y27" s="112">
        <v>0</v>
      </c>
      <c r="Z27" s="112">
        <v>0</v>
      </c>
      <c r="AA27" s="112">
        <v>0</v>
      </c>
      <c r="AB27" s="112">
        <v>0</v>
      </c>
      <c r="AC27" s="112">
        <v>0</v>
      </c>
      <c r="AD27" s="112">
        <v>0</v>
      </c>
      <c r="AE27" s="112">
        <v>0</v>
      </c>
      <c r="AF27" s="112">
        <v>0</v>
      </c>
      <c r="AG27" s="112">
        <v>0</v>
      </c>
      <c r="AH27" s="112">
        <v>0</v>
      </c>
      <c r="AI27" s="112">
        <v>0</v>
      </c>
      <c r="AJ27" s="112">
        <v>0.8</v>
      </c>
      <c r="AK27" s="112">
        <v>0</v>
      </c>
      <c r="AL27" s="112">
        <v>0</v>
      </c>
      <c r="AM27" s="112">
        <v>0</v>
      </c>
      <c r="AN27" s="112">
        <v>0</v>
      </c>
      <c r="AO27" s="112">
        <v>0</v>
      </c>
      <c r="AP27" s="112">
        <v>0</v>
      </c>
      <c r="AQ27" s="112">
        <v>0</v>
      </c>
      <c r="AR27" s="112">
        <v>0</v>
      </c>
      <c r="AS27" s="112">
        <v>0</v>
      </c>
      <c r="AT27" s="112">
        <v>0</v>
      </c>
    </row>
    <row r="28" spans="1:46" customFormat="1" x14ac:dyDescent="0.15">
      <c r="A28" s="190" t="s">
        <v>217</v>
      </c>
      <c r="B28" s="112">
        <v>0</v>
      </c>
      <c r="C28" s="112">
        <v>0</v>
      </c>
      <c r="D28" s="112">
        <v>0</v>
      </c>
      <c r="E28" s="112">
        <v>0</v>
      </c>
      <c r="F28" s="112">
        <v>0</v>
      </c>
      <c r="G28" s="112">
        <v>0.8</v>
      </c>
      <c r="H28" s="112">
        <v>0</v>
      </c>
      <c r="I28" s="112">
        <v>0</v>
      </c>
      <c r="J28" s="112">
        <v>0</v>
      </c>
      <c r="K28" s="112">
        <v>0</v>
      </c>
      <c r="L28" s="112">
        <v>0</v>
      </c>
      <c r="M28" s="112">
        <v>0</v>
      </c>
      <c r="N28" s="112">
        <v>0</v>
      </c>
      <c r="O28" s="112">
        <v>0</v>
      </c>
      <c r="P28" s="112">
        <v>0</v>
      </c>
      <c r="Q28" s="112">
        <v>0</v>
      </c>
      <c r="R28" s="112">
        <v>0</v>
      </c>
      <c r="S28" s="112">
        <v>0.8</v>
      </c>
      <c r="T28" s="112">
        <v>0.8</v>
      </c>
      <c r="U28" s="112">
        <v>0</v>
      </c>
      <c r="V28" s="112">
        <v>0.8</v>
      </c>
      <c r="W28" s="112">
        <v>0</v>
      </c>
      <c r="X28" s="112">
        <v>0.8</v>
      </c>
      <c r="Y28" s="112">
        <v>0.8</v>
      </c>
      <c r="Z28" s="112">
        <v>0</v>
      </c>
      <c r="AA28" s="112">
        <v>0</v>
      </c>
      <c r="AB28" s="112">
        <v>0</v>
      </c>
      <c r="AC28" s="112">
        <v>0</v>
      </c>
      <c r="AD28" s="112">
        <v>0</v>
      </c>
      <c r="AE28" s="112">
        <v>0</v>
      </c>
      <c r="AF28" s="112">
        <v>0</v>
      </c>
      <c r="AG28" s="112">
        <v>0</v>
      </c>
      <c r="AH28" s="112">
        <v>0</v>
      </c>
      <c r="AI28" s="112">
        <v>0</v>
      </c>
      <c r="AJ28" s="112">
        <v>0</v>
      </c>
      <c r="AK28" s="112">
        <v>0</v>
      </c>
      <c r="AL28" s="112">
        <v>0</v>
      </c>
      <c r="AM28" s="112">
        <v>0</v>
      </c>
      <c r="AN28" s="112">
        <v>0</v>
      </c>
      <c r="AO28" s="112">
        <v>0</v>
      </c>
      <c r="AP28" s="112">
        <v>0</v>
      </c>
      <c r="AQ28" s="112">
        <v>0</v>
      </c>
      <c r="AR28" s="112">
        <v>0</v>
      </c>
      <c r="AS28" s="112">
        <v>0</v>
      </c>
      <c r="AT28" s="112">
        <v>0</v>
      </c>
    </row>
    <row r="29" spans="1:46" customFormat="1" x14ac:dyDescent="0.15">
      <c r="A29" s="190" t="s">
        <v>218</v>
      </c>
      <c r="B29" s="112">
        <v>0</v>
      </c>
      <c r="C29" s="112">
        <v>0.8</v>
      </c>
      <c r="D29" s="112">
        <v>0</v>
      </c>
      <c r="E29" s="112">
        <v>0.8</v>
      </c>
      <c r="F29" s="112">
        <v>0.8</v>
      </c>
      <c r="G29" s="112">
        <v>0.8</v>
      </c>
      <c r="H29" s="112">
        <v>0</v>
      </c>
      <c r="I29" s="112">
        <v>0.8</v>
      </c>
      <c r="J29" s="112">
        <v>0.8</v>
      </c>
      <c r="K29" s="112">
        <v>0</v>
      </c>
      <c r="L29" s="112">
        <v>0.8</v>
      </c>
      <c r="M29" s="112">
        <v>0.8</v>
      </c>
      <c r="N29" s="112">
        <v>0</v>
      </c>
      <c r="O29" s="112">
        <v>0</v>
      </c>
      <c r="P29" s="112">
        <v>0</v>
      </c>
      <c r="Q29" s="112">
        <v>0</v>
      </c>
      <c r="R29" s="112">
        <v>0</v>
      </c>
      <c r="S29" s="112">
        <v>0.8</v>
      </c>
      <c r="T29" s="112">
        <v>0.8</v>
      </c>
      <c r="U29" s="112">
        <v>0</v>
      </c>
      <c r="V29" s="112">
        <v>0.8</v>
      </c>
      <c r="W29" s="112">
        <v>0</v>
      </c>
      <c r="X29" s="112">
        <v>0.8</v>
      </c>
      <c r="Y29" s="112">
        <v>0.8</v>
      </c>
      <c r="Z29" s="112">
        <v>0</v>
      </c>
      <c r="AA29" s="112">
        <v>0</v>
      </c>
      <c r="AB29" s="112">
        <v>0</v>
      </c>
      <c r="AC29" s="112">
        <v>0</v>
      </c>
      <c r="AD29" s="112">
        <v>0</v>
      </c>
      <c r="AE29" s="112">
        <v>0</v>
      </c>
      <c r="AF29" s="112">
        <v>0</v>
      </c>
      <c r="AG29" s="112">
        <v>0</v>
      </c>
      <c r="AH29" s="112">
        <v>0</v>
      </c>
      <c r="AI29" s="112">
        <v>0</v>
      </c>
      <c r="AJ29" s="112">
        <v>0</v>
      </c>
      <c r="AK29" s="112">
        <v>0</v>
      </c>
      <c r="AL29" s="112">
        <v>0</v>
      </c>
      <c r="AM29" s="112">
        <v>0</v>
      </c>
      <c r="AN29" s="112">
        <v>0</v>
      </c>
      <c r="AO29" s="112">
        <v>0</v>
      </c>
      <c r="AP29" s="112">
        <v>0</v>
      </c>
      <c r="AQ29" s="112">
        <v>0</v>
      </c>
      <c r="AR29" s="112">
        <v>0</v>
      </c>
      <c r="AS29" s="112">
        <v>0</v>
      </c>
      <c r="AT29" s="112">
        <v>0</v>
      </c>
    </row>
    <row r="30" spans="1:46" customFormat="1" x14ac:dyDescent="0.15">
      <c r="A30" s="190" t="s">
        <v>219</v>
      </c>
      <c r="B30" s="112">
        <v>0</v>
      </c>
      <c r="C30" s="112">
        <v>0.8</v>
      </c>
      <c r="D30" s="112">
        <v>0</v>
      </c>
      <c r="E30" s="112">
        <v>0.8</v>
      </c>
      <c r="F30" s="112">
        <v>0</v>
      </c>
      <c r="G30" s="112">
        <v>0.8</v>
      </c>
      <c r="H30" s="112">
        <v>0</v>
      </c>
      <c r="I30" s="112">
        <v>0.8</v>
      </c>
      <c r="J30" s="112">
        <v>0</v>
      </c>
      <c r="K30" s="112">
        <v>0.8</v>
      </c>
      <c r="L30" s="112">
        <v>0</v>
      </c>
      <c r="M30" s="112">
        <v>0</v>
      </c>
      <c r="N30" s="112">
        <v>0</v>
      </c>
      <c r="O30" s="112">
        <v>0</v>
      </c>
      <c r="P30" s="112">
        <v>0</v>
      </c>
      <c r="Q30" s="112">
        <v>0</v>
      </c>
      <c r="R30" s="112">
        <v>0</v>
      </c>
      <c r="S30" s="112">
        <v>0.8</v>
      </c>
      <c r="T30" s="112">
        <v>0.8</v>
      </c>
      <c r="U30" s="112">
        <v>0.8</v>
      </c>
      <c r="V30" s="112">
        <v>0.8</v>
      </c>
      <c r="W30" s="112">
        <v>0</v>
      </c>
      <c r="X30" s="112">
        <v>0.8</v>
      </c>
      <c r="Y30" s="112">
        <v>0.8</v>
      </c>
      <c r="Z30" s="112">
        <v>0</v>
      </c>
      <c r="AA30" s="112">
        <v>0</v>
      </c>
      <c r="AB30" s="112">
        <v>0</v>
      </c>
      <c r="AC30" s="112">
        <v>0</v>
      </c>
      <c r="AD30" s="112">
        <v>0.8</v>
      </c>
      <c r="AE30" s="112">
        <v>0.8</v>
      </c>
      <c r="AF30" s="112">
        <v>0.8</v>
      </c>
      <c r="AG30" s="112">
        <v>0</v>
      </c>
      <c r="AH30" s="112">
        <v>0</v>
      </c>
      <c r="AI30" s="112">
        <v>0</v>
      </c>
      <c r="AJ30" s="112">
        <v>0</v>
      </c>
      <c r="AK30" s="112">
        <v>0</v>
      </c>
      <c r="AL30" s="112">
        <v>0</v>
      </c>
      <c r="AM30" s="112">
        <v>0</v>
      </c>
      <c r="AN30" s="112">
        <v>0</v>
      </c>
      <c r="AO30" s="112">
        <v>0</v>
      </c>
      <c r="AP30" s="112">
        <v>0</v>
      </c>
      <c r="AQ30" s="112">
        <v>0</v>
      </c>
      <c r="AR30" s="112">
        <v>0</v>
      </c>
      <c r="AS30" s="112">
        <v>0</v>
      </c>
      <c r="AT30" s="112">
        <v>0</v>
      </c>
    </row>
    <row r="31" spans="1:46" customFormat="1" x14ac:dyDescent="0.15">
      <c r="A31" s="190" t="s">
        <v>220</v>
      </c>
      <c r="B31" s="112">
        <v>0</v>
      </c>
      <c r="C31" s="112">
        <v>0</v>
      </c>
      <c r="D31" s="112">
        <v>0</v>
      </c>
      <c r="E31" s="112">
        <v>0</v>
      </c>
      <c r="F31" s="112">
        <v>0</v>
      </c>
      <c r="G31" s="112">
        <v>0</v>
      </c>
      <c r="H31" s="112">
        <v>0</v>
      </c>
      <c r="I31" s="112">
        <v>0</v>
      </c>
      <c r="J31" s="112">
        <v>0</v>
      </c>
      <c r="K31" s="112">
        <v>0</v>
      </c>
      <c r="L31" s="112">
        <v>0</v>
      </c>
      <c r="M31" s="112">
        <v>0</v>
      </c>
      <c r="N31" s="112">
        <v>0</v>
      </c>
      <c r="O31" s="112">
        <v>0</v>
      </c>
      <c r="P31" s="112">
        <v>0</v>
      </c>
      <c r="Q31" s="112">
        <v>0</v>
      </c>
      <c r="R31" s="112">
        <v>0</v>
      </c>
      <c r="S31" s="112">
        <v>0.8</v>
      </c>
      <c r="T31" s="112">
        <v>0.8</v>
      </c>
      <c r="U31" s="112">
        <v>0.8</v>
      </c>
      <c r="V31" s="112">
        <v>0.8</v>
      </c>
      <c r="W31" s="112">
        <v>0</v>
      </c>
      <c r="X31" s="112">
        <v>0.8</v>
      </c>
      <c r="Y31" s="112">
        <v>0.8</v>
      </c>
      <c r="Z31" s="112">
        <v>0</v>
      </c>
      <c r="AA31" s="112">
        <v>0</v>
      </c>
      <c r="AB31" s="112">
        <v>0</v>
      </c>
      <c r="AC31" s="112">
        <v>0</v>
      </c>
      <c r="AD31" s="112">
        <v>0</v>
      </c>
      <c r="AE31" s="112">
        <v>0</v>
      </c>
      <c r="AF31" s="112">
        <v>0</v>
      </c>
      <c r="AG31" s="112">
        <v>0</v>
      </c>
      <c r="AH31" s="112">
        <v>0</v>
      </c>
      <c r="AI31" s="112">
        <v>0</v>
      </c>
      <c r="AJ31" s="112">
        <v>0</v>
      </c>
      <c r="AK31" s="112">
        <v>0</v>
      </c>
      <c r="AL31" s="112">
        <v>0</v>
      </c>
      <c r="AM31" s="112">
        <v>0</v>
      </c>
      <c r="AN31" s="112">
        <v>0</v>
      </c>
      <c r="AO31" s="112">
        <v>0</v>
      </c>
      <c r="AP31" s="112">
        <v>0</v>
      </c>
      <c r="AQ31" s="112">
        <v>0</v>
      </c>
      <c r="AR31" s="112">
        <v>0</v>
      </c>
      <c r="AS31" s="112">
        <v>0</v>
      </c>
      <c r="AT31" s="112">
        <v>0</v>
      </c>
    </row>
    <row r="32" spans="1:46" customFormat="1" x14ac:dyDescent="0.15">
      <c r="A32" s="190" t="s">
        <v>221</v>
      </c>
      <c r="B32" s="112">
        <v>0</v>
      </c>
      <c r="C32" s="112">
        <v>0.8</v>
      </c>
      <c r="D32" s="112">
        <v>0</v>
      </c>
      <c r="E32" s="112">
        <v>0.8</v>
      </c>
      <c r="F32" s="112">
        <v>0.8</v>
      </c>
      <c r="G32" s="112">
        <v>0.8</v>
      </c>
      <c r="H32" s="112">
        <v>0.8</v>
      </c>
      <c r="I32" s="112">
        <v>0.8</v>
      </c>
      <c r="J32" s="112">
        <v>0.8</v>
      </c>
      <c r="K32" s="112">
        <v>0.8</v>
      </c>
      <c r="L32" s="112">
        <v>0.8</v>
      </c>
      <c r="M32" s="112">
        <v>0.8</v>
      </c>
      <c r="N32" s="112">
        <v>0</v>
      </c>
      <c r="O32" s="112">
        <v>0</v>
      </c>
      <c r="P32" s="112">
        <v>0</v>
      </c>
      <c r="Q32" s="112">
        <v>0</v>
      </c>
      <c r="R32" s="112">
        <v>0</v>
      </c>
      <c r="S32" s="112">
        <v>0.8</v>
      </c>
      <c r="T32" s="112">
        <v>0.8</v>
      </c>
      <c r="U32" s="112">
        <v>0.8</v>
      </c>
      <c r="V32" s="112">
        <v>0.8</v>
      </c>
      <c r="W32" s="112">
        <v>0</v>
      </c>
      <c r="X32" s="112">
        <v>0.8</v>
      </c>
      <c r="Y32" s="112">
        <v>0.8</v>
      </c>
      <c r="Z32" s="112">
        <v>0</v>
      </c>
      <c r="AA32" s="112">
        <v>0</v>
      </c>
      <c r="AB32" s="112">
        <v>0.8</v>
      </c>
      <c r="AC32" s="112">
        <v>0.8</v>
      </c>
      <c r="AD32" s="112">
        <v>0.8</v>
      </c>
      <c r="AE32" s="112">
        <v>0</v>
      </c>
      <c r="AF32" s="112">
        <v>0.8</v>
      </c>
      <c r="AG32" s="112">
        <v>0</v>
      </c>
      <c r="AH32" s="112">
        <v>0</v>
      </c>
      <c r="AI32" s="112">
        <v>0</v>
      </c>
      <c r="AJ32" s="112">
        <v>0</v>
      </c>
      <c r="AK32" s="112">
        <v>0</v>
      </c>
      <c r="AL32" s="112">
        <v>0</v>
      </c>
      <c r="AM32" s="112">
        <v>0</v>
      </c>
      <c r="AN32" s="112">
        <v>0</v>
      </c>
      <c r="AO32" s="112">
        <v>0</v>
      </c>
      <c r="AP32" s="112">
        <v>0</v>
      </c>
      <c r="AQ32" s="112">
        <v>0</v>
      </c>
      <c r="AR32" s="112">
        <v>0</v>
      </c>
      <c r="AS32" s="112">
        <v>0</v>
      </c>
      <c r="AT32" s="112">
        <v>0</v>
      </c>
    </row>
    <row r="33" spans="1:46" x14ac:dyDescent="0.15">
      <c r="A33" s="190" t="s">
        <v>222</v>
      </c>
      <c r="B33" s="112">
        <v>0</v>
      </c>
      <c r="C33" s="112">
        <v>0</v>
      </c>
      <c r="D33" s="112">
        <v>0</v>
      </c>
      <c r="E33" s="112">
        <v>0</v>
      </c>
      <c r="F33" s="112">
        <v>0.8</v>
      </c>
      <c r="G33" s="112">
        <v>0.8</v>
      </c>
      <c r="H33" s="112">
        <v>0.8</v>
      </c>
      <c r="I33" s="112">
        <v>0</v>
      </c>
      <c r="J33" s="112">
        <v>0</v>
      </c>
      <c r="K33" s="112">
        <v>0</v>
      </c>
      <c r="L33" s="112">
        <v>0</v>
      </c>
      <c r="M33" s="112">
        <v>0</v>
      </c>
      <c r="N33" s="112">
        <v>0</v>
      </c>
      <c r="O33" s="112">
        <v>0</v>
      </c>
      <c r="P33" s="112">
        <v>0</v>
      </c>
      <c r="Q33" s="112">
        <v>0</v>
      </c>
      <c r="R33" s="112">
        <v>0</v>
      </c>
      <c r="S33" s="112">
        <v>0</v>
      </c>
      <c r="T33" s="112">
        <v>0</v>
      </c>
      <c r="U33" s="112">
        <v>0</v>
      </c>
      <c r="V33" s="112">
        <v>0.8</v>
      </c>
      <c r="W33" s="112">
        <v>0</v>
      </c>
      <c r="X33" s="112">
        <v>0</v>
      </c>
      <c r="Y33" s="112">
        <v>0</v>
      </c>
      <c r="Z33" s="112">
        <v>0</v>
      </c>
      <c r="AA33" s="112">
        <v>0</v>
      </c>
      <c r="AB33" s="112">
        <v>0</v>
      </c>
      <c r="AC33" s="112">
        <v>0</v>
      </c>
      <c r="AD33" s="112">
        <v>0</v>
      </c>
      <c r="AE33" s="112">
        <v>0</v>
      </c>
      <c r="AF33" s="112">
        <v>0</v>
      </c>
      <c r="AG33" s="112">
        <v>0</v>
      </c>
      <c r="AH33" s="112">
        <v>0</v>
      </c>
      <c r="AI33" s="112">
        <v>0</v>
      </c>
      <c r="AJ33" s="112">
        <v>0</v>
      </c>
      <c r="AK33" s="112">
        <v>0</v>
      </c>
      <c r="AL33" s="112">
        <v>0</v>
      </c>
      <c r="AM33" s="112">
        <v>0</v>
      </c>
      <c r="AN33" s="112">
        <v>0</v>
      </c>
      <c r="AO33" s="112">
        <v>0</v>
      </c>
      <c r="AP33" s="112">
        <v>0</v>
      </c>
      <c r="AQ33" s="112">
        <v>0</v>
      </c>
      <c r="AR33" s="112">
        <v>0</v>
      </c>
      <c r="AS33" s="112">
        <v>0</v>
      </c>
      <c r="AT33" s="112">
        <v>0</v>
      </c>
    </row>
    <row r="34" spans="1:46" x14ac:dyDescent="0.15">
      <c r="A34" s="190" t="s">
        <v>223</v>
      </c>
      <c r="B34" s="112">
        <v>0.8</v>
      </c>
      <c r="C34" s="112">
        <v>0.8</v>
      </c>
      <c r="D34" s="112">
        <v>0</v>
      </c>
      <c r="E34" s="112">
        <v>0</v>
      </c>
      <c r="F34" s="112">
        <v>0.8</v>
      </c>
      <c r="G34" s="112">
        <v>0.8</v>
      </c>
      <c r="H34" s="112">
        <v>0.8</v>
      </c>
      <c r="I34" s="112">
        <v>0</v>
      </c>
      <c r="J34" s="112">
        <v>0</v>
      </c>
      <c r="K34" s="112">
        <v>0</v>
      </c>
      <c r="L34" s="112">
        <v>0</v>
      </c>
      <c r="M34" s="112">
        <v>0</v>
      </c>
      <c r="N34" s="112">
        <v>0</v>
      </c>
      <c r="O34" s="112">
        <v>0</v>
      </c>
      <c r="P34" s="112">
        <v>0</v>
      </c>
      <c r="Q34" s="112">
        <v>0</v>
      </c>
      <c r="R34" s="112">
        <v>0</v>
      </c>
      <c r="S34" s="112">
        <v>0</v>
      </c>
      <c r="T34" s="112">
        <v>0</v>
      </c>
      <c r="U34" s="112">
        <v>0</v>
      </c>
      <c r="V34" s="112">
        <v>0.8</v>
      </c>
      <c r="W34" s="112">
        <v>0</v>
      </c>
      <c r="X34" s="112">
        <v>0</v>
      </c>
      <c r="Y34" s="112">
        <v>0</v>
      </c>
      <c r="Z34" s="112">
        <v>0</v>
      </c>
      <c r="AA34" s="112">
        <v>0</v>
      </c>
      <c r="AB34" s="112">
        <v>0</v>
      </c>
      <c r="AC34" s="112">
        <v>0</v>
      </c>
      <c r="AD34" s="112">
        <v>0</v>
      </c>
      <c r="AE34" s="112">
        <v>0</v>
      </c>
      <c r="AF34" s="112">
        <v>0</v>
      </c>
      <c r="AG34" s="112">
        <v>0.8</v>
      </c>
      <c r="AH34" s="112">
        <v>0</v>
      </c>
      <c r="AI34" s="112">
        <v>0</v>
      </c>
      <c r="AJ34" s="112">
        <v>0</v>
      </c>
      <c r="AK34" s="112">
        <v>0</v>
      </c>
      <c r="AL34" s="112">
        <v>0</v>
      </c>
      <c r="AM34" s="112">
        <v>0</v>
      </c>
      <c r="AN34" s="112">
        <v>0</v>
      </c>
      <c r="AO34" s="112">
        <v>0</v>
      </c>
      <c r="AP34" s="112">
        <v>0</v>
      </c>
      <c r="AQ34" s="112">
        <v>0</v>
      </c>
      <c r="AR34" s="112">
        <v>0</v>
      </c>
      <c r="AS34" s="112">
        <v>0</v>
      </c>
      <c r="AT34" s="112">
        <v>0</v>
      </c>
    </row>
    <row r="35" spans="1:46" x14ac:dyDescent="0.15">
      <c r="A35" s="190" t="s">
        <v>224</v>
      </c>
      <c r="B35" s="112">
        <v>0</v>
      </c>
      <c r="C35" s="112">
        <v>0</v>
      </c>
      <c r="D35" s="112">
        <v>0</v>
      </c>
      <c r="E35" s="112">
        <v>0</v>
      </c>
      <c r="F35" s="112">
        <v>0.8</v>
      </c>
      <c r="G35" s="112">
        <v>0</v>
      </c>
      <c r="H35" s="112">
        <v>0.8</v>
      </c>
      <c r="I35" s="112">
        <v>0.8</v>
      </c>
      <c r="J35" s="112">
        <v>0.8</v>
      </c>
      <c r="K35" s="112">
        <v>0</v>
      </c>
      <c r="L35" s="112">
        <v>0</v>
      </c>
      <c r="M35" s="112">
        <v>0</v>
      </c>
      <c r="N35" s="112">
        <v>0</v>
      </c>
      <c r="O35" s="112">
        <v>0</v>
      </c>
      <c r="P35" s="112">
        <v>0</v>
      </c>
      <c r="Q35" s="112">
        <v>0</v>
      </c>
      <c r="R35" s="112">
        <v>0</v>
      </c>
      <c r="S35" s="112">
        <v>0</v>
      </c>
      <c r="T35" s="112">
        <v>0</v>
      </c>
      <c r="U35" s="112">
        <v>0</v>
      </c>
      <c r="V35" s="112">
        <v>0</v>
      </c>
      <c r="W35" s="112">
        <v>0</v>
      </c>
      <c r="X35" s="112">
        <v>0</v>
      </c>
      <c r="Y35" s="112">
        <v>0</v>
      </c>
      <c r="Z35" s="112">
        <v>0</v>
      </c>
      <c r="AA35" s="112">
        <v>0</v>
      </c>
      <c r="AB35" s="112">
        <v>0</v>
      </c>
      <c r="AC35" s="112">
        <v>0</v>
      </c>
      <c r="AD35" s="112">
        <v>0</v>
      </c>
      <c r="AE35" s="112">
        <v>0</v>
      </c>
      <c r="AF35" s="112">
        <v>0</v>
      </c>
      <c r="AG35" s="112">
        <v>0</v>
      </c>
      <c r="AH35" s="112">
        <v>0</v>
      </c>
      <c r="AI35" s="112">
        <v>0</v>
      </c>
      <c r="AJ35" s="112">
        <v>0</v>
      </c>
      <c r="AK35" s="112">
        <v>0</v>
      </c>
      <c r="AL35" s="112">
        <v>0</v>
      </c>
      <c r="AM35" s="112">
        <v>0</v>
      </c>
      <c r="AN35" s="112">
        <v>0</v>
      </c>
      <c r="AO35" s="112">
        <v>0</v>
      </c>
      <c r="AP35" s="112">
        <v>0</v>
      </c>
      <c r="AQ35" s="112">
        <v>0</v>
      </c>
      <c r="AR35" s="112">
        <v>0</v>
      </c>
      <c r="AS35" s="112">
        <v>0</v>
      </c>
      <c r="AT35" s="112">
        <v>0</v>
      </c>
    </row>
    <row r="36" spans="1:46" x14ac:dyDescent="0.15">
      <c r="A36" s="190" t="s">
        <v>225</v>
      </c>
      <c r="B36" s="112">
        <v>0.8</v>
      </c>
      <c r="C36" s="112">
        <v>0</v>
      </c>
      <c r="D36" s="112">
        <v>0</v>
      </c>
      <c r="E36" s="112">
        <v>0</v>
      </c>
      <c r="F36" s="112">
        <v>0</v>
      </c>
      <c r="G36" s="112">
        <v>0</v>
      </c>
      <c r="H36" s="112">
        <v>0.8</v>
      </c>
      <c r="I36" s="112">
        <v>0</v>
      </c>
      <c r="J36" s="112">
        <v>0</v>
      </c>
      <c r="K36" s="112">
        <v>0</v>
      </c>
      <c r="L36" s="112">
        <v>0</v>
      </c>
      <c r="M36" s="112">
        <v>0</v>
      </c>
      <c r="N36" s="112">
        <v>0</v>
      </c>
      <c r="O36" s="112">
        <v>0</v>
      </c>
      <c r="P36" s="112">
        <v>0</v>
      </c>
      <c r="Q36" s="112">
        <v>0</v>
      </c>
      <c r="R36" s="112">
        <v>0</v>
      </c>
      <c r="S36" s="112">
        <v>0</v>
      </c>
      <c r="T36" s="112">
        <v>0</v>
      </c>
      <c r="U36" s="112">
        <v>0</v>
      </c>
      <c r="V36" s="112">
        <v>0</v>
      </c>
      <c r="W36" s="112">
        <v>0</v>
      </c>
      <c r="X36" s="112">
        <v>0</v>
      </c>
      <c r="Y36" s="112">
        <v>0</v>
      </c>
      <c r="Z36" s="112">
        <v>0</v>
      </c>
      <c r="AA36" s="112">
        <v>0</v>
      </c>
      <c r="AB36" s="112">
        <v>0</v>
      </c>
      <c r="AC36" s="112">
        <v>0</v>
      </c>
      <c r="AD36" s="112">
        <v>0</v>
      </c>
      <c r="AE36" s="112">
        <v>0</v>
      </c>
      <c r="AF36" s="112">
        <v>0</v>
      </c>
      <c r="AG36" s="112">
        <v>0</v>
      </c>
      <c r="AH36" s="112">
        <v>0</v>
      </c>
      <c r="AI36" s="112">
        <v>0.8</v>
      </c>
      <c r="AJ36" s="112">
        <v>0</v>
      </c>
      <c r="AK36" s="112">
        <v>0</v>
      </c>
      <c r="AL36" s="112">
        <v>0</v>
      </c>
      <c r="AM36" s="112">
        <v>0</v>
      </c>
      <c r="AN36" s="112">
        <v>0</v>
      </c>
      <c r="AO36" s="112">
        <v>0</v>
      </c>
      <c r="AP36" s="112">
        <v>0</v>
      </c>
      <c r="AQ36" s="112">
        <v>0</v>
      </c>
      <c r="AR36" s="112">
        <v>0</v>
      </c>
      <c r="AS36" s="112">
        <v>0</v>
      </c>
      <c r="AT36" s="112">
        <v>0</v>
      </c>
    </row>
    <row r="37" spans="1:46" x14ac:dyDescent="0.15">
      <c r="A37" s="190" t="s">
        <v>226</v>
      </c>
      <c r="B37" s="112">
        <v>0.8</v>
      </c>
      <c r="C37" s="112">
        <v>0.8</v>
      </c>
      <c r="D37" s="112">
        <v>0</v>
      </c>
      <c r="E37" s="112">
        <v>0</v>
      </c>
      <c r="F37" s="112">
        <v>0</v>
      </c>
      <c r="G37" s="112">
        <v>0.8</v>
      </c>
      <c r="H37" s="112">
        <v>0.8</v>
      </c>
      <c r="I37" s="112">
        <v>0</v>
      </c>
      <c r="J37" s="112">
        <v>0.8</v>
      </c>
      <c r="K37" s="112">
        <v>0</v>
      </c>
      <c r="L37" s="112">
        <v>0</v>
      </c>
      <c r="M37" s="112">
        <v>0</v>
      </c>
      <c r="N37" s="112">
        <v>0</v>
      </c>
      <c r="O37" s="112">
        <v>0</v>
      </c>
      <c r="P37" s="112">
        <v>0</v>
      </c>
      <c r="Q37" s="112">
        <v>0</v>
      </c>
      <c r="R37" s="112">
        <v>0</v>
      </c>
      <c r="S37" s="112">
        <v>0</v>
      </c>
      <c r="T37" s="112">
        <v>0</v>
      </c>
      <c r="U37" s="112">
        <v>0</v>
      </c>
      <c r="V37" s="112">
        <v>0.8</v>
      </c>
      <c r="W37" s="112">
        <v>0</v>
      </c>
      <c r="X37" s="112">
        <v>0</v>
      </c>
      <c r="Y37" s="112">
        <v>0</v>
      </c>
      <c r="Z37" s="112">
        <v>0</v>
      </c>
      <c r="AA37" s="112">
        <v>0</v>
      </c>
      <c r="AB37" s="112">
        <v>0</v>
      </c>
      <c r="AC37" s="112">
        <v>0</v>
      </c>
      <c r="AD37" s="112">
        <v>0</v>
      </c>
      <c r="AE37" s="112">
        <v>0</v>
      </c>
      <c r="AF37" s="112">
        <v>0</v>
      </c>
      <c r="AG37" s="112">
        <v>0.8</v>
      </c>
      <c r="AH37" s="112">
        <v>0</v>
      </c>
      <c r="AI37" s="112">
        <v>0.8</v>
      </c>
      <c r="AJ37" s="112">
        <v>0</v>
      </c>
      <c r="AK37" s="112">
        <v>0</v>
      </c>
      <c r="AL37" s="112">
        <v>0</v>
      </c>
      <c r="AM37" s="112">
        <v>0</v>
      </c>
      <c r="AN37" s="112">
        <v>0</v>
      </c>
      <c r="AO37" s="112">
        <v>0</v>
      </c>
      <c r="AP37" s="112">
        <v>0</v>
      </c>
      <c r="AQ37" s="112">
        <v>0</v>
      </c>
      <c r="AR37" s="112">
        <v>0</v>
      </c>
      <c r="AS37" s="112">
        <v>0</v>
      </c>
      <c r="AT37" s="112">
        <v>0</v>
      </c>
    </row>
    <row r="38" spans="1:46" x14ac:dyDescent="0.15">
      <c r="A38" s="190" t="s">
        <v>227</v>
      </c>
      <c r="B38" s="112">
        <v>0.8</v>
      </c>
      <c r="C38" s="112">
        <v>0.8</v>
      </c>
      <c r="D38" s="112">
        <v>0</v>
      </c>
      <c r="E38" s="112">
        <v>0</v>
      </c>
      <c r="F38" s="112">
        <v>0.8</v>
      </c>
      <c r="G38" s="112">
        <v>0</v>
      </c>
      <c r="H38" s="112">
        <v>0.8</v>
      </c>
      <c r="I38" s="112">
        <v>0.8</v>
      </c>
      <c r="J38" s="112">
        <v>0.8</v>
      </c>
      <c r="K38" s="112">
        <v>0</v>
      </c>
      <c r="L38" s="112">
        <v>0</v>
      </c>
      <c r="M38" s="112">
        <v>0</v>
      </c>
      <c r="N38" s="112">
        <v>0</v>
      </c>
      <c r="O38" s="112">
        <v>0</v>
      </c>
      <c r="P38" s="112">
        <v>0</v>
      </c>
      <c r="Q38" s="112">
        <v>0</v>
      </c>
      <c r="R38" s="112">
        <v>0</v>
      </c>
      <c r="S38" s="112">
        <v>0</v>
      </c>
      <c r="T38" s="112">
        <v>0</v>
      </c>
      <c r="U38" s="112">
        <v>0</v>
      </c>
      <c r="V38" s="112">
        <v>0.8</v>
      </c>
      <c r="W38" s="112">
        <v>0</v>
      </c>
      <c r="X38" s="112">
        <v>0</v>
      </c>
      <c r="Y38" s="112">
        <v>0</v>
      </c>
      <c r="Z38" s="112">
        <v>0</v>
      </c>
      <c r="AA38" s="112">
        <v>0</v>
      </c>
      <c r="AB38" s="112">
        <v>0</v>
      </c>
      <c r="AC38" s="112">
        <v>0</v>
      </c>
      <c r="AD38" s="112">
        <v>0</v>
      </c>
      <c r="AE38" s="112">
        <v>0</v>
      </c>
      <c r="AF38" s="112">
        <v>0</v>
      </c>
      <c r="AG38" s="112">
        <v>0.8</v>
      </c>
      <c r="AH38" s="112">
        <v>0</v>
      </c>
      <c r="AI38" s="112">
        <v>0.8</v>
      </c>
      <c r="AJ38" s="112">
        <v>0</v>
      </c>
      <c r="AK38" s="112">
        <v>0.8</v>
      </c>
      <c r="AL38" s="112">
        <v>0.8</v>
      </c>
      <c r="AM38" s="112">
        <v>0.8</v>
      </c>
      <c r="AN38" s="112">
        <v>0</v>
      </c>
      <c r="AO38" s="112">
        <v>0</v>
      </c>
      <c r="AP38" s="112">
        <v>0</v>
      </c>
      <c r="AQ38" s="112">
        <v>0</v>
      </c>
      <c r="AR38" s="112">
        <v>0</v>
      </c>
      <c r="AS38" s="112">
        <v>0</v>
      </c>
      <c r="AT38" s="112">
        <v>0</v>
      </c>
    </row>
    <row r="39" spans="1:46" x14ac:dyDescent="0.15">
      <c r="A39" s="190" t="s">
        <v>228</v>
      </c>
      <c r="B39" s="112">
        <v>0.8</v>
      </c>
      <c r="C39" s="112">
        <v>0.8</v>
      </c>
      <c r="D39" s="112">
        <v>0</v>
      </c>
      <c r="E39" s="112">
        <v>0.8</v>
      </c>
      <c r="F39" s="112">
        <v>0.8</v>
      </c>
      <c r="G39" s="112">
        <v>0.8</v>
      </c>
      <c r="H39" s="112">
        <v>0.8</v>
      </c>
      <c r="I39" s="112">
        <v>0.8</v>
      </c>
      <c r="J39" s="112">
        <v>0.8</v>
      </c>
      <c r="K39" s="112">
        <v>0.8</v>
      </c>
      <c r="L39" s="112">
        <v>0.8</v>
      </c>
      <c r="M39" s="112">
        <v>0.8</v>
      </c>
      <c r="N39" s="112">
        <v>0</v>
      </c>
      <c r="O39" s="112">
        <v>0.8</v>
      </c>
      <c r="P39" s="112">
        <v>0</v>
      </c>
      <c r="Q39" s="112">
        <v>0</v>
      </c>
      <c r="R39" s="112">
        <v>0</v>
      </c>
      <c r="S39" s="112">
        <v>0.8</v>
      </c>
      <c r="T39" s="112">
        <v>0.8</v>
      </c>
      <c r="U39" s="112">
        <v>0</v>
      </c>
      <c r="V39" s="112">
        <v>0.8</v>
      </c>
      <c r="W39" s="112">
        <v>0</v>
      </c>
      <c r="X39" s="112">
        <v>0.8</v>
      </c>
      <c r="Y39" s="112">
        <v>0</v>
      </c>
      <c r="Z39" s="112">
        <v>0</v>
      </c>
      <c r="AA39" s="112">
        <v>0</v>
      </c>
      <c r="AB39" s="112">
        <v>0</v>
      </c>
      <c r="AC39" s="112">
        <v>0.8</v>
      </c>
      <c r="AD39" s="112">
        <v>0.8</v>
      </c>
      <c r="AE39" s="112">
        <v>0</v>
      </c>
      <c r="AF39" s="112">
        <v>0</v>
      </c>
      <c r="AG39" s="112">
        <v>0.8</v>
      </c>
      <c r="AH39" s="112">
        <v>0.8</v>
      </c>
      <c r="AI39" s="112">
        <v>0.8</v>
      </c>
      <c r="AJ39" s="112">
        <v>0</v>
      </c>
      <c r="AK39" s="112">
        <v>0</v>
      </c>
      <c r="AL39" s="112">
        <v>0.8</v>
      </c>
      <c r="AM39" s="112">
        <v>0</v>
      </c>
      <c r="AN39" s="112">
        <v>0</v>
      </c>
      <c r="AO39" s="112">
        <v>0</v>
      </c>
      <c r="AP39" s="112">
        <v>0</v>
      </c>
      <c r="AQ39" s="112">
        <v>0</v>
      </c>
      <c r="AR39" s="112">
        <v>0</v>
      </c>
      <c r="AS39" s="112">
        <v>0</v>
      </c>
      <c r="AT39" s="112">
        <v>0</v>
      </c>
    </row>
    <row r="40" spans="1:46" x14ac:dyDescent="0.15">
      <c r="A40" s="190" t="s">
        <v>229</v>
      </c>
      <c r="B40" s="112">
        <v>0</v>
      </c>
      <c r="C40" s="112">
        <v>0</v>
      </c>
      <c r="D40" s="112">
        <v>0</v>
      </c>
      <c r="E40" s="112">
        <v>0.8</v>
      </c>
      <c r="F40" s="112">
        <v>0.8</v>
      </c>
      <c r="G40" s="112">
        <v>0.8</v>
      </c>
      <c r="H40" s="112">
        <v>0.8</v>
      </c>
      <c r="I40" s="112">
        <v>0.8</v>
      </c>
      <c r="J40" s="112">
        <v>0.8</v>
      </c>
      <c r="K40" s="112">
        <v>0.8</v>
      </c>
      <c r="L40" s="112">
        <v>0.8</v>
      </c>
      <c r="M40" s="112">
        <v>0.8</v>
      </c>
      <c r="N40" s="112">
        <v>0.8</v>
      </c>
      <c r="O40" s="112">
        <v>0.8</v>
      </c>
      <c r="P40" s="112">
        <v>0</v>
      </c>
      <c r="Q40" s="112">
        <v>0</v>
      </c>
      <c r="R40" s="112">
        <v>0.8</v>
      </c>
      <c r="S40" s="112">
        <v>0.8</v>
      </c>
      <c r="T40" s="112">
        <v>0.8</v>
      </c>
      <c r="U40" s="112">
        <v>0.8</v>
      </c>
      <c r="V40" s="112">
        <v>0.8</v>
      </c>
      <c r="W40" s="112">
        <v>0.8</v>
      </c>
      <c r="X40" s="112">
        <v>0.8</v>
      </c>
      <c r="Y40" s="112">
        <v>0.8</v>
      </c>
      <c r="Z40" s="112">
        <v>0.8</v>
      </c>
      <c r="AA40" s="112">
        <v>0.8</v>
      </c>
      <c r="AB40" s="112">
        <v>0.8</v>
      </c>
      <c r="AC40" s="112">
        <v>0.8</v>
      </c>
      <c r="AD40" s="112">
        <v>0.8</v>
      </c>
      <c r="AE40" s="112">
        <v>0.8</v>
      </c>
      <c r="AF40" s="112">
        <v>0.8</v>
      </c>
      <c r="AG40" s="112">
        <v>0.8</v>
      </c>
      <c r="AH40" s="112">
        <v>0.8</v>
      </c>
      <c r="AI40" s="112">
        <v>0.8</v>
      </c>
      <c r="AJ40" s="112">
        <v>0</v>
      </c>
      <c r="AK40" s="112">
        <v>0.8</v>
      </c>
      <c r="AL40" s="112">
        <v>0.8</v>
      </c>
      <c r="AM40" s="112">
        <v>0</v>
      </c>
      <c r="AN40" s="112">
        <v>0.8</v>
      </c>
      <c r="AO40" s="112">
        <v>0</v>
      </c>
      <c r="AP40" s="112">
        <v>0</v>
      </c>
      <c r="AQ40" s="112">
        <v>0</v>
      </c>
      <c r="AR40" s="112">
        <v>0</v>
      </c>
      <c r="AS40" s="112">
        <v>0</v>
      </c>
      <c r="AT40" s="112">
        <v>0</v>
      </c>
    </row>
    <row r="41" spans="1:46" x14ac:dyDescent="0.15">
      <c r="A41" s="190" t="s">
        <v>230</v>
      </c>
      <c r="B41" s="112">
        <v>0</v>
      </c>
      <c r="C41" s="112">
        <v>0.8</v>
      </c>
      <c r="D41" s="112">
        <v>0</v>
      </c>
      <c r="E41" s="112">
        <v>0.8</v>
      </c>
      <c r="F41" s="112">
        <v>0.8</v>
      </c>
      <c r="G41" s="112">
        <v>0.8</v>
      </c>
      <c r="H41" s="112">
        <v>0.8</v>
      </c>
      <c r="I41" s="112">
        <v>0.8</v>
      </c>
      <c r="J41" s="112">
        <v>0.8</v>
      </c>
      <c r="K41" s="112">
        <v>0.8</v>
      </c>
      <c r="L41" s="112">
        <v>0.8</v>
      </c>
      <c r="M41" s="112">
        <v>0.8</v>
      </c>
      <c r="N41" s="112">
        <v>0</v>
      </c>
      <c r="O41" s="112">
        <v>0.8</v>
      </c>
      <c r="P41" s="112">
        <v>0.8</v>
      </c>
      <c r="Q41" s="112">
        <v>0.8</v>
      </c>
      <c r="R41" s="112">
        <v>0</v>
      </c>
      <c r="S41" s="112">
        <v>0</v>
      </c>
      <c r="T41" s="112">
        <v>0</v>
      </c>
      <c r="U41" s="112">
        <v>0</v>
      </c>
      <c r="V41" s="112">
        <v>0.8</v>
      </c>
      <c r="W41" s="112">
        <v>0.8</v>
      </c>
      <c r="X41" s="112">
        <v>0.8</v>
      </c>
      <c r="Y41" s="112">
        <v>0.8</v>
      </c>
      <c r="Z41" s="112">
        <v>0.8</v>
      </c>
      <c r="AA41" s="112">
        <v>0.8</v>
      </c>
      <c r="AB41" s="112">
        <v>0.8</v>
      </c>
      <c r="AC41" s="112">
        <v>0.8</v>
      </c>
      <c r="AD41" s="112">
        <v>0.8</v>
      </c>
      <c r="AE41" s="112">
        <v>0</v>
      </c>
      <c r="AF41" s="112">
        <v>0.8</v>
      </c>
      <c r="AG41" s="112">
        <v>0.8</v>
      </c>
      <c r="AH41" s="112">
        <v>0.8</v>
      </c>
      <c r="AI41" s="112">
        <v>0</v>
      </c>
      <c r="AJ41" s="112">
        <v>0.8</v>
      </c>
      <c r="AK41" s="112">
        <v>0</v>
      </c>
      <c r="AL41" s="112">
        <v>0.8</v>
      </c>
      <c r="AM41" s="112">
        <v>0</v>
      </c>
      <c r="AN41" s="112">
        <v>0.8</v>
      </c>
      <c r="AO41" s="112">
        <v>0.8</v>
      </c>
      <c r="AP41" s="112">
        <v>0</v>
      </c>
      <c r="AQ41" s="112">
        <v>0</v>
      </c>
      <c r="AR41" s="112">
        <v>0</v>
      </c>
      <c r="AS41" s="112">
        <v>0</v>
      </c>
      <c r="AT41" s="112">
        <v>0</v>
      </c>
    </row>
    <row r="42" spans="1:46" x14ac:dyDescent="0.15">
      <c r="A42" s="190" t="s">
        <v>231</v>
      </c>
      <c r="B42" s="112">
        <v>0.8</v>
      </c>
      <c r="C42" s="112">
        <v>0</v>
      </c>
      <c r="D42" s="112">
        <v>0.8</v>
      </c>
      <c r="E42" s="112">
        <v>0.8</v>
      </c>
      <c r="F42" s="112">
        <v>0.8</v>
      </c>
      <c r="G42" s="112">
        <v>0.8</v>
      </c>
      <c r="H42" s="112">
        <v>0.8</v>
      </c>
      <c r="I42" s="112">
        <v>0.8</v>
      </c>
      <c r="J42" s="112">
        <v>0.8</v>
      </c>
      <c r="K42" s="112">
        <v>0.8</v>
      </c>
      <c r="L42" s="112">
        <v>0</v>
      </c>
      <c r="M42" s="112">
        <v>0.8</v>
      </c>
      <c r="N42" s="112">
        <v>0.8</v>
      </c>
      <c r="O42" s="112">
        <v>0.8</v>
      </c>
      <c r="P42" s="112">
        <v>0</v>
      </c>
      <c r="Q42" s="112">
        <v>0</v>
      </c>
      <c r="R42" s="112">
        <v>0.8</v>
      </c>
      <c r="S42" s="112">
        <v>0</v>
      </c>
      <c r="T42" s="112">
        <v>0</v>
      </c>
      <c r="U42" s="112">
        <v>0</v>
      </c>
      <c r="V42" s="112">
        <v>0.8</v>
      </c>
      <c r="W42" s="112">
        <v>0</v>
      </c>
      <c r="X42" s="112">
        <v>0.8</v>
      </c>
      <c r="Y42" s="112">
        <v>0</v>
      </c>
      <c r="Z42" s="112">
        <v>0.8</v>
      </c>
      <c r="AA42" s="112">
        <v>0.8</v>
      </c>
      <c r="AB42" s="112">
        <v>0</v>
      </c>
      <c r="AC42" s="112">
        <v>0.8</v>
      </c>
      <c r="AD42" s="112">
        <v>0.8</v>
      </c>
      <c r="AE42" s="112">
        <v>0</v>
      </c>
      <c r="AF42" s="112">
        <v>0.8</v>
      </c>
      <c r="AG42" s="112">
        <v>0.8</v>
      </c>
      <c r="AH42" s="112">
        <v>0.8</v>
      </c>
      <c r="AI42" s="112">
        <v>0.8</v>
      </c>
      <c r="AJ42" s="112">
        <v>0.8</v>
      </c>
      <c r="AK42" s="112">
        <v>0.8</v>
      </c>
      <c r="AL42" s="112">
        <v>0.8</v>
      </c>
      <c r="AM42" s="112">
        <v>0</v>
      </c>
      <c r="AN42" s="112">
        <v>0.8</v>
      </c>
      <c r="AO42" s="112">
        <v>0</v>
      </c>
      <c r="AP42" s="112">
        <v>0.8</v>
      </c>
      <c r="AQ42" s="112">
        <v>0</v>
      </c>
      <c r="AR42" s="112">
        <v>0</v>
      </c>
      <c r="AS42" s="112">
        <v>0</v>
      </c>
      <c r="AT42" s="112">
        <v>0</v>
      </c>
    </row>
    <row r="43" spans="1:46" x14ac:dyDescent="0.15">
      <c r="A43" s="190" t="s">
        <v>232</v>
      </c>
      <c r="B43" s="112">
        <v>0</v>
      </c>
      <c r="C43" s="112">
        <v>0</v>
      </c>
      <c r="D43" s="112">
        <v>0</v>
      </c>
      <c r="E43" s="112">
        <v>0</v>
      </c>
      <c r="F43" s="112">
        <v>0</v>
      </c>
      <c r="G43" s="112">
        <v>0</v>
      </c>
      <c r="H43" s="112">
        <v>0</v>
      </c>
      <c r="I43" s="112">
        <v>0</v>
      </c>
      <c r="J43" s="112">
        <v>0.8</v>
      </c>
      <c r="K43" s="112">
        <v>0.8</v>
      </c>
      <c r="L43" s="112">
        <v>0.8</v>
      </c>
      <c r="M43" s="112">
        <v>0.8</v>
      </c>
      <c r="N43" s="112">
        <v>0.8</v>
      </c>
      <c r="O43" s="112">
        <v>0.8</v>
      </c>
      <c r="P43" s="112">
        <v>0.8</v>
      </c>
      <c r="Q43" s="112">
        <v>0.8</v>
      </c>
      <c r="R43" s="112">
        <v>0.8</v>
      </c>
      <c r="S43" s="112">
        <v>0</v>
      </c>
      <c r="T43" s="112">
        <v>0</v>
      </c>
      <c r="U43" s="112">
        <v>0</v>
      </c>
      <c r="V43" s="112">
        <v>0.8</v>
      </c>
      <c r="W43" s="112">
        <v>0.8</v>
      </c>
      <c r="X43" s="112">
        <v>0</v>
      </c>
      <c r="Y43" s="112">
        <v>0</v>
      </c>
      <c r="Z43" s="112">
        <v>0.8</v>
      </c>
      <c r="AA43" s="112">
        <v>0.8</v>
      </c>
      <c r="AB43" s="112">
        <v>0</v>
      </c>
      <c r="AC43" s="112">
        <v>0.8</v>
      </c>
      <c r="AD43" s="112">
        <v>0</v>
      </c>
      <c r="AE43" s="112">
        <v>0</v>
      </c>
      <c r="AF43" s="112">
        <v>0.8</v>
      </c>
      <c r="AG43" s="112">
        <v>0.8</v>
      </c>
      <c r="AH43" s="112">
        <v>0.8</v>
      </c>
      <c r="AI43" s="112">
        <v>0.8</v>
      </c>
      <c r="AJ43" s="112">
        <v>0.8</v>
      </c>
      <c r="AK43" s="112">
        <v>0</v>
      </c>
      <c r="AL43" s="112">
        <v>0.8</v>
      </c>
      <c r="AM43" s="112">
        <v>0</v>
      </c>
      <c r="AN43" s="112">
        <v>0.8</v>
      </c>
      <c r="AO43" s="112">
        <v>0.8</v>
      </c>
      <c r="AP43" s="112">
        <v>0.8</v>
      </c>
      <c r="AQ43" s="112">
        <v>0</v>
      </c>
      <c r="AR43" s="112">
        <v>0</v>
      </c>
      <c r="AS43" s="112">
        <v>0</v>
      </c>
      <c r="AT43" s="112">
        <v>0</v>
      </c>
    </row>
    <row r="44" spans="1:46" x14ac:dyDescent="0.15">
      <c r="A44" s="190" t="s">
        <v>233</v>
      </c>
      <c r="B44" s="112">
        <v>0</v>
      </c>
      <c r="C44" s="112">
        <v>0</v>
      </c>
      <c r="D44" s="112">
        <v>0.8</v>
      </c>
      <c r="E44" s="112">
        <v>0</v>
      </c>
      <c r="F44" s="112">
        <v>0</v>
      </c>
      <c r="G44" s="112">
        <v>0.8</v>
      </c>
      <c r="H44" s="112">
        <v>0</v>
      </c>
      <c r="I44" s="112">
        <v>0</v>
      </c>
      <c r="J44" s="112">
        <v>0</v>
      </c>
      <c r="K44" s="112">
        <v>0</v>
      </c>
      <c r="L44" s="112">
        <v>0</v>
      </c>
      <c r="M44" s="112">
        <v>0</v>
      </c>
      <c r="N44" s="112">
        <v>0</v>
      </c>
      <c r="O44" s="112">
        <v>0.8</v>
      </c>
      <c r="P44" s="112">
        <v>0.8</v>
      </c>
      <c r="Q44" s="112">
        <v>0.8</v>
      </c>
      <c r="R44" s="112">
        <v>0.8</v>
      </c>
      <c r="S44" s="112">
        <v>0</v>
      </c>
      <c r="T44" s="112">
        <v>0</v>
      </c>
      <c r="U44" s="112">
        <v>0</v>
      </c>
      <c r="V44" s="112">
        <v>0.8</v>
      </c>
      <c r="W44" s="112">
        <v>0</v>
      </c>
      <c r="X44" s="112">
        <v>0</v>
      </c>
      <c r="Y44" s="112">
        <v>0</v>
      </c>
      <c r="Z44" s="112">
        <v>0.8</v>
      </c>
      <c r="AA44" s="112">
        <v>0.8</v>
      </c>
      <c r="AB44" s="112">
        <v>0</v>
      </c>
      <c r="AC44" s="112">
        <v>0.8</v>
      </c>
      <c r="AD44" s="112">
        <v>0</v>
      </c>
      <c r="AE44" s="112">
        <v>0</v>
      </c>
      <c r="AF44" s="112">
        <v>0.8</v>
      </c>
      <c r="AG44" s="112">
        <v>0</v>
      </c>
      <c r="AH44" s="112">
        <v>0</v>
      </c>
      <c r="AI44" s="112">
        <v>0</v>
      </c>
      <c r="AJ44" s="112">
        <v>0</v>
      </c>
      <c r="AK44" s="112">
        <v>0</v>
      </c>
      <c r="AL44" s="112">
        <v>0</v>
      </c>
      <c r="AM44" s="112">
        <v>0</v>
      </c>
      <c r="AN44" s="112">
        <v>0</v>
      </c>
      <c r="AO44" s="112">
        <v>0.8</v>
      </c>
      <c r="AP44" s="112">
        <v>0.8</v>
      </c>
      <c r="AQ44" s="112">
        <v>0.8</v>
      </c>
      <c r="AR44" s="112">
        <v>0</v>
      </c>
      <c r="AS44" s="112">
        <v>0</v>
      </c>
      <c r="AT44" s="112">
        <v>0</v>
      </c>
    </row>
    <row r="45" spans="1:46" x14ac:dyDescent="0.15">
      <c r="A45" s="190" t="s">
        <v>234</v>
      </c>
      <c r="B45" s="112">
        <v>0</v>
      </c>
      <c r="C45" s="112">
        <v>0</v>
      </c>
      <c r="D45" s="112">
        <v>0</v>
      </c>
      <c r="E45" s="112">
        <v>0</v>
      </c>
      <c r="F45" s="112">
        <v>0.8</v>
      </c>
      <c r="G45" s="112">
        <v>0.8</v>
      </c>
      <c r="H45" s="112">
        <v>0</v>
      </c>
      <c r="I45" s="112">
        <v>0</v>
      </c>
      <c r="J45" s="112">
        <v>0</v>
      </c>
      <c r="K45" s="112">
        <v>0</v>
      </c>
      <c r="L45" s="112">
        <v>0</v>
      </c>
      <c r="M45" s="112">
        <v>0.8</v>
      </c>
      <c r="N45" s="112">
        <v>0</v>
      </c>
      <c r="O45" s="112">
        <v>0.8</v>
      </c>
      <c r="P45" s="112">
        <v>0.8</v>
      </c>
      <c r="Q45" s="112">
        <v>0</v>
      </c>
      <c r="R45" s="112">
        <v>0.8</v>
      </c>
      <c r="S45" s="112">
        <v>0</v>
      </c>
      <c r="T45" s="112">
        <v>0.8</v>
      </c>
      <c r="U45" s="112">
        <v>0</v>
      </c>
      <c r="V45" s="112">
        <v>0</v>
      </c>
      <c r="W45" s="112">
        <v>0.8</v>
      </c>
      <c r="X45" s="112">
        <v>0</v>
      </c>
      <c r="Y45" s="112">
        <v>0</v>
      </c>
      <c r="Z45" s="112">
        <v>0.8</v>
      </c>
      <c r="AA45" s="112">
        <v>0.8</v>
      </c>
      <c r="AB45" s="112">
        <v>0</v>
      </c>
      <c r="AC45" s="112">
        <v>0.8</v>
      </c>
      <c r="AD45" s="112">
        <v>0.8</v>
      </c>
      <c r="AE45" s="112">
        <v>0</v>
      </c>
      <c r="AF45" s="112">
        <v>0.8</v>
      </c>
      <c r="AG45" s="112">
        <v>0</v>
      </c>
      <c r="AH45" s="112">
        <v>0</v>
      </c>
      <c r="AI45" s="112">
        <v>0</v>
      </c>
      <c r="AJ45" s="112">
        <v>0</v>
      </c>
      <c r="AK45" s="112">
        <v>0</v>
      </c>
      <c r="AL45" s="112">
        <v>0</v>
      </c>
      <c r="AM45" s="112">
        <v>0</v>
      </c>
      <c r="AN45" s="112">
        <v>0.8</v>
      </c>
      <c r="AO45" s="112">
        <v>0.8</v>
      </c>
      <c r="AP45" s="112">
        <v>0.8</v>
      </c>
      <c r="AQ45" s="112">
        <v>0.8</v>
      </c>
      <c r="AR45" s="112">
        <v>0</v>
      </c>
      <c r="AS45" s="112">
        <v>0</v>
      </c>
      <c r="AT45" s="112">
        <v>0</v>
      </c>
    </row>
    <row r="46" spans="1:46" x14ac:dyDescent="0.15">
      <c r="A46" s="190" t="s">
        <v>235</v>
      </c>
      <c r="B46" s="112">
        <v>0</v>
      </c>
      <c r="C46" s="112">
        <v>0</v>
      </c>
      <c r="D46" s="112">
        <v>0</v>
      </c>
      <c r="E46" s="112">
        <v>0</v>
      </c>
      <c r="F46" s="112">
        <v>0</v>
      </c>
      <c r="G46" s="112">
        <v>0</v>
      </c>
      <c r="H46" s="112">
        <v>0</v>
      </c>
      <c r="I46" s="112">
        <v>0</v>
      </c>
      <c r="J46" s="112">
        <v>0</v>
      </c>
      <c r="K46" s="112">
        <v>0</v>
      </c>
      <c r="L46" s="112">
        <v>0</v>
      </c>
      <c r="M46" s="112">
        <v>0</v>
      </c>
      <c r="N46" s="112">
        <v>0</v>
      </c>
      <c r="O46" s="112">
        <v>0</v>
      </c>
      <c r="P46" s="112">
        <v>0</v>
      </c>
      <c r="Q46" s="112">
        <v>0</v>
      </c>
      <c r="R46" s="112">
        <v>0</v>
      </c>
      <c r="S46" s="112">
        <v>0</v>
      </c>
      <c r="T46" s="112">
        <v>0</v>
      </c>
      <c r="U46" s="112">
        <v>0</v>
      </c>
      <c r="V46" s="112">
        <v>0</v>
      </c>
      <c r="W46" s="112">
        <v>0</v>
      </c>
      <c r="X46" s="112">
        <v>0</v>
      </c>
      <c r="Y46" s="112">
        <v>0</v>
      </c>
      <c r="Z46" s="112">
        <v>0</v>
      </c>
      <c r="AA46" s="112">
        <v>0</v>
      </c>
      <c r="AB46" s="112">
        <v>0</v>
      </c>
      <c r="AC46" s="112">
        <v>0</v>
      </c>
      <c r="AD46" s="112">
        <v>0</v>
      </c>
      <c r="AE46" s="112">
        <v>0</v>
      </c>
      <c r="AF46" s="112">
        <v>0</v>
      </c>
      <c r="AG46" s="112">
        <v>0</v>
      </c>
      <c r="AH46" s="112">
        <v>0</v>
      </c>
      <c r="AI46" s="112">
        <v>0</v>
      </c>
      <c r="AJ46" s="112">
        <v>0</v>
      </c>
      <c r="AK46" s="112">
        <v>0</v>
      </c>
      <c r="AL46" s="112">
        <v>0</v>
      </c>
      <c r="AM46" s="112">
        <v>0</v>
      </c>
      <c r="AN46" s="112">
        <v>0</v>
      </c>
      <c r="AO46" s="112">
        <v>0</v>
      </c>
      <c r="AP46" s="112">
        <v>0</v>
      </c>
      <c r="AQ46" s="112">
        <v>0</v>
      </c>
      <c r="AR46" s="112">
        <v>0</v>
      </c>
      <c r="AS46" s="112">
        <v>0</v>
      </c>
      <c r="AT46" s="112">
        <v>0</v>
      </c>
    </row>
    <row r="47" spans="1:46" x14ac:dyDescent="0.15">
      <c r="A47" s="190" t="s">
        <v>238</v>
      </c>
      <c r="B47" s="112">
        <v>0</v>
      </c>
      <c r="C47" s="112">
        <v>0</v>
      </c>
      <c r="D47" s="112">
        <v>0</v>
      </c>
      <c r="E47" s="112">
        <v>0.8</v>
      </c>
      <c r="F47" s="112">
        <v>0</v>
      </c>
      <c r="G47" s="112">
        <v>0</v>
      </c>
      <c r="H47" s="112">
        <v>0</v>
      </c>
      <c r="I47" s="112">
        <v>0</v>
      </c>
      <c r="J47" s="112">
        <v>0</v>
      </c>
      <c r="K47" s="112">
        <v>0</v>
      </c>
      <c r="L47" s="112">
        <v>0</v>
      </c>
      <c r="M47" s="112">
        <v>0</v>
      </c>
      <c r="N47" s="112">
        <v>0</v>
      </c>
      <c r="O47" s="112">
        <v>0.8</v>
      </c>
      <c r="P47" s="112">
        <v>0</v>
      </c>
      <c r="Q47" s="112">
        <v>0</v>
      </c>
      <c r="R47" s="112">
        <v>0</v>
      </c>
      <c r="S47" s="112">
        <v>0</v>
      </c>
      <c r="T47" s="112">
        <v>0</v>
      </c>
      <c r="U47" s="112">
        <v>0</v>
      </c>
      <c r="V47" s="112">
        <v>0</v>
      </c>
      <c r="W47" s="112">
        <v>0</v>
      </c>
      <c r="X47" s="112">
        <v>0</v>
      </c>
      <c r="Y47" s="112">
        <v>0</v>
      </c>
      <c r="Z47" s="112">
        <v>0</v>
      </c>
      <c r="AA47" s="112">
        <v>0</v>
      </c>
      <c r="AB47" s="112">
        <v>0</v>
      </c>
      <c r="AC47" s="112">
        <v>0</v>
      </c>
      <c r="AD47" s="112">
        <v>0</v>
      </c>
      <c r="AE47" s="112">
        <v>0</v>
      </c>
      <c r="AF47" s="112">
        <v>0.8</v>
      </c>
      <c r="AG47" s="112">
        <v>0</v>
      </c>
      <c r="AH47" s="112">
        <v>0</v>
      </c>
      <c r="AI47" s="112">
        <v>0</v>
      </c>
      <c r="AJ47" s="112">
        <v>0</v>
      </c>
      <c r="AK47" s="112">
        <v>0</v>
      </c>
      <c r="AL47" s="112">
        <v>0</v>
      </c>
      <c r="AM47" s="112">
        <v>0</v>
      </c>
      <c r="AN47" s="112">
        <v>0</v>
      </c>
      <c r="AO47" s="112">
        <v>0</v>
      </c>
      <c r="AP47" s="112">
        <v>0</v>
      </c>
      <c r="AQ47" s="112">
        <v>0</v>
      </c>
      <c r="AR47" s="112">
        <v>0</v>
      </c>
      <c r="AS47" s="112">
        <v>0</v>
      </c>
      <c r="AT47"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T47"/>
  <sheetViews>
    <sheetView workbookViewId="0">
      <selection activeCell="A3" sqref="A3"/>
    </sheetView>
  </sheetViews>
  <sheetFormatPr baseColWidth="10" defaultRowHeight="13" x14ac:dyDescent="0.15"/>
  <cols>
    <col min="1" max="1" width="27.5" style="112" bestFit="1" customWidth="1"/>
    <col min="2" max="46" width="2.33203125" style="112" customWidth="1"/>
    <col min="47" max="16384" width="10.83203125" style="112"/>
  </cols>
  <sheetData>
    <row r="1" spans="1:46" x14ac:dyDescent="0.15">
      <c r="A1" s="63" t="s">
        <v>139</v>
      </c>
      <c r="B1" s="193" t="s">
        <v>191</v>
      </c>
      <c r="C1" s="193" t="s">
        <v>192</v>
      </c>
      <c r="D1" s="193" t="s">
        <v>193</v>
      </c>
      <c r="E1" s="193" t="s">
        <v>194</v>
      </c>
      <c r="F1" s="193" t="s">
        <v>195</v>
      </c>
      <c r="G1" s="193" t="s">
        <v>196</v>
      </c>
      <c r="H1" s="193" t="s">
        <v>197</v>
      </c>
      <c r="I1" s="193" t="s">
        <v>198</v>
      </c>
      <c r="J1" s="193" t="s">
        <v>199</v>
      </c>
      <c r="K1" s="193" t="s">
        <v>200</v>
      </c>
      <c r="L1" s="193" t="s">
        <v>201</v>
      </c>
      <c r="M1" s="193" t="s">
        <v>202</v>
      </c>
      <c r="N1" s="193" t="s">
        <v>203</v>
      </c>
      <c r="O1" s="193" t="s">
        <v>204</v>
      </c>
      <c r="P1" s="193" t="s">
        <v>205</v>
      </c>
      <c r="Q1" s="193" t="s">
        <v>206</v>
      </c>
      <c r="R1" s="193" t="s">
        <v>207</v>
      </c>
      <c r="S1" s="193" t="s">
        <v>208</v>
      </c>
      <c r="T1" s="193" t="s">
        <v>209</v>
      </c>
      <c r="U1" s="193" t="s">
        <v>210</v>
      </c>
      <c r="V1" s="193" t="s">
        <v>211</v>
      </c>
      <c r="W1" s="193" t="s">
        <v>212</v>
      </c>
      <c r="X1" s="193" t="s">
        <v>213</v>
      </c>
      <c r="Y1" s="193" t="s">
        <v>214</v>
      </c>
      <c r="Z1" s="193" t="s">
        <v>215</v>
      </c>
      <c r="AA1" s="193" t="s">
        <v>216</v>
      </c>
      <c r="AB1" s="193" t="s">
        <v>217</v>
      </c>
      <c r="AC1" s="193" t="s">
        <v>218</v>
      </c>
      <c r="AD1" s="193" t="s">
        <v>219</v>
      </c>
      <c r="AE1" s="193" t="s">
        <v>220</v>
      </c>
      <c r="AF1" s="193" t="s">
        <v>221</v>
      </c>
      <c r="AG1" s="193" t="s">
        <v>222</v>
      </c>
      <c r="AH1" s="193" t="s">
        <v>223</v>
      </c>
      <c r="AI1" s="193" t="s">
        <v>224</v>
      </c>
      <c r="AJ1" s="193" t="s">
        <v>225</v>
      </c>
      <c r="AK1" s="193" t="s">
        <v>226</v>
      </c>
      <c r="AL1" s="193" t="s">
        <v>227</v>
      </c>
      <c r="AM1" s="193" t="s">
        <v>228</v>
      </c>
      <c r="AN1" s="193" t="s">
        <v>229</v>
      </c>
      <c r="AO1" s="193" t="s">
        <v>230</v>
      </c>
      <c r="AP1" s="193" t="s">
        <v>231</v>
      </c>
      <c r="AQ1" s="193" t="s">
        <v>232</v>
      </c>
      <c r="AR1" s="193" t="s">
        <v>233</v>
      </c>
      <c r="AS1" s="193" t="s">
        <v>234</v>
      </c>
      <c r="AT1" s="193" t="s">
        <v>235</v>
      </c>
    </row>
    <row r="2" spans="1:46" customFormat="1" x14ac:dyDescent="0.15">
      <c r="A2" s="192" t="s">
        <v>191</v>
      </c>
      <c r="B2" s="112">
        <v>0</v>
      </c>
      <c r="C2" s="112">
        <v>0</v>
      </c>
      <c r="D2" s="112">
        <v>0</v>
      </c>
      <c r="E2" s="112">
        <v>0</v>
      </c>
      <c r="F2" s="112">
        <v>1</v>
      </c>
      <c r="G2" s="112">
        <v>1</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c r="AQ2" s="112">
        <v>0</v>
      </c>
      <c r="AR2" s="112">
        <v>0</v>
      </c>
      <c r="AS2" s="112">
        <v>0</v>
      </c>
      <c r="AT2" s="112">
        <v>0</v>
      </c>
    </row>
    <row r="3" spans="1:46" customFormat="1" x14ac:dyDescent="0.15">
      <c r="A3" s="192" t="s">
        <v>192</v>
      </c>
      <c r="B3" s="112">
        <v>0</v>
      </c>
      <c r="C3" s="112">
        <v>0</v>
      </c>
      <c r="D3" s="112">
        <v>0</v>
      </c>
      <c r="E3" s="112">
        <v>0</v>
      </c>
      <c r="F3" s="112">
        <v>1</v>
      </c>
      <c r="G3" s="112">
        <v>1</v>
      </c>
      <c r="H3" s="112">
        <v>0</v>
      </c>
      <c r="I3" s="112">
        <v>0</v>
      </c>
      <c r="J3" s="112">
        <v>0</v>
      </c>
      <c r="K3" s="112">
        <v>0</v>
      </c>
      <c r="L3" s="112">
        <v>0</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c r="AQ3" s="112">
        <v>0</v>
      </c>
      <c r="AR3" s="112">
        <v>0</v>
      </c>
      <c r="AS3" s="112">
        <v>0</v>
      </c>
      <c r="AT3" s="112">
        <v>0</v>
      </c>
    </row>
    <row r="4" spans="1:46" customFormat="1" x14ac:dyDescent="0.15">
      <c r="A4" s="192" t="s">
        <v>193</v>
      </c>
      <c r="B4" s="112">
        <v>0</v>
      </c>
      <c r="C4" s="112">
        <v>0</v>
      </c>
      <c r="D4" s="112">
        <v>0</v>
      </c>
      <c r="E4" s="112">
        <v>0</v>
      </c>
      <c r="F4" s="112">
        <v>0</v>
      </c>
      <c r="G4" s="112">
        <v>1</v>
      </c>
      <c r="H4" s="112">
        <v>0</v>
      </c>
      <c r="I4" s="112">
        <v>0</v>
      </c>
      <c r="J4" s="112">
        <v>0</v>
      </c>
      <c r="K4" s="112">
        <v>0</v>
      </c>
      <c r="L4" s="112">
        <v>0</v>
      </c>
      <c r="M4" s="112">
        <v>0</v>
      </c>
      <c r="N4" s="112">
        <v>0</v>
      </c>
      <c r="O4" s="112">
        <v>0</v>
      </c>
      <c r="P4" s="112">
        <v>0</v>
      </c>
      <c r="Q4" s="112">
        <v>0</v>
      </c>
      <c r="R4" s="112">
        <v>0</v>
      </c>
      <c r="S4" s="112">
        <v>0</v>
      </c>
      <c r="T4" s="112">
        <v>0</v>
      </c>
      <c r="U4" s="112">
        <v>0</v>
      </c>
      <c r="V4" s="112">
        <v>1</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c r="AQ4" s="112">
        <v>0</v>
      </c>
      <c r="AR4" s="112">
        <v>0</v>
      </c>
      <c r="AS4" s="112">
        <v>0</v>
      </c>
      <c r="AT4" s="112">
        <v>0</v>
      </c>
    </row>
    <row r="5" spans="1:46" customFormat="1" x14ac:dyDescent="0.15">
      <c r="A5" s="192" t="s">
        <v>194</v>
      </c>
      <c r="B5" s="112">
        <v>0</v>
      </c>
      <c r="C5" s="112">
        <v>0</v>
      </c>
      <c r="D5" s="112">
        <v>0</v>
      </c>
      <c r="E5" s="112">
        <v>0</v>
      </c>
      <c r="F5" s="112">
        <v>0</v>
      </c>
      <c r="G5" s="112">
        <v>0</v>
      </c>
      <c r="H5" s="112">
        <v>0</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c r="AQ5" s="112">
        <v>0</v>
      </c>
      <c r="AR5" s="112">
        <v>0</v>
      </c>
      <c r="AS5" s="112">
        <v>0</v>
      </c>
      <c r="AT5" s="112">
        <v>0</v>
      </c>
    </row>
    <row r="6" spans="1:46" customFormat="1" x14ac:dyDescent="0.15">
      <c r="A6" s="192" t="s">
        <v>195</v>
      </c>
      <c r="B6" s="112">
        <v>0</v>
      </c>
      <c r="C6" s="112">
        <v>0</v>
      </c>
      <c r="D6" s="112">
        <v>0</v>
      </c>
      <c r="E6" s="112">
        <v>0</v>
      </c>
      <c r="F6" s="112">
        <v>0</v>
      </c>
      <c r="G6" s="112">
        <v>1</v>
      </c>
      <c r="H6" s="112">
        <v>0</v>
      </c>
      <c r="I6" s="112">
        <v>0</v>
      </c>
      <c r="J6" s="112">
        <v>0</v>
      </c>
      <c r="K6" s="112">
        <v>0</v>
      </c>
      <c r="L6" s="112">
        <v>0</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c r="AQ6" s="112">
        <v>0</v>
      </c>
      <c r="AR6" s="112">
        <v>0</v>
      </c>
      <c r="AS6" s="112">
        <v>0</v>
      </c>
      <c r="AT6" s="112">
        <v>0</v>
      </c>
    </row>
    <row r="7" spans="1:46" customFormat="1" x14ac:dyDescent="0.15">
      <c r="A7" s="192" t="s">
        <v>196</v>
      </c>
      <c r="B7" s="112">
        <v>0</v>
      </c>
      <c r="C7" s="112">
        <v>0</v>
      </c>
      <c r="D7" s="112">
        <v>0</v>
      </c>
      <c r="E7" s="112">
        <v>0</v>
      </c>
      <c r="F7" s="112">
        <v>0</v>
      </c>
      <c r="G7" s="112">
        <v>1</v>
      </c>
      <c r="H7" s="112">
        <v>0</v>
      </c>
      <c r="I7" s="112">
        <v>0</v>
      </c>
      <c r="J7" s="112">
        <v>0</v>
      </c>
      <c r="K7" s="112">
        <v>0</v>
      </c>
      <c r="L7" s="112">
        <v>0</v>
      </c>
      <c r="M7" s="112">
        <v>0</v>
      </c>
      <c r="N7" s="112">
        <v>0</v>
      </c>
      <c r="O7" s="112">
        <v>0</v>
      </c>
      <c r="P7" s="112">
        <v>0</v>
      </c>
      <c r="Q7" s="112">
        <v>0</v>
      </c>
      <c r="R7" s="112">
        <v>0</v>
      </c>
      <c r="S7" s="112">
        <v>0</v>
      </c>
      <c r="T7" s="112">
        <v>0</v>
      </c>
      <c r="U7" s="112">
        <v>0</v>
      </c>
      <c r="V7" s="112">
        <v>1</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c r="AQ7" s="112">
        <v>0</v>
      </c>
      <c r="AR7" s="112">
        <v>0</v>
      </c>
      <c r="AS7" s="112">
        <v>0</v>
      </c>
      <c r="AT7" s="112">
        <v>0</v>
      </c>
    </row>
    <row r="8" spans="1:46" customFormat="1" x14ac:dyDescent="0.15">
      <c r="A8" s="192" t="s">
        <v>197</v>
      </c>
      <c r="B8" s="112">
        <v>0</v>
      </c>
      <c r="C8" s="112">
        <v>0</v>
      </c>
      <c r="D8" s="112">
        <v>0</v>
      </c>
      <c r="E8" s="112">
        <v>0</v>
      </c>
      <c r="F8" s="112">
        <v>1</v>
      </c>
      <c r="G8" s="112">
        <v>1</v>
      </c>
      <c r="H8" s="112">
        <v>0</v>
      </c>
      <c r="I8" s="112">
        <v>0</v>
      </c>
      <c r="J8" s="112">
        <v>1</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c r="AQ8" s="112">
        <v>0</v>
      </c>
      <c r="AR8" s="112">
        <v>0</v>
      </c>
      <c r="AS8" s="112">
        <v>0</v>
      </c>
      <c r="AT8" s="112">
        <v>0</v>
      </c>
    </row>
    <row r="9" spans="1:46" customFormat="1" x14ac:dyDescent="0.15">
      <c r="A9" s="192" t="s">
        <v>198</v>
      </c>
      <c r="B9" s="112">
        <v>0</v>
      </c>
      <c r="C9" s="112">
        <v>0</v>
      </c>
      <c r="D9" s="112">
        <v>0</v>
      </c>
      <c r="E9" s="112">
        <v>0</v>
      </c>
      <c r="F9" s="112">
        <v>1</v>
      </c>
      <c r="G9" s="112">
        <v>1</v>
      </c>
      <c r="H9" s="112">
        <v>0</v>
      </c>
      <c r="I9" s="112">
        <v>0</v>
      </c>
      <c r="J9" s="112">
        <v>0</v>
      </c>
      <c r="K9" s="112">
        <v>0</v>
      </c>
      <c r="L9" s="112">
        <v>0</v>
      </c>
      <c r="M9" s="112">
        <v>1</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c r="AQ9" s="112">
        <v>0</v>
      </c>
      <c r="AR9" s="112">
        <v>0</v>
      </c>
      <c r="AS9" s="112">
        <v>0</v>
      </c>
      <c r="AT9" s="112">
        <v>0</v>
      </c>
    </row>
    <row r="10" spans="1:46" customFormat="1" x14ac:dyDescent="0.15">
      <c r="A10" s="192" t="s">
        <v>199</v>
      </c>
      <c r="B10" s="112">
        <v>0</v>
      </c>
      <c r="C10" s="112">
        <v>0</v>
      </c>
      <c r="D10" s="112">
        <v>0</v>
      </c>
      <c r="E10" s="112">
        <v>0</v>
      </c>
      <c r="F10" s="112">
        <v>0</v>
      </c>
      <c r="G10" s="112">
        <v>1</v>
      </c>
      <c r="H10" s="112">
        <v>0</v>
      </c>
      <c r="I10" s="112">
        <v>0</v>
      </c>
      <c r="J10" s="112">
        <v>0</v>
      </c>
      <c r="K10" s="112">
        <v>0</v>
      </c>
      <c r="L10" s="112">
        <v>1</v>
      </c>
      <c r="M10" s="112">
        <v>0</v>
      </c>
      <c r="N10" s="112">
        <v>0</v>
      </c>
      <c r="O10" s="112">
        <v>0</v>
      </c>
      <c r="P10" s="112">
        <v>0</v>
      </c>
      <c r="Q10" s="112">
        <v>0</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c r="AQ10" s="112">
        <v>0</v>
      </c>
      <c r="AR10" s="112">
        <v>0</v>
      </c>
      <c r="AS10" s="112">
        <v>0</v>
      </c>
      <c r="AT10" s="112">
        <v>0</v>
      </c>
    </row>
    <row r="11" spans="1:46" customFormat="1" x14ac:dyDescent="0.15">
      <c r="A11" s="192" t="s">
        <v>200</v>
      </c>
      <c r="B11" s="112">
        <v>0</v>
      </c>
      <c r="C11" s="112">
        <v>0</v>
      </c>
      <c r="D11" s="112">
        <v>0</v>
      </c>
      <c r="E11" s="112">
        <v>0</v>
      </c>
      <c r="F11" s="112">
        <v>0</v>
      </c>
      <c r="G11" s="112">
        <v>1</v>
      </c>
      <c r="H11" s="112">
        <v>0</v>
      </c>
      <c r="I11" s="112">
        <v>0</v>
      </c>
      <c r="J11" s="112">
        <v>0</v>
      </c>
      <c r="K11" s="112">
        <v>0</v>
      </c>
      <c r="L11" s="112">
        <v>1</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c r="AQ11" s="112">
        <v>0</v>
      </c>
      <c r="AR11" s="112">
        <v>0</v>
      </c>
      <c r="AS11" s="112">
        <v>0</v>
      </c>
      <c r="AT11" s="112">
        <v>0</v>
      </c>
    </row>
    <row r="12" spans="1:46" customFormat="1" x14ac:dyDescent="0.15">
      <c r="A12" s="192" t="s">
        <v>201</v>
      </c>
      <c r="B12" s="112">
        <v>0</v>
      </c>
      <c r="C12" s="112">
        <v>0</v>
      </c>
      <c r="D12" s="112">
        <v>0</v>
      </c>
      <c r="E12" s="112">
        <v>1</v>
      </c>
      <c r="F12" s="112">
        <v>1</v>
      </c>
      <c r="G12" s="112">
        <v>1</v>
      </c>
      <c r="H12" s="112">
        <v>0</v>
      </c>
      <c r="I12" s="112">
        <v>0</v>
      </c>
      <c r="J12" s="112">
        <v>0</v>
      </c>
      <c r="K12" s="112">
        <v>0</v>
      </c>
      <c r="L12" s="112">
        <v>1</v>
      </c>
      <c r="M12" s="112">
        <v>1</v>
      </c>
      <c r="N12" s="112">
        <v>0</v>
      </c>
      <c r="O12" s="112">
        <v>0</v>
      </c>
      <c r="P12" s="112">
        <v>0</v>
      </c>
      <c r="Q12" s="112">
        <v>0</v>
      </c>
      <c r="R12" s="112">
        <v>0</v>
      </c>
      <c r="S12" s="112">
        <v>0</v>
      </c>
      <c r="T12" s="112">
        <v>0</v>
      </c>
      <c r="U12" s="112">
        <v>0</v>
      </c>
      <c r="V12" s="112">
        <v>0</v>
      </c>
      <c r="W12" s="112">
        <v>0</v>
      </c>
      <c r="X12" s="112">
        <v>0</v>
      </c>
      <c r="Y12" s="112">
        <v>0</v>
      </c>
      <c r="Z12" s="112">
        <v>0</v>
      </c>
      <c r="AA12" s="112">
        <v>0</v>
      </c>
      <c r="AB12" s="112">
        <v>0</v>
      </c>
      <c r="AC12" s="112">
        <v>0</v>
      </c>
      <c r="AD12" s="112">
        <v>0</v>
      </c>
      <c r="AE12" s="112">
        <v>0</v>
      </c>
      <c r="AF12" s="112">
        <v>0</v>
      </c>
      <c r="AG12" s="112">
        <v>0</v>
      </c>
      <c r="AH12" s="112">
        <v>0</v>
      </c>
      <c r="AI12" s="112">
        <v>0</v>
      </c>
      <c r="AJ12" s="112">
        <v>0</v>
      </c>
      <c r="AK12" s="112">
        <v>0</v>
      </c>
      <c r="AL12" s="112">
        <v>0</v>
      </c>
      <c r="AM12" s="112">
        <v>0</v>
      </c>
      <c r="AN12" s="112">
        <v>0</v>
      </c>
      <c r="AO12" s="112">
        <v>0</v>
      </c>
      <c r="AP12" s="112">
        <v>0</v>
      </c>
      <c r="AQ12" s="112">
        <v>0</v>
      </c>
      <c r="AR12" s="112">
        <v>0</v>
      </c>
      <c r="AS12" s="112">
        <v>0</v>
      </c>
      <c r="AT12" s="112">
        <v>0</v>
      </c>
    </row>
    <row r="13" spans="1:46" customFormat="1" x14ac:dyDescent="0.15">
      <c r="A13" s="192" t="s">
        <v>202</v>
      </c>
      <c r="B13" s="112">
        <v>0</v>
      </c>
      <c r="C13" s="112">
        <v>0</v>
      </c>
      <c r="D13" s="112">
        <v>0</v>
      </c>
      <c r="E13" s="112">
        <v>0</v>
      </c>
      <c r="F13" s="112">
        <v>0</v>
      </c>
      <c r="G13" s="112">
        <v>1</v>
      </c>
      <c r="H13" s="112">
        <v>0</v>
      </c>
      <c r="I13" s="112">
        <v>0</v>
      </c>
      <c r="J13" s="112">
        <v>0</v>
      </c>
      <c r="K13" s="112">
        <v>1</v>
      </c>
      <c r="L13" s="112">
        <v>1</v>
      </c>
      <c r="M13" s="112">
        <v>1</v>
      </c>
      <c r="N13" s="112">
        <v>0</v>
      </c>
      <c r="O13" s="112">
        <v>0</v>
      </c>
      <c r="P13" s="112">
        <v>0</v>
      </c>
      <c r="Q13" s="112">
        <v>0</v>
      </c>
      <c r="R13" s="112">
        <v>0</v>
      </c>
      <c r="S13" s="112">
        <v>0</v>
      </c>
      <c r="T13" s="112">
        <v>0</v>
      </c>
      <c r="U13" s="112">
        <v>0</v>
      </c>
      <c r="V13" s="112">
        <v>0</v>
      </c>
      <c r="W13" s="112">
        <v>0</v>
      </c>
      <c r="X13" s="112">
        <v>0</v>
      </c>
      <c r="Y13" s="112">
        <v>0</v>
      </c>
      <c r="Z13" s="112">
        <v>0</v>
      </c>
      <c r="AA13" s="112">
        <v>0</v>
      </c>
      <c r="AB13" s="112">
        <v>0</v>
      </c>
      <c r="AC13" s="112">
        <v>0</v>
      </c>
      <c r="AD13" s="112">
        <v>0</v>
      </c>
      <c r="AE13" s="112">
        <v>0</v>
      </c>
      <c r="AF13" s="112">
        <v>0</v>
      </c>
      <c r="AG13" s="112">
        <v>0</v>
      </c>
      <c r="AH13" s="112">
        <v>0</v>
      </c>
      <c r="AI13" s="112">
        <v>0</v>
      </c>
      <c r="AJ13" s="112">
        <v>0</v>
      </c>
      <c r="AK13" s="112">
        <v>0</v>
      </c>
      <c r="AL13" s="112">
        <v>0</v>
      </c>
      <c r="AM13" s="112">
        <v>0</v>
      </c>
      <c r="AN13" s="112">
        <v>0</v>
      </c>
      <c r="AO13" s="112">
        <v>0</v>
      </c>
      <c r="AP13" s="112">
        <v>0</v>
      </c>
      <c r="AQ13" s="112">
        <v>0</v>
      </c>
      <c r="AR13" s="112">
        <v>0</v>
      </c>
      <c r="AS13" s="112">
        <v>0</v>
      </c>
      <c r="AT13" s="112">
        <v>0</v>
      </c>
    </row>
    <row r="14" spans="1:46" customFormat="1" x14ac:dyDescent="0.15">
      <c r="A14" s="192" t="s">
        <v>203</v>
      </c>
      <c r="B14" s="112">
        <v>0</v>
      </c>
      <c r="C14" s="112">
        <v>0</v>
      </c>
      <c r="D14" s="112">
        <v>0</v>
      </c>
      <c r="E14" s="112">
        <v>0</v>
      </c>
      <c r="F14" s="112">
        <v>1</v>
      </c>
      <c r="G14" s="112">
        <v>1</v>
      </c>
      <c r="H14" s="112">
        <v>1</v>
      </c>
      <c r="I14" s="112">
        <v>0</v>
      </c>
      <c r="J14" s="112">
        <v>0</v>
      </c>
      <c r="K14" s="112">
        <v>1</v>
      </c>
      <c r="L14" s="112">
        <v>1</v>
      </c>
      <c r="M14" s="112">
        <v>0</v>
      </c>
      <c r="N14" s="112">
        <v>0</v>
      </c>
      <c r="O14" s="112">
        <v>0</v>
      </c>
      <c r="P14" s="112">
        <v>0</v>
      </c>
      <c r="Q14" s="112">
        <v>0</v>
      </c>
      <c r="R14" s="112">
        <v>0</v>
      </c>
      <c r="S14" s="112">
        <v>0</v>
      </c>
      <c r="T14" s="112">
        <v>0</v>
      </c>
      <c r="U14" s="112">
        <v>1</v>
      </c>
      <c r="V14" s="112">
        <v>1</v>
      </c>
      <c r="W14" s="112">
        <v>0</v>
      </c>
      <c r="X14" s="112">
        <v>0</v>
      </c>
      <c r="Y14" s="112">
        <v>0</v>
      </c>
      <c r="Z14" s="112">
        <v>0</v>
      </c>
      <c r="AA14" s="112">
        <v>0</v>
      </c>
      <c r="AB14" s="112">
        <v>0</v>
      </c>
      <c r="AC14" s="112">
        <v>0</v>
      </c>
      <c r="AD14" s="112">
        <v>0</v>
      </c>
      <c r="AE14" s="112">
        <v>0</v>
      </c>
      <c r="AF14" s="112">
        <v>0</v>
      </c>
      <c r="AG14" s="112">
        <v>0</v>
      </c>
      <c r="AH14" s="112">
        <v>0</v>
      </c>
      <c r="AI14" s="112">
        <v>0</v>
      </c>
      <c r="AJ14" s="112">
        <v>0</v>
      </c>
      <c r="AK14" s="112">
        <v>0</v>
      </c>
      <c r="AL14" s="112">
        <v>0</v>
      </c>
      <c r="AM14" s="112">
        <v>1</v>
      </c>
      <c r="AN14" s="112">
        <v>0</v>
      </c>
      <c r="AO14" s="112">
        <v>0</v>
      </c>
      <c r="AP14" s="112">
        <v>0</v>
      </c>
      <c r="AQ14" s="112">
        <v>0</v>
      </c>
      <c r="AR14" s="112">
        <v>0</v>
      </c>
      <c r="AS14" s="112">
        <v>0</v>
      </c>
      <c r="AT14" s="112">
        <v>0</v>
      </c>
    </row>
    <row r="15" spans="1:46" customFormat="1" x14ac:dyDescent="0.15">
      <c r="A15" s="192" t="s">
        <v>204</v>
      </c>
      <c r="B15" s="112">
        <v>1</v>
      </c>
      <c r="C15" s="112">
        <v>1</v>
      </c>
      <c r="D15" s="112">
        <v>0</v>
      </c>
      <c r="E15" s="112">
        <v>1</v>
      </c>
      <c r="F15" s="112">
        <v>1</v>
      </c>
      <c r="G15" s="112">
        <v>1</v>
      </c>
      <c r="H15" s="112">
        <v>1</v>
      </c>
      <c r="I15" s="112">
        <v>1</v>
      </c>
      <c r="J15" s="112">
        <v>1</v>
      </c>
      <c r="K15" s="112">
        <v>1</v>
      </c>
      <c r="L15" s="112">
        <v>1</v>
      </c>
      <c r="M15" s="112">
        <v>1</v>
      </c>
      <c r="N15" s="112">
        <v>1</v>
      </c>
      <c r="O15" s="112">
        <v>1</v>
      </c>
      <c r="P15" s="112">
        <v>1</v>
      </c>
      <c r="Q15" s="112">
        <v>0</v>
      </c>
      <c r="R15" s="112">
        <v>0</v>
      </c>
      <c r="S15" s="112">
        <v>1</v>
      </c>
      <c r="T15" s="112">
        <v>1</v>
      </c>
      <c r="U15" s="112">
        <v>0</v>
      </c>
      <c r="V15" s="112">
        <v>1</v>
      </c>
      <c r="W15" s="112">
        <v>0</v>
      </c>
      <c r="X15" s="112">
        <v>1</v>
      </c>
      <c r="Y15" s="112">
        <v>0</v>
      </c>
      <c r="Z15" s="112">
        <v>0</v>
      </c>
      <c r="AA15" s="112">
        <v>0</v>
      </c>
      <c r="AB15" s="112">
        <v>0</v>
      </c>
      <c r="AC15" s="112">
        <v>1</v>
      </c>
      <c r="AD15" s="112">
        <v>0</v>
      </c>
      <c r="AE15" s="112">
        <v>1</v>
      </c>
      <c r="AF15" s="112">
        <v>1</v>
      </c>
      <c r="AG15" s="112">
        <v>1</v>
      </c>
      <c r="AH15" s="112">
        <v>0</v>
      </c>
      <c r="AI15" s="112">
        <v>0</v>
      </c>
      <c r="AJ15" s="112">
        <v>0</v>
      </c>
      <c r="AK15" s="112">
        <v>1</v>
      </c>
      <c r="AL15" s="112">
        <v>0</v>
      </c>
      <c r="AM15" s="112">
        <v>1</v>
      </c>
      <c r="AN15" s="112">
        <v>0</v>
      </c>
      <c r="AO15" s="112">
        <v>0</v>
      </c>
      <c r="AP15" s="112">
        <v>0</v>
      </c>
      <c r="AQ15" s="112">
        <v>0</v>
      </c>
      <c r="AR15" s="112">
        <v>0</v>
      </c>
      <c r="AS15" s="112">
        <v>0</v>
      </c>
      <c r="AT15" s="112">
        <v>0</v>
      </c>
    </row>
    <row r="16" spans="1:46" customFormat="1" x14ac:dyDescent="0.15">
      <c r="A16" s="192" t="s">
        <v>205</v>
      </c>
      <c r="B16" s="112">
        <v>1</v>
      </c>
      <c r="C16" s="112">
        <v>1</v>
      </c>
      <c r="D16" s="112">
        <v>0</v>
      </c>
      <c r="E16" s="112">
        <v>1</v>
      </c>
      <c r="F16" s="112">
        <v>0</v>
      </c>
      <c r="G16" s="112">
        <v>1</v>
      </c>
      <c r="H16" s="112">
        <v>1</v>
      </c>
      <c r="I16" s="112">
        <v>0</v>
      </c>
      <c r="J16" s="112">
        <v>1</v>
      </c>
      <c r="K16" s="112">
        <v>1</v>
      </c>
      <c r="L16" s="112">
        <v>1</v>
      </c>
      <c r="M16" s="112">
        <v>1</v>
      </c>
      <c r="N16" s="112">
        <v>1</v>
      </c>
      <c r="O16" s="112">
        <v>0</v>
      </c>
      <c r="P16" s="112">
        <v>0</v>
      </c>
      <c r="Q16" s="112">
        <v>0</v>
      </c>
      <c r="R16" s="112">
        <v>0</v>
      </c>
      <c r="S16" s="112">
        <v>0</v>
      </c>
      <c r="T16" s="112">
        <v>0</v>
      </c>
      <c r="U16" s="112">
        <v>0</v>
      </c>
      <c r="V16" s="112">
        <v>1</v>
      </c>
      <c r="W16" s="112">
        <v>0</v>
      </c>
      <c r="X16" s="112">
        <v>0</v>
      </c>
      <c r="Y16" s="112">
        <v>0</v>
      </c>
      <c r="Z16" s="112">
        <v>0</v>
      </c>
      <c r="AA16" s="112">
        <v>0</v>
      </c>
      <c r="AB16" s="112">
        <v>0</v>
      </c>
      <c r="AC16" s="112">
        <v>0</v>
      </c>
      <c r="AD16" s="112">
        <v>0</v>
      </c>
      <c r="AE16" s="112">
        <v>0</v>
      </c>
      <c r="AF16" s="112">
        <v>0</v>
      </c>
      <c r="AG16" s="112">
        <v>0</v>
      </c>
      <c r="AH16" s="112">
        <v>0</v>
      </c>
      <c r="AI16" s="112">
        <v>0</v>
      </c>
      <c r="AJ16" s="112">
        <v>0</v>
      </c>
      <c r="AK16" s="112">
        <v>0</v>
      </c>
      <c r="AL16" s="112">
        <v>0</v>
      </c>
      <c r="AM16" s="112">
        <v>1</v>
      </c>
      <c r="AN16" s="112">
        <v>0</v>
      </c>
      <c r="AO16" s="112">
        <v>0</v>
      </c>
      <c r="AP16" s="112">
        <v>0</v>
      </c>
      <c r="AQ16" s="112">
        <v>0</v>
      </c>
      <c r="AR16" s="112">
        <v>0</v>
      </c>
      <c r="AS16" s="112">
        <v>0</v>
      </c>
      <c r="AT16" s="112">
        <v>0</v>
      </c>
    </row>
    <row r="17" spans="1:46" customFormat="1" x14ac:dyDescent="0.15">
      <c r="A17" s="192" t="s">
        <v>206</v>
      </c>
      <c r="B17" s="112">
        <v>0</v>
      </c>
      <c r="C17" s="112">
        <v>1</v>
      </c>
      <c r="D17" s="112">
        <v>0</v>
      </c>
      <c r="E17" s="112">
        <v>1</v>
      </c>
      <c r="F17" s="112">
        <v>0</v>
      </c>
      <c r="G17" s="112">
        <v>0</v>
      </c>
      <c r="H17" s="112">
        <v>0</v>
      </c>
      <c r="I17" s="112">
        <v>0</v>
      </c>
      <c r="J17" s="112">
        <v>0</v>
      </c>
      <c r="K17" s="112">
        <v>1</v>
      </c>
      <c r="L17" s="112">
        <v>1</v>
      </c>
      <c r="M17" s="112">
        <v>0</v>
      </c>
      <c r="N17" s="112">
        <v>1</v>
      </c>
      <c r="O17" s="112">
        <v>0</v>
      </c>
      <c r="P17" s="112">
        <v>0</v>
      </c>
      <c r="Q17" s="112">
        <v>0</v>
      </c>
      <c r="R17" s="112">
        <v>0</v>
      </c>
      <c r="S17" s="112">
        <v>1</v>
      </c>
      <c r="T17" s="112">
        <v>0</v>
      </c>
      <c r="U17" s="112">
        <v>1</v>
      </c>
      <c r="V17" s="112">
        <v>0</v>
      </c>
      <c r="W17" s="112">
        <v>0</v>
      </c>
      <c r="X17" s="112">
        <v>0</v>
      </c>
      <c r="Y17" s="112">
        <v>1</v>
      </c>
      <c r="Z17" s="112">
        <v>0</v>
      </c>
      <c r="AA17" s="112">
        <v>0</v>
      </c>
      <c r="AB17" s="112">
        <v>1</v>
      </c>
      <c r="AC17" s="112">
        <v>0</v>
      </c>
      <c r="AD17" s="112">
        <v>0</v>
      </c>
      <c r="AE17" s="112">
        <v>0</v>
      </c>
      <c r="AF17" s="112">
        <v>1</v>
      </c>
      <c r="AG17" s="112">
        <v>0</v>
      </c>
      <c r="AH17" s="112">
        <v>0</v>
      </c>
      <c r="AI17" s="112">
        <v>0</v>
      </c>
      <c r="AJ17" s="112">
        <v>0</v>
      </c>
      <c r="AK17" s="112">
        <v>0</v>
      </c>
      <c r="AL17" s="112">
        <v>0</v>
      </c>
      <c r="AM17" s="112">
        <v>0</v>
      </c>
      <c r="AN17" s="112">
        <v>0</v>
      </c>
      <c r="AO17" s="112">
        <v>0</v>
      </c>
      <c r="AP17" s="112">
        <v>0</v>
      </c>
      <c r="AQ17" s="112">
        <v>0</v>
      </c>
      <c r="AR17" s="112">
        <v>0</v>
      </c>
      <c r="AS17" s="112">
        <v>0</v>
      </c>
      <c r="AT17" s="112">
        <v>0</v>
      </c>
    </row>
    <row r="18" spans="1:46" customFormat="1" x14ac:dyDescent="0.15">
      <c r="A18" s="192" t="s">
        <v>207</v>
      </c>
      <c r="B18" s="112">
        <v>1</v>
      </c>
      <c r="C18" s="112">
        <v>1</v>
      </c>
      <c r="D18" s="112">
        <v>0</v>
      </c>
      <c r="E18" s="112">
        <v>1</v>
      </c>
      <c r="F18" s="112">
        <v>1</v>
      </c>
      <c r="G18" s="112">
        <v>1</v>
      </c>
      <c r="H18" s="112">
        <v>1</v>
      </c>
      <c r="I18" s="112">
        <v>1</v>
      </c>
      <c r="J18" s="112">
        <v>0</v>
      </c>
      <c r="K18" s="112">
        <v>1</v>
      </c>
      <c r="L18" s="112">
        <v>1</v>
      </c>
      <c r="M18" s="112">
        <v>1</v>
      </c>
      <c r="N18" s="112">
        <v>1</v>
      </c>
      <c r="O18" s="112">
        <v>0</v>
      </c>
      <c r="P18" s="112">
        <v>1</v>
      </c>
      <c r="Q18" s="112">
        <v>0</v>
      </c>
      <c r="R18" s="112">
        <v>0</v>
      </c>
      <c r="S18" s="112">
        <v>1</v>
      </c>
      <c r="T18" s="112">
        <v>1</v>
      </c>
      <c r="U18" s="112">
        <v>0</v>
      </c>
      <c r="V18" s="112">
        <v>1</v>
      </c>
      <c r="W18" s="112">
        <v>0</v>
      </c>
      <c r="X18" s="112">
        <v>0</v>
      </c>
      <c r="Y18" s="112">
        <v>0</v>
      </c>
      <c r="Z18" s="112">
        <v>0</v>
      </c>
      <c r="AA18" s="112">
        <v>0</v>
      </c>
      <c r="AB18" s="112">
        <v>0</v>
      </c>
      <c r="AC18" s="112">
        <v>1</v>
      </c>
      <c r="AD18" s="112">
        <v>0</v>
      </c>
      <c r="AE18" s="112">
        <v>1</v>
      </c>
      <c r="AF18" s="112">
        <v>0</v>
      </c>
      <c r="AG18" s="112">
        <v>1</v>
      </c>
      <c r="AH18" s="112">
        <v>0</v>
      </c>
      <c r="AI18" s="112">
        <v>1</v>
      </c>
      <c r="AJ18" s="112">
        <v>0</v>
      </c>
      <c r="AK18" s="112">
        <v>1</v>
      </c>
      <c r="AL18" s="112">
        <v>0</v>
      </c>
      <c r="AM18" s="112">
        <v>1</v>
      </c>
      <c r="AN18" s="112">
        <v>0</v>
      </c>
      <c r="AO18" s="112">
        <v>0</v>
      </c>
      <c r="AP18" s="112">
        <v>0</v>
      </c>
      <c r="AQ18" s="112">
        <v>0</v>
      </c>
      <c r="AR18" s="112">
        <v>0</v>
      </c>
      <c r="AS18" s="112">
        <v>0</v>
      </c>
      <c r="AT18" s="112">
        <v>0</v>
      </c>
    </row>
    <row r="19" spans="1:46" customFormat="1" x14ac:dyDescent="0.15">
      <c r="A19" s="192" t="s">
        <v>208</v>
      </c>
      <c r="B19" s="112">
        <v>0</v>
      </c>
      <c r="C19" s="112">
        <v>0</v>
      </c>
      <c r="D19" s="112">
        <v>0</v>
      </c>
      <c r="E19" s="112">
        <v>0</v>
      </c>
      <c r="F19" s="112">
        <v>0</v>
      </c>
      <c r="G19" s="112">
        <v>1</v>
      </c>
      <c r="H19" s="112">
        <v>0</v>
      </c>
      <c r="I19" s="112">
        <v>1</v>
      </c>
      <c r="J19" s="112">
        <v>0</v>
      </c>
      <c r="K19" s="112">
        <v>0</v>
      </c>
      <c r="L19" s="112">
        <v>1</v>
      </c>
      <c r="M19" s="112">
        <v>0</v>
      </c>
      <c r="N19" s="112">
        <v>0</v>
      </c>
      <c r="O19" s="112">
        <v>0</v>
      </c>
      <c r="P19" s="112">
        <v>0</v>
      </c>
      <c r="Q19" s="112">
        <v>0</v>
      </c>
      <c r="R19" s="112">
        <v>0</v>
      </c>
      <c r="S19" s="112">
        <v>0</v>
      </c>
      <c r="T19" s="112">
        <v>0</v>
      </c>
      <c r="U19" s="112">
        <v>0</v>
      </c>
      <c r="V19" s="112">
        <v>0</v>
      </c>
      <c r="W19" s="112">
        <v>0</v>
      </c>
      <c r="X19" s="112">
        <v>0</v>
      </c>
      <c r="Y19" s="112">
        <v>0</v>
      </c>
      <c r="Z19" s="112">
        <v>0</v>
      </c>
      <c r="AA19" s="112">
        <v>0</v>
      </c>
      <c r="AB19" s="112">
        <v>0</v>
      </c>
      <c r="AC19" s="112">
        <v>0</v>
      </c>
      <c r="AD19" s="112">
        <v>0</v>
      </c>
      <c r="AE19" s="112">
        <v>0</v>
      </c>
      <c r="AF19" s="112">
        <v>0</v>
      </c>
      <c r="AG19" s="112">
        <v>0</v>
      </c>
      <c r="AH19" s="112">
        <v>0</v>
      </c>
      <c r="AI19" s="112">
        <v>0</v>
      </c>
      <c r="AJ19" s="112">
        <v>0</v>
      </c>
      <c r="AK19" s="112">
        <v>0</v>
      </c>
      <c r="AL19" s="112">
        <v>0</v>
      </c>
      <c r="AM19" s="112">
        <v>0</v>
      </c>
      <c r="AN19" s="112">
        <v>0</v>
      </c>
      <c r="AO19" s="112">
        <v>0</v>
      </c>
      <c r="AP19" s="112">
        <v>0</v>
      </c>
      <c r="AQ19" s="112">
        <v>0</v>
      </c>
      <c r="AR19" s="112">
        <v>0</v>
      </c>
      <c r="AS19" s="112">
        <v>0</v>
      </c>
      <c r="AT19" s="112">
        <v>0</v>
      </c>
    </row>
    <row r="20" spans="1:46" customFormat="1" x14ac:dyDescent="0.15">
      <c r="A20" s="192" t="s">
        <v>209</v>
      </c>
      <c r="B20" s="112">
        <v>0</v>
      </c>
      <c r="C20" s="112">
        <v>0</v>
      </c>
      <c r="D20" s="112">
        <v>0</v>
      </c>
      <c r="E20" s="112">
        <v>0</v>
      </c>
      <c r="F20" s="112">
        <v>0</v>
      </c>
      <c r="G20" s="112">
        <v>1</v>
      </c>
      <c r="H20" s="112">
        <v>0</v>
      </c>
      <c r="I20" s="112">
        <v>1</v>
      </c>
      <c r="J20" s="112">
        <v>0</v>
      </c>
      <c r="K20" s="112">
        <v>0</v>
      </c>
      <c r="L20" s="112">
        <v>0</v>
      </c>
      <c r="M20" s="112">
        <v>0</v>
      </c>
      <c r="N20" s="112">
        <v>0</v>
      </c>
      <c r="O20" s="112">
        <v>0</v>
      </c>
      <c r="P20" s="112">
        <v>0</v>
      </c>
      <c r="Q20" s="112">
        <v>0</v>
      </c>
      <c r="R20" s="112">
        <v>0</v>
      </c>
      <c r="S20" s="112">
        <v>0</v>
      </c>
      <c r="T20" s="112">
        <v>1</v>
      </c>
      <c r="U20" s="112">
        <v>0</v>
      </c>
      <c r="V20" s="112">
        <v>0</v>
      </c>
      <c r="W20" s="112">
        <v>0</v>
      </c>
      <c r="X20" s="112">
        <v>0</v>
      </c>
      <c r="Y20" s="112">
        <v>0</v>
      </c>
      <c r="Z20" s="112">
        <v>0</v>
      </c>
      <c r="AA20" s="112">
        <v>0</v>
      </c>
      <c r="AB20" s="112">
        <v>0</v>
      </c>
      <c r="AC20" s="112">
        <v>0</v>
      </c>
      <c r="AD20" s="112">
        <v>0</v>
      </c>
      <c r="AE20" s="112">
        <v>0</v>
      </c>
      <c r="AF20" s="112">
        <v>0</v>
      </c>
      <c r="AG20" s="112">
        <v>0</v>
      </c>
      <c r="AH20" s="112">
        <v>0</v>
      </c>
      <c r="AI20" s="112">
        <v>0</v>
      </c>
      <c r="AJ20" s="112">
        <v>0</v>
      </c>
      <c r="AK20" s="112">
        <v>0</v>
      </c>
      <c r="AL20" s="112">
        <v>0</v>
      </c>
      <c r="AM20" s="112">
        <v>0</v>
      </c>
      <c r="AN20" s="112">
        <v>0</v>
      </c>
      <c r="AO20" s="112">
        <v>0</v>
      </c>
      <c r="AP20" s="112">
        <v>0</v>
      </c>
      <c r="AQ20" s="112">
        <v>0</v>
      </c>
      <c r="AR20" s="112">
        <v>0</v>
      </c>
      <c r="AS20" s="112">
        <v>0</v>
      </c>
      <c r="AT20" s="112">
        <v>0</v>
      </c>
    </row>
    <row r="21" spans="1:46" customFormat="1" x14ac:dyDescent="0.15">
      <c r="A21" s="192" t="s">
        <v>210</v>
      </c>
      <c r="B21" s="112">
        <v>0</v>
      </c>
      <c r="C21" s="112">
        <v>0</v>
      </c>
      <c r="D21" s="112">
        <v>0</v>
      </c>
      <c r="E21" s="112">
        <v>0</v>
      </c>
      <c r="F21" s="112">
        <v>0</v>
      </c>
      <c r="G21" s="112">
        <v>1</v>
      </c>
      <c r="H21" s="112">
        <v>0</v>
      </c>
      <c r="I21" s="112">
        <v>0</v>
      </c>
      <c r="J21" s="112">
        <v>0</v>
      </c>
      <c r="K21" s="112">
        <v>0</v>
      </c>
      <c r="L21" s="112">
        <v>0</v>
      </c>
      <c r="M21" s="112">
        <v>0</v>
      </c>
      <c r="N21" s="112">
        <v>0</v>
      </c>
      <c r="O21" s="112">
        <v>0</v>
      </c>
      <c r="P21" s="112">
        <v>0</v>
      </c>
      <c r="Q21" s="112">
        <v>0</v>
      </c>
      <c r="R21" s="112">
        <v>0</v>
      </c>
      <c r="S21" s="112">
        <v>0</v>
      </c>
      <c r="T21" s="112">
        <v>1</v>
      </c>
      <c r="U21" s="112">
        <v>0</v>
      </c>
      <c r="V21" s="112">
        <v>1</v>
      </c>
      <c r="W21" s="112">
        <v>0</v>
      </c>
      <c r="X21" s="112">
        <v>0</v>
      </c>
      <c r="Y21" s="112">
        <v>0</v>
      </c>
      <c r="Z21" s="112">
        <v>0</v>
      </c>
      <c r="AA21" s="112">
        <v>0</v>
      </c>
      <c r="AB21" s="112">
        <v>0</v>
      </c>
      <c r="AC21" s="112">
        <v>0</v>
      </c>
      <c r="AD21" s="112">
        <v>0</v>
      </c>
      <c r="AE21" s="112">
        <v>0</v>
      </c>
      <c r="AF21" s="112">
        <v>0</v>
      </c>
      <c r="AG21" s="112">
        <v>0</v>
      </c>
      <c r="AH21" s="112">
        <v>0</v>
      </c>
      <c r="AI21" s="112">
        <v>0</v>
      </c>
      <c r="AJ21" s="112">
        <v>0</v>
      </c>
      <c r="AK21" s="112">
        <v>0</v>
      </c>
      <c r="AL21" s="112">
        <v>0</v>
      </c>
      <c r="AM21" s="112">
        <v>0</v>
      </c>
      <c r="AN21" s="112">
        <v>0</v>
      </c>
      <c r="AO21" s="112">
        <v>0</v>
      </c>
      <c r="AP21" s="112">
        <v>0</v>
      </c>
      <c r="AQ21" s="112">
        <v>0</v>
      </c>
      <c r="AR21" s="112">
        <v>0</v>
      </c>
      <c r="AS21" s="112">
        <v>0</v>
      </c>
      <c r="AT21" s="112">
        <v>0</v>
      </c>
    </row>
    <row r="22" spans="1:46" customFormat="1" x14ac:dyDescent="0.15">
      <c r="A22" s="192" t="s">
        <v>211</v>
      </c>
      <c r="B22" s="112">
        <v>0</v>
      </c>
      <c r="C22" s="112">
        <v>0</v>
      </c>
      <c r="D22" s="112">
        <v>0</v>
      </c>
      <c r="E22" s="112">
        <v>0</v>
      </c>
      <c r="F22" s="112">
        <v>1</v>
      </c>
      <c r="G22" s="112">
        <v>1</v>
      </c>
      <c r="H22" s="112">
        <v>0</v>
      </c>
      <c r="I22" s="112">
        <v>1</v>
      </c>
      <c r="J22" s="112">
        <v>1</v>
      </c>
      <c r="K22" s="112">
        <v>0</v>
      </c>
      <c r="L22" s="112">
        <v>1</v>
      </c>
      <c r="M22" s="112">
        <v>1</v>
      </c>
      <c r="N22" s="112">
        <v>0</v>
      </c>
      <c r="O22" s="112">
        <v>0</v>
      </c>
      <c r="P22" s="112">
        <v>0</v>
      </c>
      <c r="Q22" s="112">
        <v>0</v>
      </c>
      <c r="R22" s="112">
        <v>0</v>
      </c>
      <c r="S22" s="112">
        <v>0</v>
      </c>
      <c r="T22" s="112">
        <v>1</v>
      </c>
      <c r="U22" s="112">
        <v>0</v>
      </c>
      <c r="V22" s="112">
        <v>1</v>
      </c>
      <c r="W22" s="112">
        <v>0</v>
      </c>
      <c r="X22" s="112">
        <v>0</v>
      </c>
      <c r="Y22" s="112">
        <v>0</v>
      </c>
      <c r="Z22" s="112">
        <v>0</v>
      </c>
      <c r="AA22" s="112">
        <v>0</v>
      </c>
      <c r="AB22" s="112">
        <v>0</v>
      </c>
      <c r="AC22" s="112">
        <v>0</v>
      </c>
      <c r="AD22" s="112">
        <v>0</v>
      </c>
      <c r="AE22" s="112">
        <v>0</v>
      </c>
      <c r="AF22" s="112">
        <v>0</v>
      </c>
      <c r="AG22" s="112">
        <v>1</v>
      </c>
      <c r="AH22" s="112">
        <v>0</v>
      </c>
      <c r="AI22" s="112">
        <v>0</v>
      </c>
      <c r="AJ22" s="112">
        <v>0</v>
      </c>
      <c r="AK22" s="112">
        <v>0</v>
      </c>
      <c r="AL22" s="112">
        <v>0</v>
      </c>
      <c r="AM22" s="112">
        <v>0</v>
      </c>
      <c r="AN22" s="112">
        <v>0</v>
      </c>
      <c r="AO22" s="112">
        <v>0</v>
      </c>
      <c r="AP22" s="112">
        <v>0</v>
      </c>
      <c r="AQ22" s="112">
        <v>0</v>
      </c>
      <c r="AR22" s="112">
        <v>0</v>
      </c>
      <c r="AS22" s="112">
        <v>0</v>
      </c>
      <c r="AT22" s="112">
        <v>0</v>
      </c>
    </row>
    <row r="23" spans="1:46" customFormat="1" x14ac:dyDescent="0.15">
      <c r="A23" s="192" t="s">
        <v>212</v>
      </c>
      <c r="B23" s="112">
        <v>0</v>
      </c>
      <c r="C23" s="112">
        <v>0</v>
      </c>
      <c r="D23" s="112">
        <v>0</v>
      </c>
      <c r="E23" s="112">
        <v>0</v>
      </c>
      <c r="F23" s="112">
        <v>0</v>
      </c>
      <c r="G23" s="112">
        <v>1</v>
      </c>
      <c r="H23" s="112">
        <v>0</v>
      </c>
      <c r="I23" s="112">
        <v>0</v>
      </c>
      <c r="J23" s="112">
        <v>0</v>
      </c>
      <c r="K23" s="112">
        <v>0</v>
      </c>
      <c r="L23" s="112">
        <v>0</v>
      </c>
      <c r="M23" s="112">
        <v>0</v>
      </c>
      <c r="N23" s="112">
        <v>0</v>
      </c>
      <c r="O23" s="112">
        <v>0</v>
      </c>
      <c r="P23" s="112">
        <v>0</v>
      </c>
      <c r="Q23" s="112">
        <v>0</v>
      </c>
      <c r="R23" s="112">
        <v>0</v>
      </c>
      <c r="S23" s="112">
        <v>0</v>
      </c>
      <c r="T23" s="112">
        <v>0</v>
      </c>
      <c r="U23" s="112">
        <v>0</v>
      </c>
      <c r="V23" s="112">
        <v>0</v>
      </c>
      <c r="W23" s="112">
        <v>0</v>
      </c>
      <c r="X23" s="112">
        <v>0</v>
      </c>
      <c r="Y23" s="112">
        <v>0</v>
      </c>
      <c r="Z23" s="112">
        <v>0</v>
      </c>
      <c r="AA23" s="112">
        <v>0</v>
      </c>
      <c r="AB23" s="112">
        <v>0</v>
      </c>
      <c r="AC23" s="112">
        <v>0</v>
      </c>
      <c r="AD23" s="112">
        <v>0</v>
      </c>
      <c r="AE23" s="112">
        <v>0</v>
      </c>
      <c r="AF23" s="112">
        <v>0</v>
      </c>
      <c r="AG23" s="112">
        <v>0</v>
      </c>
      <c r="AH23" s="112">
        <v>0</v>
      </c>
      <c r="AI23" s="112">
        <v>0</v>
      </c>
      <c r="AJ23" s="112">
        <v>0</v>
      </c>
      <c r="AK23" s="112">
        <v>0</v>
      </c>
      <c r="AL23" s="112">
        <v>0</v>
      </c>
      <c r="AM23" s="112">
        <v>0</v>
      </c>
      <c r="AN23" s="112">
        <v>0</v>
      </c>
      <c r="AO23" s="112">
        <v>0</v>
      </c>
      <c r="AP23" s="112">
        <v>0</v>
      </c>
      <c r="AQ23" s="112">
        <v>0</v>
      </c>
      <c r="AR23" s="112">
        <v>0</v>
      </c>
      <c r="AS23" s="112">
        <v>0</v>
      </c>
      <c r="AT23" s="112">
        <v>0</v>
      </c>
    </row>
    <row r="24" spans="1:46" customFormat="1" x14ac:dyDescent="0.15">
      <c r="A24" s="192" t="s">
        <v>213</v>
      </c>
      <c r="B24" s="112">
        <v>0</v>
      </c>
      <c r="C24" s="112">
        <v>0</v>
      </c>
      <c r="D24" s="112">
        <v>0</v>
      </c>
      <c r="E24" s="112">
        <v>0</v>
      </c>
      <c r="F24" s="112">
        <v>0</v>
      </c>
      <c r="G24" s="112">
        <v>1</v>
      </c>
      <c r="H24" s="112">
        <v>0</v>
      </c>
      <c r="I24" s="112">
        <v>1</v>
      </c>
      <c r="J24" s="112">
        <v>1</v>
      </c>
      <c r="K24" s="112">
        <v>0</v>
      </c>
      <c r="L24" s="112">
        <v>1</v>
      </c>
      <c r="M24" s="112">
        <v>1</v>
      </c>
      <c r="N24" s="112">
        <v>0</v>
      </c>
      <c r="O24" s="112">
        <v>0</v>
      </c>
      <c r="P24" s="112">
        <v>0</v>
      </c>
      <c r="Q24" s="112">
        <v>0</v>
      </c>
      <c r="R24" s="112">
        <v>0</v>
      </c>
      <c r="S24" s="112">
        <v>0</v>
      </c>
      <c r="T24" s="112">
        <v>0</v>
      </c>
      <c r="U24" s="112">
        <v>0</v>
      </c>
      <c r="V24" s="112">
        <v>1</v>
      </c>
      <c r="W24" s="112">
        <v>0</v>
      </c>
      <c r="X24" s="112">
        <v>0</v>
      </c>
      <c r="Y24" s="112">
        <v>0</v>
      </c>
      <c r="Z24" s="112">
        <v>0</v>
      </c>
      <c r="AA24" s="112">
        <v>0</v>
      </c>
      <c r="AB24" s="112">
        <v>0</v>
      </c>
      <c r="AC24" s="112">
        <v>0</v>
      </c>
      <c r="AD24" s="112">
        <v>0</v>
      </c>
      <c r="AE24" s="112">
        <v>0</v>
      </c>
      <c r="AF24" s="112">
        <v>0</v>
      </c>
      <c r="AG24" s="112">
        <v>0</v>
      </c>
      <c r="AH24" s="112">
        <v>0</v>
      </c>
      <c r="AI24" s="112">
        <v>0</v>
      </c>
      <c r="AJ24" s="112">
        <v>0</v>
      </c>
      <c r="AK24" s="112">
        <v>0</v>
      </c>
      <c r="AL24" s="112">
        <v>0</v>
      </c>
      <c r="AM24" s="112">
        <v>0</v>
      </c>
      <c r="AN24" s="112">
        <v>0</v>
      </c>
      <c r="AO24" s="112">
        <v>0</v>
      </c>
      <c r="AP24" s="112">
        <v>0</v>
      </c>
      <c r="AQ24" s="112">
        <v>0</v>
      </c>
      <c r="AR24" s="112">
        <v>0</v>
      </c>
      <c r="AS24" s="112">
        <v>0</v>
      </c>
      <c r="AT24" s="112">
        <v>0</v>
      </c>
    </row>
    <row r="25" spans="1:46" customFormat="1" x14ac:dyDescent="0.15">
      <c r="A25" s="192" t="s">
        <v>214</v>
      </c>
      <c r="B25" s="112">
        <v>0</v>
      </c>
      <c r="C25" s="112">
        <v>0</v>
      </c>
      <c r="D25" s="112">
        <v>0</v>
      </c>
      <c r="E25" s="112">
        <v>1</v>
      </c>
      <c r="F25" s="112">
        <v>0</v>
      </c>
      <c r="G25" s="112">
        <v>1</v>
      </c>
      <c r="H25" s="112">
        <v>0</v>
      </c>
      <c r="I25" s="112">
        <v>1</v>
      </c>
      <c r="J25" s="112">
        <v>0</v>
      </c>
      <c r="K25" s="112">
        <v>0</v>
      </c>
      <c r="L25" s="112">
        <v>0</v>
      </c>
      <c r="M25" s="112">
        <v>0</v>
      </c>
      <c r="N25" s="112">
        <v>0</v>
      </c>
      <c r="O25" s="112">
        <v>0</v>
      </c>
      <c r="P25" s="112">
        <v>0</v>
      </c>
      <c r="Q25" s="112">
        <v>0</v>
      </c>
      <c r="R25" s="112">
        <v>0</v>
      </c>
      <c r="S25" s="112">
        <v>0</v>
      </c>
      <c r="T25" s="112">
        <v>0</v>
      </c>
      <c r="U25" s="112">
        <v>0</v>
      </c>
      <c r="V25" s="112">
        <v>0</v>
      </c>
      <c r="W25" s="112">
        <v>0</v>
      </c>
      <c r="X25" s="112">
        <v>0</v>
      </c>
      <c r="Y25" s="112">
        <v>0</v>
      </c>
      <c r="Z25" s="112">
        <v>0</v>
      </c>
      <c r="AA25" s="112">
        <v>0</v>
      </c>
      <c r="AB25" s="112">
        <v>0</v>
      </c>
      <c r="AC25" s="112">
        <v>0</v>
      </c>
      <c r="AD25" s="112">
        <v>0</v>
      </c>
      <c r="AE25" s="112">
        <v>0</v>
      </c>
      <c r="AF25" s="112">
        <v>0</v>
      </c>
      <c r="AG25" s="112">
        <v>0</v>
      </c>
      <c r="AH25" s="112">
        <v>0</v>
      </c>
      <c r="AI25" s="112">
        <v>0</v>
      </c>
      <c r="AJ25" s="112">
        <v>0</v>
      </c>
      <c r="AK25" s="112">
        <v>0</v>
      </c>
      <c r="AL25" s="112">
        <v>0</v>
      </c>
      <c r="AM25" s="112">
        <v>0</v>
      </c>
      <c r="AN25" s="112">
        <v>0</v>
      </c>
      <c r="AO25" s="112">
        <v>0</v>
      </c>
      <c r="AP25" s="112">
        <v>0</v>
      </c>
      <c r="AQ25" s="112">
        <v>0</v>
      </c>
      <c r="AR25" s="112">
        <v>0</v>
      </c>
      <c r="AS25" s="112">
        <v>0</v>
      </c>
      <c r="AT25" s="112">
        <v>0</v>
      </c>
    </row>
    <row r="26" spans="1:46" customFormat="1" x14ac:dyDescent="0.15">
      <c r="A26" s="192" t="s">
        <v>215</v>
      </c>
      <c r="B26" s="112">
        <v>0</v>
      </c>
      <c r="C26" s="112">
        <v>0</v>
      </c>
      <c r="D26" s="112">
        <v>0</v>
      </c>
      <c r="E26" s="112">
        <v>0</v>
      </c>
      <c r="F26" s="112">
        <v>0</v>
      </c>
      <c r="G26" s="112">
        <v>1</v>
      </c>
      <c r="H26" s="112">
        <v>0</v>
      </c>
      <c r="I26" s="112">
        <v>1</v>
      </c>
      <c r="J26" s="112">
        <v>0</v>
      </c>
      <c r="K26" s="112">
        <v>0</v>
      </c>
      <c r="L26" s="112">
        <v>0</v>
      </c>
      <c r="M26" s="112">
        <v>0</v>
      </c>
      <c r="N26" s="112">
        <v>0</v>
      </c>
      <c r="O26" s="112">
        <v>0</v>
      </c>
      <c r="P26" s="112">
        <v>0</v>
      </c>
      <c r="Q26" s="112">
        <v>0</v>
      </c>
      <c r="R26" s="112">
        <v>0</v>
      </c>
      <c r="S26" s="112">
        <v>1</v>
      </c>
      <c r="T26" s="112">
        <v>0</v>
      </c>
      <c r="U26" s="112">
        <v>1</v>
      </c>
      <c r="V26" s="112">
        <v>0</v>
      </c>
      <c r="W26" s="112">
        <v>0</v>
      </c>
      <c r="X26" s="112">
        <v>0</v>
      </c>
      <c r="Y26" s="112">
        <v>0</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c r="AQ26" s="112">
        <v>0</v>
      </c>
      <c r="AR26" s="112">
        <v>0</v>
      </c>
      <c r="AS26" s="112">
        <v>0</v>
      </c>
      <c r="AT26" s="112">
        <v>0</v>
      </c>
    </row>
    <row r="27" spans="1:46" customFormat="1" x14ac:dyDescent="0.15">
      <c r="A27" s="192" t="s">
        <v>216</v>
      </c>
      <c r="B27" s="112">
        <v>0</v>
      </c>
      <c r="C27" s="112">
        <v>1</v>
      </c>
      <c r="D27" s="112">
        <v>0</v>
      </c>
      <c r="E27" s="112">
        <v>1</v>
      </c>
      <c r="F27" s="112">
        <v>0</v>
      </c>
      <c r="G27" s="112">
        <v>1</v>
      </c>
      <c r="H27" s="112">
        <v>0</v>
      </c>
      <c r="I27" s="112">
        <v>0</v>
      </c>
      <c r="J27" s="112">
        <v>0</v>
      </c>
      <c r="K27" s="112">
        <v>1</v>
      </c>
      <c r="L27" s="112">
        <v>1</v>
      </c>
      <c r="M27" s="112">
        <v>0</v>
      </c>
      <c r="N27" s="112">
        <v>0</v>
      </c>
      <c r="O27" s="112">
        <v>0</v>
      </c>
      <c r="P27" s="112">
        <v>0</v>
      </c>
      <c r="Q27" s="112">
        <v>0</v>
      </c>
      <c r="R27" s="112">
        <v>0</v>
      </c>
      <c r="S27" s="112">
        <v>1</v>
      </c>
      <c r="T27" s="112">
        <v>0</v>
      </c>
      <c r="U27" s="112">
        <v>1</v>
      </c>
      <c r="V27" s="112">
        <v>1</v>
      </c>
      <c r="W27" s="112">
        <v>0</v>
      </c>
      <c r="X27" s="112">
        <v>0</v>
      </c>
      <c r="Y27" s="112">
        <v>0</v>
      </c>
      <c r="Z27" s="112">
        <v>0</v>
      </c>
      <c r="AA27" s="112">
        <v>0</v>
      </c>
      <c r="AB27" s="112">
        <v>0</v>
      </c>
      <c r="AC27" s="112">
        <v>0</v>
      </c>
      <c r="AD27" s="112">
        <v>0</v>
      </c>
      <c r="AE27" s="112">
        <v>0</v>
      </c>
      <c r="AF27" s="112">
        <v>0</v>
      </c>
      <c r="AG27" s="112">
        <v>0</v>
      </c>
      <c r="AH27" s="112">
        <v>0</v>
      </c>
      <c r="AI27" s="112">
        <v>0</v>
      </c>
      <c r="AJ27" s="112">
        <v>1</v>
      </c>
      <c r="AK27" s="112">
        <v>0</v>
      </c>
      <c r="AL27" s="112">
        <v>0</v>
      </c>
      <c r="AM27" s="112">
        <v>0</v>
      </c>
      <c r="AN27" s="112">
        <v>0</v>
      </c>
      <c r="AO27" s="112">
        <v>0</v>
      </c>
      <c r="AP27" s="112">
        <v>0</v>
      </c>
      <c r="AQ27" s="112">
        <v>0</v>
      </c>
      <c r="AR27" s="112">
        <v>0</v>
      </c>
      <c r="AS27" s="112">
        <v>0</v>
      </c>
      <c r="AT27" s="112">
        <v>0</v>
      </c>
    </row>
    <row r="28" spans="1:46" customFormat="1" x14ac:dyDescent="0.15">
      <c r="A28" s="192" t="s">
        <v>217</v>
      </c>
      <c r="B28" s="112">
        <v>0</v>
      </c>
      <c r="C28" s="112">
        <v>0</v>
      </c>
      <c r="D28" s="112">
        <v>0</v>
      </c>
      <c r="E28" s="112">
        <v>0</v>
      </c>
      <c r="F28" s="112">
        <v>0</v>
      </c>
      <c r="G28" s="112">
        <v>1</v>
      </c>
      <c r="H28" s="112">
        <v>0</v>
      </c>
      <c r="I28" s="112">
        <v>0</v>
      </c>
      <c r="J28" s="112">
        <v>0</v>
      </c>
      <c r="K28" s="112">
        <v>0</v>
      </c>
      <c r="L28" s="112">
        <v>0</v>
      </c>
      <c r="M28" s="112">
        <v>0</v>
      </c>
      <c r="N28" s="112">
        <v>0</v>
      </c>
      <c r="O28" s="112">
        <v>0</v>
      </c>
      <c r="P28" s="112">
        <v>0</v>
      </c>
      <c r="Q28" s="112">
        <v>0</v>
      </c>
      <c r="R28" s="112">
        <v>0</v>
      </c>
      <c r="S28" s="112">
        <v>1</v>
      </c>
      <c r="T28" s="112">
        <v>1</v>
      </c>
      <c r="U28" s="112">
        <v>0</v>
      </c>
      <c r="V28" s="112">
        <v>1</v>
      </c>
      <c r="W28" s="112">
        <v>0</v>
      </c>
      <c r="X28" s="112">
        <v>1</v>
      </c>
      <c r="Y28" s="112">
        <v>1</v>
      </c>
      <c r="Z28" s="112">
        <v>0</v>
      </c>
      <c r="AA28" s="112">
        <v>0</v>
      </c>
      <c r="AB28" s="112">
        <v>0</v>
      </c>
      <c r="AC28" s="112">
        <v>0</v>
      </c>
      <c r="AD28" s="112">
        <v>0</v>
      </c>
      <c r="AE28" s="112">
        <v>0</v>
      </c>
      <c r="AF28" s="112">
        <v>0</v>
      </c>
      <c r="AG28" s="112">
        <v>0</v>
      </c>
      <c r="AH28" s="112">
        <v>0</v>
      </c>
      <c r="AI28" s="112">
        <v>0</v>
      </c>
      <c r="AJ28" s="112">
        <v>0</v>
      </c>
      <c r="AK28" s="112">
        <v>0</v>
      </c>
      <c r="AL28" s="112">
        <v>0</v>
      </c>
      <c r="AM28" s="112">
        <v>0</v>
      </c>
      <c r="AN28" s="112">
        <v>0</v>
      </c>
      <c r="AO28" s="112">
        <v>0</v>
      </c>
      <c r="AP28" s="112">
        <v>0</v>
      </c>
      <c r="AQ28" s="112">
        <v>0</v>
      </c>
      <c r="AR28" s="112">
        <v>0</v>
      </c>
      <c r="AS28" s="112">
        <v>0</v>
      </c>
      <c r="AT28" s="112">
        <v>0</v>
      </c>
    </row>
    <row r="29" spans="1:46" customFormat="1" x14ac:dyDescent="0.15">
      <c r="A29" s="192" t="s">
        <v>218</v>
      </c>
      <c r="B29" s="112">
        <v>0</v>
      </c>
      <c r="C29" s="112">
        <v>1</v>
      </c>
      <c r="D29" s="112">
        <v>0</v>
      </c>
      <c r="E29" s="112">
        <v>1</v>
      </c>
      <c r="F29" s="112">
        <v>1</v>
      </c>
      <c r="G29" s="112">
        <v>1</v>
      </c>
      <c r="H29" s="112">
        <v>0</v>
      </c>
      <c r="I29" s="112">
        <v>1</v>
      </c>
      <c r="J29" s="112">
        <v>1</v>
      </c>
      <c r="K29" s="112">
        <v>0</v>
      </c>
      <c r="L29" s="112">
        <v>1</v>
      </c>
      <c r="M29" s="112">
        <v>1</v>
      </c>
      <c r="N29" s="112">
        <v>0</v>
      </c>
      <c r="O29" s="112">
        <v>0</v>
      </c>
      <c r="P29" s="112">
        <v>0</v>
      </c>
      <c r="Q29" s="112">
        <v>0</v>
      </c>
      <c r="R29" s="112">
        <v>0</v>
      </c>
      <c r="S29" s="112">
        <v>1</v>
      </c>
      <c r="T29" s="112">
        <v>1</v>
      </c>
      <c r="U29" s="112">
        <v>0</v>
      </c>
      <c r="V29" s="112">
        <v>1</v>
      </c>
      <c r="W29" s="112">
        <v>0</v>
      </c>
      <c r="X29" s="112">
        <v>1</v>
      </c>
      <c r="Y29" s="112">
        <v>1</v>
      </c>
      <c r="Z29" s="112">
        <v>0</v>
      </c>
      <c r="AA29" s="112">
        <v>0</v>
      </c>
      <c r="AB29" s="112">
        <v>0</v>
      </c>
      <c r="AC29" s="112">
        <v>0</v>
      </c>
      <c r="AD29" s="112">
        <v>0</v>
      </c>
      <c r="AE29" s="112">
        <v>0</v>
      </c>
      <c r="AF29" s="112">
        <v>0</v>
      </c>
      <c r="AG29" s="112">
        <v>0</v>
      </c>
      <c r="AH29" s="112">
        <v>0</v>
      </c>
      <c r="AI29" s="112">
        <v>0</v>
      </c>
      <c r="AJ29" s="112">
        <v>0</v>
      </c>
      <c r="AK29" s="112">
        <v>0</v>
      </c>
      <c r="AL29" s="112">
        <v>0</v>
      </c>
      <c r="AM29" s="112">
        <v>0</v>
      </c>
      <c r="AN29" s="112">
        <v>0</v>
      </c>
      <c r="AO29" s="112">
        <v>0</v>
      </c>
      <c r="AP29" s="112">
        <v>0</v>
      </c>
      <c r="AQ29" s="112">
        <v>0</v>
      </c>
      <c r="AR29" s="112">
        <v>0</v>
      </c>
      <c r="AS29" s="112">
        <v>0</v>
      </c>
      <c r="AT29" s="112">
        <v>0</v>
      </c>
    </row>
    <row r="30" spans="1:46" customFormat="1" x14ac:dyDescent="0.15">
      <c r="A30" s="192" t="s">
        <v>219</v>
      </c>
      <c r="B30" s="112">
        <v>0</v>
      </c>
      <c r="C30" s="112">
        <v>1</v>
      </c>
      <c r="D30" s="112">
        <v>0</v>
      </c>
      <c r="E30" s="112">
        <v>1</v>
      </c>
      <c r="F30" s="112">
        <v>0</v>
      </c>
      <c r="G30" s="112">
        <v>1</v>
      </c>
      <c r="H30" s="112">
        <v>0</v>
      </c>
      <c r="I30" s="112">
        <v>1</v>
      </c>
      <c r="J30" s="112">
        <v>0</v>
      </c>
      <c r="K30" s="112">
        <v>1</v>
      </c>
      <c r="L30" s="112">
        <v>0</v>
      </c>
      <c r="M30" s="112">
        <v>0</v>
      </c>
      <c r="N30" s="112">
        <v>0</v>
      </c>
      <c r="O30" s="112">
        <v>0</v>
      </c>
      <c r="P30" s="112">
        <v>0</v>
      </c>
      <c r="Q30" s="112">
        <v>0</v>
      </c>
      <c r="R30" s="112">
        <v>0</v>
      </c>
      <c r="S30" s="112">
        <v>1</v>
      </c>
      <c r="T30" s="112">
        <v>1</v>
      </c>
      <c r="U30" s="112">
        <v>1</v>
      </c>
      <c r="V30" s="112">
        <v>1</v>
      </c>
      <c r="W30" s="112">
        <v>0</v>
      </c>
      <c r="X30" s="112">
        <v>1</v>
      </c>
      <c r="Y30" s="112">
        <v>1</v>
      </c>
      <c r="Z30" s="112">
        <v>0</v>
      </c>
      <c r="AA30" s="112">
        <v>0</v>
      </c>
      <c r="AB30" s="112">
        <v>0</v>
      </c>
      <c r="AC30" s="112">
        <v>0</v>
      </c>
      <c r="AD30" s="112">
        <v>1</v>
      </c>
      <c r="AE30" s="112">
        <v>1</v>
      </c>
      <c r="AF30" s="112">
        <v>1</v>
      </c>
      <c r="AG30" s="112">
        <v>0</v>
      </c>
      <c r="AH30" s="112">
        <v>0</v>
      </c>
      <c r="AI30" s="112">
        <v>0</v>
      </c>
      <c r="AJ30" s="112">
        <v>0</v>
      </c>
      <c r="AK30" s="112">
        <v>0</v>
      </c>
      <c r="AL30" s="112">
        <v>0</v>
      </c>
      <c r="AM30" s="112">
        <v>0</v>
      </c>
      <c r="AN30" s="112">
        <v>0</v>
      </c>
      <c r="AO30" s="112">
        <v>0</v>
      </c>
      <c r="AP30" s="112">
        <v>0</v>
      </c>
      <c r="AQ30" s="112">
        <v>0</v>
      </c>
      <c r="AR30" s="112">
        <v>0</v>
      </c>
      <c r="AS30" s="112">
        <v>0</v>
      </c>
      <c r="AT30" s="112">
        <v>0</v>
      </c>
    </row>
    <row r="31" spans="1:46" customFormat="1" x14ac:dyDescent="0.15">
      <c r="A31" s="192" t="s">
        <v>220</v>
      </c>
      <c r="B31" s="112">
        <v>0</v>
      </c>
      <c r="C31" s="112">
        <v>0</v>
      </c>
      <c r="D31" s="112">
        <v>0</v>
      </c>
      <c r="E31" s="112">
        <v>0</v>
      </c>
      <c r="F31" s="112">
        <v>0</v>
      </c>
      <c r="G31" s="112">
        <v>0</v>
      </c>
      <c r="H31" s="112">
        <v>0</v>
      </c>
      <c r="I31" s="112">
        <v>0</v>
      </c>
      <c r="J31" s="112">
        <v>0</v>
      </c>
      <c r="K31" s="112">
        <v>0</v>
      </c>
      <c r="L31" s="112">
        <v>0</v>
      </c>
      <c r="M31" s="112">
        <v>0</v>
      </c>
      <c r="N31" s="112">
        <v>0</v>
      </c>
      <c r="O31" s="112">
        <v>0</v>
      </c>
      <c r="P31" s="112">
        <v>0</v>
      </c>
      <c r="Q31" s="112">
        <v>0</v>
      </c>
      <c r="R31" s="112">
        <v>0</v>
      </c>
      <c r="S31" s="112">
        <v>1</v>
      </c>
      <c r="T31" s="112">
        <v>1</v>
      </c>
      <c r="U31" s="112">
        <v>1</v>
      </c>
      <c r="V31" s="112">
        <v>1</v>
      </c>
      <c r="W31" s="112">
        <v>0</v>
      </c>
      <c r="X31" s="112">
        <v>1</v>
      </c>
      <c r="Y31" s="112">
        <v>1</v>
      </c>
      <c r="Z31" s="112">
        <v>0</v>
      </c>
      <c r="AA31" s="112">
        <v>0</v>
      </c>
      <c r="AB31" s="112">
        <v>0</v>
      </c>
      <c r="AC31" s="112">
        <v>0</v>
      </c>
      <c r="AD31" s="112">
        <v>0</v>
      </c>
      <c r="AE31" s="112">
        <v>0</v>
      </c>
      <c r="AF31" s="112">
        <v>0</v>
      </c>
      <c r="AG31" s="112">
        <v>0</v>
      </c>
      <c r="AH31" s="112">
        <v>0</v>
      </c>
      <c r="AI31" s="112">
        <v>0</v>
      </c>
      <c r="AJ31" s="112">
        <v>0</v>
      </c>
      <c r="AK31" s="112">
        <v>0</v>
      </c>
      <c r="AL31" s="112">
        <v>0</v>
      </c>
      <c r="AM31" s="112">
        <v>0</v>
      </c>
      <c r="AN31" s="112">
        <v>0</v>
      </c>
      <c r="AO31" s="112">
        <v>0</v>
      </c>
      <c r="AP31" s="112">
        <v>0</v>
      </c>
      <c r="AQ31" s="112">
        <v>0</v>
      </c>
      <c r="AR31" s="112">
        <v>0</v>
      </c>
      <c r="AS31" s="112">
        <v>0</v>
      </c>
      <c r="AT31" s="112">
        <v>0</v>
      </c>
    </row>
    <row r="32" spans="1:46" x14ac:dyDescent="0.15">
      <c r="A32" s="192" t="s">
        <v>221</v>
      </c>
      <c r="B32" s="112">
        <v>0</v>
      </c>
      <c r="C32" s="112">
        <v>1</v>
      </c>
      <c r="D32" s="112">
        <v>0</v>
      </c>
      <c r="E32" s="112">
        <v>1</v>
      </c>
      <c r="F32" s="112">
        <v>1</v>
      </c>
      <c r="G32" s="112">
        <v>1</v>
      </c>
      <c r="H32" s="112">
        <v>1</v>
      </c>
      <c r="I32" s="112">
        <v>1</v>
      </c>
      <c r="J32" s="112">
        <v>1</v>
      </c>
      <c r="K32" s="112">
        <v>1</v>
      </c>
      <c r="L32" s="112">
        <v>1</v>
      </c>
      <c r="M32" s="112">
        <v>1</v>
      </c>
      <c r="N32" s="112">
        <v>0</v>
      </c>
      <c r="O32" s="112">
        <v>0</v>
      </c>
      <c r="P32" s="112">
        <v>0</v>
      </c>
      <c r="Q32" s="112">
        <v>0</v>
      </c>
      <c r="R32" s="112">
        <v>0</v>
      </c>
      <c r="S32" s="112">
        <v>1</v>
      </c>
      <c r="T32" s="112">
        <v>1</v>
      </c>
      <c r="U32" s="112">
        <v>1</v>
      </c>
      <c r="V32" s="112">
        <v>1</v>
      </c>
      <c r="W32" s="112">
        <v>0</v>
      </c>
      <c r="X32" s="112">
        <v>1</v>
      </c>
      <c r="Y32" s="112">
        <v>1</v>
      </c>
      <c r="Z32" s="112">
        <v>0</v>
      </c>
      <c r="AA32" s="112">
        <v>0</v>
      </c>
      <c r="AB32" s="112">
        <v>1</v>
      </c>
      <c r="AC32" s="112">
        <v>1</v>
      </c>
      <c r="AD32" s="112">
        <v>1</v>
      </c>
      <c r="AE32" s="112">
        <v>0</v>
      </c>
      <c r="AF32" s="112">
        <v>1</v>
      </c>
      <c r="AG32" s="112">
        <v>0</v>
      </c>
      <c r="AH32" s="112">
        <v>0</v>
      </c>
      <c r="AI32" s="112">
        <v>0</v>
      </c>
      <c r="AJ32" s="112">
        <v>0</v>
      </c>
      <c r="AK32" s="112">
        <v>0</v>
      </c>
      <c r="AL32" s="112">
        <v>0</v>
      </c>
      <c r="AM32" s="112">
        <v>0</v>
      </c>
      <c r="AN32" s="112">
        <v>0</v>
      </c>
      <c r="AO32" s="112">
        <v>0</v>
      </c>
      <c r="AP32" s="112">
        <v>0</v>
      </c>
      <c r="AQ32" s="112">
        <v>0</v>
      </c>
      <c r="AR32" s="112">
        <v>0</v>
      </c>
      <c r="AS32" s="112">
        <v>0</v>
      </c>
      <c r="AT32" s="112">
        <v>0</v>
      </c>
    </row>
    <row r="33" spans="1:46" x14ac:dyDescent="0.15">
      <c r="A33" s="192" t="s">
        <v>222</v>
      </c>
      <c r="B33" s="112">
        <v>0</v>
      </c>
      <c r="C33" s="112">
        <v>0</v>
      </c>
      <c r="D33" s="112">
        <v>0</v>
      </c>
      <c r="E33" s="112">
        <v>0</v>
      </c>
      <c r="F33" s="112">
        <v>1</v>
      </c>
      <c r="G33" s="112">
        <v>1</v>
      </c>
      <c r="H33" s="112">
        <v>1</v>
      </c>
      <c r="I33" s="112">
        <v>0</v>
      </c>
      <c r="J33" s="112">
        <v>0</v>
      </c>
      <c r="K33" s="112">
        <v>0</v>
      </c>
      <c r="L33" s="112">
        <v>0</v>
      </c>
      <c r="M33" s="112">
        <v>0</v>
      </c>
      <c r="N33" s="112">
        <v>0</v>
      </c>
      <c r="O33" s="112">
        <v>0</v>
      </c>
      <c r="P33" s="112">
        <v>0</v>
      </c>
      <c r="Q33" s="112">
        <v>0</v>
      </c>
      <c r="R33" s="112">
        <v>0</v>
      </c>
      <c r="S33" s="112">
        <v>0</v>
      </c>
      <c r="T33" s="112">
        <v>0</v>
      </c>
      <c r="U33" s="112">
        <v>0</v>
      </c>
      <c r="V33" s="112">
        <v>1</v>
      </c>
      <c r="W33" s="112">
        <v>0</v>
      </c>
      <c r="X33" s="112">
        <v>0</v>
      </c>
      <c r="Y33" s="112">
        <v>0</v>
      </c>
      <c r="Z33" s="112">
        <v>0</v>
      </c>
      <c r="AA33" s="112">
        <v>0</v>
      </c>
      <c r="AB33" s="112">
        <v>0</v>
      </c>
      <c r="AC33" s="112">
        <v>0</v>
      </c>
      <c r="AD33" s="112">
        <v>0</v>
      </c>
      <c r="AE33" s="112">
        <v>0</v>
      </c>
      <c r="AF33" s="112">
        <v>0</v>
      </c>
      <c r="AG33" s="112">
        <v>0</v>
      </c>
      <c r="AH33" s="112">
        <v>0</v>
      </c>
      <c r="AI33" s="112">
        <v>0</v>
      </c>
      <c r="AJ33" s="112">
        <v>0</v>
      </c>
      <c r="AK33" s="112">
        <v>0</v>
      </c>
      <c r="AL33" s="112">
        <v>0</v>
      </c>
      <c r="AM33" s="112">
        <v>0</v>
      </c>
      <c r="AN33" s="112">
        <v>0</v>
      </c>
      <c r="AO33" s="112">
        <v>0</v>
      </c>
      <c r="AP33" s="112">
        <v>0</v>
      </c>
      <c r="AQ33" s="112">
        <v>0</v>
      </c>
      <c r="AR33" s="112">
        <v>0</v>
      </c>
      <c r="AS33" s="112">
        <v>0</v>
      </c>
      <c r="AT33" s="112">
        <v>0</v>
      </c>
    </row>
    <row r="34" spans="1:46" x14ac:dyDescent="0.15">
      <c r="A34" s="192" t="s">
        <v>223</v>
      </c>
      <c r="B34" s="112">
        <v>1</v>
      </c>
      <c r="C34" s="112">
        <v>1</v>
      </c>
      <c r="D34" s="112">
        <v>0</v>
      </c>
      <c r="E34" s="112">
        <v>0</v>
      </c>
      <c r="F34" s="112">
        <v>1</v>
      </c>
      <c r="G34" s="112">
        <v>1</v>
      </c>
      <c r="H34" s="112">
        <v>1</v>
      </c>
      <c r="I34" s="112">
        <v>0</v>
      </c>
      <c r="J34" s="112">
        <v>0</v>
      </c>
      <c r="K34" s="112">
        <v>0</v>
      </c>
      <c r="L34" s="112">
        <v>0</v>
      </c>
      <c r="M34" s="112">
        <v>0</v>
      </c>
      <c r="N34" s="112">
        <v>0</v>
      </c>
      <c r="O34" s="112">
        <v>0</v>
      </c>
      <c r="P34" s="112">
        <v>0</v>
      </c>
      <c r="Q34" s="112">
        <v>0</v>
      </c>
      <c r="R34" s="112">
        <v>0</v>
      </c>
      <c r="S34" s="112">
        <v>0</v>
      </c>
      <c r="T34" s="112">
        <v>0</v>
      </c>
      <c r="U34" s="112">
        <v>0</v>
      </c>
      <c r="V34" s="112">
        <v>1</v>
      </c>
      <c r="W34" s="112">
        <v>0</v>
      </c>
      <c r="X34" s="112">
        <v>0</v>
      </c>
      <c r="Y34" s="112">
        <v>0</v>
      </c>
      <c r="Z34" s="112">
        <v>0</v>
      </c>
      <c r="AA34" s="112">
        <v>0</v>
      </c>
      <c r="AB34" s="112">
        <v>0</v>
      </c>
      <c r="AC34" s="112">
        <v>0</v>
      </c>
      <c r="AD34" s="112">
        <v>0</v>
      </c>
      <c r="AE34" s="112">
        <v>0</v>
      </c>
      <c r="AF34" s="112">
        <v>0</v>
      </c>
      <c r="AG34" s="112">
        <v>1</v>
      </c>
      <c r="AH34" s="112">
        <v>0</v>
      </c>
      <c r="AI34" s="112">
        <v>0</v>
      </c>
      <c r="AJ34" s="112">
        <v>0</v>
      </c>
      <c r="AK34" s="112">
        <v>0</v>
      </c>
      <c r="AL34" s="112">
        <v>0</v>
      </c>
      <c r="AM34" s="112">
        <v>0</v>
      </c>
      <c r="AN34" s="112">
        <v>0</v>
      </c>
      <c r="AO34" s="112">
        <v>0</v>
      </c>
      <c r="AP34" s="112">
        <v>0</v>
      </c>
      <c r="AQ34" s="112">
        <v>0</v>
      </c>
      <c r="AR34" s="112">
        <v>0</v>
      </c>
      <c r="AS34" s="112">
        <v>0</v>
      </c>
      <c r="AT34" s="112">
        <v>0</v>
      </c>
    </row>
    <row r="35" spans="1:46" x14ac:dyDescent="0.15">
      <c r="A35" s="192" t="s">
        <v>224</v>
      </c>
      <c r="B35" s="112">
        <v>0</v>
      </c>
      <c r="C35" s="112">
        <v>0</v>
      </c>
      <c r="D35" s="112">
        <v>0</v>
      </c>
      <c r="E35" s="112">
        <v>0</v>
      </c>
      <c r="F35" s="112">
        <v>1</v>
      </c>
      <c r="G35" s="112">
        <v>0</v>
      </c>
      <c r="H35" s="112">
        <v>1</v>
      </c>
      <c r="I35" s="112">
        <v>1</v>
      </c>
      <c r="J35" s="112">
        <v>1</v>
      </c>
      <c r="K35" s="112">
        <v>0</v>
      </c>
      <c r="L35" s="112">
        <v>0</v>
      </c>
      <c r="M35" s="112">
        <v>0</v>
      </c>
      <c r="N35" s="112">
        <v>0</v>
      </c>
      <c r="O35" s="112">
        <v>0</v>
      </c>
      <c r="P35" s="112">
        <v>0</v>
      </c>
      <c r="Q35" s="112">
        <v>0</v>
      </c>
      <c r="R35" s="112">
        <v>0</v>
      </c>
      <c r="S35" s="112">
        <v>0</v>
      </c>
      <c r="T35" s="112">
        <v>0</v>
      </c>
      <c r="U35" s="112">
        <v>0</v>
      </c>
      <c r="V35" s="112">
        <v>0</v>
      </c>
      <c r="W35" s="112">
        <v>0</v>
      </c>
      <c r="X35" s="112">
        <v>0</v>
      </c>
      <c r="Y35" s="112">
        <v>0</v>
      </c>
      <c r="Z35" s="112">
        <v>0</v>
      </c>
      <c r="AA35" s="112">
        <v>0</v>
      </c>
      <c r="AB35" s="112">
        <v>0</v>
      </c>
      <c r="AC35" s="112">
        <v>0</v>
      </c>
      <c r="AD35" s="112">
        <v>0</v>
      </c>
      <c r="AE35" s="112">
        <v>0</v>
      </c>
      <c r="AF35" s="112">
        <v>0</v>
      </c>
      <c r="AG35" s="112">
        <v>0</v>
      </c>
      <c r="AH35" s="112">
        <v>0</v>
      </c>
      <c r="AI35" s="112">
        <v>0</v>
      </c>
      <c r="AJ35" s="112">
        <v>0</v>
      </c>
      <c r="AK35" s="112">
        <v>0</v>
      </c>
      <c r="AL35" s="112">
        <v>0</v>
      </c>
      <c r="AM35" s="112">
        <v>0</v>
      </c>
      <c r="AN35" s="112">
        <v>0</v>
      </c>
      <c r="AO35" s="112">
        <v>0</v>
      </c>
      <c r="AP35" s="112">
        <v>0</v>
      </c>
      <c r="AQ35" s="112">
        <v>0</v>
      </c>
      <c r="AR35" s="112">
        <v>0</v>
      </c>
      <c r="AS35" s="112">
        <v>0</v>
      </c>
      <c r="AT35" s="112">
        <v>0</v>
      </c>
    </row>
    <row r="36" spans="1:46" x14ac:dyDescent="0.15">
      <c r="A36" s="192" t="s">
        <v>225</v>
      </c>
      <c r="B36" s="112">
        <v>1</v>
      </c>
      <c r="C36" s="112">
        <v>0</v>
      </c>
      <c r="D36" s="112">
        <v>0</v>
      </c>
      <c r="E36" s="112">
        <v>0</v>
      </c>
      <c r="F36" s="112">
        <v>0</v>
      </c>
      <c r="G36" s="112">
        <v>0</v>
      </c>
      <c r="H36" s="112">
        <v>1</v>
      </c>
      <c r="I36" s="112">
        <v>0</v>
      </c>
      <c r="J36" s="112">
        <v>0</v>
      </c>
      <c r="K36" s="112">
        <v>0</v>
      </c>
      <c r="L36" s="112">
        <v>0</v>
      </c>
      <c r="M36" s="112">
        <v>0</v>
      </c>
      <c r="N36" s="112">
        <v>0</v>
      </c>
      <c r="O36" s="112">
        <v>0</v>
      </c>
      <c r="P36" s="112">
        <v>0</v>
      </c>
      <c r="Q36" s="112">
        <v>0</v>
      </c>
      <c r="R36" s="112">
        <v>0</v>
      </c>
      <c r="S36" s="112">
        <v>0</v>
      </c>
      <c r="T36" s="112">
        <v>0</v>
      </c>
      <c r="U36" s="112">
        <v>0</v>
      </c>
      <c r="V36" s="112">
        <v>0</v>
      </c>
      <c r="W36" s="112">
        <v>0</v>
      </c>
      <c r="X36" s="112">
        <v>0</v>
      </c>
      <c r="Y36" s="112">
        <v>0</v>
      </c>
      <c r="Z36" s="112">
        <v>0</v>
      </c>
      <c r="AA36" s="112">
        <v>0</v>
      </c>
      <c r="AB36" s="112">
        <v>0</v>
      </c>
      <c r="AC36" s="112">
        <v>0</v>
      </c>
      <c r="AD36" s="112">
        <v>0</v>
      </c>
      <c r="AE36" s="112">
        <v>0</v>
      </c>
      <c r="AF36" s="112">
        <v>0</v>
      </c>
      <c r="AG36" s="112">
        <v>0</v>
      </c>
      <c r="AH36" s="112">
        <v>0</v>
      </c>
      <c r="AI36" s="112">
        <v>1</v>
      </c>
      <c r="AJ36" s="112">
        <v>0</v>
      </c>
      <c r="AK36" s="112">
        <v>0</v>
      </c>
      <c r="AL36" s="112">
        <v>0</v>
      </c>
      <c r="AM36" s="112">
        <v>0</v>
      </c>
      <c r="AN36" s="112">
        <v>0</v>
      </c>
      <c r="AO36" s="112">
        <v>0</v>
      </c>
      <c r="AP36" s="112">
        <v>0</v>
      </c>
      <c r="AQ36" s="112">
        <v>0</v>
      </c>
      <c r="AR36" s="112">
        <v>0</v>
      </c>
      <c r="AS36" s="112">
        <v>0</v>
      </c>
      <c r="AT36" s="112">
        <v>0</v>
      </c>
    </row>
    <row r="37" spans="1:46" x14ac:dyDescent="0.15">
      <c r="A37" s="192" t="s">
        <v>226</v>
      </c>
      <c r="B37" s="112">
        <v>1</v>
      </c>
      <c r="C37" s="112">
        <v>1</v>
      </c>
      <c r="D37" s="112">
        <v>0</v>
      </c>
      <c r="E37" s="112">
        <v>0</v>
      </c>
      <c r="F37" s="112">
        <v>0</v>
      </c>
      <c r="G37" s="112">
        <v>1</v>
      </c>
      <c r="H37" s="112">
        <v>1</v>
      </c>
      <c r="I37" s="112">
        <v>0</v>
      </c>
      <c r="J37" s="112">
        <v>1</v>
      </c>
      <c r="K37" s="112">
        <v>0</v>
      </c>
      <c r="L37" s="112">
        <v>0</v>
      </c>
      <c r="M37" s="112">
        <v>0</v>
      </c>
      <c r="N37" s="112">
        <v>0</v>
      </c>
      <c r="O37" s="112">
        <v>0</v>
      </c>
      <c r="P37" s="112">
        <v>0</v>
      </c>
      <c r="Q37" s="112">
        <v>0</v>
      </c>
      <c r="R37" s="112">
        <v>0</v>
      </c>
      <c r="S37" s="112">
        <v>0</v>
      </c>
      <c r="T37" s="112">
        <v>0</v>
      </c>
      <c r="U37" s="112">
        <v>0</v>
      </c>
      <c r="V37" s="112">
        <v>1</v>
      </c>
      <c r="W37" s="112">
        <v>0</v>
      </c>
      <c r="X37" s="112">
        <v>0</v>
      </c>
      <c r="Y37" s="112">
        <v>0</v>
      </c>
      <c r="Z37" s="112">
        <v>0</v>
      </c>
      <c r="AA37" s="112">
        <v>0</v>
      </c>
      <c r="AB37" s="112">
        <v>0</v>
      </c>
      <c r="AC37" s="112">
        <v>0</v>
      </c>
      <c r="AD37" s="112">
        <v>0</v>
      </c>
      <c r="AE37" s="112">
        <v>0</v>
      </c>
      <c r="AF37" s="112">
        <v>0</v>
      </c>
      <c r="AG37" s="112">
        <v>1</v>
      </c>
      <c r="AH37" s="112">
        <v>0</v>
      </c>
      <c r="AI37" s="112">
        <v>1</v>
      </c>
      <c r="AJ37" s="112">
        <v>0</v>
      </c>
      <c r="AK37" s="112">
        <v>0</v>
      </c>
      <c r="AL37" s="112">
        <v>0</v>
      </c>
      <c r="AM37" s="112">
        <v>0</v>
      </c>
      <c r="AN37" s="112">
        <v>0</v>
      </c>
      <c r="AO37" s="112">
        <v>0</v>
      </c>
      <c r="AP37" s="112">
        <v>0</v>
      </c>
      <c r="AQ37" s="112">
        <v>0</v>
      </c>
      <c r="AR37" s="112">
        <v>0</v>
      </c>
      <c r="AS37" s="112">
        <v>0</v>
      </c>
      <c r="AT37" s="112">
        <v>0</v>
      </c>
    </row>
    <row r="38" spans="1:46" x14ac:dyDescent="0.15">
      <c r="A38" s="192" t="s">
        <v>227</v>
      </c>
      <c r="B38" s="112">
        <v>1</v>
      </c>
      <c r="C38" s="112">
        <v>1</v>
      </c>
      <c r="D38" s="112">
        <v>0</v>
      </c>
      <c r="E38" s="112">
        <v>0</v>
      </c>
      <c r="F38" s="112">
        <v>1</v>
      </c>
      <c r="G38" s="112">
        <v>0</v>
      </c>
      <c r="H38" s="112">
        <v>1</v>
      </c>
      <c r="I38" s="112">
        <v>1</v>
      </c>
      <c r="J38" s="112">
        <v>1</v>
      </c>
      <c r="K38" s="112">
        <v>0</v>
      </c>
      <c r="L38" s="112">
        <v>0</v>
      </c>
      <c r="M38" s="112">
        <v>0</v>
      </c>
      <c r="N38" s="112">
        <v>0</v>
      </c>
      <c r="O38" s="112">
        <v>0</v>
      </c>
      <c r="P38" s="112">
        <v>0</v>
      </c>
      <c r="Q38" s="112">
        <v>0</v>
      </c>
      <c r="R38" s="112">
        <v>0</v>
      </c>
      <c r="S38" s="112">
        <v>0</v>
      </c>
      <c r="T38" s="112">
        <v>0</v>
      </c>
      <c r="U38" s="112">
        <v>0</v>
      </c>
      <c r="V38" s="112">
        <v>1</v>
      </c>
      <c r="W38" s="112">
        <v>0</v>
      </c>
      <c r="X38" s="112">
        <v>0</v>
      </c>
      <c r="Y38" s="112">
        <v>0</v>
      </c>
      <c r="Z38" s="112">
        <v>0</v>
      </c>
      <c r="AA38" s="112">
        <v>0</v>
      </c>
      <c r="AB38" s="112">
        <v>0</v>
      </c>
      <c r="AC38" s="112">
        <v>0</v>
      </c>
      <c r="AD38" s="112">
        <v>0</v>
      </c>
      <c r="AE38" s="112">
        <v>0</v>
      </c>
      <c r="AF38" s="112">
        <v>0</v>
      </c>
      <c r="AG38" s="112">
        <v>1</v>
      </c>
      <c r="AH38" s="112">
        <v>0</v>
      </c>
      <c r="AI38" s="112">
        <v>1</v>
      </c>
      <c r="AJ38" s="112">
        <v>0</v>
      </c>
      <c r="AK38" s="112">
        <v>1</v>
      </c>
      <c r="AL38" s="112">
        <v>1</v>
      </c>
      <c r="AM38" s="112">
        <v>1</v>
      </c>
      <c r="AN38" s="112">
        <v>0</v>
      </c>
      <c r="AO38" s="112">
        <v>0</v>
      </c>
      <c r="AP38" s="112">
        <v>0</v>
      </c>
      <c r="AQ38" s="112">
        <v>0</v>
      </c>
      <c r="AR38" s="112">
        <v>0</v>
      </c>
      <c r="AS38" s="112">
        <v>0</v>
      </c>
      <c r="AT38" s="112">
        <v>0</v>
      </c>
    </row>
    <row r="39" spans="1:46" x14ac:dyDescent="0.15">
      <c r="A39" s="192" t="s">
        <v>228</v>
      </c>
      <c r="B39" s="112">
        <v>1</v>
      </c>
      <c r="C39" s="112">
        <v>1</v>
      </c>
      <c r="D39" s="112">
        <v>0</v>
      </c>
      <c r="E39" s="112">
        <v>1</v>
      </c>
      <c r="F39" s="112">
        <v>1</v>
      </c>
      <c r="G39" s="112">
        <v>1</v>
      </c>
      <c r="H39" s="112">
        <v>1</v>
      </c>
      <c r="I39" s="112">
        <v>1</v>
      </c>
      <c r="J39" s="112">
        <v>1</v>
      </c>
      <c r="K39" s="112">
        <v>1</v>
      </c>
      <c r="L39" s="112">
        <v>1</v>
      </c>
      <c r="M39" s="112">
        <v>1</v>
      </c>
      <c r="N39" s="112">
        <v>0</v>
      </c>
      <c r="O39" s="112">
        <v>1</v>
      </c>
      <c r="P39" s="112">
        <v>0</v>
      </c>
      <c r="Q39" s="112">
        <v>0</v>
      </c>
      <c r="R39" s="112">
        <v>0</v>
      </c>
      <c r="S39" s="112">
        <v>1</v>
      </c>
      <c r="T39" s="112">
        <v>1</v>
      </c>
      <c r="U39" s="112">
        <v>0</v>
      </c>
      <c r="V39" s="112">
        <v>1</v>
      </c>
      <c r="W39" s="112">
        <v>0</v>
      </c>
      <c r="X39" s="112">
        <v>1</v>
      </c>
      <c r="Y39" s="112">
        <v>0</v>
      </c>
      <c r="Z39" s="112">
        <v>0</v>
      </c>
      <c r="AA39" s="112">
        <v>0</v>
      </c>
      <c r="AB39" s="112">
        <v>0</v>
      </c>
      <c r="AC39" s="112">
        <v>1</v>
      </c>
      <c r="AD39" s="112">
        <v>1</v>
      </c>
      <c r="AE39" s="112">
        <v>0</v>
      </c>
      <c r="AF39" s="112">
        <v>0</v>
      </c>
      <c r="AG39" s="112">
        <v>1</v>
      </c>
      <c r="AH39" s="112">
        <v>1</v>
      </c>
      <c r="AI39" s="112">
        <v>1</v>
      </c>
      <c r="AJ39" s="112">
        <v>0</v>
      </c>
      <c r="AK39" s="112">
        <v>0</v>
      </c>
      <c r="AL39" s="112">
        <v>1</v>
      </c>
      <c r="AM39" s="112">
        <v>0</v>
      </c>
      <c r="AN39" s="112">
        <v>0</v>
      </c>
      <c r="AO39" s="112">
        <v>0</v>
      </c>
      <c r="AP39" s="112">
        <v>0</v>
      </c>
      <c r="AQ39" s="112">
        <v>0</v>
      </c>
      <c r="AR39" s="112">
        <v>0</v>
      </c>
      <c r="AS39" s="112">
        <v>0</v>
      </c>
      <c r="AT39" s="112">
        <v>0</v>
      </c>
    </row>
    <row r="40" spans="1:46" x14ac:dyDescent="0.15">
      <c r="A40" s="192" t="s">
        <v>229</v>
      </c>
      <c r="B40" s="112">
        <v>0</v>
      </c>
      <c r="C40" s="112">
        <v>0</v>
      </c>
      <c r="D40" s="112">
        <v>0</v>
      </c>
      <c r="E40" s="112">
        <v>1</v>
      </c>
      <c r="F40" s="112">
        <v>1</v>
      </c>
      <c r="G40" s="112">
        <v>1</v>
      </c>
      <c r="H40" s="112">
        <v>1</v>
      </c>
      <c r="I40" s="112">
        <v>1</v>
      </c>
      <c r="J40" s="112">
        <v>1</v>
      </c>
      <c r="K40" s="112">
        <v>1</v>
      </c>
      <c r="L40" s="112">
        <v>1</v>
      </c>
      <c r="M40" s="112">
        <v>1</v>
      </c>
      <c r="N40" s="112">
        <v>1</v>
      </c>
      <c r="O40" s="112">
        <v>1</v>
      </c>
      <c r="P40" s="112">
        <v>0</v>
      </c>
      <c r="Q40" s="112">
        <v>0</v>
      </c>
      <c r="R40" s="112">
        <v>1</v>
      </c>
      <c r="S40" s="112">
        <v>1</v>
      </c>
      <c r="T40" s="112">
        <v>1</v>
      </c>
      <c r="U40" s="112">
        <v>1</v>
      </c>
      <c r="V40" s="112">
        <v>1</v>
      </c>
      <c r="W40" s="112">
        <v>1</v>
      </c>
      <c r="X40" s="112">
        <v>1</v>
      </c>
      <c r="Y40" s="112">
        <v>1</v>
      </c>
      <c r="Z40" s="112">
        <v>1</v>
      </c>
      <c r="AA40" s="112">
        <v>1</v>
      </c>
      <c r="AB40" s="112">
        <v>1</v>
      </c>
      <c r="AC40" s="112">
        <v>1</v>
      </c>
      <c r="AD40" s="112">
        <v>1</v>
      </c>
      <c r="AE40" s="112">
        <v>1</v>
      </c>
      <c r="AF40" s="112">
        <v>1</v>
      </c>
      <c r="AG40" s="112">
        <v>1</v>
      </c>
      <c r="AH40" s="112">
        <v>1</v>
      </c>
      <c r="AI40" s="112">
        <v>1</v>
      </c>
      <c r="AJ40" s="112">
        <v>0</v>
      </c>
      <c r="AK40" s="112">
        <v>1</v>
      </c>
      <c r="AL40" s="112">
        <v>1</v>
      </c>
      <c r="AM40" s="112">
        <v>0</v>
      </c>
      <c r="AN40" s="112">
        <v>1</v>
      </c>
      <c r="AO40" s="112">
        <v>0</v>
      </c>
      <c r="AP40" s="112">
        <v>0</v>
      </c>
      <c r="AQ40" s="112">
        <v>0</v>
      </c>
      <c r="AR40" s="112">
        <v>0</v>
      </c>
      <c r="AS40" s="112">
        <v>0</v>
      </c>
      <c r="AT40" s="112">
        <v>0</v>
      </c>
    </row>
    <row r="41" spans="1:46" x14ac:dyDescent="0.15">
      <c r="A41" s="192" t="s">
        <v>230</v>
      </c>
      <c r="B41" s="112">
        <v>0</v>
      </c>
      <c r="C41" s="112">
        <v>1</v>
      </c>
      <c r="D41" s="112">
        <v>0</v>
      </c>
      <c r="E41" s="112">
        <v>1</v>
      </c>
      <c r="F41" s="112">
        <v>1</v>
      </c>
      <c r="G41" s="112">
        <v>1</v>
      </c>
      <c r="H41" s="112">
        <v>1</v>
      </c>
      <c r="I41" s="112">
        <v>1</v>
      </c>
      <c r="J41" s="112">
        <v>1</v>
      </c>
      <c r="K41" s="112">
        <v>1</v>
      </c>
      <c r="L41" s="112">
        <v>1</v>
      </c>
      <c r="M41" s="112">
        <v>1</v>
      </c>
      <c r="N41" s="112">
        <v>0</v>
      </c>
      <c r="O41" s="112">
        <v>1</v>
      </c>
      <c r="P41" s="112">
        <v>1</v>
      </c>
      <c r="Q41" s="112">
        <v>1</v>
      </c>
      <c r="R41" s="112">
        <v>0</v>
      </c>
      <c r="S41" s="112">
        <v>0</v>
      </c>
      <c r="T41" s="112">
        <v>0</v>
      </c>
      <c r="U41" s="112">
        <v>0</v>
      </c>
      <c r="V41" s="112">
        <v>1</v>
      </c>
      <c r="W41" s="112">
        <v>1</v>
      </c>
      <c r="X41" s="112">
        <v>1</v>
      </c>
      <c r="Y41" s="112">
        <v>1</v>
      </c>
      <c r="Z41" s="112">
        <v>1</v>
      </c>
      <c r="AA41" s="112">
        <v>1</v>
      </c>
      <c r="AB41" s="112">
        <v>1</v>
      </c>
      <c r="AC41" s="112">
        <v>1</v>
      </c>
      <c r="AD41" s="112">
        <v>1</v>
      </c>
      <c r="AE41" s="112">
        <v>0</v>
      </c>
      <c r="AF41" s="112">
        <v>1</v>
      </c>
      <c r="AG41" s="112">
        <v>1</v>
      </c>
      <c r="AH41" s="112">
        <v>1</v>
      </c>
      <c r="AI41" s="112">
        <v>0</v>
      </c>
      <c r="AJ41" s="112">
        <v>1</v>
      </c>
      <c r="AK41" s="112">
        <v>0</v>
      </c>
      <c r="AL41" s="112">
        <v>1</v>
      </c>
      <c r="AM41" s="112">
        <v>0</v>
      </c>
      <c r="AN41" s="112">
        <v>1</v>
      </c>
      <c r="AO41" s="112">
        <v>1</v>
      </c>
      <c r="AP41" s="112">
        <v>0</v>
      </c>
      <c r="AQ41" s="112">
        <v>0</v>
      </c>
      <c r="AR41" s="112">
        <v>0</v>
      </c>
      <c r="AS41" s="112">
        <v>0</v>
      </c>
      <c r="AT41" s="112">
        <v>0</v>
      </c>
    </row>
    <row r="42" spans="1:46" x14ac:dyDescent="0.15">
      <c r="A42" s="192" t="s">
        <v>231</v>
      </c>
      <c r="B42" s="112">
        <v>1</v>
      </c>
      <c r="C42" s="112">
        <v>0</v>
      </c>
      <c r="D42" s="112">
        <v>1</v>
      </c>
      <c r="E42" s="112">
        <v>1</v>
      </c>
      <c r="F42" s="112">
        <v>1</v>
      </c>
      <c r="G42" s="112">
        <v>1</v>
      </c>
      <c r="H42" s="112">
        <v>1</v>
      </c>
      <c r="I42" s="112">
        <v>1</v>
      </c>
      <c r="J42" s="112">
        <v>1</v>
      </c>
      <c r="K42" s="112">
        <v>1</v>
      </c>
      <c r="L42" s="112">
        <v>0</v>
      </c>
      <c r="M42" s="112">
        <v>1</v>
      </c>
      <c r="N42" s="112">
        <v>1</v>
      </c>
      <c r="O42" s="112">
        <v>1</v>
      </c>
      <c r="P42" s="112">
        <v>0</v>
      </c>
      <c r="Q42" s="112">
        <v>0</v>
      </c>
      <c r="R42" s="112">
        <v>1</v>
      </c>
      <c r="S42" s="112">
        <v>0</v>
      </c>
      <c r="T42" s="112">
        <v>0</v>
      </c>
      <c r="U42" s="112">
        <v>0</v>
      </c>
      <c r="V42" s="112">
        <v>1</v>
      </c>
      <c r="W42" s="112">
        <v>0</v>
      </c>
      <c r="X42" s="112">
        <v>1</v>
      </c>
      <c r="Y42" s="112">
        <v>0</v>
      </c>
      <c r="Z42" s="112">
        <v>1</v>
      </c>
      <c r="AA42" s="112">
        <v>1</v>
      </c>
      <c r="AB42" s="112">
        <v>0</v>
      </c>
      <c r="AC42" s="112">
        <v>1</v>
      </c>
      <c r="AD42" s="112">
        <v>1</v>
      </c>
      <c r="AE42" s="112">
        <v>0</v>
      </c>
      <c r="AF42" s="112">
        <v>1</v>
      </c>
      <c r="AG42" s="112">
        <v>1</v>
      </c>
      <c r="AH42" s="112">
        <v>1</v>
      </c>
      <c r="AI42" s="112">
        <v>1</v>
      </c>
      <c r="AJ42" s="112">
        <v>1</v>
      </c>
      <c r="AK42" s="112">
        <v>1</v>
      </c>
      <c r="AL42" s="112">
        <v>1</v>
      </c>
      <c r="AM42" s="112">
        <v>0</v>
      </c>
      <c r="AN42" s="112">
        <v>1</v>
      </c>
      <c r="AO42" s="112">
        <v>0</v>
      </c>
      <c r="AP42" s="112">
        <v>1</v>
      </c>
      <c r="AQ42" s="112">
        <v>0</v>
      </c>
      <c r="AR42" s="112">
        <v>0</v>
      </c>
      <c r="AS42" s="112">
        <v>0</v>
      </c>
      <c r="AT42" s="112">
        <v>0</v>
      </c>
    </row>
    <row r="43" spans="1:46" x14ac:dyDescent="0.15">
      <c r="A43" s="192" t="s">
        <v>232</v>
      </c>
      <c r="B43" s="112">
        <v>0</v>
      </c>
      <c r="C43" s="112">
        <v>0</v>
      </c>
      <c r="D43" s="112">
        <v>0</v>
      </c>
      <c r="E43" s="112">
        <v>0</v>
      </c>
      <c r="F43" s="112">
        <v>0</v>
      </c>
      <c r="G43" s="112">
        <v>0</v>
      </c>
      <c r="H43" s="112">
        <v>0</v>
      </c>
      <c r="I43" s="112">
        <v>0</v>
      </c>
      <c r="J43" s="112">
        <v>1</v>
      </c>
      <c r="K43" s="112">
        <v>1</v>
      </c>
      <c r="L43" s="112">
        <v>1</v>
      </c>
      <c r="M43" s="112">
        <v>1</v>
      </c>
      <c r="N43" s="112">
        <v>1</v>
      </c>
      <c r="O43" s="112">
        <v>1</v>
      </c>
      <c r="P43" s="112">
        <v>1</v>
      </c>
      <c r="Q43" s="112">
        <v>1</v>
      </c>
      <c r="R43" s="112">
        <v>1</v>
      </c>
      <c r="S43" s="112">
        <v>0</v>
      </c>
      <c r="T43" s="112">
        <v>0</v>
      </c>
      <c r="U43" s="112">
        <v>0</v>
      </c>
      <c r="V43" s="112">
        <v>1</v>
      </c>
      <c r="W43" s="112">
        <v>1</v>
      </c>
      <c r="X43" s="112">
        <v>0</v>
      </c>
      <c r="Y43" s="112">
        <v>0</v>
      </c>
      <c r="Z43" s="112">
        <v>1</v>
      </c>
      <c r="AA43" s="112">
        <v>1</v>
      </c>
      <c r="AB43" s="112">
        <v>0</v>
      </c>
      <c r="AC43" s="112">
        <v>1</v>
      </c>
      <c r="AD43" s="112">
        <v>0</v>
      </c>
      <c r="AE43" s="112">
        <v>0</v>
      </c>
      <c r="AF43" s="112">
        <v>1</v>
      </c>
      <c r="AG43" s="112">
        <v>1</v>
      </c>
      <c r="AH43" s="112">
        <v>1</v>
      </c>
      <c r="AI43" s="112">
        <v>1</v>
      </c>
      <c r="AJ43" s="112">
        <v>1</v>
      </c>
      <c r="AK43" s="112">
        <v>0</v>
      </c>
      <c r="AL43" s="112">
        <v>1</v>
      </c>
      <c r="AM43" s="112">
        <v>0</v>
      </c>
      <c r="AN43" s="112">
        <v>1</v>
      </c>
      <c r="AO43" s="112">
        <v>1</v>
      </c>
      <c r="AP43" s="112">
        <v>1</v>
      </c>
      <c r="AQ43" s="112">
        <v>0</v>
      </c>
      <c r="AR43" s="112">
        <v>0</v>
      </c>
      <c r="AS43" s="112">
        <v>0</v>
      </c>
      <c r="AT43" s="112">
        <v>0</v>
      </c>
    </row>
    <row r="44" spans="1:46" x14ac:dyDescent="0.15">
      <c r="A44" s="192" t="s">
        <v>233</v>
      </c>
      <c r="B44" s="112">
        <v>0</v>
      </c>
      <c r="C44" s="112">
        <v>0</v>
      </c>
      <c r="D44" s="112">
        <v>1</v>
      </c>
      <c r="E44" s="112">
        <v>0</v>
      </c>
      <c r="F44" s="112">
        <v>0</v>
      </c>
      <c r="G44" s="112">
        <v>1</v>
      </c>
      <c r="H44" s="112">
        <v>0</v>
      </c>
      <c r="I44" s="112">
        <v>0</v>
      </c>
      <c r="J44" s="112">
        <v>0</v>
      </c>
      <c r="K44" s="112">
        <v>0</v>
      </c>
      <c r="L44" s="112">
        <v>0</v>
      </c>
      <c r="M44" s="112">
        <v>0</v>
      </c>
      <c r="N44" s="112">
        <v>0</v>
      </c>
      <c r="O44" s="112">
        <v>1</v>
      </c>
      <c r="P44" s="112">
        <v>1</v>
      </c>
      <c r="Q44" s="112">
        <v>1</v>
      </c>
      <c r="R44" s="112">
        <v>1</v>
      </c>
      <c r="S44" s="112">
        <v>0</v>
      </c>
      <c r="T44" s="112">
        <v>0</v>
      </c>
      <c r="U44" s="112">
        <v>0</v>
      </c>
      <c r="V44" s="112">
        <v>1</v>
      </c>
      <c r="W44" s="112">
        <v>0</v>
      </c>
      <c r="X44" s="112">
        <v>0</v>
      </c>
      <c r="Y44" s="112">
        <v>0</v>
      </c>
      <c r="Z44" s="112">
        <v>1</v>
      </c>
      <c r="AA44" s="112">
        <v>1</v>
      </c>
      <c r="AB44" s="112">
        <v>0</v>
      </c>
      <c r="AC44" s="112">
        <v>1</v>
      </c>
      <c r="AD44" s="112">
        <v>0</v>
      </c>
      <c r="AE44" s="112">
        <v>0</v>
      </c>
      <c r="AF44" s="112">
        <v>1</v>
      </c>
      <c r="AG44" s="112">
        <v>0</v>
      </c>
      <c r="AH44" s="112">
        <v>0</v>
      </c>
      <c r="AI44" s="112">
        <v>0</v>
      </c>
      <c r="AJ44" s="112">
        <v>0</v>
      </c>
      <c r="AK44" s="112">
        <v>0</v>
      </c>
      <c r="AL44" s="112">
        <v>0</v>
      </c>
      <c r="AM44" s="112">
        <v>0</v>
      </c>
      <c r="AN44" s="112">
        <v>0</v>
      </c>
      <c r="AO44" s="112">
        <v>1</v>
      </c>
      <c r="AP44" s="112">
        <v>1</v>
      </c>
      <c r="AQ44" s="112">
        <v>1</v>
      </c>
      <c r="AR44" s="112">
        <v>0</v>
      </c>
      <c r="AS44" s="112">
        <v>0</v>
      </c>
      <c r="AT44" s="112">
        <v>0</v>
      </c>
    </row>
    <row r="45" spans="1:46" x14ac:dyDescent="0.15">
      <c r="A45" s="192" t="s">
        <v>234</v>
      </c>
      <c r="B45" s="112">
        <v>0</v>
      </c>
      <c r="C45" s="112">
        <v>0</v>
      </c>
      <c r="D45" s="112">
        <v>0</v>
      </c>
      <c r="E45" s="112">
        <v>0</v>
      </c>
      <c r="F45" s="112">
        <v>1</v>
      </c>
      <c r="G45" s="112">
        <v>1</v>
      </c>
      <c r="H45" s="112">
        <v>0</v>
      </c>
      <c r="I45" s="112">
        <v>0</v>
      </c>
      <c r="J45" s="112">
        <v>0</v>
      </c>
      <c r="K45" s="112">
        <v>0</v>
      </c>
      <c r="L45" s="112">
        <v>0</v>
      </c>
      <c r="M45" s="112">
        <v>1</v>
      </c>
      <c r="N45" s="112">
        <v>0</v>
      </c>
      <c r="O45" s="112">
        <v>1</v>
      </c>
      <c r="P45" s="112">
        <v>1</v>
      </c>
      <c r="Q45" s="112">
        <v>0</v>
      </c>
      <c r="R45" s="112">
        <v>1</v>
      </c>
      <c r="S45" s="112">
        <v>0</v>
      </c>
      <c r="T45" s="112">
        <v>1</v>
      </c>
      <c r="U45" s="112">
        <v>0</v>
      </c>
      <c r="V45" s="112">
        <v>0</v>
      </c>
      <c r="W45" s="112">
        <v>1</v>
      </c>
      <c r="X45" s="112">
        <v>0</v>
      </c>
      <c r="Y45" s="112">
        <v>0</v>
      </c>
      <c r="Z45" s="112">
        <v>1</v>
      </c>
      <c r="AA45" s="112">
        <v>1</v>
      </c>
      <c r="AB45" s="112">
        <v>0</v>
      </c>
      <c r="AC45" s="112">
        <v>1</v>
      </c>
      <c r="AD45" s="112">
        <v>1</v>
      </c>
      <c r="AE45" s="112">
        <v>0</v>
      </c>
      <c r="AF45" s="112">
        <v>1</v>
      </c>
      <c r="AG45" s="112">
        <v>0</v>
      </c>
      <c r="AH45" s="112">
        <v>0</v>
      </c>
      <c r="AI45" s="112">
        <v>0</v>
      </c>
      <c r="AJ45" s="112">
        <v>0</v>
      </c>
      <c r="AK45" s="112">
        <v>0</v>
      </c>
      <c r="AL45" s="112">
        <v>0</v>
      </c>
      <c r="AM45" s="112">
        <v>0</v>
      </c>
      <c r="AN45" s="112">
        <v>1</v>
      </c>
      <c r="AO45" s="112">
        <v>1</v>
      </c>
      <c r="AP45" s="112">
        <v>1</v>
      </c>
      <c r="AQ45" s="112">
        <v>1</v>
      </c>
      <c r="AR45" s="112">
        <v>0</v>
      </c>
      <c r="AS45" s="112">
        <v>0</v>
      </c>
      <c r="AT45" s="112">
        <v>0</v>
      </c>
    </row>
    <row r="46" spans="1:46" x14ac:dyDescent="0.15">
      <c r="A46" s="192" t="s">
        <v>235</v>
      </c>
      <c r="B46" s="112">
        <v>0</v>
      </c>
      <c r="C46" s="112">
        <v>0</v>
      </c>
      <c r="D46" s="112">
        <v>0</v>
      </c>
      <c r="E46" s="112">
        <v>0</v>
      </c>
      <c r="F46" s="112">
        <v>0</v>
      </c>
      <c r="G46" s="112">
        <v>0</v>
      </c>
      <c r="H46" s="112">
        <v>0</v>
      </c>
      <c r="I46" s="112">
        <v>0</v>
      </c>
      <c r="J46" s="112">
        <v>0</v>
      </c>
      <c r="K46" s="112">
        <v>0</v>
      </c>
      <c r="L46" s="112">
        <v>0</v>
      </c>
      <c r="M46" s="112">
        <v>0</v>
      </c>
      <c r="N46" s="112">
        <v>0</v>
      </c>
      <c r="O46" s="112">
        <v>0</v>
      </c>
      <c r="P46" s="112">
        <v>0</v>
      </c>
      <c r="Q46" s="112">
        <v>0</v>
      </c>
      <c r="R46" s="112">
        <v>0</v>
      </c>
      <c r="S46" s="112">
        <v>0</v>
      </c>
      <c r="T46" s="112">
        <v>0</v>
      </c>
      <c r="U46" s="112">
        <v>0</v>
      </c>
      <c r="V46" s="112">
        <v>0</v>
      </c>
      <c r="W46" s="112">
        <v>0</v>
      </c>
      <c r="X46" s="112">
        <v>0</v>
      </c>
      <c r="Y46" s="112">
        <v>0</v>
      </c>
      <c r="Z46" s="112">
        <v>0</v>
      </c>
      <c r="AA46" s="112">
        <v>0</v>
      </c>
      <c r="AB46" s="112">
        <v>0</v>
      </c>
      <c r="AC46" s="112">
        <v>0</v>
      </c>
      <c r="AD46" s="112">
        <v>0</v>
      </c>
      <c r="AE46" s="112">
        <v>0</v>
      </c>
      <c r="AF46" s="112">
        <v>0</v>
      </c>
      <c r="AG46" s="112">
        <v>0</v>
      </c>
      <c r="AH46" s="112">
        <v>0</v>
      </c>
      <c r="AI46" s="112">
        <v>0</v>
      </c>
      <c r="AJ46" s="112">
        <v>0</v>
      </c>
      <c r="AK46" s="112">
        <v>0</v>
      </c>
      <c r="AL46" s="112">
        <v>0</v>
      </c>
      <c r="AM46" s="112">
        <v>0</v>
      </c>
      <c r="AN46" s="112">
        <v>0</v>
      </c>
      <c r="AO46" s="112">
        <v>0</v>
      </c>
      <c r="AP46" s="112">
        <v>0</v>
      </c>
      <c r="AQ46" s="112">
        <v>0</v>
      </c>
      <c r="AR46" s="112">
        <v>0</v>
      </c>
      <c r="AS46" s="112">
        <v>0</v>
      </c>
      <c r="AT46" s="112">
        <v>0</v>
      </c>
    </row>
    <row r="47" spans="1:46" x14ac:dyDescent="0.15">
      <c r="A47" s="192" t="s">
        <v>238</v>
      </c>
      <c r="B47" s="112">
        <v>0</v>
      </c>
      <c r="C47" s="112">
        <v>0</v>
      </c>
      <c r="D47" s="112">
        <v>0</v>
      </c>
      <c r="E47" s="112">
        <v>1</v>
      </c>
      <c r="F47" s="112">
        <v>0</v>
      </c>
      <c r="G47" s="112">
        <v>0</v>
      </c>
      <c r="H47" s="112">
        <v>0</v>
      </c>
      <c r="I47" s="112">
        <v>0</v>
      </c>
      <c r="J47" s="112">
        <v>0</v>
      </c>
      <c r="K47" s="112">
        <v>0</v>
      </c>
      <c r="L47" s="112">
        <v>0</v>
      </c>
      <c r="M47" s="112">
        <v>0</v>
      </c>
      <c r="N47" s="112">
        <v>0</v>
      </c>
      <c r="O47" s="112">
        <v>1</v>
      </c>
      <c r="P47" s="112">
        <v>0</v>
      </c>
      <c r="Q47" s="112">
        <v>0</v>
      </c>
      <c r="R47" s="112">
        <v>0</v>
      </c>
      <c r="S47" s="112">
        <v>0</v>
      </c>
      <c r="T47" s="112">
        <v>0</v>
      </c>
      <c r="U47" s="112">
        <v>0</v>
      </c>
      <c r="V47" s="112">
        <v>0</v>
      </c>
      <c r="W47" s="112">
        <v>0</v>
      </c>
      <c r="X47" s="112">
        <v>0</v>
      </c>
      <c r="Y47" s="112">
        <v>0</v>
      </c>
      <c r="Z47" s="112">
        <v>0</v>
      </c>
      <c r="AA47" s="112">
        <v>0</v>
      </c>
      <c r="AB47" s="112">
        <v>0</v>
      </c>
      <c r="AC47" s="112">
        <v>0</v>
      </c>
      <c r="AD47" s="112">
        <v>0</v>
      </c>
      <c r="AE47" s="112">
        <v>0</v>
      </c>
      <c r="AF47" s="112">
        <v>1</v>
      </c>
      <c r="AG47" s="112">
        <v>0</v>
      </c>
      <c r="AH47" s="112">
        <v>0</v>
      </c>
      <c r="AI47" s="112">
        <v>0</v>
      </c>
      <c r="AJ47" s="112">
        <v>0</v>
      </c>
      <c r="AK47" s="112">
        <v>0</v>
      </c>
      <c r="AL47" s="112">
        <v>0</v>
      </c>
      <c r="AM47" s="112">
        <v>0</v>
      </c>
      <c r="AN47" s="112">
        <v>0</v>
      </c>
      <c r="AO47" s="112">
        <v>0</v>
      </c>
      <c r="AP47" s="112">
        <v>0</v>
      </c>
      <c r="AQ47" s="112">
        <v>0</v>
      </c>
      <c r="AR47" s="112">
        <v>0</v>
      </c>
      <c r="AS47" s="112">
        <v>0</v>
      </c>
      <c r="AT47"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D185"/>
  <sheetViews>
    <sheetView workbookViewId="0">
      <selection activeCell="A3" sqref="A3"/>
    </sheetView>
  </sheetViews>
  <sheetFormatPr baseColWidth="10" defaultRowHeight="13" x14ac:dyDescent="0.15"/>
  <cols>
    <col min="1" max="1" width="3.33203125" customWidth="1"/>
    <col min="2" max="2" width="27.5" bestFit="1" customWidth="1"/>
    <col min="3" max="4" width="3.83203125" bestFit="1" customWidth="1"/>
  </cols>
  <sheetData>
    <row r="1" spans="1:4" ht="112" x14ac:dyDescent="0.15">
      <c r="A1" s="5" t="s">
        <v>83</v>
      </c>
      <c r="B1" s="3" t="s">
        <v>0</v>
      </c>
      <c r="C1" s="195" t="s">
        <v>236</v>
      </c>
      <c r="D1" s="195" t="s">
        <v>237</v>
      </c>
    </row>
    <row r="2" spans="1:4" x14ac:dyDescent="0.15">
      <c r="A2">
        <v>1</v>
      </c>
      <c r="B2" s="194" t="s">
        <v>191</v>
      </c>
      <c r="C2">
        <v>0</v>
      </c>
      <c r="D2">
        <v>0</v>
      </c>
    </row>
    <row r="3" spans="1:4" x14ac:dyDescent="0.15">
      <c r="A3">
        <v>2</v>
      </c>
      <c r="B3" s="194" t="s">
        <v>192</v>
      </c>
      <c r="C3">
        <v>0</v>
      </c>
      <c r="D3">
        <v>0</v>
      </c>
    </row>
    <row r="4" spans="1:4" x14ac:dyDescent="0.15">
      <c r="A4">
        <v>3</v>
      </c>
      <c r="B4" s="194" t="s">
        <v>193</v>
      </c>
      <c r="C4">
        <v>0</v>
      </c>
      <c r="D4">
        <v>0</v>
      </c>
    </row>
    <row r="5" spans="1:4" x14ac:dyDescent="0.15">
      <c r="A5">
        <v>4</v>
      </c>
      <c r="B5" s="194" t="s">
        <v>194</v>
      </c>
      <c r="C5">
        <v>0</v>
      </c>
      <c r="D5">
        <v>0</v>
      </c>
    </row>
    <row r="6" spans="1:4" x14ac:dyDescent="0.15">
      <c r="A6">
        <v>5</v>
      </c>
      <c r="B6" s="194" t="s">
        <v>195</v>
      </c>
      <c r="C6">
        <v>0</v>
      </c>
      <c r="D6">
        <v>0</v>
      </c>
    </row>
    <row r="7" spans="1:4" x14ac:dyDescent="0.15">
      <c r="A7">
        <v>6</v>
      </c>
      <c r="B7" s="194" t="s">
        <v>196</v>
      </c>
      <c r="C7">
        <v>0</v>
      </c>
      <c r="D7">
        <v>0.8</v>
      </c>
    </row>
    <row r="8" spans="1:4" x14ac:dyDescent="0.15">
      <c r="A8">
        <v>7</v>
      </c>
      <c r="B8" s="194" t="s">
        <v>197</v>
      </c>
      <c r="C8">
        <v>0</v>
      </c>
      <c r="D8">
        <v>0</v>
      </c>
    </row>
    <row r="9" spans="1:4" x14ac:dyDescent="0.15">
      <c r="A9">
        <v>8</v>
      </c>
      <c r="B9" s="194" t="s">
        <v>198</v>
      </c>
      <c r="C9">
        <v>0.8</v>
      </c>
      <c r="D9">
        <v>0.8</v>
      </c>
    </row>
    <row r="10" spans="1:4" x14ac:dyDescent="0.15">
      <c r="A10">
        <v>9</v>
      </c>
      <c r="B10" s="194" t="s">
        <v>199</v>
      </c>
      <c r="C10">
        <v>0</v>
      </c>
      <c r="D10">
        <v>0</v>
      </c>
    </row>
    <row r="11" spans="1:4" x14ac:dyDescent="0.15">
      <c r="A11">
        <v>10</v>
      </c>
      <c r="B11" s="194" t="s">
        <v>200</v>
      </c>
      <c r="C11">
        <v>0</v>
      </c>
      <c r="D11">
        <v>0</v>
      </c>
    </row>
    <row r="12" spans="1:4" x14ac:dyDescent="0.15">
      <c r="A12">
        <v>11</v>
      </c>
      <c r="B12" s="194" t="s">
        <v>201</v>
      </c>
      <c r="C12">
        <v>0</v>
      </c>
      <c r="D12">
        <v>0.8</v>
      </c>
    </row>
    <row r="13" spans="1:4" x14ac:dyDescent="0.15">
      <c r="A13">
        <v>12</v>
      </c>
      <c r="B13" s="194" t="s">
        <v>202</v>
      </c>
      <c r="C13">
        <v>0</v>
      </c>
      <c r="D13">
        <v>0</v>
      </c>
    </row>
    <row r="14" spans="1:4" x14ac:dyDescent="0.15">
      <c r="A14">
        <v>13</v>
      </c>
      <c r="B14" s="194" t="s">
        <v>203</v>
      </c>
      <c r="C14">
        <v>0</v>
      </c>
      <c r="D14">
        <v>0</v>
      </c>
    </row>
    <row r="15" spans="1:4" x14ac:dyDescent="0.15">
      <c r="A15">
        <v>14</v>
      </c>
      <c r="B15" s="194" t="s">
        <v>204</v>
      </c>
      <c r="C15">
        <v>0</v>
      </c>
      <c r="D15">
        <v>0</v>
      </c>
    </row>
    <row r="16" spans="1:4" x14ac:dyDescent="0.15">
      <c r="A16">
        <v>15</v>
      </c>
      <c r="B16" s="194" t="s">
        <v>205</v>
      </c>
      <c r="C16">
        <v>0</v>
      </c>
      <c r="D16">
        <v>0.8</v>
      </c>
    </row>
    <row r="17" spans="1:4" x14ac:dyDescent="0.15">
      <c r="A17">
        <v>16</v>
      </c>
      <c r="B17" s="194" t="s">
        <v>206</v>
      </c>
      <c r="C17">
        <v>0.8</v>
      </c>
      <c r="D17">
        <v>0</v>
      </c>
    </row>
    <row r="18" spans="1:4" x14ac:dyDescent="0.15">
      <c r="A18">
        <v>17</v>
      </c>
      <c r="B18" s="194" t="s">
        <v>207</v>
      </c>
      <c r="C18">
        <v>0.8</v>
      </c>
      <c r="D18">
        <v>0</v>
      </c>
    </row>
    <row r="19" spans="1:4" x14ac:dyDescent="0.15">
      <c r="A19">
        <v>18</v>
      </c>
      <c r="B19" s="194" t="s">
        <v>208</v>
      </c>
      <c r="C19">
        <v>0</v>
      </c>
      <c r="D19">
        <v>0</v>
      </c>
    </row>
    <row r="20" spans="1:4" x14ac:dyDescent="0.15">
      <c r="A20">
        <v>19</v>
      </c>
      <c r="B20" s="194" t="s">
        <v>209</v>
      </c>
      <c r="C20">
        <v>0.8</v>
      </c>
      <c r="D20">
        <v>0.8</v>
      </c>
    </row>
    <row r="21" spans="1:4" x14ac:dyDescent="0.15">
      <c r="A21">
        <v>20</v>
      </c>
      <c r="B21" s="194" t="s">
        <v>210</v>
      </c>
      <c r="C21">
        <v>0</v>
      </c>
      <c r="D21">
        <v>0.8</v>
      </c>
    </row>
    <row r="22" spans="1:4" x14ac:dyDescent="0.15">
      <c r="A22">
        <v>21</v>
      </c>
      <c r="B22" s="194" t="s">
        <v>211</v>
      </c>
      <c r="C22">
        <v>0.8</v>
      </c>
      <c r="D22">
        <v>0.8</v>
      </c>
    </row>
    <row r="23" spans="1:4" x14ac:dyDescent="0.15">
      <c r="A23">
        <v>22</v>
      </c>
      <c r="B23" s="194" t="s">
        <v>212</v>
      </c>
      <c r="C23">
        <v>0</v>
      </c>
      <c r="D23">
        <v>0</v>
      </c>
    </row>
    <row r="24" spans="1:4" x14ac:dyDescent="0.15">
      <c r="A24">
        <v>23</v>
      </c>
      <c r="B24" s="194" t="s">
        <v>213</v>
      </c>
      <c r="C24">
        <v>0</v>
      </c>
      <c r="D24">
        <v>0</v>
      </c>
    </row>
    <row r="25" spans="1:4" x14ac:dyDescent="0.15">
      <c r="A25">
        <v>24</v>
      </c>
      <c r="B25" s="194" t="s">
        <v>214</v>
      </c>
      <c r="C25">
        <v>0</v>
      </c>
      <c r="D25">
        <v>0.8</v>
      </c>
    </row>
    <row r="26" spans="1:4" x14ac:dyDescent="0.15">
      <c r="A26">
        <v>25</v>
      </c>
      <c r="B26" s="194" t="s">
        <v>215</v>
      </c>
      <c r="C26">
        <v>0</v>
      </c>
      <c r="D26">
        <v>0.8</v>
      </c>
    </row>
    <row r="27" spans="1:4" x14ac:dyDescent="0.15">
      <c r="A27">
        <v>26</v>
      </c>
      <c r="B27" s="194" t="s">
        <v>216</v>
      </c>
      <c r="C27">
        <v>0</v>
      </c>
      <c r="D27">
        <v>0</v>
      </c>
    </row>
    <row r="28" spans="1:4" x14ac:dyDescent="0.15">
      <c r="A28">
        <v>27</v>
      </c>
      <c r="B28" s="194" t="s">
        <v>217</v>
      </c>
      <c r="C28">
        <v>0</v>
      </c>
      <c r="D28">
        <v>0.8</v>
      </c>
    </row>
    <row r="29" spans="1:4" x14ac:dyDescent="0.15">
      <c r="A29">
        <v>28</v>
      </c>
      <c r="B29" s="194" t="s">
        <v>218</v>
      </c>
      <c r="C29">
        <v>0.8</v>
      </c>
      <c r="D29">
        <v>0.8</v>
      </c>
    </row>
    <row r="30" spans="1:4" x14ac:dyDescent="0.15">
      <c r="A30">
        <v>29</v>
      </c>
      <c r="B30" s="194" t="s">
        <v>219</v>
      </c>
      <c r="C30">
        <v>0.8</v>
      </c>
      <c r="D30">
        <v>0.8</v>
      </c>
    </row>
    <row r="31" spans="1:4" x14ac:dyDescent="0.15">
      <c r="A31">
        <v>30</v>
      </c>
      <c r="B31" s="194" t="s">
        <v>220</v>
      </c>
      <c r="C31">
        <v>0</v>
      </c>
      <c r="D31">
        <v>0</v>
      </c>
    </row>
    <row r="32" spans="1:4" x14ac:dyDescent="0.15">
      <c r="A32">
        <v>31</v>
      </c>
      <c r="B32" s="194" t="s">
        <v>221</v>
      </c>
      <c r="C32">
        <v>0.8</v>
      </c>
      <c r="D32">
        <v>0.8</v>
      </c>
    </row>
    <row r="33" spans="1:4" x14ac:dyDescent="0.15">
      <c r="A33">
        <v>32</v>
      </c>
      <c r="B33" s="194" t="s">
        <v>222</v>
      </c>
      <c r="C33">
        <v>0</v>
      </c>
      <c r="D33">
        <v>0</v>
      </c>
    </row>
    <row r="34" spans="1:4" x14ac:dyDescent="0.15">
      <c r="A34">
        <v>33</v>
      </c>
      <c r="B34" s="194" t="s">
        <v>223</v>
      </c>
      <c r="C34">
        <v>0</v>
      </c>
      <c r="D34">
        <v>0</v>
      </c>
    </row>
    <row r="35" spans="1:4" x14ac:dyDescent="0.15">
      <c r="A35">
        <v>34</v>
      </c>
      <c r="B35" s="194" t="s">
        <v>224</v>
      </c>
      <c r="C35">
        <v>0</v>
      </c>
      <c r="D35">
        <v>0</v>
      </c>
    </row>
    <row r="36" spans="1:4" x14ac:dyDescent="0.15">
      <c r="A36">
        <v>35</v>
      </c>
      <c r="B36" s="194" t="s">
        <v>225</v>
      </c>
      <c r="C36">
        <v>0</v>
      </c>
      <c r="D36">
        <v>0</v>
      </c>
    </row>
    <row r="37" spans="1:4" x14ac:dyDescent="0.15">
      <c r="A37">
        <v>36</v>
      </c>
      <c r="B37" s="194" t="s">
        <v>226</v>
      </c>
      <c r="C37">
        <v>0</v>
      </c>
      <c r="D37">
        <v>0</v>
      </c>
    </row>
    <row r="38" spans="1:4" x14ac:dyDescent="0.15">
      <c r="A38">
        <v>37</v>
      </c>
      <c r="B38" s="194" t="s">
        <v>227</v>
      </c>
      <c r="C38">
        <v>0</v>
      </c>
      <c r="D38">
        <v>0</v>
      </c>
    </row>
    <row r="39" spans="1:4" x14ac:dyDescent="0.15">
      <c r="A39">
        <v>38</v>
      </c>
      <c r="B39" s="194" t="s">
        <v>228</v>
      </c>
      <c r="C39">
        <v>0.8</v>
      </c>
      <c r="D39">
        <v>0</v>
      </c>
    </row>
    <row r="40" spans="1:4" x14ac:dyDescent="0.15">
      <c r="A40">
        <v>39</v>
      </c>
      <c r="B40" s="194" t="s">
        <v>229</v>
      </c>
      <c r="C40">
        <v>0.8</v>
      </c>
      <c r="D40">
        <v>0.8</v>
      </c>
    </row>
    <row r="41" spans="1:4" x14ac:dyDescent="0.15">
      <c r="A41">
        <v>40</v>
      </c>
      <c r="B41" s="194" t="s">
        <v>230</v>
      </c>
      <c r="C41">
        <v>0</v>
      </c>
      <c r="D41">
        <v>0</v>
      </c>
    </row>
    <row r="42" spans="1:4" x14ac:dyDescent="0.15">
      <c r="A42">
        <v>41</v>
      </c>
      <c r="B42" s="194" t="s">
        <v>231</v>
      </c>
      <c r="C42">
        <v>0</v>
      </c>
      <c r="D42">
        <v>0</v>
      </c>
    </row>
    <row r="43" spans="1:4" x14ac:dyDescent="0.15">
      <c r="A43">
        <v>42</v>
      </c>
      <c r="B43" s="194" t="s">
        <v>232</v>
      </c>
      <c r="C43">
        <v>0</v>
      </c>
      <c r="D43">
        <v>0</v>
      </c>
    </row>
    <row r="44" spans="1:4" x14ac:dyDescent="0.15">
      <c r="A44">
        <v>43</v>
      </c>
      <c r="B44" s="194" t="s">
        <v>233</v>
      </c>
      <c r="C44">
        <v>0</v>
      </c>
      <c r="D44">
        <v>0</v>
      </c>
    </row>
    <row r="45" spans="1:4" x14ac:dyDescent="0.15">
      <c r="A45">
        <v>44</v>
      </c>
      <c r="B45" s="194" t="s">
        <v>234</v>
      </c>
      <c r="C45">
        <v>0</v>
      </c>
      <c r="D45">
        <v>0</v>
      </c>
    </row>
    <row r="46" spans="1:4" x14ac:dyDescent="0.15">
      <c r="A46">
        <v>45</v>
      </c>
      <c r="B46" s="194" t="s">
        <v>235</v>
      </c>
      <c r="C46">
        <v>0</v>
      </c>
      <c r="D46">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D46"/>
  <sheetViews>
    <sheetView workbookViewId="0">
      <selection activeCell="A3" sqref="A3"/>
    </sheetView>
  </sheetViews>
  <sheetFormatPr baseColWidth="10" defaultRowHeight="13" x14ac:dyDescent="0.15"/>
  <cols>
    <col min="1" max="1" width="3.33203125" customWidth="1"/>
    <col min="2" max="2" width="27.5" bestFit="1" customWidth="1"/>
    <col min="3" max="4" width="3.83203125" bestFit="1" customWidth="1"/>
  </cols>
  <sheetData>
    <row r="1" spans="1:4" ht="112" x14ac:dyDescent="0.15">
      <c r="A1" s="5" t="s">
        <v>82</v>
      </c>
      <c r="B1" s="3" t="s">
        <v>0</v>
      </c>
      <c r="C1" s="197" t="s">
        <v>236</v>
      </c>
      <c r="D1" s="197" t="s">
        <v>237</v>
      </c>
    </row>
    <row r="2" spans="1:4" x14ac:dyDescent="0.15">
      <c r="A2">
        <v>1</v>
      </c>
      <c r="B2" s="196" t="s">
        <v>191</v>
      </c>
      <c r="C2">
        <v>0</v>
      </c>
      <c r="D2">
        <v>0</v>
      </c>
    </row>
    <row r="3" spans="1:4" x14ac:dyDescent="0.15">
      <c r="A3">
        <v>2</v>
      </c>
      <c r="B3" s="196" t="s">
        <v>192</v>
      </c>
      <c r="C3">
        <v>0</v>
      </c>
      <c r="D3">
        <v>0</v>
      </c>
    </row>
    <row r="4" spans="1:4" x14ac:dyDescent="0.15">
      <c r="A4">
        <v>3</v>
      </c>
      <c r="B4" s="196" t="s">
        <v>193</v>
      </c>
      <c r="C4">
        <v>0</v>
      </c>
      <c r="D4">
        <v>0</v>
      </c>
    </row>
    <row r="5" spans="1:4" x14ac:dyDescent="0.15">
      <c r="A5">
        <v>4</v>
      </c>
      <c r="B5" s="196" t="s">
        <v>194</v>
      </c>
      <c r="C5">
        <v>0</v>
      </c>
      <c r="D5">
        <v>0</v>
      </c>
    </row>
    <row r="6" spans="1:4" x14ac:dyDescent="0.15">
      <c r="A6">
        <v>5</v>
      </c>
      <c r="B6" s="196" t="s">
        <v>195</v>
      </c>
      <c r="C6">
        <v>0</v>
      </c>
      <c r="D6">
        <v>0</v>
      </c>
    </row>
    <row r="7" spans="1:4" x14ac:dyDescent="0.15">
      <c r="A7">
        <v>6</v>
      </c>
      <c r="B7" s="196" t="s">
        <v>196</v>
      </c>
      <c r="C7">
        <v>0</v>
      </c>
      <c r="D7">
        <v>0.8</v>
      </c>
    </row>
    <row r="8" spans="1:4" x14ac:dyDescent="0.15">
      <c r="A8">
        <v>7</v>
      </c>
      <c r="B8" s="196" t="s">
        <v>197</v>
      </c>
      <c r="C8">
        <v>0</v>
      </c>
      <c r="D8">
        <v>0</v>
      </c>
    </row>
    <row r="9" spans="1:4" x14ac:dyDescent="0.15">
      <c r="A9">
        <v>8</v>
      </c>
      <c r="B9" s="196" t="s">
        <v>198</v>
      </c>
      <c r="C9">
        <v>0.8</v>
      </c>
      <c r="D9">
        <v>0.8</v>
      </c>
    </row>
    <row r="10" spans="1:4" x14ac:dyDescent="0.15">
      <c r="A10">
        <v>9</v>
      </c>
      <c r="B10" s="196" t="s">
        <v>199</v>
      </c>
      <c r="C10">
        <v>0</v>
      </c>
      <c r="D10">
        <v>0</v>
      </c>
    </row>
    <row r="11" spans="1:4" x14ac:dyDescent="0.15">
      <c r="A11">
        <v>10</v>
      </c>
      <c r="B11" s="196" t="s">
        <v>200</v>
      </c>
      <c r="C11">
        <v>0</v>
      </c>
      <c r="D11">
        <v>0</v>
      </c>
    </row>
    <row r="12" spans="1:4" x14ac:dyDescent="0.15">
      <c r="A12">
        <v>11</v>
      </c>
      <c r="B12" s="196" t="s">
        <v>201</v>
      </c>
      <c r="C12">
        <v>0</v>
      </c>
      <c r="D12">
        <v>0.8</v>
      </c>
    </row>
    <row r="13" spans="1:4" x14ac:dyDescent="0.15">
      <c r="A13">
        <v>12</v>
      </c>
      <c r="B13" s="196" t="s">
        <v>202</v>
      </c>
      <c r="C13">
        <v>0</v>
      </c>
      <c r="D13">
        <v>0</v>
      </c>
    </row>
    <row r="14" spans="1:4" x14ac:dyDescent="0.15">
      <c r="A14">
        <v>13</v>
      </c>
      <c r="B14" s="196" t="s">
        <v>203</v>
      </c>
      <c r="C14">
        <v>0</v>
      </c>
      <c r="D14">
        <v>0</v>
      </c>
    </row>
    <row r="15" spans="1:4" x14ac:dyDescent="0.15">
      <c r="A15">
        <v>14</v>
      </c>
      <c r="B15" s="196" t="s">
        <v>204</v>
      </c>
      <c r="C15">
        <v>0</v>
      </c>
      <c r="D15">
        <v>0</v>
      </c>
    </row>
    <row r="16" spans="1:4" x14ac:dyDescent="0.15">
      <c r="A16">
        <v>15</v>
      </c>
      <c r="B16" s="196" t="s">
        <v>205</v>
      </c>
      <c r="C16">
        <v>0</v>
      </c>
      <c r="D16">
        <v>0.8</v>
      </c>
    </row>
    <row r="17" spans="1:4" x14ac:dyDescent="0.15">
      <c r="A17">
        <v>16</v>
      </c>
      <c r="B17" s="196" t="s">
        <v>206</v>
      </c>
      <c r="C17">
        <v>0.8</v>
      </c>
      <c r="D17">
        <v>0</v>
      </c>
    </row>
    <row r="18" spans="1:4" x14ac:dyDescent="0.15">
      <c r="A18">
        <v>17</v>
      </c>
      <c r="B18" s="196" t="s">
        <v>207</v>
      </c>
      <c r="C18">
        <v>0.8</v>
      </c>
      <c r="D18">
        <v>0</v>
      </c>
    </row>
    <row r="19" spans="1:4" x14ac:dyDescent="0.15">
      <c r="A19">
        <v>18</v>
      </c>
      <c r="B19" s="196" t="s">
        <v>208</v>
      </c>
      <c r="C19">
        <v>0</v>
      </c>
      <c r="D19">
        <v>0</v>
      </c>
    </row>
    <row r="20" spans="1:4" x14ac:dyDescent="0.15">
      <c r="A20">
        <v>19</v>
      </c>
      <c r="B20" s="196" t="s">
        <v>209</v>
      </c>
      <c r="C20">
        <v>0.8</v>
      </c>
      <c r="D20">
        <v>0.8</v>
      </c>
    </row>
    <row r="21" spans="1:4" x14ac:dyDescent="0.15">
      <c r="A21">
        <v>20</v>
      </c>
      <c r="B21" s="196" t="s">
        <v>210</v>
      </c>
      <c r="C21">
        <v>0</v>
      </c>
      <c r="D21">
        <v>0.8</v>
      </c>
    </row>
    <row r="22" spans="1:4" x14ac:dyDescent="0.15">
      <c r="A22">
        <v>21</v>
      </c>
      <c r="B22" s="196" t="s">
        <v>211</v>
      </c>
      <c r="C22">
        <v>0.8</v>
      </c>
      <c r="D22">
        <v>0.8</v>
      </c>
    </row>
    <row r="23" spans="1:4" x14ac:dyDescent="0.15">
      <c r="A23">
        <v>22</v>
      </c>
      <c r="B23" s="196" t="s">
        <v>212</v>
      </c>
      <c r="C23">
        <v>0</v>
      </c>
      <c r="D23">
        <v>0</v>
      </c>
    </row>
    <row r="24" spans="1:4" x14ac:dyDescent="0.15">
      <c r="A24">
        <v>23</v>
      </c>
      <c r="B24" s="196" t="s">
        <v>213</v>
      </c>
      <c r="C24">
        <v>0</v>
      </c>
      <c r="D24">
        <v>0</v>
      </c>
    </row>
    <row r="25" spans="1:4" x14ac:dyDescent="0.15">
      <c r="A25">
        <v>24</v>
      </c>
      <c r="B25" s="196" t="s">
        <v>214</v>
      </c>
      <c r="C25">
        <v>0</v>
      </c>
      <c r="D25">
        <v>0.8</v>
      </c>
    </row>
    <row r="26" spans="1:4" x14ac:dyDescent="0.15">
      <c r="A26">
        <v>25</v>
      </c>
      <c r="B26" s="196" t="s">
        <v>215</v>
      </c>
      <c r="C26">
        <v>0</v>
      </c>
      <c r="D26">
        <v>0.8</v>
      </c>
    </row>
    <row r="27" spans="1:4" x14ac:dyDescent="0.15">
      <c r="A27">
        <v>26</v>
      </c>
      <c r="B27" s="196" t="s">
        <v>216</v>
      </c>
      <c r="C27">
        <v>0</v>
      </c>
      <c r="D27">
        <v>0</v>
      </c>
    </row>
    <row r="28" spans="1:4" x14ac:dyDescent="0.15">
      <c r="A28">
        <v>27</v>
      </c>
      <c r="B28" s="196" t="s">
        <v>217</v>
      </c>
      <c r="C28">
        <v>0</v>
      </c>
      <c r="D28">
        <v>0.8</v>
      </c>
    </row>
    <row r="29" spans="1:4" x14ac:dyDescent="0.15">
      <c r="A29">
        <v>28</v>
      </c>
      <c r="B29" s="196" t="s">
        <v>218</v>
      </c>
      <c r="C29">
        <v>0.8</v>
      </c>
      <c r="D29">
        <v>0.8</v>
      </c>
    </row>
    <row r="30" spans="1:4" x14ac:dyDescent="0.15">
      <c r="A30">
        <v>29</v>
      </c>
      <c r="B30" s="196" t="s">
        <v>219</v>
      </c>
      <c r="C30">
        <v>0.8</v>
      </c>
      <c r="D30">
        <v>0.8</v>
      </c>
    </row>
    <row r="31" spans="1:4" x14ac:dyDescent="0.15">
      <c r="A31">
        <v>30</v>
      </c>
      <c r="B31" s="196" t="s">
        <v>220</v>
      </c>
      <c r="C31">
        <v>0</v>
      </c>
      <c r="D31">
        <v>0</v>
      </c>
    </row>
    <row r="32" spans="1:4" x14ac:dyDescent="0.15">
      <c r="A32">
        <v>31</v>
      </c>
      <c r="B32" s="196" t="s">
        <v>221</v>
      </c>
      <c r="C32">
        <v>0.8</v>
      </c>
      <c r="D32">
        <v>0.8</v>
      </c>
    </row>
    <row r="33" spans="1:4" x14ac:dyDescent="0.15">
      <c r="A33">
        <v>32</v>
      </c>
      <c r="B33" s="196" t="s">
        <v>222</v>
      </c>
      <c r="C33">
        <v>0</v>
      </c>
      <c r="D33">
        <v>0</v>
      </c>
    </row>
    <row r="34" spans="1:4" x14ac:dyDescent="0.15">
      <c r="A34">
        <v>33</v>
      </c>
      <c r="B34" s="196" t="s">
        <v>223</v>
      </c>
      <c r="C34">
        <v>0</v>
      </c>
      <c r="D34">
        <v>0</v>
      </c>
    </row>
    <row r="35" spans="1:4" x14ac:dyDescent="0.15">
      <c r="A35">
        <v>34</v>
      </c>
      <c r="B35" s="196" t="s">
        <v>224</v>
      </c>
      <c r="C35">
        <v>0</v>
      </c>
      <c r="D35">
        <v>0</v>
      </c>
    </row>
    <row r="36" spans="1:4" x14ac:dyDescent="0.15">
      <c r="A36">
        <v>35</v>
      </c>
      <c r="B36" s="196" t="s">
        <v>225</v>
      </c>
      <c r="C36">
        <v>0</v>
      </c>
      <c r="D36">
        <v>0</v>
      </c>
    </row>
    <row r="37" spans="1:4" x14ac:dyDescent="0.15">
      <c r="A37">
        <v>36</v>
      </c>
      <c r="B37" s="196" t="s">
        <v>226</v>
      </c>
      <c r="C37">
        <v>0</v>
      </c>
      <c r="D37">
        <v>0</v>
      </c>
    </row>
    <row r="38" spans="1:4" x14ac:dyDescent="0.15">
      <c r="A38">
        <v>37</v>
      </c>
      <c r="B38" s="196" t="s">
        <v>227</v>
      </c>
      <c r="C38">
        <v>0</v>
      </c>
      <c r="D38">
        <v>0</v>
      </c>
    </row>
    <row r="39" spans="1:4" x14ac:dyDescent="0.15">
      <c r="A39">
        <v>38</v>
      </c>
      <c r="B39" s="196" t="s">
        <v>228</v>
      </c>
      <c r="C39">
        <v>0.8</v>
      </c>
      <c r="D39">
        <v>0</v>
      </c>
    </row>
    <row r="40" spans="1:4" x14ac:dyDescent="0.15">
      <c r="A40">
        <v>39</v>
      </c>
      <c r="B40" s="196" t="s">
        <v>229</v>
      </c>
      <c r="C40">
        <v>0.8</v>
      </c>
      <c r="D40">
        <v>0.8</v>
      </c>
    </row>
    <row r="41" spans="1:4" x14ac:dyDescent="0.15">
      <c r="A41">
        <v>40</v>
      </c>
      <c r="B41" s="196" t="s">
        <v>230</v>
      </c>
      <c r="C41">
        <v>0</v>
      </c>
      <c r="D41">
        <v>0</v>
      </c>
    </row>
    <row r="42" spans="1:4" x14ac:dyDescent="0.15">
      <c r="A42">
        <v>41</v>
      </c>
      <c r="B42" s="196" t="s">
        <v>231</v>
      </c>
      <c r="C42">
        <v>0</v>
      </c>
      <c r="D42">
        <v>0</v>
      </c>
    </row>
    <row r="43" spans="1:4" x14ac:dyDescent="0.15">
      <c r="A43">
        <v>42</v>
      </c>
      <c r="B43" s="196" t="s">
        <v>232</v>
      </c>
      <c r="C43">
        <v>0</v>
      </c>
      <c r="D43">
        <v>0</v>
      </c>
    </row>
    <row r="44" spans="1:4" x14ac:dyDescent="0.15">
      <c r="A44">
        <v>43</v>
      </c>
      <c r="B44" s="196" t="s">
        <v>233</v>
      </c>
      <c r="C44">
        <v>0</v>
      </c>
      <c r="D44">
        <v>0</v>
      </c>
    </row>
    <row r="45" spans="1:4" x14ac:dyDescent="0.15">
      <c r="A45">
        <v>44</v>
      </c>
      <c r="B45" s="196" t="s">
        <v>234</v>
      </c>
      <c r="C45">
        <v>0</v>
      </c>
      <c r="D45">
        <v>0</v>
      </c>
    </row>
    <row r="46" spans="1:4" x14ac:dyDescent="0.15">
      <c r="A46">
        <v>45</v>
      </c>
      <c r="B46" s="196" t="s">
        <v>235</v>
      </c>
      <c r="C46">
        <v>0</v>
      </c>
      <c r="D46">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K3" sqref="K3"/>
    </sheetView>
  </sheetViews>
  <sheetFormatPr baseColWidth="10" defaultColWidth="8.83203125" defaultRowHeight="15" customHeight="1" x14ac:dyDescent="0.15"/>
  <cols>
    <col min="1" max="1" width="8.83203125" style="84"/>
    <col min="2" max="2" width="41.83203125" style="84" bestFit="1" customWidth="1"/>
    <col min="3" max="3" width="9.33203125" style="84" bestFit="1" customWidth="1"/>
    <col min="4" max="4" width="13" style="84" bestFit="1" customWidth="1"/>
    <col min="5" max="6" width="9.33203125" style="84" bestFit="1" customWidth="1"/>
    <col min="7" max="7" width="9.33203125" style="100" bestFit="1" customWidth="1"/>
    <col min="8" max="8" width="9.33203125" style="84" bestFit="1" customWidth="1"/>
    <col min="9" max="9" width="11" style="84" customWidth="1"/>
    <col min="10" max="10" width="8.83203125" style="84"/>
    <col min="15" max="16384" width="8.83203125" style="84"/>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149">
        <v>1</v>
      </c>
      <c r="B2" s="149" t="s">
        <v>191</v>
      </c>
      <c r="C2" s="8">
        <v>3.9646914005279541</v>
      </c>
      <c r="D2" s="9">
        <v>3.0901137739419937E-2</v>
      </c>
      <c r="E2" s="9">
        <v>1.9999999552965164E-2</v>
      </c>
      <c r="F2" s="9">
        <v>4.8499999046325684</v>
      </c>
      <c r="G2" s="9">
        <v>0.72146916389465332</v>
      </c>
      <c r="H2" s="9">
        <v>4.1237114928662777E-3</v>
      </c>
      <c r="I2">
        <v>0</v>
      </c>
      <c r="J2"/>
    </row>
    <row r="3" spans="1:10" ht="15" customHeight="1" x14ac:dyDescent="0.15">
      <c r="A3" s="150">
        <v>2</v>
      </c>
      <c r="B3" s="150" t="s">
        <v>192</v>
      </c>
      <c r="C3" s="8">
        <v>4.7835431098937988</v>
      </c>
      <c r="D3" s="9">
        <v>6.1803314834833145E-2</v>
      </c>
      <c r="E3" s="9">
        <v>7.0000000298023224E-2</v>
      </c>
      <c r="F3" s="9">
        <v>14.550000190734863</v>
      </c>
      <c r="G3" s="9">
        <v>0.75025075674057007</v>
      </c>
      <c r="H3" s="9">
        <v>4.8109963536262512E-3</v>
      </c>
      <c r="I3">
        <v>0</v>
      </c>
      <c r="J3"/>
    </row>
    <row r="4" spans="1:10" ht="15" customHeight="1" x14ac:dyDescent="0.15">
      <c r="A4" s="151">
        <v>3</v>
      </c>
      <c r="B4" s="151" t="s">
        <v>193</v>
      </c>
      <c r="C4" s="8">
        <v>2.1842105388641357</v>
      </c>
      <c r="D4" s="9">
        <v>4.9618199467658997E-2</v>
      </c>
      <c r="E4" s="9">
        <v>0.15000000596046448</v>
      </c>
      <c r="F4" s="9">
        <v>3.5</v>
      </c>
      <c r="G4" s="9">
        <v>0.94999998807907104</v>
      </c>
      <c r="H4" s="9">
        <v>4.285714402794838E-2</v>
      </c>
      <c r="I4">
        <v>0</v>
      </c>
      <c r="J4"/>
    </row>
    <row r="5" spans="1:10" ht="15" customHeight="1" x14ac:dyDescent="0.15">
      <c r="A5" s="152">
        <v>4</v>
      </c>
      <c r="B5" s="152" t="s">
        <v>194</v>
      </c>
      <c r="C5" s="8">
        <v>3.7190589904785156</v>
      </c>
      <c r="D5" s="9">
        <v>4.999999888241291E-3</v>
      </c>
      <c r="E5" s="9">
        <v>1.4999999664723873E-2</v>
      </c>
      <c r="F5" s="9">
        <v>86.410003662109375</v>
      </c>
      <c r="G5" s="7">
        <v>0</v>
      </c>
      <c r="H5" s="9">
        <v>1.7359100456815213E-4</v>
      </c>
      <c r="I5">
        <v>0</v>
      </c>
      <c r="J5"/>
    </row>
    <row r="6" spans="1:10" ht="15" customHeight="1" x14ac:dyDescent="0.15">
      <c r="A6" s="153">
        <v>5</v>
      </c>
      <c r="B6" s="153" t="s">
        <v>195</v>
      </c>
      <c r="C6" s="8">
        <v>4.4540772438049316</v>
      </c>
      <c r="D6" s="9">
        <v>5.4289631545543671E-2</v>
      </c>
      <c r="E6" s="9">
        <v>0.20000000298023224</v>
      </c>
      <c r="F6" s="9">
        <v>4.4600000381469727</v>
      </c>
      <c r="G6" s="9">
        <v>9.3603223562240601E-2</v>
      </c>
      <c r="H6" s="9">
        <v>4.4843047857284546E-2</v>
      </c>
      <c r="I6">
        <v>0</v>
      </c>
      <c r="J6"/>
    </row>
    <row r="7" spans="1:10" ht="15" customHeight="1" x14ac:dyDescent="0.15">
      <c r="A7" s="154">
        <v>6</v>
      </c>
      <c r="B7" s="154" t="s">
        <v>196</v>
      </c>
      <c r="C7" s="8">
        <v>4.3736400604248047</v>
      </c>
      <c r="D7" s="9">
        <v>4.5125357806682587E-2</v>
      </c>
      <c r="E7" s="9">
        <v>0.28999999165534973</v>
      </c>
      <c r="F7" s="9">
        <v>4.5</v>
      </c>
      <c r="G7" s="9">
        <v>0.84001326560974121</v>
      </c>
      <c r="H7" s="9">
        <v>6.4444445073604584E-2</v>
      </c>
      <c r="I7">
        <v>3.4500000765547156E-4</v>
      </c>
      <c r="J7"/>
    </row>
    <row r="8" spans="1:10" ht="15" customHeight="1" x14ac:dyDescent="0.15">
      <c r="A8" s="155">
        <v>7</v>
      </c>
      <c r="B8" s="155" t="s">
        <v>197</v>
      </c>
      <c r="C8" s="8">
        <v>4.489166259765625</v>
      </c>
      <c r="D8" s="9">
        <v>2.0538564771413803E-2</v>
      </c>
      <c r="E8" s="9">
        <v>0.40000000596046448</v>
      </c>
      <c r="F8" s="9">
        <v>7.9899997711181641</v>
      </c>
      <c r="G8" s="9">
        <v>0.94999992847442627</v>
      </c>
      <c r="H8" s="9">
        <v>5.0062581896781921E-2</v>
      </c>
      <c r="I8">
        <v>0</v>
      </c>
      <c r="J8"/>
    </row>
    <row r="9" spans="1:10" ht="15" customHeight="1" x14ac:dyDescent="0.15">
      <c r="A9" s="156">
        <v>8</v>
      </c>
      <c r="B9" s="156" t="s">
        <v>198</v>
      </c>
      <c r="C9" s="8">
        <v>4.2139501571655273</v>
      </c>
      <c r="D9" s="9">
        <v>4.1413243860006332E-2</v>
      </c>
      <c r="E9" s="9">
        <v>0.41999998688697815</v>
      </c>
      <c r="F9" s="9">
        <v>7.9899997711181641</v>
      </c>
      <c r="G9" s="9">
        <v>0.45391479134559631</v>
      </c>
      <c r="H9" s="9">
        <v>5.2565708756446838E-2</v>
      </c>
      <c r="I9">
        <v>8.4699998842552304E-4</v>
      </c>
      <c r="J9"/>
    </row>
    <row r="10" spans="1:10" ht="15" customHeight="1" x14ac:dyDescent="0.15">
      <c r="A10" s="157">
        <v>9</v>
      </c>
      <c r="B10" s="157" t="s">
        <v>199</v>
      </c>
      <c r="C10" s="8">
        <v>4.3602786064147949</v>
      </c>
      <c r="D10" s="9">
        <v>9.2900000512599945E-2</v>
      </c>
      <c r="E10" s="9">
        <v>0.51999998092651367</v>
      </c>
      <c r="F10" s="9">
        <v>4.8499999046325684</v>
      </c>
      <c r="G10" s="9">
        <v>0.20059032738208771</v>
      </c>
      <c r="H10" s="9">
        <v>0.1072164922952652</v>
      </c>
      <c r="I10">
        <v>0</v>
      </c>
      <c r="J10"/>
    </row>
    <row r="11" spans="1:10" ht="15" customHeight="1" x14ac:dyDescent="0.15">
      <c r="A11" s="158">
        <v>10</v>
      </c>
      <c r="B11" s="158" t="s">
        <v>200</v>
      </c>
      <c r="C11" s="8">
        <v>4.3035726547241211</v>
      </c>
      <c r="D11" s="9">
        <v>2.6480033993721008E-2</v>
      </c>
      <c r="E11" s="9">
        <v>0.75</v>
      </c>
      <c r="F11" s="9">
        <v>6.5999999046325684</v>
      </c>
      <c r="G11" s="9">
        <v>0.95000004768371582</v>
      </c>
      <c r="H11" s="9">
        <v>0.11363636702299118</v>
      </c>
      <c r="I11">
        <v>0</v>
      </c>
      <c r="J11"/>
    </row>
    <row r="12" spans="1:10" ht="15" customHeight="1" x14ac:dyDescent="0.15">
      <c r="A12" s="159">
        <v>11</v>
      </c>
      <c r="B12" s="159" t="s">
        <v>201</v>
      </c>
      <c r="C12" s="8">
        <v>4.333014965057373</v>
      </c>
      <c r="D12" s="9">
        <v>8.5357926785945892E-2</v>
      </c>
      <c r="E12" s="9">
        <v>0.68000000715255737</v>
      </c>
      <c r="F12" s="9">
        <v>6.2600002288818359</v>
      </c>
      <c r="G12" s="9">
        <v>0.94999998807907104</v>
      </c>
      <c r="H12" s="9">
        <v>0.10862619429826736</v>
      </c>
      <c r="I12">
        <v>2.7200000477023423E-4</v>
      </c>
      <c r="J12"/>
    </row>
    <row r="13" spans="1:10" ht="15" customHeight="1" x14ac:dyDescent="0.15">
      <c r="A13" s="160">
        <v>12</v>
      </c>
      <c r="B13" s="160" t="s">
        <v>202</v>
      </c>
      <c r="C13" s="8">
        <v>4.2286834716796875</v>
      </c>
      <c r="D13" s="9">
        <v>2.9992064461112022E-2</v>
      </c>
      <c r="E13" s="9">
        <v>0.69999998807907104</v>
      </c>
      <c r="F13" s="9">
        <v>9.4600000381469727</v>
      </c>
      <c r="G13" s="9">
        <v>0.94999998807907104</v>
      </c>
      <c r="H13" s="9">
        <v>7.3995769023895264E-2</v>
      </c>
      <c r="I13">
        <v>0</v>
      </c>
      <c r="J13"/>
    </row>
    <row r="14" spans="1:10" ht="15" customHeight="1" x14ac:dyDescent="0.15">
      <c r="A14" s="161">
        <v>13</v>
      </c>
      <c r="B14" s="161" t="s">
        <v>203</v>
      </c>
      <c r="C14" s="8">
        <v>3.5516154766082764</v>
      </c>
      <c r="D14" s="9">
        <v>1.6600098609924316</v>
      </c>
      <c r="E14" s="9">
        <v>1.3899999856948853</v>
      </c>
      <c r="F14" s="9">
        <v>14.079999923706055</v>
      </c>
      <c r="G14" s="9">
        <v>0.89107441902160645</v>
      </c>
      <c r="H14" s="9">
        <v>9.8721593618392944E-2</v>
      </c>
      <c r="I14">
        <v>0</v>
      </c>
      <c r="J14"/>
    </row>
    <row r="15" spans="1:10" ht="15" customHeight="1" x14ac:dyDescent="0.15">
      <c r="A15" s="162">
        <v>14</v>
      </c>
      <c r="B15" s="162" t="s">
        <v>204</v>
      </c>
      <c r="C15" s="8">
        <v>3.2662596702575684</v>
      </c>
      <c r="D15" s="9">
        <v>1.1725398302078247</v>
      </c>
      <c r="E15" s="9">
        <v>2.0799999237060547</v>
      </c>
      <c r="F15" s="9">
        <v>13.649999618530273</v>
      </c>
      <c r="G15" s="9">
        <v>0.94999998807907104</v>
      </c>
      <c r="H15" s="9">
        <v>0.15238095819950104</v>
      </c>
      <c r="I15">
        <v>0</v>
      </c>
      <c r="J15"/>
    </row>
    <row r="16" spans="1:10" ht="15" customHeight="1" x14ac:dyDescent="0.15">
      <c r="A16" s="163">
        <v>15</v>
      </c>
      <c r="B16" s="163" t="s">
        <v>205</v>
      </c>
      <c r="C16" s="8">
        <v>2.8376529216766357</v>
      </c>
      <c r="D16" s="9">
        <v>2.9606029987335205</v>
      </c>
      <c r="E16" s="9">
        <v>0.56999999284744263</v>
      </c>
      <c r="F16" s="9">
        <v>10.060000419616699</v>
      </c>
      <c r="G16" s="9">
        <v>0.94999998807907104</v>
      </c>
      <c r="H16" s="9">
        <v>5.6660037487745285E-2</v>
      </c>
      <c r="I16">
        <v>1.5999999959603883E-5</v>
      </c>
      <c r="J16"/>
    </row>
    <row r="17" spans="1:10" ht="15" customHeight="1" x14ac:dyDescent="0.15">
      <c r="A17" s="164">
        <v>16</v>
      </c>
      <c r="B17" s="164" t="s">
        <v>206</v>
      </c>
      <c r="C17" s="8">
        <v>2.5173468589782715</v>
      </c>
      <c r="D17" s="9">
        <v>1.0883674621582031</v>
      </c>
      <c r="E17" s="9">
        <v>0.86000001430511475</v>
      </c>
      <c r="F17" s="9">
        <v>13.510000228881836</v>
      </c>
      <c r="G17" s="9">
        <v>0.94999998807907104</v>
      </c>
      <c r="H17" s="9">
        <v>6.3656553626060486E-2</v>
      </c>
      <c r="I17">
        <v>2.796499989926815E-2</v>
      </c>
      <c r="J17"/>
    </row>
    <row r="18" spans="1:10" ht="15" customHeight="1" x14ac:dyDescent="0.15">
      <c r="A18" s="165">
        <v>17</v>
      </c>
      <c r="B18" s="165" t="s">
        <v>207</v>
      </c>
      <c r="C18" s="8">
        <v>2.4519820213317871</v>
      </c>
      <c r="D18" s="9">
        <v>1.1266258955001831</v>
      </c>
      <c r="E18" s="9">
        <v>1.6000000238418579</v>
      </c>
      <c r="F18" s="9">
        <v>11.829999923706055</v>
      </c>
      <c r="G18" s="9">
        <v>0.94999986886978149</v>
      </c>
      <c r="H18" s="9">
        <v>0.13524937629699707</v>
      </c>
      <c r="I18">
        <v>6.3069999217987061E-2</v>
      </c>
      <c r="J18"/>
    </row>
    <row r="19" spans="1:10" ht="15" customHeight="1" x14ac:dyDescent="0.15">
      <c r="A19" s="166">
        <v>18</v>
      </c>
      <c r="B19" s="166" t="s">
        <v>208</v>
      </c>
      <c r="C19" s="8">
        <v>4.2727737426757812</v>
      </c>
      <c r="D19" s="9">
        <v>1.5985280275344849E-2</v>
      </c>
      <c r="E19" s="9">
        <v>0.99300003051757812</v>
      </c>
      <c r="F19" s="9">
        <v>6.619999885559082</v>
      </c>
      <c r="G19" s="9">
        <v>0.63664305210113525</v>
      </c>
      <c r="H19" s="9">
        <v>0.15000000596046448</v>
      </c>
      <c r="I19">
        <v>0</v>
      </c>
      <c r="J19"/>
    </row>
    <row r="20" spans="1:10" ht="15" customHeight="1" x14ac:dyDescent="0.15">
      <c r="A20" s="167">
        <v>19</v>
      </c>
      <c r="B20" s="167" t="s">
        <v>209</v>
      </c>
      <c r="C20" s="8">
        <v>3.9826676845550537</v>
      </c>
      <c r="D20" s="9">
        <v>3.9046771824359894E-2</v>
      </c>
      <c r="E20" s="9">
        <v>0.95999997854232788</v>
      </c>
      <c r="F20" s="9">
        <v>8.369999885559082</v>
      </c>
      <c r="G20" s="9">
        <v>0.72806310653686523</v>
      </c>
      <c r="H20" s="9">
        <v>0.11469534039497375</v>
      </c>
      <c r="I20">
        <v>1.2494999915361404E-2</v>
      </c>
      <c r="J20"/>
    </row>
    <row r="21" spans="1:10" ht="15" customHeight="1" x14ac:dyDescent="0.15">
      <c r="A21" s="168">
        <v>20</v>
      </c>
      <c r="B21" s="168" t="s">
        <v>210</v>
      </c>
      <c r="C21" s="8">
        <v>4.1311502456665039</v>
      </c>
      <c r="D21" s="9">
        <v>1.756308414041996E-2</v>
      </c>
      <c r="E21" s="9">
        <v>0.75999999046325684</v>
      </c>
      <c r="F21" s="9">
        <v>8.369999885559082</v>
      </c>
      <c r="G21" s="9">
        <v>0.95000004768371582</v>
      </c>
      <c r="H21" s="9">
        <v>9.0800479054450989E-2</v>
      </c>
      <c r="I21">
        <v>3.9999998989515007E-5</v>
      </c>
      <c r="J21"/>
    </row>
    <row r="22" spans="1:10" ht="15" customHeight="1" x14ac:dyDescent="0.15">
      <c r="A22" s="169">
        <v>21</v>
      </c>
      <c r="B22" s="169" t="s">
        <v>211</v>
      </c>
      <c r="C22" s="8">
        <v>3.9657115936279297</v>
      </c>
      <c r="D22" s="9">
        <v>0.10263988375663757</v>
      </c>
      <c r="E22" s="9">
        <v>0.52999997138977051</v>
      </c>
      <c r="F22" s="9">
        <v>7.0900001525878906</v>
      </c>
      <c r="G22" s="9">
        <v>0.9718049168586731</v>
      </c>
      <c r="H22" s="9">
        <v>7.4753165245056152E-2</v>
      </c>
      <c r="I22">
        <v>9.5199998468160629E-3</v>
      </c>
      <c r="J22"/>
    </row>
    <row r="23" spans="1:10" ht="15" customHeight="1" x14ac:dyDescent="0.15">
      <c r="A23" s="170">
        <v>22</v>
      </c>
      <c r="B23" s="170" t="s">
        <v>212</v>
      </c>
      <c r="C23" s="8">
        <v>3.0663416385650635</v>
      </c>
      <c r="D23" s="9">
        <v>1.243557408452034E-2</v>
      </c>
      <c r="E23" s="9">
        <v>0.50999999046325684</v>
      </c>
      <c r="F23" s="9">
        <v>7.7100000381469727</v>
      </c>
      <c r="G23" s="9">
        <v>9.6150808036327362E-2</v>
      </c>
      <c r="H23" s="9">
        <v>6.6147856414318085E-2</v>
      </c>
      <c r="I23">
        <v>0</v>
      </c>
      <c r="J23"/>
    </row>
    <row r="24" spans="1:10" ht="15" customHeight="1" x14ac:dyDescent="0.15">
      <c r="A24" s="171">
        <v>23</v>
      </c>
      <c r="B24" s="171" t="s">
        <v>213</v>
      </c>
      <c r="C24" s="8">
        <v>3.8170826435089111</v>
      </c>
      <c r="D24" s="9">
        <v>0.10273268818855286</v>
      </c>
      <c r="E24" s="9">
        <v>0.67000001668930054</v>
      </c>
      <c r="F24" s="9">
        <v>9.869999885559082</v>
      </c>
      <c r="G24" s="9">
        <v>0.90958923101425171</v>
      </c>
      <c r="H24" s="9">
        <v>6.78824782371521E-2</v>
      </c>
      <c r="I24">
        <v>0</v>
      </c>
      <c r="J24"/>
    </row>
    <row r="25" spans="1:10" ht="15" customHeight="1" x14ac:dyDescent="0.15">
      <c r="A25" s="172">
        <v>24</v>
      </c>
      <c r="B25" s="172" t="s">
        <v>214</v>
      </c>
      <c r="C25" s="8">
        <v>3.7802896499633789</v>
      </c>
      <c r="D25" s="9">
        <v>2.456650510430336E-2</v>
      </c>
      <c r="E25" s="9">
        <v>0.4699999988079071</v>
      </c>
      <c r="F25" s="9">
        <v>8.3199996948242188</v>
      </c>
      <c r="G25" s="9">
        <v>0.95000004768371582</v>
      </c>
      <c r="H25" s="9">
        <v>5.6490387767553329E-2</v>
      </c>
      <c r="I25">
        <v>8.5200002649798989E-4</v>
      </c>
      <c r="J25"/>
    </row>
    <row r="26" spans="1:10" ht="15" customHeight="1" x14ac:dyDescent="0.15">
      <c r="A26" s="173">
        <v>25</v>
      </c>
      <c r="B26" s="173" t="s">
        <v>215</v>
      </c>
      <c r="C26" s="8">
        <v>3.3529260158538818</v>
      </c>
      <c r="D26" s="9">
        <v>3.4647569060325623E-2</v>
      </c>
      <c r="E26" s="9">
        <v>0.85000002384185791</v>
      </c>
      <c r="F26" s="9">
        <v>10.369999885559082</v>
      </c>
      <c r="G26" s="9">
        <v>0.94999998807907104</v>
      </c>
      <c r="H26" s="9">
        <v>8.1967219710350037E-2</v>
      </c>
      <c r="I26">
        <v>1.7089999746531248E-3</v>
      </c>
      <c r="J26"/>
    </row>
    <row r="27" spans="1:10" ht="15" customHeight="1" x14ac:dyDescent="0.15">
      <c r="A27" s="174">
        <v>26</v>
      </c>
      <c r="B27" s="174" t="s">
        <v>216</v>
      </c>
      <c r="C27" s="8">
        <v>2.3231801986694336</v>
      </c>
      <c r="D27" s="9">
        <v>0.20032167434692383</v>
      </c>
      <c r="E27" s="9">
        <v>0.75999999046325684</v>
      </c>
      <c r="F27" s="9">
        <v>13.710000038146973</v>
      </c>
      <c r="G27" s="9">
        <v>0.95000004768371582</v>
      </c>
      <c r="H27" s="9">
        <v>5.5433988571166992E-2</v>
      </c>
      <c r="I27">
        <v>0</v>
      </c>
      <c r="J27"/>
    </row>
    <row r="28" spans="1:10" ht="15" customHeight="1" x14ac:dyDescent="0.15">
      <c r="A28" s="175">
        <v>27</v>
      </c>
      <c r="B28" s="175" t="s">
        <v>217</v>
      </c>
      <c r="C28" s="8">
        <v>3.8210551738739014</v>
      </c>
      <c r="D28" s="9">
        <v>4.496481642127037E-2</v>
      </c>
      <c r="E28" s="9">
        <v>0.82999998331069946</v>
      </c>
      <c r="F28" s="9">
        <v>9.0100002288818359</v>
      </c>
      <c r="G28" s="9">
        <v>0.9500001072883606</v>
      </c>
      <c r="H28" s="9">
        <v>9.2119865119457245E-2</v>
      </c>
      <c r="I28">
        <v>2.5460000615566969E-3</v>
      </c>
      <c r="J28"/>
    </row>
    <row r="29" spans="1:10" ht="15" customHeight="1" x14ac:dyDescent="0.15">
      <c r="A29" s="176">
        <v>28</v>
      </c>
      <c r="B29" s="176" t="s">
        <v>218</v>
      </c>
      <c r="C29" s="8">
        <v>3.3950190544128418</v>
      </c>
      <c r="D29" s="9">
        <v>0.15299999713897705</v>
      </c>
      <c r="E29" s="9">
        <v>0.75</v>
      </c>
      <c r="F29" s="9">
        <v>10.859999656677246</v>
      </c>
      <c r="G29" s="9">
        <v>0.95131456851959229</v>
      </c>
      <c r="H29" s="9">
        <v>6.9060772657394409E-2</v>
      </c>
      <c r="I29">
        <v>1.1899999808520079E-3</v>
      </c>
      <c r="J29"/>
    </row>
    <row r="30" spans="1:10" ht="15" customHeight="1" x14ac:dyDescent="0.15">
      <c r="A30" s="177">
        <v>29</v>
      </c>
      <c r="B30" s="177" t="s">
        <v>219</v>
      </c>
      <c r="C30" s="8">
        <v>3.7966115474700928</v>
      </c>
      <c r="D30" s="9">
        <v>0.13379490375518799</v>
      </c>
      <c r="E30" s="9">
        <v>1.6599999666213989</v>
      </c>
      <c r="F30" s="9">
        <v>10.130000114440918</v>
      </c>
      <c r="G30" s="9">
        <v>0.94999998807907104</v>
      </c>
      <c r="H30" s="9">
        <v>0.16386969387531281</v>
      </c>
      <c r="I30">
        <v>5.9139998629689217E-3</v>
      </c>
      <c r="J30"/>
    </row>
    <row r="31" spans="1:10" ht="15" customHeight="1" x14ac:dyDescent="0.15">
      <c r="A31" s="178">
        <v>30</v>
      </c>
      <c r="B31" s="178" t="s">
        <v>220</v>
      </c>
      <c r="C31" s="8">
        <v>3.9408779144287109</v>
      </c>
      <c r="D31" s="9">
        <v>3.9223611354827881E-2</v>
      </c>
      <c r="E31" s="9">
        <v>0.92000001668930054</v>
      </c>
      <c r="F31" s="9">
        <v>11.699999809265137</v>
      </c>
      <c r="G31" s="9">
        <v>0.94999998807907104</v>
      </c>
      <c r="H31" s="9">
        <v>7.8632481396198273E-2</v>
      </c>
      <c r="I31">
        <v>0</v>
      </c>
      <c r="J31"/>
    </row>
    <row r="32" spans="1:10" ht="15" customHeight="1" x14ac:dyDescent="0.15">
      <c r="A32" s="206">
        <v>31</v>
      </c>
      <c r="B32" s="206" t="s">
        <v>221</v>
      </c>
      <c r="C32" s="8">
        <v>3.0503959655761719</v>
      </c>
      <c r="D32" s="9">
        <v>0.18461593985557556</v>
      </c>
      <c r="E32" s="9">
        <v>1.3799999952316284</v>
      </c>
      <c r="F32" s="9">
        <v>10.449999809265137</v>
      </c>
      <c r="G32" s="9">
        <v>0.94999992847442627</v>
      </c>
      <c r="H32" s="9">
        <v>0.13205741345882416</v>
      </c>
      <c r="I32">
        <v>4.5170001685619354E-2</v>
      </c>
      <c r="J32"/>
    </row>
    <row r="33" spans="1:10" ht="15" customHeight="1" x14ac:dyDescent="0.15">
      <c r="A33" s="207">
        <v>32</v>
      </c>
      <c r="B33" s="207" t="s">
        <v>222</v>
      </c>
      <c r="C33" s="8">
        <v>4.3589458465576172</v>
      </c>
      <c r="D33" s="9">
        <v>2.5770433247089386E-2</v>
      </c>
      <c r="E33" s="9">
        <v>0.73000001907348633</v>
      </c>
      <c r="F33" s="9">
        <v>6</v>
      </c>
      <c r="G33" s="9">
        <v>0.94999998807907104</v>
      </c>
      <c r="H33" s="9">
        <v>0.12166666984558105</v>
      </c>
      <c r="I33">
        <v>0</v>
      </c>
      <c r="J33"/>
    </row>
    <row r="34" spans="1:10" ht="15" customHeight="1" x14ac:dyDescent="0.15">
      <c r="A34" s="208">
        <v>33</v>
      </c>
      <c r="B34" s="208" t="s">
        <v>223</v>
      </c>
      <c r="C34" s="8">
        <v>3.5505809783935547</v>
      </c>
      <c r="D34" s="9">
        <v>0.31204938888549805</v>
      </c>
      <c r="E34" s="9">
        <v>0.51999998092651367</v>
      </c>
      <c r="F34" s="9">
        <v>4.1700000762939453</v>
      </c>
      <c r="G34" s="9">
        <v>0.59118741750717163</v>
      </c>
      <c r="H34" s="9">
        <v>0.12470023334026337</v>
      </c>
      <c r="I34">
        <v>0</v>
      </c>
      <c r="J34"/>
    </row>
    <row r="35" spans="1:10" ht="15" customHeight="1" x14ac:dyDescent="0.15">
      <c r="A35" s="209">
        <v>34</v>
      </c>
      <c r="B35" s="209" t="s">
        <v>224</v>
      </c>
      <c r="C35" s="8">
        <v>4.1024479866027832</v>
      </c>
      <c r="D35" s="9">
        <v>3.7761520594358444E-2</v>
      </c>
      <c r="E35" s="9">
        <v>0.5899999737739563</v>
      </c>
      <c r="F35" s="9">
        <v>5.2300000190734863</v>
      </c>
      <c r="G35" s="9">
        <v>0.9500001072883606</v>
      </c>
      <c r="H35" s="9">
        <v>0.11281070113182068</v>
      </c>
      <c r="I35">
        <v>0</v>
      </c>
      <c r="J35"/>
    </row>
    <row r="36" spans="1:10" ht="15" customHeight="1" x14ac:dyDescent="0.15">
      <c r="A36" s="210">
        <v>35</v>
      </c>
      <c r="B36" s="210" t="s">
        <v>225</v>
      </c>
      <c r="C36" s="8">
        <v>3.2828705310821533</v>
      </c>
      <c r="D36" s="9">
        <v>6.5794721245765686E-2</v>
      </c>
      <c r="E36" s="9">
        <v>0.30000001192092896</v>
      </c>
      <c r="F36" s="9">
        <v>4.6999998092651367</v>
      </c>
      <c r="G36" s="9">
        <v>0.94999998807907104</v>
      </c>
      <c r="H36" s="9">
        <v>6.3829794526100159E-2</v>
      </c>
      <c r="I36">
        <v>0</v>
      </c>
      <c r="J36"/>
    </row>
    <row r="37" spans="1:10" ht="15" customHeight="1" x14ac:dyDescent="0.15">
      <c r="A37" s="211">
        <v>36</v>
      </c>
      <c r="B37" s="211" t="s">
        <v>226</v>
      </c>
      <c r="C37" s="8">
        <v>4.0536184310913086</v>
      </c>
      <c r="D37" s="9">
        <v>0.33019864559173584</v>
      </c>
      <c r="E37" s="9">
        <v>0.80000001192092896</v>
      </c>
      <c r="F37" s="9">
        <v>5</v>
      </c>
      <c r="G37" s="9">
        <v>0.95000004768371582</v>
      </c>
      <c r="H37" s="9">
        <v>0.15999999642372131</v>
      </c>
      <c r="I37">
        <v>0</v>
      </c>
      <c r="J37"/>
    </row>
    <row r="38" spans="1:10" ht="15" customHeight="1" x14ac:dyDescent="0.15">
      <c r="A38" s="212">
        <v>37</v>
      </c>
      <c r="B38" s="212" t="s">
        <v>227</v>
      </c>
      <c r="C38" s="8">
        <v>3.208949089050293</v>
      </c>
      <c r="D38" s="9">
        <v>3.5666139125823975</v>
      </c>
      <c r="E38" s="9">
        <v>2.7200000286102295</v>
      </c>
      <c r="F38" s="9">
        <v>9.5</v>
      </c>
      <c r="G38" s="9">
        <v>0.38898959755897522</v>
      </c>
      <c r="H38" s="9">
        <v>0.28631579875946045</v>
      </c>
      <c r="I38">
        <v>0</v>
      </c>
      <c r="J38"/>
    </row>
    <row r="39" spans="1:10" ht="15" customHeight="1" x14ac:dyDescent="0.15">
      <c r="A39" s="213">
        <v>38</v>
      </c>
      <c r="B39" s="213" t="s">
        <v>228</v>
      </c>
      <c r="C39" s="8">
        <v>4.2540707588195801</v>
      </c>
      <c r="D39" s="9">
        <v>0.57850027084350586</v>
      </c>
      <c r="E39" s="9">
        <v>2.5</v>
      </c>
      <c r="F39" s="9">
        <v>10</v>
      </c>
      <c r="G39" s="9">
        <v>0.94999998807907104</v>
      </c>
      <c r="H39" s="9">
        <v>0.25</v>
      </c>
      <c r="I39">
        <v>5.9499999042600393E-4</v>
      </c>
      <c r="J39"/>
    </row>
    <row r="40" spans="1:10" ht="15" customHeight="1" x14ac:dyDescent="0.15">
      <c r="A40" s="214">
        <v>39</v>
      </c>
      <c r="B40" s="214" t="s">
        <v>229</v>
      </c>
      <c r="C40" s="8">
        <v>2.9694159030914307</v>
      </c>
      <c r="D40" s="9">
        <v>2.3624837398529053</v>
      </c>
      <c r="E40" s="9">
        <v>5.5</v>
      </c>
      <c r="F40" s="9">
        <v>20</v>
      </c>
      <c r="G40" s="9">
        <v>0.95000004768371582</v>
      </c>
      <c r="H40" s="9">
        <v>0.27500000596046448</v>
      </c>
      <c r="I40">
        <v>5.9499999042600393E-4</v>
      </c>
      <c r="J40"/>
    </row>
    <row r="41" spans="1:10" ht="15" customHeight="1" x14ac:dyDescent="0.15">
      <c r="A41" s="215">
        <v>40</v>
      </c>
      <c r="B41" s="215" t="s">
        <v>230</v>
      </c>
      <c r="C41" s="8">
        <v>2.1734693050384521</v>
      </c>
      <c r="D41" s="9">
        <v>9.0962772369384766</v>
      </c>
      <c r="E41" s="9">
        <v>5</v>
      </c>
      <c r="F41" s="9">
        <v>25</v>
      </c>
      <c r="G41" s="9">
        <v>0.94999998807907104</v>
      </c>
      <c r="H41" s="9">
        <v>0.20000000298023224</v>
      </c>
      <c r="I41">
        <v>0</v>
      </c>
      <c r="J41"/>
    </row>
    <row r="42" spans="1:10" ht="15" customHeight="1" x14ac:dyDescent="0.15">
      <c r="A42" s="216">
        <v>41</v>
      </c>
      <c r="B42" s="216" t="s">
        <v>231</v>
      </c>
      <c r="C42" s="8">
        <v>2.8421053886413574</v>
      </c>
      <c r="D42" s="9">
        <v>4.0375576019287109</v>
      </c>
      <c r="E42" s="9">
        <v>10</v>
      </c>
      <c r="F42" s="9">
        <v>50</v>
      </c>
      <c r="G42" s="9">
        <v>0.94999998807907104</v>
      </c>
      <c r="H42" s="9">
        <v>0.20000000298023224</v>
      </c>
      <c r="I42">
        <v>0</v>
      </c>
      <c r="J42"/>
    </row>
    <row r="43" spans="1:10" ht="15" customHeight="1" x14ac:dyDescent="0.15">
      <c r="A43" s="217">
        <v>42</v>
      </c>
      <c r="B43" s="217" t="s">
        <v>232</v>
      </c>
      <c r="C43" s="8">
        <v>2</v>
      </c>
      <c r="D43" s="9">
        <v>6.7155814170837402</v>
      </c>
      <c r="E43" s="9">
        <v>40</v>
      </c>
      <c r="F43" s="9">
        <v>200</v>
      </c>
      <c r="G43" s="9">
        <v>0.95000004768371582</v>
      </c>
      <c r="H43" s="9">
        <v>0.20000000298023224</v>
      </c>
      <c r="I43">
        <v>0</v>
      </c>
      <c r="J43"/>
    </row>
    <row r="44" spans="1:10" ht="15" customHeight="1" x14ac:dyDescent="0.15">
      <c r="A44" s="218">
        <v>43</v>
      </c>
      <c r="B44" s="218" t="s">
        <v>233</v>
      </c>
      <c r="C44" s="8">
        <v>1</v>
      </c>
      <c r="D44" s="9">
        <v>24</v>
      </c>
      <c r="E44" s="9">
        <v>197</v>
      </c>
      <c r="F44" s="10"/>
      <c r="G44" s="9">
        <v>0.26541048288345337</v>
      </c>
      <c r="H44" s="10"/>
      <c r="I44">
        <v>0</v>
      </c>
      <c r="J44"/>
    </row>
    <row r="45" spans="1:10" ht="15" customHeight="1" x14ac:dyDescent="0.15">
      <c r="A45" s="219">
        <v>44</v>
      </c>
      <c r="B45" s="219" t="s">
        <v>234</v>
      </c>
      <c r="C45" s="8">
        <v>1</v>
      </c>
      <c r="D45" s="9">
        <v>153.31246948242188</v>
      </c>
      <c r="E45" s="10"/>
      <c r="F45" s="10"/>
      <c r="G45" s="7">
        <v>9.1568149626255035E-2</v>
      </c>
      <c r="H45" s="10"/>
      <c r="I45">
        <v>0</v>
      </c>
      <c r="J45"/>
    </row>
    <row r="46" spans="1:10" ht="15" customHeight="1" x14ac:dyDescent="0.15">
      <c r="A46" s="220">
        <v>45</v>
      </c>
      <c r="B46" s="220" t="s">
        <v>235</v>
      </c>
      <c r="C46" s="8">
        <v>1</v>
      </c>
      <c r="D46" s="9">
        <v>5</v>
      </c>
      <c r="E46" s="10"/>
      <c r="F46" s="10"/>
      <c r="G46" s="7">
        <v>0</v>
      </c>
      <c r="H46" s="10"/>
      <c r="I46">
        <v>0</v>
      </c>
      <c r="J46"/>
    </row>
    <row r="47" spans="1:10" ht="15" customHeight="1" x14ac:dyDescent="0.15">
      <c r="A47" s="221">
        <v>46</v>
      </c>
      <c r="B47" s="221" t="s">
        <v>236</v>
      </c>
      <c r="C47" s="8">
        <v>3.8464686870574951</v>
      </c>
      <c r="D47" s="10"/>
      <c r="E47" s="10"/>
      <c r="F47" s="10"/>
      <c r="G47" s="10"/>
      <c r="H47" s="10"/>
      <c r="I47">
        <v>0.15907101333141327</v>
      </c>
      <c r="J47"/>
    </row>
    <row r="48" spans="1:10" ht="15" customHeight="1" x14ac:dyDescent="0.15">
      <c r="A48" s="222">
        <v>47</v>
      </c>
      <c r="B48" s="222" t="s">
        <v>237</v>
      </c>
      <c r="C48" s="8">
        <v>4.8020505905151367</v>
      </c>
      <c r="D48" s="10"/>
      <c r="E48" s="10"/>
      <c r="F48" s="10"/>
      <c r="G48" s="10"/>
      <c r="H48" s="10"/>
      <c r="I48">
        <v>1.4070000499486923E-2</v>
      </c>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4" bestFit="1" customWidth="1"/>
    <col min="2" max="4" width="9.5" style="84" bestFit="1" customWidth="1"/>
    <col min="5" max="7" width="9" style="84" bestFit="1" customWidth="1"/>
    <col min="8" max="16" width="12.6640625" style="84" bestFit="1" customWidth="1"/>
    <col min="17" max="17" width="12.33203125" style="84" bestFit="1" customWidth="1"/>
    <col min="18" max="18" width="8.83203125" style="84"/>
    <col min="19" max="21" width="9.33203125" style="84" bestFit="1" customWidth="1"/>
    <col min="22" max="23" width="8.83203125" style="84"/>
    <col min="24" max="24" width="9.33203125" style="84" bestFit="1" customWidth="1"/>
    <col min="25" max="27" width="8.83203125" style="84"/>
    <col min="28" max="58" width="9" style="84" bestFit="1" customWidth="1"/>
    <col min="59" max="59" width="12.33203125" style="84" bestFit="1" customWidth="1"/>
    <col min="60" max="60" width="9" style="84" bestFit="1" customWidth="1"/>
    <col min="61" max="61" width="11.33203125" style="84" bestFit="1" customWidth="1"/>
    <col min="62" max="77" width="9" style="84" bestFit="1" customWidth="1"/>
    <col min="78" max="78" width="12.33203125" style="84" bestFit="1" customWidth="1"/>
    <col min="79" max="79" width="9" style="84" bestFit="1" customWidth="1"/>
    <col min="80" max="80" width="12.33203125" style="84" bestFit="1" customWidth="1"/>
    <col min="81" max="107" width="9" style="84" bestFit="1" customWidth="1"/>
    <col min="108" max="108" width="11.33203125" style="84" bestFit="1" customWidth="1"/>
    <col min="109" max="124" width="9" style="84" bestFit="1" customWidth="1"/>
    <col min="125" max="125" width="10.33203125" style="84" bestFit="1" customWidth="1"/>
    <col min="126" max="129" width="9.33203125" style="84" bestFit="1" customWidth="1"/>
    <col min="130" max="130" width="9" style="84" bestFit="1" customWidth="1"/>
    <col min="131" max="134" width="9.33203125" style="84" bestFit="1" customWidth="1"/>
    <col min="135" max="165" width="9" style="84" bestFit="1" customWidth="1"/>
    <col min="166" max="166" width="12.33203125" style="84" bestFit="1" customWidth="1"/>
    <col min="167" max="170" width="9" style="84" bestFit="1" customWidth="1"/>
    <col min="171" max="176" width="8.83203125" style="84"/>
    <col min="177" max="177" width="13.83203125" style="84" bestFit="1" customWidth="1"/>
    <col min="178" max="16384" width="8.83203125" style="84"/>
  </cols>
  <sheetData>
    <row r="1" spans="1:209" ht="15" customHeight="1" x14ac:dyDescent="0.15">
      <c r="A1" t="s">
        <v>15</v>
      </c>
      <c r="B1" t="s">
        <v>1</v>
      </c>
      <c r="C1" t="s">
        <v>16</v>
      </c>
      <c r="D1" t="s">
        <v>242</v>
      </c>
      <c r="E1" t="s">
        <v>243</v>
      </c>
      <c r="F1" t="s">
        <v>191</v>
      </c>
      <c r="G1" t="s">
        <v>192</v>
      </c>
      <c r="H1" t="s">
        <v>193</v>
      </c>
      <c r="I1" t="s">
        <v>194</v>
      </c>
      <c r="J1" t="s">
        <v>195</v>
      </c>
      <c r="K1" t="s">
        <v>196</v>
      </c>
      <c r="L1" t="s">
        <v>197</v>
      </c>
      <c r="M1" t="s">
        <v>198</v>
      </c>
      <c r="N1" t="s">
        <v>199</v>
      </c>
      <c r="O1" t="s">
        <v>200</v>
      </c>
      <c r="P1" t="s">
        <v>201</v>
      </c>
      <c r="Q1" t="s">
        <v>202</v>
      </c>
      <c r="R1" t="s">
        <v>203</v>
      </c>
      <c r="S1" t="s">
        <v>204</v>
      </c>
      <c r="T1" t="s">
        <v>205</v>
      </c>
      <c r="U1" t="s">
        <v>206</v>
      </c>
      <c r="V1" t="s">
        <v>207</v>
      </c>
      <c r="W1" t="s">
        <v>208</v>
      </c>
      <c r="X1" t="s">
        <v>209</v>
      </c>
      <c r="Y1" t="s">
        <v>210</v>
      </c>
      <c r="Z1" t="s">
        <v>211</v>
      </c>
      <c r="AA1" t="s">
        <v>212</v>
      </c>
      <c r="AB1" t="s">
        <v>213</v>
      </c>
      <c r="AC1" t="s">
        <v>214</v>
      </c>
      <c r="AD1" t="s">
        <v>215</v>
      </c>
      <c r="AE1" t="s">
        <v>216</v>
      </c>
      <c r="AF1" t="s">
        <v>217</v>
      </c>
      <c r="AG1" t="s">
        <v>218</v>
      </c>
      <c r="AH1" t="s">
        <v>219</v>
      </c>
      <c r="AI1" t="s">
        <v>220</v>
      </c>
      <c r="AJ1" t="s">
        <v>221</v>
      </c>
      <c r="AK1" t="s">
        <v>222</v>
      </c>
      <c r="AL1" t="s">
        <v>223</v>
      </c>
      <c r="AM1" t="s">
        <v>224</v>
      </c>
      <c r="AN1" t="s">
        <v>225</v>
      </c>
      <c r="AO1" t="s">
        <v>226</v>
      </c>
      <c r="AP1" t="s">
        <v>227</v>
      </c>
      <c r="AQ1" t="s">
        <v>228</v>
      </c>
      <c r="AR1" t="s">
        <v>229</v>
      </c>
      <c r="AS1" t="s">
        <v>230</v>
      </c>
      <c r="AT1" t="s">
        <v>231</v>
      </c>
      <c r="AU1" t="s">
        <v>232</v>
      </c>
      <c r="AV1" t="s">
        <v>233</v>
      </c>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191</v>
      </c>
      <c r="B2">
        <v>1.9999999552965164E-2</v>
      </c>
      <c r="C2">
        <v>5.5706165730953217E-3</v>
      </c>
      <c r="D2"/>
      <c r="E2"/>
      <c r="F2"/>
      <c r="G2"/>
      <c r="H2"/>
      <c r="I2"/>
      <c r="J2" s="229">
        <v>7.8513938933610916E-3</v>
      </c>
      <c r="K2" s="228">
        <v>6.5779900178313255E-3</v>
      </c>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192</v>
      </c>
      <c r="B3">
        <v>7.0000000298023224E-2</v>
      </c>
      <c r="C3">
        <v>1.7482446506619453E-2</v>
      </c>
      <c r="D3"/>
      <c r="E3"/>
      <c r="F3"/>
      <c r="G3"/>
      <c r="H3"/>
      <c r="I3"/>
      <c r="J3" s="234">
        <v>1.9628152251243591E-2</v>
      </c>
      <c r="K3" s="237">
        <v>3.288939967751503E-2</v>
      </c>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193</v>
      </c>
      <c r="B4">
        <v>0.15000000596046448</v>
      </c>
      <c r="C4">
        <v>7.5000021606683731E-3</v>
      </c>
      <c r="D4"/>
      <c r="E4"/>
      <c r="F4"/>
      <c r="G4"/>
      <c r="H4"/>
      <c r="I4"/>
      <c r="J4"/>
      <c r="K4" s="224">
        <v>2.4579776450991631E-2</v>
      </c>
      <c r="L4"/>
      <c r="M4"/>
      <c r="N4"/>
      <c r="O4"/>
      <c r="P4"/>
      <c r="Q4"/>
      <c r="R4"/>
      <c r="S4"/>
      <c r="T4"/>
      <c r="U4"/>
      <c r="V4"/>
      <c r="W4"/>
      <c r="X4"/>
      <c r="Y4"/>
      <c r="Z4" s="255">
        <v>0.11792022734880447</v>
      </c>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194</v>
      </c>
      <c r="B5">
        <v>1.4999999664723873E-2</v>
      </c>
      <c r="C5">
        <v>1.4999999664723873E-2</v>
      </c>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195</v>
      </c>
      <c r="B6">
        <v>0.20000000298023224</v>
      </c>
      <c r="C6">
        <v>0.18127936124801636</v>
      </c>
      <c r="D6"/>
      <c r="E6"/>
      <c r="F6"/>
      <c r="G6"/>
      <c r="H6"/>
      <c r="I6"/>
      <c r="J6"/>
      <c r="K6" s="75">
        <v>1.872064545750618E-2</v>
      </c>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196</v>
      </c>
      <c r="B7">
        <v>0.28999999165534973</v>
      </c>
      <c r="C7">
        <v>4.6396151185035706E-2</v>
      </c>
      <c r="D7"/>
      <c r="E7" s="26">
        <v>7.645369041711092E-3</v>
      </c>
      <c r="F7"/>
      <c r="G7"/>
      <c r="H7"/>
      <c r="I7"/>
      <c r="J7"/>
      <c r="K7" s="243">
        <v>9.0090095996856689E-2</v>
      </c>
      <c r="L7"/>
      <c r="M7"/>
      <c r="N7"/>
      <c r="O7"/>
      <c r="P7"/>
      <c r="Q7"/>
      <c r="R7"/>
      <c r="S7"/>
      <c r="T7"/>
      <c r="U7"/>
      <c r="V7"/>
      <c r="W7"/>
      <c r="X7"/>
      <c r="Y7"/>
      <c r="Z7" s="262">
        <v>0.14586837589740753</v>
      </c>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197</v>
      </c>
      <c r="B8">
        <v>0.40000000596046448</v>
      </c>
      <c r="C8">
        <v>2.0000029355287552E-2</v>
      </c>
      <c r="D8"/>
      <c r="E8"/>
      <c r="F8"/>
      <c r="G8"/>
      <c r="H8"/>
      <c r="I8"/>
      <c r="J8" s="225">
        <v>7.0876516401767731E-2</v>
      </c>
      <c r="K8" s="256">
        <v>0.28700903058052063</v>
      </c>
      <c r="L8"/>
      <c r="M8"/>
      <c r="N8" s="64">
        <v>2.2114429622888565E-2</v>
      </c>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198</v>
      </c>
      <c r="B9">
        <v>0.41999998688697815</v>
      </c>
      <c r="C9">
        <v>0.22935578227043152</v>
      </c>
      <c r="D9" s="65">
        <v>9.1999555006623268E-3</v>
      </c>
      <c r="E9" s="24">
        <v>1.1252438649535179E-2</v>
      </c>
      <c r="F9"/>
      <c r="G9"/>
      <c r="H9"/>
      <c r="I9"/>
      <c r="J9" s="66">
        <v>1.7575317993760109E-2</v>
      </c>
      <c r="K9" s="247">
        <v>0.10307365655899048</v>
      </c>
      <c r="L9"/>
      <c r="M9"/>
      <c r="N9"/>
      <c r="O9"/>
      <c r="P9"/>
      <c r="Q9" s="238">
        <v>4.9542844295501709E-2</v>
      </c>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199</v>
      </c>
      <c r="B10">
        <v>0.51999998092651367</v>
      </c>
      <c r="C10">
        <v>0.4156930148601532</v>
      </c>
      <c r="D10"/>
      <c r="E10"/>
      <c r="F10"/>
      <c r="G10"/>
      <c r="H10"/>
      <c r="I10"/>
      <c r="J10"/>
      <c r="K10" s="109">
        <v>3.5008374601602554E-2</v>
      </c>
      <c r="L10"/>
      <c r="M10"/>
      <c r="N10"/>
      <c r="O10"/>
      <c r="P10" s="258">
        <v>6.9298595190048218E-2</v>
      </c>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200</v>
      </c>
      <c r="B11">
        <v>0.75</v>
      </c>
      <c r="C11">
        <v>3.7499964237213135E-2</v>
      </c>
      <c r="D11"/>
      <c r="E11"/>
      <c r="F11"/>
      <c r="G11"/>
      <c r="H11"/>
      <c r="I11"/>
      <c r="J11"/>
      <c r="K11" s="239">
        <v>8.4438756108283997E-2</v>
      </c>
      <c r="L11"/>
      <c r="M11"/>
      <c r="N11"/>
      <c r="O11"/>
      <c r="P11" s="278">
        <v>0.62806123495101929</v>
      </c>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201</v>
      </c>
      <c r="B12">
        <v>0.68000000715255737</v>
      </c>
      <c r="C12">
        <v>3.4000009298324585E-2</v>
      </c>
      <c r="D12"/>
      <c r="E12" s="12">
        <v>3.1865816563367844E-3</v>
      </c>
      <c r="F12"/>
      <c r="G12"/>
      <c r="H12"/>
      <c r="I12" s="239">
        <v>7.5924411416053772E-2</v>
      </c>
      <c r="J12" s="280">
        <v>0.27570784091949463</v>
      </c>
      <c r="K12" s="275">
        <v>0.16431336104869843</v>
      </c>
      <c r="L12"/>
      <c r="M12"/>
      <c r="N12"/>
      <c r="O12"/>
      <c r="P12" s="240">
        <v>0.1131325289607048</v>
      </c>
      <c r="Q12" s="21">
        <v>1.3735305517911911E-2</v>
      </c>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202</v>
      </c>
      <c r="B13">
        <v>0.69999998807907104</v>
      </c>
      <c r="C13">
        <v>3.5000007599592209E-2</v>
      </c>
      <c r="D13"/>
      <c r="E13"/>
      <c r="F13"/>
      <c r="G13"/>
      <c r="H13"/>
      <c r="I13"/>
      <c r="J13"/>
      <c r="K13" s="15">
        <v>6.7773722112178802E-3</v>
      </c>
      <c r="L13"/>
      <c r="M13"/>
      <c r="N13"/>
      <c r="O13" s="69">
        <v>6.4615555107593536E-2</v>
      </c>
      <c r="P13" s="277">
        <v>0.55451613664627075</v>
      </c>
      <c r="Q13" s="64">
        <v>3.9090912789106369E-2</v>
      </c>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203</v>
      </c>
      <c r="B14">
        <v>1.3899999856948853</v>
      </c>
      <c r="C14">
        <v>0.15140655636787415</v>
      </c>
      <c r="D14"/>
      <c r="E14"/>
      <c r="F14"/>
      <c r="G14"/>
      <c r="H14"/>
      <c r="I14"/>
      <c r="J14" s="12">
        <v>4.3846182525157928E-3</v>
      </c>
      <c r="K14" s="11">
        <v>1.2244951212778687E-3</v>
      </c>
      <c r="L14" s="14">
        <v>1.6788854263722897E-3</v>
      </c>
      <c r="M14"/>
      <c r="N14"/>
      <c r="O14" s="23">
        <v>8.1720463931560516E-3</v>
      </c>
      <c r="P14" s="12">
        <v>4.8477412201464176E-3</v>
      </c>
      <c r="Q14"/>
      <c r="R14"/>
      <c r="S14"/>
      <c r="T14"/>
      <c r="U14"/>
      <c r="V14"/>
      <c r="W14"/>
      <c r="X14"/>
      <c r="Y14" s="23">
        <v>7.9779736697673798E-3</v>
      </c>
      <c r="Z14" s="15">
        <v>1.4979854226112366E-2</v>
      </c>
      <c r="AA14"/>
      <c r="AB14"/>
      <c r="AC14"/>
      <c r="AD14"/>
      <c r="AE14"/>
      <c r="AF14"/>
      <c r="AG14"/>
      <c r="AH14"/>
      <c r="AI14"/>
      <c r="AJ14"/>
      <c r="AK14"/>
      <c r="AL14"/>
      <c r="AM14"/>
      <c r="AN14"/>
      <c r="AO14"/>
      <c r="AP14"/>
      <c r="AQ14" s="294">
        <v>1.1953277587890625</v>
      </c>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204</v>
      </c>
      <c r="B15">
        <v>2.0799999237060547</v>
      </c>
      <c r="C15">
        <v>0.104000024497509</v>
      </c>
      <c r="D15"/>
      <c r="E15"/>
      <c r="F15" s="14">
        <v>4.2137466371059418E-3</v>
      </c>
      <c r="G15" s="12">
        <v>9.9698938429355621E-3</v>
      </c>
      <c r="H15"/>
      <c r="I15" s="18">
        <v>2.3950789123773575E-2</v>
      </c>
      <c r="J15" s="15">
        <v>2.0898493006825447E-2</v>
      </c>
      <c r="K15" s="23">
        <v>1.1094815097749233E-2</v>
      </c>
      <c r="L15" s="23">
        <v>1.3841728679835796E-2</v>
      </c>
      <c r="M15" s="21">
        <v>4.1079886257648468E-2</v>
      </c>
      <c r="N15" s="233">
        <v>7.9796791076660156E-2</v>
      </c>
      <c r="O15" s="230">
        <v>5.0334755331277847E-2</v>
      </c>
      <c r="P15" s="282">
        <v>9.4253718852996826E-2</v>
      </c>
      <c r="Q15" s="259">
        <v>0.11798764020204544</v>
      </c>
      <c r="R15" s="290">
        <v>0.59800797700881958</v>
      </c>
      <c r="S15" s="109">
        <v>0.1366366446018219</v>
      </c>
      <c r="T15" s="281">
        <v>0.25426411628723145</v>
      </c>
      <c r="U15"/>
      <c r="V15"/>
      <c r="W15" s="14">
        <v>5.505293607711792E-3</v>
      </c>
      <c r="X15" s="12">
        <v>7.5256973505020142E-3</v>
      </c>
      <c r="Y15"/>
      <c r="Z15" s="13">
        <v>7.7968955039978027E-2</v>
      </c>
      <c r="AA15"/>
      <c r="AB15" s="65">
        <v>4.5652583241462708E-2</v>
      </c>
      <c r="AC15"/>
      <c r="AD15"/>
      <c r="AE15"/>
      <c r="AF15"/>
      <c r="AG15" s="12">
        <v>7.0924805477261543E-3</v>
      </c>
      <c r="AH15"/>
      <c r="AI15" s="25">
        <v>6.5296247601509094E-2</v>
      </c>
      <c r="AJ15" s="23">
        <v>1.1528967879712582E-2</v>
      </c>
      <c r="AK15" s="12">
        <v>8.1759272143244743E-3</v>
      </c>
      <c r="AL15"/>
      <c r="AM15"/>
      <c r="AN15"/>
      <c r="AO15" s="13">
        <v>7.8771963715553284E-2</v>
      </c>
      <c r="AP15"/>
      <c r="AQ15" s="241">
        <v>0.21215067803859711</v>
      </c>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205</v>
      </c>
      <c r="B16">
        <v>0.56999999284744263</v>
      </c>
      <c r="C16">
        <v>2.8500005602836609E-2</v>
      </c>
      <c r="D16"/>
      <c r="E16" s="11">
        <v>5.4043043746787589E-6</v>
      </c>
      <c r="F16" s="14">
        <v>1.6688444884493947E-3</v>
      </c>
      <c r="G16" s="22">
        <v>3.9485529996454716E-3</v>
      </c>
      <c r="H16"/>
      <c r="I16" s="15">
        <v>5.983258131891489E-3</v>
      </c>
      <c r="J16"/>
      <c r="K16" s="12">
        <v>2.1283803507685661E-3</v>
      </c>
      <c r="L16" s="12">
        <v>2.7686792891472578E-3</v>
      </c>
      <c r="M16"/>
      <c r="N16" s="27">
        <v>4.3569639325141907E-2</v>
      </c>
      <c r="O16" s="15">
        <v>5.9507344849407673E-3</v>
      </c>
      <c r="P16" s="21">
        <v>1.1234929785132408E-2</v>
      </c>
      <c r="Q16" s="14">
        <v>1.1880184756591916E-3</v>
      </c>
      <c r="R16" s="291">
        <v>0.23683963716030121</v>
      </c>
      <c r="S16"/>
      <c r="T16"/>
      <c r="U16"/>
      <c r="V16"/>
      <c r="W16"/>
      <c r="X16"/>
      <c r="Y16"/>
      <c r="Z16" s="23">
        <v>3.4584952518343925E-3</v>
      </c>
      <c r="AA16"/>
      <c r="AB16"/>
      <c r="AC16"/>
      <c r="AD16"/>
      <c r="AE16"/>
      <c r="AF16"/>
      <c r="AG16"/>
      <c r="AH16"/>
      <c r="AI16"/>
      <c r="AJ16"/>
      <c r="AK16"/>
      <c r="AL16"/>
      <c r="AM16"/>
      <c r="AN16"/>
      <c r="AO16"/>
      <c r="AP16"/>
      <c r="AQ16" s="288">
        <v>0.22275538742542267</v>
      </c>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206</v>
      </c>
      <c r="B17">
        <v>0.86000001430511475</v>
      </c>
      <c r="C17">
        <v>4.3000012636184692E-2</v>
      </c>
      <c r="D17" s="146">
        <v>2.5694446638226509E-2</v>
      </c>
      <c r="E17"/>
      <c r="F17"/>
      <c r="G17" s="18">
        <v>1.0740947909653187E-2</v>
      </c>
      <c r="H17"/>
      <c r="I17" s="25">
        <v>2.77879498898983E-2</v>
      </c>
      <c r="J17"/>
      <c r="K17"/>
      <c r="L17"/>
      <c r="M17"/>
      <c r="N17"/>
      <c r="O17" s="12">
        <v>3.3993392717093229E-3</v>
      </c>
      <c r="P17" s="68">
        <v>5.372912809252739E-2</v>
      </c>
      <c r="Q17"/>
      <c r="R17" s="292">
        <v>0.6442568302154541</v>
      </c>
      <c r="S17"/>
      <c r="T17"/>
      <c r="U17"/>
      <c r="V17"/>
      <c r="W17" s="22">
        <v>5.9310630895197392E-3</v>
      </c>
      <c r="X17"/>
      <c r="Y17" s="17">
        <v>1.2168238870799541E-2</v>
      </c>
      <c r="Z17"/>
      <c r="AA17"/>
      <c r="AB17"/>
      <c r="AC17" s="23">
        <v>5.2530933171510696E-3</v>
      </c>
      <c r="AD17"/>
      <c r="AE17"/>
      <c r="AF17" s="19">
        <v>1.5618426725268364E-2</v>
      </c>
      <c r="AG17"/>
      <c r="AH17"/>
      <c r="AI17"/>
      <c r="AJ17" s="17">
        <v>1.2420597486197948E-2</v>
      </c>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207</v>
      </c>
      <c r="B18">
        <v>1.6000000238418579</v>
      </c>
      <c r="C18">
        <v>8.0000214278697968E-2</v>
      </c>
      <c r="D18" s="28">
        <v>5.5981315672397614E-2</v>
      </c>
      <c r="E18"/>
      <c r="F18" s="14">
        <v>4.3854718096554279E-3</v>
      </c>
      <c r="G18" s="23">
        <v>1.0376201942563057E-2</v>
      </c>
      <c r="H18"/>
      <c r="I18" s="22">
        <v>1.1888196691870689E-2</v>
      </c>
      <c r="J18" s="12">
        <v>5.5990559048950672E-3</v>
      </c>
      <c r="K18" s="14">
        <v>2.7063204906880856E-3</v>
      </c>
      <c r="L18" s="22">
        <v>1.23686408624053E-2</v>
      </c>
      <c r="M18" s="19">
        <v>2.7263440191745758E-2</v>
      </c>
      <c r="N18"/>
      <c r="O18" s="12">
        <v>5.9423008933663368E-3</v>
      </c>
      <c r="P18" s="23">
        <v>9.5237744972109795E-3</v>
      </c>
      <c r="Q18" s="24">
        <v>4.5007873326539993E-2</v>
      </c>
      <c r="R18" s="289">
        <v>0.6223788857460022</v>
      </c>
      <c r="S18"/>
      <c r="T18" s="224">
        <v>0.26462626457214355</v>
      </c>
      <c r="U18"/>
      <c r="V18"/>
      <c r="W18" s="12">
        <v>5.7296534068882465E-3</v>
      </c>
      <c r="X18" s="65">
        <v>3.4230470657348633E-2</v>
      </c>
      <c r="Y18"/>
      <c r="Z18" s="14">
        <v>3.245858708396554E-3</v>
      </c>
      <c r="AA18"/>
      <c r="AB18"/>
      <c r="AC18"/>
      <c r="AD18"/>
      <c r="AE18"/>
      <c r="AF18"/>
      <c r="AG18" s="12">
        <v>7.381523959338665E-3</v>
      </c>
      <c r="AH18"/>
      <c r="AI18" s="20">
        <v>6.7957296967506409E-2</v>
      </c>
      <c r="AJ18"/>
      <c r="AK18" s="23">
        <v>8.5091246291995049E-3</v>
      </c>
      <c r="AL18"/>
      <c r="AM18" s="22">
        <v>1.2119647115468979E-2</v>
      </c>
      <c r="AN18"/>
      <c r="AO18" s="70">
        <v>8.1982195377349854E-2</v>
      </c>
      <c r="AP18"/>
      <c r="AQ18" s="286">
        <v>0.22079657018184662</v>
      </c>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208</v>
      </c>
      <c r="B19">
        <v>0.99300003051757812</v>
      </c>
      <c r="C19">
        <v>0.36081346869468689</v>
      </c>
      <c r="D19"/>
      <c r="E19"/>
      <c r="F19"/>
      <c r="G19"/>
      <c r="H19"/>
      <c r="I19"/>
      <c r="J19"/>
      <c r="K19" s="17">
        <v>1.2715909630060196E-2</v>
      </c>
      <c r="L19"/>
      <c r="M19" s="248">
        <v>0.2838577926158905</v>
      </c>
      <c r="N19"/>
      <c r="O19"/>
      <c r="P19" s="250">
        <v>0.33561286330223083</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209</v>
      </c>
      <c r="B20">
        <v>0.95999997854232788</v>
      </c>
      <c r="C20">
        <v>0.26105940341949463</v>
      </c>
      <c r="D20" s="223">
        <v>0.22439755499362946</v>
      </c>
      <c r="E20" s="143">
        <v>9.5603294670581818E-2</v>
      </c>
      <c r="F20"/>
      <c r="G20"/>
      <c r="H20"/>
      <c r="I20"/>
      <c r="J20"/>
      <c r="K20" s="23">
        <v>5.2057411521673203E-3</v>
      </c>
      <c r="L20"/>
      <c r="M20" s="273">
        <v>0.34862396121025085</v>
      </c>
      <c r="N20"/>
      <c r="O20"/>
      <c r="P20"/>
      <c r="Q20"/>
      <c r="R20"/>
      <c r="S20"/>
      <c r="T20"/>
      <c r="U20"/>
      <c r="V20"/>
      <c r="W20"/>
      <c r="X20" s="26">
        <v>2.5109998881816864E-2</v>
      </c>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210</v>
      </c>
      <c r="B21">
        <v>0.75999999046325684</v>
      </c>
      <c r="C21">
        <v>3.7999961525201797E-2</v>
      </c>
      <c r="D21"/>
      <c r="E21" s="12">
        <v>2.2775041870772839E-3</v>
      </c>
      <c r="F21"/>
      <c r="G21"/>
      <c r="H21"/>
      <c r="I21"/>
      <c r="J21"/>
      <c r="K21" s="245">
        <v>0.24304470419883728</v>
      </c>
      <c r="L21"/>
      <c r="M21"/>
      <c r="N21"/>
      <c r="O21"/>
      <c r="P21"/>
      <c r="Q21"/>
      <c r="R21"/>
      <c r="S21"/>
      <c r="T21"/>
      <c r="U21"/>
      <c r="V21"/>
      <c r="W21"/>
      <c r="X21" s="230">
        <v>1.8608434125781059E-2</v>
      </c>
      <c r="Y21"/>
      <c r="Z21" s="265">
        <v>0.45806935429573059</v>
      </c>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211</v>
      </c>
      <c r="B22">
        <v>0.52999997138977051</v>
      </c>
      <c r="C22">
        <v>1.494339294731617E-2</v>
      </c>
      <c r="D22" s="224">
        <v>8.7509840726852417E-2</v>
      </c>
      <c r="E22" s="15">
        <v>5.2416273392736912E-3</v>
      </c>
      <c r="F22"/>
      <c r="G22"/>
      <c r="H22"/>
      <c r="I22"/>
      <c r="J22" s="24">
        <v>1.4182614162564278E-2</v>
      </c>
      <c r="K22" s="251">
        <v>5.545102059841156E-2</v>
      </c>
      <c r="L22"/>
      <c r="M22" s="269">
        <v>0.10201942920684814</v>
      </c>
      <c r="N22" s="236">
        <v>1.7700668424367905E-2</v>
      </c>
      <c r="O22"/>
      <c r="P22" s="242">
        <v>5.2268818020820618E-2</v>
      </c>
      <c r="Q22" s="232">
        <v>2.8556564822793007E-2</v>
      </c>
      <c r="R22"/>
      <c r="S22"/>
      <c r="T22"/>
      <c r="U22"/>
      <c r="V22"/>
      <c r="W22"/>
      <c r="X22" s="28">
        <v>1.9104938954114914E-2</v>
      </c>
      <c r="Y22"/>
      <c r="Z22" s="264">
        <v>7.1256287395954132E-2</v>
      </c>
      <c r="AA22"/>
      <c r="AB22"/>
      <c r="AC22"/>
      <c r="AD22"/>
      <c r="AE22"/>
      <c r="AF22"/>
      <c r="AG22"/>
      <c r="AH22"/>
      <c r="AI22"/>
      <c r="AJ22"/>
      <c r="AK22" s="257">
        <v>6.1764750629663467E-2</v>
      </c>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212</v>
      </c>
      <c r="B23">
        <v>0.50999999046325684</v>
      </c>
      <c r="C23">
        <v>0.46096307039260864</v>
      </c>
      <c r="D23"/>
      <c r="E23"/>
      <c r="F23"/>
      <c r="G23"/>
      <c r="H23"/>
      <c r="I23"/>
      <c r="J23"/>
      <c r="K23" s="231">
        <v>4.9036912620067596E-2</v>
      </c>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213</v>
      </c>
      <c r="B24">
        <v>0.67000001668930054</v>
      </c>
      <c r="C24">
        <v>6.0575217008590698E-2</v>
      </c>
      <c r="D24"/>
      <c r="E24"/>
      <c r="F24"/>
      <c r="G24"/>
      <c r="H24"/>
      <c r="I24"/>
      <c r="J24"/>
      <c r="K24" s="267">
        <v>9.2994421720504761E-2</v>
      </c>
      <c r="L24"/>
      <c r="M24" s="253">
        <v>0.1019272655248642</v>
      </c>
      <c r="N24" s="109">
        <v>4.4211689382791519E-2</v>
      </c>
      <c r="O24"/>
      <c r="P24" s="271">
        <v>0.12533186376094818</v>
      </c>
      <c r="Q24" s="29">
        <v>3.1383845955133438E-2</v>
      </c>
      <c r="R24"/>
      <c r="S24"/>
      <c r="T24"/>
      <c r="U24"/>
      <c r="V24"/>
      <c r="W24"/>
      <c r="X24"/>
      <c r="Y24"/>
      <c r="Z24" s="245">
        <v>0.21357573568820953</v>
      </c>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214</v>
      </c>
      <c r="B25">
        <v>0.4699999988079071</v>
      </c>
      <c r="C25">
        <v>2.3499976843595505E-2</v>
      </c>
      <c r="D25"/>
      <c r="E25" s="226">
        <v>3.4681368619203568E-2</v>
      </c>
      <c r="F25"/>
      <c r="G25"/>
      <c r="H25"/>
      <c r="I25" s="13">
        <v>1.7586955800652504E-2</v>
      </c>
      <c r="J25"/>
      <c r="K25" s="232">
        <v>2.4822503328323364E-2</v>
      </c>
      <c r="L25"/>
      <c r="M25" s="255">
        <v>0.36940920352935791</v>
      </c>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215</v>
      </c>
      <c r="B26">
        <v>0.85000002384185791</v>
      </c>
      <c r="C26">
        <v>4.2500011622905731E-2</v>
      </c>
      <c r="D26"/>
      <c r="E26" s="67">
        <v>4.9325250089168549E-2</v>
      </c>
      <c r="F26"/>
      <c r="G26"/>
      <c r="H26"/>
      <c r="I26"/>
      <c r="J26"/>
      <c r="K26" s="227">
        <v>5.8667145669460297E-2</v>
      </c>
      <c r="L26"/>
      <c r="M26" s="249">
        <v>0.13096290826797485</v>
      </c>
      <c r="N26"/>
      <c r="O26"/>
      <c r="P26"/>
      <c r="Q26"/>
      <c r="R26"/>
      <c r="S26"/>
      <c r="T26"/>
      <c r="U26"/>
      <c r="V26"/>
      <c r="W26" s="260">
        <v>0.18630963563919067</v>
      </c>
      <c r="X26"/>
      <c r="Y26" s="272">
        <v>0.38223505020141602</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216</v>
      </c>
      <c r="B27">
        <v>0.75999999046325684</v>
      </c>
      <c r="C27">
        <v>3.7999961525201797E-2</v>
      </c>
      <c r="D27"/>
      <c r="E27"/>
      <c r="F27"/>
      <c r="G27" s="146">
        <v>2.244485542178154E-2</v>
      </c>
      <c r="H27"/>
      <c r="I27" s="24">
        <v>2.1567812189459801E-2</v>
      </c>
      <c r="J27"/>
      <c r="K27" s="12">
        <v>3.0441146809607744E-3</v>
      </c>
      <c r="L27"/>
      <c r="M27"/>
      <c r="N27"/>
      <c r="O27" s="19">
        <v>1.3192103244364262E-2</v>
      </c>
      <c r="P27" s="19">
        <v>1.3390626758337021E-2</v>
      </c>
      <c r="Q27"/>
      <c r="R27"/>
      <c r="S27"/>
      <c r="T27"/>
      <c r="U27"/>
      <c r="V27"/>
      <c r="W27" s="22">
        <v>5.2826311439275742E-3</v>
      </c>
      <c r="X27"/>
      <c r="Y27" s="15">
        <v>7.345693651586771E-3</v>
      </c>
      <c r="Z27" s="230">
        <v>1.8254980444908142E-2</v>
      </c>
      <c r="AA27"/>
      <c r="AB27"/>
      <c r="AC27"/>
      <c r="AD27"/>
      <c r="AE27"/>
      <c r="AF27"/>
      <c r="AG27"/>
      <c r="AH27"/>
      <c r="AI27"/>
      <c r="AJ27"/>
      <c r="AK27"/>
      <c r="AL27"/>
      <c r="AM27"/>
      <c r="AN27" s="284">
        <v>0.61747723817825317</v>
      </c>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217</v>
      </c>
      <c r="B28">
        <v>0.82999998331069946</v>
      </c>
      <c r="C28">
        <v>4.149990901350975E-2</v>
      </c>
      <c r="D28"/>
      <c r="E28" s="227">
        <v>5.6622050702571869E-2</v>
      </c>
      <c r="F28"/>
      <c r="G28"/>
      <c r="H28"/>
      <c r="I28"/>
      <c r="J28"/>
      <c r="K28" s="246">
        <v>9.4932325184345245E-2</v>
      </c>
      <c r="L28"/>
      <c r="M28"/>
      <c r="N28"/>
      <c r="O28"/>
      <c r="P28"/>
      <c r="Q28"/>
      <c r="R28"/>
      <c r="S28"/>
      <c r="T28"/>
      <c r="U28"/>
      <c r="V28"/>
      <c r="W28" s="110">
        <v>0.14356060326099396</v>
      </c>
      <c r="X28" s="108">
        <v>0.10175735503435135</v>
      </c>
      <c r="Y28"/>
      <c r="Z28" s="242">
        <v>8.1327326595783234E-2</v>
      </c>
      <c r="AA28"/>
      <c r="AB28" s="79">
        <v>0.18314994871616364</v>
      </c>
      <c r="AC28" s="253">
        <v>0.12715043127536774</v>
      </c>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218</v>
      </c>
      <c r="B29">
        <v>0.75</v>
      </c>
      <c r="C29">
        <v>3.6514073610305786E-2</v>
      </c>
      <c r="D29" s="14">
        <v>1.0457516182214022E-3</v>
      </c>
      <c r="E29" s="15">
        <v>6.7320265807211399E-3</v>
      </c>
      <c r="F29"/>
      <c r="G29" s="76">
        <v>5.8773741126060486E-2</v>
      </c>
      <c r="H29"/>
      <c r="I29" s="108">
        <v>9.318726509809494E-2</v>
      </c>
      <c r="J29" s="21">
        <v>1.4271588996052742E-2</v>
      </c>
      <c r="K29" s="72">
        <v>5.3141802549362183E-2</v>
      </c>
      <c r="L29"/>
      <c r="M29" s="253">
        <v>0.11406602710485458</v>
      </c>
      <c r="N29" s="233">
        <v>2.9686180874705315E-2</v>
      </c>
      <c r="O29"/>
      <c r="P29" s="29">
        <v>3.5064481198787689E-2</v>
      </c>
      <c r="Q29" s="276">
        <v>9.5785714685916901E-2</v>
      </c>
      <c r="R29"/>
      <c r="S29"/>
      <c r="T29"/>
      <c r="U29"/>
      <c r="V29"/>
      <c r="W29" s="259">
        <v>4.2190693318843842E-2</v>
      </c>
      <c r="X29" s="230">
        <v>1.708870567381382E-2</v>
      </c>
      <c r="Y29"/>
      <c r="Z29" s="78">
        <v>4.780220240354538E-2</v>
      </c>
      <c r="AA29"/>
      <c r="AB29" s="268">
        <v>6.728188693523407E-2</v>
      </c>
      <c r="AC29" s="254">
        <v>3.7367947399616241E-2</v>
      </c>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219</v>
      </c>
      <c r="B30">
        <v>1.6599999666213989</v>
      </c>
      <c r="C30">
        <v>8.3000019192695618E-2</v>
      </c>
      <c r="D30" s="16">
        <v>2.6563044637441635E-2</v>
      </c>
      <c r="E30" s="15">
        <v>1.7638938501477242E-2</v>
      </c>
      <c r="F30"/>
      <c r="G30" s="66">
        <v>6.7210197448730469E-2</v>
      </c>
      <c r="H30"/>
      <c r="I30" s="14">
        <v>3.2291964162141085E-3</v>
      </c>
      <c r="J30"/>
      <c r="K30" s="17">
        <v>2.4307936429977417E-2</v>
      </c>
      <c r="L30"/>
      <c r="M30" s="24">
        <v>4.6958114951848984E-2</v>
      </c>
      <c r="N30"/>
      <c r="O30" s="19">
        <v>3.0285798013210297E-2</v>
      </c>
      <c r="P30"/>
      <c r="Q30"/>
      <c r="R30"/>
      <c r="S30"/>
      <c r="T30"/>
      <c r="U30"/>
      <c r="V30"/>
      <c r="W30" s="146">
        <v>4.8246800899505615E-2</v>
      </c>
      <c r="X30" s="230">
        <v>3.9083283394575119E-2</v>
      </c>
      <c r="Y30" s="67">
        <v>9.8983705043792725E-2</v>
      </c>
      <c r="Z30" s="26">
        <v>4.3731033802032471E-2</v>
      </c>
      <c r="AA30"/>
      <c r="AB30" s="226">
        <v>0.12310338765382767</v>
      </c>
      <c r="AC30" s="26">
        <v>4.2731788009405136E-2</v>
      </c>
      <c r="AD30"/>
      <c r="AE30"/>
      <c r="AF30"/>
      <c r="AG30"/>
      <c r="AH30" s="283">
        <v>0.87292581796646118</v>
      </c>
      <c r="AI30" s="65">
        <v>3.4265711903572083E-2</v>
      </c>
      <c r="AJ30" s="28">
        <v>5.773516371846199E-2</v>
      </c>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220</v>
      </c>
      <c r="B31">
        <v>0.92000001668930054</v>
      </c>
      <c r="C31">
        <v>4.6000011265277863E-2</v>
      </c>
      <c r="D31"/>
      <c r="E31"/>
      <c r="F31"/>
      <c r="G31"/>
      <c r="H31"/>
      <c r="I31"/>
      <c r="J31"/>
      <c r="K31"/>
      <c r="L31"/>
      <c r="M31"/>
      <c r="N31"/>
      <c r="O31"/>
      <c r="P31"/>
      <c r="Q31"/>
      <c r="R31"/>
      <c r="S31"/>
      <c r="T31"/>
      <c r="U31"/>
      <c r="V31"/>
      <c r="W31" s="261">
        <v>0.16457372903823853</v>
      </c>
      <c r="X31" s="143">
        <v>9.1654904186725616E-2</v>
      </c>
      <c r="Y31" s="263">
        <v>0.16882069408893585</v>
      </c>
      <c r="Z31" s="241">
        <v>9.3231305480003357E-2</v>
      </c>
      <c r="AA31"/>
      <c r="AB31" s="266">
        <v>0.20995780825614929</v>
      </c>
      <c r="AC31" s="252">
        <v>0.14576157927513123</v>
      </c>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221</v>
      </c>
      <c r="B32">
        <v>1.3799999952316284</v>
      </c>
      <c r="C32">
        <v>6.9000095129013062E-2</v>
      </c>
      <c r="D32" s="225">
        <v>0.24387386441230774</v>
      </c>
      <c r="E32" s="11">
        <v>7.9624762292951345E-4</v>
      </c>
      <c r="F32"/>
      <c r="G32" s="28">
        <v>4.8708591610193253E-2</v>
      </c>
      <c r="H32"/>
      <c r="I32" s="19">
        <v>2.3402640596032143E-2</v>
      </c>
      <c r="J32" s="233">
        <v>5.5195197463035583E-2</v>
      </c>
      <c r="K32" s="233">
        <v>5.5051416158676147E-2</v>
      </c>
      <c r="L32" s="23">
        <v>7.9920114949345589E-3</v>
      </c>
      <c r="M32" s="227">
        <v>9.4531938433647156E-2</v>
      </c>
      <c r="N32" s="19">
        <v>2.4602347984910011E-2</v>
      </c>
      <c r="O32" s="28">
        <v>4.7714628279209137E-2</v>
      </c>
      <c r="P32" s="24">
        <v>3.7777487188577652E-2</v>
      </c>
      <c r="Q32" s="259">
        <v>7.9382166266441345E-2</v>
      </c>
      <c r="R32"/>
      <c r="S32"/>
      <c r="T32"/>
      <c r="U32"/>
      <c r="V32"/>
      <c r="W32" s="26">
        <v>3.4965433180332184E-2</v>
      </c>
      <c r="X32" s="26">
        <v>3.5405553877353668E-2</v>
      </c>
      <c r="Y32" s="26">
        <v>3.5867746919393539E-2</v>
      </c>
      <c r="Z32" s="146">
        <v>3.9615955203771591E-2</v>
      </c>
      <c r="AA32"/>
      <c r="AB32" s="281">
        <v>0.16727907955646515</v>
      </c>
      <c r="AC32" s="65">
        <v>3.0968591570854187E-2</v>
      </c>
      <c r="AD32"/>
      <c r="AE32"/>
      <c r="AF32" s="109">
        <v>9.2075400054454803E-2</v>
      </c>
      <c r="AG32" s="23">
        <v>9.0092066675424576E-3</v>
      </c>
      <c r="AH32" s="232">
        <v>7.3561280965805054E-2</v>
      </c>
      <c r="AI32"/>
      <c r="AJ32" s="232">
        <v>7.3223225772380829E-2</v>
      </c>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222</v>
      </c>
      <c r="B33">
        <v>0.73000001907348633</v>
      </c>
      <c r="C33">
        <v>3.6500010639429092E-2</v>
      </c>
      <c r="D33"/>
      <c r="E33"/>
      <c r="F33"/>
      <c r="G33"/>
      <c r="H33"/>
      <c r="I33"/>
      <c r="J33" s="27">
        <v>5.6487288326025009E-2</v>
      </c>
      <c r="K33" s="270">
        <v>0.44959431886672974</v>
      </c>
      <c r="L33" s="244">
        <v>0.15903808176517487</v>
      </c>
      <c r="M33"/>
      <c r="N33"/>
      <c r="O33"/>
      <c r="P33"/>
      <c r="Q33"/>
      <c r="R33"/>
      <c r="S33"/>
      <c r="T33"/>
      <c r="U33"/>
      <c r="V33"/>
      <c r="W33"/>
      <c r="X33"/>
      <c r="Y33"/>
      <c r="Z33" s="233">
        <v>2.8380339965224266E-2</v>
      </c>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223</v>
      </c>
      <c r="B34">
        <v>0.51999998092651367</v>
      </c>
      <c r="C34">
        <v>0.21258252859115601</v>
      </c>
      <c r="D34"/>
      <c r="E34"/>
      <c r="F34" s="21">
        <v>1.0555564425885677E-2</v>
      </c>
      <c r="G34" s="110">
        <v>8.9333243668079376E-2</v>
      </c>
      <c r="H34"/>
      <c r="I34"/>
      <c r="J34" s="69">
        <v>4.74272221326828E-2</v>
      </c>
      <c r="K34" s="12">
        <v>1.9541846122592688E-3</v>
      </c>
      <c r="L34" s="276">
        <v>6.619572639465332E-2</v>
      </c>
      <c r="M34"/>
      <c r="N34"/>
      <c r="O34"/>
      <c r="P34"/>
      <c r="Q34"/>
      <c r="R34"/>
      <c r="S34"/>
      <c r="T34"/>
      <c r="U34"/>
      <c r="V34"/>
      <c r="W34"/>
      <c r="X34"/>
      <c r="Y34"/>
      <c r="Z34" s="66">
        <v>2.1093977615237236E-2</v>
      </c>
      <c r="AA34"/>
      <c r="AB34"/>
      <c r="AC34"/>
      <c r="AD34"/>
      <c r="AE34"/>
      <c r="AF34"/>
      <c r="AG34"/>
      <c r="AH34"/>
      <c r="AI34"/>
      <c r="AJ34"/>
      <c r="AK34" s="264">
        <v>7.0857472717761993E-2</v>
      </c>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224</v>
      </c>
      <c r="B35">
        <v>0.5899999737739563</v>
      </c>
      <c r="C35">
        <v>2.9499934986233711E-2</v>
      </c>
      <c r="D35"/>
      <c r="E35"/>
      <c r="F35"/>
      <c r="G35"/>
      <c r="H35"/>
      <c r="I35"/>
      <c r="J35" s="78">
        <v>3.8549873977899551E-2</v>
      </c>
      <c r="K35"/>
      <c r="L35" s="235">
        <v>4.7755781561136246E-2</v>
      </c>
      <c r="M35" s="279">
        <v>0.46216630935668945</v>
      </c>
      <c r="N35" s="21">
        <v>1.2028081342577934E-2</v>
      </c>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225</v>
      </c>
      <c r="B36">
        <v>0.30000001192092896</v>
      </c>
      <c r="C36">
        <v>1.5000004321336746E-2</v>
      </c>
      <c r="D36"/>
      <c r="E36"/>
      <c r="F36" s="240">
        <v>5.0062641501426697E-2</v>
      </c>
      <c r="G36"/>
      <c r="H36"/>
      <c r="I36"/>
      <c r="J36"/>
      <c r="K36"/>
      <c r="L36" s="69">
        <v>2.7408445253968239E-2</v>
      </c>
      <c r="M36"/>
      <c r="N36"/>
      <c r="O36"/>
      <c r="P36"/>
      <c r="Q36"/>
      <c r="R36"/>
      <c r="S36"/>
      <c r="T36"/>
      <c r="U36"/>
      <c r="V36"/>
      <c r="W36"/>
      <c r="X36"/>
      <c r="Y36"/>
      <c r="Z36"/>
      <c r="AA36"/>
      <c r="AB36"/>
      <c r="AC36"/>
      <c r="AD36"/>
      <c r="AE36"/>
      <c r="AF36"/>
      <c r="AG36"/>
      <c r="AH36"/>
      <c r="AI36"/>
      <c r="AJ36"/>
      <c r="AK36"/>
      <c r="AL36"/>
      <c r="AM36" s="274">
        <v>0.20752893388271332</v>
      </c>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226</v>
      </c>
      <c r="B37">
        <v>0.80000001192092896</v>
      </c>
      <c r="C37">
        <v>3.9999961853027344E-2</v>
      </c>
      <c r="D37"/>
      <c r="E37"/>
      <c r="F37" s="18">
        <v>9.9753811955451965E-3</v>
      </c>
      <c r="G37" s="285">
        <v>0.56917494535446167</v>
      </c>
      <c r="H37"/>
      <c r="I37"/>
      <c r="J37"/>
      <c r="K37" s="11">
        <v>6.1559118330478668E-4</v>
      </c>
      <c r="L37" s="259">
        <v>4.5676764100790024E-2</v>
      </c>
      <c r="M37"/>
      <c r="N37" s="29">
        <v>3.7139348685741425E-2</v>
      </c>
      <c r="O37"/>
      <c r="P37"/>
      <c r="Q37"/>
      <c r="R37"/>
      <c r="S37"/>
      <c r="T37"/>
      <c r="U37"/>
      <c r="V37"/>
      <c r="W37"/>
      <c r="X37"/>
      <c r="Y37"/>
      <c r="Z37" s="14">
        <v>2.2149505093693733E-3</v>
      </c>
      <c r="AA37"/>
      <c r="AB37"/>
      <c r="AC37"/>
      <c r="AD37"/>
      <c r="AE37"/>
      <c r="AF37"/>
      <c r="AG37"/>
      <c r="AH37"/>
      <c r="AI37"/>
      <c r="AJ37"/>
      <c r="AK37" s="109">
        <v>5.3851217031478882E-2</v>
      </c>
      <c r="AL37"/>
      <c r="AM37" s="70">
        <v>4.1351798921823502E-2</v>
      </c>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227</v>
      </c>
      <c r="B38">
        <v>2.7200000286102295</v>
      </c>
      <c r="C38">
        <v>1.6619483232498169</v>
      </c>
      <c r="D38"/>
      <c r="E38"/>
      <c r="F38" s="11">
        <v>1.8470501527190208E-3</v>
      </c>
      <c r="G38" s="23">
        <v>1.5883976593613625E-2</v>
      </c>
      <c r="H38"/>
      <c r="I38"/>
      <c r="J38" s="14">
        <v>2.7209783438593149E-3</v>
      </c>
      <c r="K38"/>
      <c r="L38" s="14">
        <v>6.4350911416113377E-3</v>
      </c>
      <c r="M38" s="12">
        <v>9.8842335864901543E-3</v>
      </c>
      <c r="N38" s="23">
        <v>1.3371463865041733E-2</v>
      </c>
      <c r="O38"/>
      <c r="P38"/>
      <c r="Q38"/>
      <c r="R38"/>
      <c r="S38"/>
      <c r="T38"/>
      <c r="U38"/>
      <c r="V38"/>
      <c r="W38"/>
      <c r="X38"/>
      <c r="Y38"/>
      <c r="Z38" s="12">
        <v>1.0253053158521652E-2</v>
      </c>
      <c r="AA38"/>
      <c r="AB38"/>
      <c r="AC38"/>
      <c r="AD38"/>
      <c r="AE38"/>
      <c r="AF38"/>
      <c r="AG38"/>
      <c r="AH38"/>
      <c r="AI38"/>
      <c r="AJ38"/>
      <c r="AK38" s="14">
        <v>5.3757433779537678E-3</v>
      </c>
      <c r="AL38"/>
      <c r="AM38" s="14">
        <v>3.8283674512058496E-3</v>
      </c>
      <c r="AN38"/>
      <c r="AO38" s="293">
        <v>0.23769401013851166</v>
      </c>
      <c r="AP38" s="12">
        <v>9.5095094293355942E-3</v>
      </c>
      <c r="AQ38" s="295">
        <v>0.74124819040298462</v>
      </c>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228</v>
      </c>
      <c r="B39">
        <v>2.5</v>
      </c>
      <c r="C39">
        <v>0.12500002980232239</v>
      </c>
      <c r="D39" s="11">
        <v>1.0285215685144067E-3</v>
      </c>
      <c r="E39"/>
      <c r="F39" s="12">
        <v>9.8347235471010208E-3</v>
      </c>
      <c r="G39" s="287">
        <v>0.77721506357192993</v>
      </c>
      <c r="H39"/>
      <c r="I39" s="17">
        <v>3.3608023077249527E-2</v>
      </c>
      <c r="J39" s="282">
        <v>0.1149127334356308</v>
      </c>
      <c r="K39" s="19">
        <v>4.216434434056282E-2</v>
      </c>
      <c r="L39" s="26">
        <v>6.2061652541160583E-2</v>
      </c>
      <c r="M39" s="18">
        <v>3.01678366959095E-2</v>
      </c>
      <c r="N39" s="76">
        <v>0.19785304367542267</v>
      </c>
      <c r="O39" s="26">
        <v>6.3040196895599365E-2</v>
      </c>
      <c r="P39" s="78">
        <v>0.16414535045623779</v>
      </c>
      <c r="Q39" s="230">
        <v>6.0799472033977509E-2</v>
      </c>
      <c r="R39"/>
      <c r="S39" s="282">
        <v>0.11077739298343658</v>
      </c>
      <c r="T39"/>
      <c r="U39"/>
      <c r="V39"/>
      <c r="W39" s="22">
        <v>1.9207194447517395E-2</v>
      </c>
      <c r="X39" s="12">
        <v>1.0169029235839844E-2</v>
      </c>
      <c r="Y39"/>
      <c r="Z39" s="233">
        <v>9.6083611249923706E-2</v>
      </c>
      <c r="AA39"/>
      <c r="AB39" s="23">
        <v>1.2456156313419342E-2</v>
      </c>
      <c r="AC39"/>
      <c r="AD39"/>
      <c r="AE39"/>
      <c r="AF39"/>
      <c r="AG39" s="226">
        <v>0.18688115477561951</v>
      </c>
      <c r="AH39" s="66">
        <v>0.10094466060400009</v>
      </c>
      <c r="AI39"/>
      <c r="AJ39"/>
      <c r="AK39" s="16">
        <v>3.715217113494873E-2</v>
      </c>
      <c r="AL39" s="11">
        <v>2.2493437863886356E-3</v>
      </c>
      <c r="AM39" s="24">
        <v>6.6361896693706512E-2</v>
      </c>
      <c r="AN39"/>
      <c r="AO39"/>
      <c r="AP39" s="72">
        <v>0.17588625848293304</v>
      </c>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229</v>
      </c>
      <c r="B40">
        <v>5.5</v>
      </c>
      <c r="C40">
        <v>0.27499973773956299</v>
      </c>
      <c r="D40" s="11">
        <v>2.4508105707354844E-4</v>
      </c>
      <c r="E40" s="11">
        <v>6.7725331973633729E-6</v>
      </c>
      <c r="F40"/>
      <c r="G40"/>
      <c r="H40"/>
      <c r="I40" s="14">
        <v>1.4630367048084736E-2</v>
      </c>
      <c r="J40" s="14">
        <v>1.1501921340823174E-2</v>
      </c>
      <c r="K40" s="14">
        <v>6.1948583461344242E-3</v>
      </c>
      <c r="L40" s="11">
        <v>4.3023494072258472E-3</v>
      </c>
      <c r="M40" s="14">
        <v>1.4922111295163631E-2</v>
      </c>
      <c r="N40" s="11">
        <v>3.8450941792689264E-4</v>
      </c>
      <c r="O40" s="11">
        <v>1.4168880879878998E-3</v>
      </c>
      <c r="P40" s="22">
        <v>4.7006767243146896E-2</v>
      </c>
      <c r="Q40" s="11">
        <v>5.0867125391960144E-3</v>
      </c>
      <c r="R40" s="268">
        <v>0.49466878175735474</v>
      </c>
      <c r="S40" s="228">
        <v>1.8106611967086792</v>
      </c>
      <c r="T40"/>
      <c r="U40"/>
      <c r="V40" s="28">
        <v>0.19745297729969025</v>
      </c>
      <c r="W40" s="14">
        <v>1.5050421468913555E-2</v>
      </c>
      <c r="X40" s="21">
        <v>0.1043069139122963</v>
      </c>
      <c r="Y40" s="23">
        <v>3.357226774096489E-2</v>
      </c>
      <c r="Z40" s="17">
        <v>7.7394574880599976E-2</v>
      </c>
      <c r="AA40" s="14">
        <v>6.7774741910398006E-3</v>
      </c>
      <c r="AB40" s="282">
        <v>0.24270343780517578</v>
      </c>
      <c r="AC40" s="22">
        <v>4.321492463350296E-2</v>
      </c>
      <c r="AD40" s="22">
        <v>4.7145955264568329E-2</v>
      </c>
      <c r="AE40" s="11">
        <v>1.16134830750525E-3</v>
      </c>
      <c r="AF40" s="230">
        <v>0.12848605215549469</v>
      </c>
      <c r="AG40" s="21">
        <v>0.1034913957118988</v>
      </c>
      <c r="AH40" s="25">
        <v>0.17762663960456848</v>
      </c>
      <c r="AI40" s="230">
        <v>0.12749582529067993</v>
      </c>
      <c r="AJ40" s="22">
        <v>4.8228435218334198E-2</v>
      </c>
      <c r="AK40" s="14">
        <v>1.0602765716612339E-2</v>
      </c>
      <c r="AL40" s="17">
        <v>7.9314589500427246E-2</v>
      </c>
      <c r="AM40" s="14">
        <v>9.2976847663521767E-3</v>
      </c>
      <c r="AN40"/>
      <c r="AO40" s="65">
        <v>0.11658933013677597</v>
      </c>
      <c r="AP40" s="282">
        <v>0.24405871331691742</v>
      </c>
      <c r="AQ40"/>
      <c r="AR40" s="111">
        <v>1</v>
      </c>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230</v>
      </c>
      <c r="B41">
        <v>5</v>
      </c>
      <c r="C41">
        <v>0.25000005960464478</v>
      </c>
      <c r="D41"/>
      <c r="E41"/>
      <c r="F41"/>
      <c r="G41" s="14">
        <v>1.0874360799789429E-2</v>
      </c>
      <c r="H41"/>
      <c r="I41" s="14">
        <v>1.3774261809885502E-2</v>
      </c>
      <c r="J41" s="11">
        <v>3.9741462096571922E-3</v>
      </c>
      <c r="K41" s="11">
        <v>2.1452370565384626E-3</v>
      </c>
      <c r="L41" s="11">
        <v>1.8022668882622384E-5</v>
      </c>
      <c r="M41" s="11">
        <v>3.8755685091018677E-3</v>
      </c>
      <c r="N41" s="11">
        <v>1.0485794628039002E-3</v>
      </c>
      <c r="O41" s="11">
        <v>5.6167494039982557E-4</v>
      </c>
      <c r="P41" s="11">
        <v>1.7693611152935773E-4</v>
      </c>
      <c r="Q41" s="11">
        <v>1.611121988389641E-4</v>
      </c>
      <c r="R41"/>
      <c r="S41" s="20">
        <v>0.21840006113052368</v>
      </c>
      <c r="T41" s="146">
        <v>0.14421208202838898</v>
      </c>
      <c r="U41" s="25">
        <v>0.16164684295654297</v>
      </c>
      <c r="V41"/>
      <c r="W41"/>
      <c r="X41"/>
      <c r="Y41"/>
      <c r="Z41" s="12">
        <v>2.3879876360297203E-2</v>
      </c>
      <c r="AA41" s="11">
        <v>4.827497061342001E-3</v>
      </c>
      <c r="AB41" s="23">
        <v>2.8971157968044281E-2</v>
      </c>
      <c r="AC41" s="14">
        <v>7.4750334024429321E-3</v>
      </c>
      <c r="AD41" s="14">
        <v>1.2244740501046181E-2</v>
      </c>
      <c r="AE41" s="11">
        <v>4.2227529920637608E-3</v>
      </c>
      <c r="AF41" s="14">
        <v>7.4304705485701561E-3</v>
      </c>
      <c r="AG41" s="230">
        <v>0.11574326455593109</v>
      </c>
      <c r="AH41" s="22">
        <v>3.6876671016216278E-2</v>
      </c>
      <c r="AI41"/>
      <c r="AJ41" s="26">
        <v>0.13077870011329651</v>
      </c>
      <c r="AK41" s="11">
        <v>5.9494574088603258E-4</v>
      </c>
      <c r="AL41" s="18">
        <v>5.6505773216485977E-2</v>
      </c>
      <c r="AM41"/>
      <c r="AN41" s="14">
        <v>1.3598318211734295E-2</v>
      </c>
      <c r="AO41"/>
      <c r="AP41" s="142">
        <v>0.64878344535827637</v>
      </c>
      <c r="AQ41"/>
      <c r="AR41" s="299">
        <v>2.597198486328125</v>
      </c>
      <c r="AS41" s="143">
        <v>0.5</v>
      </c>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231</v>
      </c>
      <c r="B42">
        <v>10</v>
      </c>
      <c r="C42">
        <v>0.50000011920928955</v>
      </c>
      <c r="D42"/>
      <c r="E42"/>
      <c r="F42" s="14">
        <v>2.7959844097495079E-2</v>
      </c>
      <c r="G42"/>
      <c r="H42" s="11">
        <v>4.3012066744267941E-3</v>
      </c>
      <c r="I42" s="11">
        <v>2.6751940604299307E-3</v>
      </c>
      <c r="J42" s="11">
        <v>1.1417106725275517E-3</v>
      </c>
      <c r="K42" s="11">
        <v>5.034414934925735E-4</v>
      </c>
      <c r="L42" s="11">
        <v>2.1925917826592922E-3</v>
      </c>
      <c r="M42" s="11">
        <v>4.3224403634667397E-3</v>
      </c>
      <c r="N42" s="11">
        <v>5.2871890366077423E-3</v>
      </c>
      <c r="O42" s="11">
        <v>1.2654062593355775E-3</v>
      </c>
      <c r="P42"/>
      <c r="Q42" s="11">
        <v>1.4518891111947596E-4</v>
      </c>
      <c r="R42" s="297">
        <v>2.8249738216400146</v>
      </c>
      <c r="S42" s="296">
        <v>0.861064612865448</v>
      </c>
      <c r="T42"/>
      <c r="U42"/>
      <c r="V42" s="22">
        <v>8.2525044679641724E-2</v>
      </c>
      <c r="W42"/>
      <c r="X42"/>
      <c r="Y42"/>
      <c r="Z42" s="11">
        <v>3.2605666201561689E-3</v>
      </c>
      <c r="AA42"/>
      <c r="AB42" s="14">
        <v>1.0453331284224987E-2</v>
      </c>
      <c r="AC42"/>
      <c r="AD42" s="14">
        <v>1.4861042611300945E-2</v>
      </c>
      <c r="AE42" s="22">
        <v>7.2710372507572174E-2</v>
      </c>
      <c r="AF42"/>
      <c r="AG42" s="14">
        <v>2.3068804293870926E-2</v>
      </c>
      <c r="AH42" s="15">
        <v>9.014352411031723E-2</v>
      </c>
      <c r="AI42"/>
      <c r="AJ42" s="14">
        <v>2.0566942170262337E-2</v>
      </c>
      <c r="AK42" s="11">
        <v>3.9827916771173477E-3</v>
      </c>
      <c r="AL42" s="17">
        <v>0.13020330667495728</v>
      </c>
      <c r="AM42" s="14">
        <v>1.2252985499799252E-2</v>
      </c>
      <c r="AN42" s="11">
        <v>7.658966351300478E-3</v>
      </c>
      <c r="AO42" s="22">
        <v>8.4968090057373047E-2</v>
      </c>
      <c r="AP42" s="253">
        <v>1.537257194519043</v>
      </c>
      <c r="AQ42"/>
      <c r="AR42" s="238">
        <v>1.1702538728713989</v>
      </c>
      <c r="AS42"/>
      <c r="AT42" s="147">
        <v>2.5</v>
      </c>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t="s">
        <v>232</v>
      </c>
      <c r="B43">
        <v>40</v>
      </c>
      <c r="C43">
        <v>1.9999980926513672</v>
      </c>
      <c r="D43"/>
      <c r="E43"/>
      <c r="F43"/>
      <c r="G43"/>
      <c r="H43"/>
      <c r="I43"/>
      <c r="J43"/>
      <c r="K43"/>
      <c r="L43"/>
      <c r="M43"/>
      <c r="N43" s="11">
        <v>8.116025710478425E-4</v>
      </c>
      <c r="O43" s="11">
        <v>9.968980448320508E-4</v>
      </c>
      <c r="P43" s="11">
        <v>2.636265940964222E-3</v>
      </c>
      <c r="Q43" s="11">
        <v>8.7290820374619216E-5</v>
      </c>
      <c r="R43" s="146">
        <v>1.190298318862915</v>
      </c>
      <c r="S43" s="15">
        <v>0.37455087900161743</v>
      </c>
      <c r="T43" s="298">
        <v>3.3207077980041504</v>
      </c>
      <c r="U43" s="65">
        <v>0.87580472230911255</v>
      </c>
      <c r="V43" s="19">
        <v>0.66882234811782837</v>
      </c>
      <c r="W43"/>
      <c r="X43"/>
      <c r="Y43"/>
      <c r="Z43" s="11">
        <v>1.0890697740251198E-4</v>
      </c>
      <c r="AA43" s="11">
        <v>2.8553977608680725E-3</v>
      </c>
      <c r="AB43"/>
      <c r="AC43"/>
      <c r="AD43" s="11">
        <v>3.7986240349709988E-3</v>
      </c>
      <c r="AE43" s="14">
        <v>4.4123649597167969E-2</v>
      </c>
      <c r="AF43"/>
      <c r="AG43" s="11">
        <v>6.4394008368253708E-3</v>
      </c>
      <c r="AH43"/>
      <c r="AI43"/>
      <c r="AJ43" s="11">
        <v>2.2142522037029266E-2</v>
      </c>
      <c r="AK43" s="11">
        <v>2.9931790777482092E-4</v>
      </c>
      <c r="AL43" s="11">
        <v>1.085085142403841E-2</v>
      </c>
      <c r="AM43" s="11">
        <v>4.9210009165108204E-3</v>
      </c>
      <c r="AN43" s="11">
        <v>4.6047414653003216E-3</v>
      </c>
      <c r="AO43"/>
      <c r="AP43" s="76">
        <v>3.1363329887390137</v>
      </c>
      <c r="AQ43"/>
      <c r="AR43" s="19">
        <v>0.703582763671875</v>
      </c>
      <c r="AS43" s="276">
        <v>5.0793876647949219</v>
      </c>
      <c r="AT43" s="300">
        <v>22.545839309692383</v>
      </c>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t="s">
        <v>233</v>
      </c>
      <c r="B44">
        <v>197</v>
      </c>
      <c r="C44">
        <v>144.71414184570312</v>
      </c>
      <c r="D44"/>
      <c r="E44"/>
      <c r="F44"/>
      <c r="G44"/>
      <c r="H44" s="11">
        <v>6.5123885869979858E-3</v>
      </c>
      <c r="I44"/>
      <c r="J44"/>
      <c r="K44" s="11">
        <v>2.5408422516193241E-5</v>
      </c>
      <c r="L44"/>
      <c r="M44"/>
      <c r="N44"/>
      <c r="O44"/>
      <c r="P44"/>
      <c r="Q44"/>
      <c r="R44"/>
      <c r="S44" s="11">
        <v>0.14152050018310547</v>
      </c>
      <c r="T44" s="14">
        <v>0.1937875896692276</v>
      </c>
      <c r="U44" s="14">
        <v>0.3063301146030426</v>
      </c>
      <c r="V44" s="11">
        <v>7.108258455991745E-2</v>
      </c>
      <c r="W44"/>
      <c r="X44"/>
      <c r="Y44"/>
      <c r="Z44" s="11">
        <v>9.1421708930283785E-5</v>
      </c>
      <c r="AA44"/>
      <c r="AB44"/>
      <c r="AC44"/>
      <c r="AD44" s="11">
        <v>1.0629153111949563E-3</v>
      </c>
      <c r="AE44" s="11">
        <v>5.5673565715551376E-2</v>
      </c>
      <c r="AF44"/>
      <c r="AG44" s="11">
        <v>3.742297412827611E-3</v>
      </c>
      <c r="AH44"/>
      <c r="AI44"/>
      <c r="AJ44" s="11">
        <v>1.3759569264948368E-2</v>
      </c>
      <c r="AK44"/>
      <c r="AL44"/>
      <c r="AM44"/>
      <c r="AN44"/>
      <c r="AO44"/>
      <c r="AP44"/>
      <c r="AQ44"/>
      <c r="AR44"/>
      <c r="AS44" s="14">
        <v>0.28425866365432739</v>
      </c>
      <c r="AT44" s="12">
        <v>0.84115785360336304</v>
      </c>
      <c r="AU44" s="148">
        <v>50.366855621337891</v>
      </c>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t="s">
        <v>234</v>
      </c>
      <c r="B45"/>
      <c r="C45">
        <v>9.1568149626255035E-2</v>
      </c>
      <c r="D45"/>
      <c r="E45"/>
      <c r="F45"/>
      <c r="G45"/>
      <c r="H45"/>
      <c r="I45"/>
      <c r="J45" s="9">
        <v>1.2130849063396454E-3</v>
      </c>
      <c r="K45" s="9">
        <v>1.7074458301067352E-2</v>
      </c>
      <c r="L45"/>
      <c r="M45"/>
      <c r="N45"/>
      <c r="O45"/>
      <c r="P45"/>
      <c r="Q45" s="9">
        <v>1.4655212871730328E-3</v>
      </c>
      <c r="R45"/>
      <c r="S45" s="9">
        <v>0.11214832961559296</v>
      </c>
      <c r="T45" s="9">
        <v>0.9242178201675415</v>
      </c>
      <c r="U45"/>
      <c r="V45" s="9">
        <v>6.3307924270629883</v>
      </c>
      <c r="W45"/>
      <c r="X45" s="9">
        <v>1.3072859728708863E-3</v>
      </c>
      <c r="Y45"/>
      <c r="Z45"/>
      <c r="AA45" s="9">
        <v>1.6778698191046715E-2</v>
      </c>
      <c r="AB45"/>
      <c r="AC45"/>
      <c r="AD45" s="9">
        <v>2.5509968400001526E-2</v>
      </c>
      <c r="AE45" s="9">
        <v>0.77920132875442505</v>
      </c>
      <c r="AF45"/>
      <c r="AG45" s="9">
        <v>1.1642701923847198E-2</v>
      </c>
      <c r="AH45" s="9">
        <v>4.753204807639122E-2</v>
      </c>
      <c r="AI45"/>
      <c r="AJ45" s="9">
        <v>1.1587006039917469E-2</v>
      </c>
      <c r="AK45"/>
      <c r="AL45"/>
      <c r="AM45"/>
      <c r="AN45"/>
      <c r="AO45"/>
      <c r="AP45"/>
      <c r="AQ45"/>
      <c r="AR45" s="9">
        <v>11.812418937683105</v>
      </c>
      <c r="AS45" s="9">
        <v>181.92555236816406</v>
      </c>
      <c r="AT45" s="9">
        <v>20.187788009643555</v>
      </c>
      <c r="AU45" s="9">
        <v>134.31163024902344</v>
      </c>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t="s">
        <v>235</v>
      </c>
      <c r="B46"/>
      <c r="C46">
        <v>0</v>
      </c>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opLeftCell="A23"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27.5" bestFit="1" customWidth="1"/>
    <col min="5" max="5" width="3.33203125" bestFit="1" customWidth="1"/>
    <col min="6" max="6" width="4.83203125" bestFit="1" customWidth="1"/>
    <col min="7" max="7" width="3.33203125" bestFit="1" customWidth="1"/>
    <col min="8" max="8" width="27.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98" t="s">
        <v>191</v>
      </c>
      <c r="E5">
        <v>4</v>
      </c>
      <c r="F5">
        <v>3.13</v>
      </c>
      <c r="G5">
        <v>4</v>
      </c>
      <c r="H5" s="199" t="s">
        <v>191</v>
      </c>
      <c r="J5" s="57"/>
      <c r="K5" s="58"/>
    </row>
    <row r="6" spans="1:12" ht="14" thickBot="1" x14ac:dyDescent="0.2">
      <c r="A6" s="41" t="s">
        <v>121</v>
      </c>
      <c r="D6" s="198" t="s">
        <v>192</v>
      </c>
      <c r="E6">
        <v>5</v>
      </c>
      <c r="F6">
        <v>3.13</v>
      </c>
      <c r="G6">
        <v>5</v>
      </c>
      <c r="H6" s="199" t="s">
        <v>192</v>
      </c>
      <c r="J6" s="57"/>
      <c r="K6" s="58"/>
    </row>
    <row r="7" spans="1:12" x14ac:dyDescent="0.15">
      <c r="A7" s="36" t="s">
        <v>126</v>
      </c>
      <c r="B7" s="43">
        <v>1</v>
      </c>
      <c r="C7" s="38"/>
      <c r="D7" s="198" t="s">
        <v>193</v>
      </c>
      <c r="E7">
        <v>6</v>
      </c>
      <c r="F7">
        <v>3.12</v>
      </c>
      <c r="G7">
        <v>6</v>
      </c>
      <c r="H7" s="199" t="s">
        <v>193</v>
      </c>
      <c r="J7" s="57"/>
      <c r="K7" s="58"/>
    </row>
    <row r="8" spans="1:12" x14ac:dyDescent="0.15">
      <c r="A8" s="36" t="s">
        <v>38</v>
      </c>
      <c r="B8" s="44">
        <v>1</v>
      </c>
      <c r="C8" s="38"/>
      <c r="D8" s="198" t="s">
        <v>194</v>
      </c>
      <c r="E8">
        <v>7</v>
      </c>
      <c r="F8">
        <v>3.13</v>
      </c>
      <c r="G8">
        <v>7</v>
      </c>
      <c r="H8" s="199" t="s">
        <v>194</v>
      </c>
      <c r="J8" s="57"/>
      <c r="K8" s="58"/>
    </row>
    <row r="9" spans="1:12" x14ac:dyDescent="0.15">
      <c r="A9" s="36" t="s">
        <v>40</v>
      </c>
      <c r="B9" s="44">
        <v>1.1000000000000001</v>
      </c>
      <c r="C9" s="38"/>
      <c r="D9" s="198" t="s">
        <v>195</v>
      </c>
      <c r="E9">
        <v>8</v>
      </c>
      <c r="F9">
        <v>3.22</v>
      </c>
      <c r="G9">
        <v>8</v>
      </c>
      <c r="H9" s="199" t="s">
        <v>195</v>
      </c>
      <c r="J9" s="57"/>
      <c r="K9" s="58"/>
    </row>
    <row r="10" spans="1:12" x14ac:dyDescent="0.15">
      <c r="A10" s="36" t="s">
        <v>41</v>
      </c>
      <c r="B10" s="44">
        <v>1.2</v>
      </c>
      <c r="C10" s="38"/>
      <c r="D10" s="198" t="s">
        <v>196</v>
      </c>
      <c r="E10">
        <v>9</v>
      </c>
      <c r="F10">
        <v>3.22</v>
      </c>
      <c r="G10">
        <v>9</v>
      </c>
      <c r="H10" s="199" t="s">
        <v>196</v>
      </c>
      <c r="J10" s="57"/>
      <c r="K10" s="58"/>
    </row>
    <row r="11" spans="1:12" ht="12" customHeight="1" x14ac:dyDescent="0.15">
      <c r="A11" s="42" t="s">
        <v>127</v>
      </c>
      <c r="B11" s="44">
        <v>2</v>
      </c>
      <c r="C11" s="38"/>
      <c r="D11" s="198" t="s">
        <v>197</v>
      </c>
      <c r="E11">
        <v>10</v>
      </c>
      <c r="F11">
        <v>3.22</v>
      </c>
      <c r="G11">
        <v>10</v>
      </c>
      <c r="H11" s="199" t="s">
        <v>197</v>
      </c>
      <c r="J11" s="57"/>
      <c r="K11" s="58"/>
    </row>
    <row r="12" spans="1:12" x14ac:dyDescent="0.15">
      <c r="A12" s="36" t="s">
        <v>42</v>
      </c>
      <c r="B12" s="44">
        <v>2.1</v>
      </c>
      <c r="C12" s="38"/>
      <c r="D12" s="198" t="s">
        <v>198</v>
      </c>
      <c r="E12">
        <v>11</v>
      </c>
      <c r="F12">
        <v>3.22</v>
      </c>
      <c r="G12">
        <v>11</v>
      </c>
      <c r="H12" s="199" t="s">
        <v>198</v>
      </c>
      <c r="J12" s="57"/>
      <c r="K12" s="58"/>
    </row>
    <row r="13" spans="1:12" x14ac:dyDescent="0.15">
      <c r="A13" s="36" t="s">
        <v>43</v>
      </c>
      <c r="B13" s="44">
        <v>2.2000000000000002</v>
      </c>
      <c r="C13" s="38"/>
      <c r="D13" s="198" t="s">
        <v>199</v>
      </c>
      <c r="E13">
        <v>12</v>
      </c>
      <c r="F13">
        <v>3.12</v>
      </c>
      <c r="G13">
        <v>12</v>
      </c>
      <c r="H13" s="199" t="s">
        <v>199</v>
      </c>
      <c r="J13" s="57"/>
      <c r="K13" s="58"/>
    </row>
    <row r="14" spans="1:12" x14ac:dyDescent="0.15">
      <c r="A14" s="36" t="s">
        <v>67</v>
      </c>
      <c r="B14" s="44">
        <v>2.2999999999999998</v>
      </c>
      <c r="C14" s="38"/>
      <c r="D14" s="198" t="s">
        <v>200</v>
      </c>
      <c r="E14">
        <v>13</v>
      </c>
      <c r="F14">
        <v>3.12</v>
      </c>
      <c r="G14">
        <v>13</v>
      </c>
      <c r="H14" s="199" t="s">
        <v>200</v>
      </c>
      <c r="J14" s="57"/>
      <c r="K14" s="58"/>
    </row>
    <row r="15" spans="1:12" x14ac:dyDescent="0.15">
      <c r="A15" s="42" t="s">
        <v>128</v>
      </c>
      <c r="B15" s="44">
        <v>3</v>
      </c>
      <c r="C15" s="38"/>
      <c r="D15" s="198" t="s">
        <v>201</v>
      </c>
      <c r="E15">
        <v>14</v>
      </c>
      <c r="F15">
        <v>3.1</v>
      </c>
      <c r="G15">
        <v>14</v>
      </c>
      <c r="H15" s="199" t="s">
        <v>201</v>
      </c>
      <c r="J15" s="57"/>
      <c r="K15" s="58"/>
    </row>
    <row r="16" spans="1:12" x14ac:dyDescent="0.15">
      <c r="A16" s="36" t="s">
        <v>62</v>
      </c>
      <c r="B16" s="44">
        <v>3.11</v>
      </c>
      <c r="C16" s="38"/>
      <c r="D16" s="198" t="s">
        <v>202</v>
      </c>
      <c r="E16">
        <v>15</v>
      </c>
      <c r="F16">
        <v>3.12</v>
      </c>
      <c r="G16">
        <v>15</v>
      </c>
      <c r="H16" s="199" t="s">
        <v>202</v>
      </c>
      <c r="J16" s="57"/>
      <c r="K16" s="58"/>
    </row>
    <row r="17" spans="1:12" x14ac:dyDescent="0.15">
      <c r="A17" s="36" t="s">
        <v>61</v>
      </c>
      <c r="B17" s="44">
        <v>3.12</v>
      </c>
      <c r="C17" s="38"/>
      <c r="D17" s="198" t="s">
        <v>203</v>
      </c>
      <c r="E17">
        <v>16</v>
      </c>
      <c r="F17">
        <v>3.1</v>
      </c>
      <c r="G17">
        <v>16</v>
      </c>
      <c r="H17" s="199" t="s">
        <v>203</v>
      </c>
      <c r="J17" s="57"/>
      <c r="K17" s="58"/>
    </row>
    <row r="18" spans="1:12" x14ac:dyDescent="0.15">
      <c r="A18" s="36" t="s">
        <v>68</v>
      </c>
      <c r="B18" s="44">
        <v>3.13</v>
      </c>
      <c r="C18" s="38"/>
      <c r="D18" s="198" t="s">
        <v>204</v>
      </c>
      <c r="E18">
        <v>17</v>
      </c>
      <c r="F18">
        <v>3.1</v>
      </c>
      <c r="G18">
        <v>17</v>
      </c>
      <c r="H18" s="199" t="s">
        <v>204</v>
      </c>
      <c r="J18" s="57"/>
      <c r="K18" s="58"/>
    </row>
    <row r="19" spans="1:12" x14ac:dyDescent="0.15">
      <c r="A19" s="36" t="s">
        <v>66</v>
      </c>
      <c r="B19" s="44">
        <v>3.21</v>
      </c>
      <c r="C19" s="38"/>
      <c r="D19" s="198" t="s">
        <v>205</v>
      </c>
      <c r="E19">
        <v>18</v>
      </c>
      <c r="F19">
        <v>3.12</v>
      </c>
      <c r="G19">
        <v>18</v>
      </c>
      <c r="H19" s="199" t="s">
        <v>205</v>
      </c>
      <c r="J19" s="57"/>
      <c r="K19" s="58"/>
    </row>
    <row r="20" spans="1:12" x14ac:dyDescent="0.15">
      <c r="A20" s="36" t="s">
        <v>63</v>
      </c>
      <c r="B20" s="44">
        <v>3.22</v>
      </c>
      <c r="C20" s="38"/>
      <c r="D20" s="198" t="s">
        <v>206</v>
      </c>
      <c r="E20">
        <v>19</v>
      </c>
      <c r="F20">
        <v>3.12</v>
      </c>
      <c r="G20">
        <v>19</v>
      </c>
      <c r="H20" s="199" t="s">
        <v>206</v>
      </c>
      <c r="J20" s="57"/>
      <c r="K20" s="58"/>
    </row>
    <row r="21" spans="1:12" ht="14" thickBot="1" x14ac:dyDescent="0.2">
      <c r="A21" s="36" t="s">
        <v>69</v>
      </c>
      <c r="B21" s="44">
        <v>3.23</v>
      </c>
      <c r="C21" s="38"/>
      <c r="D21" s="198" t="s">
        <v>207</v>
      </c>
      <c r="E21">
        <v>20</v>
      </c>
      <c r="F21">
        <v>3.12</v>
      </c>
      <c r="G21">
        <v>20</v>
      </c>
      <c r="H21" s="199" t="s">
        <v>207</v>
      </c>
      <c r="J21" s="59"/>
      <c r="K21" s="60"/>
      <c r="L21" s="62" t="s">
        <v>152</v>
      </c>
    </row>
    <row r="22" spans="1:12" x14ac:dyDescent="0.15">
      <c r="A22" s="36" t="s">
        <v>64</v>
      </c>
      <c r="B22" s="44">
        <v>8</v>
      </c>
      <c r="C22" s="38"/>
      <c r="D22" s="198" t="s">
        <v>208</v>
      </c>
      <c r="E22">
        <v>21</v>
      </c>
      <c r="F22">
        <v>3.22</v>
      </c>
      <c r="G22">
        <v>21</v>
      </c>
      <c r="H22" s="199" t="s">
        <v>208</v>
      </c>
    </row>
    <row r="23" spans="1:12" x14ac:dyDescent="0.15">
      <c r="A23" s="36" t="s">
        <v>129</v>
      </c>
      <c r="B23" s="44">
        <v>4</v>
      </c>
      <c r="C23" s="38"/>
      <c r="D23" s="198" t="s">
        <v>209</v>
      </c>
      <c r="E23">
        <v>22</v>
      </c>
      <c r="F23">
        <v>3.22</v>
      </c>
      <c r="G23">
        <v>22</v>
      </c>
      <c r="H23" s="199" t="s">
        <v>209</v>
      </c>
    </row>
    <row r="24" spans="1:12" x14ac:dyDescent="0.15">
      <c r="A24" s="36" t="s">
        <v>122</v>
      </c>
      <c r="B24" s="44">
        <v>4.0999999999999996</v>
      </c>
      <c r="C24" s="38"/>
      <c r="D24" s="198" t="s">
        <v>210</v>
      </c>
      <c r="E24">
        <v>23</v>
      </c>
      <c r="F24">
        <v>3.22</v>
      </c>
      <c r="G24">
        <v>23</v>
      </c>
      <c r="H24" s="199" t="s">
        <v>210</v>
      </c>
    </row>
    <row r="25" spans="1:12" x14ac:dyDescent="0.15">
      <c r="A25" s="36" t="s">
        <v>70</v>
      </c>
      <c r="B25" s="44">
        <v>4.2</v>
      </c>
      <c r="C25" s="38"/>
      <c r="D25" s="198" t="s">
        <v>211</v>
      </c>
      <c r="E25">
        <v>24</v>
      </c>
      <c r="F25">
        <v>3.2</v>
      </c>
      <c r="G25">
        <v>24</v>
      </c>
      <c r="H25" s="199" t="s">
        <v>211</v>
      </c>
    </row>
    <row r="26" spans="1:12" x14ac:dyDescent="0.15">
      <c r="A26" s="36" t="s">
        <v>123</v>
      </c>
      <c r="B26" s="44">
        <v>4.3</v>
      </c>
      <c r="C26" s="38"/>
      <c r="D26" s="198" t="s">
        <v>212</v>
      </c>
      <c r="E26">
        <v>25</v>
      </c>
      <c r="F26">
        <v>3.2</v>
      </c>
      <c r="G26">
        <v>25</v>
      </c>
      <c r="H26" s="199" t="s">
        <v>212</v>
      </c>
    </row>
    <row r="27" spans="1:12" x14ac:dyDescent="0.15">
      <c r="A27" s="36" t="s">
        <v>125</v>
      </c>
      <c r="B27" s="44">
        <v>6.1</v>
      </c>
      <c r="D27" s="198" t="s">
        <v>213</v>
      </c>
      <c r="E27">
        <v>26</v>
      </c>
      <c r="F27">
        <v>3.2</v>
      </c>
      <c r="G27">
        <v>26</v>
      </c>
      <c r="H27" s="199" t="s">
        <v>213</v>
      </c>
    </row>
    <row r="28" spans="1:12" x14ac:dyDescent="0.15">
      <c r="A28" s="36" t="s">
        <v>124</v>
      </c>
      <c r="B28" s="44">
        <v>6.2</v>
      </c>
      <c r="D28" s="198" t="s">
        <v>214</v>
      </c>
      <c r="E28">
        <v>27</v>
      </c>
      <c r="F28">
        <v>3.22</v>
      </c>
      <c r="G28">
        <v>27</v>
      </c>
      <c r="H28" s="199" t="s">
        <v>214</v>
      </c>
    </row>
    <row r="29" spans="1:12" x14ac:dyDescent="0.15">
      <c r="A29" s="36" t="s">
        <v>44</v>
      </c>
      <c r="B29" s="44">
        <v>5</v>
      </c>
      <c r="D29" s="198" t="s">
        <v>215</v>
      </c>
      <c r="E29">
        <v>28</v>
      </c>
      <c r="F29">
        <v>3.22</v>
      </c>
      <c r="G29">
        <v>28</v>
      </c>
      <c r="H29" s="199" t="s">
        <v>215</v>
      </c>
    </row>
    <row r="30" spans="1:12" x14ac:dyDescent="0.15">
      <c r="A30" s="36" t="s">
        <v>73</v>
      </c>
      <c r="B30" s="44">
        <v>7</v>
      </c>
      <c r="D30" s="198" t="s">
        <v>216</v>
      </c>
      <c r="E30">
        <v>29</v>
      </c>
      <c r="F30">
        <v>3.12</v>
      </c>
      <c r="G30">
        <v>29</v>
      </c>
      <c r="H30" s="199" t="s">
        <v>216</v>
      </c>
    </row>
    <row r="31" spans="1:12" x14ac:dyDescent="0.15">
      <c r="A31" s="36" t="s">
        <v>169</v>
      </c>
      <c r="B31" s="44">
        <v>3.14</v>
      </c>
      <c r="D31" s="198" t="s">
        <v>217</v>
      </c>
      <c r="E31">
        <v>30</v>
      </c>
      <c r="F31">
        <v>3.22</v>
      </c>
      <c r="G31">
        <v>30</v>
      </c>
      <c r="H31" s="199" t="s">
        <v>217</v>
      </c>
    </row>
    <row r="32" spans="1:12" ht="12" customHeight="1" thickBot="1" x14ac:dyDescent="0.2">
      <c r="A32" s="42" t="s">
        <v>170</v>
      </c>
      <c r="B32" s="45">
        <v>9</v>
      </c>
      <c r="D32" s="198" t="s">
        <v>218</v>
      </c>
      <c r="E32">
        <v>31</v>
      </c>
      <c r="F32">
        <v>3.2</v>
      </c>
      <c r="G32">
        <v>31</v>
      </c>
      <c r="H32" s="199" t="s">
        <v>218</v>
      </c>
    </row>
    <row r="33" spans="4:8" customFormat="1" ht="12" customHeight="1" x14ac:dyDescent="0.15">
      <c r="D33" s="198" t="s">
        <v>219</v>
      </c>
      <c r="E33">
        <v>32</v>
      </c>
      <c r="F33">
        <v>3.2</v>
      </c>
      <c r="G33">
        <v>32</v>
      </c>
      <c r="H33" s="199" t="s">
        <v>219</v>
      </c>
    </row>
    <row r="34" spans="4:8" customFormat="1" ht="12" customHeight="1" x14ac:dyDescent="0.15">
      <c r="D34" s="198" t="s">
        <v>220</v>
      </c>
      <c r="E34">
        <v>33</v>
      </c>
      <c r="F34">
        <v>3.22</v>
      </c>
      <c r="G34">
        <v>33</v>
      </c>
      <c r="H34" s="199" t="s">
        <v>220</v>
      </c>
    </row>
    <row r="35" spans="4:8" customFormat="1" x14ac:dyDescent="0.15">
      <c r="D35" s="198" t="s">
        <v>221</v>
      </c>
      <c r="E35">
        <v>34</v>
      </c>
      <c r="F35">
        <v>3.2</v>
      </c>
      <c r="G35">
        <v>34</v>
      </c>
      <c r="H35" s="199" t="s">
        <v>221</v>
      </c>
    </row>
    <row r="36" spans="4:8" customFormat="1" x14ac:dyDescent="0.15">
      <c r="D36" s="198" t="s">
        <v>222</v>
      </c>
      <c r="E36">
        <v>35</v>
      </c>
      <c r="F36">
        <v>3.2</v>
      </c>
      <c r="G36">
        <v>35</v>
      </c>
      <c r="H36" s="199" t="s">
        <v>222</v>
      </c>
    </row>
    <row r="37" spans="4:8" customFormat="1" ht="12" customHeight="1" x14ac:dyDescent="0.15">
      <c r="D37" s="198" t="s">
        <v>223</v>
      </c>
      <c r="E37">
        <v>36</v>
      </c>
      <c r="F37">
        <v>3.2</v>
      </c>
      <c r="G37">
        <v>36</v>
      </c>
      <c r="H37" s="199" t="s">
        <v>223</v>
      </c>
    </row>
    <row r="38" spans="4:8" customFormat="1" x14ac:dyDescent="0.15">
      <c r="D38" s="198" t="s">
        <v>224</v>
      </c>
      <c r="E38">
        <v>37</v>
      </c>
      <c r="F38">
        <v>3.2</v>
      </c>
      <c r="G38">
        <v>37</v>
      </c>
      <c r="H38" s="199" t="s">
        <v>224</v>
      </c>
    </row>
    <row r="39" spans="4:8" customFormat="1" x14ac:dyDescent="0.15">
      <c r="D39" s="198" t="s">
        <v>225</v>
      </c>
      <c r="E39">
        <v>38</v>
      </c>
      <c r="F39">
        <v>3.1</v>
      </c>
      <c r="G39">
        <v>38</v>
      </c>
      <c r="H39" s="199" t="s">
        <v>225</v>
      </c>
    </row>
    <row r="40" spans="4:8" customFormat="1" x14ac:dyDescent="0.15">
      <c r="D40" s="198" t="s">
        <v>226</v>
      </c>
      <c r="E40">
        <v>39</v>
      </c>
      <c r="F40">
        <v>3.1</v>
      </c>
      <c r="G40">
        <v>39</v>
      </c>
      <c r="H40" s="199" t="s">
        <v>226</v>
      </c>
    </row>
    <row r="41" spans="4:8" customFormat="1" x14ac:dyDescent="0.15">
      <c r="D41" s="198" t="s">
        <v>227</v>
      </c>
      <c r="E41">
        <v>40</v>
      </c>
      <c r="F41">
        <v>3.12</v>
      </c>
      <c r="G41">
        <v>40</v>
      </c>
      <c r="H41" s="199" t="s">
        <v>227</v>
      </c>
    </row>
    <row r="42" spans="4:8" customFormat="1" x14ac:dyDescent="0.15">
      <c r="D42" s="198" t="s">
        <v>228</v>
      </c>
      <c r="E42">
        <v>41</v>
      </c>
      <c r="F42">
        <v>3.12</v>
      </c>
      <c r="G42">
        <v>41</v>
      </c>
      <c r="H42" s="199" t="s">
        <v>228</v>
      </c>
    </row>
    <row r="43" spans="4:8" customFormat="1" x14ac:dyDescent="0.15">
      <c r="D43" s="198" t="s">
        <v>229</v>
      </c>
      <c r="E43">
        <v>42</v>
      </c>
      <c r="F43">
        <v>3</v>
      </c>
      <c r="G43">
        <v>42</v>
      </c>
      <c r="H43" s="199" t="s">
        <v>229</v>
      </c>
    </row>
    <row r="44" spans="4:8" customFormat="1" x14ac:dyDescent="0.15">
      <c r="D44" s="198" t="s">
        <v>230</v>
      </c>
      <c r="E44">
        <v>43</v>
      </c>
      <c r="F44">
        <v>3.21</v>
      </c>
      <c r="G44">
        <v>43</v>
      </c>
      <c r="H44" s="199" t="s">
        <v>230</v>
      </c>
    </row>
    <row r="45" spans="4:8" customFormat="1" x14ac:dyDescent="0.15">
      <c r="D45" s="198" t="s">
        <v>231</v>
      </c>
      <c r="E45">
        <v>44</v>
      </c>
      <c r="F45">
        <v>3.11</v>
      </c>
      <c r="G45">
        <v>44</v>
      </c>
      <c r="H45" s="199" t="s">
        <v>231</v>
      </c>
    </row>
    <row r="46" spans="4:8" customFormat="1" x14ac:dyDescent="0.15">
      <c r="D46" s="198" t="s">
        <v>232</v>
      </c>
      <c r="E46">
        <v>45</v>
      </c>
      <c r="F46">
        <v>3.11</v>
      </c>
      <c r="G46">
        <v>45</v>
      </c>
      <c r="H46" s="199" t="s">
        <v>232</v>
      </c>
    </row>
    <row r="47" spans="4:8" customFormat="1" x14ac:dyDescent="0.15">
      <c r="D47" s="198" t="s">
        <v>233</v>
      </c>
      <c r="E47">
        <v>46</v>
      </c>
      <c r="F47">
        <v>2</v>
      </c>
      <c r="G47">
        <v>46</v>
      </c>
      <c r="H47" s="199" t="s">
        <v>233</v>
      </c>
    </row>
    <row r="48" spans="4:8" customFormat="1" x14ac:dyDescent="0.15">
      <c r="D48" s="198" t="s">
        <v>234</v>
      </c>
      <c r="E48">
        <v>47</v>
      </c>
      <c r="F48">
        <v>4.0999999999999996</v>
      </c>
      <c r="G48">
        <v>47</v>
      </c>
      <c r="H48" s="199" t="s">
        <v>234</v>
      </c>
    </row>
    <row r="49" spans="4:8" customFormat="1" x14ac:dyDescent="0.15">
      <c r="D49" s="198" t="s">
        <v>235</v>
      </c>
      <c r="E49">
        <v>48</v>
      </c>
      <c r="F49">
        <v>4.3</v>
      </c>
      <c r="G49">
        <v>48</v>
      </c>
      <c r="H49" s="199" t="s">
        <v>235</v>
      </c>
    </row>
    <row r="50" spans="4:8" customFormat="1" ht="12" customHeight="1" x14ac:dyDescent="0.15">
      <c r="D50" s="198" t="s">
        <v>236</v>
      </c>
      <c r="E50">
        <v>49</v>
      </c>
      <c r="F50">
        <v>5</v>
      </c>
      <c r="G50">
        <v>49</v>
      </c>
      <c r="H50" s="199" t="s">
        <v>236</v>
      </c>
    </row>
    <row r="51" spans="4:8" customFormat="1" x14ac:dyDescent="0.15">
      <c r="D51" s="198" t="s">
        <v>237</v>
      </c>
      <c r="E51">
        <v>50</v>
      </c>
      <c r="F51">
        <v>5</v>
      </c>
      <c r="G51">
        <v>50</v>
      </c>
      <c r="H51" s="199" t="s">
        <v>237</v>
      </c>
    </row>
    <row r="52" spans="4:8" customFormat="1" ht="12" customHeight="1" x14ac:dyDescent="0.15">
      <c r="D52" s="198" t="s">
        <v>138</v>
      </c>
      <c r="E52">
        <v>51</v>
      </c>
      <c r="F52">
        <v>6.1</v>
      </c>
      <c r="G52">
        <v>51</v>
      </c>
      <c r="H52" s="199" t="s">
        <v>138</v>
      </c>
    </row>
    <row r="53" spans="4:8" customFormat="1" x14ac:dyDescent="0.15">
      <c r="D53" s="198" t="s">
        <v>45</v>
      </c>
      <c r="E53">
        <v>52</v>
      </c>
      <c r="F53">
        <v>6.2</v>
      </c>
      <c r="G53">
        <v>52</v>
      </c>
      <c r="H53" s="199" t="s">
        <v>45</v>
      </c>
    </row>
    <row r="54" spans="4:8" customFormat="1" ht="12" customHeight="1" x14ac:dyDescent="0.15"/>
    <row r="55" spans="4:8" customFormat="1" ht="12" customHeight="1" x14ac:dyDescent="0.15"/>
    <row r="56" spans="4:8" customFormat="1" x14ac:dyDescent="0.15"/>
    <row r="57" spans="4:8" customFormat="1" x14ac:dyDescent="0.15"/>
    <row r="58" spans="4:8" customFormat="1" x14ac:dyDescent="0.15"/>
    <row r="59" spans="4:8" customFormat="1" x14ac:dyDescent="0.15"/>
    <row r="60" spans="4:8" customFormat="1" x14ac:dyDescent="0.15"/>
    <row r="61" spans="4:8" customFormat="1" x14ac:dyDescent="0.15"/>
    <row r="62" spans="4:8" customFormat="1" x14ac:dyDescent="0.15"/>
    <row r="63" spans="4:8" customFormat="1" x14ac:dyDescent="0.15"/>
    <row r="64" spans="4:8"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40.1640625" style="85" bestFit="1" customWidth="1"/>
    <col min="2" max="2" width="3.83203125" style="84" customWidth="1"/>
    <col min="3" max="3" width="16.5" style="84" customWidth="1"/>
    <col min="4" max="4" width="39.6640625" style="84" customWidth="1"/>
    <col min="5" max="5" width="8.1640625" style="84" customWidth="1"/>
    <col min="6" max="6" width="27.5" style="84" bestFit="1" customWidth="1"/>
    <col min="7" max="9" width="2.33203125" style="84" customWidth="1"/>
    <col min="10" max="10" width="2.33203125" style="84" bestFit="1" customWidth="1"/>
    <col min="11" max="15" width="2.33203125" style="84" customWidth="1"/>
    <col min="16" max="16" width="2.33203125" style="73" customWidth="1"/>
    <col min="17" max="17" width="2.33203125" style="84" customWidth="1"/>
    <col min="18" max="18" width="2.33203125" style="74" customWidth="1"/>
    <col min="19" max="16384" width="11.5" style="84"/>
  </cols>
  <sheetData>
    <row r="1" spans="1:23" ht="15" customHeight="1" thickBot="1" x14ac:dyDescent="0.2">
      <c r="F1" s="1"/>
      <c r="G1" s="71" t="s">
        <v>46</v>
      </c>
      <c r="H1" s="71" t="s">
        <v>47</v>
      </c>
      <c r="I1" s="71" t="s">
        <v>120</v>
      </c>
      <c r="J1" s="71" t="s">
        <v>132</v>
      </c>
      <c r="K1" s="86" t="s">
        <v>48</v>
      </c>
      <c r="L1" s="74"/>
      <c r="M1" s="86" t="s">
        <v>119</v>
      </c>
      <c r="N1" s="74"/>
      <c r="O1" s="86" t="s">
        <v>49</v>
      </c>
      <c r="P1" s="77"/>
      <c r="Q1" s="86" t="s">
        <v>50</v>
      </c>
      <c r="R1" s="71" t="s">
        <v>154</v>
      </c>
    </row>
    <row r="2" spans="1:23" ht="15" customHeight="1" x14ac:dyDescent="0.15">
      <c r="A2" s="86" t="s">
        <v>51</v>
      </c>
      <c r="B2" s="87">
        <v>0.5</v>
      </c>
      <c r="C2" s="85" t="s">
        <v>52</v>
      </c>
      <c r="D2" s="88"/>
      <c r="F2" s="1"/>
      <c r="G2" s="89"/>
      <c r="H2" s="89"/>
      <c r="I2" s="89" t="s">
        <v>133</v>
      </c>
      <c r="J2" s="89" t="s">
        <v>133</v>
      </c>
      <c r="K2" s="89" t="s">
        <v>52</v>
      </c>
      <c r="L2" s="89" t="s">
        <v>53</v>
      </c>
      <c r="M2" s="89" t="s">
        <v>52</v>
      </c>
      <c r="N2" s="89" t="s">
        <v>53</v>
      </c>
      <c r="O2" s="89" t="s">
        <v>52</v>
      </c>
      <c r="P2" s="90" t="s">
        <v>53</v>
      </c>
      <c r="Q2" s="89"/>
      <c r="R2" s="91" t="s">
        <v>155</v>
      </c>
    </row>
    <row r="3" spans="1:23" ht="15" customHeight="1" thickBot="1" x14ac:dyDescent="0.2">
      <c r="A3" s="86" t="s">
        <v>54</v>
      </c>
      <c r="B3" s="92">
        <v>0.5</v>
      </c>
      <c r="C3" s="85" t="s">
        <v>53</v>
      </c>
      <c r="D3" s="88"/>
      <c r="F3" t="s">
        <v>38</v>
      </c>
      <c r="G3">
        <v>0</v>
      </c>
      <c r="H3">
        <v>0</v>
      </c>
      <c r="I3">
        <v>0</v>
      </c>
      <c r="J3">
        <v>0</v>
      </c>
      <c r="K3">
        <v>0</v>
      </c>
      <c r="L3">
        <v>0</v>
      </c>
      <c r="M3">
        <v>0</v>
      </c>
      <c r="N3">
        <v>0</v>
      </c>
      <c r="O3">
        <v>0</v>
      </c>
      <c r="P3">
        <v>0</v>
      </c>
      <c r="Q3" s="141">
        <v>0</v>
      </c>
      <c r="R3" s="38">
        <v>0</v>
      </c>
    </row>
    <row r="4" spans="1:23" ht="15" customHeight="1" thickBot="1" x14ac:dyDescent="0.2">
      <c r="F4" t="s">
        <v>40</v>
      </c>
      <c r="G4">
        <v>0</v>
      </c>
      <c r="H4">
        <v>0</v>
      </c>
      <c r="I4">
        <v>0</v>
      </c>
      <c r="J4">
        <v>0</v>
      </c>
      <c r="K4">
        <v>0</v>
      </c>
      <c r="L4">
        <v>0</v>
      </c>
      <c r="M4">
        <v>0</v>
      </c>
      <c r="N4">
        <v>0</v>
      </c>
      <c r="O4">
        <v>0</v>
      </c>
      <c r="P4">
        <v>0</v>
      </c>
      <c r="Q4" s="141">
        <v>0</v>
      </c>
      <c r="R4" s="113">
        <v>0</v>
      </c>
    </row>
    <row r="5" spans="1:23" ht="15" customHeight="1" x14ac:dyDescent="0.15">
      <c r="A5" s="86" t="s">
        <v>55</v>
      </c>
      <c r="B5" s="93">
        <v>0.5</v>
      </c>
      <c r="C5" s="85" t="s">
        <v>52</v>
      </c>
      <c r="D5" s="88"/>
      <c r="F5" t="s">
        <v>41</v>
      </c>
      <c r="G5">
        <v>0</v>
      </c>
      <c r="H5">
        <v>0</v>
      </c>
      <c r="I5">
        <v>0</v>
      </c>
      <c r="J5">
        <v>0</v>
      </c>
      <c r="K5">
        <v>0</v>
      </c>
      <c r="L5">
        <v>0</v>
      </c>
      <c r="M5">
        <v>0</v>
      </c>
      <c r="N5">
        <v>0</v>
      </c>
      <c r="O5">
        <v>0</v>
      </c>
      <c r="P5">
        <v>0</v>
      </c>
      <c r="Q5" s="141">
        <v>0</v>
      </c>
      <c r="R5" s="113">
        <v>0</v>
      </c>
    </row>
    <row r="6" spans="1:23" ht="15" customHeight="1" thickBot="1" x14ac:dyDescent="0.2">
      <c r="A6" s="86"/>
      <c r="B6" s="94">
        <v>0.5</v>
      </c>
      <c r="C6" s="85" t="s">
        <v>53</v>
      </c>
      <c r="D6" s="88"/>
      <c r="F6" s="200" t="s">
        <v>191</v>
      </c>
      <c r="G6" s="84">
        <v>0</v>
      </c>
      <c r="H6" s="84">
        <v>0</v>
      </c>
      <c r="I6" s="84">
        <v>0</v>
      </c>
      <c r="J6" s="84">
        <v>0</v>
      </c>
      <c r="K6" s="84">
        <v>1</v>
      </c>
      <c r="L6" s="84">
        <v>0</v>
      </c>
      <c r="M6" s="84">
        <v>1</v>
      </c>
      <c r="N6" s="84">
        <v>0</v>
      </c>
      <c r="O6" s="84">
        <v>1</v>
      </c>
      <c r="P6" s="73">
        <v>0</v>
      </c>
      <c r="Q6" s="84">
        <v>0</v>
      </c>
      <c r="R6" s="74">
        <v>1</v>
      </c>
      <c r="S6"/>
      <c r="T6"/>
    </row>
    <row r="7" spans="1:23" ht="15" customHeight="1" thickBot="1" x14ac:dyDescent="0.2">
      <c r="F7" s="200" t="s">
        <v>192</v>
      </c>
      <c r="G7" s="84">
        <v>0</v>
      </c>
      <c r="H7" s="84">
        <v>0</v>
      </c>
      <c r="I7" s="84">
        <v>0</v>
      </c>
      <c r="J7" s="84">
        <v>0</v>
      </c>
      <c r="K7" s="84">
        <v>1</v>
      </c>
      <c r="L7" s="84">
        <v>0</v>
      </c>
      <c r="M7" s="84">
        <v>1</v>
      </c>
      <c r="N7" s="84">
        <v>0</v>
      </c>
      <c r="O7" s="84">
        <v>1</v>
      </c>
      <c r="P7" s="73">
        <v>0</v>
      </c>
      <c r="Q7" s="84">
        <v>0</v>
      </c>
      <c r="R7" s="74">
        <v>1</v>
      </c>
      <c r="S7"/>
      <c r="T7"/>
    </row>
    <row r="8" spans="1:23" ht="15" customHeight="1" x14ac:dyDescent="0.15">
      <c r="A8" s="86" t="s">
        <v>56</v>
      </c>
      <c r="B8" s="93">
        <v>1</v>
      </c>
      <c r="C8" s="201" t="s">
        <v>233</v>
      </c>
      <c r="D8" s="88" t="s">
        <v>160</v>
      </c>
      <c r="F8" s="200" t="s">
        <v>193</v>
      </c>
      <c r="G8" s="84">
        <v>0</v>
      </c>
      <c r="H8" s="84">
        <v>0</v>
      </c>
      <c r="I8" s="84">
        <v>0</v>
      </c>
      <c r="J8" s="84">
        <v>0</v>
      </c>
      <c r="K8" s="84">
        <v>1</v>
      </c>
      <c r="L8" s="84">
        <v>0</v>
      </c>
      <c r="M8" s="84">
        <v>1</v>
      </c>
      <c r="N8" s="84">
        <v>0</v>
      </c>
      <c r="O8" s="84">
        <v>1</v>
      </c>
      <c r="P8" s="73">
        <v>0</v>
      </c>
      <c r="Q8" s="84">
        <v>0</v>
      </c>
      <c r="R8" s="74">
        <v>1</v>
      </c>
      <c r="S8"/>
      <c r="T8"/>
      <c r="W8"/>
    </row>
    <row r="9" spans="1:23" ht="15" customHeight="1" x14ac:dyDescent="0.15">
      <c r="A9" s="127" t="s">
        <v>168</v>
      </c>
      <c r="B9" s="95"/>
      <c r="C9" s="83"/>
      <c r="D9" s="88" t="s">
        <v>160</v>
      </c>
      <c r="F9" s="200" t="s">
        <v>194</v>
      </c>
      <c r="G9" s="84">
        <v>0</v>
      </c>
      <c r="H9" s="84">
        <v>0</v>
      </c>
      <c r="I9" s="84">
        <v>0</v>
      </c>
      <c r="J9" s="84">
        <v>0</v>
      </c>
      <c r="K9" s="84">
        <v>1</v>
      </c>
      <c r="L9" s="84">
        <v>0</v>
      </c>
      <c r="M9" s="84">
        <v>1</v>
      </c>
      <c r="N9" s="84">
        <v>0</v>
      </c>
      <c r="O9" s="84">
        <v>1</v>
      </c>
      <c r="P9" s="73">
        <v>0</v>
      </c>
      <c r="Q9" s="84">
        <v>0</v>
      </c>
      <c r="R9" s="74">
        <v>1</v>
      </c>
      <c r="S9"/>
      <c r="T9"/>
      <c r="W9"/>
    </row>
    <row r="10" spans="1:23" ht="15" customHeight="1" x14ac:dyDescent="0.15">
      <c r="B10" s="95"/>
      <c r="C10" s="83"/>
      <c r="D10" s="88" t="s">
        <v>160</v>
      </c>
      <c r="F10" s="200" t="s">
        <v>195</v>
      </c>
      <c r="G10" s="84">
        <v>0</v>
      </c>
      <c r="H10" s="84">
        <v>0</v>
      </c>
      <c r="I10" s="84">
        <v>0</v>
      </c>
      <c r="J10" s="84">
        <v>0</v>
      </c>
      <c r="K10" s="84">
        <v>1</v>
      </c>
      <c r="L10" s="84">
        <v>0</v>
      </c>
      <c r="M10" s="84">
        <v>1</v>
      </c>
      <c r="N10" s="84">
        <v>0</v>
      </c>
      <c r="O10" s="84">
        <v>1</v>
      </c>
      <c r="P10" s="73">
        <v>0</v>
      </c>
      <c r="Q10" s="84">
        <v>0</v>
      </c>
      <c r="R10" s="74">
        <v>1</v>
      </c>
      <c r="S10"/>
      <c r="T10"/>
      <c r="W10"/>
    </row>
    <row r="11" spans="1:23" ht="15" customHeight="1" x14ac:dyDescent="0.15">
      <c r="A11" s="86"/>
      <c r="B11" s="95"/>
      <c r="C11" s="98"/>
      <c r="D11" s="88" t="s">
        <v>160</v>
      </c>
      <c r="F11" s="200" t="s">
        <v>196</v>
      </c>
      <c r="G11" s="84">
        <v>0</v>
      </c>
      <c r="H11" s="84">
        <v>0</v>
      </c>
      <c r="I11" s="84">
        <v>0</v>
      </c>
      <c r="J11" s="84">
        <v>0</v>
      </c>
      <c r="K11" s="84">
        <v>1</v>
      </c>
      <c r="L11" s="84">
        <v>0</v>
      </c>
      <c r="M11" s="84">
        <v>1</v>
      </c>
      <c r="N11" s="84">
        <v>0</v>
      </c>
      <c r="O11" s="84">
        <v>1</v>
      </c>
      <c r="P11" s="73">
        <v>0</v>
      </c>
      <c r="Q11" s="84">
        <v>0</v>
      </c>
      <c r="R11" s="74">
        <v>1</v>
      </c>
      <c r="S11"/>
      <c r="T11"/>
      <c r="W11"/>
    </row>
    <row r="12" spans="1:23" ht="15" customHeight="1" x14ac:dyDescent="0.15">
      <c r="B12" s="95"/>
      <c r="C12" s="99"/>
      <c r="D12" s="88" t="s">
        <v>160</v>
      </c>
      <c r="F12" s="200" t="s">
        <v>197</v>
      </c>
      <c r="G12" s="84">
        <v>0</v>
      </c>
      <c r="H12" s="84">
        <v>0</v>
      </c>
      <c r="I12" s="84">
        <v>0</v>
      </c>
      <c r="J12" s="84">
        <v>0</v>
      </c>
      <c r="K12" s="84">
        <v>1</v>
      </c>
      <c r="L12" s="84">
        <v>0</v>
      </c>
      <c r="M12" s="84">
        <v>1</v>
      </c>
      <c r="N12" s="84">
        <v>0</v>
      </c>
      <c r="O12" s="84">
        <v>1</v>
      </c>
      <c r="P12" s="73">
        <v>0</v>
      </c>
      <c r="Q12" s="84">
        <v>0</v>
      </c>
      <c r="R12" s="74">
        <v>1</v>
      </c>
      <c r="S12"/>
      <c r="T12"/>
      <c r="W12"/>
    </row>
    <row r="13" spans="1:23" ht="15" customHeight="1" x14ac:dyDescent="0.15">
      <c r="B13" s="95"/>
      <c r="C13" s="99"/>
      <c r="D13" s="88" t="s">
        <v>160</v>
      </c>
      <c r="F13" s="200" t="s">
        <v>198</v>
      </c>
      <c r="G13" s="84">
        <v>0</v>
      </c>
      <c r="H13" s="84">
        <v>0</v>
      </c>
      <c r="I13" s="84">
        <v>0</v>
      </c>
      <c r="J13" s="84">
        <v>0</v>
      </c>
      <c r="K13" s="84">
        <v>1</v>
      </c>
      <c r="L13" s="84">
        <v>0</v>
      </c>
      <c r="M13" s="84">
        <v>1</v>
      </c>
      <c r="N13" s="84">
        <v>0</v>
      </c>
      <c r="O13" s="84">
        <v>1</v>
      </c>
      <c r="P13" s="73">
        <v>0</v>
      </c>
      <c r="Q13" s="84">
        <v>0</v>
      </c>
      <c r="R13" s="74">
        <v>1</v>
      </c>
      <c r="S13"/>
      <c r="T13"/>
      <c r="W13"/>
    </row>
    <row r="14" spans="1:23" ht="15" customHeight="1" x14ac:dyDescent="0.15">
      <c r="B14" s="95"/>
      <c r="C14" s="83"/>
      <c r="D14" s="88" t="s">
        <v>160</v>
      </c>
      <c r="F14" s="200" t="s">
        <v>199</v>
      </c>
      <c r="G14" s="84">
        <v>0</v>
      </c>
      <c r="H14" s="84">
        <v>0</v>
      </c>
      <c r="I14" s="84">
        <v>0</v>
      </c>
      <c r="J14" s="84">
        <v>0</v>
      </c>
      <c r="K14" s="84">
        <v>1</v>
      </c>
      <c r="L14" s="84">
        <v>0</v>
      </c>
      <c r="M14" s="84">
        <v>1</v>
      </c>
      <c r="N14" s="84">
        <v>0</v>
      </c>
      <c r="O14" s="84">
        <v>1</v>
      </c>
      <c r="P14" s="73">
        <v>0</v>
      </c>
      <c r="Q14" s="84">
        <v>0</v>
      </c>
      <c r="R14" s="74">
        <v>1</v>
      </c>
      <c r="S14"/>
      <c r="T14"/>
      <c r="W14"/>
    </row>
    <row r="15" spans="1:23" ht="15" customHeight="1" x14ac:dyDescent="0.15">
      <c r="B15" s="95"/>
      <c r="C15" s="83"/>
      <c r="D15" s="88" t="s">
        <v>160</v>
      </c>
      <c r="F15" s="200" t="s">
        <v>200</v>
      </c>
      <c r="G15" s="84">
        <v>0</v>
      </c>
      <c r="H15" s="84">
        <v>0</v>
      </c>
      <c r="I15" s="84">
        <v>0</v>
      </c>
      <c r="J15" s="84">
        <v>0</v>
      </c>
      <c r="K15" s="84">
        <v>1</v>
      </c>
      <c r="L15" s="84">
        <v>0</v>
      </c>
      <c r="M15" s="84">
        <v>1</v>
      </c>
      <c r="N15" s="84">
        <v>0</v>
      </c>
      <c r="O15" s="84">
        <v>1</v>
      </c>
      <c r="P15" s="73">
        <v>0</v>
      </c>
      <c r="Q15" s="84">
        <v>0</v>
      </c>
      <c r="R15" s="74">
        <v>1</v>
      </c>
      <c r="S15"/>
      <c r="T15"/>
      <c r="W15"/>
    </row>
    <row r="16" spans="1:23" ht="15" customHeight="1" x14ac:dyDescent="0.15">
      <c r="B16" s="95"/>
      <c r="C16" s="83"/>
      <c r="D16" s="88" t="s">
        <v>160</v>
      </c>
      <c r="F16" s="200" t="s">
        <v>201</v>
      </c>
      <c r="G16" s="84">
        <v>0</v>
      </c>
      <c r="H16" s="84">
        <v>0</v>
      </c>
      <c r="I16" s="84">
        <v>0</v>
      </c>
      <c r="J16" s="84">
        <v>0</v>
      </c>
      <c r="K16" s="84">
        <v>1</v>
      </c>
      <c r="L16" s="84">
        <v>0</v>
      </c>
      <c r="M16" s="84">
        <v>1</v>
      </c>
      <c r="N16" s="84">
        <v>0</v>
      </c>
      <c r="O16" s="84">
        <v>1</v>
      </c>
      <c r="P16" s="73">
        <v>0</v>
      </c>
      <c r="Q16" s="84">
        <v>0</v>
      </c>
      <c r="R16" s="74">
        <v>1</v>
      </c>
      <c r="S16"/>
      <c r="T16"/>
    </row>
    <row r="17" spans="1:20" ht="15" customHeight="1" thickBot="1" x14ac:dyDescent="0.2">
      <c r="B17" s="94"/>
      <c r="C17" s="83"/>
      <c r="D17" s="88" t="s">
        <v>160</v>
      </c>
      <c r="F17" s="200" t="s">
        <v>202</v>
      </c>
      <c r="G17" s="84">
        <v>0</v>
      </c>
      <c r="H17" s="84">
        <v>0</v>
      </c>
      <c r="I17" s="84">
        <v>0</v>
      </c>
      <c r="J17" s="84">
        <v>0</v>
      </c>
      <c r="K17" s="84">
        <v>1</v>
      </c>
      <c r="L17" s="84">
        <v>0</v>
      </c>
      <c r="M17" s="84">
        <v>1</v>
      </c>
      <c r="N17" s="84">
        <v>0</v>
      </c>
      <c r="O17" s="84">
        <v>1</v>
      </c>
      <c r="P17" s="73">
        <v>0</v>
      </c>
      <c r="Q17" s="84">
        <v>0</v>
      </c>
      <c r="R17" s="74">
        <v>1</v>
      </c>
      <c r="S17"/>
      <c r="T17"/>
    </row>
    <row r="18" spans="1:20" ht="15" customHeight="1" thickBot="1" x14ac:dyDescent="0.2">
      <c r="B18" s="96"/>
      <c r="F18" s="200" t="s">
        <v>203</v>
      </c>
      <c r="G18" s="84">
        <v>0</v>
      </c>
      <c r="H18" s="84">
        <v>0</v>
      </c>
      <c r="I18" s="84">
        <v>0</v>
      </c>
      <c r="J18" s="84">
        <v>0</v>
      </c>
      <c r="K18" s="84">
        <v>1</v>
      </c>
      <c r="L18" s="84">
        <v>0</v>
      </c>
      <c r="M18" s="84">
        <v>1</v>
      </c>
      <c r="N18" s="84">
        <v>0</v>
      </c>
      <c r="O18" s="84">
        <v>1</v>
      </c>
      <c r="P18" s="73">
        <v>0</v>
      </c>
      <c r="Q18" s="84">
        <v>0</v>
      </c>
      <c r="R18" s="74">
        <v>1</v>
      </c>
      <c r="S18"/>
      <c r="T18"/>
    </row>
    <row r="19" spans="1:20" ht="15" customHeight="1" x14ac:dyDescent="0.15">
      <c r="A19" s="86" t="s">
        <v>57</v>
      </c>
      <c r="B19" s="93">
        <v>1</v>
      </c>
      <c r="C19" s="202" t="s">
        <v>233</v>
      </c>
      <c r="D19" s="88" t="s">
        <v>160</v>
      </c>
      <c r="F19" s="200" t="s">
        <v>204</v>
      </c>
      <c r="G19" s="84">
        <v>0</v>
      </c>
      <c r="H19" s="84">
        <v>0</v>
      </c>
      <c r="I19" s="84">
        <v>0</v>
      </c>
      <c r="J19" s="84">
        <v>0</v>
      </c>
      <c r="K19" s="84">
        <v>1</v>
      </c>
      <c r="L19" s="84">
        <v>0</v>
      </c>
      <c r="M19" s="84">
        <v>1</v>
      </c>
      <c r="N19" s="84">
        <v>0</v>
      </c>
      <c r="O19" s="84">
        <v>1</v>
      </c>
      <c r="P19" s="73">
        <v>0</v>
      </c>
      <c r="Q19" s="84">
        <v>0</v>
      </c>
      <c r="R19" s="74">
        <v>1</v>
      </c>
      <c r="S19"/>
      <c r="T19"/>
    </row>
    <row r="20" spans="1:20" ht="15" customHeight="1" x14ac:dyDescent="0.15">
      <c r="A20" s="127" t="s">
        <v>168</v>
      </c>
      <c r="B20" s="95"/>
      <c r="C20" s="83"/>
      <c r="D20" s="88" t="s">
        <v>160</v>
      </c>
      <c r="F20" s="200" t="s">
        <v>205</v>
      </c>
      <c r="G20" s="84">
        <v>0</v>
      </c>
      <c r="H20" s="84">
        <v>0</v>
      </c>
      <c r="I20" s="84">
        <v>0</v>
      </c>
      <c r="J20" s="84">
        <v>0</v>
      </c>
      <c r="K20" s="84">
        <v>1</v>
      </c>
      <c r="L20" s="84">
        <v>0</v>
      </c>
      <c r="M20" s="84">
        <v>1</v>
      </c>
      <c r="N20" s="84">
        <v>0</v>
      </c>
      <c r="O20" s="84">
        <v>1</v>
      </c>
      <c r="P20" s="73">
        <v>0</v>
      </c>
      <c r="Q20" s="84">
        <v>0</v>
      </c>
      <c r="R20" s="74">
        <v>1</v>
      </c>
      <c r="S20"/>
      <c r="T20"/>
    </row>
    <row r="21" spans="1:20" ht="15" customHeight="1" x14ac:dyDescent="0.15">
      <c r="B21" s="95"/>
      <c r="C21" s="83"/>
      <c r="D21" s="88" t="s">
        <v>160</v>
      </c>
      <c r="F21" s="200" t="s">
        <v>206</v>
      </c>
      <c r="G21" s="84">
        <v>0</v>
      </c>
      <c r="H21" s="84">
        <v>0</v>
      </c>
      <c r="I21" s="84">
        <v>0</v>
      </c>
      <c r="J21" s="84">
        <v>0</v>
      </c>
      <c r="K21" s="84">
        <v>1</v>
      </c>
      <c r="L21" s="84">
        <v>0</v>
      </c>
      <c r="M21" s="84">
        <v>1</v>
      </c>
      <c r="N21" s="84">
        <v>0</v>
      </c>
      <c r="O21" s="84">
        <v>1</v>
      </c>
      <c r="P21" s="73">
        <v>0</v>
      </c>
      <c r="Q21" s="84">
        <v>0</v>
      </c>
      <c r="R21" s="74">
        <v>1</v>
      </c>
      <c r="S21"/>
      <c r="T21"/>
    </row>
    <row r="22" spans="1:20" ht="15" customHeight="1" x14ac:dyDescent="0.15">
      <c r="A22" s="84"/>
      <c r="B22" s="95"/>
      <c r="C22" s="98"/>
      <c r="D22" s="88" t="s">
        <v>160</v>
      </c>
      <c r="F22" s="200" t="s">
        <v>207</v>
      </c>
      <c r="G22" s="84">
        <v>0</v>
      </c>
      <c r="H22" s="84">
        <v>0</v>
      </c>
      <c r="I22" s="84">
        <v>0</v>
      </c>
      <c r="J22" s="84">
        <v>0</v>
      </c>
      <c r="K22" s="84">
        <v>1</v>
      </c>
      <c r="L22" s="84">
        <v>0</v>
      </c>
      <c r="M22" s="84">
        <v>1</v>
      </c>
      <c r="N22" s="84">
        <v>0</v>
      </c>
      <c r="O22" s="84">
        <v>1</v>
      </c>
      <c r="P22" s="73">
        <v>0</v>
      </c>
      <c r="Q22" s="84">
        <v>0</v>
      </c>
      <c r="R22" s="74">
        <v>1</v>
      </c>
      <c r="S22"/>
      <c r="T22"/>
    </row>
    <row r="23" spans="1:20" ht="15" customHeight="1" x14ac:dyDescent="0.15">
      <c r="A23" s="84"/>
      <c r="B23" s="95"/>
      <c r="C23" s="99"/>
      <c r="D23" s="88" t="s">
        <v>160</v>
      </c>
      <c r="F23" s="200" t="s">
        <v>208</v>
      </c>
      <c r="G23" s="84">
        <v>0</v>
      </c>
      <c r="H23" s="84">
        <v>0</v>
      </c>
      <c r="I23" s="84">
        <v>0</v>
      </c>
      <c r="J23" s="84">
        <v>0</v>
      </c>
      <c r="K23" s="84">
        <v>1</v>
      </c>
      <c r="L23" s="84">
        <v>0</v>
      </c>
      <c r="M23" s="84">
        <v>1</v>
      </c>
      <c r="N23" s="84">
        <v>0</v>
      </c>
      <c r="O23" s="84">
        <v>1</v>
      </c>
      <c r="P23" s="73">
        <v>0</v>
      </c>
      <c r="Q23" s="84">
        <v>0</v>
      </c>
      <c r="R23" s="74">
        <v>1</v>
      </c>
      <c r="S23"/>
      <c r="T23"/>
    </row>
    <row r="24" spans="1:20" ht="15" customHeight="1" x14ac:dyDescent="0.15">
      <c r="A24" s="84"/>
      <c r="B24" s="95"/>
      <c r="C24" s="99"/>
      <c r="D24" s="88" t="s">
        <v>160</v>
      </c>
      <c r="F24" s="200" t="s">
        <v>209</v>
      </c>
      <c r="G24" s="84">
        <v>0</v>
      </c>
      <c r="H24" s="84">
        <v>0</v>
      </c>
      <c r="I24" s="84">
        <v>0</v>
      </c>
      <c r="J24" s="84">
        <v>0</v>
      </c>
      <c r="K24" s="84">
        <v>1</v>
      </c>
      <c r="L24" s="84">
        <v>0</v>
      </c>
      <c r="M24" s="84">
        <v>1</v>
      </c>
      <c r="N24" s="84">
        <v>0</v>
      </c>
      <c r="O24" s="84">
        <v>1</v>
      </c>
      <c r="P24" s="73">
        <v>0</v>
      </c>
      <c r="Q24" s="84">
        <v>0</v>
      </c>
      <c r="R24" s="74">
        <v>1</v>
      </c>
      <c r="S24"/>
      <c r="T24"/>
    </row>
    <row r="25" spans="1:20" ht="15" customHeight="1" x14ac:dyDescent="0.15">
      <c r="A25" s="84"/>
      <c r="B25" s="95"/>
      <c r="C25" s="83"/>
      <c r="D25" s="88" t="s">
        <v>160</v>
      </c>
      <c r="F25" s="200" t="s">
        <v>210</v>
      </c>
      <c r="G25" s="84">
        <v>0</v>
      </c>
      <c r="H25" s="84">
        <v>0</v>
      </c>
      <c r="I25" s="84">
        <v>0</v>
      </c>
      <c r="J25" s="84">
        <v>0</v>
      </c>
      <c r="K25" s="84">
        <v>1</v>
      </c>
      <c r="L25" s="84">
        <v>0</v>
      </c>
      <c r="M25" s="84">
        <v>1</v>
      </c>
      <c r="N25" s="84">
        <v>0</v>
      </c>
      <c r="O25" s="84">
        <v>1</v>
      </c>
      <c r="P25" s="73">
        <v>0</v>
      </c>
      <c r="Q25" s="84">
        <v>0</v>
      </c>
      <c r="R25" s="74">
        <v>1</v>
      </c>
      <c r="S25"/>
      <c r="T25"/>
    </row>
    <row r="26" spans="1:20" ht="15" customHeight="1" x14ac:dyDescent="0.15">
      <c r="B26" s="95"/>
      <c r="C26" s="83"/>
      <c r="D26" s="88" t="s">
        <v>160</v>
      </c>
      <c r="F26" s="200" t="s">
        <v>211</v>
      </c>
      <c r="G26" s="84">
        <v>0</v>
      </c>
      <c r="H26" s="84">
        <v>0</v>
      </c>
      <c r="I26" s="84">
        <v>0</v>
      </c>
      <c r="J26" s="84">
        <v>0</v>
      </c>
      <c r="K26" s="84">
        <v>1</v>
      </c>
      <c r="L26" s="84">
        <v>0</v>
      </c>
      <c r="M26" s="84">
        <v>1</v>
      </c>
      <c r="N26" s="84">
        <v>0</v>
      </c>
      <c r="O26" s="84">
        <v>1</v>
      </c>
      <c r="P26" s="73">
        <v>0</v>
      </c>
      <c r="Q26" s="84">
        <v>0</v>
      </c>
      <c r="R26" s="74">
        <v>1</v>
      </c>
      <c r="S26"/>
      <c r="T26"/>
    </row>
    <row r="27" spans="1:20" ht="15" customHeight="1" x14ac:dyDescent="0.15">
      <c r="B27" s="95"/>
      <c r="C27" s="83"/>
      <c r="D27" s="88" t="s">
        <v>160</v>
      </c>
      <c r="F27" s="200" t="s">
        <v>212</v>
      </c>
      <c r="G27" s="84">
        <v>0</v>
      </c>
      <c r="H27" s="84">
        <v>0</v>
      </c>
      <c r="I27" s="84">
        <v>0</v>
      </c>
      <c r="J27" s="84">
        <v>0</v>
      </c>
      <c r="K27" s="84">
        <v>1</v>
      </c>
      <c r="L27" s="84">
        <v>0</v>
      </c>
      <c r="M27" s="84">
        <v>1</v>
      </c>
      <c r="N27" s="84">
        <v>0</v>
      </c>
      <c r="O27" s="84">
        <v>1</v>
      </c>
      <c r="P27" s="73">
        <v>0</v>
      </c>
      <c r="Q27" s="84">
        <v>0</v>
      </c>
      <c r="R27" s="74">
        <v>1</v>
      </c>
      <c r="S27"/>
      <c r="T27"/>
    </row>
    <row r="28" spans="1:20" ht="15" customHeight="1" thickBot="1" x14ac:dyDescent="0.2">
      <c r="B28" s="94"/>
      <c r="C28" s="83"/>
      <c r="D28" s="88" t="s">
        <v>160</v>
      </c>
      <c r="F28" s="200" t="s">
        <v>213</v>
      </c>
      <c r="G28" s="84">
        <v>0</v>
      </c>
      <c r="H28" s="84">
        <v>0</v>
      </c>
      <c r="I28" s="84">
        <v>0</v>
      </c>
      <c r="J28" s="84">
        <v>0</v>
      </c>
      <c r="K28" s="84">
        <v>1</v>
      </c>
      <c r="L28" s="84">
        <v>0</v>
      </c>
      <c r="M28" s="84">
        <v>1</v>
      </c>
      <c r="N28" s="84">
        <v>0</v>
      </c>
      <c r="O28" s="84">
        <v>1</v>
      </c>
      <c r="P28" s="73">
        <v>0</v>
      </c>
      <c r="Q28" s="84">
        <v>0</v>
      </c>
      <c r="R28" s="74">
        <v>1</v>
      </c>
      <c r="S28"/>
      <c r="T28"/>
    </row>
    <row r="29" spans="1:20" ht="15" customHeight="1" x14ac:dyDescent="0.15">
      <c r="F29" s="200" t="s">
        <v>214</v>
      </c>
      <c r="G29" s="84">
        <v>0</v>
      </c>
      <c r="H29" s="84">
        <v>0</v>
      </c>
      <c r="I29" s="84">
        <v>0</v>
      </c>
      <c r="J29" s="84">
        <v>0</v>
      </c>
      <c r="K29" s="84">
        <v>1</v>
      </c>
      <c r="L29" s="84">
        <v>0</v>
      </c>
      <c r="M29" s="84">
        <v>1</v>
      </c>
      <c r="N29" s="84">
        <v>0</v>
      </c>
      <c r="O29" s="84">
        <v>1</v>
      </c>
      <c r="P29" s="73">
        <v>0</v>
      </c>
      <c r="Q29" s="84">
        <v>0</v>
      </c>
      <c r="R29" s="74">
        <v>1</v>
      </c>
      <c r="S29"/>
      <c r="T29"/>
    </row>
    <row r="30" spans="1:20" ht="15" customHeight="1" x14ac:dyDescent="0.15">
      <c r="F30" s="200" t="s">
        <v>215</v>
      </c>
      <c r="G30" s="84">
        <v>0</v>
      </c>
      <c r="H30" s="84">
        <v>0</v>
      </c>
      <c r="I30" s="84">
        <v>0</v>
      </c>
      <c r="J30" s="84">
        <v>0</v>
      </c>
      <c r="K30" s="84">
        <v>1</v>
      </c>
      <c r="L30" s="84">
        <v>0</v>
      </c>
      <c r="M30" s="84">
        <v>1</v>
      </c>
      <c r="N30" s="84">
        <v>0</v>
      </c>
      <c r="O30" s="84">
        <v>1</v>
      </c>
      <c r="P30" s="73">
        <v>0</v>
      </c>
      <c r="Q30" s="84">
        <v>0</v>
      </c>
      <c r="R30" s="74">
        <v>1</v>
      </c>
      <c r="S30"/>
      <c r="T30"/>
    </row>
    <row r="31" spans="1:20" ht="15" customHeight="1" x14ac:dyDescent="0.15">
      <c r="A31" s="128"/>
      <c r="B31" s="139" t="s">
        <v>17</v>
      </c>
      <c r="C31" s="139" t="s">
        <v>1</v>
      </c>
      <c r="D31" s="139" t="s">
        <v>161</v>
      </c>
      <c r="E31" s="140" t="s">
        <v>163</v>
      </c>
      <c r="F31" s="200" t="s">
        <v>216</v>
      </c>
      <c r="G31" s="84">
        <v>0</v>
      </c>
      <c r="H31" s="84">
        <v>0</v>
      </c>
      <c r="I31" s="84">
        <v>0</v>
      </c>
      <c r="J31" s="84">
        <v>0</v>
      </c>
      <c r="K31" s="84">
        <v>1</v>
      </c>
      <c r="L31" s="84">
        <v>0</v>
      </c>
      <c r="M31" s="84">
        <v>1</v>
      </c>
      <c r="N31" s="84">
        <v>0</v>
      </c>
      <c r="O31" s="84">
        <v>1</v>
      </c>
      <c r="P31" s="73">
        <v>0</v>
      </c>
      <c r="Q31" s="84">
        <v>0</v>
      </c>
      <c r="R31" s="74">
        <v>1</v>
      </c>
      <c r="S31"/>
      <c r="T31"/>
    </row>
    <row r="32" spans="1:20" ht="15" customHeight="1" x14ac:dyDescent="0.15">
      <c r="A32" s="203" t="s">
        <v>233</v>
      </c>
      <c r="B32" s="96">
        <v>24</v>
      </c>
      <c r="C32" s="96">
        <v>197</v>
      </c>
      <c r="D32" s="96">
        <v>4728</v>
      </c>
      <c r="E32" s="130">
        <v>1</v>
      </c>
      <c r="F32" s="200" t="s">
        <v>217</v>
      </c>
      <c r="G32" s="84">
        <v>0</v>
      </c>
      <c r="H32" s="84">
        <v>0</v>
      </c>
      <c r="I32" s="84">
        <v>0</v>
      </c>
      <c r="J32" s="84">
        <v>0</v>
      </c>
      <c r="K32" s="84">
        <v>1</v>
      </c>
      <c r="L32" s="84">
        <v>0</v>
      </c>
      <c r="M32" s="84">
        <v>1</v>
      </c>
      <c r="N32" s="84">
        <v>0</v>
      </c>
      <c r="O32" s="84">
        <v>1</v>
      </c>
      <c r="P32" s="73">
        <v>0</v>
      </c>
      <c r="Q32" s="84">
        <v>0</v>
      </c>
      <c r="R32" s="74">
        <v>1</v>
      </c>
      <c r="S32"/>
      <c r="T32"/>
    </row>
    <row r="33" spans="1:20" ht="15" customHeight="1" x14ac:dyDescent="0.15">
      <c r="A33" s="129"/>
      <c r="B33" s="96"/>
      <c r="C33" s="96"/>
      <c r="D33" s="96"/>
      <c r="E33" s="130"/>
      <c r="F33" s="200" t="s">
        <v>218</v>
      </c>
      <c r="G33" s="84">
        <v>0</v>
      </c>
      <c r="H33" s="84">
        <v>0</v>
      </c>
      <c r="I33" s="84">
        <v>0</v>
      </c>
      <c r="J33" s="84">
        <v>0</v>
      </c>
      <c r="K33" s="84">
        <v>1</v>
      </c>
      <c r="L33" s="84">
        <v>0</v>
      </c>
      <c r="M33" s="84">
        <v>1</v>
      </c>
      <c r="N33" s="84">
        <v>0</v>
      </c>
      <c r="O33" s="84">
        <v>1</v>
      </c>
      <c r="P33" s="73">
        <v>0</v>
      </c>
      <c r="Q33" s="84">
        <v>0</v>
      </c>
      <c r="R33" s="74">
        <v>1</v>
      </c>
      <c r="S33"/>
      <c r="T33"/>
    </row>
    <row r="34" spans="1:20" ht="15" customHeight="1" x14ac:dyDescent="0.15">
      <c r="A34" s="131"/>
      <c r="B34" s="96"/>
      <c r="C34" s="96"/>
      <c r="D34" s="96"/>
      <c r="E34" s="130"/>
      <c r="F34" s="200" t="s">
        <v>219</v>
      </c>
      <c r="G34" s="84">
        <v>0</v>
      </c>
      <c r="H34" s="84">
        <v>0</v>
      </c>
      <c r="I34" s="84">
        <v>0</v>
      </c>
      <c r="J34" s="84">
        <v>0</v>
      </c>
      <c r="K34" s="84">
        <v>1</v>
      </c>
      <c r="L34" s="84">
        <v>0</v>
      </c>
      <c r="M34" s="84">
        <v>1</v>
      </c>
      <c r="N34" s="84">
        <v>0</v>
      </c>
      <c r="O34" s="84">
        <v>1</v>
      </c>
      <c r="P34" s="73">
        <v>0</v>
      </c>
      <c r="Q34" s="84">
        <v>0</v>
      </c>
      <c r="R34" s="74">
        <v>1</v>
      </c>
      <c r="S34"/>
      <c r="T34"/>
    </row>
    <row r="35" spans="1:20" ht="15" customHeight="1" x14ac:dyDescent="0.15">
      <c r="A35" s="132"/>
      <c r="B35" s="96"/>
      <c r="C35" s="96"/>
      <c r="D35" s="96"/>
      <c r="E35" s="130"/>
      <c r="F35" s="200" t="s">
        <v>220</v>
      </c>
      <c r="G35" s="84">
        <v>0</v>
      </c>
      <c r="H35" s="84">
        <v>0</v>
      </c>
      <c r="I35" s="84">
        <v>0</v>
      </c>
      <c r="J35" s="84">
        <v>0</v>
      </c>
      <c r="K35" s="84">
        <v>1</v>
      </c>
      <c r="L35" s="84">
        <v>0</v>
      </c>
      <c r="M35" s="84">
        <v>1</v>
      </c>
      <c r="N35" s="84">
        <v>0</v>
      </c>
      <c r="O35" s="84">
        <v>1</v>
      </c>
      <c r="P35" s="73">
        <v>0</v>
      </c>
      <c r="Q35" s="84">
        <v>0</v>
      </c>
      <c r="R35" s="74">
        <v>1</v>
      </c>
      <c r="S35"/>
      <c r="T35"/>
    </row>
    <row r="36" spans="1:20" ht="15" customHeight="1" x14ac:dyDescent="0.15">
      <c r="A36" s="133"/>
      <c r="B36" s="96"/>
      <c r="C36" s="96"/>
      <c r="D36" s="96"/>
      <c r="E36" s="130"/>
      <c r="F36" s="200" t="s">
        <v>221</v>
      </c>
      <c r="G36" s="84">
        <v>0</v>
      </c>
      <c r="H36" s="84">
        <v>0</v>
      </c>
      <c r="I36" s="84">
        <v>0</v>
      </c>
      <c r="J36" s="84">
        <v>0</v>
      </c>
      <c r="K36" s="84">
        <v>1</v>
      </c>
      <c r="L36" s="84">
        <v>0</v>
      </c>
      <c r="M36" s="84">
        <v>1</v>
      </c>
      <c r="N36" s="84">
        <v>0</v>
      </c>
      <c r="O36" s="84">
        <v>1</v>
      </c>
      <c r="P36" s="73">
        <v>0</v>
      </c>
      <c r="Q36" s="84">
        <v>0</v>
      </c>
      <c r="R36" s="74">
        <v>1</v>
      </c>
      <c r="S36"/>
      <c r="T36"/>
    </row>
    <row r="37" spans="1:20" ht="15" customHeight="1" x14ac:dyDescent="0.15">
      <c r="A37" s="133"/>
      <c r="B37" s="96"/>
      <c r="C37" s="96"/>
      <c r="D37" s="96"/>
      <c r="E37" s="130"/>
      <c r="F37" s="200" t="s">
        <v>222</v>
      </c>
      <c r="G37" s="84">
        <v>0</v>
      </c>
      <c r="H37" s="84">
        <v>0</v>
      </c>
      <c r="I37" s="84">
        <v>0</v>
      </c>
      <c r="J37" s="84">
        <v>0</v>
      </c>
      <c r="K37" s="84">
        <v>1</v>
      </c>
      <c r="L37" s="84">
        <v>0</v>
      </c>
      <c r="M37" s="84">
        <v>1</v>
      </c>
      <c r="N37" s="84">
        <v>0</v>
      </c>
      <c r="O37" s="84">
        <v>1</v>
      </c>
      <c r="P37" s="73">
        <v>0</v>
      </c>
      <c r="Q37" s="84">
        <v>0</v>
      </c>
      <c r="R37" s="74">
        <v>1</v>
      </c>
      <c r="S37"/>
      <c r="T37"/>
    </row>
    <row r="38" spans="1:20" ht="15" customHeight="1" x14ac:dyDescent="0.15">
      <c r="A38" s="134"/>
      <c r="B38" s="96"/>
      <c r="C38" s="96"/>
      <c r="D38" s="96"/>
      <c r="E38" s="130"/>
      <c r="F38" s="200" t="s">
        <v>223</v>
      </c>
      <c r="G38" s="84">
        <v>0</v>
      </c>
      <c r="H38" s="84">
        <v>0</v>
      </c>
      <c r="I38" s="84">
        <v>0</v>
      </c>
      <c r="J38" s="84">
        <v>0</v>
      </c>
      <c r="K38" s="84">
        <v>1</v>
      </c>
      <c r="L38" s="84">
        <v>0</v>
      </c>
      <c r="M38" s="84">
        <v>1</v>
      </c>
      <c r="N38" s="84">
        <v>0</v>
      </c>
      <c r="O38" s="84">
        <v>1</v>
      </c>
      <c r="P38" s="73">
        <v>0</v>
      </c>
      <c r="Q38" s="84">
        <v>0</v>
      </c>
      <c r="R38" s="74">
        <v>1</v>
      </c>
      <c r="S38"/>
      <c r="T38"/>
    </row>
    <row r="39" spans="1:20" ht="15" customHeight="1" x14ac:dyDescent="0.15">
      <c r="A39" s="134"/>
      <c r="B39" s="96"/>
      <c r="C39" s="96"/>
      <c r="D39" s="96"/>
      <c r="E39" s="130"/>
      <c r="F39" s="200" t="s">
        <v>224</v>
      </c>
      <c r="G39" s="84">
        <v>0</v>
      </c>
      <c r="H39" s="84">
        <v>0</v>
      </c>
      <c r="I39" s="84">
        <v>0</v>
      </c>
      <c r="J39" s="84">
        <v>0</v>
      </c>
      <c r="K39" s="84">
        <v>1</v>
      </c>
      <c r="L39" s="84">
        <v>0</v>
      </c>
      <c r="M39" s="84">
        <v>1</v>
      </c>
      <c r="N39" s="84">
        <v>0</v>
      </c>
      <c r="O39" s="84">
        <v>1</v>
      </c>
      <c r="P39" s="73">
        <v>0</v>
      </c>
      <c r="Q39" s="84">
        <v>0</v>
      </c>
      <c r="R39" s="74">
        <v>1</v>
      </c>
      <c r="S39"/>
      <c r="T39"/>
    </row>
    <row r="40" spans="1:20" ht="15" customHeight="1" x14ac:dyDescent="0.15">
      <c r="A40" s="134"/>
      <c r="B40" s="96"/>
      <c r="C40" s="96"/>
      <c r="D40" s="96"/>
      <c r="E40" s="130"/>
      <c r="F40" s="200" t="s">
        <v>225</v>
      </c>
      <c r="G40" s="84">
        <v>0</v>
      </c>
      <c r="H40" s="84">
        <v>0</v>
      </c>
      <c r="I40" s="84">
        <v>0</v>
      </c>
      <c r="J40" s="84">
        <v>0</v>
      </c>
      <c r="K40" s="84">
        <v>1</v>
      </c>
      <c r="L40" s="84">
        <v>0</v>
      </c>
      <c r="M40" s="84">
        <v>1</v>
      </c>
      <c r="N40" s="84">
        <v>0</v>
      </c>
      <c r="O40" s="84">
        <v>1</v>
      </c>
      <c r="P40" s="73">
        <v>0</v>
      </c>
      <c r="Q40" s="84">
        <v>0</v>
      </c>
      <c r="R40" s="74">
        <v>1</v>
      </c>
      <c r="S40"/>
      <c r="T40"/>
    </row>
    <row r="41" spans="1:20" ht="15" customHeight="1" thickBot="1" x14ac:dyDescent="0.2">
      <c r="A41" s="134"/>
      <c r="B41" s="96"/>
      <c r="C41" s="96"/>
      <c r="D41" s="97"/>
      <c r="E41" s="135"/>
      <c r="F41" s="200" t="s">
        <v>226</v>
      </c>
      <c r="G41" s="84">
        <v>0</v>
      </c>
      <c r="H41" s="84">
        <v>0</v>
      </c>
      <c r="I41" s="84">
        <v>0</v>
      </c>
      <c r="J41" s="84">
        <v>0</v>
      </c>
      <c r="K41" s="84">
        <v>1</v>
      </c>
      <c r="L41" s="84">
        <v>0</v>
      </c>
      <c r="M41" s="84">
        <v>1</v>
      </c>
      <c r="N41" s="84">
        <v>0</v>
      </c>
      <c r="O41" s="84">
        <v>1</v>
      </c>
      <c r="P41" s="73">
        <v>0</v>
      </c>
      <c r="Q41" s="84">
        <v>0</v>
      </c>
      <c r="R41" s="74">
        <v>1</v>
      </c>
      <c r="S41"/>
      <c r="T41"/>
    </row>
    <row r="42" spans="1:20" ht="15" customHeight="1" x14ac:dyDescent="0.15">
      <c r="A42" s="136"/>
      <c r="B42" s="137"/>
      <c r="C42" s="137" t="s">
        <v>162</v>
      </c>
      <c r="D42" s="137">
        <f>SUM(D32:D41)</f>
        <v>4728</v>
      </c>
      <c r="E42" s="138">
        <f>SUM(E32:E41)</f>
        <v>1</v>
      </c>
      <c r="F42" s="200" t="s">
        <v>227</v>
      </c>
      <c r="G42" s="84">
        <v>0</v>
      </c>
      <c r="H42" s="84">
        <v>0</v>
      </c>
      <c r="I42" s="84">
        <v>0</v>
      </c>
      <c r="J42" s="84">
        <v>0</v>
      </c>
      <c r="K42" s="84">
        <v>1</v>
      </c>
      <c r="L42" s="84">
        <v>0</v>
      </c>
      <c r="M42" s="84">
        <v>1</v>
      </c>
      <c r="N42" s="84">
        <v>0</v>
      </c>
      <c r="O42" s="84">
        <v>1</v>
      </c>
      <c r="P42" s="73">
        <v>0</v>
      </c>
      <c r="Q42" s="84">
        <v>0</v>
      </c>
      <c r="R42" s="74">
        <v>1</v>
      </c>
      <c r="S42"/>
      <c r="T42"/>
    </row>
    <row r="43" spans="1:20" ht="15" customHeight="1" x14ac:dyDescent="0.15">
      <c r="A43" s="84"/>
      <c r="F43" s="200" t="s">
        <v>228</v>
      </c>
      <c r="G43" s="84">
        <v>0</v>
      </c>
      <c r="H43" s="84">
        <v>0</v>
      </c>
      <c r="I43" s="84">
        <v>0</v>
      </c>
      <c r="J43" s="84">
        <v>0</v>
      </c>
      <c r="K43" s="84">
        <v>1</v>
      </c>
      <c r="L43" s="84">
        <v>0</v>
      </c>
      <c r="M43" s="84">
        <v>1</v>
      </c>
      <c r="N43" s="84">
        <v>0</v>
      </c>
      <c r="O43" s="84">
        <v>1</v>
      </c>
      <c r="P43" s="73">
        <v>0</v>
      </c>
      <c r="Q43" s="84">
        <v>0</v>
      </c>
      <c r="R43" s="74">
        <v>1</v>
      </c>
      <c r="S43"/>
      <c r="T43"/>
    </row>
    <row r="44" spans="1:20" ht="15" customHeight="1" x14ac:dyDescent="0.15">
      <c r="A44" s="84"/>
      <c r="F44" s="200" t="s">
        <v>229</v>
      </c>
      <c r="G44" s="84">
        <v>0</v>
      </c>
      <c r="H44" s="84">
        <v>0</v>
      </c>
      <c r="I44" s="84">
        <v>0</v>
      </c>
      <c r="J44" s="84">
        <v>0</v>
      </c>
      <c r="K44" s="84">
        <v>1</v>
      </c>
      <c r="L44" s="84">
        <v>0</v>
      </c>
      <c r="M44" s="84">
        <v>1</v>
      </c>
      <c r="N44" s="84">
        <v>0</v>
      </c>
      <c r="O44" s="84">
        <v>1</v>
      </c>
      <c r="P44" s="73">
        <v>0</v>
      </c>
      <c r="Q44" s="84">
        <v>0</v>
      </c>
      <c r="R44" s="74">
        <v>1</v>
      </c>
    </row>
    <row r="45" spans="1:20" ht="15" customHeight="1" x14ac:dyDescent="0.15">
      <c r="A45" s="84"/>
      <c r="F45" s="200" t="s">
        <v>230</v>
      </c>
      <c r="G45" s="84">
        <v>0</v>
      </c>
      <c r="H45" s="84">
        <v>0</v>
      </c>
      <c r="I45" s="84">
        <v>0</v>
      </c>
      <c r="J45" s="84">
        <v>0</v>
      </c>
      <c r="K45" s="84">
        <v>1</v>
      </c>
      <c r="L45" s="84">
        <v>0</v>
      </c>
      <c r="M45" s="84">
        <v>1</v>
      </c>
      <c r="N45" s="84">
        <v>0</v>
      </c>
      <c r="O45" s="84">
        <v>1</v>
      </c>
      <c r="P45" s="73">
        <v>0</v>
      </c>
      <c r="Q45" s="84">
        <v>0</v>
      </c>
      <c r="R45" s="74">
        <v>1</v>
      </c>
    </row>
    <row r="46" spans="1:20" ht="15" customHeight="1" x14ac:dyDescent="0.15">
      <c r="A46" s="84"/>
      <c r="F46" s="200" t="s">
        <v>231</v>
      </c>
      <c r="G46" s="84">
        <v>0</v>
      </c>
      <c r="H46" s="84">
        <v>0</v>
      </c>
      <c r="I46" s="84">
        <v>0</v>
      </c>
      <c r="J46" s="84">
        <v>0</v>
      </c>
      <c r="K46" s="84">
        <v>1</v>
      </c>
      <c r="L46" s="84">
        <v>0</v>
      </c>
      <c r="M46" s="84">
        <v>1</v>
      </c>
      <c r="N46" s="84">
        <v>0</v>
      </c>
      <c r="O46" s="84">
        <v>1</v>
      </c>
      <c r="P46" s="73">
        <v>0</v>
      </c>
      <c r="Q46" s="84">
        <v>0</v>
      </c>
      <c r="R46" s="74">
        <v>1</v>
      </c>
    </row>
    <row r="47" spans="1:20" ht="15" customHeight="1" x14ac:dyDescent="0.15">
      <c r="A47" s="84"/>
      <c r="F47" s="200" t="s">
        <v>232</v>
      </c>
      <c r="G47" s="84">
        <v>0</v>
      </c>
      <c r="H47" s="84">
        <v>0</v>
      </c>
      <c r="I47" s="84">
        <v>0</v>
      </c>
      <c r="J47" s="84">
        <v>0</v>
      </c>
      <c r="K47" s="84">
        <v>1</v>
      </c>
      <c r="L47" s="84">
        <v>0</v>
      </c>
      <c r="M47" s="84">
        <v>1</v>
      </c>
      <c r="N47" s="84">
        <v>0</v>
      </c>
      <c r="O47" s="84">
        <v>1</v>
      </c>
      <c r="P47" s="73">
        <v>0</v>
      </c>
      <c r="Q47" s="84">
        <v>0</v>
      </c>
      <c r="R47" s="74">
        <v>1</v>
      </c>
    </row>
    <row r="48" spans="1:20" ht="15" customHeight="1" x14ac:dyDescent="0.15">
      <c r="A48" s="84"/>
      <c r="F48" s="200" t="s">
        <v>233</v>
      </c>
      <c r="G48" s="84">
        <v>0</v>
      </c>
      <c r="H48" s="84">
        <v>0</v>
      </c>
      <c r="I48" s="84">
        <v>0</v>
      </c>
      <c r="J48" s="84">
        <v>0</v>
      </c>
      <c r="K48" s="84">
        <v>0</v>
      </c>
      <c r="L48" s="84">
        <v>0</v>
      </c>
      <c r="M48" s="84">
        <v>1</v>
      </c>
      <c r="N48" s="84">
        <v>0</v>
      </c>
      <c r="O48" s="84">
        <v>0</v>
      </c>
      <c r="P48" s="73">
        <v>0</v>
      </c>
      <c r="Q48" s="84">
        <v>0</v>
      </c>
      <c r="R48" s="74">
        <v>1</v>
      </c>
    </row>
    <row r="49" spans="6:18" s="84" customFormat="1" ht="15" customHeight="1" x14ac:dyDescent="0.15">
      <c r="F49" s="200" t="s">
        <v>234</v>
      </c>
      <c r="G49" s="84">
        <v>0</v>
      </c>
      <c r="H49" s="84">
        <v>0</v>
      </c>
      <c r="I49" s="84">
        <v>0</v>
      </c>
      <c r="J49" s="84">
        <v>0</v>
      </c>
      <c r="K49" s="84">
        <v>0</v>
      </c>
      <c r="L49" s="84">
        <v>1</v>
      </c>
      <c r="M49" s="84">
        <v>0</v>
      </c>
      <c r="N49" s="84">
        <v>1</v>
      </c>
      <c r="O49" s="84">
        <v>0</v>
      </c>
      <c r="P49" s="73">
        <v>1</v>
      </c>
      <c r="Q49" s="84">
        <v>0</v>
      </c>
      <c r="R49" s="74">
        <v>1</v>
      </c>
    </row>
    <row r="50" spans="6:18" s="84" customFormat="1" ht="15" customHeight="1" x14ac:dyDescent="0.15">
      <c r="F50" s="200" t="s">
        <v>235</v>
      </c>
      <c r="G50" s="84">
        <v>0</v>
      </c>
      <c r="H50" s="84">
        <v>0</v>
      </c>
      <c r="I50" s="84">
        <v>0</v>
      </c>
      <c r="J50" s="84">
        <v>0</v>
      </c>
      <c r="K50" s="84">
        <v>0</v>
      </c>
      <c r="L50" s="84">
        <v>1</v>
      </c>
      <c r="M50" s="84">
        <v>0</v>
      </c>
      <c r="N50" s="84">
        <v>1</v>
      </c>
      <c r="O50" s="84">
        <v>0</v>
      </c>
      <c r="P50" s="73">
        <v>1</v>
      </c>
      <c r="Q50" s="84">
        <v>0</v>
      </c>
      <c r="R50" s="74">
        <v>1</v>
      </c>
    </row>
    <row r="51" spans="6:18" s="84" customFormat="1" ht="15" customHeight="1" x14ac:dyDescent="0.15">
      <c r="F51" s="200" t="s">
        <v>236</v>
      </c>
      <c r="G51" s="84">
        <v>0</v>
      </c>
      <c r="H51" s="84">
        <v>0</v>
      </c>
      <c r="I51" s="84">
        <v>0</v>
      </c>
      <c r="J51" s="84">
        <v>0</v>
      </c>
      <c r="K51" s="84">
        <v>0</v>
      </c>
      <c r="L51" s="84">
        <v>1</v>
      </c>
      <c r="M51" s="84">
        <v>0</v>
      </c>
      <c r="N51" s="84">
        <v>0</v>
      </c>
      <c r="O51" s="84">
        <v>0</v>
      </c>
      <c r="P51" s="73">
        <v>0</v>
      </c>
      <c r="Q51" s="84">
        <v>0</v>
      </c>
      <c r="R51" s="74">
        <v>1</v>
      </c>
    </row>
    <row r="52" spans="6:18" s="84" customFormat="1" ht="15" customHeight="1" x14ac:dyDescent="0.15">
      <c r="F52" s="200" t="s">
        <v>237</v>
      </c>
      <c r="G52" s="84">
        <v>0</v>
      </c>
      <c r="H52" s="84">
        <v>0</v>
      </c>
      <c r="I52" s="84">
        <v>0</v>
      </c>
      <c r="J52" s="84">
        <v>0</v>
      </c>
      <c r="K52" s="84">
        <v>0</v>
      </c>
      <c r="L52" s="84">
        <v>1</v>
      </c>
      <c r="M52" s="84">
        <v>0</v>
      </c>
      <c r="N52" s="84">
        <v>0</v>
      </c>
      <c r="O52" s="84">
        <v>0</v>
      </c>
      <c r="P52" s="73">
        <v>0</v>
      </c>
      <c r="Q52" s="84">
        <v>0</v>
      </c>
      <c r="R52" s="74">
        <v>1</v>
      </c>
    </row>
    <row r="53" spans="6:18" s="84" customFormat="1" ht="15" customHeight="1" x14ac:dyDescent="0.15">
      <c r="F53"/>
      <c r="G53"/>
      <c r="H53"/>
      <c r="I53"/>
      <c r="J53"/>
      <c r="K53"/>
      <c r="L53"/>
      <c r="M53"/>
      <c r="N53"/>
      <c r="O53"/>
      <c r="P53"/>
      <c r="Q53"/>
      <c r="R53"/>
    </row>
    <row r="54" spans="6:18" s="84" customFormat="1" ht="15" customHeight="1" x14ac:dyDescent="0.15">
      <c r="F54"/>
      <c r="G54"/>
      <c r="H54"/>
      <c r="I54"/>
      <c r="J54"/>
      <c r="K54"/>
      <c r="L54"/>
      <c r="M54"/>
      <c r="N54"/>
      <c r="O54"/>
      <c r="P54"/>
      <c r="Q54"/>
      <c r="R54"/>
    </row>
    <row r="55" spans="6:18" s="84" customFormat="1" ht="15" customHeight="1" x14ac:dyDescent="0.15">
      <c r="F55"/>
      <c r="G55"/>
      <c r="H55"/>
      <c r="I55"/>
      <c r="J55"/>
      <c r="K55"/>
      <c r="L55"/>
      <c r="M55"/>
      <c r="N55"/>
      <c r="O55"/>
      <c r="P55"/>
      <c r="Q55"/>
      <c r="R55"/>
    </row>
    <row r="56" spans="6:18" s="84" customFormat="1" ht="15" customHeight="1" x14ac:dyDescent="0.15">
      <c r="F56"/>
      <c r="G56"/>
      <c r="H56"/>
      <c r="I56"/>
      <c r="J56"/>
      <c r="K56"/>
      <c r="L56"/>
      <c r="M56"/>
      <c r="N56"/>
      <c r="O56"/>
      <c r="P56"/>
      <c r="Q56"/>
      <c r="R56"/>
    </row>
    <row r="57" spans="6:18" s="84" customFormat="1" ht="15" customHeight="1" x14ac:dyDescent="0.15">
      <c r="F57"/>
      <c r="G57"/>
      <c r="H57"/>
      <c r="I57"/>
      <c r="J57"/>
      <c r="K57"/>
      <c r="L57"/>
      <c r="M57"/>
      <c r="N57"/>
      <c r="O57"/>
      <c r="P57"/>
      <c r="Q57"/>
      <c r="R57"/>
    </row>
    <row r="58" spans="6:18" s="84" customFormat="1" ht="15" customHeight="1" x14ac:dyDescent="0.15">
      <c r="F58"/>
      <c r="G58"/>
      <c r="H58"/>
      <c r="I58"/>
      <c r="J58"/>
      <c r="K58"/>
      <c r="L58"/>
      <c r="M58"/>
      <c r="N58"/>
      <c r="O58"/>
      <c r="P58"/>
      <c r="Q58"/>
      <c r="R58"/>
    </row>
    <row r="59" spans="6:18" s="84" customFormat="1" ht="15" customHeight="1" x14ac:dyDescent="0.15">
      <c r="F59"/>
      <c r="G59"/>
      <c r="H59"/>
      <c r="I59"/>
      <c r="J59"/>
      <c r="K59"/>
      <c r="L59"/>
      <c r="M59"/>
      <c r="N59"/>
      <c r="O59"/>
      <c r="P59"/>
      <c r="Q59"/>
      <c r="R59"/>
    </row>
    <row r="60" spans="6:18" s="84" customFormat="1" ht="15" customHeight="1" x14ac:dyDescent="0.15">
      <c r="F60"/>
      <c r="G60"/>
      <c r="H60"/>
      <c r="I60"/>
      <c r="J60"/>
      <c r="K60"/>
      <c r="L60"/>
      <c r="M60"/>
      <c r="N60"/>
      <c r="O60"/>
      <c r="P60"/>
      <c r="Q60"/>
      <c r="R60"/>
    </row>
    <row r="61" spans="6:18" s="84" customFormat="1" ht="15" customHeight="1" x14ac:dyDescent="0.15">
      <c r="F61"/>
      <c r="G61"/>
      <c r="H61"/>
      <c r="I61"/>
      <c r="J61"/>
      <c r="K61"/>
      <c r="L61"/>
      <c r="M61"/>
      <c r="N61"/>
      <c r="O61"/>
      <c r="P61"/>
      <c r="Q61"/>
      <c r="R61"/>
    </row>
    <row r="62" spans="6:18" s="84" customFormat="1" ht="15" customHeight="1" x14ac:dyDescent="0.15">
      <c r="F62"/>
      <c r="G62"/>
      <c r="H62"/>
      <c r="I62"/>
      <c r="J62"/>
      <c r="K62"/>
      <c r="L62"/>
      <c r="M62"/>
      <c r="N62"/>
      <c r="O62"/>
      <c r="P62"/>
      <c r="Q62"/>
      <c r="R62"/>
    </row>
    <row r="63" spans="6:18" s="84" customFormat="1" ht="15" customHeight="1" x14ac:dyDescent="0.15">
      <c r="F63"/>
      <c r="G63"/>
      <c r="H63"/>
      <c r="I63"/>
      <c r="J63"/>
      <c r="K63"/>
      <c r="L63"/>
      <c r="M63"/>
      <c r="N63"/>
      <c r="O63"/>
      <c r="P63"/>
      <c r="Q63"/>
      <c r="R63"/>
    </row>
    <row r="64" spans="6:18" s="84"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4"/>
      <c r="F76"/>
      <c r="G76"/>
      <c r="H76"/>
      <c r="I76"/>
      <c r="J76"/>
      <c r="K76"/>
      <c r="L76"/>
      <c r="M76"/>
      <c r="N76"/>
      <c r="O76"/>
      <c r="P76"/>
      <c r="Q76"/>
      <c r="R76"/>
    </row>
    <row r="77" spans="1:18" ht="15" customHeight="1" x14ac:dyDescent="0.15">
      <c r="A77" s="84"/>
      <c r="F77"/>
      <c r="G77"/>
      <c r="H77"/>
      <c r="I77"/>
      <c r="J77"/>
      <c r="K77"/>
      <c r="L77"/>
      <c r="M77"/>
      <c r="N77"/>
      <c r="O77"/>
      <c r="P77"/>
      <c r="Q77"/>
      <c r="R77"/>
    </row>
    <row r="78" spans="1:18" ht="15" customHeight="1" x14ac:dyDescent="0.15">
      <c r="A78" s="84"/>
      <c r="F78"/>
      <c r="G78"/>
      <c r="H78"/>
      <c r="I78"/>
      <c r="J78"/>
      <c r="K78"/>
      <c r="L78"/>
      <c r="M78"/>
      <c r="N78"/>
      <c r="O78"/>
      <c r="P78"/>
      <c r="Q78"/>
      <c r="R78"/>
    </row>
    <row r="79" spans="1:18" ht="15" customHeight="1" x14ac:dyDescent="0.15">
      <c r="A79" s="84"/>
      <c r="F79"/>
      <c r="G79"/>
      <c r="H79"/>
      <c r="I79"/>
      <c r="J79"/>
      <c r="K79"/>
      <c r="L79"/>
      <c r="M79"/>
      <c r="N79"/>
      <c r="O79"/>
      <c r="P79"/>
      <c r="Q79"/>
      <c r="R79"/>
    </row>
    <row r="80" spans="1:18" ht="15" customHeight="1" x14ac:dyDescent="0.15">
      <c r="A80" s="84"/>
      <c r="F80"/>
      <c r="G80"/>
      <c r="H80"/>
      <c r="I80"/>
      <c r="J80"/>
      <c r="K80"/>
      <c r="L80"/>
      <c r="M80"/>
      <c r="N80"/>
      <c r="O80"/>
      <c r="P80"/>
      <c r="Q80"/>
      <c r="R80"/>
    </row>
    <row r="81" spans="1:18" ht="15" customHeight="1" x14ac:dyDescent="0.15">
      <c r="A81" s="84"/>
      <c r="F81"/>
      <c r="G81"/>
      <c r="H81"/>
      <c r="I81"/>
      <c r="J81"/>
      <c r="K81"/>
      <c r="L81"/>
      <c r="M81"/>
      <c r="N81"/>
      <c r="O81"/>
      <c r="P81"/>
      <c r="Q81"/>
      <c r="R81"/>
    </row>
    <row r="82" spans="1:18" ht="15" customHeight="1" x14ac:dyDescent="0.15">
      <c r="A82" s="84"/>
      <c r="F82"/>
      <c r="G82"/>
      <c r="H82"/>
      <c r="I82"/>
      <c r="J82"/>
      <c r="K82"/>
      <c r="L82"/>
      <c r="M82"/>
      <c r="N82"/>
      <c r="O82"/>
      <c r="P82"/>
      <c r="Q82"/>
      <c r="R82"/>
    </row>
    <row r="83" spans="1:18" ht="15" customHeight="1" x14ac:dyDescent="0.15">
      <c r="A83" s="84"/>
      <c r="F83"/>
      <c r="G83"/>
      <c r="H83"/>
      <c r="I83"/>
      <c r="J83"/>
      <c r="K83"/>
      <c r="L83"/>
      <c r="M83"/>
      <c r="N83"/>
      <c r="O83"/>
      <c r="P83"/>
      <c r="Q83"/>
      <c r="R83"/>
    </row>
    <row r="84" spans="1:18" ht="15" customHeight="1" x14ac:dyDescent="0.15">
      <c r="A84" s="84"/>
      <c r="F84"/>
      <c r="G84"/>
      <c r="H84"/>
      <c r="I84"/>
      <c r="J84"/>
      <c r="K84"/>
      <c r="L84"/>
      <c r="M84"/>
      <c r="N84"/>
      <c r="O84"/>
      <c r="P84"/>
      <c r="Q84"/>
      <c r="R84"/>
    </row>
    <row r="85" spans="1:18" ht="15" customHeight="1" x14ac:dyDescent="0.15">
      <c r="A85" s="84"/>
      <c r="F85"/>
      <c r="G85"/>
      <c r="H85"/>
      <c r="I85"/>
      <c r="J85"/>
      <c r="K85"/>
      <c r="L85"/>
      <c r="M85"/>
      <c r="N85"/>
      <c r="O85"/>
      <c r="P85"/>
      <c r="Q85"/>
      <c r="R85"/>
    </row>
    <row r="86" spans="1:18" ht="15" customHeight="1" x14ac:dyDescent="0.15">
      <c r="A86" s="84"/>
      <c r="F86"/>
      <c r="G86"/>
      <c r="H86"/>
      <c r="I86"/>
      <c r="J86"/>
      <c r="K86"/>
      <c r="L86"/>
      <c r="M86"/>
      <c r="N86"/>
      <c r="O86"/>
      <c r="P86"/>
      <c r="Q86"/>
      <c r="R86"/>
    </row>
    <row r="87" spans="1:18" ht="15" customHeight="1" x14ac:dyDescent="0.15">
      <c r="A87" s="84"/>
      <c r="F87"/>
      <c r="G87"/>
      <c r="H87"/>
      <c r="I87"/>
      <c r="J87"/>
      <c r="K87"/>
      <c r="L87"/>
      <c r="M87"/>
      <c r="N87"/>
      <c r="O87"/>
      <c r="P87"/>
      <c r="Q87"/>
      <c r="R87"/>
    </row>
    <row r="88" spans="1:18" ht="15" customHeight="1" x14ac:dyDescent="0.15">
      <c r="A88" s="84"/>
      <c r="F88"/>
      <c r="G88"/>
      <c r="H88"/>
      <c r="I88"/>
      <c r="J88"/>
      <c r="K88"/>
      <c r="L88"/>
      <c r="M88"/>
      <c r="N88"/>
      <c r="O88"/>
      <c r="P88"/>
      <c r="Q88"/>
      <c r="R88"/>
    </row>
    <row r="89" spans="1:18" ht="15" customHeight="1" x14ac:dyDescent="0.15">
      <c r="A89" s="84"/>
      <c r="F89"/>
      <c r="G89"/>
      <c r="H89"/>
      <c r="I89"/>
      <c r="J89"/>
      <c r="K89"/>
      <c r="L89"/>
      <c r="M89"/>
      <c r="N89"/>
      <c r="O89"/>
      <c r="P89"/>
      <c r="Q89"/>
      <c r="R89"/>
    </row>
    <row r="90" spans="1:18" ht="15" customHeight="1" x14ac:dyDescent="0.15">
      <c r="A90" s="84"/>
      <c r="F90"/>
      <c r="G90"/>
      <c r="H90"/>
      <c r="I90"/>
      <c r="J90"/>
      <c r="K90"/>
      <c r="L90"/>
      <c r="M90"/>
      <c r="N90"/>
      <c r="O90"/>
      <c r="P90"/>
      <c r="Q90"/>
      <c r="R90"/>
    </row>
    <row r="91" spans="1:18" ht="15" customHeight="1" x14ac:dyDescent="0.15">
      <c r="A91" s="84"/>
      <c r="F91"/>
      <c r="G91"/>
      <c r="H91"/>
      <c r="I91"/>
      <c r="J91"/>
      <c r="K91"/>
      <c r="L91"/>
      <c r="M91"/>
      <c r="N91"/>
      <c r="O91"/>
      <c r="P91"/>
      <c r="Q91"/>
      <c r="R91"/>
    </row>
    <row r="92" spans="1:18" ht="15" customHeight="1" x14ac:dyDescent="0.15">
      <c r="A92" s="84"/>
      <c r="F92"/>
      <c r="G92"/>
      <c r="H92"/>
      <c r="I92"/>
      <c r="J92"/>
      <c r="K92"/>
      <c r="L92"/>
      <c r="M92"/>
      <c r="N92"/>
      <c r="O92"/>
      <c r="P92"/>
      <c r="Q92"/>
      <c r="R92"/>
    </row>
    <row r="93" spans="1:18" ht="15" customHeight="1" x14ac:dyDescent="0.15">
      <c r="A93" s="84"/>
      <c r="F93"/>
      <c r="G93"/>
      <c r="H93"/>
      <c r="I93"/>
      <c r="J93"/>
      <c r="K93"/>
      <c r="L93"/>
      <c r="M93"/>
      <c r="N93"/>
      <c r="O93"/>
      <c r="P93"/>
      <c r="Q93"/>
      <c r="R93"/>
    </row>
    <row r="94" spans="1:18" ht="15" customHeight="1" x14ac:dyDescent="0.15">
      <c r="A94" s="84"/>
      <c r="F94"/>
      <c r="G94"/>
      <c r="H94"/>
      <c r="I94"/>
      <c r="J94"/>
      <c r="K94"/>
      <c r="L94"/>
      <c r="M94"/>
      <c r="N94"/>
      <c r="O94"/>
      <c r="P94"/>
      <c r="Q94"/>
      <c r="R94"/>
    </row>
    <row r="95" spans="1:18" ht="15" customHeight="1" x14ac:dyDescent="0.15">
      <c r="A95" s="84"/>
      <c r="F95"/>
      <c r="G95"/>
      <c r="H95"/>
      <c r="I95"/>
      <c r="J95"/>
      <c r="K95"/>
      <c r="L95"/>
      <c r="M95"/>
      <c r="N95"/>
      <c r="O95"/>
      <c r="P95"/>
      <c r="Q95"/>
      <c r="R95"/>
    </row>
    <row r="96" spans="1:18" ht="15" customHeight="1" x14ac:dyDescent="0.15">
      <c r="A96" s="84"/>
      <c r="F96"/>
      <c r="G96"/>
      <c r="H96"/>
      <c r="I96"/>
      <c r="J96"/>
      <c r="K96"/>
      <c r="L96"/>
      <c r="M96"/>
      <c r="N96"/>
      <c r="O96"/>
      <c r="P96"/>
      <c r="Q96"/>
      <c r="R96"/>
    </row>
    <row r="97" spans="1:18" ht="15" customHeight="1" x14ac:dyDescent="0.15">
      <c r="A97" s="84"/>
      <c r="F97"/>
      <c r="G97"/>
      <c r="H97"/>
      <c r="I97"/>
      <c r="J97"/>
      <c r="K97"/>
      <c r="L97"/>
      <c r="M97"/>
      <c r="N97"/>
      <c r="O97"/>
      <c r="P97"/>
      <c r="Q97"/>
      <c r="R97"/>
    </row>
    <row r="98" spans="1:18" ht="15" customHeight="1" x14ac:dyDescent="0.15">
      <c r="A98" s="84"/>
      <c r="F98"/>
      <c r="G98"/>
      <c r="H98"/>
      <c r="I98"/>
      <c r="J98"/>
      <c r="K98"/>
      <c r="L98"/>
      <c r="M98"/>
      <c r="N98"/>
      <c r="O98"/>
      <c r="P98"/>
      <c r="Q98"/>
      <c r="R98"/>
    </row>
    <row r="99" spans="1:18" ht="15" customHeight="1" x14ac:dyDescent="0.15">
      <c r="A99" s="84"/>
      <c r="F99"/>
      <c r="G99"/>
      <c r="H99"/>
      <c r="I99"/>
      <c r="J99"/>
      <c r="K99"/>
      <c r="L99"/>
      <c r="M99"/>
      <c r="N99"/>
      <c r="O99"/>
      <c r="P99"/>
      <c r="Q99"/>
      <c r="R99"/>
    </row>
    <row r="100" spans="1:18" ht="15" customHeight="1" x14ac:dyDescent="0.15">
      <c r="A100" s="84"/>
      <c r="F100"/>
      <c r="G100"/>
      <c r="H100"/>
      <c r="I100"/>
      <c r="J100"/>
      <c r="K100"/>
      <c r="L100"/>
      <c r="M100"/>
      <c r="N100"/>
      <c r="O100"/>
      <c r="P100"/>
      <c r="Q100"/>
      <c r="R100"/>
    </row>
    <row r="101" spans="1:18" ht="15" customHeight="1" x14ac:dyDescent="0.15">
      <c r="A101" s="84"/>
      <c r="F101"/>
      <c r="G101"/>
      <c r="H101"/>
      <c r="I101"/>
      <c r="J101"/>
      <c r="K101"/>
      <c r="L101"/>
      <c r="M101"/>
      <c r="N101"/>
      <c r="O101"/>
      <c r="P101"/>
      <c r="Q101"/>
      <c r="R101"/>
    </row>
    <row r="102" spans="1:18" ht="15" customHeight="1" x14ac:dyDescent="0.15">
      <c r="A102" s="84"/>
      <c r="F102"/>
      <c r="G102"/>
      <c r="H102"/>
      <c r="I102"/>
      <c r="J102"/>
      <c r="K102"/>
      <c r="L102"/>
      <c r="M102"/>
      <c r="N102"/>
      <c r="O102"/>
      <c r="P102"/>
      <c r="Q102"/>
      <c r="R102"/>
    </row>
    <row r="103" spans="1:18" ht="15" customHeight="1" x14ac:dyDescent="0.15">
      <c r="A103" s="84"/>
      <c r="F103"/>
      <c r="G103"/>
      <c r="H103"/>
      <c r="I103"/>
      <c r="J103"/>
      <c r="K103"/>
      <c r="L103"/>
      <c r="M103"/>
      <c r="N103"/>
      <c r="O103"/>
      <c r="P103"/>
      <c r="Q103"/>
      <c r="R103"/>
    </row>
    <row r="104" spans="1:18" ht="15" customHeight="1" x14ac:dyDescent="0.15">
      <c r="A104" s="84"/>
      <c r="F104"/>
      <c r="G104"/>
      <c r="H104"/>
      <c r="I104"/>
      <c r="J104"/>
      <c r="K104"/>
      <c r="L104"/>
      <c r="M104"/>
      <c r="N104"/>
      <c r="O104"/>
      <c r="P104"/>
      <c r="Q104"/>
      <c r="R104"/>
    </row>
    <row r="105" spans="1:18" ht="15" customHeight="1" x14ac:dyDescent="0.15">
      <c r="A105" s="84"/>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4" customFormat="1" ht="15" customHeight="1" x14ac:dyDescent="0.15">
      <c r="F113"/>
      <c r="G113"/>
      <c r="H113"/>
      <c r="I113"/>
      <c r="J113"/>
      <c r="K113"/>
      <c r="L113"/>
      <c r="M113"/>
      <c r="N113"/>
      <c r="O113"/>
      <c r="P113"/>
      <c r="Q113"/>
      <c r="R113"/>
    </row>
    <row r="114" spans="6:18" s="84" customFormat="1" ht="15" customHeight="1" x14ac:dyDescent="0.15">
      <c r="F114"/>
      <c r="G114"/>
      <c r="H114"/>
      <c r="I114"/>
      <c r="J114"/>
      <c r="K114"/>
      <c r="L114"/>
      <c r="M114"/>
      <c r="N114"/>
      <c r="O114"/>
      <c r="P114"/>
      <c r="Q114"/>
      <c r="R114"/>
    </row>
    <row r="115" spans="6:18" s="84" customFormat="1" ht="15" customHeight="1" x14ac:dyDescent="0.15">
      <c r="F115"/>
      <c r="G115"/>
      <c r="H115"/>
      <c r="I115"/>
      <c r="J115"/>
      <c r="K115"/>
      <c r="L115"/>
      <c r="M115"/>
      <c r="N115"/>
      <c r="O115"/>
      <c r="P115"/>
      <c r="Q115"/>
      <c r="R115"/>
    </row>
    <row r="116" spans="6:18" s="84" customFormat="1" ht="15" customHeight="1" x14ac:dyDescent="0.15">
      <c r="F116"/>
      <c r="G116"/>
      <c r="H116"/>
      <c r="I116"/>
      <c r="J116"/>
      <c r="K116"/>
      <c r="L116"/>
      <c r="M116"/>
      <c r="N116"/>
      <c r="O116"/>
      <c r="P116"/>
      <c r="Q116"/>
      <c r="R116"/>
    </row>
    <row r="117" spans="6:18" s="84" customFormat="1" ht="15" customHeight="1" x14ac:dyDescent="0.15">
      <c r="F117"/>
      <c r="G117"/>
      <c r="H117"/>
      <c r="I117"/>
      <c r="J117"/>
      <c r="K117"/>
      <c r="L117"/>
      <c r="M117"/>
      <c r="N117"/>
      <c r="O117"/>
      <c r="P117"/>
      <c r="Q117"/>
      <c r="R117"/>
    </row>
    <row r="118" spans="6:18" s="84" customFormat="1" ht="15" customHeight="1" x14ac:dyDescent="0.15">
      <c r="F118"/>
      <c r="G118"/>
      <c r="H118"/>
      <c r="I118"/>
      <c r="J118"/>
      <c r="K118"/>
      <c r="L118"/>
      <c r="M118"/>
      <c r="N118"/>
      <c r="O118"/>
      <c r="P118"/>
      <c r="Q118"/>
      <c r="R118"/>
    </row>
    <row r="119" spans="6:18" s="84" customFormat="1" ht="15" customHeight="1" x14ac:dyDescent="0.15">
      <c r="F119"/>
      <c r="G119"/>
      <c r="H119"/>
      <c r="I119"/>
      <c r="J119"/>
      <c r="K119"/>
      <c r="L119"/>
      <c r="M119"/>
      <c r="N119"/>
      <c r="O119"/>
      <c r="P119"/>
      <c r="Q119"/>
      <c r="R119"/>
    </row>
    <row r="120" spans="6:18" s="84" customFormat="1" ht="15" customHeight="1" x14ac:dyDescent="0.15">
      <c r="F120"/>
      <c r="G120"/>
      <c r="H120"/>
      <c r="I120"/>
      <c r="J120"/>
      <c r="K120"/>
      <c r="L120"/>
      <c r="M120"/>
      <c r="N120"/>
      <c r="O120"/>
      <c r="P120"/>
      <c r="Q120"/>
      <c r="R120"/>
    </row>
    <row r="121" spans="6:18" s="84" customFormat="1" ht="15" customHeight="1" x14ac:dyDescent="0.15">
      <c r="F121"/>
      <c r="G121"/>
      <c r="H121"/>
      <c r="I121"/>
      <c r="J121"/>
      <c r="K121"/>
      <c r="L121"/>
      <c r="M121"/>
      <c r="N121"/>
      <c r="O121"/>
      <c r="P121"/>
      <c r="Q121"/>
      <c r="R121"/>
    </row>
    <row r="122" spans="6:18" s="84" customFormat="1" ht="15" customHeight="1" x14ac:dyDescent="0.15">
      <c r="F122"/>
      <c r="G122"/>
      <c r="H122"/>
      <c r="I122"/>
      <c r="J122"/>
      <c r="K122"/>
      <c r="L122"/>
      <c r="M122"/>
      <c r="N122"/>
      <c r="O122"/>
      <c r="P122"/>
      <c r="Q122"/>
      <c r="R122"/>
    </row>
    <row r="123" spans="6:18" s="84" customFormat="1" ht="15" customHeight="1" x14ac:dyDescent="0.15">
      <c r="F123"/>
      <c r="G123"/>
      <c r="H123"/>
      <c r="I123"/>
      <c r="J123"/>
      <c r="K123"/>
      <c r="L123"/>
      <c r="M123"/>
      <c r="N123"/>
      <c r="O123"/>
      <c r="P123"/>
      <c r="Q123"/>
      <c r="R123"/>
    </row>
    <row r="124" spans="6:18" s="84" customFormat="1" ht="15" customHeight="1" x14ac:dyDescent="0.15">
      <c r="F124"/>
      <c r="G124"/>
      <c r="H124"/>
      <c r="I124"/>
      <c r="J124"/>
      <c r="K124"/>
      <c r="L124"/>
      <c r="M124"/>
      <c r="N124"/>
      <c r="O124"/>
      <c r="P124"/>
      <c r="Q124"/>
      <c r="R124"/>
    </row>
    <row r="125" spans="6:18" s="84" customFormat="1" ht="15" customHeight="1" x14ac:dyDescent="0.15">
      <c r="F125"/>
      <c r="G125"/>
      <c r="H125"/>
      <c r="I125"/>
      <c r="J125"/>
      <c r="K125"/>
      <c r="L125"/>
      <c r="M125"/>
      <c r="N125"/>
      <c r="O125"/>
      <c r="P125"/>
      <c r="Q125"/>
      <c r="R125"/>
    </row>
    <row r="126" spans="6:18" s="84" customFormat="1" ht="15" customHeight="1" x14ac:dyDescent="0.15">
      <c r="F126"/>
      <c r="G126"/>
      <c r="H126"/>
      <c r="I126"/>
      <c r="J126"/>
      <c r="K126"/>
      <c r="L126"/>
      <c r="M126"/>
      <c r="N126"/>
      <c r="O126"/>
      <c r="P126"/>
      <c r="Q126"/>
      <c r="R126"/>
    </row>
    <row r="127" spans="6:18" s="84" customFormat="1" ht="15" customHeight="1" x14ac:dyDescent="0.15">
      <c r="F127"/>
      <c r="G127"/>
      <c r="H127"/>
      <c r="I127"/>
      <c r="J127"/>
      <c r="K127"/>
      <c r="L127"/>
      <c r="M127"/>
      <c r="N127"/>
      <c r="O127"/>
      <c r="P127"/>
      <c r="Q127"/>
      <c r="R127"/>
    </row>
    <row r="128" spans="6:18" s="84" customFormat="1" ht="15" customHeight="1" x14ac:dyDescent="0.15">
      <c r="F128"/>
      <c r="G128"/>
      <c r="H128"/>
      <c r="I128"/>
      <c r="J128"/>
      <c r="K128"/>
      <c r="L128"/>
      <c r="M128"/>
      <c r="N128"/>
      <c r="O128"/>
      <c r="P128"/>
      <c r="Q128"/>
      <c r="R128"/>
    </row>
    <row r="129" spans="6:18" s="84" customFormat="1" ht="15" customHeight="1" x14ac:dyDescent="0.15">
      <c r="F129"/>
      <c r="G129"/>
      <c r="H129"/>
      <c r="I129"/>
      <c r="J129"/>
      <c r="K129"/>
      <c r="L129"/>
      <c r="M129"/>
      <c r="N129"/>
      <c r="O129"/>
      <c r="P129"/>
      <c r="Q129"/>
      <c r="R129"/>
    </row>
    <row r="130" spans="6:18" s="84" customFormat="1" ht="15" customHeight="1" x14ac:dyDescent="0.15">
      <c r="F130"/>
      <c r="G130"/>
      <c r="H130"/>
      <c r="I130"/>
      <c r="J130"/>
      <c r="K130"/>
      <c r="L130"/>
      <c r="M130"/>
      <c r="N130"/>
      <c r="O130"/>
      <c r="P130"/>
      <c r="Q130"/>
      <c r="R130"/>
    </row>
    <row r="131" spans="6:18" s="84" customFormat="1" ht="15" customHeight="1" x14ac:dyDescent="0.15">
      <c r="F131"/>
      <c r="G131"/>
      <c r="H131"/>
      <c r="I131"/>
      <c r="J131"/>
      <c r="K131"/>
      <c r="L131"/>
      <c r="M131"/>
      <c r="N131"/>
      <c r="O131"/>
      <c r="P131"/>
      <c r="Q131"/>
      <c r="R131"/>
    </row>
    <row r="132" spans="6:18" s="84" customFormat="1" ht="15" customHeight="1" x14ac:dyDescent="0.15">
      <c r="F132"/>
      <c r="G132"/>
      <c r="H132"/>
      <c r="I132"/>
      <c r="J132"/>
      <c r="K132"/>
      <c r="L132"/>
      <c r="M132"/>
      <c r="N132"/>
      <c r="O132"/>
      <c r="P132"/>
      <c r="Q132"/>
      <c r="R132"/>
    </row>
    <row r="133" spans="6:18" s="84" customFormat="1" ht="15" customHeight="1" x14ac:dyDescent="0.15">
      <c r="F133"/>
      <c r="G133"/>
      <c r="H133"/>
      <c r="I133"/>
      <c r="J133"/>
      <c r="K133"/>
      <c r="L133"/>
      <c r="M133"/>
      <c r="N133"/>
      <c r="O133"/>
      <c r="P133"/>
      <c r="Q133"/>
      <c r="R133"/>
    </row>
    <row r="134" spans="6:18" s="84" customFormat="1" ht="15" customHeight="1" x14ac:dyDescent="0.15">
      <c r="F134"/>
      <c r="G134"/>
      <c r="H134"/>
      <c r="I134"/>
      <c r="J134"/>
      <c r="K134"/>
      <c r="L134"/>
      <c r="M134"/>
      <c r="N134"/>
      <c r="O134"/>
      <c r="P134"/>
      <c r="Q134"/>
      <c r="R134"/>
    </row>
    <row r="135" spans="6:18" s="84" customFormat="1" ht="15" customHeight="1" x14ac:dyDescent="0.15">
      <c r="F135"/>
      <c r="G135"/>
      <c r="H135"/>
      <c r="I135"/>
      <c r="J135"/>
      <c r="K135"/>
      <c r="L135"/>
      <c r="M135"/>
      <c r="N135"/>
      <c r="O135"/>
      <c r="P135"/>
      <c r="Q135"/>
      <c r="R135"/>
    </row>
    <row r="136" spans="6:18" s="84" customFormat="1" ht="15" customHeight="1" x14ac:dyDescent="0.15">
      <c r="F136"/>
      <c r="G136"/>
      <c r="H136"/>
      <c r="I136"/>
      <c r="J136"/>
      <c r="K136"/>
      <c r="L136"/>
      <c r="M136"/>
      <c r="N136"/>
      <c r="O136"/>
      <c r="P136"/>
      <c r="Q136"/>
      <c r="R136"/>
    </row>
    <row r="137" spans="6:18" s="84" customFormat="1" ht="15" customHeight="1" x14ac:dyDescent="0.15">
      <c r="F137"/>
      <c r="G137"/>
      <c r="H137"/>
      <c r="I137"/>
      <c r="J137"/>
      <c r="K137"/>
      <c r="L137"/>
      <c r="M137"/>
      <c r="N137"/>
      <c r="O137"/>
      <c r="P137"/>
      <c r="Q137"/>
      <c r="R137"/>
    </row>
    <row r="138" spans="6:18" s="84" customFormat="1" ht="15" customHeight="1" x14ac:dyDescent="0.15">
      <c r="F138"/>
      <c r="G138"/>
      <c r="H138"/>
      <c r="I138"/>
      <c r="J138"/>
      <c r="K138"/>
      <c r="L138"/>
      <c r="M138"/>
      <c r="N138"/>
      <c r="O138"/>
      <c r="P138"/>
      <c r="Q138"/>
      <c r="R138"/>
    </row>
    <row r="139" spans="6:18" s="84" customFormat="1" ht="15" customHeight="1" x14ac:dyDescent="0.15">
      <c r="F139"/>
      <c r="G139"/>
      <c r="H139"/>
      <c r="I139"/>
      <c r="J139"/>
      <c r="K139"/>
      <c r="L139"/>
      <c r="M139"/>
      <c r="N139"/>
      <c r="O139"/>
      <c r="P139"/>
      <c r="Q139"/>
      <c r="R139"/>
    </row>
    <row r="140" spans="6:18" s="84" customFormat="1" ht="15" customHeight="1" x14ac:dyDescent="0.15">
      <c r="F140"/>
      <c r="G140"/>
      <c r="H140"/>
      <c r="I140"/>
      <c r="J140"/>
      <c r="K140"/>
      <c r="L140"/>
      <c r="M140"/>
      <c r="N140"/>
      <c r="O140"/>
      <c r="P140"/>
      <c r="Q140"/>
      <c r="R140"/>
    </row>
    <row r="141" spans="6:18" s="84" customFormat="1" ht="15" customHeight="1" x14ac:dyDescent="0.15">
      <c r="F141"/>
      <c r="G141"/>
      <c r="H141"/>
      <c r="I141"/>
      <c r="J141"/>
      <c r="K141"/>
      <c r="L141"/>
      <c r="M141"/>
      <c r="N141"/>
      <c r="O141"/>
      <c r="P141"/>
      <c r="Q141"/>
      <c r="R141"/>
    </row>
    <row r="142" spans="6:18" s="84" customFormat="1" ht="15" customHeight="1" x14ac:dyDescent="0.15">
      <c r="F142"/>
      <c r="G142"/>
      <c r="H142"/>
      <c r="I142"/>
      <c r="J142"/>
      <c r="K142"/>
      <c r="L142"/>
      <c r="M142"/>
      <c r="N142"/>
      <c r="O142"/>
      <c r="P142"/>
      <c r="Q142"/>
      <c r="R142"/>
    </row>
    <row r="143" spans="6:18" s="84" customFormat="1" ht="15" customHeight="1" x14ac:dyDescent="0.15">
      <c r="F143"/>
      <c r="G143"/>
      <c r="H143"/>
      <c r="I143"/>
      <c r="J143"/>
      <c r="K143"/>
      <c r="L143"/>
      <c r="M143"/>
      <c r="N143"/>
      <c r="O143"/>
      <c r="P143"/>
      <c r="Q143"/>
      <c r="R143"/>
    </row>
    <row r="144" spans="6:18" s="84" customFormat="1" ht="15" customHeight="1" x14ac:dyDescent="0.15">
      <c r="F144"/>
      <c r="G144"/>
      <c r="H144"/>
      <c r="I144"/>
      <c r="J144"/>
      <c r="K144"/>
      <c r="L144"/>
      <c r="M144"/>
      <c r="N144"/>
      <c r="O144"/>
      <c r="P144"/>
      <c r="Q144"/>
      <c r="R144"/>
    </row>
    <row r="145" spans="6:18" s="84" customFormat="1" ht="15" customHeight="1" x14ac:dyDescent="0.15">
      <c r="F145"/>
      <c r="G145"/>
      <c r="H145"/>
      <c r="I145"/>
      <c r="J145"/>
      <c r="K145"/>
      <c r="L145"/>
      <c r="M145"/>
      <c r="N145"/>
      <c r="O145"/>
      <c r="P145"/>
      <c r="Q145"/>
      <c r="R145"/>
    </row>
    <row r="146" spans="6:18" s="84" customFormat="1" ht="15" customHeight="1" x14ac:dyDescent="0.15">
      <c r="F146"/>
      <c r="G146"/>
      <c r="H146"/>
      <c r="I146"/>
      <c r="J146"/>
      <c r="K146"/>
      <c r="L146"/>
      <c r="M146"/>
      <c r="N146"/>
      <c r="O146"/>
      <c r="P146"/>
      <c r="Q146"/>
      <c r="R146"/>
    </row>
    <row r="147" spans="6:18" s="84" customFormat="1" ht="15" customHeight="1" x14ac:dyDescent="0.15">
      <c r="F147"/>
      <c r="G147"/>
      <c r="H147"/>
      <c r="I147"/>
      <c r="J147"/>
      <c r="K147"/>
      <c r="L147"/>
      <c r="M147"/>
      <c r="N147"/>
      <c r="O147"/>
      <c r="P147"/>
      <c r="Q147"/>
      <c r="R147"/>
    </row>
    <row r="148" spans="6:18" s="84" customFormat="1" ht="15" customHeight="1" x14ac:dyDescent="0.15">
      <c r="F148"/>
      <c r="G148"/>
      <c r="H148"/>
      <c r="I148"/>
      <c r="J148"/>
      <c r="K148"/>
      <c r="L148"/>
      <c r="M148"/>
      <c r="N148"/>
      <c r="O148"/>
      <c r="P148"/>
      <c r="Q148"/>
      <c r="R148"/>
    </row>
    <row r="149" spans="6:18" s="84" customFormat="1" ht="15" customHeight="1" x14ac:dyDescent="0.15">
      <c r="F149"/>
      <c r="G149"/>
      <c r="H149"/>
      <c r="I149"/>
      <c r="J149"/>
      <c r="K149"/>
      <c r="L149"/>
      <c r="M149"/>
      <c r="N149"/>
      <c r="O149"/>
      <c r="P149"/>
      <c r="Q149"/>
      <c r="R149"/>
    </row>
    <row r="150" spans="6:18" s="84" customFormat="1" ht="15" customHeight="1" x14ac:dyDescent="0.15">
      <c r="F150"/>
      <c r="G150"/>
      <c r="H150"/>
      <c r="I150"/>
      <c r="J150"/>
      <c r="K150"/>
      <c r="L150"/>
      <c r="M150"/>
      <c r="N150"/>
      <c r="O150"/>
      <c r="P150"/>
      <c r="Q150"/>
      <c r="R150"/>
    </row>
    <row r="151" spans="6:18" s="84" customFormat="1" ht="15" customHeight="1" x14ac:dyDescent="0.15">
      <c r="F151"/>
      <c r="G151"/>
      <c r="H151"/>
      <c r="I151"/>
      <c r="J151"/>
      <c r="K151"/>
      <c r="L151"/>
      <c r="M151"/>
      <c r="N151"/>
      <c r="O151"/>
      <c r="P151"/>
      <c r="Q151"/>
      <c r="R151"/>
    </row>
    <row r="152" spans="6:18" s="84" customFormat="1" ht="15" customHeight="1" x14ac:dyDescent="0.15">
      <c r="F152"/>
      <c r="G152"/>
      <c r="H152"/>
      <c r="I152"/>
      <c r="J152"/>
      <c r="K152"/>
      <c r="L152"/>
      <c r="M152"/>
      <c r="N152"/>
      <c r="O152"/>
      <c r="P152"/>
      <c r="Q152"/>
      <c r="R152"/>
    </row>
    <row r="153" spans="6:18" s="84" customFormat="1" ht="15" customHeight="1" x14ac:dyDescent="0.15">
      <c r="F153"/>
      <c r="G153"/>
      <c r="H153"/>
      <c r="I153"/>
      <c r="J153"/>
      <c r="K153"/>
      <c r="L153"/>
      <c r="M153"/>
      <c r="N153"/>
      <c r="O153"/>
      <c r="P153"/>
      <c r="Q153"/>
      <c r="R153"/>
    </row>
    <row r="154" spans="6:18" s="84" customFormat="1" ht="15" customHeight="1" x14ac:dyDescent="0.15">
      <c r="F154"/>
      <c r="G154"/>
      <c r="H154"/>
      <c r="I154"/>
      <c r="J154"/>
      <c r="K154"/>
      <c r="L154"/>
      <c r="M154"/>
      <c r="N154"/>
      <c r="O154"/>
      <c r="P154"/>
      <c r="Q154"/>
      <c r="R154"/>
    </row>
    <row r="155" spans="6:18" s="84" customFormat="1" ht="15" customHeight="1" x14ac:dyDescent="0.15">
      <c r="F155"/>
      <c r="G155"/>
      <c r="H155"/>
      <c r="I155"/>
      <c r="J155"/>
      <c r="K155"/>
      <c r="L155"/>
      <c r="M155"/>
      <c r="N155"/>
      <c r="O155"/>
      <c r="P155"/>
      <c r="Q155"/>
      <c r="R155"/>
    </row>
    <row r="156" spans="6:18" s="84" customFormat="1" ht="15" customHeight="1" x14ac:dyDescent="0.15">
      <c r="F156"/>
      <c r="G156"/>
      <c r="H156"/>
      <c r="I156"/>
      <c r="J156"/>
      <c r="K156"/>
      <c r="L156"/>
      <c r="M156"/>
      <c r="N156"/>
      <c r="O156"/>
      <c r="P156"/>
      <c r="Q156"/>
      <c r="R156"/>
    </row>
    <row r="157" spans="6:18" s="84" customFormat="1" ht="15" customHeight="1" x14ac:dyDescent="0.15">
      <c r="F157"/>
      <c r="G157"/>
      <c r="H157"/>
      <c r="I157"/>
      <c r="J157"/>
      <c r="K157"/>
      <c r="L157"/>
      <c r="M157"/>
      <c r="N157"/>
      <c r="O157"/>
      <c r="P157"/>
      <c r="Q157"/>
      <c r="R157"/>
    </row>
    <row r="158" spans="6:18" s="84" customFormat="1" ht="15" customHeight="1" x14ac:dyDescent="0.15">
      <c r="F158"/>
      <c r="G158"/>
      <c r="H158"/>
      <c r="I158"/>
      <c r="J158"/>
      <c r="K158"/>
      <c r="L158"/>
      <c r="M158"/>
      <c r="N158"/>
      <c r="O158"/>
      <c r="P158"/>
      <c r="Q158"/>
      <c r="R158"/>
    </row>
    <row r="159" spans="6:18" s="84" customFormat="1" ht="15" customHeight="1" x14ac:dyDescent="0.15">
      <c r="F159"/>
      <c r="G159"/>
      <c r="H159"/>
      <c r="I159"/>
      <c r="J159"/>
      <c r="K159"/>
      <c r="L159"/>
      <c r="M159"/>
      <c r="N159"/>
      <c r="O159"/>
      <c r="P159"/>
      <c r="Q159"/>
      <c r="R159"/>
    </row>
    <row r="160" spans="6:18" s="84" customFormat="1" ht="15" customHeight="1" x14ac:dyDescent="0.15">
      <c r="F160"/>
      <c r="G160"/>
      <c r="H160"/>
      <c r="I160"/>
      <c r="J160"/>
      <c r="K160"/>
      <c r="L160"/>
      <c r="M160"/>
      <c r="N160"/>
      <c r="O160"/>
      <c r="P160"/>
      <c r="Q160"/>
      <c r="R160"/>
    </row>
    <row r="161" spans="6:18" s="84" customFormat="1" ht="15" customHeight="1" x14ac:dyDescent="0.15">
      <c r="F161"/>
      <c r="G161"/>
      <c r="H161"/>
      <c r="I161"/>
      <c r="J161"/>
      <c r="K161"/>
      <c r="L161"/>
      <c r="M161"/>
      <c r="N161"/>
      <c r="O161"/>
      <c r="P161"/>
      <c r="Q161"/>
      <c r="R161"/>
    </row>
    <row r="162" spans="6:18" s="84" customFormat="1" ht="15" customHeight="1" x14ac:dyDescent="0.15">
      <c r="F162"/>
      <c r="G162"/>
      <c r="H162"/>
      <c r="I162"/>
      <c r="J162"/>
      <c r="K162"/>
      <c r="L162"/>
      <c r="M162"/>
      <c r="N162"/>
      <c r="O162"/>
      <c r="P162"/>
      <c r="Q162"/>
      <c r="R162"/>
    </row>
    <row r="163" spans="6:18" s="84" customFormat="1" ht="15" customHeight="1" x14ac:dyDescent="0.15">
      <c r="F163"/>
      <c r="G163"/>
      <c r="H163"/>
      <c r="I163"/>
      <c r="J163"/>
      <c r="K163"/>
      <c r="L163"/>
      <c r="M163"/>
      <c r="N163"/>
      <c r="O163"/>
      <c r="P163"/>
      <c r="Q163"/>
      <c r="R163"/>
    </row>
    <row r="164" spans="6:18" s="84" customFormat="1" ht="15" customHeight="1" x14ac:dyDescent="0.15">
      <c r="F164"/>
      <c r="G164"/>
      <c r="H164"/>
      <c r="I164"/>
      <c r="J164"/>
      <c r="K164"/>
      <c r="L164"/>
      <c r="M164"/>
      <c r="N164"/>
      <c r="O164"/>
      <c r="P164"/>
      <c r="Q164"/>
      <c r="R164"/>
    </row>
    <row r="165" spans="6:18" s="84" customFormat="1" ht="15" customHeight="1" x14ac:dyDescent="0.15">
      <c r="F165"/>
      <c r="G165"/>
      <c r="H165"/>
      <c r="I165"/>
      <c r="J165"/>
      <c r="K165"/>
      <c r="L165"/>
      <c r="M165"/>
      <c r="N165"/>
      <c r="O165"/>
      <c r="P165"/>
      <c r="Q165"/>
      <c r="R165"/>
    </row>
    <row r="166" spans="6:18" s="84" customFormat="1" ht="15" customHeight="1" x14ac:dyDescent="0.15">
      <c r="F166"/>
      <c r="G166"/>
      <c r="H166"/>
      <c r="I166"/>
      <c r="J166"/>
      <c r="K166"/>
      <c r="L166"/>
      <c r="M166"/>
      <c r="N166"/>
      <c r="O166"/>
      <c r="P166"/>
      <c r="Q166"/>
      <c r="R166"/>
    </row>
    <row r="167" spans="6:18" s="84" customFormat="1" ht="15" customHeight="1" x14ac:dyDescent="0.15">
      <c r="F167"/>
      <c r="G167"/>
      <c r="H167"/>
      <c r="I167"/>
      <c r="J167"/>
      <c r="K167"/>
      <c r="L167"/>
      <c r="M167"/>
      <c r="N167"/>
      <c r="O167"/>
      <c r="P167"/>
      <c r="Q167"/>
      <c r="R167"/>
    </row>
    <row r="168" spans="6:18" s="84" customFormat="1" ht="15" customHeight="1" x14ac:dyDescent="0.15">
      <c r="F168"/>
      <c r="G168"/>
      <c r="H168"/>
      <c r="I168"/>
      <c r="J168"/>
      <c r="K168"/>
      <c r="L168"/>
      <c r="M168"/>
      <c r="N168"/>
      <c r="O168"/>
      <c r="P168"/>
      <c r="Q168"/>
      <c r="R168"/>
    </row>
    <row r="169" spans="6:18" s="84" customFormat="1" ht="15" customHeight="1" x14ac:dyDescent="0.15">
      <c r="F169"/>
      <c r="G169"/>
      <c r="H169"/>
      <c r="I169"/>
      <c r="J169"/>
      <c r="K169"/>
      <c r="L169"/>
      <c r="M169"/>
      <c r="N169"/>
      <c r="O169"/>
      <c r="P169"/>
      <c r="Q169"/>
      <c r="R169"/>
    </row>
    <row r="170" spans="6:18" s="84" customFormat="1" ht="15" customHeight="1" x14ac:dyDescent="0.15">
      <c r="F170"/>
      <c r="G170"/>
      <c r="H170"/>
      <c r="I170"/>
      <c r="J170"/>
      <c r="K170"/>
      <c r="L170"/>
      <c r="M170"/>
      <c r="N170"/>
      <c r="O170"/>
      <c r="P170"/>
      <c r="Q170"/>
      <c r="R170"/>
    </row>
    <row r="171" spans="6:18" s="84" customFormat="1" ht="15" customHeight="1" x14ac:dyDescent="0.15">
      <c r="F171"/>
      <c r="G171"/>
      <c r="H171"/>
      <c r="I171"/>
      <c r="J171"/>
      <c r="K171"/>
      <c r="L171"/>
      <c r="M171"/>
      <c r="N171"/>
      <c r="O171"/>
      <c r="P171"/>
      <c r="Q171"/>
      <c r="R171"/>
    </row>
    <row r="172" spans="6:18" s="84" customFormat="1" ht="15" customHeight="1" x14ac:dyDescent="0.15">
      <c r="F172"/>
      <c r="G172"/>
      <c r="H172"/>
      <c r="I172"/>
      <c r="J172"/>
      <c r="K172"/>
      <c r="L172"/>
      <c r="M172"/>
      <c r="N172"/>
      <c r="O172"/>
      <c r="P172"/>
      <c r="Q172"/>
      <c r="R172"/>
    </row>
    <row r="173" spans="6:18" s="84" customFormat="1" ht="15" customHeight="1" x14ac:dyDescent="0.15">
      <c r="F173"/>
      <c r="G173"/>
      <c r="H173"/>
      <c r="I173"/>
      <c r="J173"/>
      <c r="K173"/>
      <c r="L173"/>
      <c r="M173"/>
      <c r="N173"/>
      <c r="O173"/>
      <c r="P173"/>
      <c r="Q173"/>
      <c r="R173"/>
    </row>
    <row r="174" spans="6:18" s="84" customFormat="1" ht="15" customHeight="1" x14ac:dyDescent="0.15">
      <c r="F174"/>
      <c r="G174"/>
      <c r="H174"/>
      <c r="I174"/>
      <c r="J174"/>
      <c r="K174"/>
      <c r="L174"/>
      <c r="M174"/>
      <c r="N174"/>
      <c r="O174"/>
      <c r="P174"/>
      <c r="Q174"/>
      <c r="R174"/>
    </row>
    <row r="175" spans="6:18" s="84" customFormat="1" ht="15" customHeight="1" x14ac:dyDescent="0.15">
      <c r="F175"/>
      <c r="G175"/>
      <c r="H175"/>
      <c r="I175"/>
      <c r="J175"/>
      <c r="K175"/>
      <c r="L175"/>
      <c r="M175"/>
      <c r="N175"/>
      <c r="O175"/>
      <c r="P175"/>
      <c r="Q175"/>
      <c r="R175"/>
    </row>
    <row r="176" spans="6:18" s="84" customFormat="1" ht="15" customHeight="1" x14ac:dyDescent="0.15">
      <c r="F176"/>
      <c r="G176"/>
      <c r="H176"/>
      <c r="I176"/>
      <c r="J176"/>
      <c r="K176"/>
      <c r="L176"/>
      <c r="M176"/>
      <c r="N176"/>
      <c r="O176"/>
      <c r="P176"/>
      <c r="Q176"/>
      <c r="R176"/>
    </row>
    <row r="177" spans="6:18" s="84" customFormat="1" ht="15" customHeight="1" x14ac:dyDescent="0.15">
      <c r="F177"/>
      <c r="G177"/>
      <c r="H177"/>
      <c r="I177"/>
      <c r="J177"/>
      <c r="K177"/>
      <c r="L177"/>
      <c r="M177"/>
      <c r="N177"/>
      <c r="O177"/>
      <c r="P177"/>
      <c r="Q177"/>
      <c r="R177"/>
    </row>
    <row r="178" spans="6:18" s="84" customFormat="1" ht="15" customHeight="1" x14ac:dyDescent="0.15">
      <c r="F178"/>
      <c r="G178"/>
      <c r="H178"/>
      <c r="I178"/>
      <c r="J178"/>
      <c r="K178"/>
      <c r="L178"/>
      <c r="M178"/>
      <c r="N178"/>
      <c r="O178"/>
      <c r="P178"/>
      <c r="Q178"/>
      <c r="R178"/>
    </row>
    <row r="179" spans="6:18" s="84" customFormat="1" ht="15" customHeight="1" x14ac:dyDescent="0.15">
      <c r="F179"/>
      <c r="G179"/>
      <c r="H179"/>
      <c r="I179"/>
      <c r="J179"/>
      <c r="K179"/>
      <c r="L179"/>
      <c r="M179"/>
      <c r="N179"/>
      <c r="O179"/>
      <c r="P179"/>
      <c r="Q179"/>
      <c r="R179"/>
    </row>
    <row r="180" spans="6:18" s="84" customFormat="1" ht="15" customHeight="1" x14ac:dyDescent="0.15">
      <c r="F180"/>
      <c r="G180"/>
      <c r="H180"/>
      <c r="I180"/>
      <c r="J180"/>
      <c r="K180"/>
      <c r="L180"/>
      <c r="M180"/>
      <c r="N180"/>
      <c r="O180"/>
      <c r="P180"/>
      <c r="Q180"/>
      <c r="R180"/>
    </row>
    <row r="181" spans="6:18" s="84" customFormat="1" ht="15" customHeight="1" x14ac:dyDescent="0.15">
      <c r="F181"/>
      <c r="G181"/>
      <c r="H181"/>
      <c r="I181"/>
      <c r="J181"/>
      <c r="K181"/>
      <c r="L181"/>
      <c r="M181"/>
      <c r="N181"/>
      <c r="O181"/>
      <c r="P181"/>
      <c r="Q181"/>
      <c r="R181"/>
    </row>
    <row r="182" spans="6:18" s="84" customFormat="1" ht="15" customHeight="1" x14ac:dyDescent="0.15">
      <c r="F182"/>
      <c r="G182"/>
      <c r="H182"/>
      <c r="I182"/>
      <c r="J182"/>
      <c r="K182"/>
      <c r="L182"/>
      <c r="M182"/>
      <c r="N182"/>
      <c r="O182"/>
      <c r="P182"/>
      <c r="Q182"/>
      <c r="R182"/>
    </row>
    <row r="183" spans="6:18" s="84" customFormat="1" ht="15" customHeight="1" x14ac:dyDescent="0.15">
      <c r="F183"/>
      <c r="G183"/>
      <c r="H183"/>
      <c r="I183"/>
      <c r="J183"/>
      <c r="K183"/>
      <c r="L183"/>
      <c r="M183"/>
      <c r="N183"/>
      <c r="O183"/>
      <c r="P183"/>
      <c r="Q183"/>
      <c r="R183"/>
    </row>
    <row r="184" spans="6:18" s="84" customFormat="1" ht="15" customHeight="1" x14ac:dyDescent="0.15">
      <c r="F184"/>
      <c r="G184"/>
      <c r="H184"/>
      <c r="I184"/>
      <c r="J184"/>
      <c r="K184"/>
      <c r="L184"/>
      <c r="M184"/>
      <c r="N184"/>
      <c r="O184"/>
      <c r="P184"/>
      <c r="Q184"/>
      <c r="R184"/>
    </row>
    <row r="185" spans="6:18" s="84" customFormat="1" ht="15" customHeight="1" x14ac:dyDescent="0.15">
      <c r="F185"/>
      <c r="G185"/>
      <c r="H185"/>
      <c r="I185"/>
      <c r="J185"/>
      <c r="K185"/>
      <c r="L185"/>
      <c r="M185"/>
      <c r="N185"/>
      <c r="O185"/>
      <c r="P185"/>
      <c r="Q185"/>
      <c r="R185"/>
    </row>
    <row r="186" spans="6:18" s="84" customFormat="1" ht="15" customHeight="1" x14ac:dyDescent="0.15">
      <c r="F186"/>
      <c r="G186"/>
      <c r="H186"/>
      <c r="I186"/>
      <c r="J186"/>
      <c r="K186"/>
      <c r="L186"/>
      <c r="M186"/>
      <c r="N186"/>
      <c r="O186"/>
      <c r="P186"/>
      <c r="Q186"/>
      <c r="R186"/>
    </row>
    <row r="187" spans="6:18" s="84" customFormat="1" ht="15" customHeight="1" x14ac:dyDescent="0.15">
      <c r="F187"/>
      <c r="G187"/>
      <c r="H187"/>
      <c r="I187"/>
      <c r="J187"/>
      <c r="K187"/>
      <c r="L187"/>
      <c r="M187"/>
      <c r="N187"/>
      <c r="O187"/>
      <c r="P187"/>
      <c r="Q187"/>
      <c r="R187"/>
    </row>
    <row r="188" spans="6:18" s="84"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BC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7.5" bestFit="1" customWidth="1"/>
    <col min="2" max="2" width="2.33203125" style="113" customWidth="1"/>
    <col min="3" max="5" width="7.83203125" style="113" customWidth="1"/>
    <col min="6" max="8" width="8.83203125" style="6"/>
    <col min="9" max="9" width="13.33203125" style="6" customWidth="1"/>
    <col min="10" max="10" width="25.1640625" style="6" customWidth="1"/>
    <col min="11" max="11" width="6.83203125" style="6" customWidth="1"/>
    <col min="12" max="12" width="8.5" style="6" customWidth="1"/>
    <col min="13" max="13" width="22" style="6" customWidth="1"/>
    <col min="14" max="14" width="24" style="6" customWidth="1"/>
    <col min="15" max="15" width="22.5" style="6" customWidth="1"/>
    <col min="16" max="16" width="24.5" style="6" customWidth="1"/>
    <col min="17" max="18" width="10.5" style="6" customWidth="1"/>
    <col min="19" max="19" width="20.5" style="6" customWidth="1"/>
    <col min="20" max="20" width="6.1640625" style="6" customWidth="1"/>
    <col min="21" max="21" width="20.6640625" style="6" customWidth="1"/>
    <col min="22" max="22" width="23.83203125" style="6" customWidth="1"/>
    <col min="23" max="23" width="19.33203125" style="6" customWidth="1"/>
    <col min="24" max="24" width="11.1640625" style="6" customWidth="1"/>
    <col min="25" max="25" width="10.5" style="6" customWidth="1"/>
    <col min="26" max="26" width="8.83203125" style="6" customWidth="1"/>
    <col min="27" max="27" width="9.6640625" style="6" customWidth="1"/>
    <col min="28" max="28" width="20" style="6" customWidth="1"/>
    <col min="29" max="29" width="22.33203125" style="6" customWidth="1"/>
    <col min="30" max="30" width="25.5" style="6" customWidth="1"/>
    <col min="31" max="31" width="24.33203125" style="6" customWidth="1"/>
    <col min="32" max="32" width="7" style="6" customWidth="1"/>
    <col min="33" max="33" width="18.5" style="6" customWidth="1"/>
    <col min="34" max="34" width="24.5" style="6" customWidth="1"/>
    <col min="35" max="35" width="21.1640625" style="6" customWidth="1"/>
    <col min="36" max="36" width="27.5" style="6" customWidth="1"/>
    <col min="37" max="37" width="22.5" style="6" customWidth="1"/>
    <col min="38" max="38" width="14" style="6" customWidth="1"/>
    <col min="39" max="39" width="25.5" customWidth="1"/>
    <col min="40" max="40" width="23.1640625" customWidth="1"/>
    <col min="41" max="41" width="24.5" customWidth="1"/>
    <col min="42" max="44" width="25.5" customWidth="1"/>
    <col min="45" max="45" width="12.6640625" customWidth="1"/>
    <col min="46" max="46" width="12" customWidth="1"/>
    <col min="47" max="47" width="11.6640625" customWidth="1"/>
    <col min="48" max="48" width="8.1640625" customWidth="1"/>
    <col min="49" max="50" width="21.5" customWidth="1"/>
    <col min="51" max="51" width="16.5" customWidth="1"/>
    <col min="52" max="52" width="7.6640625" customWidth="1"/>
    <col min="53" max="53" width="21.6640625" customWidth="1"/>
    <col min="54" max="54" width="12.5" customWidth="1"/>
    <col min="55" max="55" width="12.6640625" customWidth="1"/>
    <col min="81" max="81" width="22.1640625" bestFit="1" customWidth="1"/>
  </cols>
  <sheetData>
    <row r="1" spans="1:55" x14ac:dyDescent="0.15">
      <c r="A1" s="4" t="s">
        <v>156</v>
      </c>
      <c r="B1" s="37" t="s">
        <v>157</v>
      </c>
      <c r="C1" s="37" t="s">
        <v>17</v>
      </c>
      <c r="D1" s="37" t="s">
        <v>158</v>
      </c>
      <c r="E1" s="37" t="s">
        <v>159</v>
      </c>
      <c r="F1" t="s">
        <v>38</v>
      </c>
      <c r="G1" t="s">
        <v>40</v>
      </c>
      <c r="H1" t="s">
        <v>41</v>
      </c>
      <c r="I1" s="205" t="s">
        <v>191</v>
      </c>
      <c r="J1" s="205" t="s">
        <v>192</v>
      </c>
      <c r="K1" s="205" t="s">
        <v>193</v>
      </c>
      <c r="L1" s="205" t="s">
        <v>194</v>
      </c>
      <c r="M1" s="205" t="s">
        <v>195</v>
      </c>
      <c r="N1" s="205" t="s">
        <v>196</v>
      </c>
      <c r="O1" s="205" t="s">
        <v>197</v>
      </c>
      <c r="P1" s="205" t="s">
        <v>198</v>
      </c>
      <c r="Q1" s="205" t="s">
        <v>199</v>
      </c>
      <c r="R1" s="205" t="s">
        <v>200</v>
      </c>
      <c r="S1" s="205" t="s">
        <v>201</v>
      </c>
      <c r="T1" s="205" t="s">
        <v>202</v>
      </c>
      <c r="U1" s="205" t="s">
        <v>203</v>
      </c>
      <c r="V1" s="205" t="s">
        <v>204</v>
      </c>
      <c r="W1" s="205" t="s">
        <v>205</v>
      </c>
      <c r="X1" s="205" t="s">
        <v>206</v>
      </c>
      <c r="Y1" s="205" t="s">
        <v>207</v>
      </c>
      <c r="Z1" s="205" t="s">
        <v>208</v>
      </c>
      <c r="AA1" s="205" t="s">
        <v>209</v>
      </c>
      <c r="AB1" s="205" t="s">
        <v>210</v>
      </c>
      <c r="AC1" s="205" t="s">
        <v>211</v>
      </c>
      <c r="AD1" s="205" t="s">
        <v>212</v>
      </c>
      <c r="AE1" s="205" t="s">
        <v>213</v>
      </c>
      <c r="AF1" s="205" t="s">
        <v>214</v>
      </c>
      <c r="AG1" s="205" t="s">
        <v>215</v>
      </c>
      <c r="AH1" s="205" t="s">
        <v>216</v>
      </c>
      <c r="AI1" s="205" t="s">
        <v>217</v>
      </c>
      <c r="AJ1" s="205" t="s">
        <v>218</v>
      </c>
      <c r="AK1" s="205" t="s">
        <v>219</v>
      </c>
      <c r="AL1" s="205" t="s">
        <v>220</v>
      </c>
      <c r="AM1" s="205" t="s">
        <v>221</v>
      </c>
      <c r="AN1" s="205" t="s">
        <v>222</v>
      </c>
      <c r="AO1" s="205" t="s">
        <v>223</v>
      </c>
      <c r="AP1" s="205" t="s">
        <v>224</v>
      </c>
      <c r="AQ1" s="205" t="s">
        <v>225</v>
      </c>
      <c r="AR1" s="205" t="s">
        <v>226</v>
      </c>
      <c r="AS1" s="205" t="s">
        <v>227</v>
      </c>
      <c r="AT1" s="205" t="s">
        <v>228</v>
      </c>
      <c r="AU1" s="205" t="s">
        <v>229</v>
      </c>
      <c r="AV1" s="205" t="s">
        <v>230</v>
      </c>
      <c r="AW1" s="205" t="s">
        <v>231</v>
      </c>
      <c r="AX1" s="205" t="s">
        <v>232</v>
      </c>
      <c r="AY1" s="205" t="s">
        <v>233</v>
      </c>
      <c r="AZ1" s="205" t="s">
        <v>234</v>
      </c>
      <c r="BA1" s="205" t="s">
        <v>235</v>
      </c>
      <c r="BB1" s="205" t="s">
        <v>236</v>
      </c>
      <c r="BC1" s="205" t="s">
        <v>237</v>
      </c>
    </row>
    <row r="2" spans="1:55" x14ac:dyDescent="0.15">
      <c r="A2" t="s">
        <v>38</v>
      </c>
      <c r="B2" s="113">
        <v>0</v>
      </c>
      <c r="C2"/>
      <c r="D2"/>
      <c r="E2"/>
      <c r="F2"/>
      <c r="G2"/>
      <c r="H2"/>
      <c r="I2"/>
      <c r="J2"/>
      <c r="K2"/>
      <c r="L2"/>
      <c r="M2"/>
      <c r="N2"/>
      <c r="O2"/>
      <c r="P2"/>
      <c r="Q2"/>
      <c r="R2"/>
      <c r="S2"/>
      <c r="T2"/>
      <c r="U2"/>
      <c r="V2"/>
      <c r="W2"/>
      <c r="X2"/>
      <c r="Y2"/>
      <c r="Z2"/>
      <c r="AA2"/>
      <c r="AB2"/>
      <c r="AC2"/>
      <c r="AD2"/>
      <c r="AE2"/>
      <c r="AF2"/>
      <c r="AG2"/>
      <c r="AH2"/>
      <c r="AI2"/>
      <c r="AJ2"/>
      <c r="AK2"/>
      <c r="AL2"/>
    </row>
    <row r="3" spans="1:55" x14ac:dyDescent="0.15">
      <c r="A3" t="s">
        <v>40</v>
      </c>
      <c r="B3" s="113">
        <v>0</v>
      </c>
      <c r="C3"/>
      <c r="D3"/>
      <c r="E3"/>
      <c r="F3"/>
      <c r="G3"/>
      <c r="H3"/>
      <c r="I3"/>
      <c r="J3"/>
      <c r="K3"/>
      <c r="L3"/>
      <c r="M3"/>
      <c r="N3"/>
      <c r="O3"/>
      <c r="P3"/>
      <c r="Q3"/>
      <c r="R3"/>
      <c r="S3"/>
      <c r="T3"/>
      <c r="U3"/>
      <c r="V3"/>
      <c r="W3"/>
      <c r="X3"/>
      <c r="Y3"/>
      <c r="Z3"/>
      <c r="AA3"/>
      <c r="AB3"/>
      <c r="AC3"/>
      <c r="AD3"/>
      <c r="AE3"/>
      <c r="AF3"/>
      <c r="AG3"/>
      <c r="AH3"/>
      <c r="AI3"/>
      <c r="AJ3"/>
      <c r="AK3"/>
      <c r="AL3"/>
    </row>
    <row r="4" spans="1:55" x14ac:dyDescent="0.15">
      <c r="A4" t="s">
        <v>41</v>
      </c>
      <c r="B4" s="113">
        <v>0</v>
      </c>
      <c r="C4"/>
      <c r="D4"/>
      <c r="E4"/>
      <c r="F4"/>
      <c r="G4"/>
      <c r="H4"/>
      <c r="I4"/>
      <c r="J4"/>
      <c r="K4"/>
      <c r="L4"/>
      <c r="M4"/>
      <c r="N4"/>
      <c r="O4"/>
      <c r="P4"/>
      <c r="Q4"/>
      <c r="R4"/>
      <c r="S4"/>
      <c r="T4"/>
      <c r="U4"/>
      <c r="V4"/>
      <c r="W4"/>
      <c r="X4"/>
      <c r="Y4"/>
      <c r="Z4"/>
      <c r="AA4"/>
      <c r="AB4"/>
      <c r="AC4"/>
      <c r="AD4"/>
      <c r="AE4"/>
      <c r="AF4"/>
      <c r="AG4"/>
      <c r="AH4"/>
      <c r="AI4"/>
      <c r="AJ4"/>
      <c r="AK4"/>
      <c r="AL4"/>
    </row>
    <row r="5" spans="1:55" x14ac:dyDescent="0.15">
      <c r="A5" s="204" t="s">
        <v>191</v>
      </c>
      <c r="B5" s="113">
        <v>0</v>
      </c>
      <c r="C5"/>
      <c r="D5"/>
      <c r="E5"/>
      <c r="F5"/>
      <c r="G5"/>
      <c r="H5"/>
      <c r="I5"/>
      <c r="J5"/>
      <c r="K5"/>
      <c r="L5"/>
      <c r="M5"/>
      <c r="N5"/>
      <c r="O5"/>
      <c r="P5"/>
      <c r="Q5"/>
      <c r="R5"/>
      <c r="S5"/>
      <c r="T5"/>
      <c r="U5"/>
      <c r="V5"/>
      <c r="W5"/>
      <c r="X5"/>
      <c r="Y5"/>
      <c r="Z5"/>
      <c r="AA5"/>
      <c r="AB5"/>
      <c r="AC5"/>
      <c r="AD5"/>
      <c r="AE5"/>
      <c r="AF5"/>
      <c r="AG5"/>
      <c r="AH5"/>
      <c r="AI5"/>
      <c r="AJ5"/>
      <c r="AK5"/>
      <c r="AL5"/>
    </row>
    <row r="6" spans="1:55" x14ac:dyDescent="0.15">
      <c r="A6" s="204" t="s">
        <v>192</v>
      </c>
      <c r="B6" s="113">
        <v>0</v>
      </c>
      <c r="C6"/>
      <c r="D6"/>
      <c r="E6"/>
      <c r="F6"/>
      <c r="G6"/>
      <c r="H6"/>
      <c r="I6"/>
      <c r="J6"/>
      <c r="K6"/>
      <c r="L6"/>
      <c r="M6"/>
      <c r="N6"/>
      <c r="O6"/>
      <c r="P6"/>
      <c r="Q6"/>
      <c r="R6"/>
      <c r="S6"/>
      <c r="T6"/>
      <c r="U6"/>
      <c r="V6"/>
      <c r="W6"/>
      <c r="X6"/>
      <c r="Y6"/>
      <c r="Z6"/>
      <c r="AA6"/>
      <c r="AB6"/>
      <c r="AC6"/>
      <c r="AD6"/>
      <c r="AE6"/>
      <c r="AF6"/>
      <c r="AG6"/>
      <c r="AH6"/>
      <c r="AI6"/>
      <c r="AJ6"/>
      <c r="AK6"/>
      <c r="AL6"/>
    </row>
    <row r="7" spans="1:55" x14ac:dyDescent="0.15">
      <c r="A7" s="204" t="s">
        <v>193</v>
      </c>
      <c r="B7" s="113">
        <v>0</v>
      </c>
      <c r="C7"/>
      <c r="D7"/>
      <c r="E7"/>
      <c r="F7"/>
      <c r="G7"/>
      <c r="H7"/>
      <c r="I7"/>
      <c r="J7"/>
      <c r="K7"/>
      <c r="L7"/>
      <c r="M7"/>
      <c r="N7"/>
      <c r="O7"/>
      <c r="P7"/>
      <c r="Q7"/>
      <c r="R7"/>
      <c r="S7"/>
      <c r="T7"/>
      <c r="U7"/>
      <c r="V7"/>
      <c r="W7"/>
      <c r="X7"/>
      <c r="Y7"/>
      <c r="Z7"/>
      <c r="AA7"/>
      <c r="AB7"/>
      <c r="AC7"/>
      <c r="AD7"/>
      <c r="AE7"/>
      <c r="AF7"/>
      <c r="AG7"/>
      <c r="AH7"/>
      <c r="AI7"/>
      <c r="AJ7"/>
      <c r="AK7"/>
      <c r="AL7"/>
    </row>
    <row r="8" spans="1:55" x14ac:dyDescent="0.15">
      <c r="A8" s="204" t="s">
        <v>194</v>
      </c>
      <c r="B8" s="113">
        <v>0</v>
      </c>
      <c r="C8"/>
      <c r="D8"/>
      <c r="E8"/>
      <c r="F8"/>
      <c r="G8"/>
      <c r="H8"/>
      <c r="I8"/>
      <c r="J8"/>
      <c r="K8"/>
      <c r="L8"/>
      <c r="M8"/>
      <c r="N8"/>
      <c r="O8"/>
      <c r="P8"/>
      <c r="Q8"/>
      <c r="R8"/>
      <c r="S8"/>
      <c r="T8"/>
      <c r="U8"/>
      <c r="V8"/>
      <c r="W8"/>
      <c r="X8"/>
      <c r="Y8"/>
      <c r="Z8"/>
      <c r="AA8"/>
      <c r="AB8"/>
      <c r="AC8"/>
      <c r="AD8"/>
      <c r="AE8"/>
      <c r="AF8"/>
      <c r="AG8"/>
      <c r="AH8"/>
      <c r="AI8"/>
      <c r="AJ8"/>
      <c r="AK8"/>
      <c r="AL8"/>
    </row>
    <row r="9" spans="1:55" x14ac:dyDescent="0.15">
      <c r="A9" s="204" t="s">
        <v>195</v>
      </c>
      <c r="B9" s="113">
        <v>0</v>
      </c>
      <c r="C9"/>
      <c r="D9"/>
      <c r="E9"/>
      <c r="F9"/>
      <c r="G9"/>
      <c r="H9"/>
      <c r="I9"/>
      <c r="J9"/>
      <c r="K9"/>
      <c r="L9"/>
      <c r="M9"/>
      <c r="N9"/>
      <c r="O9"/>
      <c r="P9"/>
      <c r="Q9"/>
      <c r="R9"/>
      <c r="S9"/>
      <c r="T9"/>
      <c r="U9"/>
      <c r="V9"/>
      <c r="W9"/>
      <c r="X9"/>
      <c r="Y9"/>
      <c r="Z9"/>
      <c r="AA9"/>
      <c r="AB9"/>
      <c r="AC9"/>
      <c r="AD9"/>
      <c r="AE9"/>
      <c r="AF9"/>
      <c r="AG9"/>
      <c r="AH9"/>
      <c r="AI9"/>
      <c r="AJ9"/>
      <c r="AK9"/>
      <c r="AL9"/>
    </row>
    <row r="10" spans="1:55" x14ac:dyDescent="0.15">
      <c r="A10" s="204" t="s">
        <v>196</v>
      </c>
      <c r="B10" s="113">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55" x14ac:dyDescent="0.15">
      <c r="A11" s="204" t="s">
        <v>197</v>
      </c>
      <c r="B11" s="113">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55" x14ac:dyDescent="0.15">
      <c r="A12" s="204" t="s">
        <v>198</v>
      </c>
      <c r="B12" s="113">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55" x14ac:dyDescent="0.15">
      <c r="A13" s="204" t="s">
        <v>199</v>
      </c>
      <c r="B13" s="113">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55" x14ac:dyDescent="0.15">
      <c r="A14" s="204" t="s">
        <v>200</v>
      </c>
      <c r="B14" s="113">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55" x14ac:dyDescent="0.15">
      <c r="A15" s="204" t="s">
        <v>201</v>
      </c>
      <c r="B15" s="113">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55" x14ac:dyDescent="0.15">
      <c r="A16" s="204" t="s">
        <v>202</v>
      </c>
      <c r="B16" s="113">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204" t="s">
        <v>203</v>
      </c>
      <c r="B17" s="113">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204" t="s">
        <v>204</v>
      </c>
      <c r="B18" s="113">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204" t="s">
        <v>205</v>
      </c>
      <c r="B19" s="113">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204" t="s">
        <v>206</v>
      </c>
      <c r="B20" s="113">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204" t="s">
        <v>207</v>
      </c>
      <c r="B21" s="113">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204" t="s">
        <v>208</v>
      </c>
      <c r="B22" s="113">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204" t="s">
        <v>209</v>
      </c>
      <c r="B23" s="113">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204" t="s">
        <v>210</v>
      </c>
      <c r="B24" s="113">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204" t="s">
        <v>211</v>
      </c>
      <c r="B25" s="113">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204" t="s">
        <v>212</v>
      </c>
      <c r="B26" s="113">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204" t="s">
        <v>213</v>
      </c>
      <c r="B27" s="113">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204" t="s">
        <v>214</v>
      </c>
      <c r="B28" s="113">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204" t="s">
        <v>215</v>
      </c>
      <c r="B29" s="113">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204" t="s">
        <v>216</v>
      </c>
      <c r="B30" s="113">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204" t="s">
        <v>217</v>
      </c>
      <c r="B31" s="113">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204" t="s">
        <v>218</v>
      </c>
      <c r="B32" s="113">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204" t="s">
        <v>219</v>
      </c>
      <c r="B33" s="113">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204" t="s">
        <v>220</v>
      </c>
      <c r="B34" s="113">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204" t="s">
        <v>221</v>
      </c>
      <c r="B35" s="113">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204" t="s">
        <v>222</v>
      </c>
      <c r="B36" s="113">
        <v>0</v>
      </c>
      <c r="C36"/>
      <c r="D36"/>
    </row>
    <row r="37" spans="1:38" ht="15" customHeight="1" x14ac:dyDescent="0.15">
      <c r="A37" s="204" t="s">
        <v>223</v>
      </c>
      <c r="B37" s="113">
        <v>0</v>
      </c>
      <c r="C37"/>
      <c r="D37"/>
    </row>
    <row r="38" spans="1:38" ht="15" customHeight="1" x14ac:dyDescent="0.15">
      <c r="A38" s="204" t="s">
        <v>224</v>
      </c>
      <c r="B38" s="113">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204" t="s">
        <v>225</v>
      </c>
      <c r="B39" s="113">
        <v>0</v>
      </c>
      <c r="C39"/>
      <c r="D39"/>
    </row>
    <row r="40" spans="1:38" ht="15" customHeight="1" x14ac:dyDescent="0.15">
      <c r="A40" s="204" t="s">
        <v>226</v>
      </c>
      <c r="B40" s="113">
        <v>0</v>
      </c>
      <c r="C40"/>
      <c r="D40"/>
    </row>
    <row r="41" spans="1:38" ht="15" customHeight="1" x14ac:dyDescent="0.15">
      <c r="A41" s="204" t="s">
        <v>227</v>
      </c>
      <c r="B41" s="113">
        <v>0</v>
      </c>
      <c r="C41"/>
      <c r="D41"/>
    </row>
    <row r="42" spans="1:38" ht="15" customHeight="1" x14ac:dyDescent="0.15">
      <c r="A42" s="204" t="s">
        <v>228</v>
      </c>
      <c r="B42" s="113">
        <v>0</v>
      </c>
    </row>
    <row r="43" spans="1:38" ht="15" customHeight="1" x14ac:dyDescent="0.15">
      <c r="A43" s="204" t="s">
        <v>229</v>
      </c>
      <c r="B43" s="113">
        <v>0</v>
      </c>
    </row>
    <row r="44" spans="1:38" ht="15" customHeight="1" x14ac:dyDescent="0.15">
      <c r="A44" s="204" t="s">
        <v>230</v>
      </c>
      <c r="B44" s="113">
        <v>0</v>
      </c>
    </row>
    <row r="45" spans="1:38" ht="15" customHeight="1" x14ac:dyDescent="0.15">
      <c r="A45" s="204" t="s">
        <v>231</v>
      </c>
      <c r="B45" s="113">
        <v>0</v>
      </c>
    </row>
    <row r="46" spans="1:38" ht="15" customHeight="1" x14ac:dyDescent="0.15">
      <c r="A46" s="204" t="s">
        <v>232</v>
      </c>
      <c r="B46" s="113">
        <v>0</v>
      </c>
    </row>
    <row r="47" spans="1:38" ht="15" customHeight="1" x14ac:dyDescent="0.15">
      <c r="A47" s="204" t="s">
        <v>233</v>
      </c>
      <c r="B47" s="113">
        <v>0</v>
      </c>
    </row>
    <row r="48" spans="1:38" ht="15" customHeight="1" x14ac:dyDescent="0.15">
      <c r="A48" s="204" t="s">
        <v>234</v>
      </c>
      <c r="B48" s="113">
        <v>0</v>
      </c>
    </row>
    <row r="49" spans="1:38" ht="15" customHeight="1" x14ac:dyDescent="0.15">
      <c r="A49" s="204" t="s">
        <v>235</v>
      </c>
      <c r="B49" s="113">
        <v>0</v>
      </c>
    </row>
    <row r="50" spans="1:38" ht="15" customHeight="1" x14ac:dyDescent="0.15">
      <c r="A50" s="204" t="s">
        <v>236</v>
      </c>
      <c r="B50" s="113">
        <v>0</v>
      </c>
    </row>
    <row r="51" spans="1:38" ht="15" customHeight="1" x14ac:dyDescent="0.15">
      <c r="A51" s="204" t="s">
        <v>237</v>
      </c>
      <c r="B51" s="113">
        <v>0</v>
      </c>
    </row>
    <row r="52" spans="1: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2022-10-24T04:19:54Z</dcterms:modified>
</cp:coreProperties>
</file>