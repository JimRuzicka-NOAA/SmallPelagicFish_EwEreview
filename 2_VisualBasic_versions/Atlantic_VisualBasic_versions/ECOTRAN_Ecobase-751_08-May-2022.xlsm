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20DA77BB-7275-084D-B95F-7E5C8629B60E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Main!$C$2:$N$39</definedName>
    <definedName name="matDetritus">Detritus!$C$2:$G$39</definedName>
    <definedName name="matDiet">Diets!$B$2:$AG$38</definedName>
    <definedName name="matDiscards">Discards!$C$2:$D$37</definedName>
    <definedName name="matFishery">Fishing!$C$2:$D$37</definedName>
    <definedName name="matFishing">Fishing!#REF!</definedName>
    <definedName name="matMort">Mortalities!$A$1:$AO$37</definedName>
    <definedName name="matOut">MainOutputs!$A$2:$I$39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<sst xmlns="http://schemas.openxmlformats.org/spreadsheetml/2006/main" count="1072" uniqueCount="237">
  <si>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</si>
  <si>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</si>
  <si>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</si>
  <si>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</si>
  <si>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</si>
  <si>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</si>
  <si>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</si>
  <si>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</si>
  <si>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</si>
  <si>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</si>
  <si>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</si>
  <si>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</si>
  <si>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</si>
  <si>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</si>
  <si>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</si>
  <si>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</si>
  <si>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</si>
  <si>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</si>
  <si>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</si>
  <si>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</si>
  <si>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</si>
  <si>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</si>
  <si>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</si>
  <si>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</si>
  <si>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</si>
  <si>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</si>
  <si>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</si>
  <si>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</si>
  <si>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</si>
  <si>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</si>
  <si>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</si>
  <si>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</si>
  <si>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</si>
  <si>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</si>
  <si>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</si>
  <si>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</si>
  <si>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</si>
  <si>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</si>
  <si>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</si>
  <si>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</si>
  <si>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</si>
  <si>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</si>
  <si>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</si>
  <si>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</si>
  <si>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</si>
  <si>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</si>
  <si>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</si>
  <si>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</si>
  <si>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</si>
  <si>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</si>
  <si>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</si>
  <si>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</si>
  <si>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</si>
  <si>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</si>
  <si>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</si>
  <si>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</si>
  <si>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</si>
  <si>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</si>
  <si>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</si>
  <si>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</si>
  <si>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</si>
  <si>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</si>
  <si>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</si>
  <si>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</si>
  <si>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</si>
  <si>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</si>
  <si>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</si>
  <si>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</si>
  <si>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</si>
  <si>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</si>
  <si>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</si>
  <si>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</si>
  <si>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</si>
  <si>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</si>
  <si>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</si>
  <si>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</si>
  <si>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</si>
  <si>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</si>
  <si>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</si>
  <si>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</si>
  <si>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</si>
  <si>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</si>
  <si>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</si>
  <si>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</si>
  <si>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</si>
  <si>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</si>
  <si>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</si>
  <si>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</si>
  <si>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</si>
  <si>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</si>
  <si>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</si>
  <si>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</si>
  <si>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</si>
  <si>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</si>
  <si>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</si>
  <si>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</si>
  <si>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</si>
  <si>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</si>
  <si>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</si>
  <si>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</si>
  <si>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</si>
  <si>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</si>
  <si>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</si>
  <si>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</si>
  <si>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</si>
  <si>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</si>
  <si>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</si>
  <si>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</si>
  <si>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</si>
  <si>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</si>
  <si>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</si>
  <si>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</si>
  <si>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</si>
  <si>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</si>
  <si>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</si>
  <si>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</si>
  <si>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</si>
  <si>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</si>
  <si>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</si>
  <si>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</si>
  <si>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</si>
  <si>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</si>
  <si>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</si>
  <si>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</si>
  <si>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</si>
  <si>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</si>
  <si>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</si>
  <si>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</si>
  <si>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</si>
  <si>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</si>
  <si>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</si>
  <si>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</si>
  <si>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</si>
  <si>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</si>
  <si>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</si>
  <si>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</si>
  <si>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</si>
  <si>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</si>
  <si>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</si>
  <si>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</si>
  <si>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</si>
  <si>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</si>
  <si>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</si>
  <si>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</si>
  <si>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</si>
  <si>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</si>
  <si>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</si>
  <si>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</si>
  <si>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</si>
  <si>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</si>
  <si>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</si>
  <si>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</si>
  <si>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</si>
  <si>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</si>
  <si>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</si>
  <si>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</si>
  <si>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</si>
  <si>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</si>
  <si>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</si>
  <si>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</si>
  <si>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</si>
  <si>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</si>
  <si>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</si>
  <si>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</si>
  <si>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</si>
  <si>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</si>
  <si>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</si>
  <si>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</si>
  <si>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</si>
  <si>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</si>
  <si>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</si>
  <si>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</si>
  <si>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</si>
  <si>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</si>
  <si>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</si>
  <si>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</si>
  <si>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</si>
  <si>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</si>
  <si>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</si>
  <si>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</si>
  <si>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</si>
  <si>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</si>
  <si>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</si>
  <si>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</si>
  <si>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</si>
  <si>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Malangen Fjord</t>
  </si>
  <si>
    <t>Norway</t>
  </si>
  <si>
    <t>BOX(17.84 69.53,18.02 69.61)</t>
  </si>
  <si>
    <t>Bay/fjord</t>
  </si>
  <si>
    <t>WetWeight</t>
  </si>
  <si>
    <t>Arctic Deep Ecosystem associated with kelp exports (Malangen Fjord, Tromso, Norway)</t>
  </si>
  <si>
    <t>Daniel Vilas, Marta Coll, Torstein Pedersen, Xavier Corrales, Karen Filbee-Dexter, Morten Foldager Pedersen, Kjell Magnus Norderhaug, Stein Fredriksen, Thomas Wernberg, Eva Ramírez-Llodra,
Kelp-carbon uptake by Arctic deep-sea food webs plays a noticeable role in maintaining ecosystem structural and functional traits</t>
  </si>
  <si>
    <t>https://doi.org/10.1016/j.jmarsys.2019.103268</t>
  </si>
  <si>
    <t>Marine mammals</t>
  </si>
  <si>
    <t>Seabirds</t>
  </si>
  <si>
    <t>Rays and skates</t>
  </si>
  <si>
    <t>Velvet belly</t>
  </si>
  <si>
    <t>Rabbit fish</t>
  </si>
  <si>
    <t>Greater argentine</t>
  </si>
  <si>
    <t>Blue whiting</t>
  </si>
  <si>
    <t>Large fish feeders</t>
  </si>
  <si>
    <t>Pouts</t>
  </si>
  <si>
    <t>Witch flounder</t>
  </si>
  <si>
    <t>Other commercial demersal fishes</t>
  </si>
  <si>
    <t>Redfishes</t>
  </si>
  <si>
    <t>Mesopelagic fishes</t>
  </si>
  <si>
    <t>Hagfish</t>
  </si>
  <si>
    <t>Benthopelagic cephalopods</t>
  </si>
  <si>
    <t>Pelagic shrimps</t>
  </si>
  <si>
    <t>Benthopelagic shrimps</t>
  </si>
  <si>
    <t>Benthic detritivore echinoderms</t>
  </si>
  <si>
    <t>Detritivore polychaetes</t>
  </si>
  <si>
    <t>Other benthic detritivore invertebrates</t>
  </si>
  <si>
    <t>Predatory invertebrates</t>
  </si>
  <si>
    <t>Sea cucumbers</t>
  </si>
  <si>
    <t>Jellyfish and ctenophores</t>
  </si>
  <si>
    <t>Large krill</t>
  </si>
  <si>
    <t>Small krill</t>
  </si>
  <si>
    <t>Macro mesozooplankton</t>
  </si>
  <si>
    <t>Microzooplankton</t>
  </si>
  <si>
    <t>Suprabenthos</t>
  </si>
  <si>
    <t>Meiofauna</t>
  </si>
  <si>
    <t>Bacteria</t>
  </si>
  <si>
    <t>Large phytoplankton</t>
  </si>
  <si>
    <t>Heterotrophic nanofl.</t>
  </si>
  <si>
    <t>Marine snow</t>
  </si>
  <si>
    <t>Large pieces kelp detritus</t>
  </si>
  <si>
    <t>Small pieces kelp detritus</t>
  </si>
  <si>
    <t>Benthic detritus</t>
  </si>
  <si>
    <t>Gillnets &amp;amp; others</t>
  </si>
  <si>
    <t>Shrimp trawlers</t>
  </si>
  <si>
    <t>Import</t>
  </si>
  <si>
    <t>export</t>
  </si>
  <si>
    <t>sum</t>
  </si>
  <si>
    <t>TOTAL</t>
  </si>
  <si>
    <t>F Gillnets &amp;amp; others</t>
  </si>
  <si>
    <t>F Shrimp trawlers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</si>
</sst>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3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FFE9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E8FF00"/>
        <bgColor indexed="64"/>
      </patternFill>
    </fill>
    <fill>
      <patternFill patternType="solid">
        <fgColor rgb="FFC7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DB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FFBC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FFB8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D2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F0FF00"/>
        <bgColor indexed="64"/>
      </patternFill>
    </fill>
    <fill>
      <patternFill patternType="solid">
        <fgColor rgb="FFE4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FFEA00"/>
        <bgColor indexed="64"/>
      </patternFill>
    </fill>
    <fill>
      <patternFill patternType="solid">
        <fgColor rgb="FFFFAF00"/>
        <bgColor indexed="64"/>
      </patternFill>
    </fill>
    <fill>
      <patternFill patternType="solid">
        <fgColor rgb="FFAE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DA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F8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FFFB00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7B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56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4" borderId="2" xfId="0" applyFont="1" applyFill="1" applyBorder="1" applyAlignment="1">
      <alignment horizontal="center"/>
    </xf>
    <xf numFmtId="0" fontId="1" fillId="24" borderId="4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4" borderId="5" xfId="0" applyFill="1" applyBorder="1"/>
    <xf numFmtId="0" fontId="0" fillId="24" borderId="6" xfId="0" applyFill="1" applyBorder="1"/>
    <xf numFmtId="0" fontId="0" fillId="24" borderId="7" xfId="0" applyFill="1" applyBorder="1"/>
    <xf numFmtId="0" fontId="0" fillId="24" borderId="8" xfId="0" applyFill="1" applyBorder="1"/>
    <xf numFmtId="0" fontId="0" fillId="24" borderId="9" xfId="0" applyFill="1" applyBorder="1"/>
    <xf numFmtId="0" fontId="0" fillId="24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1" fillId="0" borderId="0" xfId="0" applyFont="1" applyAlignment="1">
      <alignment horizontal="center"/>
    </xf>
    <xf numFmtId="0" fontId="0" fillId="35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7" borderId="0" xfId="0" applyFill="1"/>
    <xf numFmtId="0" fontId="0" fillId="0" borderId="0" xfId="0" applyFont="1" applyFill="1" applyAlignment="1">
      <alignment horizontal="center"/>
    </xf>
    <xf numFmtId="0" fontId="0" fillId="38" borderId="0" xfId="0" applyFill="1"/>
    <xf numFmtId="0" fontId="0" fillId="39" borderId="0" xfId="0" applyFill="1"/>
    <xf numFmtId="0" fontId="0" fillId="40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6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6" borderId="3" xfId="0" applyNumberFormat="1" applyFont="1" applyFill="1" applyBorder="1"/>
    <xf numFmtId="0" fontId="0" fillId="36" borderId="2" xfId="0" applyFont="1" applyFill="1" applyBorder="1"/>
    <xf numFmtId="0" fontId="0" fillId="36" borderId="3" xfId="0" applyFont="1" applyFill="1" applyBorder="1"/>
    <xf numFmtId="0" fontId="0" fillId="36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1" borderId="0" xfId="0" applyFill="1"/>
    <xf numFmtId="0" fontId="0" fillId="42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4" borderId="2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4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61.3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1" t="s">
        <v>164</v>
      </c>
    </row>
    <row r="6" spans="2:4" ht="14" thickBot="1" x14ac:dyDescent="0.2">
      <c r="B6" s="45" t="s">
        <v>141</v>
      </c>
    </row>
    <row r="7" spans="2:4" x14ac:dyDescent="0.15">
      <c r="B7" s="61" t="s">
        <v>143</v>
      </c>
    </row>
    <row r="8" spans="2:4" x14ac:dyDescent="0.15">
      <c r="B8" s="61" t="s">
        <v>142</v>
      </c>
    </row>
    <row r="9" spans="2:4" x14ac:dyDescent="0.15">
      <c r="B9" s="61" t="s">
        <v>144</v>
      </c>
    </row>
    <row r="10" spans="2:4" x14ac:dyDescent="0.15">
      <c r="B10" s="61" t="s">
        <v>147</v>
      </c>
    </row>
    <row r="11" spans="2:4" x14ac:dyDescent="0.15">
      <c r="B11" s="61" t="s">
        <v>151</v>
      </c>
    </row>
    <row r="12" spans="2:4" x14ac:dyDescent="0.15">
      <c r="B12" s="61" t="s">
        <v>153</v>
      </c>
    </row>
    <row r="13" spans="2:4" x14ac:dyDescent="0.15">
      <c r="B13" s="61" t="s">
        <v>165</v>
      </c>
    </row>
    <row r="15" spans="2:4" ht="14" thickBot="1" x14ac:dyDescent="0.2"/>
    <row r="16" spans="2:4" ht="14" thickBot="1" x14ac:dyDescent="0.2">
      <c r="B16" s="46" t="s">
        <v>137</v>
      </c>
      <c r="C16" s="47"/>
      <c r="D16" s="29">
        <v>41373</v>
      </c>
    </row>
    <row r="17" spans="2:4" x14ac:dyDescent="0.15">
      <c r="B17" s="48" t="s">
        <v>58</v>
      </c>
      <c r="C17" s="32">
        <v>0</v>
      </c>
    </row>
    <row r="18" spans="2:4" x14ac:dyDescent="0.15">
      <c r="B18" s="48" t="s">
        <v>59</v>
      </c>
      <c r="C18" s="32">
        <v>1</v>
      </c>
    </row>
    <row r="19" spans="2:4" x14ac:dyDescent="0.15">
      <c r="B19" s="48" t="s">
        <v>60</v>
      </c>
      <c r="C19" s="32">
        <v>2</v>
      </c>
    </row>
    <row r="20" spans="2:4" ht="14" thickBot="1" x14ac:dyDescent="0.2">
      <c r="B20" s="49" t="s">
        <v>44</v>
      </c>
      <c r="C20" s="33">
        <v>3</v>
      </c>
    </row>
    <row r="21" spans="2:4" x14ac:dyDescent="0.15">
      <c r="B21" s="50" t="s">
        <v>140</v>
      </c>
    </row>
    <row r="22" spans="2:4" ht="14" thickBot="1" x14ac:dyDescent="0.2"/>
    <row r="23" spans="2:4" ht="14" thickBot="1" x14ac:dyDescent="0.2">
      <c r="B23" s="46" t="s">
        <v>65</v>
      </c>
      <c r="C23" s="47"/>
      <c r="D23" s="29" t="s">
        <v>148</v>
      </c>
    </row>
    <row r="24" spans="2:4" x14ac:dyDescent="0.15">
      <c r="B24" s="52" t="s">
        <v>38</v>
      </c>
      <c r="C24" s="30">
        <v>1</v>
      </c>
    </row>
    <row r="25" spans="2:4" x14ac:dyDescent="0.15">
      <c r="B25" s="48" t="s">
        <v>40</v>
      </c>
      <c r="C25" s="32">
        <v>1.1000000000000001</v>
      </c>
    </row>
    <row r="26" spans="2:4" x14ac:dyDescent="0.15">
      <c r="B26" s="48" t="s">
        <v>41</v>
      </c>
      <c r="C26" s="32">
        <v>1.2</v>
      </c>
    </row>
    <row r="27" spans="2:4" x14ac:dyDescent="0.15">
      <c r="B27" s="48"/>
      <c r="C27" s="32"/>
    </row>
    <row r="28" spans="2:4" x14ac:dyDescent="0.15">
      <c r="B28" s="48" t="s">
        <v>42</v>
      </c>
      <c r="C28" s="32">
        <v>2.1</v>
      </c>
    </row>
    <row r="29" spans="2:4" x14ac:dyDescent="0.15">
      <c r="B29" s="48" t="s">
        <v>43</v>
      </c>
      <c r="C29" s="32">
        <v>2.2000000000000002</v>
      </c>
    </row>
    <row r="30" spans="2:4" x14ac:dyDescent="0.15">
      <c r="B30" s="48" t="s">
        <v>67</v>
      </c>
      <c r="C30" s="32">
        <v>2.2999999999999998</v>
      </c>
    </row>
    <row r="31" spans="2:4" x14ac:dyDescent="0.15">
      <c r="B31" s="48"/>
      <c r="C31" s="32"/>
    </row>
    <row r="32" spans="2:4" x14ac:dyDescent="0.15">
      <c r="B32" s="48" t="s">
        <v>62</v>
      </c>
      <c r="C32" s="32">
        <v>3.11</v>
      </c>
    </row>
    <row r="33" spans="2:3" x14ac:dyDescent="0.15">
      <c r="B33" s="48" t="s">
        <v>61</v>
      </c>
      <c r="C33" s="32">
        <v>3.12</v>
      </c>
    </row>
    <row r="34" spans="2:3" x14ac:dyDescent="0.15">
      <c r="B34" s="48" t="s">
        <v>68</v>
      </c>
      <c r="C34" s="32">
        <v>3.13</v>
      </c>
    </row>
    <row r="35" spans="2:3" x14ac:dyDescent="0.15">
      <c r="B35" s="48"/>
      <c r="C35" s="32"/>
    </row>
    <row r="36" spans="2:3" x14ac:dyDescent="0.15">
      <c r="B36" s="48" t="s">
        <v>66</v>
      </c>
      <c r="C36" s="32">
        <v>3.21</v>
      </c>
    </row>
    <row r="37" spans="2:3" x14ac:dyDescent="0.15">
      <c r="B37" s="48" t="s">
        <v>63</v>
      </c>
      <c r="C37" s="32">
        <v>3.22</v>
      </c>
    </row>
    <row r="38" spans="2:3" x14ac:dyDescent="0.15">
      <c r="B38" s="48" t="s">
        <v>69</v>
      </c>
      <c r="C38" s="32">
        <v>3.23</v>
      </c>
    </row>
    <row r="39" spans="2:3" x14ac:dyDescent="0.15">
      <c r="B39" s="48"/>
      <c r="C39" s="32"/>
    </row>
    <row r="40" spans="2:3" x14ac:dyDescent="0.15">
      <c r="B40" s="48" t="s">
        <v>64</v>
      </c>
      <c r="C40" s="32">
        <v>8</v>
      </c>
    </row>
    <row r="41" spans="2:3" x14ac:dyDescent="0.15">
      <c r="B41" s="48"/>
      <c r="C41" s="32"/>
    </row>
    <row r="42" spans="2:3" x14ac:dyDescent="0.15">
      <c r="B42" s="48" t="s">
        <v>71</v>
      </c>
      <c r="C42" s="32">
        <v>4.0999999999999996</v>
      </c>
    </row>
    <row r="43" spans="2:3" x14ac:dyDescent="0.15">
      <c r="B43" s="48" t="s">
        <v>70</v>
      </c>
      <c r="C43" s="32">
        <v>4.2</v>
      </c>
    </row>
    <row r="44" spans="2:3" x14ac:dyDescent="0.15">
      <c r="B44" s="48" t="s">
        <v>72</v>
      </c>
      <c r="C44" s="32">
        <v>4.3</v>
      </c>
    </row>
    <row r="45" spans="2:3" x14ac:dyDescent="0.15">
      <c r="B45" s="31"/>
      <c r="C45" s="32"/>
    </row>
    <row r="46" spans="2:3" x14ac:dyDescent="0.15">
      <c r="B46" s="48" t="s">
        <v>138</v>
      </c>
      <c r="C46" s="32">
        <v>6.1</v>
      </c>
    </row>
    <row r="47" spans="2:3" x14ac:dyDescent="0.15">
      <c r="B47" s="48" t="s">
        <v>45</v>
      </c>
      <c r="C47" s="32">
        <v>6.2</v>
      </c>
    </row>
    <row r="48" spans="2:3" x14ac:dyDescent="0.15">
      <c r="B48" s="48"/>
      <c r="C48" s="32"/>
    </row>
    <row r="49" spans="2:4" x14ac:dyDescent="0.15">
      <c r="B49" s="48" t="s">
        <v>44</v>
      </c>
      <c r="C49" s="32">
        <v>5</v>
      </c>
    </row>
    <row r="50" spans="2:4" x14ac:dyDescent="0.15">
      <c r="B50" s="48"/>
      <c r="C50" s="32"/>
    </row>
    <row r="51" spans="2:4" ht="14" thickBot="1" x14ac:dyDescent="0.2">
      <c r="B51" s="49" t="s">
        <v>73</v>
      </c>
      <c r="C51" s="33">
        <v>7</v>
      </c>
    </row>
    <row r="53" spans="2:4" x14ac:dyDescent="0.15">
      <c r="B53" s="175" t="s">
        <v>171</v>
      </c>
      <c r="C53" s="107">
        <v>751</v>
      </c>
      <c r="D53" s="107"/>
    </row>
    <row r="54" spans="2:4" x14ac:dyDescent="0.15">
      <c r="B54" s="175" t="s">
        <v>172</v>
      </c>
      <c r="C54" s="175" t="s">
        <v>185</v>
      </c>
      <c r="D54" s="107"/>
    </row>
    <row r="55" spans="2:4" x14ac:dyDescent="0.15">
      <c r="B55" s="175" t="s">
        <v>173</v>
      </c>
      <c r="C55" s="175" t="s">
        <v>186</v>
      </c>
      <c r="D55" s="107"/>
    </row>
    <row r="56" spans="2:4" x14ac:dyDescent="0.15">
      <c r="B56" s="175" t="s">
        <v>174</v>
      </c>
      <c r="C56" s="107">
        <v>50</v>
      </c>
      <c r="D56" s="107"/>
    </row>
    <row r="57" spans="2:4" x14ac:dyDescent="0.15">
      <c r="B57" s="175" t="s">
        <v>175</v>
      </c>
      <c r="C57" s="175" t="s">
        <v>187</v>
      </c>
      <c r="D57" s="107"/>
    </row>
    <row r="58" spans="2:4" x14ac:dyDescent="0.15">
      <c r="B58" s="175" t="s">
        <v>176</v>
      </c>
      <c r="C58" s="175" t="s">
        <v>188</v>
      </c>
      <c r="D58" s="107"/>
    </row>
    <row r="59" spans="2:4" x14ac:dyDescent="0.15">
      <c r="B59" s="175" t="s">
        <v>177</v>
      </c>
      <c r="C59" s="175" t="s">
        <v>189</v>
      </c>
      <c r="D59" s="107"/>
    </row>
    <row r="60" spans="2:4" x14ac:dyDescent="0.15">
      <c r="B60" s="175" t="s">
        <v>178</v>
      </c>
      <c r="C60" s="175" t="s">
        <v>190</v>
      </c>
      <c r="D60" s="107"/>
    </row>
    <row r="61" spans="2:4" x14ac:dyDescent="0.15">
      <c r="B61" s="175" t="s">
        <v>179</v>
      </c>
      <c r="C61" s="107">
        <v>36</v>
      </c>
      <c r="D61" s="107"/>
    </row>
    <row r="62" spans="2:4" x14ac:dyDescent="0.15">
      <c r="B62" s="175" t="s">
        <v>180</v>
      </c>
      <c r="C62" s="107">
        <v>2</v>
      </c>
      <c r="D62" s="107"/>
    </row>
    <row r="63" spans="2:4" x14ac:dyDescent="0.15">
      <c r="B63" s="175" t="s">
        <v>181</v>
      </c>
      <c r="C63" s="107">
        <v>2017</v>
      </c>
      <c r="D63" s="107"/>
    </row>
    <row r="64" spans="2:4" x14ac:dyDescent="0.15">
      <c r="B64" s="175" t="s">
        <v>182</v>
      </c>
      <c r="C64" s="107">
        <v>1</v>
      </c>
      <c r="D64" s="107"/>
    </row>
    <row r="65" spans="2:4" x14ac:dyDescent="0.15">
      <c r="B65" s="175" t="s">
        <v>183</v>
      </c>
      <c r="C65" s="175" t="s">
        <v>191</v>
      </c>
      <c r="D65" s="107"/>
    </row>
    <row r="66" spans="2:4" x14ac:dyDescent="0.15">
      <c r="B66" s="175" t="s">
        <v>184</v>
      </c>
      <c r="C66" s="175" t="s">
        <v>192</v>
      </c>
      <c r="D66" s="107"/>
    </row>
    <row r="67" spans="2:4" x14ac:dyDescent="0.15">
      <c r="B67" s="107"/>
      <c r="C67" s="107"/>
      <c r="D67" s="107"/>
    </row>
    <row r="68" spans="2:4" x14ac:dyDescent="0.15">
      <c r="B68" s="107"/>
      <c r="C68" s="107"/>
      <c r="D68" s="107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3" sqref="Q3"/>
    </sheetView>
  </sheetViews>
  <sheetFormatPr baseColWidth="10" defaultColWidth="8.83203125" defaultRowHeight="15" customHeight="1" x14ac:dyDescent="0.15"/>
  <cols>
    <col min="1" max="1" width="22.5" style="81" customWidth="1"/>
    <col min="2" max="3" width="3.33203125" style="81" customWidth="1"/>
    <col min="4" max="4" width="14.33203125" style="81" customWidth="1"/>
    <col min="5" max="5" width="31.83203125" style="81" bestFit="1" customWidth="1"/>
    <col min="6" max="6" width="2.33203125" style="81" bestFit="1" customWidth="1"/>
    <col min="7" max="7" width="11.83203125" style="81" bestFit="1" customWidth="1"/>
    <col min="8" max="8" width="10.83203125" style="81" customWidth="1"/>
    <col min="9" max="9" width="6.83203125" style="81" customWidth="1"/>
    <col min="10" max="10" width="14.83203125" style="81" customWidth="1"/>
    <col min="11" max="11" width="13.83203125" style="81" customWidth="1"/>
    <col min="12" max="12" width="2.33203125" style="81" customWidth="1"/>
    <col min="13" max="13" width="3.83203125" style="81" customWidth="1"/>
    <col min="14" max="14" width="5.83203125" style="81" customWidth="1"/>
    <col min="16" max="25" width="8.83203125" style="81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1"/>
  </cols>
  <sheetData>
    <row r="1" spans="1:46" s="98" customFormat="1" ht="15" customHeight="1" x14ac:dyDescent="0.15">
      <c r="A1" s="77" t="s">
        <v>18</v>
      </c>
      <c r="C1" s="78" t="s">
        <v>8</v>
      </c>
      <c r="D1" s="77" t="s">
        <v>23</v>
      </c>
      <c r="E1" s="77" t="s">
        <v>0</v>
      </c>
      <c r="F1" s="77" t="s">
        <v>7</v>
      </c>
      <c r="G1" s="79" t="s">
        <v>13</v>
      </c>
      <c r="H1" s="77" t="s">
        <v>1</v>
      </c>
      <c r="I1" s="77" t="s">
        <v>2</v>
      </c>
      <c r="J1" s="77" t="s">
        <v>14</v>
      </c>
      <c r="K1" s="77" t="s">
        <v>3</v>
      </c>
      <c r="L1" s="77" t="s">
        <v>4</v>
      </c>
      <c r="M1" s="77" t="s">
        <v>5</v>
      </c>
      <c r="N1" s="77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8">
        <v>1</v>
      </c>
      <c r="D2"/>
      <c r="E2" s="176" t="s">
        <v>193</v>
      </c>
      <c r="F2" s="81">
        <v>0</v>
      </c>
      <c r="G2" s="81">
        <v>1.584E-2</v>
      </c>
      <c r="H2" s="81">
        <v>7.0000000000000007E-2</v>
      </c>
      <c r="I2" s="6">
        <v>14.1</v>
      </c>
      <c r="J2" s="6">
        <v>0</v>
      </c>
      <c r="K2" s="6">
        <v>4.9645389999999996E-3</v>
      </c>
      <c r="L2" s="6">
        <v>0</v>
      </c>
      <c r="M2" s="81">
        <v>0.2</v>
      </c>
      <c r="N2" s="81">
        <v>0</v>
      </c>
    </row>
    <row r="3" spans="1:46" ht="15" customHeight="1" x14ac:dyDescent="0.15">
      <c r="A3" s="1" t="s">
        <v>9</v>
      </c>
      <c r="B3" s="4">
        <v>32</v>
      </c>
      <c r="C3" s="81">
        <v>2</v>
      </c>
      <c r="D3"/>
      <c r="E3" s="176" t="s">
        <v>194</v>
      </c>
      <c r="F3" s="81">
        <v>0</v>
      </c>
      <c r="G3" s="81">
        <v>1.083333E-2</v>
      </c>
      <c r="H3" s="81">
        <v>0.1176</v>
      </c>
      <c r="I3" s="81">
        <v>112.99</v>
      </c>
      <c r="J3" s="81">
        <v>0</v>
      </c>
      <c r="K3" s="81">
        <v>1.0408001300000001E-3</v>
      </c>
      <c r="L3" s="81">
        <v>0</v>
      </c>
      <c r="M3" s="81">
        <v>0.2</v>
      </c>
      <c r="N3" s="81">
        <v>0</v>
      </c>
    </row>
    <row r="4" spans="1:46" ht="15" customHeight="1" x14ac:dyDescent="0.15">
      <c r="A4" s="1" t="s">
        <v>10</v>
      </c>
      <c r="B4" s="4">
        <v>4</v>
      </c>
      <c r="C4" s="81">
        <v>3</v>
      </c>
      <c r="D4"/>
      <c r="E4" s="176" t="s">
        <v>195</v>
      </c>
      <c r="F4" s="81">
        <v>0</v>
      </c>
      <c r="G4" s="81">
        <v>5.7828839999999999E-2</v>
      </c>
      <c r="H4" s="81">
        <v>0.1147804</v>
      </c>
      <c r="I4" s="81">
        <v>2.2669999999999999</v>
      </c>
      <c r="J4" s="81">
        <v>5.1223195600000001E-4</v>
      </c>
      <c r="K4" s="81">
        <v>5.06309681E-2</v>
      </c>
      <c r="L4" s="81">
        <v>0</v>
      </c>
      <c r="M4" s="81">
        <v>0.2</v>
      </c>
      <c r="N4" s="81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2</v>
      </c>
      <c r="C5" s="81">
        <v>4</v>
      </c>
      <c r="D5"/>
      <c r="E5" s="176" t="s">
        <v>196</v>
      </c>
      <c r="F5" s="81">
        <v>0</v>
      </c>
      <c r="G5" s="81">
        <v>8.9465959999999997E-2</v>
      </c>
      <c r="H5" s="81">
        <v>0.23187260000000001</v>
      </c>
      <c r="I5" s="81">
        <v>4.194</v>
      </c>
      <c r="J5" s="81">
        <v>1.0123064299999999E-3</v>
      </c>
      <c r="K5" s="81">
        <v>5.5286746499999997E-2</v>
      </c>
      <c r="L5" s="81">
        <v>0</v>
      </c>
      <c r="M5" s="81">
        <v>0.2</v>
      </c>
      <c r="N5" s="81">
        <v>0</v>
      </c>
      <c r="P5" s="70"/>
      <c r="Q5" s="70"/>
      <c r="R5" s="70"/>
    </row>
    <row r="6" spans="1:46" ht="15" customHeight="1" thickBot="1" x14ac:dyDescent="0.2">
      <c r="B6" s="1"/>
      <c r="C6" s="81">
        <v>5</v>
      </c>
      <c r="D6"/>
      <c r="E6" s="176" t="s">
        <v>197</v>
      </c>
      <c r="F6" s="81">
        <v>0</v>
      </c>
      <c r="G6" s="81">
        <v>1.215832</v>
      </c>
      <c r="H6" s="81">
        <v>0.1247721</v>
      </c>
      <c r="I6" s="81">
        <v>4.8019999999999996</v>
      </c>
      <c r="J6" s="81">
        <v>1.287525E-2</v>
      </c>
      <c r="K6" s="81">
        <v>2.59833615E-2</v>
      </c>
      <c r="L6" s="81">
        <v>0</v>
      </c>
      <c r="M6" s="81">
        <v>0.2</v>
      </c>
      <c r="N6" s="81">
        <v>0</v>
      </c>
      <c r="P6" s="70"/>
      <c r="Q6" s="70"/>
      <c r="R6" s="70"/>
      <c r="W6" s="35" t="s">
        <v>31</v>
      </c>
      <c r="X6" s="51">
        <f>MAX(MainOutputs!G:G)</f>
        <v>0.97234940528869629</v>
      </c>
    </row>
    <row r="7" spans="1:46" ht="15" customHeight="1" x14ac:dyDescent="0.15">
      <c r="A7" s="2" t="s">
        <v>27</v>
      </c>
      <c r="B7" s="81">
        <f ca="1">COUNTIF(OFFSET(cornerDiets,1,1,NumLiving+NumDead+1,NumLiving+NumDead),"&gt;0")+NumLiving+NumDead+1</f>
        <v>251</v>
      </c>
      <c r="C7" s="81">
        <v>6</v>
      </c>
      <c r="D7"/>
      <c r="E7" s="176" t="s">
        <v>198</v>
      </c>
      <c r="F7" s="81">
        <v>0</v>
      </c>
      <c r="G7" s="81">
        <v>0.17018939999999999</v>
      </c>
      <c r="H7" s="81">
        <v>0.3357503</v>
      </c>
      <c r="I7" s="81">
        <v>4.59</v>
      </c>
      <c r="J7" s="81">
        <v>0.49286580000000002</v>
      </c>
      <c r="K7" s="81">
        <v>7.3148210000000005E-2</v>
      </c>
      <c r="L7" s="81">
        <v>0</v>
      </c>
      <c r="M7" s="81">
        <v>0.2</v>
      </c>
      <c r="N7" s="81">
        <v>0</v>
      </c>
      <c r="P7" s="70"/>
      <c r="Q7" s="70"/>
      <c r="R7" s="70"/>
    </row>
    <row r="8" spans="1:46" ht="15" customHeight="1" x14ac:dyDescent="0.15">
      <c r="A8" s="2" t="s">
        <v>28</v>
      </c>
      <c r="B8" s="81">
        <f ca="1">COUNTIF(OFFSET(cornerFishing,1,2,NumLiving+NumDead,NumGears),"&gt;0")+NumDead*COUNTIF(OFFSET(cornerDiscards,1,2,NumLiving+NumDead,NumGears),"&gt;0")+NumLiving+NumDead+1</f>
        <v>59</v>
      </c>
      <c r="C8" s="81">
        <v>7</v>
      </c>
      <c r="D8"/>
      <c r="E8" s="176" t="s">
        <v>199</v>
      </c>
      <c r="F8" s="81">
        <v>0</v>
      </c>
      <c r="G8" s="81">
        <v>0.76403030000000005</v>
      </c>
      <c r="H8" s="81">
        <v>0.61331270000000004</v>
      </c>
      <c r="I8" s="81">
        <v>4.8579999999999997</v>
      </c>
      <c r="J8" s="81">
        <v>6.5863190000000002E-2</v>
      </c>
      <c r="K8" s="81">
        <v>0.12624798700000001</v>
      </c>
      <c r="L8" s="81">
        <v>0</v>
      </c>
      <c r="M8" s="81">
        <v>0.2</v>
      </c>
      <c r="N8" s="81">
        <v>0</v>
      </c>
      <c r="P8" s="70"/>
      <c r="Q8" s="70"/>
      <c r="R8" s="70"/>
    </row>
    <row r="9" spans="1:46" ht="15" customHeight="1" x14ac:dyDescent="0.15">
      <c r="B9" s="1"/>
      <c r="C9" s="81">
        <v>8</v>
      </c>
      <c r="D9"/>
      <c r="E9" s="176" t="s">
        <v>200</v>
      </c>
      <c r="F9" s="81">
        <v>0</v>
      </c>
      <c r="G9" s="81">
        <v>9.2509300000000003E-2</v>
      </c>
      <c r="H9" s="81">
        <v>6.2151789999999998E-2</v>
      </c>
      <c r="I9" s="81">
        <v>1.615</v>
      </c>
      <c r="J9" s="81">
        <v>0.46754244</v>
      </c>
      <c r="K9" s="81">
        <v>3.8484079999999997E-2</v>
      </c>
      <c r="L9" s="81">
        <v>0</v>
      </c>
      <c r="M9" s="81">
        <v>0.2</v>
      </c>
      <c r="N9" s="81">
        <v>0</v>
      </c>
      <c r="P9" s="70"/>
      <c r="Q9" s="70"/>
      <c r="R9" s="70"/>
    </row>
    <row r="10" spans="1:46" ht="15" customHeight="1" x14ac:dyDescent="0.15">
      <c r="B10" s="1"/>
      <c r="C10" s="81">
        <v>9</v>
      </c>
      <c r="D10"/>
      <c r="E10" s="176" t="s">
        <v>201</v>
      </c>
      <c r="F10" s="81">
        <v>0</v>
      </c>
      <c r="G10" s="81">
        <v>0.14623700000000001</v>
      </c>
      <c r="H10" s="81">
        <v>1.0136799999999999</v>
      </c>
      <c r="I10" s="81">
        <v>7.8570000000000002</v>
      </c>
      <c r="J10" s="81">
        <v>0.57345120000000005</v>
      </c>
      <c r="K10" s="81">
        <v>0.12901616099999999</v>
      </c>
      <c r="L10" s="81">
        <v>0</v>
      </c>
      <c r="M10" s="81">
        <v>0.2</v>
      </c>
      <c r="N10" s="81">
        <v>0</v>
      </c>
    </row>
    <row r="11" spans="1:46" ht="15" customHeight="1" x14ac:dyDescent="0.15">
      <c r="C11" s="81">
        <v>10</v>
      </c>
      <c r="D11"/>
      <c r="E11" s="176" t="s">
        <v>202</v>
      </c>
      <c r="F11" s="81">
        <v>0</v>
      </c>
      <c r="G11" s="81">
        <v>0.24112330000000001</v>
      </c>
      <c r="H11" s="81">
        <v>0.68123049999999996</v>
      </c>
      <c r="I11" s="81">
        <v>4.8369999999999997</v>
      </c>
      <c r="J11" s="81">
        <v>0.262126058</v>
      </c>
      <c r="K11" s="81">
        <v>0.1408374</v>
      </c>
      <c r="L11" s="81">
        <v>0</v>
      </c>
      <c r="M11" s="81">
        <v>0.2</v>
      </c>
      <c r="N11" s="81">
        <v>0</v>
      </c>
    </row>
    <row r="12" spans="1:46" ht="15" customHeight="1" x14ac:dyDescent="0.15">
      <c r="C12" s="81">
        <v>11</v>
      </c>
      <c r="D12"/>
      <c r="E12" s="176" t="s">
        <v>203</v>
      </c>
      <c r="F12" s="81">
        <v>0</v>
      </c>
      <c r="G12" s="81">
        <v>0.22972110000000001</v>
      </c>
      <c r="H12" s="81">
        <v>0.18471409999999999</v>
      </c>
      <c r="I12" s="81">
        <v>3.15</v>
      </c>
      <c r="J12" s="81">
        <v>0.89696310000000001</v>
      </c>
      <c r="K12" s="81">
        <v>5.8639392300000003E-2</v>
      </c>
      <c r="L12" s="81">
        <v>0</v>
      </c>
      <c r="M12" s="81">
        <v>0.2</v>
      </c>
      <c r="N12" s="81">
        <v>0</v>
      </c>
    </row>
    <row r="13" spans="1:46" ht="15" customHeight="1" x14ac:dyDescent="0.15">
      <c r="C13" s="81">
        <v>12</v>
      </c>
      <c r="D13"/>
      <c r="E13" s="176" t="s">
        <v>204</v>
      </c>
      <c r="F13" s="81">
        <v>0</v>
      </c>
      <c r="G13" s="81">
        <v>0.12185699999999999</v>
      </c>
      <c r="H13" s="81">
        <v>0.1926987</v>
      </c>
      <c r="I13" s="81">
        <v>3.9510000000000001</v>
      </c>
      <c r="J13" s="81">
        <v>0.11462707799999999</v>
      </c>
      <c r="K13" s="81">
        <v>4.87721339E-2</v>
      </c>
      <c r="L13" s="81">
        <v>0</v>
      </c>
      <c r="M13" s="81">
        <v>0.2</v>
      </c>
      <c r="N13" s="81">
        <v>0</v>
      </c>
    </row>
    <row r="14" spans="1:46" ht="15" customHeight="1" x14ac:dyDescent="0.15">
      <c r="C14" s="81">
        <v>13</v>
      </c>
      <c r="D14"/>
      <c r="E14" s="176" t="s">
        <v>205</v>
      </c>
      <c r="F14" s="81">
        <v>0</v>
      </c>
      <c r="G14" s="81">
        <v>0.60840720000000004</v>
      </c>
      <c r="H14" s="81">
        <v>0.98099999999999998</v>
      </c>
      <c r="I14" s="81">
        <v>12.132</v>
      </c>
      <c r="J14" s="81">
        <v>0.90000009999999997</v>
      </c>
      <c r="K14" s="81">
        <v>8.086053E-2</v>
      </c>
      <c r="L14" s="81">
        <v>0</v>
      </c>
      <c r="M14" s="81">
        <v>0.2</v>
      </c>
      <c r="N14" s="81">
        <v>0</v>
      </c>
    </row>
    <row r="15" spans="1:46" ht="15" customHeight="1" x14ac:dyDescent="0.15">
      <c r="C15" s="81">
        <v>14</v>
      </c>
      <c r="D15"/>
      <c r="E15" s="176" t="s">
        <v>206</v>
      </c>
      <c r="F15" s="81">
        <v>0</v>
      </c>
      <c r="G15" s="81">
        <v>1.8918919999999999E-2</v>
      </c>
      <c r="H15" s="81">
        <v>0.3</v>
      </c>
      <c r="I15" s="81">
        <v>6.4039999999999999</v>
      </c>
      <c r="J15" s="81">
        <v>0.45682856399999999</v>
      </c>
      <c r="K15" s="81">
        <v>4.6845722899999998E-2</v>
      </c>
      <c r="L15" s="81">
        <v>0</v>
      </c>
      <c r="M15" s="81">
        <v>0.2</v>
      </c>
      <c r="N15" s="81">
        <v>0</v>
      </c>
    </row>
    <row r="16" spans="1:46" ht="15" customHeight="1" x14ac:dyDescent="0.15">
      <c r="C16" s="81">
        <v>15</v>
      </c>
      <c r="D16"/>
      <c r="E16" s="176" t="s">
        <v>207</v>
      </c>
      <c r="F16" s="81">
        <v>0</v>
      </c>
      <c r="G16" s="81">
        <v>6.1187489999999997E-3</v>
      </c>
      <c r="H16" s="81">
        <v>1.68</v>
      </c>
      <c r="I16" s="81">
        <v>12.772</v>
      </c>
      <c r="J16" s="81">
        <v>0.76494490000000004</v>
      </c>
      <c r="K16" s="81">
        <v>0.13153773499999999</v>
      </c>
      <c r="L16" s="81">
        <v>0</v>
      </c>
      <c r="M16" s="81">
        <v>0.2</v>
      </c>
      <c r="N16" s="81">
        <v>0</v>
      </c>
    </row>
    <row r="17" spans="1:22" ht="15" customHeight="1" x14ac:dyDescent="0.15">
      <c r="C17" s="81">
        <v>16</v>
      </c>
      <c r="D17"/>
      <c r="E17" s="176" t="s">
        <v>208</v>
      </c>
      <c r="F17" s="81">
        <v>0</v>
      </c>
      <c r="G17" s="81">
        <v>1.29317021</v>
      </c>
      <c r="H17" s="81">
        <v>1.22</v>
      </c>
      <c r="I17" s="81">
        <v>8.33</v>
      </c>
      <c r="J17" s="81">
        <v>0.90000049999999998</v>
      </c>
      <c r="K17" s="81">
        <v>0.146458581</v>
      </c>
      <c r="L17" s="81">
        <v>0</v>
      </c>
      <c r="M17" s="81">
        <v>0.3</v>
      </c>
      <c r="N17" s="81">
        <v>0</v>
      </c>
      <c r="V17" s="1" t="s">
        <v>30</v>
      </c>
    </row>
    <row r="18" spans="1:22" ht="15" customHeight="1" x14ac:dyDescent="0.15">
      <c r="C18" s="81">
        <v>17</v>
      </c>
      <c r="D18"/>
      <c r="E18" s="176" t="s">
        <v>209</v>
      </c>
      <c r="F18" s="81">
        <v>0</v>
      </c>
      <c r="G18" s="81">
        <v>0.50431895299999996</v>
      </c>
      <c r="H18" s="81">
        <v>1.5</v>
      </c>
      <c r="I18" s="81">
        <v>10</v>
      </c>
      <c r="J18" s="81">
        <v>0.89999985699999996</v>
      </c>
      <c r="K18" s="81">
        <v>0.15</v>
      </c>
      <c r="L18" s="81">
        <v>0</v>
      </c>
      <c r="M18" s="81">
        <v>0.3</v>
      </c>
      <c r="N18" s="81">
        <v>0</v>
      </c>
      <c r="V18" s="1"/>
    </row>
    <row r="19" spans="1:22" ht="15" customHeight="1" x14ac:dyDescent="0.15">
      <c r="C19" s="81">
        <v>18</v>
      </c>
      <c r="D19"/>
      <c r="E19" s="176" t="s">
        <v>210</v>
      </c>
      <c r="F19" s="81">
        <v>0</v>
      </c>
      <c r="G19" s="81">
        <v>0.27838760000000001</v>
      </c>
      <c r="H19" s="81">
        <v>0.23</v>
      </c>
      <c r="I19" s="81">
        <v>3.63</v>
      </c>
      <c r="J19" s="81">
        <v>0.79827150000000002</v>
      </c>
      <c r="K19" s="81">
        <v>6.3360879999999994E-2</v>
      </c>
      <c r="L19" s="81">
        <v>0</v>
      </c>
      <c r="M19" s="81">
        <v>0.4</v>
      </c>
      <c r="N19" s="81">
        <v>0</v>
      </c>
    </row>
    <row r="20" spans="1:22" ht="15" customHeight="1" thickBot="1" x14ac:dyDescent="0.2">
      <c r="C20" s="81">
        <v>19</v>
      </c>
      <c r="D20"/>
      <c r="E20" s="176" t="s">
        <v>211</v>
      </c>
      <c r="F20" s="81">
        <v>0</v>
      </c>
      <c r="G20" s="81">
        <v>13.132999999999999</v>
      </c>
      <c r="H20" s="81">
        <v>1.51</v>
      </c>
      <c r="I20" s="81">
        <v>10.07</v>
      </c>
      <c r="J20" s="81">
        <v>0.303878337</v>
      </c>
      <c r="K20" s="81">
        <v>0.14995035500000001</v>
      </c>
      <c r="L20" s="81">
        <v>0</v>
      </c>
      <c r="M20" s="81">
        <v>0.4</v>
      </c>
      <c r="N20" s="81">
        <v>0</v>
      </c>
    </row>
    <row r="21" spans="1:22" ht="15" customHeight="1" thickBot="1" x14ac:dyDescent="0.2">
      <c r="A21" s="46" t="s">
        <v>137</v>
      </c>
      <c r="B21" s="99"/>
      <c r="C21" s="81">
        <v>20</v>
      </c>
      <c r="D21"/>
      <c r="E21" s="176" t="s">
        <v>212</v>
      </c>
      <c r="F21" s="81">
        <v>0</v>
      </c>
      <c r="G21" s="81">
        <v>0.45148670000000002</v>
      </c>
      <c r="H21" s="81">
        <v>0.55000000000000004</v>
      </c>
      <c r="I21" s="81">
        <v>2.88</v>
      </c>
      <c r="J21" s="81">
        <v>0.972349346</v>
      </c>
      <c r="K21" s="81">
        <v>0.190972224</v>
      </c>
      <c r="L21" s="81">
        <v>0</v>
      </c>
      <c r="M21" s="81">
        <v>0.4</v>
      </c>
      <c r="N21" s="81">
        <v>0</v>
      </c>
    </row>
    <row r="22" spans="1:22" ht="15" customHeight="1" x14ac:dyDescent="0.15">
      <c r="A22" s="100" t="s">
        <v>58</v>
      </c>
      <c r="B22" s="101">
        <v>0</v>
      </c>
      <c r="C22" s="81">
        <v>21</v>
      </c>
      <c r="D22"/>
      <c r="E22" s="176" t="s">
        <v>213</v>
      </c>
      <c r="F22" s="81">
        <v>0</v>
      </c>
      <c r="G22" s="81">
        <v>0.71002050000000005</v>
      </c>
      <c r="H22" s="81">
        <v>1</v>
      </c>
      <c r="I22" s="81">
        <v>6.67</v>
      </c>
      <c r="J22" s="81">
        <v>0.906335</v>
      </c>
      <c r="K22" s="81">
        <v>0.14992503800000001</v>
      </c>
      <c r="L22" s="81">
        <v>0</v>
      </c>
      <c r="M22" s="81">
        <v>0.3</v>
      </c>
      <c r="N22" s="81">
        <v>0</v>
      </c>
    </row>
    <row r="23" spans="1:22" ht="15" customHeight="1" x14ac:dyDescent="0.15">
      <c r="A23" s="100" t="s">
        <v>59</v>
      </c>
      <c r="B23" s="101">
        <v>1</v>
      </c>
      <c r="C23" s="81">
        <v>22</v>
      </c>
      <c r="D23"/>
      <c r="E23" s="176" t="s">
        <v>214</v>
      </c>
      <c r="F23" s="81">
        <v>0</v>
      </c>
      <c r="G23" s="81">
        <v>4.8153800000000002</v>
      </c>
      <c r="H23" s="81">
        <v>0.23</v>
      </c>
      <c r="I23" s="81">
        <v>2.88</v>
      </c>
      <c r="J23" s="81">
        <v>4.4109303500000002E-2</v>
      </c>
      <c r="K23" s="81">
        <v>7.9861109999999999E-2</v>
      </c>
      <c r="L23" s="81">
        <v>0</v>
      </c>
      <c r="M23" s="81">
        <v>0.4</v>
      </c>
      <c r="N23" s="81">
        <v>0</v>
      </c>
    </row>
    <row r="24" spans="1:22" ht="15" customHeight="1" x14ac:dyDescent="0.15">
      <c r="A24" s="100" t="s">
        <v>60</v>
      </c>
      <c r="B24" s="101">
        <v>2</v>
      </c>
      <c r="C24" s="81">
        <v>23</v>
      </c>
      <c r="D24"/>
      <c r="E24" s="176" t="s">
        <v>215</v>
      </c>
      <c r="F24" s="81">
        <v>0</v>
      </c>
      <c r="G24" s="81">
        <v>3.2352940000000001</v>
      </c>
      <c r="H24" s="81">
        <v>6.5</v>
      </c>
      <c r="I24" s="81">
        <v>23.5</v>
      </c>
      <c r="J24" s="81">
        <v>0.10846154399999999</v>
      </c>
      <c r="K24" s="81">
        <v>0.27659574199999998</v>
      </c>
      <c r="L24" s="81">
        <v>0</v>
      </c>
      <c r="M24" s="81">
        <v>0.2</v>
      </c>
      <c r="N24" s="81">
        <v>0</v>
      </c>
    </row>
    <row r="25" spans="1:22" ht="15" customHeight="1" thickBot="1" x14ac:dyDescent="0.2">
      <c r="A25" s="102" t="s">
        <v>44</v>
      </c>
      <c r="B25" s="103">
        <v>3</v>
      </c>
      <c r="C25" s="81">
        <v>24</v>
      </c>
      <c r="D25"/>
      <c r="E25" s="176" t="s">
        <v>216</v>
      </c>
      <c r="F25" s="81">
        <v>0</v>
      </c>
      <c r="G25" s="81">
        <v>10.616669999999999</v>
      </c>
      <c r="H25" s="81">
        <v>1.25</v>
      </c>
      <c r="I25" s="81">
        <v>16.8</v>
      </c>
      <c r="J25" s="81">
        <v>0.50239069999999997</v>
      </c>
      <c r="K25" s="81">
        <v>7.4404769999999995E-2</v>
      </c>
      <c r="L25" s="81">
        <v>0</v>
      </c>
      <c r="M25" s="81">
        <v>0.3</v>
      </c>
      <c r="N25" s="81">
        <v>0</v>
      </c>
    </row>
    <row r="26" spans="1:22" ht="15" customHeight="1" x14ac:dyDescent="0.15">
      <c r="A26" s="104" t="s">
        <v>140</v>
      </c>
      <c r="C26" s="81">
        <v>25</v>
      </c>
      <c r="D26"/>
      <c r="E26" s="176" t="s">
        <v>217</v>
      </c>
      <c r="F26" s="81">
        <v>0</v>
      </c>
      <c r="G26" s="81">
        <v>11.15</v>
      </c>
      <c r="H26" s="81">
        <v>2.5</v>
      </c>
      <c r="I26" s="81">
        <v>16.7</v>
      </c>
      <c r="J26" s="81">
        <v>0.43202987300000001</v>
      </c>
      <c r="K26" s="81">
        <v>0.14970059999999999</v>
      </c>
      <c r="L26" s="81">
        <v>0</v>
      </c>
      <c r="M26" s="81">
        <v>0.3</v>
      </c>
      <c r="N26" s="81">
        <v>0</v>
      </c>
    </row>
    <row r="27" spans="1:22" ht="15" customHeight="1" x14ac:dyDescent="0.15">
      <c r="C27" s="81">
        <v>26</v>
      </c>
      <c r="D27"/>
      <c r="E27" s="176" t="s">
        <v>218</v>
      </c>
      <c r="F27" s="81">
        <v>0</v>
      </c>
      <c r="G27" s="81">
        <v>20</v>
      </c>
      <c r="H27" s="81">
        <v>6.5</v>
      </c>
      <c r="I27" s="81">
        <v>26</v>
      </c>
      <c r="J27" s="81">
        <v>0.77788559999999995</v>
      </c>
      <c r="K27" s="81">
        <v>0.25</v>
      </c>
      <c r="L27" s="81">
        <v>0</v>
      </c>
      <c r="M27" s="81">
        <v>0.4</v>
      </c>
      <c r="N27" s="81">
        <v>0</v>
      </c>
    </row>
    <row r="28" spans="1:22" ht="15" customHeight="1" x14ac:dyDescent="0.15">
      <c r="C28" s="81">
        <v>27</v>
      </c>
      <c r="D28"/>
      <c r="E28" s="176" t="s">
        <v>219</v>
      </c>
      <c r="F28" s="81">
        <v>0</v>
      </c>
      <c r="G28" s="81">
        <v>4.2</v>
      </c>
      <c r="H28" s="81">
        <v>36.5</v>
      </c>
      <c r="I28" s="81">
        <v>121.7</v>
      </c>
      <c r="J28" s="81">
        <v>0.89527599999999996</v>
      </c>
      <c r="K28" s="81">
        <v>0.29991784700000002</v>
      </c>
      <c r="L28" s="81">
        <v>0</v>
      </c>
      <c r="M28" s="81">
        <v>0.4</v>
      </c>
      <c r="N28" s="81">
        <v>0</v>
      </c>
    </row>
    <row r="29" spans="1:22" customFormat="1" ht="15" customHeight="1" x14ac:dyDescent="0.15">
      <c r="C29" s="81">
        <v>28</v>
      </c>
      <c r="E29" s="176" t="s">
        <v>220</v>
      </c>
      <c r="F29" s="81">
        <v>0</v>
      </c>
      <c r="G29" s="81">
        <v>0.24976090000000001</v>
      </c>
      <c r="H29" s="81">
        <v>1.31</v>
      </c>
      <c r="I29" s="81">
        <v>8.73</v>
      </c>
      <c r="J29" s="81">
        <v>0.92995834399999999</v>
      </c>
      <c r="K29" s="81">
        <v>0.15005727099999999</v>
      </c>
      <c r="L29" s="81">
        <v>0</v>
      </c>
      <c r="M29" s="81">
        <v>0.3</v>
      </c>
      <c r="N29" s="81">
        <v>0</v>
      </c>
    </row>
    <row r="30" spans="1:22" customFormat="1" ht="15" customHeight="1" x14ac:dyDescent="0.15">
      <c r="C30" s="81">
        <v>29</v>
      </c>
      <c r="E30" s="176" t="s">
        <v>221</v>
      </c>
      <c r="F30" s="81">
        <v>0</v>
      </c>
      <c r="G30" s="81">
        <v>1.1424829999999999</v>
      </c>
      <c r="H30" s="81">
        <v>10.64</v>
      </c>
      <c r="I30" s="81">
        <v>42.56</v>
      </c>
      <c r="J30" s="81">
        <v>0.63688069999999997</v>
      </c>
      <c r="K30" s="81">
        <v>0.25</v>
      </c>
      <c r="L30" s="81">
        <v>0</v>
      </c>
      <c r="M30" s="81">
        <v>0.3</v>
      </c>
      <c r="N30" s="81">
        <v>0</v>
      </c>
    </row>
    <row r="31" spans="1:22" customFormat="1" ht="15" customHeight="1" x14ac:dyDescent="0.15">
      <c r="C31" s="81">
        <v>30</v>
      </c>
      <c r="E31" s="176" t="s">
        <v>222</v>
      </c>
      <c r="F31" s="81">
        <v>0</v>
      </c>
      <c r="G31" s="81">
        <v>1.8037745999999999</v>
      </c>
      <c r="H31" s="81">
        <v>143</v>
      </c>
      <c r="I31" s="81">
        <v>340.5</v>
      </c>
      <c r="J31" s="81">
        <v>0.90000033400000001</v>
      </c>
      <c r="K31" s="81">
        <v>0.41997063200000001</v>
      </c>
      <c r="L31" s="81">
        <v>0</v>
      </c>
      <c r="M31" s="81">
        <v>0.2</v>
      </c>
      <c r="N31" s="81">
        <v>0</v>
      </c>
    </row>
    <row r="32" spans="1:22" customFormat="1" ht="15" customHeight="1" x14ac:dyDescent="0.15">
      <c r="C32" s="81">
        <v>31</v>
      </c>
      <c r="E32" s="176" t="s">
        <v>223</v>
      </c>
      <c r="F32" s="81">
        <v>1</v>
      </c>
      <c r="G32" s="81">
        <v>18</v>
      </c>
      <c r="H32" s="81">
        <v>65</v>
      </c>
      <c r="I32" s="81">
        <v>0</v>
      </c>
      <c r="J32" s="81">
        <v>0.58647439999999995</v>
      </c>
      <c r="K32" s="81">
        <v>0</v>
      </c>
      <c r="L32" s="81">
        <v>0</v>
      </c>
      <c r="M32" s="81">
        <v>0</v>
      </c>
      <c r="N32" s="81">
        <v>0</v>
      </c>
    </row>
    <row r="33" spans="3:14" customFormat="1" ht="15" customHeight="1" x14ac:dyDescent="0.15">
      <c r="C33" s="81">
        <v>32</v>
      </c>
      <c r="E33" s="176" t="s">
        <v>224</v>
      </c>
      <c r="F33" s="81">
        <v>0</v>
      </c>
      <c r="G33" s="81">
        <v>1.6379999999999999</v>
      </c>
      <c r="H33" s="81">
        <v>36.5</v>
      </c>
      <c r="I33" s="81">
        <v>121.67</v>
      </c>
      <c r="J33" s="81">
        <v>0.94580710000000001</v>
      </c>
      <c r="K33" s="81">
        <v>0.29999179999999998</v>
      </c>
      <c r="L33" s="81">
        <v>0</v>
      </c>
      <c r="M33" s="81">
        <v>0.2</v>
      </c>
      <c r="N33" s="81">
        <v>0</v>
      </c>
    </row>
    <row r="34" spans="3:14" customFormat="1" ht="15" customHeight="1" x14ac:dyDescent="0.15">
      <c r="C34" s="81">
        <v>33</v>
      </c>
      <c r="E34" s="176" t="s">
        <v>225</v>
      </c>
      <c r="F34" s="81">
        <v>2</v>
      </c>
      <c r="G34" s="81">
        <v>122.3</v>
      </c>
      <c r="H34" s="81">
        <v>0</v>
      </c>
      <c r="I34" s="81">
        <v>0</v>
      </c>
      <c r="J34" s="81">
        <v>0.56368499999999999</v>
      </c>
      <c r="K34" s="81">
        <v>0</v>
      </c>
      <c r="L34" s="81">
        <v>0</v>
      </c>
      <c r="M34" s="81">
        <v>0.2</v>
      </c>
      <c r="N34" s="81">
        <v>0.66</v>
      </c>
    </row>
    <row r="35" spans="3:14" customFormat="1" ht="15" customHeight="1" x14ac:dyDescent="0.15">
      <c r="C35" s="81">
        <v>34</v>
      </c>
      <c r="E35" s="176" t="s">
        <v>226</v>
      </c>
      <c r="F35" s="81">
        <v>2</v>
      </c>
      <c r="G35" s="81">
        <v>1.0469999999999999</v>
      </c>
      <c r="H35" s="81">
        <v>0</v>
      </c>
      <c r="I35" s="81">
        <v>0</v>
      </c>
      <c r="J35" s="81">
        <v>0.78209030000000002</v>
      </c>
      <c r="K35" s="81">
        <v>0</v>
      </c>
      <c r="L35" s="81">
        <v>0</v>
      </c>
      <c r="M35" s="81">
        <v>0.2</v>
      </c>
      <c r="N35" s="81">
        <v>25.13</v>
      </c>
    </row>
    <row r="36" spans="3:14" customFormat="1" ht="15" customHeight="1" x14ac:dyDescent="0.15">
      <c r="C36" s="81">
        <v>35</v>
      </c>
      <c r="E36" s="176" t="s">
        <v>227</v>
      </c>
      <c r="F36" s="81">
        <v>2</v>
      </c>
      <c r="G36" s="81">
        <v>22</v>
      </c>
      <c r="H36" s="81">
        <v>0</v>
      </c>
      <c r="I36" s="81">
        <v>0</v>
      </c>
      <c r="J36" s="81">
        <v>0.54966235200000002</v>
      </c>
      <c r="K36" s="81">
        <v>0</v>
      </c>
      <c r="L36" s="81">
        <v>0</v>
      </c>
      <c r="M36" s="81">
        <v>0.2</v>
      </c>
      <c r="N36" s="81">
        <v>5.07</v>
      </c>
    </row>
    <row r="37" spans="3:14" customFormat="1" ht="15" customHeight="1" x14ac:dyDescent="0.15">
      <c r="C37" s="81">
        <v>36</v>
      </c>
      <c r="E37" s="176" t="s">
        <v>228</v>
      </c>
      <c r="F37" s="81">
        <v>2</v>
      </c>
      <c r="G37" s="81">
        <v>67</v>
      </c>
      <c r="H37" s="81">
        <v>0</v>
      </c>
      <c r="I37" s="81">
        <v>0</v>
      </c>
      <c r="J37" s="81">
        <v>0</v>
      </c>
      <c r="K37" s="81">
        <v>0</v>
      </c>
      <c r="L37" s="81">
        <v>0</v>
      </c>
      <c r="M37" s="81">
        <v>0</v>
      </c>
      <c r="N37" s="81">
        <v>0</v>
      </c>
    </row>
    <row r="38" spans="3:14" customFormat="1" ht="15" customHeight="1" x14ac:dyDescent="0.15">
      <c r="C38" s="81">
        <v>37</v>
      </c>
      <c r="E38" s="176" t="s">
        <v>229</v>
      </c>
      <c r="F38" s="81">
        <v>3</v>
      </c>
      <c r="G38" s="81">
        <v>0</v>
      </c>
      <c r="H38" s="81">
        <v>0</v>
      </c>
      <c r="I38" s="81">
        <v>0</v>
      </c>
      <c r="J38" s="81">
        <v>0</v>
      </c>
      <c r="K38" s="81">
        <v>0</v>
      </c>
      <c r="L38" s="81">
        <v>0</v>
      </c>
      <c r="M38" s="81">
        <v>0</v>
      </c>
      <c r="N38" s="81">
        <v>0</v>
      </c>
    </row>
    <row r="39" spans="3:14" customFormat="1" ht="15" customHeight="1" x14ac:dyDescent="0.15">
      <c r="C39" s="81">
        <v>38</v>
      </c>
      <c r="E39" s="176" t="s">
        <v>230</v>
      </c>
      <c r="F39" s="81">
        <v>3</v>
      </c>
      <c r="G39" s="81">
        <v>0</v>
      </c>
      <c r="H39" s="81">
        <v>0</v>
      </c>
      <c r="I39" s="81">
        <v>0</v>
      </c>
      <c r="J39" s="81">
        <v>0</v>
      </c>
      <c r="K39" s="81">
        <v>0</v>
      </c>
      <c r="L39" s="81">
        <v>0</v>
      </c>
      <c r="M39" s="81">
        <v>0</v>
      </c>
      <c r="N39" s="81">
        <v>0</v>
      </c>
    </row>
    <row r="40" spans="3:14" customFormat="1" ht="15" customHeight="1" x14ac:dyDescent="0.15"/>
    <row r="41" spans="3:14" customFormat="1" ht="15" customHeight="1" x14ac:dyDescent="0.15"/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K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1.83203125" style="141" bestFit="1" customWidth="1"/>
    <col min="2" max="2" width="14.83203125" style="141" bestFit="1" customWidth="1"/>
    <col min="3" max="3" width="13.83203125" style="141" bestFit="1" customWidth="1"/>
    <col min="4" max="4" width="4.83203125" style="141" bestFit="1" customWidth="1"/>
    <col min="5" max="5" width="5.83203125" style="141" bestFit="1" customWidth="1"/>
    <col min="6" max="6" width="14.83203125" style="141" bestFit="1" customWidth="1"/>
    <col min="7" max="7" width="4.83203125" style="141" bestFit="1" customWidth="1"/>
    <col min="8" max="8" width="15.83203125" style="141" bestFit="1" customWidth="1"/>
    <col min="9" max="10" width="13.83203125" style="141" bestFit="1" customWidth="1"/>
    <col min="11" max="11" width="12.83203125" style="141" bestFit="1" customWidth="1"/>
    <col min="12" max="12" width="15.83203125" style="141" bestFit="1" customWidth="1"/>
    <col min="13" max="13" width="5.83203125" style="141" bestFit="1" customWidth="1"/>
    <col min="14" max="15" width="4.83203125" style="141" bestFit="1" customWidth="1"/>
    <col min="16" max="16" width="14.83203125" style="141" bestFit="1" customWidth="1"/>
    <col min="17" max="18" width="5.83203125" style="141" bestFit="1" customWidth="1"/>
    <col min="19" max="21" width="4.83203125" style="141" bestFit="1" customWidth="1"/>
    <col min="22" max="22" width="14.83203125" style="141" bestFit="1" customWidth="1"/>
    <col min="23" max="23" width="5.83203125" style="141" bestFit="1" customWidth="1"/>
    <col min="24" max="25" width="4.83203125" style="141" bestFit="1" customWidth="1"/>
    <col min="26" max="27" width="5.83203125" style="141" bestFit="1" customWidth="1"/>
    <col min="28" max="28" width="4.83203125" style="141" bestFit="1" customWidth="1"/>
    <col min="29" max="29" width="5.83203125" style="141" bestFit="1" customWidth="1"/>
    <col min="30" max="30" width="4.83203125" style="141" customWidth="1"/>
    <col min="31" max="31" width="5.83203125" style="141" customWidth="1"/>
    <col min="32" max="32" width="2.33203125" style="141" customWidth="1"/>
    <col min="33" max="33" width="15.83203125" style="141" customWidth="1"/>
    <col min="34" max="37" width="2.33203125" style="141" customWidth="1"/>
    <col min="38" max="16384" width="8.83203125" style="141"/>
  </cols>
  <sheetData>
    <row r="1" spans="1:37" x14ac:dyDescent="0.15">
      <c r="A1" s="140" t="s">
        <v>19</v>
      </c>
      <c r="B1" s="178" t="s">
        <v>193</v>
      </c>
      <c r="C1" s="178" t="s">
        <v>194</v>
      </c>
      <c r="D1" s="178" t="s">
        <v>195</v>
      </c>
      <c r="E1" s="178" t="s">
        <v>196</v>
      </c>
      <c r="F1" s="178" t="s">
        <v>197</v>
      </c>
      <c r="G1" s="178" t="s">
        <v>198</v>
      </c>
      <c r="H1" s="178" t="s">
        <v>199</v>
      </c>
      <c r="I1" s="178" t="s">
        <v>200</v>
      </c>
      <c r="J1" s="178" t="s">
        <v>201</v>
      </c>
      <c r="K1" s="178" t="s">
        <v>202</v>
      </c>
      <c r="L1" s="178" t="s">
        <v>203</v>
      </c>
      <c r="M1" s="178" t="s">
        <v>204</v>
      </c>
      <c r="N1" s="178" t="s">
        <v>205</v>
      </c>
      <c r="O1" s="178" t="s">
        <v>206</v>
      </c>
      <c r="P1" s="178" t="s">
        <v>207</v>
      </c>
      <c r="Q1" s="178" t="s">
        <v>208</v>
      </c>
      <c r="R1" s="178" t="s">
        <v>209</v>
      </c>
      <c r="S1" s="178" t="s">
        <v>210</v>
      </c>
      <c r="T1" s="178" t="s">
        <v>211</v>
      </c>
      <c r="U1" s="178" t="s">
        <v>212</v>
      </c>
      <c r="V1" s="178" t="s">
        <v>213</v>
      </c>
      <c r="W1" s="178" t="s">
        <v>214</v>
      </c>
      <c r="X1" s="178" t="s">
        <v>215</v>
      </c>
      <c r="Y1" s="178" t="s">
        <v>216</v>
      </c>
      <c r="Z1" s="178" t="s">
        <v>217</v>
      </c>
      <c r="AA1" s="178" t="s">
        <v>218</v>
      </c>
      <c r="AB1" s="178" t="s">
        <v>219</v>
      </c>
      <c r="AC1" s="178" t="s">
        <v>220</v>
      </c>
      <c r="AD1" s="178" t="s">
        <v>221</v>
      </c>
      <c r="AE1" s="178" t="s">
        <v>222</v>
      </c>
      <c r="AF1" s="178" t="s">
        <v>223</v>
      </c>
      <c r="AG1" s="178" t="s">
        <v>224</v>
      </c>
      <c r="AH1" s="178" t="s">
        <v>225</v>
      </c>
      <c r="AI1" s="178" t="s">
        <v>226</v>
      </c>
      <c r="AJ1" s="178" t="s">
        <v>227</v>
      </c>
      <c r="AK1" s="178" t="s">
        <v>228</v>
      </c>
    </row>
    <row r="2" spans="1:37" customFormat="1" x14ac:dyDescent="0.15">
      <c r="A2" s="177" t="s">
        <v>193</v>
      </c>
      <c r="B2" s="141">
        <v>0</v>
      </c>
      <c r="C2" s="141">
        <v>0</v>
      </c>
      <c r="D2" s="141">
        <v>0</v>
      </c>
      <c r="E2" s="141">
        <v>0</v>
      </c>
      <c r="F2" s="141">
        <v>0</v>
      </c>
      <c r="G2" s="141">
        <v>0</v>
      </c>
      <c r="H2" s="141">
        <v>0</v>
      </c>
      <c r="I2" s="141">
        <v>0</v>
      </c>
      <c r="J2" s="141">
        <v>0</v>
      </c>
      <c r="K2" s="141">
        <v>0</v>
      </c>
      <c r="L2" s="141">
        <v>0</v>
      </c>
      <c r="M2" s="141">
        <v>0</v>
      </c>
      <c r="N2" s="141">
        <v>0</v>
      </c>
      <c r="O2" s="141">
        <v>0</v>
      </c>
      <c r="P2" s="141">
        <v>0</v>
      </c>
      <c r="Q2" s="141">
        <v>0</v>
      </c>
      <c r="R2" s="141">
        <v>0</v>
      </c>
      <c r="S2" s="141">
        <v>0</v>
      </c>
      <c r="T2" s="141">
        <v>0</v>
      </c>
      <c r="U2" s="141">
        <v>0</v>
      </c>
      <c r="V2" s="141">
        <v>0</v>
      </c>
      <c r="W2" s="141">
        <v>0</v>
      </c>
      <c r="X2" s="141">
        <v>0</v>
      </c>
      <c r="Y2" s="141">
        <v>0</v>
      </c>
      <c r="Z2" s="141">
        <v>0</v>
      </c>
      <c r="AA2" s="141">
        <v>0</v>
      </c>
      <c r="AB2" s="141">
        <v>0</v>
      </c>
      <c r="AC2" s="141">
        <v>0</v>
      </c>
      <c r="AD2" s="141">
        <v>0</v>
      </c>
      <c r="AE2" s="141">
        <v>0</v>
      </c>
      <c r="AF2" s="141">
        <v>0</v>
      </c>
      <c r="AG2" s="141">
        <v>0</v>
      </c>
      <c r="AH2" s="141">
        <v>0</v>
      </c>
      <c r="AI2" s="141">
        <v>0</v>
      </c>
      <c r="AJ2" s="141">
        <v>0</v>
      </c>
      <c r="AK2" s="141">
        <v>0</v>
      </c>
    </row>
    <row r="3" spans="1:37" customFormat="1" x14ac:dyDescent="0.15">
      <c r="A3" s="177" t="s">
        <v>194</v>
      </c>
      <c r="B3" s="141">
        <v>0</v>
      </c>
      <c r="C3" s="141">
        <v>0</v>
      </c>
      <c r="D3" s="141">
        <v>0</v>
      </c>
      <c r="E3" s="141">
        <v>0</v>
      </c>
      <c r="F3" s="141">
        <v>0</v>
      </c>
      <c r="G3" s="141">
        <v>0</v>
      </c>
      <c r="H3" s="141">
        <v>0</v>
      </c>
      <c r="I3" s="141">
        <v>0</v>
      </c>
      <c r="J3" s="141">
        <v>0</v>
      </c>
      <c r="K3" s="141">
        <v>0</v>
      </c>
      <c r="L3" s="141">
        <v>0</v>
      </c>
      <c r="M3" s="141">
        <v>0</v>
      </c>
      <c r="N3" s="141">
        <v>0</v>
      </c>
      <c r="O3" s="141">
        <v>0</v>
      </c>
      <c r="P3" s="141">
        <v>0</v>
      </c>
      <c r="Q3" s="141">
        <v>0</v>
      </c>
      <c r="R3" s="141">
        <v>0</v>
      </c>
      <c r="S3" s="141">
        <v>0</v>
      </c>
      <c r="T3" s="141">
        <v>0</v>
      </c>
      <c r="U3" s="141">
        <v>0</v>
      </c>
      <c r="V3" s="141">
        <v>0</v>
      </c>
      <c r="W3" s="141">
        <v>0</v>
      </c>
      <c r="X3" s="141">
        <v>0</v>
      </c>
      <c r="Y3" s="141">
        <v>0</v>
      </c>
      <c r="Z3" s="141">
        <v>0</v>
      </c>
      <c r="AA3" s="141">
        <v>0</v>
      </c>
      <c r="AB3" s="141">
        <v>0</v>
      </c>
      <c r="AC3" s="141">
        <v>0</v>
      </c>
      <c r="AD3" s="141">
        <v>0</v>
      </c>
      <c r="AE3" s="141">
        <v>0</v>
      </c>
      <c r="AF3" s="141">
        <v>0</v>
      </c>
      <c r="AG3" s="141">
        <v>0</v>
      </c>
      <c r="AH3" s="141">
        <v>0</v>
      </c>
      <c r="AI3" s="141">
        <v>0</v>
      </c>
      <c r="AJ3" s="141">
        <v>0</v>
      </c>
      <c r="AK3" s="141">
        <v>0</v>
      </c>
    </row>
    <row r="4" spans="1:37" customFormat="1" x14ac:dyDescent="0.15">
      <c r="A4" s="177" t="s">
        <v>195</v>
      </c>
      <c r="B4" s="141">
        <v>0</v>
      </c>
      <c r="C4" s="141">
        <v>0</v>
      </c>
      <c r="D4" s="141">
        <v>0</v>
      </c>
      <c r="E4" s="141">
        <v>0</v>
      </c>
      <c r="F4" s="141">
        <v>0</v>
      </c>
      <c r="G4" s="141">
        <v>0</v>
      </c>
      <c r="H4" s="141">
        <v>0</v>
      </c>
      <c r="I4" s="141">
        <v>0</v>
      </c>
      <c r="J4" s="141">
        <v>0</v>
      </c>
      <c r="K4" s="141">
        <v>0</v>
      </c>
      <c r="L4" s="141">
        <v>0</v>
      </c>
      <c r="M4" s="141">
        <v>0</v>
      </c>
      <c r="N4" s="141">
        <v>0</v>
      </c>
      <c r="O4" s="141">
        <v>0</v>
      </c>
      <c r="P4" s="141">
        <v>0</v>
      </c>
      <c r="Q4" s="141">
        <v>0</v>
      </c>
      <c r="R4" s="141">
        <v>0</v>
      </c>
      <c r="S4" s="141">
        <v>0</v>
      </c>
      <c r="T4" s="141">
        <v>0</v>
      </c>
      <c r="U4" s="141">
        <v>0</v>
      </c>
      <c r="V4" s="141">
        <v>0</v>
      </c>
      <c r="W4" s="141">
        <v>0</v>
      </c>
      <c r="X4" s="141">
        <v>0</v>
      </c>
      <c r="Y4" s="141">
        <v>0</v>
      </c>
      <c r="Z4" s="141">
        <v>0</v>
      </c>
      <c r="AA4" s="141">
        <v>0</v>
      </c>
      <c r="AB4" s="141">
        <v>0</v>
      </c>
      <c r="AC4" s="141">
        <v>0</v>
      </c>
      <c r="AD4" s="141">
        <v>0</v>
      </c>
      <c r="AE4" s="141">
        <v>0</v>
      </c>
      <c r="AF4" s="141">
        <v>0</v>
      </c>
      <c r="AG4" s="141">
        <v>0</v>
      </c>
      <c r="AH4" s="141">
        <v>0</v>
      </c>
      <c r="AI4" s="141">
        <v>0</v>
      </c>
      <c r="AJ4" s="141">
        <v>0</v>
      </c>
      <c r="AK4" s="141">
        <v>0</v>
      </c>
    </row>
    <row r="5" spans="1:37" customFormat="1" x14ac:dyDescent="0.15">
      <c r="A5" s="177" t="s">
        <v>196</v>
      </c>
      <c r="B5" s="141">
        <v>0</v>
      </c>
      <c r="C5" s="141">
        <v>0</v>
      </c>
      <c r="D5" s="141">
        <v>0</v>
      </c>
      <c r="E5" s="141">
        <v>0</v>
      </c>
      <c r="F5" s="141">
        <v>0</v>
      </c>
      <c r="G5" s="141">
        <v>0</v>
      </c>
      <c r="H5" s="141">
        <v>0</v>
      </c>
      <c r="I5" s="141">
        <v>0</v>
      </c>
      <c r="J5" s="141">
        <v>0</v>
      </c>
      <c r="K5" s="141">
        <v>0</v>
      </c>
      <c r="L5" s="141">
        <v>0</v>
      </c>
      <c r="M5" s="141">
        <v>0</v>
      </c>
      <c r="N5" s="141">
        <v>0</v>
      </c>
      <c r="O5" s="141">
        <v>0</v>
      </c>
      <c r="P5" s="141">
        <v>0</v>
      </c>
      <c r="Q5" s="141">
        <v>0</v>
      </c>
      <c r="R5" s="141">
        <v>0</v>
      </c>
      <c r="S5" s="141">
        <v>0</v>
      </c>
      <c r="T5" s="141">
        <v>0</v>
      </c>
      <c r="U5" s="141">
        <v>0</v>
      </c>
      <c r="V5" s="141">
        <v>0</v>
      </c>
      <c r="W5" s="141">
        <v>0</v>
      </c>
      <c r="X5" s="141">
        <v>0</v>
      </c>
      <c r="Y5" s="141">
        <v>0</v>
      </c>
      <c r="Z5" s="141">
        <v>0</v>
      </c>
      <c r="AA5" s="141">
        <v>0</v>
      </c>
      <c r="AB5" s="141">
        <v>0</v>
      </c>
      <c r="AC5" s="141">
        <v>0</v>
      </c>
      <c r="AD5" s="141">
        <v>0</v>
      </c>
      <c r="AE5" s="141">
        <v>0</v>
      </c>
      <c r="AF5" s="141">
        <v>0</v>
      </c>
      <c r="AG5" s="141">
        <v>0</v>
      </c>
      <c r="AH5" s="141">
        <v>0</v>
      </c>
      <c r="AI5" s="141">
        <v>0</v>
      </c>
      <c r="AJ5" s="141">
        <v>0</v>
      </c>
      <c r="AK5" s="141">
        <v>0</v>
      </c>
    </row>
    <row r="6" spans="1:37" customFormat="1" x14ac:dyDescent="0.15">
      <c r="A6" s="177" t="s">
        <v>197</v>
      </c>
      <c r="B6" s="141">
        <v>0</v>
      </c>
      <c r="C6" s="141">
        <v>0</v>
      </c>
      <c r="D6" s="141">
        <v>0</v>
      </c>
      <c r="E6" s="141">
        <v>0</v>
      </c>
      <c r="F6" s="141">
        <v>0</v>
      </c>
      <c r="G6" s="141">
        <v>0</v>
      </c>
      <c r="H6" s="141">
        <v>0</v>
      </c>
      <c r="I6" s="141">
        <v>0</v>
      </c>
      <c r="J6" s="141">
        <v>0</v>
      </c>
      <c r="K6" s="141">
        <v>0</v>
      </c>
      <c r="L6" s="141">
        <v>0</v>
      </c>
      <c r="M6" s="141">
        <v>0</v>
      </c>
      <c r="N6" s="141">
        <v>0</v>
      </c>
      <c r="O6" s="141">
        <v>0</v>
      </c>
      <c r="P6" s="141">
        <v>0</v>
      </c>
      <c r="Q6" s="141">
        <v>0</v>
      </c>
      <c r="R6" s="141">
        <v>0</v>
      </c>
      <c r="S6" s="141">
        <v>0</v>
      </c>
      <c r="T6" s="141">
        <v>0</v>
      </c>
      <c r="U6" s="141">
        <v>0</v>
      </c>
      <c r="V6" s="141">
        <v>0</v>
      </c>
      <c r="W6" s="141">
        <v>0</v>
      </c>
      <c r="X6" s="141">
        <v>0</v>
      </c>
      <c r="Y6" s="141">
        <v>0</v>
      </c>
      <c r="Z6" s="141">
        <v>0</v>
      </c>
      <c r="AA6" s="141">
        <v>0</v>
      </c>
      <c r="AB6" s="141">
        <v>0</v>
      </c>
      <c r="AC6" s="141">
        <v>0</v>
      </c>
      <c r="AD6" s="141">
        <v>0</v>
      </c>
      <c r="AE6" s="141">
        <v>0</v>
      </c>
      <c r="AF6" s="141">
        <v>0</v>
      </c>
      <c r="AG6" s="141">
        <v>0</v>
      </c>
      <c r="AH6" s="141">
        <v>0</v>
      </c>
      <c r="AI6" s="141">
        <v>0</v>
      </c>
      <c r="AJ6" s="141">
        <v>0</v>
      </c>
      <c r="AK6" s="141">
        <v>0</v>
      </c>
    </row>
    <row r="7" spans="1:37" customFormat="1" x14ac:dyDescent="0.15">
      <c r="A7" s="177" t="s">
        <v>198</v>
      </c>
      <c r="B7" s="141">
        <v>1.0000000291999987E-2</v>
      </c>
      <c r="C7" s="141">
        <v>2.0000000539999976E-2</v>
      </c>
      <c r="D7" s="141">
        <v>0</v>
      </c>
      <c r="E7" s="141">
        <v>0</v>
      </c>
      <c r="F7" s="141">
        <v>0</v>
      </c>
      <c r="G7" s="141">
        <v>0</v>
      </c>
      <c r="H7" s="141">
        <v>0</v>
      </c>
      <c r="I7" s="141">
        <v>7.4173487300085075E-3</v>
      </c>
      <c r="J7" s="141">
        <v>0</v>
      </c>
      <c r="K7" s="141">
        <v>0</v>
      </c>
      <c r="L7" s="141">
        <v>4.2997849185612134E-4</v>
      </c>
      <c r="M7" s="141">
        <v>0</v>
      </c>
      <c r="N7" s="141">
        <v>0</v>
      </c>
      <c r="O7" s="141">
        <v>0</v>
      </c>
      <c r="P7" s="141">
        <v>0</v>
      </c>
      <c r="Q7" s="141">
        <v>0</v>
      </c>
      <c r="R7" s="141">
        <v>0</v>
      </c>
      <c r="S7" s="141">
        <v>0</v>
      </c>
      <c r="T7" s="141">
        <v>0</v>
      </c>
      <c r="U7" s="141">
        <v>0</v>
      </c>
      <c r="V7" s="141">
        <v>0</v>
      </c>
      <c r="W7" s="141">
        <v>0</v>
      </c>
      <c r="X7" s="141">
        <v>0</v>
      </c>
      <c r="Y7" s="141">
        <v>0</v>
      </c>
      <c r="Z7" s="141">
        <v>0</v>
      </c>
      <c r="AA7" s="141">
        <v>0</v>
      </c>
      <c r="AB7" s="141">
        <v>0</v>
      </c>
      <c r="AC7" s="141">
        <v>0</v>
      </c>
      <c r="AD7" s="141">
        <v>0</v>
      </c>
      <c r="AE7" s="141">
        <v>0</v>
      </c>
      <c r="AF7" s="141">
        <v>0</v>
      </c>
      <c r="AG7" s="141">
        <v>0</v>
      </c>
      <c r="AH7" s="141">
        <v>0</v>
      </c>
      <c r="AI7" s="141">
        <v>0</v>
      </c>
      <c r="AJ7" s="141">
        <v>0</v>
      </c>
      <c r="AK7" s="141">
        <v>0</v>
      </c>
    </row>
    <row r="8" spans="1:37" customFormat="1" x14ac:dyDescent="0.15">
      <c r="A8" s="177" t="s">
        <v>199</v>
      </c>
      <c r="B8" s="141">
        <v>1.0000000291999987E-2</v>
      </c>
      <c r="C8" s="141">
        <v>2.0000000539999976E-2</v>
      </c>
      <c r="D8" s="141">
        <v>0</v>
      </c>
      <c r="E8" s="141">
        <v>0</v>
      </c>
      <c r="F8" s="141">
        <v>0</v>
      </c>
      <c r="G8" s="141">
        <v>0</v>
      </c>
      <c r="H8" s="141">
        <v>0</v>
      </c>
      <c r="I8" s="141">
        <v>0</v>
      </c>
      <c r="J8" s="141">
        <v>0</v>
      </c>
      <c r="K8" s="141">
        <v>0</v>
      </c>
      <c r="L8" s="141">
        <v>0</v>
      </c>
      <c r="M8" s="141">
        <v>0</v>
      </c>
      <c r="N8" s="141">
        <v>0</v>
      </c>
      <c r="O8" s="141">
        <v>0</v>
      </c>
      <c r="P8" s="141">
        <v>1.1764703872235195E-2</v>
      </c>
      <c r="Q8" s="141">
        <v>0</v>
      </c>
      <c r="R8" s="141">
        <v>0</v>
      </c>
      <c r="S8" s="141">
        <v>0</v>
      </c>
      <c r="T8" s="141">
        <v>0</v>
      </c>
      <c r="U8" s="141">
        <v>0</v>
      </c>
      <c r="V8" s="141">
        <v>0</v>
      </c>
      <c r="W8" s="141">
        <v>0</v>
      </c>
      <c r="X8" s="141">
        <v>0</v>
      </c>
      <c r="Y8" s="141">
        <v>0</v>
      </c>
      <c r="Z8" s="141">
        <v>0</v>
      </c>
      <c r="AA8" s="141">
        <v>0</v>
      </c>
      <c r="AB8" s="141">
        <v>0</v>
      </c>
      <c r="AC8" s="141">
        <v>0</v>
      </c>
      <c r="AD8" s="141">
        <v>0</v>
      </c>
      <c r="AE8" s="141">
        <v>0</v>
      </c>
      <c r="AF8" s="141">
        <v>0</v>
      </c>
      <c r="AG8" s="141">
        <v>0</v>
      </c>
      <c r="AH8" s="141">
        <v>0</v>
      </c>
      <c r="AI8" s="141">
        <v>0</v>
      </c>
      <c r="AJ8" s="141">
        <v>0</v>
      </c>
      <c r="AK8" s="141">
        <v>0</v>
      </c>
    </row>
    <row r="9" spans="1:37" customFormat="1" x14ac:dyDescent="0.15">
      <c r="A9" s="177" t="s">
        <v>200</v>
      </c>
      <c r="B9" s="141">
        <v>5.0000001459999934E-3</v>
      </c>
      <c r="C9" s="141">
        <v>0</v>
      </c>
      <c r="D9" s="141">
        <v>0</v>
      </c>
      <c r="E9" s="141">
        <v>0</v>
      </c>
      <c r="F9" s="141">
        <v>0</v>
      </c>
      <c r="G9" s="141">
        <v>0</v>
      </c>
      <c r="H9" s="141">
        <v>0</v>
      </c>
      <c r="I9" s="141">
        <v>0</v>
      </c>
      <c r="J9" s="141">
        <v>0</v>
      </c>
      <c r="K9" s="141">
        <v>0</v>
      </c>
      <c r="L9" s="141">
        <v>1.9999001721214904E-3</v>
      </c>
      <c r="M9" s="141">
        <v>0</v>
      </c>
      <c r="N9" s="141">
        <v>0</v>
      </c>
      <c r="O9" s="141">
        <v>0</v>
      </c>
      <c r="P9" s="141">
        <v>0</v>
      </c>
      <c r="Q9" s="141">
        <v>0</v>
      </c>
      <c r="R9" s="141">
        <v>0</v>
      </c>
      <c r="S9" s="141">
        <v>0</v>
      </c>
      <c r="T9" s="141">
        <v>0</v>
      </c>
      <c r="U9" s="141">
        <v>0</v>
      </c>
      <c r="V9" s="141">
        <v>0</v>
      </c>
      <c r="W9" s="141">
        <v>0</v>
      </c>
      <c r="X9" s="141">
        <v>0</v>
      </c>
      <c r="Y9" s="141">
        <v>0</v>
      </c>
      <c r="Z9" s="141">
        <v>0</v>
      </c>
      <c r="AA9" s="141">
        <v>0</v>
      </c>
      <c r="AB9" s="141">
        <v>0</v>
      </c>
      <c r="AC9" s="141">
        <v>0</v>
      </c>
      <c r="AD9" s="141">
        <v>0</v>
      </c>
      <c r="AE9" s="141">
        <v>0</v>
      </c>
      <c r="AF9" s="141">
        <v>0</v>
      </c>
      <c r="AG9" s="141">
        <v>0</v>
      </c>
      <c r="AH9" s="141">
        <v>0</v>
      </c>
      <c r="AI9" s="141">
        <v>0</v>
      </c>
      <c r="AJ9" s="141">
        <v>0</v>
      </c>
      <c r="AK9" s="141">
        <v>0</v>
      </c>
    </row>
    <row r="10" spans="1:37" customFormat="1" x14ac:dyDescent="0.15">
      <c r="A10" s="177" t="s">
        <v>201</v>
      </c>
      <c r="B10" s="141">
        <v>1.0000000291999987E-2</v>
      </c>
      <c r="C10" s="141">
        <v>0</v>
      </c>
      <c r="D10" s="141">
        <v>0</v>
      </c>
      <c r="E10" s="141">
        <v>0</v>
      </c>
      <c r="F10" s="141">
        <v>0</v>
      </c>
      <c r="G10" s="141">
        <v>0</v>
      </c>
      <c r="H10" s="141">
        <v>0</v>
      </c>
      <c r="I10" s="141">
        <v>0.40912850210772261</v>
      </c>
      <c r="J10" s="141">
        <v>9.9999998000000062E-3</v>
      </c>
      <c r="K10" s="141">
        <v>0</v>
      </c>
      <c r="L10" s="141">
        <v>0</v>
      </c>
      <c r="M10" s="141">
        <v>0.02</v>
      </c>
      <c r="N10" s="141">
        <v>0</v>
      </c>
      <c r="O10" s="141">
        <v>0</v>
      </c>
      <c r="P10" s="141">
        <v>1.1764707172235355E-3</v>
      </c>
      <c r="Q10" s="141">
        <v>0</v>
      </c>
      <c r="R10" s="141">
        <v>0</v>
      </c>
      <c r="S10" s="141">
        <v>0</v>
      </c>
      <c r="T10" s="141">
        <v>0</v>
      </c>
      <c r="U10" s="141">
        <v>0</v>
      </c>
      <c r="V10" s="141">
        <v>0</v>
      </c>
      <c r="W10" s="141">
        <v>0</v>
      </c>
      <c r="X10" s="141">
        <v>0</v>
      </c>
      <c r="Y10" s="141">
        <v>0</v>
      </c>
      <c r="Z10" s="141">
        <v>0</v>
      </c>
      <c r="AA10" s="141">
        <v>0</v>
      </c>
      <c r="AB10" s="141">
        <v>0</v>
      </c>
      <c r="AC10" s="141">
        <v>0</v>
      </c>
      <c r="AD10" s="141">
        <v>0</v>
      </c>
      <c r="AE10" s="141">
        <v>0</v>
      </c>
      <c r="AF10" s="141">
        <v>0</v>
      </c>
      <c r="AG10" s="141">
        <v>0</v>
      </c>
      <c r="AH10" s="141">
        <v>0</v>
      </c>
      <c r="AI10" s="141">
        <v>0</v>
      </c>
      <c r="AJ10" s="141">
        <v>0</v>
      </c>
      <c r="AK10" s="141">
        <v>0</v>
      </c>
    </row>
    <row r="11" spans="1:37" customFormat="1" x14ac:dyDescent="0.15">
      <c r="A11" s="177" t="s">
        <v>202</v>
      </c>
      <c r="B11" s="141">
        <v>0</v>
      </c>
      <c r="C11" s="141">
        <v>0</v>
      </c>
      <c r="D11" s="141">
        <v>0</v>
      </c>
      <c r="E11" s="141">
        <v>0</v>
      </c>
      <c r="F11" s="141">
        <v>0</v>
      </c>
      <c r="G11" s="141">
        <v>0</v>
      </c>
      <c r="H11" s="141">
        <v>0</v>
      </c>
      <c r="I11" s="141">
        <v>0.28601498958905441</v>
      </c>
      <c r="J11" s="141">
        <v>0</v>
      </c>
      <c r="K11" s="141">
        <v>0</v>
      </c>
      <c r="L11" s="141">
        <v>4.4997751547733584E-4</v>
      </c>
      <c r="M11" s="141">
        <v>0</v>
      </c>
      <c r="N11" s="141">
        <v>0</v>
      </c>
      <c r="O11" s="141">
        <v>0</v>
      </c>
      <c r="P11" s="141">
        <v>0</v>
      </c>
      <c r="Q11" s="141">
        <v>0</v>
      </c>
      <c r="R11" s="141">
        <v>0</v>
      </c>
      <c r="S11" s="141">
        <v>0</v>
      </c>
      <c r="T11" s="141">
        <v>0</v>
      </c>
      <c r="U11" s="141">
        <v>0</v>
      </c>
      <c r="V11" s="141">
        <v>0</v>
      </c>
      <c r="W11" s="141">
        <v>0</v>
      </c>
      <c r="X11" s="141">
        <v>0</v>
      </c>
      <c r="Y11" s="141">
        <v>0</v>
      </c>
      <c r="Z11" s="141">
        <v>0</v>
      </c>
      <c r="AA11" s="141">
        <v>0</v>
      </c>
      <c r="AB11" s="141">
        <v>0</v>
      </c>
      <c r="AC11" s="141">
        <v>0</v>
      </c>
      <c r="AD11" s="141">
        <v>0</v>
      </c>
      <c r="AE11" s="141">
        <v>0</v>
      </c>
      <c r="AF11" s="141">
        <v>0</v>
      </c>
      <c r="AG11" s="141">
        <v>0</v>
      </c>
      <c r="AH11" s="141">
        <v>0</v>
      </c>
      <c r="AI11" s="141">
        <v>0</v>
      </c>
      <c r="AJ11" s="141">
        <v>0</v>
      </c>
      <c r="AK11" s="141">
        <v>0</v>
      </c>
    </row>
    <row r="12" spans="1:37" customFormat="1" x14ac:dyDescent="0.15">
      <c r="A12" s="177" t="s">
        <v>203</v>
      </c>
      <c r="B12" s="141">
        <v>0.120000000104</v>
      </c>
      <c r="C12" s="141">
        <v>0</v>
      </c>
      <c r="D12" s="141">
        <v>0</v>
      </c>
      <c r="E12" s="141">
        <v>0</v>
      </c>
      <c r="F12" s="141">
        <v>0</v>
      </c>
      <c r="G12" s="141">
        <v>0</v>
      </c>
      <c r="H12" s="141">
        <v>0</v>
      </c>
      <c r="I12" s="141">
        <v>7.3346262030196063E-2</v>
      </c>
      <c r="J12" s="141">
        <v>0</v>
      </c>
      <c r="K12" s="141">
        <v>0</v>
      </c>
      <c r="L12" s="141">
        <v>9.9995004306074601E-5</v>
      </c>
      <c r="M12" s="141">
        <v>0</v>
      </c>
      <c r="N12" s="141">
        <v>0</v>
      </c>
      <c r="O12" s="141">
        <v>0</v>
      </c>
      <c r="P12" s="141">
        <v>0</v>
      </c>
      <c r="Q12" s="141">
        <v>0</v>
      </c>
      <c r="R12" s="141">
        <v>0</v>
      </c>
      <c r="S12" s="141">
        <v>0</v>
      </c>
      <c r="T12" s="141">
        <v>0</v>
      </c>
      <c r="U12" s="141">
        <v>0</v>
      </c>
      <c r="V12" s="141">
        <v>0</v>
      </c>
      <c r="W12" s="141">
        <v>0</v>
      </c>
      <c r="X12" s="141">
        <v>0</v>
      </c>
      <c r="Y12" s="141">
        <v>0</v>
      </c>
      <c r="Z12" s="141">
        <v>0</v>
      </c>
      <c r="AA12" s="141">
        <v>0</v>
      </c>
      <c r="AB12" s="141">
        <v>0</v>
      </c>
      <c r="AC12" s="141">
        <v>0</v>
      </c>
      <c r="AD12" s="141">
        <v>0</v>
      </c>
      <c r="AE12" s="141">
        <v>0</v>
      </c>
      <c r="AF12" s="141">
        <v>0</v>
      </c>
      <c r="AG12" s="141">
        <v>0</v>
      </c>
      <c r="AH12" s="141">
        <v>0</v>
      </c>
      <c r="AI12" s="141">
        <v>0</v>
      </c>
      <c r="AJ12" s="141">
        <v>0</v>
      </c>
      <c r="AK12" s="141">
        <v>0</v>
      </c>
    </row>
    <row r="13" spans="1:37" customFormat="1" x14ac:dyDescent="0.15">
      <c r="A13" s="177" t="s">
        <v>204</v>
      </c>
      <c r="B13" s="141">
        <v>5.0000001459999934E-3</v>
      </c>
      <c r="C13" s="141">
        <v>0</v>
      </c>
      <c r="D13" s="141">
        <v>0</v>
      </c>
      <c r="E13" s="141">
        <v>0</v>
      </c>
      <c r="F13" s="141">
        <v>0</v>
      </c>
      <c r="G13" s="141">
        <v>0</v>
      </c>
      <c r="H13" s="141">
        <v>0</v>
      </c>
      <c r="I13" s="141">
        <v>1.0002087435924019E-2</v>
      </c>
      <c r="J13" s="141">
        <v>0</v>
      </c>
      <c r="K13" s="141">
        <v>0</v>
      </c>
      <c r="L13" s="141">
        <v>0</v>
      </c>
      <c r="M13" s="141">
        <v>0</v>
      </c>
      <c r="N13" s="141">
        <v>0</v>
      </c>
      <c r="O13" s="141">
        <v>0</v>
      </c>
      <c r="P13" s="141">
        <v>0</v>
      </c>
      <c r="Q13" s="141">
        <v>0</v>
      </c>
      <c r="R13" s="141">
        <v>0</v>
      </c>
      <c r="S13" s="141">
        <v>0</v>
      </c>
      <c r="T13" s="141">
        <v>0</v>
      </c>
      <c r="U13" s="141">
        <v>0</v>
      </c>
      <c r="V13" s="141">
        <v>0</v>
      </c>
      <c r="W13" s="141">
        <v>0</v>
      </c>
      <c r="X13" s="141">
        <v>0</v>
      </c>
      <c r="Y13" s="141">
        <v>0</v>
      </c>
      <c r="Z13" s="141">
        <v>0</v>
      </c>
      <c r="AA13" s="141">
        <v>0</v>
      </c>
      <c r="AB13" s="141">
        <v>0</v>
      </c>
      <c r="AC13" s="141">
        <v>0</v>
      </c>
      <c r="AD13" s="141">
        <v>0</v>
      </c>
      <c r="AE13" s="141">
        <v>0</v>
      </c>
      <c r="AF13" s="141">
        <v>0</v>
      </c>
      <c r="AG13" s="141">
        <v>0</v>
      </c>
      <c r="AH13" s="141">
        <v>0</v>
      </c>
      <c r="AI13" s="141">
        <v>0</v>
      </c>
      <c r="AJ13" s="141">
        <v>0</v>
      </c>
      <c r="AK13" s="141">
        <v>0</v>
      </c>
    </row>
    <row r="14" spans="1:37" customFormat="1" x14ac:dyDescent="0.15">
      <c r="A14" s="177" t="s">
        <v>205</v>
      </c>
      <c r="B14" s="141">
        <v>0</v>
      </c>
      <c r="C14" s="141">
        <v>0</v>
      </c>
      <c r="D14" s="141">
        <v>0</v>
      </c>
      <c r="E14" s="141">
        <v>0</v>
      </c>
      <c r="F14" s="141">
        <v>0</v>
      </c>
      <c r="G14" s="141">
        <v>0</v>
      </c>
      <c r="H14" s="141">
        <v>5.0015003195958696E-2</v>
      </c>
      <c r="I14" s="141">
        <v>0</v>
      </c>
      <c r="J14" s="141">
        <v>0</v>
      </c>
      <c r="K14" s="141">
        <v>0</v>
      </c>
      <c r="L14" s="141">
        <v>2.9998501231822385E-2</v>
      </c>
      <c r="M14" s="141">
        <v>0.01</v>
      </c>
      <c r="N14" s="141">
        <v>0</v>
      </c>
      <c r="O14" s="141">
        <v>0</v>
      </c>
      <c r="P14" s="141">
        <v>2.352940774447039E-2</v>
      </c>
      <c r="Q14" s="141">
        <v>0.03</v>
      </c>
      <c r="R14" s="141">
        <v>0</v>
      </c>
      <c r="S14" s="141">
        <v>0</v>
      </c>
      <c r="T14" s="141">
        <v>0</v>
      </c>
      <c r="U14" s="141">
        <v>0</v>
      </c>
      <c r="V14" s="141">
        <v>0</v>
      </c>
      <c r="W14" s="141">
        <v>0</v>
      </c>
      <c r="X14" s="141">
        <v>0</v>
      </c>
      <c r="Y14" s="141">
        <v>0</v>
      </c>
      <c r="Z14" s="141">
        <v>0</v>
      </c>
      <c r="AA14" s="141">
        <v>0</v>
      </c>
      <c r="AB14" s="141">
        <v>0</v>
      </c>
      <c r="AC14" s="141">
        <v>0</v>
      </c>
      <c r="AD14" s="141">
        <v>0</v>
      </c>
      <c r="AE14" s="141">
        <v>0</v>
      </c>
      <c r="AF14" s="141">
        <v>0</v>
      </c>
      <c r="AG14" s="141">
        <v>0</v>
      </c>
      <c r="AH14" s="141">
        <v>0</v>
      </c>
      <c r="AI14" s="141">
        <v>0</v>
      </c>
      <c r="AJ14" s="141">
        <v>0</v>
      </c>
      <c r="AK14" s="141">
        <v>0</v>
      </c>
    </row>
    <row r="15" spans="1:37" customFormat="1" x14ac:dyDescent="0.15">
      <c r="A15" s="177" t="s">
        <v>206</v>
      </c>
      <c r="B15" s="141">
        <v>0</v>
      </c>
      <c r="C15" s="141">
        <v>0</v>
      </c>
      <c r="D15" s="141">
        <v>0</v>
      </c>
      <c r="E15" s="141">
        <v>0</v>
      </c>
      <c r="F15" s="141">
        <v>0</v>
      </c>
      <c r="G15" s="141">
        <v>0</v>
      </c>
      <c r="H15" s="141">
        <v>0</v>
      </c>
      <c r="I15" s="141">
        <v>1.7306101770057897E-2</v>
      </c>
      <c r="J15" s="141">
        <v>0</v>
      </c>
      <c r="K15" s="141">
        <v>0</v>
      </c>
      <c r="L15" s="141">
        <v>9.9994998106074731E-6</v>
      </c>
      <c r="M15" s="141">
        <v>0</v>
      </c>
      <c r="N15" s="141">
        <v>0</v>
      </c>
      <c r="O15" s="141">
        <v>0</v>
      </c>
      <c r="P15" s="141">
        <v>0</v>
      </c>
      <c r="Q15" s="141">
        <v>0</v>
      </c>
      <c r="R15" s="141">
        <v>0</v>
      </c>
      <c r="S15" s="141">
        <v>0</v>
      </c>
      <c r="T15" s="141">
        <v>0</v>
      </c>
      <c r="U15" s="141">
        <v>0</v>
      </c>
      <c r="V15" s="141">
        <v>0</v>
      </c>
      <c r="W15" s="141">
        <v>0</v>
      </c>
      <c r="X15" s="141">
        <v>0</v>
      </c>
      <c r="Y15" s="141">
        <v>0</v>
      </c>
      <c r="Z15" s="141">
        <v>0</v>
      </c>
      <c r="AA15" s="141">
        <v>0</v>
      </c>
      <c r="AB15" s="141">
        <v>0</v>
      </c>
      <c r="AC15" s="141">
        <v>0</v>
      </c>
      <c r="AD15" s="141">
        <v>0</v>
      </c>
      <c r="AE15" s="141">
        <v>0</v>
      </c>
      <c r="AF15" s="141">
        <v>0</v>
      </c>
      <c r="AG15" s="141">
        <v>0</v>
      </c>
      <c r="AH15" s="141">
        <v>0</v>
      </c>
      <c r="AI15" s="141">
        <v>0</v>
      </c>
      <c r="AJ15" s="141">
        <v>0</v>
      </c>
      <c r="AK15" s="141">
        <v>0</v>
      </c>
    </row>
    <row r="16" spans="1:37" customFormat="1" x14ac:dyDescent="0.15">
      <c r="A16" s="177" t="s">
        <v>207</v>
      </c>
      <c r="B16" s="141">
        <v>0</v>
      </c>
      <c r="C16" s="141">
        <v>0</v>
      </c>
      <c r="D16" s="141">
        <v>0</v>
      </c>
      <c r="E16" s="141">
        <v>0</v>
      </c>
      <c r="F16" s="141">
        <v>0</v>
      </c>
      <c r="G16" s="141">
        <v>0</v>
      </c>
      <c r="H16" s="141">
        <v>0</v>
      </c>
      <c r="I16" s="141">
        <v>1.3443945410640389E-2</v>
      </c>
      <c r="J16" s="141">
        <v>0</v>
      </c>
      <c r="K16" s="141">
        <v>0</v>
      </c>
      <c r="L16" s="141">
        <v>5.5497228948871383E-3</v>
      </c>
      <c r="M16" s="141">
        <v>0</v>
      </c>
      <c r="N16" s="141">
        <v>0</v>
      </c>
      <c r="O16" s="141">
        <v>0</v>
      </c>
      <c r="P16" s="141">
        <v>2.352940774447039E-2</v>
      </c>
      <c r="Q16" s="141">
        <v>0</v>
      </c>
      <c r="R16" s="141">
        <v>0</v>
      </c>
      <c r="S16" s="141">
        <v>0</v>
      </c>
      <c r="T16" s="141">
        <v>0</v>
      </c>
      <c r="U16" s="141">
        <v>0</v>
      </c>
      <c r="V16" s="141">
        <v>0</v>
      </c>
      <c r="W16" s="141">
        <v>0</v>
      </c>
      <c r="X16" s="141">
        <v>0</v>
      </c>
      <c r="Y16" s="141">
        <v>0</v>
      </c>
      <c r="Z16" s="141">
        <v>0</v>
      </c>
      <c r="AA16" s="141">
        <v>0</v>
      </c>
      <c r="AB16" s="141">
        <v>0</v>
      </c>
      <c r="AC16" s="141">
        <v>0</v>
      </c>
      <c r="AD16" s="141">
        <v>0</v>
      </c>
      <c r="AE16" s="141">
        <v>0</v>
      </c>
      <c r="AF16" s="141">
        <v>0</v>
      </c>
      <c r="AG16" s="141">
        <v>0</v>
      </c>
      <c r="AH16" s="141">
        <v>0</v>
      </c>
      <c r="AI16" s="141">
        <v>0</v>
      </c>
      <c r="AJ16" s="141">
        <v>0</v>
      </c>
      <c r="AK16" s="141">
        <v>0</v>
      </c>
    </row>
    <row r="17" spans="1:37" customFormat="1" x14ac:dyDescent="0.15">
      <c r="A17" s="177" t="s">
        <v>208</v>
      </c>
      <c r="B17" s="141">
        <v>0</v>
      </c>
      <c r="C17" s="141">
        <v>1.0000000269999988E-2</v>
      </c>
      <c r="D17" s="141">
        <v>0.05</v>
      </c>
      <c r="E17" s="141">
        <v>0.47799999999999998</v>
      </c>
      <c r="F17" s="141">
        <v>5.9999996413200356E-2</v>
      </c>
      <c r="G17" s="141">
        <v>0</v>
      </c>
      <c r="H17" s="141">
        <v>0</v>
      </c>
      <c r="I17" s="141">
        <v>0</v>
      </c>
      <c r="J17" s="141">
        <v>1.9999999600000011E-3</v>
      </c>
      <c r="K17" s="141">
        <v>0</v>
      </c>
      <c r="L17" s="141">
        <v>0.30998449412883167</v>
      </c>
      <c r="M17" s="141">
        <v>0.192</v>
      </c>
      <c r="N17" s="141">
        <v>0</v>
      </c>
      <c r="O17" s="141">
        <v>0</v>
      </c>
      <c r="P17" s="141">
        <v>0.17647060858353039</v>
      </c>
      <c r="Q17" s="141">
        <v>0.05</v>
      </c>
      <c r="R17" s="141">
        <v>0</v>
      </c>
      <c r="S17" s="141">
        <v>0</v>
      </c>
      <c r="T17" s="141">
        <v>0</v>
      </c>
      <c r="U17" s="141">
        <v>0</v>
      </c>
      <c r="V17" s="141">
        <v>0</v>
      </c>
      <c r="W17" s="141">
        <v>0</v>
      </c>
      <c r="X17" s="141">
        <v>0</v>
      </c>
      <c r="Y17" s="141">
        <v>0</v>
      </c>
      <c r="Z17" s="141">
        <v>0</v>
      </c>
      <c r="AA17" s="141">
        <v>0</v>
      </c>
      <c r="AB17" s="141">
        <v>0</v>
      </c>
      <c r="AC17" s="141">
        <v>0</v>
      </c>
      <c r="AD17" s="141">
        <v>0</v>
      </c>
      <c r="AE17" s="141">
        <v>0</v>
      </c>
      <c r="AF17" s="141">
        <v>0</v>
      </c>
      <c r="AG17" s="141">
        <v>0</v>
      </c>
      <c r="AH17" s="141">
        <v>0</v>
      </c>
      <c r="AI17" s="141">
        <v>0</v>
      </c>
      <c r="AJ17" s="141">
        <v>0</v>
      </c>
      <c r="AK17" s="141">
        <v>0</v>
      </c>
    </row>
    <row r="18" spans="1:37" customFormat="1" x14ac:dyDescent="0.15">
      <c r="A18" s="177" t="s">
        <v>209</v>
      </c>
      <c r="B18" s="141">
        <v>0</v>
      </c>
      <c r="C18" s="141">
        <v>0</v>
      </c>
      <c r="D18" s="141">
        <v>0.18</v>
      </c>
      <c r="E18" s="141">
        <v>0.45800000000000002</v>
      </c>
      <c r="F18" s="141">
        <v>4.000000260879974E-2</v>
      </c>
      <c r="G18" s="141">
        <v>0</v>
      </c>
      <c r="H18" s="141">
        <v>0</v>
      </c>
      <c r="I18" s="141">
        <v>0</v>
      </c>
      <c r="J18" s="141">
        <v>1.9999999600000011E-3</v>
      </c>
      <c r="K18" s="141">
        <v>4.9999995000000498E-2</v>
      </c>
      <c r="L18" s="141">
        <v>0.14999250815911189</v>
      </c>
      <c r="M18" s="141">
        <v>0.105</v>
      </c>
      <c r="N18" s="141">
        <v>0</v>
      </c>
      <c r="O18" s="141">
        <v>0</v>
      </c>
      <c r="P18" s="141">
        <v>0.17647060858353039</v>
      </c>
      <c r="Q18" s="141">
        <v>0</v>
      </c>
      <c r="R18" s="141">
        <v>0</v>
      </c>
      <c r="S18" s="141">
        <v>0</v>
      </c>
      <c r="T18" s="141">
        <v>0</v>
      </c>
      <c r="U18" s="141">
        <v>0</v>
      </c>
      <c r="V18" s="141">
        <v>0</v>
      </c>
      <c r="W18" s="141">
        <v>0</v>
      </c>
      <c r="X18" s="141">
        <v>0</v>
      </c>
      <c r="Y18" s="141">
        <v>0</v>
      </c>
      <c r="Z18" s="141">
        <v>0</v>
      </c>
      <c r="AA18" s="141">
        <v>0</v>
      </c>
      <c r="AB18" s="141">
        <v>0</v>
      </c>
      <c r="AC18" s="141">
        <v>0</v>
      </c>
      <c r="AD18" s="141">
        <v>0</v>
      </c>
      <c r="AE18" s="141">
        <v>0</v>
      </c>
      <c r="AF18" s="141">
        <v>0</v>
      </c>
      <c r="AG18" s="141">
        <v>0</v>
      </c>
      <c r="AH18" s="141">
        <v>0</v>
      </c>
      <c r="AI18" s="141">
        <v>0</v>
      </c>
      <c r="AJ18" s="141">
        <v>0</v>
      </c>
      <c r="AK18" s="141">
        <v>0</v>
      </c>
    </row>
    <row r="19" spans="1:37" customFormat="1" x14ac:dyDescent="0.15">
      <c r="A19" s="177" t="s">
        <v>210</v>
      </c>
      <c r="B19" s="141">
        <v>0</v>
      </c>
      <c r="C19" s="141">
        <v>0</v>
      </c>
      <c r="D19" s="141">
        <v>0</v>
      </c>
      <c r="E19" s="141">
        <v>0</v>
      </c>
      <c r="F19" s="141">
        <v>6.9999999815400019E-3</v>
      </c>
      <c r="G19" s="141">
        <v>0</v>
      </c>
      <c r="H19" s="141">
        <v>0</v>
      </c>
      <c r="I19" s="141">
        <v>0</v>
      </c>
      <c r="J19" s="141">
        <v>0</v>
      </c>
      <c r="K19" s="141">
        <v>9.9999990000000996E-4</v>
      </c>
      <c r="L19" s="141">
        <v>5.9996998863644842E-3</v>
      </c>
      <c r="M19" s="141">
        <v>0</v>
      </c>
      <c r="N19" s="141">
        <v>0</v>
      </c>
      <c r="O19" s="141">
        <v>0</v>
      </c>
      <c r="P19" s="141">
        <v>0</v>
      </c>
      <c r="Q19" s="141">
        <v>0</v>
      </c>
      <c r="R19" s="141">
        <v>0</v>
      </c>
      <c r="S19" s="141">
        <v>0</v>
      </c>
      <c r="T19" s="141">
        <v>0</v>
      </c>
      <c r="U19" s="141">
        <v>0</v>
      </c>
      <c r="V19" s="141">
        <v>1.0000000721999941E-3</v>
      </c>
      <c r="W19" s="141">
        <v>0</v>
      </c>
      <c r="X19" s="141">
        <v>0</v>
      </c>
      <c r="Y19" s="141">
        <v>0</v>
      </c>
      <c r="Z19" s="141">
        <v>0</v>
      </c>
      <c r="AA19" s="141">
        <v>0</v>
      </c>
      <c r="AB19" s="141">
        <v>0</v>
      </c>
      <c r="AC19" s="141">
        <v>0</v>
      </c>
      <c r="AD19" s="141">
        <v>0</v>
      </c>
      <c r="AE19" s="141">
        <v>0</v>
      </c>
      <c r="AF19" s="141">
        <v>0</v>
      </c>
      <c r="AG19" s="141">
        <v>0</v>
      </c>
      <c r="AH19" s="141">
        <v>0</v>
      </c>
      <c r="AI19" s="141">
        <v>0</v>
      </c>
      <c r="AJ19" s="141">
        <v>0</v>
      </c>
      <c r="AK19" s="141">
        <v>0</v>
      </c>
    </row>
    <row r="20" spans="1:37" customFormat="1" x14ac:dyDescent="0.15">
      <c r="A20" s="177" t="s">
        <v>211</v>
      </c>
      <c r="B20" s="141">
        <v>0</v>
      </c>
      <c r="C20" s="141">
        <v>0</v>
      </c>
      <c r="D20" s="141">
        <v>0.31</v>
      </c>
      <c r="E20" s="141">
        <v>0</v>
      </c>
      <c r="F20" s="141">
        <v>0.25000003505499652</v>
      </c>
      <c r="G20" s="141">
        <v>0</v>
      </c>
      <c r="H20" s="141">
        <v>0</v>
      </c>
      <c r="I20" s="141">
        <v>0</v>
      </c>
      <c r="J20" s="141">
        <v>4.9999999000000031E-3</v>
      </c>
      <c r="K20" s="141">
        <v>0.58999994100000586</v>
      </c>
      <c r="L20" s="141">
        <v>0.16799160481820538</v>
      </c>
      <c r="M20" s="141">
        <v>0</v>
      </c>
      <c r="N20" s="141">
        <v>0</v>
      </c>
      <c r="O20" s="141">
        <v>0</v>
      </c>
      <c r="P20" s="141">
        <v>0</v>
      </c>
      <c r="Q20" s="141">
        <v>0</v>
      </c>
      <c r="R20" s="141">
        <v>0.10000000000000002</v>
      </c>
      <c r="S20" s="141">
        <v>0</v>
      </c>
      <c r="T20" s="141">
        <v>0</v>
      </c>
      <c r="U20" s="141">
        <v>0</v>
      </c>
      <c r="V20" s="141">
        <v>0.6769999865594013</v>
      </c>
      <c r="W20" s="141">
        <v>0</v>
      </c>
      <c r="X20" s="141">
        <v>0</v>
      </c>
      <c r="Y20" s="141">
        <v>0</v>
      </c>
      <c r="Z20" s="141">
        <v>0</v>
      </c>
      <c r="AA20" s="141">
        <v>0</v>
      </c>
      <c r="AB20" s="141">
        <v>0</v>
      </c>
      <c r="AC20" s="141">
        <v>0</v>
      </c>
      <c r="AD20" s="141">
        <v>0</v>
      </c>
      <c r="AE20" s="141">
        <v>0</v>
      </c>
      <c r="AF20" s="141">
        <v>0</v>
      </c>
      <c r="AG20" s="141">
        <v>0</v>
      </c>
      <c r="AH20" s="141">
        <v>0</v>
      </c>
      <c r="AI20" s="141">
        <v>0</v>
      </c>
      <c r="AJ20" s="141">
        <v>0</v>
      </c>
      <c r="AK20" s="141">
        <v>0</v>
      </c>
    </row>
    <row r="21" spans="1:37" customFormat="1" x14ac:dyDescent="0.15">
      <c r="A21" s="177" t="s">
        <v>212</v>
      </c>
      <c r="B21" s="141">
        <v>0</v>
      </c>
      <c r="C21" s="141">
        <v>1.0000000269999988E-2</v>
      </c>
      <c r="D21" s="141">
        <v>0</v>
      </c>
      <c r="E21" s="141">
        <v>0</v>
      </c>
      <c r="F21" s="141">
        <v>2.000000130439987E-2</v>
      </c>
      <c r="G21" s="141">
        <v>0</v>
      </c>
      <c r="H21" s="141">
        <v>0</v>
      </c>
      <c r="I21" s="141">
        <v>0</v>
      </c>
      <c r="J21" s="141">
        <v>0</v>
      </c>
      <c r="K21" s="141">
        <v>3.3999996600000339E-2</v>
      </c>
      <c r="L21" s="141">
        <v>0</v>
      </c>
      <c r="M21" s="141">
        <v>0.10199999999999999</v>
      </c>
      <c r="N21" s="141">
        <v>0</v>
      </c>
      <c r="O21" s="141">
        <v>0</v>
      </c>
      <c r="P21" s="141">
        <v>0</v>
      </c>
      <c r="Q21" s="141">
        <v>0</v>
      </c>
      <c r="R21" s="141">
        <v>0</v>
      </c>
      <c r="S21" s="141">
        <v>0</v>
      </c>
      <c r="T21" s="141">
        <v>0</v>
      </c>
      <c r="U21" s="141">
        <v>0</v>
      </c>
      <c r="V21" s="141">
        <v>4.9999999110000087E-3</v>
      </c>
      <c r="W21" s="141">
        <v>0</v>
      </c>
      <c r="X21" s="141">
        <v>0</v>
      </c>
      <c r="Y21" s="141">
        <v>0</v>
      </c>
      <c r="Z21" s="141">
        <v>0</v>
      </c>
      <c r="AA21" s="141">
        <v>0</v>
      </c>
      <c r="AB21" s="141">
        <v>0</v>
      </c>
      <c r="AC21" s="141">
        <v>0</v>
      </c>
      <c r="AD21" s="141">
        <v>0</v>
      </c>
      <c r="AE21" s="141">
        <v>0</v>
      </c>
      <c r="AF21" s="141">
        <v>0</v>
      </c>
      <c r="AG21" s="141">
        <v>0</v>
      </c>
      <c r="AH21" s="141">
        <v>0</v>
      </c>
      <c r="AI21" s="141">
        <v>0</v>
      </c>
      <c r="AJ21" s="141">
        <v>0</v>
      </c>
      <c r="AK21" s="141">
        <v>0</v>
      </c>
    </row>
    <row r="22" spans="1:37" customFormat="1" x14ac:dyDescent="0.15">
      <c r="A22" s="177" t="s">
        <v>213</v>
      </c>
      <c r="B22" s="141">
        <v>0</v>
      </c>
      <c r="C22" s="141">
        <v>0</v>
      </c>
      <c r="D22" s="141">
        <v>0</v>
      </c>
      <c r="E22" s="141">
        <v>0</v>
      </c>
      <c r="F22" s="141">
        <v>8.0000002017599797E-2</v>
      </c>
      <c r="G22" s="141">
        <v>0</v>
      </c>
      <c r="H22" s="141">
        <v>0</v>
      </c>
      <c r="I22" s="141">
        <v>0.10732490209337357</v>
      </c>
      <c r="J22" s="141">
        <v>0</v>
      </c>
      <c r="K22" s="141">
        <v>0</v>
      </c>
      <c r="L22" s="141">
        <v>1.9999000821214925E-2</v>
      </c>
      <c r="M22" s="141">
        <v>0.1</v>
      </c>
      <c r="N22" s="141">
        <v>0</v>
      </c>
      <c r="O22" s="141">
        <v>0</v>
      </c>
      <c r="P22" s="141">
        <v>0</v>
      </c>
      <c r="Q22" s="141">
        <v>0</v>
      </c>
      <c r="R22" s="141">
        <v>1.0000000000000002E-2</v>
      </c>
      <c r="S22" s="141">
        <v>0</v>
      </c>
      <c r="T22" s="141">
        <v>0</v>
      </c>
      <c r="U22" s="141">
        <v>0</v>
      </c>
      <c r="V22" s="141">
        <v>9.9999998220000174E-3</v>
      </c>
      <c r="W22" s="141">
        <v>0</v>
      </c>
      <c r="X22" s="141">
        <v>0</v>
      </c>
      <c r="Y22" s="141">
        <v>0</v>
      </c>
      <c r="Z22" s="141">
        <v>0</v>
      </c>
      <c r="AA22" s="141">
        <v>0</v>
      </c>
      <c r="AB22" s="141">
        <v>0</v>
      </c>
      <c r="AC22" s="141">
        <v>0</v>
      </c>
      <c r="AD22" s="141">
        <v>0</v>
      </c>
      <c r="AE22" s="141">
        <v>0</v>
      </c>
      <c r="AF22" s="141">
        <v>0</v>
      </c>
      <c r="AG22" s="141">
        <v>0</v>
      </c>
      <c r="AH22" s="141">
        <v>0</v>
      </c>
      <c r="AI22" s="141">
        <v>0</v>
      </c>
      <c r="AJ22" s="141">
        <v>0</v>
      </c>
      <c r="AK22" s="141">
        <v>0</v>
      </c>
    </row>
    <row r="23" spans="1:37" customFormat="1" x14ac:dyDescent="0.15">
      <c r="A23" s="177" t="s">
        <v>214</v>
      </c>
      <c r="B23" s="141">
        <v>0</v>
      </c>
      <c r="C23" s="141">
        <v>0</v>
      </c>
      <c r="D23" s="141">
        <v>0</v>
      </c>
      <c r="E23" s="141">
        <v>0</v>
      </c>
      <c r="F23" s="141">
        <v>0</v>
      </c>
      <c r="G23" s="141">
        <v>0</v>
      </c>
      <c r="H23" s="141">
        <v>0</v>
      </c>
      <c r="I23" s="141">
        <v>1.0002087435924019E-2</v>
      </c>
      <c r="J23" s="141">
        <v>0</v>
      </c>
      <c r="K23" s="141">
        <v>0</v>
      </c>
      <c r="L23" s="141">
        <v>0</v>
      </c>
      <c r="M23" s="141">
        <v>0</v>
      </c>
      <c r="N23" s="141">
        <v>0</v>
      </c>
      <c r="O23" s="141">
        <v>0</v>
      </c>
      <c r="P23" s="141">
        <v>0</v>
      </c>
      <c r="Q23" s="141">
        <v>0</v>
      </c>
      <c r="R23" s="141">
        <v>0</v>
      </c>
      <c r="S23" s="141">
        <v>0</v>
      </c>
      <c r="T23" s="141">
        <v>0</v>
      </c>
      <c r="U23" s="141">
        <v>0</v>
      </c>
      <c r="V23" s="141">
        <v>9.9999998220000174E-3</v>
      </c>
      <c r="W23" s="141">
        <v>0</v>
      </c>
      <c r="X23" s="141">
        <v>0</v>
      </c>
      <c r="Y23" s="141">
        <v>0</v>
      </c>
      <c r="Z23" s="141">
        <v>0</v>
      </c>
      <c r="AA23" s="141">
        <v>0</v>
      </c>
      <c r="AB23" s="141">
        <v>0</v>
      </c>
      <c r="AC23" s="141">
        <v>0</v>
      </c>
      <c r="AD23" s="141">
        <v>0</v>
      </c>
      <c r="AE23" s="141">
        <v>0</v>
      </c>
      <c r="AF23" s="141">
        <v>0</v>
      </c>
      <c r="AG23" s="141">
        <v>0</v>
      </c>
      <c r="AH23" s="141">
        <v>0</v>
      </c>
      <c r="AI23" s="141">
        <v>0</v>
      </c>
      <c r="AJ23" s="141">
        <v>0</v>
      </c>
      <c r="AK23" s="141">
        <v>0</v>
      </c>
    </row>
    <row r="24" spans="1:37" customFormat="1" x14ac:dyDescent="0.15">
      <c r="A24" s="177" t="s">
        <v>215</v>
      </c>
      <c r="B24" s="141">
        <v>0</v>
      </c>
      <c r="C24" s="141">
        <v>0</v>
      </c>
      <c r="D24" s="141">
        <v>0</v>
      </c>
      <c r="E24" s="141">
        <v>0</v>
      </c>
      <c r="F24" s="141">
        <v>0</v>
      </c>
      <c r="G24" s="141">
        <v>0</v>
      </c>
      <c r="H24" s="141">
        <v>0</v>
      </c>
      <c r="I24" s="141">
        <v>0</v>
      </c>
      <c r="J24" s="141">
        <v>0</v>
      </c>
      <c r="K24" s="141">
        <v>0</v>
      </c>
      <c r="L24" s="141">
        <v>0</v>
      </c>
      <c r="M24" s="141">
        <v>0</v>
      </c>
      <c r="N24" s="141">
        <v>0</v>
      </c>
      <c r="O24" s="141">
        <v>0</v>
      </c>
      <c r="P24" s="141">
        <v>0</v>
      </c>
      <c r="Q24" s="141">
        <v>0</v>
      </c>
      <c r="R24" s="141">
        <v>0</v>
      </c>
      <c r="S24" s="141">
        <v>0</v>
      </c>
      <c r="T24" s="141">
        <v>0</v>
      </c>
      <c r="U24" s="141">
        <v>0</v>
      </c>
      <c r="V24" s="141">
        <v>0</v>
      </c>
      <c r="W24" s="141">
        <v>0</v>
      </c>
      <c r="X24" s="141">
        <v>0.03</v>
      </c>
      <c r="Y24" s="141">
        <v>0</v>
      </c>
      <c r="Z24" s="141">
        <v>0</v>
      </c>
      <c r="AA24" s="141">
        <v>0</v>
      </c>
      <c r="AB24" s="141">
        <v>0</v>
      </c>
      <c r="AC24" s="141">
        <v>0</v>
      </c>
      <c r="AD24" s="141">
        <v>0</v>
      </c>
      <c r="AE24" s="141">
        <v>0</v>
      </c>
      <c r="AF24" s="141">
        <v>0</v>
      </c>
      <c r="AG24" s="141">
        <v>0</v>
      </c>
      <c r="AH24" s="141">
        <v>0</v>
      </c>
      <c r="AI24" s="141">
        <v>0</v>
      </c>
      <c r="AJ24" s="141">
        <v>0</v>
      </c>
      <c r="AK24" s="141">
        <v>0</v>
      </c>
    </row>
    <row r="25" spans="1:37" customFormat="1" x14ac:dyDescent="0.15">
      <c r="A25" s="177" t="s">
        <v>216</v>
      </c>
      <c r="B25" s="141">
        <v>0</v>
      </c>
      <c r="C25" s="141">
        <v>4.0000001079999951E-2</v>
      </c>
      <c r="D25" s="141">
        <v>0</v>
      </c>
      <c r="E25" s="141">
        <v>6.4000000000000001E-2</v>
      </c>
      <c r="F25" s="141">
        <v>1.0000000602199939E-2</v>
      </c>
      <c r="G25" s="141">
        <v>0.25</v>
      </c>
      <c r="H25" s="141">
        <v>0.60018006835150628</v>
      </c>
      <c r="I25" s="141">
        <v>0</v>
      </c>
      <c r="J25" s="141">
        <v>0.20499999590000009</v>
      </c>
      <c r="K25" s="141">
        <v>1.9999998000000199E-3</v>
      </c>
      <c r="L25" s="141">
        <v>0.1069946569734998</v>
      </c>
      <c r="M25" s="141">
        <v>0.05</v>
      </c>
      <c r="N25" s="141">
        <v>0</v>
      </c>
      <c r="O25" s="141">
        <v>0</v>
      </c>
      <c r="P25" s="141">
        <v>0.23529410044470503</v>
      </c>
      <c r="Q25" s="141">
        <v>0.27100000000000002</v>
      </c>
      <c r="R25" s="141">
        <v>0.10000000000000002</v>
      </c>
      <c r="S25" s="141">
        <v>0</v>
      </c>
      <c r="T25" s="141">
        <v>0</v>
      </c>
      <c r="U25" s="141">
        <v>0</v>
      </c>
      <c r="V25" s="141">
        <v>7.0000003853999682E-2</v>
      </c>
      <c r="W25" s="141">
        <v>0</v>
      </c>
      <c r="X25" s="141">
        <v>0</v>
      </c>
      <c r="Y25" s="141">
        <v>0</v>
      </c>
      <c r="Z25" s="141">
        <v>0</v>
      </c>
      <c r="AA25" s="141">
        <v>0</v>
      </c>
      <c r="AB25" s="141">
        <v>0</v>
      </c>
      <c r="AC25" s="141">
        <v>0</v>
      </c>
      <c r="AD25" s="141">
        <v>0</v>
      </c>
      <c r="AE25" s="141">
        <v>0</v>
      </c>
      <c r="AF25" s="141">
        <v>0</v>
      </c>
      <c r="AG25" s="141">
        <v>0</v>
      </c>
      <c r="AH25" s="141">
        <v>0</v>
      </c>
      <c r="AI25" s="141">
        <v>0</v>
      </c>
      <c r="AJ25" s="141">
        <v>0</v>
      </c>
      <c r="AK25" s="141">
        <v>0</v>
      </c>
    </row>
    <row r="26" spans="1:37" customFormat="1" x14ac:dyDescent="0.15">
      <c r="A26" s="177" t="s">
        <v>217</v>
      </c>
      <c r="B26" s="141">
        <v>0</v>
      </c>
      <c r="C26" s="141">
        <v>0</v>
      </c>
      <c r="D26" s="141">
        <v>0</v>
      </c>
      <c r="E26" s="141">
        <v>0</v>
      </c>
      <c r="F26" s="141">
        <v>0</v>
      </c>
      <c r="G26" s="141">
        <v>0.22</v>
      </c>
      <c r="H26" s="141">
        <v>0.27008101725817701</v>
      </c>
      <c r="I26" s="141">
        <v>0</v>
      </c>
      <c r="J26" s="141">
        <v>0.52499998950000026</v>
      </c>
      <c r="K26" s="141">
        <v>0</v>
      </c>
      <c r="L26" s="141">
        <v>5.4997253158341017E-2</v>
      </c>
      <c r="M26" s="141">
        <v>0.08</v>
      </c>
      <c r="N26" s="141">
        <v>0.29999999999999993</v>
      </c>
      <c r="O26" s="141">
        <v>0</v>
      </c>
      <c r="P26" s="141">
        <v>5.8823525061176253E-2</v>
      </c>
      <c r="Q26" s="141">
        <v>0.15</v>
      </c>
      <c r="R26" s="141">
        <v>0.19300000000000003</v>
      </c>
      <c r="S26" s="141">
        <v>0</v>
      </c>
      <c r="T26" s="141">
        <v>0</v>
      </c>
      <c r="U26" s="141">
        <v>0</v>
      </c>
      <c r="V26" s="141">
        <v>1.2000000946399919E-2</v>
      </c>
      <c r="W26" s="141">
        <v>0</v>
      </c>
      <c r="X26" s="141">
        <v>7.0000000000000007E-2</v>
      </c>
      <c r="Y26" s="141">
        <v>0</v>
      </c>
      <c r="Z26" s="141">
        <v>0</v>
      </c>
      <c r="AA26" s="141">
        <v>0</v>
      </c>
      <c r="AB26" s="141">
        <v>0</v>
      </c>
      <c r="AC26" s="141">
        <v>0</v>
      </c>
      <c r="AD26" s="141">
        <v>0</v>
      </c>
      <c r="AE26" s="141">
        <v>0</v>
      </c>
      <c r="AF26" s="141">
        <v>0</v>
      </c>
      <c r="AG26" s="141">
        <v>0</v>
      </c>
      <c r="AH26" s="141">
        <v>0</v>
      </c>
      <c r="AI26" s="141">
        <v>0</v>
      </c>
      <c r="AJ26" s="141">
        <v>0</v>
      </c>
      <c r="AK26" s="141">
        <v>0</v>
      </c>
    </row>
    <row r="27" spans="1:37" customFormat="1" x14ac:dyDescent="0.15">
      <c r="A27" s="177" t="s">
        <v>218</v>
      </c>
      <c r="B27" s="141">
        <v>0</v>
      </c>
      <c r="C27" s="141">
        <v>0</v>
      </c>
      <c r="D27" s="141">
        <v>0.06</v>
      </c>
      <c r="E27" s="141">
        <v>0</v>
      </c>
      <c r="F27" s="141">
        <v>2.000000130439987E-2</v>
      </c>
      <c r="G27" s="141">
        <v>0.5</v>
      </c>
      <c r="H27" s="141">
        <v>7.002100447434218E-3</v>
      </c>
      <c r="I27" s="141">
        <v>0</v>
      </c>
      <c r="J27" s="141">
        <v>9.6000018079999652E-2</v>
      </c>
      <c r="K27" s="141">
        <v>5.8999994100000584E-2</v>
      </c>
      <c r="L27" s="141">
        <v>7.9505998494140473E-2</v>
      </c>
      <c r="M27" s="141">
        <v>8.0000000000000002E-3</v>
      </c>
      <c r="N27" s="141">
        <v>0.54999999999999993</v>
      </c>
      <c r="O27" s="141">
        <v>0</v>
      </c>
      <c r="P27" s="141">
        <v>0.14117646886682345</v>
      </c>
      <c r="Q27" s="141">
        <v>0.28699999999999998</v>
      </c>
      <c r="R27" s="141">
        <v>0.23200000000000004</v>
      </c>
      <c r="S27" s="141">
        <v>0</v>
      </c>
      <c r="T27" s="141">
        <v>0</v>
      </c>
      <c r="U27" s="141">
        <v>0</v>
      </c>
      <c r="V27" s="141">
        <v>0.12700000784939933</v>
      </c>
      <c r="W27" s="141">
        <v>0</v>
      </c>
      <c r="X27" s="141">
        <v>0.45</v>
      </c>
      <c r="Y27" s="141">
        <v>0.22</v>
      </c>
      <c r="Z27" s="141">
        <v>0.04</v>
      </c>
      <c r="AA27" s="141">
        <v>0.02</v>
      </c>
      <c r="AB27" s="141">
        <v>0</v>
      </c>
      <c r="AC27" s="141">
        <v>0.05</v>
      </c>
      <c r="AD27" s="141">
        <v>0</v>
      </c>
      <c r="AE27" s="141">
        <v>0</v>
      </c>
      <c r="AF27" s="141">
        <v>0</v>
      </c>
      <c r="AG27" s="141">
        <v>0</v>
      </c>
      <c r="AH27" s="141">
        <v>0</v>
      </c>
      <c r="AI27" s="141">
        <v>0</v>
      </c>
      <c r="AJ27" s="141">
        <v>0</v>
      </c>
      <c r="AK27" s="141">
        <v>0</v>
      </c>
    </row>
    <row r="28" spans="1:37" customFormat="1" x14ac:dyDescent="0.15">
      <c r="A28" s="177" t="s">
        <v>219</v>
      </c>
      <c r="B28" s="141">
        <v>0</v>
      </c>
      <c r="C28" s="141">
        <v>0</v>
      </c>
      <c r="D28" s="141">
        <v>0</v>
      </c>
      <c r="E28" s="141">
        <v>0</v>
      </c>
      <c r="F28" s="141">
        <v>0</v>
      </c>
      <c r="G28" s="141">
        <v>0.01</v>
      </c>
      <c r="H28" s="141">
        <v>0</v>
      </c>
      <c r="I28" s="141">
        <v>0</v>
      </c>
      <c r="J28" s="141">
        <v>7.499999850000004E-2</v>
      </c>
      <c r="K28" s="141">
        <v>1.4999998500000149E-2</v>
      </c>
      <c r="L28" s="141">
        <v>0</v>
      </c>
      <c r="M28" s="141">
        <v>0</v>
      </c>
      <c r="N28" s="141">
        <v>4.9999999999999989E-2</v>
      </c>
      <c r="O28" s="141">
        <v>0</v>
      </c>
      <c r="P28" s="141">
        <v>0</v>
      </c>
      <c r="Q28" s="141">
        <v>0.06</v>
      </c>
      <c r="R28" s="141">
        <v>8.0000000000000016E-2</v>
      </c>
      <c r="S28" s="141">
        <v>0</v>
      </c>
      <c r="T28" s="141">
        <v>0</v>
      </c>
      <c r="U28" s="141">
        <v>0</v>
      </c>
      <c r="V28" s="141">
        <v>3.0000000465999967E-2</v>
      </c>
      <c r="W28" s="141">
        <v>0</v>
      </c>
      <c r="X28" s="141">
        <v>0.35</v>
      </c>
      <c r="Y28" s="141">
        <v>7.0000000000000007E-2</v>
      </c>
      <c r="Z28" s="141">
        <v>9.9000000000000005E-2</v>
      </c>
      <c r="AA28" s="141">
        <v>0.15</v>
      </c>
      <c r="AB28" s="141">
        <v>0</v>
      </c>
      <c r="AC28" s="141">
        <v>0.02</v>
      </c>
      <c r="AD28" s="141">
        <v>0</v>
      </c>
      <c r="AE28" s="141">
        <v>0</v>
      </c>
      <c r="AF28" s="141">
        <v>0</v>
      </c>
      <c r="AG28" s="141">
        <v>0</v>
      </c>
      <c r="AH28" s="141">
        <v>0</v>
      </c>
      <c r="AI28" s="141">
        <v>0</v>
      </c>
      <c r="AJ28" s="141">
        <v>0</v>
      </c>
      <c r="AK28" s="141">
        <v>0</v>
      </c>
    </row>
    <row r="29" spans="1:37" customFormat="1" x14ac:dyDescent="0.15">
      <c r="A29" s="177" t="s">
        <v>220</v>
      </c>
      <c r="B29" s="141">
        <v>0</v>
      </c>
      <c r="C29" s="141">
        <v>0</v>
      </c>
      <c r="D29" s="141">
        <v>0.23</v>
      </c>
      <c r="E29" s="141">
        <v>0</v>
      </c>
      <c r="F29" s="141">
        <v>2.4999999705500028E-2</v>
      </c>
      <c r="G29" s="141">
        <v>0</v>
      </c>
      <c r="H29" s="141">
        <v>7.002100447434219E-4</v>
      </c>
      <c r="I29" s="141">
        <v>0</v>
      </c>
      <c r="J29" s="141">
        <v>0</v>
      </c>
      <c r="K29" s="141">
        <v>1.9999998000000199E-2</v>
      </c>
      <c r="L29" s="141">
        <v>0</v>
      </c>
      <c r="M29" s="141">
        <v>5.0000000000000001E-3</v>
      </c>
      <c r="N29" s="141">
        <v>0</v>
      </c>
      <c r="O29" s="141">
        <v>0.05</v>
      </c>
      <c r="P29" s="141">
        <v>0</v>
      </c>
      <c r="Q29" s="141">
        <v>2E-3</v>
      </c>
      <c r="R29" s="141">
        <v>4.000000000000001E-3</v>
      </c>
      <c r="S29" s="141">
        <v>0.01</v>
      </c>
      <c r="T29" s="141">
        <v>0</v>
      </c>
      <c r="U29" s="141">
        <v>0</v>
      </c>
      <c r="V29" s="141">
        <v>3.0000002265999806E-3</v>
      </c>
      <c r="W29" s="141">
        <v>2E-3</v>
      </c>
      <c r="X29" s="141">
        <v>0</v>
      </c>
      <c r="Y29" s="141">
        <v>0</v>
      </c>
      <c r="Z29" s="141">
        <v>0</v>
      </c>
      <c r="AA29" s="141">
        <v>0</v>
      </c>
      <c r="AB29" s="141">
        <v>0</v>
      </c>
      <c r="AC29" s="141">
        <v>0</v>
      </c>
      <c r="AD29" s="141">
        <v>0</v>
      </c>
      <c r="AE29" s="141">
        <v>0</v>
      </c>
      <c r="AF29" s="141">
        <v>0</v>
      </c>
      <c r="AG29" s="141">
        <v>0</v>
      </c>
      <c r="AH29" s="141">
        <v>0</v>
      </c>
      <c r="AI29" s="141">
        <v>0</v>
      </c>
      <c r="AJ29" s="141">
        <v>0</v>
      </c>
      <c r="AK29" s="141">
        <v>0</v>
      </c>
    </row>
    <row r="30" spans="1:37" customFormat="1" x14ac:dyDescent="0.15">
      <c r="A30" s="177" t="s">
        <v>221</v>
      </c>
      <c r="B30" s="141">
        <v>0</v>
      </c>
      <c r="C30" s="141">
        <v>0</v>
      </c>
      <c r="D30" s="141">
        <v>0</v>
      </c>
      <c r="E30" s="141">
        <v>0</v>
      </c>
      <c r="F30" s="141">
        <v>0</v>
      </c>
      <c r="G30" s="141">
        <v>0</v>
      </c>
      <c r="H30" s="141">
        <v>0</v>
      </c>
      <c r="I30" s="141">
        <v>0</v>
      </c>
      <c r="J30" s="141">
        <v>0</v>
      </c>
      <c r="K30" s="141">
        <v>4.9999995000000498E-2</v>
      </c>
      <c r="L30" s="141">
        <v>0</v>
      </c>
      <c r="M30" s="141">
        <v>0</v>
      </c>
      <c r="N30" s="141">
        <v>0</v>
      </c>
      <c r="O30" s="141">
        <v>0.05</v>
      </c>
      <c r="P30" s="141">
        <v>0</v>
      </c>
      <c r="Q30" s="141">
        <v>0</v>
      </c>
      <c r="R30" s="141">
        <v>1.0000000000000002E-3</v>
      </c>
      <c r="S30" s="141">
        <v>0.05</v>
      </c>
      <c r="T30" s="141">
        <v>0.05</v>
      </c>
      <c r="U30" s="141">
        <v>0.05</v>
      </c>
      <c r="V30" s="141">
        <v>3.0000000465999967E-2</v>
      </c>
      <c r="W30" s="141">
        <v>0.05</v>
      </c>
      <c r="X30" s="141">
        <v>0</v>
      </c>
      <c r="Y30" s="141">
        <v>0</v>
      </c>
      <c r="Z30" s="141">
        <v>0</v>
      </c>
      <c r="AA30" s="141">
        <v>0</v>
      </c>
      <c r="AB30" s="141">
        <v>0</v>
      </c>
      <c r="AC30" s="141">
        <v>0.05</v>
      </c>
      <c r="AD30" s="141">
        <v>0</v>
      </c>
      <c r="AE30" s="141">
        <v>0</v>
      </c>
      <c r="AF30" s="141">
        <v>0</v>
      </c>
      <c r="AG30" s="141">
        <v>0</v>
      </c>
      <c r="AH30" s="141">
        <v>0</v>
      </c>
      <c r="AI30" s="141">
        <v>0</v>
      </c>
      <c r="AJ30" s="141">
        <v>0</v>
      </c>
      <c r="AK30" s="141">
        <v>0</v>
      </c>
    </row>
    <row r="31" spans="1:37" customFormat="1" x14ac:dyDescent="0.15">
      <c r="A31" s="177" t="s">
        <v>222</v>
      </c>
      <c r="B31" s="141">
        <v>0</v>
      </c>
      <c r="C31" s="141">
        <v>0</v>
      </c>
      <c r="D31" s="141">
        <v>0</v>
      </c>
      <c r="E31" s="141">
        <v>0</v>
      </c>
      <c r="F31" s="141">
        <v>0</v>
      </c>
      <c r="G31" s="141">
        <v>0</v>
      </c>
      <c r="H31" s="141">
        <v>0</v>
      </c>
      <c r="I31" s="141">
        <v>0</v>
      </c>
      <c r="J31" s="141">
        <v>0</v>
      </c>
      <c r="K31" s="141">
        <v>0</v>
      </c>
      <c r="L31" s="141">
        <v>0</v>
      </c>
      <c r="M31" s="141">
        <v>0</v>
      </c>
      <c r="N31" s="141">
        <v>0</v>
      </c>
      <c r="O31" s="141">
        <v>0.05</v>
      </c>
      <c r="P31" s="141">
        <v>0</v>
      </c>
      <c r="Q31" s="141">
        <v>0</v>
      </c>
      <c r="R31" s="141">
        <v>0</v>
      </c>
      <c r="S31" s="141">
        <v>0.1</v>
      </c>
      <c r="T31" s="141">
        <v>0.1</v>
      </c>
      <c r="U31" s="141">
        <v>0.1</v>
      </c>
      <c r="V31" s="141">
        <v>0</v>
      </c>
      <c r="W31" s="141">
        <v>0.1</v>
      </c>
      <c r="X31" s="141">
        <v>0</v>
      </c>
      <c r="Y31" s="141">
        <v>0</v>
      </c>
      <c r="Z31" s="141">
        <v>0</v>
      </c>
      <c r="AA31" s="141">
        <v>0</v>
      </c>
      <c r="AB31" s="141">
        <v>0.05</v>
      </c>
      <c r="AC31" s="141">
        <v>0.1</v>
      </c>
      <c r="AD31" s="141">
        <v>0.25</v>
      </c>
      <c r="AE31" s="141">
        <v>0</v>
      </c>
      <c r="AF31" s="141">
        <v>0</v>
      </c>
      <c r="AG31" s="141">
        <v>0.89999994635582736</v>
      </c>
      <c r="AH31" s="141">
        <v>0</v>
      </c>
      <c r="AI31" s="141">
        <v>0</v>
      </c>
      <c r="AJ31" s="141">
        <v>0</v>
      </c>
      <c r="AK31" s="141">
        <v>0</v>
      </c>
    </row>
    <row r="32" spans="1:37" customFormat="1" x14ac:dyDescent="0.15">
      <c r="A32" s="177" t="s">
        <v>223</v>
      </c>
      <c r="B32" s="141">
        <v>0</v>
      </c>
      <c r="C32" s="141">
        <v>0</v>
      </c>
      <c r="D32" s="141">
        <v>0</v>
      </c>
      <c r="E32" s="141">
        <v>0</v>
      </c>
      <c r="F32" s="141">
        <v>0</v>
      </c>
      <c r="G32" s="141">
        <v>0</v>
      </c>
      <c r="H32" s="141">
        <v>0</v>
      </c>
      <c r="I32" s="141">
        <v>0</v>
      </c>
      <c r="J32" s="141">
        <v>0</v>
      </c>
      <c r="K32" s="141">
        <v>0</v>
      </c>
      <c r="L32" s="141">
        <v>0</v>
      </c>
      <c r="M32" s="141">
        <v>0</v>
      </c>
      <c r="N32" s="141">
        <v>0</v>
      </c>
      <c r="O32" s="141">
        <v>0</v>
      </c>
      <c r="P32" s="141">
        <v>0</v>
      </c>
      <c r="Q32" s="141">
        <v>0</v>
      </c>
      <c r="R32" s="141">
        <v>8.0000000000000016E-2</v>
      </c>
      <c r="S32" s="141">
        <v>0</v>
      </c>
      <c r="T32" s="141">
        <v>0.05</v>
      </c>
      <c r="U32" s="141">
        <v>0.08</v>
      </c>
      <c r="V32" s="141">
        <v>0</v>
      </c>
      <c r="W32" s="141">
        <v>0</v>
      </c>
      <c r="X32" s="141">
        <v>0</v>
      </c>
      <c r="Y32" s="141">
        <v>0.35</v>
      </c>
      <c r="Z32" s="141">
        <v>0.58099999999999996</v>
      </c>
      <c r="AA32" s="141">
        <v>0.39900000000000002</v>
      </c>
      <c r="AB32" s="141">
        <v>0.55000000000000004</v>
      </c>
      <c r="AC32" s="141">
        <v>4.9000000000000002E-2</v>
      </c>
      <c r="AD32" s="141">
        <v>0</v>
      </c>
      <c r="AE32" s="141">
        <v>0</v>
      </c>
      <c r="AF32" s="141">
        <v>0</v>
      </c>
      <c r="AG32" s="141">
        <v>9.8999994099141009E-2</v>
      </c>
      <c r="AH32" s="141">
        <v>0</v>
      </c>
      <c r="AI32" s="141">
        <v>0</v>
      </c>
      <c r="AJ32" s="141">
        <v>0</v>
      </c>
      <c r="AK32" s="141">
        <v>0</v>
      </c>
    </row>
    <row r="33" spans="1:37" customFormat="1" x14ac:dyDescent="0.15">
      <c r="A33" s="177" t="s">
        <v>224</v>
      </c>
      <c r="B33" s="141">
        <v>0</v>
      </c>
      <c r="C33" s="141">
        <v>0</v>
      </c>
      <c r="D33" s="141">
        <v>0</v>
      </c>
      <c r="E33" s="141">
        <v>0</v>
      </c>
      <c r="F33" s="141">
        <v>0</v>
      </c>
      <c r="G33" s="141">
        <v>0</v>
      </c>
      <c r="H33" s="141">
        <v>0</v>
      </c>
      <c r="I33" s="141">
        <v>0</v>
      </c>
      <c r="J33" s="141">
        <v>0</v>
      </c>
      <c r="K33" s="141">
        <v>0</v>
      </c>
      <c r="L33" s="141">
        <v>0</v>
      </c>
      <c r="M33" s="141">
        <v>0</v>
      </c>
      <c r="N33" s="141">
        <v>0</v>
      </c>
      <c r="O33" s="141">
        <v>0</v>
      </c>
      <c r="P33" s="141">
        <v>0</v>
      </c>
      <c r="Q33" s="141">
        <v>0</v>
      </c>
      <c r="R33" s="141">
        <v>0</v>
      </c>
      <c r="S33" s="141">
        <v>0</v>
      </c>
      <c r="T33" s="141">
        <v>0</v>
      </c>
      <c r="U33" s="141">
        <v>0.03</v>
      </c>
      <c r="V33" s="141">
        <v>9.9999998220000174E-3</v>
      </c>
      <c r="W33" s="141">
        <v>0</v>
      </c>
      <c r="X33" s="141">
        <v>0</v>
      </c>
      <c r="Y33" s="141">
        <v>0.01</v>
      </c>
      <c r="Z33" s="141">
        <v>0</v>
      </c>
      <c r="AA33" s="141">
        <v>5.6000000000000001E-2</v>
      </c>
      <c r="AB33" s="141">
        <v>0.05</v>
      </c>
      <c r="AC33" s="141">
        <v>0</v>
      </c>
      <c r="AD33" s="141">
        <v>0</v>
      </c>
      <c r="AE33" s="141">
        <v>0</v>
      </c>
      <c r="AF33" s="141">
        <v>0</v>
      </c>
      <c r="AG33" s="141">
        <v>0</v>
      </c>
      <c r="AH33" s="141">
        <v>0</v>
      </c>
      <c r="AI33" s="141">
        <v>0</v>
      </c>
      <c r="AJ33" s="141">
        <v>0</v>
      </c>
      <c r="AK33" s="141">
        <v>0</v>
      </c>
    </row>
    <row r="34" spans="1:37" customFormat="1" x14ac:dyDescent="0.15">
      <c r="A34" s="177" t="s">
        <v>225</v>
      </c>
      <c r="B34" s="141">
        <v>0</v>
      </c>
      <c r="C34" s="141">
        <v>0</v>
      </c>
      <c r="D34" s="141">
        <v>0</v>
      </c>
      <c r="E34" s="141">
        <v>0</v>
      </c>
      <c r="F34" s="141">
        <v>0</v>
      </c>
      <c r="G34" s="141">
        <v>0</v>
      </c>
      <c r="H34" s="141">
        <v>0</v>
      </c>
      <c r="I34" s="141">
        <v>0</v>
      </c>
      <c r="J34" s="141">
        <v>0</v>
      </c>
      <c r="K34" s="141">
        <v>0</v>
      </c>
      <c r="L34" s="141">
        <v>0</v>
      </c>
      <c r="M34" s="141">
        <v>0</v>
      </c>
      <c r="N34" s="141">
        <v>9.9999999999999978E-2</v>
      </c>
      <c r="O34" s="141">
        <v>0</v>
      </c>
      <c r="P34" s="141">
        <v>0</v>
      </c>
      <c r="Q34" s="141">
        <v>0.15</v>
      </c>
      <c r="R34" s="141">
        <v>0.10000000000000002</v>
      </c>
      <c r="S34" s="141">
        <v>0</v>
      </c>
      <c r="T34" s="141">
        <v>0</v>
      </c>
      <c r="U34" s="141">
        <v>0</v>
      </c>
      <c r="V34" s="141">
        <v>0</v>
      </c>
      <c r="W34" s="141">
        <v>0</v>
      </c>
      <c r="X34" s="141">
        <v>0.1</v>
      </c>
      <c r="Y34" s="141">
        <v>0.2</v>
      </c>
      <c r="Z34" s="141">
        <v>0.28000000000000003</v>
      </c>
      <c r="AA34" s="141">
        <v>0.375</v>
      </c>
      <c r="AB34" s="141">
        <v>0.35</v>
      </c>
      <c r="AC34" s="141">
        <v>0</v>
      </c>
      <c r="AD34" s="141">
        <v>0</v>
      </c>
      <c r="AE34" s="141">
        <v>0.2</v>
      </c>
      <c r="AF34" s="141">
        <v>0</v>
      </c>
      <c r="AG34" s="141">
        <v>9.9999994039536369E-4</v>
      </c>
      <c r="AH34" s="141">
        <v>0</v>
      </c>
      <c r="AI34" s="141">
        <v>0</v>
      </c>
      <c r="AJ34" s="141">
        <v>0</v>
      </c>
      <c r="AK34" s="141">
        <v>0</v>
      </c>
    </row>
    <row r="35" spans="1:37" customFormat="1" x14ac:dyDescent="0.15">
      <c r="A35" s="177" t="s">
        <v>226</v>
      </c>
      <c r="B35" s="141">
        <v>0</v>
      </c>
      <c r="C35" s="141">
        <v>0</v>
      </c>
      <c r="D35" s="141">
        <v>0</v>
      </c>
      <c r="E35" s="141">
        <v>0</v>
      </c>
      <c r="F35" s="141">
        <v>0</v>
      </c>
      <c r="G35" s="141">
        <v>0</v>
      </c>
      <c r="H35" s="141">
        <v>0</v>
      </c>
      <c r="I35" s="141">
        <v>0</v>
      </c>
      <c r="J35" s="141">
        <v>0</v>
      </c>
      <c r="K35" s="141">
        <v>0</v>
      </c>
      <c r="L35" s="141">
        <v>0</v>
      </c>
      <c r="M35" s="141">
        <v>0</v>
      </c>
      <c r="N35" s="141">
        <v>0</v>
      </c>
      <c r="O35" s="141">
        <v>0</v>
      </c>
      <c r="P35" s="141">
        <v>0</v>
      </c>
      <c r="Q35" s="141">
        <v>0</v>
      </c>
      <c r="R35" s="141">
        <v>0</v>
      </c>
      <c r="S35" s="141">
        <v>0</v>
      </c>
      <c r="T35" s="141">
        <v>0</v>
      </c>
      <c r="U35" s="141">
        <v>0</v>
      </c>
      <c r="V35" s="141">
        <v>0</v>
      </c>
      <c r="W35" s="141">
        <v>0</v>
      </c>
      <c r="X35" s="141">
        <v>0</v>
      </c>
      <c r="Y35" s="141">
        <v>0</v>
      </c>
      <c r="Z35" s="141">
        <v>0</v>
      </c>
      <c r="AA35" s="141">
        <v>0</v>
      </c>
      <c r="AB35" s="141">
        <v>0</v>
      </c>
      <c r="AC35" s="141">
        <v>0</v>
      </c>
      <c r="AD35" s="141">
        <v>0</v>
      </c>
      <c r="AE35" s="141">
        <v>3.2000000000000001E-2</v>
      </c>
      <c r="AF35" s="141">
        <v>0</v>
      </c>
      <c r="AG35" s="141">
        <v>0</v>
      </c>
      <c r="AH35" s="141">
        <v>0</v>
      </c>
      <c r="AI35" s="141">
        <v>0</v>
      </c>
      <c r="AJ35" s="141">
        <v>0</v>
      </c>
      <c r="AK35" s="141">
        <v>0</v>
      </c>
    </row>
    <row r="36" spans="1:37" customFormat="1" x14ac:dyDescent="0.15">
      <c r="A36" s="177" t="s">
        <v>227</v>
      </c>
      <c r="B36" s="141">
        <v>0</v>
      </c>
      <c r="C36" s="141">
        <v>0</v>
      </c>
      <c r="D36" s="141">
        <v>0</v>
      </c>
      <c r="E36" s="141">
        <v>0</v>
      </c>
      <c r="F36" s="141">
        <v>0</v>
      </c>
      <c r="G36" s="141">
        <v>0</v>
      </c>
      <c r="H36" s="141">
        <v>0</v>
      </c>
      <c r="I36" s="141">
        <v>0</v>
      </c>
      <c r="J36" s="141">
        <v>0</v>
      </c>
      <c r="K36" s="141">
        <v>0</v>
      </c>
      <c r="L36" s="141">
        <v>0</v>
      </c>
      <c r="M36" s="141">
        <v>0</v>
      </c>
      <c r="N36" s="141">
        <v>0</v>
      </c>
      <c r="O36" s="141">
        <v>0</v>
      </c>
      <c r="P36" s="141">
        <v>0</v>
      </c>
      <c r="Q36" s="141">
        <v>0</v>
      </c>
      <c r="R36" s="141">
        <v>0</v>
      </c>
      <c r="S36" s="141">
        <v>0.03</v>
      </c>
      <c r="T36" s="141">
        <v>0.03</v>
      </c>
      <c r="U36" s="141">
        <v>0.03</v>
      </c>
      <c r="V36" s="141">
        <v>0</v>
      </c>
      <c r="W36" s="141">
        <v>0.03</v>
      </c>
      <c r="X36" s="141">
        <v>0</v>
      </c>
      <c r="Y36" s="141">
        <v>0</v>
      </c>
      <c r="Z36" s="141">
        <v>0</v>
      </c>
      <c r="AA36" s="141">
        <v>0</v>
      </c>
      <c r="AB36" s="141">
        <v>0</v>
      </c>
      <c r="AC36" s="141">
        <v>0.1</v>
      </c>
      <c r="AD36" s="141">
        <v>0</v>
      </c>
      <c r="AE36" s="141">
        <v>1E-3</v>
      </c>
      <c r="AF36" s="141">
        <v>0</v>
      </c>
      <c r="AG36" s="141">
        <v>0</v>
      </c>
      <c r="AH36" s="141">
        <v>0</v>
      </c>
      <c r="AI36" s="141">
        <v>0</v>
      </c>
      <c r="AJ36" s="141">
        <v>0</v>
      </c>
      <c r="AK36" s="141">
        <v>0</v>
      </c>
    </row>
    <row r="37" spans="1:37" customFormat="1" x14ac:dyDescent="0.15">
      <c r="A37" s="177" t="s">
        <v>228</v>
      </c>
      <c r="B37" s="141">
        <v>0</v>
      </c>
      <c r="C37" s="141">
        <v>0</v>
      </c>
      <c r="D37" s="141">
        <v>0</v>
      </c>
      <c r="E37" s="141">
        <v>0</v>
      </c>
      <c r="F37" s="141">
        <v>1.9999982704401727E-2</v>
      </c>
      <c r="G37" s="141">
        <v>0</v>
      </c>
      <c r="H37" s="141">
        <v>0</v>
      </c>
      <c r="I37" s="141">
        <v>0</v>
      </c>
      <c r="J37" s="141">
        <v>0</v>
      </c>
      <c r="K37" s="141">
        <v>0.17900008209999177</v>
      </c>
      <c r="L37" s="141">
        <v>0</v>
      </c>
      <c r="M37" s="141">
        <v>0.1</v>
      </c>
      <c r="N37" s="141">
        <v>0</v>
      </c>
      <c r="O37" s="141">
        <v>0.8</v>
      </c>
      <c r="P37" s="141">
        <v>0</v>
      </c>
      <c r="Q37" s="141">
        <v>0</v>
      </c>
      <c r="R37" s="141">
        <v>0.10000000000000002</v>
      </c>
      <c r="S37" s="141">
        <v>0.81</v>
      </c>
      <c r="T37" s="141">
        <v>0.77</v>
      </c>
      <c r="U37" s="141">
        <v>0.71</v>
      </c>
      <c r="V37" s="141">
        <v>1.5000000182999988E-2</v>
      </c>
      <c r="W37" s="141">
        <v>0.81799999999999995</v>
      </c>
      <c r="X37" s="141">
        <v>0</v>
      </c>
      <c r="Y37" s="141">
        <v>0.15</v>
      </c>
      <c r="Z37" s="141">
        <v>0</v>
      </c>
      <c r="AA37" s="141">
        <v>0</v>
      </c>
      <c r="AB37" s="141">
        <v>0</v>
      </c>
      <c r="AC37" s="141">
        <v>0.63100000000000001</v>
      </c>
      <c r="AD37" s="141">
        <v>0.75</v>
      </c>
      <c r="AE37" s="141">
        <v>0.76700000000000002</v>
      </c>
      <c r="AF37" s="141">
        <v>0</v>
      </c>
      <c r="AG37" s="141">
        <v>5.960463644728711E-8</v>
      </c>
      <c r="AH37" s="141">
        <v>0</v>
      </c>
      <c r="AI37" s="141">
        <v>0</v>
      </c>
      <c r="AJ37" s="141">
        <v>0</v>
      </c>
      <c r="AK37" s="141">
        <v>0</v>
      </c>
    </row>
    <row r="38" spans="1:37" customFormat="1" x14ac:dyDescent="0.15">
      <c r="A38" s="177" t="s">
        <v>231</v>
      </c>
      <c r="B38" s="141">
        <v>0.83999999872800002</v>
      </c>
      <c r="C38" s="141">
        <v>0.89999999730000013</v>
      </c>
      <c r="D38" s="141">
        <v>0.17</v>
      </c>
      <c r="E38" s="141">
        <v>0</v>
      </c>
      <c r="F38" s="141">
        <v>0.46799997830296214</v>
      </c>
      <c r="G38" s="141">
        <v>0.02</v>
      </c>
      <c r="H38" s="141">
        <v>7.2021600702180277E-2</v>
      </c>
      <c r="I38" s="141">
        <v>6.6013773397098643E-2</v>
      </c>
      <c r="J38" s="141">
        <v>7.999999840000005E-2</v>
      </c>
      <c r="K38" s="141">
        <v>0</v>
      </c>
      <c r="L38" s="141">
        <v>6.5996708750009125E-2</v>
      </c>
      <c r="M38" s="141">
        <v>0.22800000000000001</v>
      </c>
      <c r="N38" s="141">
        <v>0</v>
      </c>
      <c r="O38" s="141">
        <v>0.05</v>
      </c>
      <c r="P38" s="141">
        <v>0.15176469838183493</v>
      </c>
      <c r="Q38" s="141">
        <v>0</v>
      </c>
      <c r="R38" s="141">
        <v>0</v>
      </c>
      <c r="S38" s="141">
        <v>0</v>
      </c>
      <c r="T38" s="141">
        <v>0</v>
      </c>
      <c r="U38" s="141">
        <v>0</v>
      </c>
      <c r="V38" s="141">
        <v>0</v>
      </c>
      <c r="W38" s="141">
        <v>0</v>
      </c>
      <c r="X38" s="141">
        <v>0</v>
      </c>
      <c r="Y38" s="141">
        <v>0</v>
      </c>
      <c r="Z38" s="141">
        <v>0</v>
      </c>
      <c r="AA38" s="141">
        <v>0</v>
      </c>
      <c r="AB38" s="141">
        <v>0</v>
      </c>
      <c r="AC38" s="141">
        <v>0</v>
      </c>
      <c r="AD38" s="141">
        <v>0</v>
      </c>
      <c r="AE38" s="141">
        <v>0</v>
      </c>
      <c r="AF38" s="141">
        <v>0</v>
      </c>
      <c r="AG38" s="141">
        <v>0</v>
      </c>
      <c r="AH38" s="141">
        <v>0</v>
      </c>
      <c r="AI38" s="141">
        <v>0</v>
      </c>
      <c r="AJ38" s="141">
        <v>0</v>
      </c>
      <c r="AK38" s="141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18" activePane="bottomRight" state="frozen"/>
      <selection pane="topRight" activeCell="C1" sqref="C1"/>
      <selection pane="bottomLeft" activeCell="A2" sqref="A2"/>
      <selection pane="bottomRight" activeCell="J42" sqref="J42"/>
    </sheetView>
  </sheetViews>
  <sheetFormatPr baseColWidth="10" defaultColWidth="8.83203125" defaultRowHeight="13" x14ac:dyDescent="0.15"/>
  <cols>
    <col min="1" max="1" width="3.33203125" customWidth="1"/>
    <col min="2" max="2" width="31.83203125" customWidth="1"/>
    <col min="3" max="4" width="14.83203125" style="109" customWidth="1"/>
    <col min="5" max="6" width="14.83203125" style="108" customWidth="1"/>
    <col min="7" max="8" width="14.83203125" style="109" customWidth="1"/>
  </cols>
  <sheetData>
    <row r="1" spans="1:8" ht="70" x14ac:dyDescent="0.15">
      <c r="A1" s="5" t="s">
        <v>20</v>
      </c>
      <c r="B1" s="1" t="s">
        <v>0</v>
      </c>
      <c r="C1" s="180" t="s">
        <v>225</v>
      </c>
      <c r="D1" s="180" t="s">
        <v>226</v>
      </c>
      <c r="E1" s="180" t="s">
        <v>227</v>
      </c>
      <c r="F1" s="180" t="s">
        <v>228</v>
      </c>
      <c r="G1" s="180" t="s">
        <v>232</v>
      </c>
      <c r="H1" s="180" t="s">
        <v>233</v>
      </c>
    </row>
    <row r="2" spans="1:8" x14ac:dyDescent="0.15">
      <c r="A2">
        <v>1</v>
      </c>
      <c r="B2" s="179" t="s">
        <v>193</v>
      </c>
      <c r="C2" s="109">
        <v>0</v>
      </c>
      <c r="D2" s="109">
        <v>0</v>
      </c>
      <c r="E2" s="108">
        <v>0</v>
      </c>
      <c r="F2" s="108">
        <v>1</v>
      </c>
      <c r="G2" s="109">
        <v>0</v>
      </c>
      <c r="H2" s="109">
        <v>1</v>
      </c>
    </row>
    <row r="3" spans="1:8" x14ac:dyDescent="0.15">
      <c r="A3">
        <v>2</v>
      </c>
      <c r="B3" s="179" t="s">
        <v>194</v>
      </c>
      <c r="C3" s="109">
        <v>0</v>
      </c>
      <c r="D3" s="109">
        <v>0</v>
      </c>
      <c r="E3" s="108">
        <v>0</v>
      </c>
      <c r="F3" s="108">
        <v>1</v>
      </c>
      <c r="G3" s="109">
        <v>0</v>
      </c>
      <c r="H3" s="109">
        <v>1</v>
      </c>
    </row>
    <row r="4" spans="1:8" x14ac:dyDescent="0.15">
      <c r="A4">
        <v>3</v>
      </c>
      <c r="B4" s="179" t="s">
        <v>195</v>
      </c>
      <c r="C4" s="109">
        <v>0</v>
      </c>
      <c r="D4" s="109">
        <v>0</v>
      </c>
      <c r="E4" s="108">
        <v>0</v>
      </c>
      <c r="F4" s="108">
        <v>1</v>
      </c>
      <c r="G4" s="109">
        <v>0</v>
      </c>
      <c r="H4" s="109">
        <v>1</v>
      </c>
    </row>
    <row r="5" spans="1:8" x14ac:dyDescent="0.15">
      <c r="A5">
        <v>4</v>
      </c>
      <c r="B5" s="179" t="s">
        <v>196</v>
      </c>
      <c r="C5" s="109">
        <v>0</v>
      </c>
      <c r="D5" s="109">
        <v>0</v>
      </c>
      <c r="E5" s="108">
        <v>0</v>
      </c>
      <c r="F5" s="108">
        <v>1</v>
      </c>
      <c r="G5" s="109">
        <v>0</v>
      </c>
      <c r="H5" s="109">
        <v>1</v>
      </c>
    </row>
    <row r="6" spans="1:8" x14ac:dyDescent="0.15">
      <c r="A6">
        <v>5</v>
      </c>
      <c r="B6" s="179" t="s">
        <v>197</v>
      </c>
      <c r="C6" s="109">
        <v>0</v>
      </c>
      <c r="D6" s="109">
        <v>0</v>
      </c>
      <c r="E6" s="108">
        <v>0</v>
      </c>
      <c r="F6" s="108">
        <v>1</v>
      </c>
      <c r="G6" s="109">
        <v>0</v>
      </c>
      <c r="H6" s="109">
        <v>1</v>
      </c>
    </row>
    <row r="7" spans="1:8" x14ac:dyDescent="0.15">
      <c r="A7">
        <v>6</v>
      </c>
      <c r="B7" s="179" t="s">
        <v>198</v>
      </c>
      <c r="C7" s="109">
        <v>0</v>
      </c>
      <c r="D7" s="109">
        <v>0</v>
      </c>
      <c r="E7" s="108">
        <v>0</v>
      </c>
      <c r="F7" s="108">
        <v>1</v>
      </c>
      <c r="G7" s="109">
        <v>0</v>
      </c>
      <c r="H7" s="109">
        <v>1</v>
      </c>
    </row>
    <row r="8" spans="1:8" x14ac:dyDescent="0.15">
      <c r="A8">
        <v>7</v>
      </c>
      <c r="B8" s="179" t="s">
        <v>199</v>
      </c>
      <c r="C8" s="109">
        <v>0</v>
      </c>
      <c r="D8" s="109">
        <v>0</v>
      </c>
      <c r="E8" s="108">
        <v>0</v>
      </c>
      <c r="F8" s="108">
        <v>1</v>
      </c>
      <c r="G8" s="109">
        <v>0</v>
      </c>
      <c r="H8" s="109">
        <v>1</v>
      </c>
    </row>
    <row r="9" spans="1:8" x14ac:dyDescent="0.15">
      <c r="A9">
        <v>8</v>
      </c>
      <c r="B9" s="179" t="s">
        <v>200</v>
      </c>
      <c r="C9" s="109">
        <v>0</v>
      </c>
      <c r="D9" s="109">
        <v>0</v>
      </c>
      <c r="E9" s="108">
        <v>0</v>
      </c>
      <c r="F9" s="108">
        <v>1</v>
      </c>
      <c r="G9" s="109">
        <v>0</v>
      </c>
      <c r="H9" s="109">
        <v>1</v>
      </c>
    </row>
    <row r="10" spans="1:8" x14ac:dyDescent="0.15">
      <c r="A10">
        <v>9</v>
      </c>
      <c r="B10" s="179" t="s">
        <v>201</v>
      </c>
      <c r="C10" s="109">
        <v>0</v>
      </c>
      <c r="D10" s="109">
        <v>0</v>
      </c>
      <c r="E10" s="108">
        <v>0</v>
      </c>
      <c r="F10" s="108">
        <v>1</v>
      </c>
      <c r="G10" s="109">
        <v>0</v>
      </c>
      <c r="H10" s="109">
        <v>1</v>
      </c>
    </row>
    <row r="11" spans="1:8" x14ac:dyDescent="0.15">
      <c r="A11">
        <v>10</v>
      </c>
      <c r="B11" s="179" t="s">
        <v>202</v>
      </c>
      <c r="C11" s="109">
        <v>0</v>
      </c>
      <c r="D11" s="109">
        <v>0</v>
      </c>
      <c r="E11" s="108">
        <v>0</v>
      </c>
      <c r="F11" s="108">
        <v>1</v>
      </c>
      <c r="G11" s="109">
        <v>0</v>
      </c>
      <c r="H11" s="109">
        <v>1</v>
      </c>
    </row>
    <row r="12" spans="1:8" x14ac:dyDescent="0.15">
      <c r="A12">
        <v>11</v>
      </c>
      <c r="B12" s="179" t="s">
        <v>203</v>
      </c>
      <c r="C12" s="109">
        <v>0</v>
      </c>
      <c r="D12" s="109">
        <v>0</v>
      </c>
      <c r="E12" s="108">
        <v>0</v>
      </c>
      <c r="F12" s="108">
        <v>1</v>
      </c>
      <c r="G12" s="109">
        <v>0</v>
      </c>
      <c r="H12" s="109">
        <v>1</v>
      </c>
    </row>
    <row r="13" spans="1:8" x14ac:dyDescent="0.15">
      <c r="A13">
        <v>12</v>
      </c>
      <c r="B13" s="179" t="s">
        <v>204</v>
      </c>
      <c r="C13" s="109">
        <v>0</v>
      </c>
      <c r="D13" s="109">
        <v>0</v>
      </c>
      <c r="E13" s="108">
        <v>0</v>
      </c>
      <c r="F13" s="108">
        <v>1</v>
      </c>
      <c r="G13" s="109">
        <v>0</v>
      </c>
      <c r="H13" s="109">
        <v>1</v>
      </c>
    </row>
    <row r="14" spans="1:8" x14ac:dyDescent="0.15">
      <c r="A14">
        <v>13</v>
      </c>
      <c r="B14" s="179" t="s">
        <v>205</v>
      </c>
      <c r="C14" s="109">
        <v>0</v>
      </c>
      <c r="D14" s="109">
        <v>0</v>
      </c>
      <c r="E14" s="108">
        <v>0</v>
      </c>
      <c r="F14" s="108">
        <v>1</v>
      </c>
      <c r="G14" s="109">
        <v>0</v>
      </c>
      <c r="H14" s="109">
        <v>1</v>
      </c>
    </row>
    <row r="15" spans="1:8" x14ac:dyDescent="0.15">
      <c r="A15">
        <v>14</v>
      </c>
      <c r="B15" s="179" t="s">
        <v>206</v>
      </c>
      <c r="C15" s="109">
        <v>0</v>
      </c>
      <c r="D15" s="109">
        <v>0</v>
      </c>
      <c r="E15" s="108">
        <v>0</v>
      </c>
      <c r="F15" s="108">
        <v>1</v>
      </c>
      <c r="G15" s="109">
        <v>0</v>
      </c>
      <c r="H15" s="109">
        <v>1</v>
      </c>
    </row>
    <row r="16" spans="1:8" x14ac:dyDescent="0.15">
      <c r="A16">
        <v>15</v>
      </c>
      <c r="B16" s="179" t="s">
        <v>207</v>
      </c>
      <c r="C16" s="109">
        <v>0</v>
      </c>
      <c r="D16" s="109">
        <v>0</v>
      </c>
      <c r="E16" s="108">
        <v>0</v>
      </c>
      <c r="F16" s="108">
        <v>1</v>
      </c>
      <c r="G16" s="109">
        <v>0</v>
      </c>
      <c r="H16" s="109">
        <v>1</v>
      </c>
    </row>
    <row r="17" spans="1:8" ht="15" customHeight="1" x14ac:dyDescent="0.15">
      <c r="A17">
        <v>16</v>
      </c>
      <c r="B17" s="179" t="s">
        <v>208</v>
      </c>
      <c r="C17" s="109">
        <v>0</v>
      </c>
      <c r="D17" s="109">
        <v>0</v>
      </c>
      <c r="E17" s="108">
        <v>0</v>
      </c>
      <c r="F17" s="108">
        <v>1</v>
      </c>
      <c r="G17" s="109">
        <v>0</v>
      </c>
      <c r="H17" s="109">
        <v>1</v>
      </c>
    </row>
    <row r="18" spans="1:8" ht="15" customHeight="1" x14ac:dyDescent="0.15">
      <c r="A18">
        <v>17</v>
      </c>
      <c r="B18" s="179" t="s">
        <v>209</v>
      </c>
      <c r="C18" s="109">
        <v>0</v>
      </c>
      <c r="D18" s="109">
        <v>0</v>
      </c>
      <c r="E18" s="108">
        <v>0</v>
      </c>
      <c r="F18" s="108">
        <v>1</v>
      </c>
      <c r="G18" s="109">
        <v>0</v>
      </c>
      <c r="H18" s="109">
        <v>1</v>
      </c>
    </row>
    <row r="19" spans="1:8" ht="15" customHeight="1" x14ac:dyDescent="0.15">
      <c r="A19">
        <v>18</v>
      </c>
      <c r="B19" s="179" t="s">
        <v>210</v>
      </c>
      <c r="C19" s="109">
        <v>0</v>
      </c>
      <c r="D19" s="109">
        <v>0</v>
      </c>
      <c r="E19" s="108">
        <v>0</v>
      </c>
      <c r="F19" s="108">
        <v>1</v>
      </c>
      <c r="G19" s="109">
        <v>0</v>
      </c>
      <c r="H19" s="109">
        <v>1</v>
      </c>
    </row>
    <row r="20" spans="1:8" ht="15" customHeight="1" x14ac:dyDescent="0.15">
      <c r="A20">
        <v>19</v>
      </c>
      <c r="B20" s="179" t="s">
        <v>211</v>
      </c>
      <c r="C20" s="109">
        <v>0</v>
      </c>
      <c r="D20" s="109">
        <v>0</v>
      </c>
      <c r="E20" s="108">
        <v>0</v>
      </c>
      <c r="F20" s="108">
        <v>1</v>
      </c>
      <c r="G20" s="109">
        <v>0</v>
      </c>
      <c r="H20" s="109">
        <v>1</v>
      </c>
    </row>
    <row r="21" spans="1:8" ht="15" customHeight="1" x14ac:dyDescent="0.15">
      <c r="A21">
        <v>20</v>
      </c>
      <c r="B21" s="179" t="s">
        <v>212</v>
      </c>
      <c r="C21" s="109">
        <v>0</v>
      </c>
      <c r="D21" s="109">
        <v>0</v>
      </c>
      <c r="E21" s="108">
        <v>0</v>
      </c>
      <c r="F21" s="108">
        <v>1</v>
      </c>
      <c r="G21" s="109">
        <v>0</v>
      </c>
      <c r="H21" s="109">
        <v>1</v>
      </c>
    </row>
    <row r="22" spans="1:8" ht="15" customHeight="1" x14ac:dyDescent="0.15">
      <c r="A22">
        <v>21</v>
      </c>
      <c r="B22" s="179" t="s">
        <v>213</v>
      </c>
      <c r="C22" s="109">
        <v>0</v>
      </c>
      <c r="D22" s="109">
        <v>0</v>
      </c>
      <c r="E22" s="108">
        <v>0</v>
      </c>
      <c r="F22" s="108">
        <v>1</v>
      </c>
      <c r="G22" s="109">
        <v>0</v>
      </c>
      <c r="H22" s="109">
        <v>1</v>
      </c>
    </row>
    <row r="23" spans="1:8" ht="15" customHeight="1" x14ac:dyDescent="0.15">
      <c r="A23">
        <v>22</v>
      </c>
      <c r="B23" s="179" t="s">
        <v>214</v>
      </c>
      <c r="C23" s="109">
        <v>0</v>
      </c>
      <c r="D23" s="109">
        <v>0</v>
      </c>
      <c r="E23" s="108">
        <v>0</v>
      </c>
      <c r="F23" s="108">
        <v>1</v>
      </c>
      <c r="G23" s="109">
        <v>0</v>
      </c>
      <c r="H23" s="109">
        <v>1</v>
      </c>
    </row>
    <row r="24" spans="1:8" ht="15" customHeight="1" x14ac:dyDescent="0.15">
      <c r="A24">
        <v>23</v>
      </c>
      <c r="B24" s="179" t="s">
        <v>215</v>
      </c>
      <c r="C24" s="109">
        <v>0</v>
      </c>
      <c r="D24" s="109">
        <v>0</v>
      </c>
      <c r="E24" s="108">
        <v>0</v>
      </c>
      <c r="F24" s="108">
        <v>1</v>
      </c>
      <c r="G24" s="109">
        <v>0</v>
      </c>
      <c r="H24" s="109">
        <v>1</v>
      </c>
    </row>
    <row r="25" spans="1:8" ht="15" customHeight="1" x14ac:dyDescent="0.15">
      <c r="A25">
        <v>24</v>
      </c>
      <c r="B25" s="179" t="s">
        <v>216</v>
      </c>
      <c r="C25" s="109">
        <v>0.2</v>
      </c>
      <c r="D25" s="109">
        <v>0</v>
      </c>
      <c r="E25" s="108">
        <v>0</v>
      </c>
      <c r="F25" s="108">
        <v>0.8</v>
      </c>
      <c r="G25" s="109">
        <v>0</v>
      </c>
      <c r="H25" s="109">
        <v>1</v>
      </c>
    </row>
    <row r="26" spans="1:8" ht="15" customHeight="1" x14ac:dyDescent="0.15">
      <c r="A26">
        <v>25</v>
      </c>
      <c r="B26" s="179" t="s">
        <v>217</v>
      </c>
      <c r="C26" s="109">
        <v>0.2</v>
      </c>
      <c r="D26" s="109">
        <v>0</v>
      </c>
      <c r="E26" s="108">
        <v>0</v>
      </c>
      <c r="F26" s="108">
        <v>0.8</v>
      </c>
      <c r="G26" s="109">
        <v>0</v>
      </c>
      <c r="H26" s="109">
        <v>1</v>
      </c>
    </row>
    <row r="27" spans="1:8" ht="15" customHeight="1" x14ac:dyDescent="0.15">
      <c r="A27">
        <v>26</v>
      </c>
      <c r="B27" s="179" t="s">
        <v>218</v>
      </c>
      <c r="C27" s="109">
        <v>1</v>
      </c>
      <c r="D27" s="109">
        <v>0</v>
      </c>
      <c r="E27" s="108">
        <v>0</v>
      </c>
      <c r="F27" s="108">
        <v>0</v>
      </c>
      <c r="G27" s="109">
        <v>0</v>
      </c>
      <c r="H27" s="109">
        <v>1</v>
      </c>
    </row>
    <row r="28" spans="1:8" ht="15" customHeight="1" x14ac:dyDescent="0.15">
      <c r="A28">
        <v>27</v>
      </c>
      <c r="B28" s="179" t="s">
        <v>219</v>
      </c>
      <c r="C28" s="109">
        <v>1</v>
      </c>
      <c r="D28" s="109">
        <v>0</v>
      </c>
      <c r="E28" s="108">
        <v>0</v>
      </c>
      <c r="F28" s="108">
        <v>0</v>
      </c>
      <c r="G28" s="109">
        <v>0</v>
      </c>
      <c r="H28" s="109">
        <v>1</v>
      </c>
    </row>
    <row r="29" spans="1:8" ht="15" customHeight="1" x14ac:dyDescent="0.15">
      <c r="A29">
        <v>28</v>
      </c>
      <c r="B29" s="179" t="s">
        <v>220</v>
      </c>
      <c r="C29" s="109">
        <v>0</v>
      </c>
      <c r="D29" s="109">
        <v>0</v>
      </c>
      <c r="E29" s="108">
        <v>0</v>
      </c>
      <c r="F29" s="108">
        <v>1</v>
      </c>
      <c r="G29" s="109">
        <v>0</v>
      </c>
      <c r="H29" s="109">
        <v>1</v>
      </c>
    </row>
    <row r="30" spans="1:8" ht="15" customHeight="1" x14ac:dyDescent="0.15">
      <c r="A30">
        <v>29</v>
      </c>
      <c r="B30" s="179" t="s">
        <v>221</v>
      </c>
      <c r="C30" s="109">
        <v>0</v>
      </c>
      <c r="D30" s="109">
        <v>0</v>
      </c>
      <c r="E30" s="108">
        <v>0</v>
      </c>
      <c r="F30" s="108">
        <v>1</v>
      </c>
      <c r="G30" s="109">
        <v>0</v>
      </c>
      <c r="H30" s="109">
        <v>1</v>
      </c>
    </row>
    <row r="31" spans="1:8" ht="15" customHeight="1" x14ac:dyDescent="0.15">
      <c r="A31">
        <v>30</v>
      </c>
      <c r="B31" s="179" t="s">
        <v>222</v>
      </c>
      <c r="C31" s="109">
        <v>0.3</v>
      </c>
      <c r="D31" s="109">
        <v>0</v>
      </c>
      <c r="E31" s="108">
        <v>0</v>
      </c>
      <c r="F31" s="108">
        <v>0.7</v>
      </c>
      <c r="G31" s="109">
        <v>0</v>
      </c>
      <c r="H31" s="109">
        <v>1</v>
      </c>
    </row>
    <row r="32" spans="1:8" ht="15" customHeight="1" x14ac:dyDescent="0.15">
      <c r="A32">
        <v>31</v>
      </c>
      <c r="B32" s="179" t="s">
        <v>223</v>
      </c>
      <c r="C32" s="109">
        <v>1</v>
      </c>
      <c r="D32" s="109">
        <v>0</v>
      </c>
      <c r="E32" s="108">
        <v>0</v>
      </c>
      <c r="F32" s="108">
        <v>0</v>
      </c>
      <c r="G32" s="109">
        <v>0</v>
      </c>
      <c r="H32" s="109">
        <v>1</v>
      </c>
    </row>
    <row r="33" spans="1:8" ht="15" customHeight="1" x14ac:dyDescent="0.15">
      <c r="A33">
        <v>32</v>
      </c>
      <c r="B33" s="179" t="s">
        <v>224</v>
      </c>
      <c r="C33" s="109">
        <v>1</v>
      </c>
      <c r="D33" s="109">
        <v>0</v>
      </c>
      <c r="E33" s="108">
        <v>0</v>
      </c>
      <c r="F33" s="108">
        <v>0</v>
      </c>
      <c r="G33" s="109">
        <v>0</v>
      </c>
      <c r="H33" s="109">
        <v>1</v>
      </c>
    </row>
    <row r="34" spans="1:8" ht="15" customHeight="1" x14ac:dyDescent="0.15">
      <c r="A34">
        <v>33</v>
      </c>
      <c r="B34" s="179" t="s">
        <v>225</v>
      </c>
      <c r="C34" s="109">
        <v>0</v>
      </c>
      <c r="D34" s="109">
        <v>0</v>
      </c>
      <c r="E34" s="108">
        <v>0</v>
      </c>
      <c r="F34" s="108">
        <v>1</v>
      </c>
      <c r="G34" s="109">
        <v>0</v>
      </c>
      <c r="H34" s="109">
        <v>1</v>
      </c>
    </row>
    <row r="35" spans="1:8" ht="15" customHeight="1" x14ac:dyDescent="0.15">
      <c r="A35">
        <v>34</v>
      </c>
      <c r="B35" s="179" t="s">
        <v>226</v>
      </c>
      <c r="C35" s="109">
        <v>0</v>
      </c>
      <c r="D35" s="109">
        <v>0</v>
      </c>
      <c r="E35" s="108">
        <v>0.83</v>
      </c>
      <c r="F35" s="108">
        <v>0</v>
      </c>
      <c r="G35" s="109">
        <v>0.17000000000000004</v>
      </c>
      <c r="H35" s="109">
        <v>1</v>
      </c>
    </row>
    <row r="36" spans="1:8" ht="15" customHeight="1" x14ac:dyDescent="0.15">
      <c r="A36">
        <v>35</v>
      </c>
      <c r="B36" s="179" t="s">
        <v>227</v>
      </c>
      <c r="C36" s="109">
        <v>0</v>
      </c>
      <c r="D36" s="109">
        <v>0</v>
      </c>
      <c r="E36" s="109">
        <v>0</v>
      </c>
      <c r="F36" s="109">
        <v>0.8</v>
      </c>
      <c r="G36" s="109">
        <v>0.19999999999999996</v>
      </c>
      <c r="H36" s="109">
        <v>1</v>
      </c>
    </row>
    <row r="37" spans="1:8" ht="15" customHeight="1" x14ac:dyDescent="0.15">
      <c r="A37">
        <v>36</v>
      </c>
      <c r="B37" s="179" t="s">
        <v>228</v>
      </c>
      <c r="C37" s="109">
        <v>0</v>
      </c>
      <c r="D37" s="109">
        <v>0</v>
      </c>
      <c r="E37" s="109">
        <v>0</v>
      </c>
      <c r="F37" s="109">
        <v>0</v>
      </c>
      <c r="G37" s="109">
        <v>1</v>
      </c>
      <c r="H37" s="109">
        <v>1</v>
      </c>
    </row>
    <row r="38" spans="1:8" ht="15" customHeight="1" x14ac:dyDescent="0.15">
      <c r="A38">
        <v>37</v>
      </c>
      <c r="B38" s="179" t="s">
        <v>229</v>
      </c>
      <c r="C38" s="109">
        <v>0</v>
      </c>
      <c r="D38" s="109">
        <v>0</v>
      </c>
      <c r="E38" s="109">
        <v>0</v>
      </c>
      <c r="F38" s="109">
        <v>1</v>
      </c>
      <c r="G38" s="109">
        <v>0</v>
      </c>
      <c r="H38" s="109">
        <v>1</v>
      </c>
    </row>
    <row r="39" spans="1:8" ht="15" customHeight="1" x14ac:dyDescent="0.15">
      <c r="A39">
        <v>38</v>
      </c>
      <c r="B39" s="179" t="s">
        <v>230</v>
      </c>
      <c r="C39" s="109">
        <v>0</v>
      </c>
      <c r="D39" s="109">
        <v>0</v>
      </c>
      <c r="E39" s="109">
        <v>0</v>
      </c>
      <c r="F39" s="109">
        <v>1</v>
      </c>
      <c r="G39" s="109">
        <v>0</v>
      </c>
      <c r="H39" s="109">
        <v>1</v>
      </c>
    </row>
    <row r="40" spans="1:8" ht="15" customHeight="1" x14ac:dyDescent="0.15">
      <c r="C40"/>
      <c r="D40"/>
      <c r="E40" s="109"/>
      <c r="F40" s="109"/>
      <c r="G40"/>
      <c r="H40"/>
    </row>
    <row r="41" spans="1:8" ht="15" customHeight="1" x14ac:dyDescent="0.15">
      <c r="C41"/>
      <c r="D41"/>
      <c r="E41" s="109"/>
      <c r="F41" s="109"/>
      <c r="G41"/>
      <c r="H41"/>
    </row>
    <row r="42" spans="1:8" ht="15" customHeight="1" x14ac:dyDescent="0.15">
      <c r="C42"/>
      <c r="D42"/>
      <c r="E42" s="109"/>
      <c r="F42" s="109"/>
      <c r="G42"/>
      <c r="H42"/>
    </row>
    <row r="43" spans="1:8" ht="15" customHeight="1" x14ac:dyDescent="0.15">
      <c r="C43"/>
      <c r="D43"/>
      <c r="E43" s="109"/>
      <c r="F43" s="109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09"/>
      <c r="F46" s="109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1.83203125" bestFit="1" customWidth="1"/>
    <col min="3" max="3" width="11.83203125" bestFit="1" customWidth="1"/>
    <col min="4" max="4" width="9.83203125" bestFit="1" customWidth="1"/>
    <col min="5" max="5" width="11.83203125" bestFit="1" customWidth="1"/>
  </cols>
  <sheetData>
    <row r="1" spans="1:5" s="110" customFormat="1" ht="112" x14ac:dyDescent="0.15">
      <c r="A1" s="5" t="s">
        <v>21</v>
      </c>
      <c r="B1" s="3" t="s">
        <v>0</v>
      </c>
      <c r="C1" s="182" t="s">
        <v>229</v>
      </c>
      <c r="D1" s="182" t="s">
        <v>230</v>
      </c>
      <c r="E1" s="182" t="s">
        <v>234</v>
      </c>
    </row>
    <row r="2" spans="1:5" ht="15" customHeight="1" x14ac:dyDescent="0.15">
      <c r="A2">
        <v>1</v>
      </c>
      <c r="B2" s="181" t="s">
        <v>193</v>
      </c>
      <c r="C2">
        <v>0</v>
      </c>
      <c r="D2">
        <v>0</v>
      </c>
      <c r="E2">
        <v>0</v>
      </c>
    </row>
    <row r="3" spans="1:5" ht="15" customHeight="1" x14ac:dyDescent="0.15">
      <c r="A3">
        <v>2</v>
      </c>
      <c r="B3" s="181" t="s">
        <v>194</v>
      </c>
      <c r="C3">
        <v>0</v>
      </c>
      <c r="D3">
        <v>0</v>
      </c>
      <c r="E3">
        <v>0</v>
      </c>
    </row>
    <row r="4" spans="1:5" ht="15" customHeight="1" x14ac:dyDescent="0.15">
      <c r="A4">
        <v>3</v>
      </c>
      <c r="B4" s="181" t="s">
        <v>195</v>
      </c>
      <c r="C4">
        <v>0</v>
      </c>
      <c r="D4">
        <v>0</v>
      </c>
      <c r="E4">
        <v>0</v>
      </c>
    </row>
    <row r="5" spans="1:5" ht="15" customHeight="1" x14ac:dyDescent="0.15">
      <c r="A5">
        <v>4</v>
      </c>
      <c r="B5" s="181" t="s">
        <v>196</v>
      </c>
      <c r="C5">
        <v>0</v>
      </c>
      <c r="D5">
        <v>0</v>
      </c>
      <c r="E5">
        <v>0</v>
      </c>
    </row>
    <row r="6" spans="1:5" ht="15" customHeight="1" x14ac:dyDescent="0.15">
      <c r="A6">
        <v>5</v>
      </c>
      <c r="B6" s="181" t="s">
        <v>197</v>
      </c>
      <c r="C6">
        <v>0</v>
      </c>
      <c r="D6">
        <v>0</v>
      </c>
      <c r="E6">
        <v>0</v>
      </c>
    </row>
    <row r="7" spans="1:5" ht="15" customHeight="1" x14ac:dyDescent="0.15">
      <c r="A7">
        <v>6</v>
      </c>
      <c r="B7" s="181" t="s">
        <v>198</v>
      </c>
      <c r="C7">
        <v>0</v>
      </c>
      <c r="D7">
        <v>2.9E-5</v>
      </c>
      <c r="E7">
        <v>2.9E-5</v>
      </c>
    </row>
    <row r="8" spans="1:5" ht="15" customHeight="1" x14ac:dyDescent="0.15">
      <c r="A8">
        <v>7</v>
      </c>
      <c r="B8" s="181" t="s">
        <v>199</v>
      </c>
      <c r="C8">
        <v>0</v>
      </c>
      <c r="D8">
        <v>3.2288E-3</v>
      </c>
      <c r="E8">
        <v>3.2288E-3</v>
      </c>
    </row>
    <row r="9" spans="1:5" ht="15" customHeight="1" x14ac:dyDescent="0.15">
      <c r="A9">
        <v>8</v>
      </c>
      <c r="B9" s="181" t="s">
        <v>200</v>
      </c>
      <c r="C9">
        <v>1.2430000000000001E-4</v>
      </c>
      <c r="D9">
        <v>0</v>
      </c>
      <c r="E9">
        <v>1.2430000000000001E-4</v>
      </c>
    </row>
    <row r="10" spans="1:5" ht="15" customHeight="1" x14ac:dyDescent="0.15">
      <c r="A10">
        <v>9</v>
      </c>
      <c r="B10" s="181" t="s">
        <v>201</v>
      </c>
      <c r="C10">
        <v>0</v>
      </c>
      <c r="D10">
        <v>0</v>
      </c>
      <c r="E10">
        <v>0</v>
      </c>
    </row>
    <row r="11" spans="1:5" ht="15" customHeight="1" x14ac:dyDescent="0.15">
      <c r="A11">
        <v>10</v>
      </c>
      <c r="B11" s="181" t="s">
        <v>202</v>
      </c>
      <c r="C11">
        <v>0</v>
      </c>
      <c r="D11">
        <v>0</v>
      </c>
      <c r="E11">
        <v>0</v>
      </c>
    </row>
    <row r="12" spans="1:5" ht="15" customHeight="1" x14ac:dyDescent="0.15">
      <c r="A12">
        <v>11</v>
      </c>
      <c r="B12" s="181" t="s">
        <v>203</v>
      </c>
      <c r="C12">
        <v>2.2883300000000001E-4</v>
      </c>
      <c r="D12">
        <v>0</v>
      </c>
      <c r="E12">
        <v>2.2883300000000001E-4</v>
      </c>
    </row>
    <row r="13" spans="1:5" ht="15" customHeight="1" x14ac:dyDescent="0.15">
      <c r="A13">
        <v>12</v>
      </c>
      <c r="B13" s="181" t="s">
        <v>204</v>
      </c>
      <c r="C13">
        <v>8.0580000000000004E-5</v>
      </c>
      <c r="D13">
        <v>0</v>
      </c>
      <c r="E13">
        <v>8.0580000000000004E-5</v>
      </c>
    </row>
    <row r="14" spans="1:5" ht="15" customHeight="1" x14ac:dyDescent="0.15">
      <c r="A14">
        <v>13</v>
      </c>
      <c r="B14" s="181" t="s">
        <v>205</v>
      </c>
      <c r="C14">
        <v>0</v>
      </c>
      <c r="D14">
        <v>0</v>
      </c>
      <c r="E14">
        <v>0</v>
      </c>
    </row>
    <row r="15" spans="1:5" ht="15" customHeight="1" x14ac:dyDescent="0.15">
      <c r="A15">
        <v>14</v>
      </c>
      <c r="B15" s="181" t="s">
        <v>206</v>
      </c>
      <c r="C15">
        <v>0</v>
      </c>
      <c r="D15">
        <v>0</v>
      </c>
      <c r="E15">
        <v>0</v>
      </c>
    </row>
    <row r="16" spans="1:5" ht="15" customHeight="1" x14ac:dyDescent="0.15">
      <c r="A16">
        <v>15</v>
      </c>
      <c r="B16" s="181" t="s">
        <v>207</v>
      </c>
      <c r="C16">
        <v>0</v>
      </c>
      <c r="D16">
        <v>0</v>
      </c>
      <c r="E16">
        <v>0</v>
      </c>
    </row>
    <row r="17" spans="1:5" ht="15" customHeight="1" x14ac:dyDescent="0.15">
      <c r="A17">
        <v>16</v>
      </c>
      <c r="B17" s="181" t="s">
        <v>208</v>
      </c>
      <c r="C17">
        <v>0</v>
      </c>
      <c r="D17">
        <v>0</v>
      </c>
      <c r="E17">
        <v>0</v>
      </c>
    </row>
    <row r="18" spans="1:5" ht="15" customHeight="1" x14ac:dyDescent="0.15">
      <c r="A18">
        <v>17</v>
      </c>
      <c r="B18" s="181" t="s">
        <v>209</v>
      </c>
      <c r="C18">
        <v>0</v>
      </c>
      <c r="D18">
        <v>1.8349600000000001E-2</v>
      </c>
      <c r="E18">
        <v>1.8349600000000001E-2</v>
      </c>
    </row>
    <row r="19" spans="1:5" ht="15" customHeight="1" x14ac:dyDescent="0.15">
      <c r="A19">
        <v>18</v>
      </c>
      <c r="B19" s="181" t="s">
        <v>210</v>
      </c>
      <c r="C19">
        <v>0</v>
      </c>
      <c r="D19">
        <v>0</v>
      </c>
      <c r="E19">
        <v>0</v>
      </c>
    </row>
    <row r="20" spans="1:5" ht="15" customHeight="1" x14ac:dyDescent="0.15">
      <c r="A20">
        <v>19</v>
      </c>
      <c r="B20" s="181" t="s">
        <v>211</v>
      </c>
      <c r="C20">
        <v>0</v>
      </c>
      <c r="D20">
        <v>0</v>
      </c>
      <c r="E20">
        <v>0</v>
      </c>
    </row>
    <row r="21" spans="1:5" ht="15" customHeight="1" x14ac:dyDescent="0.15">
      <c r="A21">
        <v>20</v>
      </c>
      <c r="B21" s="181" t="s">
        <v>212</v>
      </c>
      <c r="C21">
        <v>0</v>
      </c>
      <c r="D21">
        <v>0</v>
      </c>
      <c r="E21">
        <v>0</v>
      </c>
    </row>
    <row r="22" spans="1:5" ht="15" customHeight="1" x14ac:dyDescent="0.15">
      <c r="A22">
        <v>21</v>
      </c>
      <c r="B22" s="181" t="s">
        <v>213</v>
      </c>
      <c r="C22">
        <v>0</v>
      </c>
      <c r="D22">
        <v>0</v>
      </c>
      <c r="E22">
        <v>0</v>
      </c>
    </row>
    <row r="23" spans="1:5" ht="15" customHeight="1" x14ac:dyDescent="0.15">
      <c r="A23">
        <v>22</v>
      </c>
      <c r="B23" s="181" t="s">
        <v>214</v>
      </c>
      <c r="C23">
        <v>0</v>
      </c>
      <c r="D23">
        <v>0</v>
      </c>
      <c r="E23">
        <v>0</v>
      </c>
    </row>
    <row r="24" spans="1:5" ht="15" customHeight="1" x14ac:dyDescent="0.15">
      <c r="A24">
        <v>23</v>
      </c>
      <c r="B24" s="181" t="s">
        <v>215</v>
      </c>
      <c r="C24">
        <v>0</v>
      </c>
      <c r="D24">
        <v>0</v>
      </c>
      <c r="E24">
        <v>0</v>
      </c>
    </row>
    <row r="25" spans="1:5" ht="15" customHeight="1" x14ac:dyDescent="0.15">
      <c r="A25">
        <v>24</v>
      </c>
      <c r="B25" s="181" t="s">
        <v>216</v>
      </c>
      <c r="C25">
        <v>0</v>
      </c>
      <c r="D25">
        <v>0</v>
      </c>
      <c r="E25">
        <v>0</v>
      </c>
    </row>
    <row r="26" spans="1:5" ht="15" customHeight="1" x14ac:dyDescent="0.15">
      <c r="A26">
        <v>25</v>
      </c>
      <c r="B26" s="181" t="s">
        <v>217</v>
      </c>
      <c r="C26">
        <v>0</v>
      </c>
      <c r="D26">
        <v>0</v>
      </c>
      <c r="E26">
        <v>0</v>
      </c>
    </row>
    <row r="27" spans="1:5" ht="15" customHeight="1" x14ac:dyDescent="0.15">
      <c r="A27">
        <v>26</v>
      </c>
      <c r="B27" s="181" t="s">
        <v>218</v>
      </c>
      <c r="C27">
        <v>0</v>
      </c>
      <c r="D27">
        <v>0</v>
      </c>
      <c r="E27">
        <v>0</v>
      </c>
    </row>
    <row r="28" spans="1:5" ht="15" customHeight="1" x14ac:dyDescent="0.15">
      <c r="A28">
        <v>27</v>
      </c>
      <c r="B28" s="181" t="s">
        <v>219</v>
      </c>
      <c r="C28">
        <v>0</v>
      </c>
      <c r="D28">
        <v>0</v>
      </c>
      <c r="E28">
        <v>0</v>
      </c>
    </row>
    <row r="29" spans="1:5" ht="15" customHeight="1" x14ac:dyDescent="0.15">
      <c r="A29">
        <v>28</v>
      </c>
      <c r="B29" s="181" t="s">
        <v>220</v>
      </c>
      <c r="C29">
        <v>0</v>
      </c>
      <c r="D29">
        <v>0</v>
      </c>
      <c r="E29">
        <v>0</v>
      </c>
    </row>
    <row r="30" spans="1:5" ht="15" customHeight="1" x14ac:dyDescent="0.15">
      <c r="A30">
        <v>29</v>
      </c>
      <c r="B30" s="181" t="s">
        <v>221</v>
      </c>
      <c r="C30">
        <v>0</v>
      </c>
      <c r="D30">
        <v>0</v>
      </c>
      <c r="E30">
        <v>0</v>
      </c>
    </row>
    <row r="31" spans="1:5" ht="15" customHeight="1" x14ac:dyDescent="0.15">
      <c r="A31">
        <v>30</v>
      </c>
      <c r="B31" s="181" t="s">
        <v>222</v>
      </c>
      <c r="C31">
        <v>0</v>
      </c>
      <c r="D31">
        <v>0</v>
      </c>
      <c r="E31">
        <v>0</v>
      </c>
    </row>
    <row r="32" spans="1:5" ht="15" customHeight="1" x14ac:dyDescent="0.15">
      <c r="A32">
        <v>31</v>
      </c>
      <c r="B32" s="181" t="s">
        <v>223</v>
      </c>
      <c r="C32">
        <v>0</v>
      </c>
      <c r="D32">
        <v>0</v>
      </c>
      <c r="E32">
        <v>0</v>
      </c>
    </row>
    <row r="33" spans="1:5" ht="15" customHeight="1" x14ac:dyDescent="0.15">
      <c r="A33">
        <v>32</v>
      </c>
      <c r="B33" s="181" t="s">
        <v>224</v>
      </c>
      <c r="C33">
        <v>0</v>
      </c>
      <c r="D33">
        <v>0</v>
      </c>
      <c r="E33">
        <v>0</v>
      </c>
    </row>
    <row r="34" spans="1:5" ht="15" customHeight="1" x14ac:dyDescent="0.15">
      <c r="A34">
        <v>33</v>
      </c>
      <c r="B34" s="181" t="s">
        <v>225</v>
      </c>
      <c r="C34">
        <v>0</v>
      </c>
      <c r="D34">
        <v>0</v>
      </c>
      <c r="E34">
        <v>0</v>
      </c>
    </row>
    <row r="35" spans="1:5" ht="15" customHeight="1" x14ac:dyDescent="0.15">
      <c r="A35">
        <v>34</v>
      </c>
      <c r="B35" s="181" t="s">
        <v>226</v>
      </c>
      <c r="C35">
        <v>0</v>
      </c>
      <c r="D35">
        <v>0</v>
      </c>
      <c r="E35">
        <v>0</v>
      </c>
    </row>
    <row r="36" spans="1:5" ht="15" customHeight="1" x14ac:dyDescent="0.15">
      <c r="A36">
        <v>35</v>
      </c>
      <c r="B36" s="181" t="s">
        <v>227</v>
      </c>
      <c r="C36">
        <v>0</v>
      </c>
      <c r="D36">
        <v>0</v>
      </c>
      <c r="E36">
        <v>0</v>
      </c>
    </row>
    <row r="37" spans="1:5" ht="15" customHeight="1" x14ac:dyDescent="0.15">
      <c r="A37">
        <v>36</v>
      </c>
      <c r="B37" s="181" t="s">
        <v>228</v>
      </c>
      <c r="C37">
        <v>0</v>
      </c>
      <c r="D37">
        <v>0</v>
      </c>
      <c r="E37">
        <v>0</v>
      </c>
    </row>
    <row r="38" spans="1:5" ht="15" customHeight="1" x14ac:dyDescent="0.15"/>
    <row r="39" spans="1:5" ht="15" customHeight="1" x14ac:dyDescent="0.15"/>
    <row r="40" spans="1:5" ht="15" customHeight="1" x14ac:dyDescent="0.15"/>
    <row r="41" spans="1:5" ht="15" customHeight="1" x14ac:dyDescent="0.15"/>
    <row r="42" spans="1:5" ht="15" customHeight="1" x14ac:dyDescent="0.15"/>
    <row r="43" spans="1:5" ht="15" customHeight="1" x14ac:dyDescent="0.15"/>
    <row r="44" spans="1:5" ht="15" customHeight="1" x14ac:dyDescent="0.15"/>
    <row r="45" spans="1:5" ht="15" customHeight="1" x14ac:dyDescent="0.15"/>
    <row r="46" spans="1:5" ht="15" customHeight="1" x14ac:dyDescent="0.15"/>
    <row r="47" spans="1:5" ht="15" customHeight="1" x14ac:dyDescent="0.15"/>
    <row r="48" spans="1:5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E37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1.83203125" bestFit="1" customWidth="1"/>
    <col min="3" max="3" width="2.33203125" bestFit="1" customWidth="1"/>
    <col min="4" max="5" width="9.83203125" bestFit="1" customWidth="1"/>
  </cols>
  <sheetData>
    <row r="1" spans="1:5" s="110" customFormat="1" ht="112" x14ac:dyDescent="0.15">
      <c r="A1" s="5" t="s">
        <v>22</v>
      </c>
      <c r="B1" s="3" t="s">
        <v>0</v>
      </c>
      <c r="C1" s="184" t="s">
        <v>229</v>
      </c>
      <c r="D1" s="184" t="s">
        <v>230</v>
      </c>
      <c r="E1" s="184" t="s">
        <v>234</v>
      </c>
    </row>
    <row r="2" spans="1:5" x14ac:dyDescent="0.15">
      <c r="A2">
        <v>1</v>
      </c>
      <c r="B2" s="183" t="s">
        <v>193</v>
      </c>
      <c r="C2">
        <v>0</v>
      </c>
      <c r="D2">
        <v>0</v>
      </c>
      <c r="E2">
        <v>0</v>
      </c>
    </row>
    <row r="3" spans="1:5" x14ac:dyDescent="0.15">
      <c r="A3">
        <v>2</v>
      </c>
      <c r="B3" s="183" t="s">
        <v>194</v>
      </c>
      <c r="C3">
        <v>0</v>
      </c>
      <c r="D3">
        <v>0</v>
      </c>
      <c r="E3">
        <v>0</v>
      </c>
    </row>
    <row r="4" spans="1:5" x14ac:dyDescent="0.15">
      <c r="A4">
        <v>3</v>
      </c>
      <c r="B4" s="183" t="s">
        <v>195</v>
      </c>
      <c r="C4">
        <v>0</v>
      </c>
      <c r="D4">
        <v>3.4000000000000001E-6</v>
      </c>
      <c r="E4">
        <v>3.4000000000000001E-6</v>
      </c>
    </row>
    <row r="5" spans="1:5" x14ac:dyDescent="0.15">
      <c r="A5">
        <v>4</v>
      </c>
      <c r="B5" s="183" t="s">
        <v>196</v>
      </c>
      <c r="C5">
        <v>0</v>
      </c>
      <c r="D5">
        <v>2.0999999999999999E-5</v>
      </c>
      <c r="E5">
        <v>2.0999999999999999E-5</v>
      </c>
    </row>
    <row r="6" spans="1:5" x14ac:dyDescent="0.15">
      <c r="A6">
        <v>5</v>
      </c>
      <c r="B6" s="183" t="s">
        <v>197</v>
      </c>
      <c r="C6">
        <v>0</v>
      </c>
      <c r="D6">
        <v>1.9532E-3</v>
      </c>
      <c r="E6">
        <v>1.9532E-3</v>
      </c>
    </row>
    <row r="7" spans="1:5" x14ac:dyDescent="0.15">
      <c r="A7">
        <v>6</v>
      </c>
      <c r="B7" s="183" t="s">
        <v>198</v>
      </c>
      <c r="C7">
        <v>0</v>
      </c>
      <c r="D7">
        <v>0</v>
      </c>
      <c r="E7">
        <v>0</v>
      </c>
    </row>
    <row r="8" spans="1:5" x14ac:dyDescent="0.15">
      <c r="A8">
        <v>7</v>
      </c>
      <c r="B8" s="183" t="s">
        <v>199</v>
      </c>
      <c r="C8">
        <v>0</v>
      </c>
      <c r="D8">
        <v>0</v>
      </c>
      <c r="E8">
        <v>0</v>
      </c>
    </row>
    <row r="9" spans="1:5" x14ac:dyDescent="0.15">
      <c r="A9">
        <v>8</v>
      </c>
      <c r="B9" s="183" t="s">
        <v>200</v>
      </c>
      <c r="C9">
        <v>0</v>
      </c>
      <c r="D9">
        <v>0</v>
      </c>
      <c r="E9">
        <v>0</v>
      </c>
    </row>
    <row r="10" spans="1:5" x14ac:dyDescent="0.15">
      <c r="A10">
        <v>9</v>
      </c>
      <c r="B10" s="183" t="s">
        <v>201</v>
      </c>
      <c r="C10">
        <v>0</v>
      </c>
      <c r="D10">
        <v>4.3780000000000002E-4</v>
      </c>
      <c r="E10">
        <v>4.3780000000000002E-4</v>
      </c>
    </row>
    <row r="11" spans="1:5" x14ac:dyDescent="0.15">
      <c r="A11">
        <v>10</v>
      </c>
      <c r="B11" s="183" t="s">
        <v>202</v>
      </c>
      <c r="C11">
        <v>0</v>
      </c>
      <c r="D11">
        <v>0</v>
      </c>
      <c r="E11">
        <v>0</v>
      </c>
    </row>
    <row r="12" spans="1:5" x14ac:dyDescent="0.15">
      <c r="A12">
        <v>11</v>
      </c>
      <c r="B12" s="183" t="s">
        <v>203</v>
      </c>
      <c r="C12">
        <v>0</v>
      </c>
      <c r="D12">
        <v>0</v>
      </c>
      <c r="E12">
        <v>0</v>
      </c>
    </row>
    <row r="13" spans="1:5" x14ac:dyDescent="0.15">
      <c r="A13">
        <v>12</v>
      </c>
      <c r="B13" s="183" t="s">
        <v>204</v>
      </c>
      <c r="C13">
        <v>0</v>
      </c>
      <c r="D13">
        <v>0</v>
      </c>
      <c r="E13">
        <v>0</v>
      </c>
    </row>
    <row r="14" spans="1:5" x14ac:dyDescent="0.15">
      <c r="A14">
        <v>13</v>
      </c>
      <c r="B14" s="183" t="s">
        <v>205</v>
      </c>
      <c r="C14">
        <v>0</v>
      </c>
      <c r="D14">
        <v>0</v>
      </c>
      <c r="E14">
        <v>0</v>
      </c>
    </row>
    <row r="15" spans="1:5" x14ac:dyDescent="0.15">
      <c r="A15">
        <v>14</v>
      </c>
      <c r="B15" s="183" t="s">
        <v>206</v>
      </c>
      <c r="C15">
        <v>0</v>
      </c>
      <c r="D15">
        <v>0</v>
      </c>
      <c r="E15">
        <v>0</v>
      </c>
    </row>
    <row r="16" spans="1:5" x14ac:dyDescent="0.15">
      <c r="A16">
        <v>15</v>
      </c>
      <c r="B16" s="183" t="s">
        <v>207</v>
      </c>
      <c r="C16">
        <v>0</v>
      </c>
      <c r="D16">
        <v>0</v>
      </c>
      <c r="E16">
        <v>0</v>
      </c>
    </row>
    <row r="17" spans="1:5" x14ac:dyDescent="0.15">
      <c r="A17">
        <v>16</v>
      </c>
      <c r="B17" s="183" t="s">
        <v>208</v>
      </c>
      <c r="C17">
        <v>0</v>
      </c>
      <c r="D17">
        <v>0</v>
      </c>
      <c r="E17">
        <v>0</v>
      </c>
    </row>
    <row r="18" spans="1:5" x14ac:dyDescent="0.15">
      <c r="A18">
        <v>17</v>
      </c>
      <c r="B18" s="183" t="s">
        <v>209</v>
      </c>
      <c r="C18">
        <v>0</v>
      </c>
      <c r="D18">
        <v>0</v>
      </c>
      <c r="E18">
        <v>0</v>
      </c>
    </row>
    <row r="19" spans="1:5" x14ac:dyDescent="0.15">
      <c r="A19">
        <v>18</v>
      </c>
      <c r="B19" s="183" t="s">
        <v>210</v>
      </c>
      <c r="C19">
        <v>0</v>
      </c>
      <c r="D19">
        <v>0</v>
      </c>
      <c r="E19">
        <v>0</v>
      </c>
    </row>
    <row r="20" spans="1:5" x14ac:dyDescent="0.15">
      <c r="A20">
        <v>19</v>
      </c>
      <c r="B20" s="183" t="s">
        <v>211</v>
      </c>
      <c r="C20">
        <v>0</v>
      </c>
      <c r="D20">
        <v>0</v>
      </c>
      <c r="E20">
        <v>0</v>
      </c>
    </row>
    <row r="21" spans="1:5" x14ac:dyDescent="0.15">
      <c r="A21">
        <v>20</v>
      </c>
      <c r="B21" s="183" t="s">
        <v>212</v>
      </c>
      <c r="C21">
        <v>0</v>
      </c>
      <c r="D21">
        <v>0</v>
      </c>
      <c r="E21">
        <v>0</v>
      </c>
    </row>
    <row r="22" spans="1:5" x14ac:dyDescent="0.15">
      <c r="A22">
        <v>21</v>
      </c>
      <c r="B22" s="183" t="s">
        <v>213</v>
      </c>
      <c r="C22">
        <v>0</v>
      </c>
      <c r="D22">
        <v>0</v>
      </c>
      <c r="E22">
        <v>0</v>
      </c>
    </row>
    <row r="23" spans="1:5" x14ac:dyDescent="0.15">
      <c r="A23">
        <v>22</v>
      </c>
      <c r="B23" s="183" t="s">
        <v>214</v>
      </c>
      <c r="C23">
        <v>0</v>
      </c>
      <c r="D23">
        <v>0</v>
      </c>
      <c r="E23">
        <v>0</v>
      </c>
    </row>
    <row r="24" spans="1:5" x14ac:dyDescent="0.15">
      <c r="A24">
        <v>23</v>
      </c>
      <c r="B24" s="183" t="s">
        <v>215</v>
      </c>
      <c r="C24">
        <v>0</v>
      </c>
      <c r="D24">
        <v>0</v>
      </c>
      <c r="E24">
        <v>0</v>
      </c>
    </row>
    <row r="25" spans="1:5" x14ac:dyDescent="0.15">
      <c r="A25">
        <v>24</v>
      </c>
      <c r="B25" s="183" t="s">
        <v>216</v>
      </c>
      <c r="C25">
        <v>0</v>
      </c>
      <c r="D25">
        <v>0</v>
      </c>
      <c r="E25">
        <v>0</v>
      </c>
    </row>
    <row r="26" spans="1:5" x14ac:dyDescent="0.15">
      <c r="A26">
        <v>25</v>
      </c>
      <c r="B26" s="183" t="s">
        <v>217</v>
      </c>
      <c r="C26">
        <v>0</v>
      </c>
      <c r="D26">
        <v>0</v>
      </c>
      <c r="E26">
        <v>0</v>
      </c>
    </row>
    <row r="27" spans="1:5" x14ac:dyDescent="0.15">
      <c r="A27">
        <v>26</v>
      </c>
      <c r="B27" s="183" t="s">
        <v>218</v>
      </c>
      <c r="C27">
        <v>0</v>
      </c>
      <c r="D27">
        <v>0</v>
      </c>
      <c r="E27">
        <v>0</v>
      </c>
    </row>
    <row r="28" spans="1:5" x14ac:dyDescent="0.15">
      <c r="A28">
        <v>27</v>
      </c>
      <c r="B28" s="183" t="s">
        <v>219</v>
      </c>
      <c r="C28">
        <v>0</v>
      </c>
      <c r="D28">
        <v>0</v>
      </c>
      <c r="E28">
        <v>0</v>
      </c>
    </row>
    <row r="29" spans="1:5" x14ac:dyDescent="0.15">
      <c r="A29">
        <v>28</v>
      </c>
      <c r="B29" s="183" t="s">
        <v>220</v>
      </c>
      <c r="C29">
        <v>0</v>
      </c>
      <c r="D29">
        <v>0</v>
      </c>
      <c r="E29">
        <v>0</v>
      </c>
    </row>
    <row r="30" spans="1:5" x14ac:dyDescent="0.15">
      <c r="A30">
        <v>29</v>
      </c>
      <c r="B30" s="183" t="s">
        <v>221</v>
      </c>
      <c r="C30">
        <v>0</v>
      </c>
      <c r="D30">
        <v>0</v>
      </c>
      <c r="E30">
        <v>0</v>
      </c>
    </row>
    <row r="31" spans="1:5" x14ac:dyDescent="0.15">
      <c r="A31">
        <v>30</v>
      </c>
      <c r="B31" s="183" t="s">
        <v>222</v>
      </c>
      <c r="C31">
        <v>0</v>
      </c>
      <c r="D31">
        <v>0</v>
      </c>
      <c r="E31">
        <v>0</v>
      </c>
    </row>
    <row r="32" spans="1:5" x14ac:dyDescent="0.15">
      <c r="A32">
        <v>31</v>
      </c>
      <c r="B32" s="183" t="s">
        <v>223</v>
      </c>
      <c r="C32">
        <v>0</v>
      </c>
      <c r="D32">
        <v>0</v>
      </c>
      <c r="E32">
        <v>0</v>
      </c>
    </row>
    <row r="33" spans="1:5" x14ac:dyDescent="0.15">
      <c r="A33">
        <v>32</v>
      </c>
      <c r="B33" s="183" t="s">
        <v>224</v>
      </c>
      <c r="C33">
        <v>0</v>
      </c>
      <c r="D33">
        <v>0</v>
      </c>
      <c r="E33">
        <v>0</v>
      </c>
    </row>
    <row r="34" spans="1:5" x14ac:dyDescent="0.15">
      <c r="A34">
        <v>33</v>
      </c>
      <c r="B34" s="183" t="s">
        <v>225</v>
      </c>
      <c r="C34">
        <v>0</v>
      </c>
      <c r="D34">
        <v>0</v>
      </c>
      <c r="E34">
        <v>0</v>
      </c>
    </row>
    <row r="35" spans="1:5" x14ac:dyDescent="0.15">
      <c r="A35">
        <v>34</v>
      </c>
      <c r="B35" s="183" t="s">
        <v>226</v>
      </c>
      <c r="C35">
        <v>0</v>
      </c>
      <c r="D35">
        <v>0</v>
      </c>
      <c r="E35">
        <v>0</v>
      </c>
    </row>
    <row r="36" spans="1:5" x14ac:dyDescent="0.15">
      <c r="A36">
        <v>35</v>
      </c>
      <c r="B36" s="183" t="s">
        <v>227</v>
      </c>
      <c r="C36">
        <v>0</v>
      </c>
      <c r="D36">
        <v>0</v>
      </c>
      <c r="E36">
        <v>0</v>
      </c>
    </row>
    <row r="37" spans="1:5" x14ac:dyDescent="0.15">
      <c r="A37">
        <v>36</v>
      </c>
      <c r="B37" s="183" t="s">
        <v>228</v>
      </c>
      <c r="C37">
        <v>0</v>
      </c>
      <c r="D37">
        <v>0</v>
      </c>
      <c r="E37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31.83203125" bestFit="1" customWidth="1"/>
    <col min="6" max="6" width="4.83203125" bestFit="1" customWidth="1"/>
    <col min="7" max="9" width="3.83203125" bestFit="1" customWidth="1"/>
    <col min="10" max="11" width="4.83203125" style="109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1" customFormat="1" ht="14" thickBot="1" x14ac:dyDescent="0.2">
      <c r="D1" s="112" t="s">
        <v>8</v>
      </c>
      <c r="E1" s="112" t="s">
        <v>0</v>
      </c>
      <c r="F1" s="113" t="s">
        <v>99</v>
      </c>
      <c r="G1" s="114" t="s">
        <v>84</v>
      </c>
      <c r="H1" s="114" t="s">
        <v>85</v>
      </c>
      <c r="I1" s="114" t="s">
        <v>86</v>
      </c>
      <c r="J1" s="114" t="s">
        <v>87</v>
      </c>
      <c r="K1" s="114" t="s">
        <v>88</v>
      </c>
      <c r="L1" s="115" t="s">
        <v>89</v>
      </c>
      <c r="M1" s="115" t="s">
        <v>93</v>
      </c>
      <c r="N1" s="115" t="s">
        <v>92</v>
      </c>
      <c r="O1" s="115" t="s">
        <v>90</v>
      </c>
      <c r="P1" s="115" t="s">
        <v>91</v>
      </c>
      <c r="Q1" s="116" t="s">
        <v>94</v>
      </c>
      <c r="R1" s="116" t="s">
        <v>95</v>
      </c>
      <c r="S1" s="116" t="s">
        <v>96</v>
      </c>
      <c r="T1" s="116" t="s">
        <v>97</v>
      </c>
      <c r="U1" s="116" t="s">
        <v>98</v>
      </c>
      <c r="V1" s="114" t="s">
        <v>100</v>
      </c>
      <c r="W1" s="114" t="s">
        <v>101</v>
      </c>
      <c r="X1" s="114" t="s">
        <v>102</v>
      </c>
      <c r="Y1" s="114" t="s">
        <v>134</v>
      </c>
      <c r="Z1" s="115" t="s">
        <v>103</v>
      </c>
      <c r="AA1" s="115" t="s">
        <v>104</v>
      </c>
      <c r="AB1" s="115" t="s">
        <v>105</v>
      </c>
      <c r="AC1" s="117" t="s">
        <v>135</v>
      </c>
      <c r="AD1" s="116" t="s">
        <v>106</v>
      </c>
      <c r="AE1" s="116" t="s">
        <v>107</v>
      </c>
      <c r="AF1" s="116" t="s">
        <v>108</v>
      </c>
      <c r="AG1" s="116" t="s">
        <v>136</v>
      </c>
      <c r="AH1" s="114" t="s">
        <v>109</v>
      </c>
      <c r="AI1" s="114" t="s">
        <v>111</v>
      </c>
      <c r="AJ1" s="114" t="s">
        <v>110</v>
      </c>
      <c r="AK1" s="115" t="s">
        <v>115</v>
      </c>
      <c r="AL1" s="115" t="s">
        <v>116</v>
      </c>
      <c r="AM1" s="115" t="s">
        <v>117</v>
      </c>
      <c r="AN1" s="116" t="s">
        <v>112</v>
      </c>
      <c r="AO1" s="116" t="s">
        <v>113</v>
      </c>
      <c r="AP1" s="116" t="s">
        <v>114</v>
      </c>
    </row>
    <row r="2" spans="1:42" x14ac:dyDescent="0.15">
      <c r="A2" s="118" t="s">
        <v>74</v>
      </c>
      <c r="B2" s="119">
        <v>1</v>
      </c>
      <c r="D2">
        <v>1</v>
      </c>
      <c r="E2" s="185" t="s">
        <v>193</v>
      </c>
      <c r="F2">
        <v>0.98</v>
      </c>
      <c r="G2">
        <v>0.8</v>
      </c>
      <c r="H2">
        <v>0.8</v>
      </c>
      <c r="I2">
        <v>0.8</v>
      </c>
      <c r="J2" s="109">
        <v>0.25</v>
      </c>
      <c r="K2" s="109">
        <v>0.05</v>
      </c>
    </row>
    <row r="3" spans="1:42" x14ac:dyDescent="0.15">
      <c r="A3" s="118" t="s">
        <v>75</v>
      </c>
      <c r="B3" s="120">
        <v>1</v>
      </c>
      <c r="D3">
        <v>2</v>
      </c>
      <c r="E3" s="185" t="s">
        <v>194</v>
      </c>
      <c r="F3">
        <v>0.98</v>
      </c>
      <c r="G3">
        <v>0.8</v>
      </c>
      <c r="H3">
        <v>0.8</v>
      </c>
      <c r="I3">
        <v>0.8</v>
      </c>
      <c r="J3" s="109">
        <v>0.25</v>
      </c>
      <c r="K3" s="109">
        <v>0.05</v>
      </c>
    </row>
    <row r="4" spans="1:42" x14ac:dyDescent="0.15">
      <c r="A4" s="118" t="s">
        <v>76</v>
      </c>
      <c r="B4" s="120">
        <v>1</v>
      </c>
      <c r="D4">
        <v>3</v>
      </c>
      <c r="E4" s="185" t="s">
        <v>195</v>
      </c>
      <c r="F4">
        <v>0.98</v>
      </c>
      <c r="G4">
        <v>0.8</v>
      </c>
      <c r="H4">
        <v>0.8</v>
      </c>
      <c r="I4">
        <v>0.8</v>
      </c>
      <c r="J4" s="109">
        <v>0.25</v>
      </c>
      <c r="K4" s="109">
        <v>0.05</v>
      </c>
    </row>
    <row r="5" spans="1:42" x14ac:dyDescent="0.15">
      <c r="A5" s="118" t="s">
        <v>77</v>
      </c>
      <c r="B5" s="120">
        <v>1</v>
      </c>
      <c r="D5">
        <v>4</v>
      </c>
      <c r="E5" s="185" t="s">
        <v>196</v>
      </c>
      <c r="F5">
        <v>0.98</v>
      </c>
      <c r="G5">
        <v>0.8</v>
      </c>
      <c r="H5">
        <v>0.8</v>
      </c>
      <c r="I5">
        <v>0.8</v>
      </c>
      <c r="J5" s="109">
        <v>0.25</v>
      </c>
      <c r="K5" s="109">
        <v>0.05</v>
      </c>
    </row>
    <row r="6" spans="1:42" x14ac:dyDescent="0.15">
      <c r="A6" s="118" t="s">
        <v>78</v>
      </c>
      <c r="B6" s="120">
        <v>1</v>
      </c>
      <c r="D6">
        <v>5</v>
      </c>
      <c r="E6" s="185" t="s">
        <v>197</v>
      </c>
      <c r="F6">
        <v>0.98</v>
      </c>
      <c r="G6">
        <v>0.8</v>
      </c>
      <c r="H6">
        <v>0.8</v>
      </c>
      <c r="I6">
        <v>0.8</v>
      </c>
      <c r="J6" s="109">
        <v>0.25</v>
      </c>
      <c r="K6" s="109">
        <v>0.05</v>
      </c>
    </row>
    <row r="7" spans="1:42" x14ac:dyDescent="0.15">
      <c r="A7" s="118" t="s">
        <v>79</v>
      </c>
      <c r="B7" s="120">
        <v>1</v>
      </c>
      <c r="D7">
        <v>6</v>
      </c>
      <c r="E7" s="185" t="s">
        <v>198</v>
      </c>
      <c r="F7">
        <v>0.98</v>
      </c>
      <c r="G7">
        <v>0.8</v>
      </c>
      <c r="H7">
        <v>0.8</v>
      </c>
      <c r="I7">
        <v>0.8</v>
      </c>
      <c r="J7" s="109">
        <v>0.25</v>
      </c>
      <c r="K7" s="109">
        <v>0.05</v>
      </c>
    </row>
    <row r="8" spans="1:42" x14ac:dyDescent="0.15">
      <c r="A8" s="118" t="s">
        <v>80</v>
      </c>
      <c r="B8" s="120">
        <v>1</v>
      </c>
      <c r="D8">
        <v>7</v>
      </c>
      <c r="E8" s="185" t="s">
        <v>199</v>
      </c>
      <c r="F8">
        <v>0.98</v>
      </c>
      <c r="G8">
        <v>0.8</v>
      </c>
      <c r="H8">
        <v>0.8</v>
      </c>
      <c r="I8">
        <v>0.8</v>
      </c>
      <c r="J8" s="109">
        <v>0.25</v>
      </c>
      <c r="K8" s="109">
        <v>0.05</v>
      </c>
    </row>
    <row r="9" spans="1:42" x14ac:dyDescent="0.15">
      <c r="A9" s="118" t="s">
        <v>81</v>
      </c>
      <c r="B9" s="120">
        <v>0.1</v>
      </c>
      <c r="C9" s="60" t="s">
        <v>150</v>
      </c>
      <c r="D9">
        <v>8</v>
      </c>
      <c r="E9" s="185" t="s">
        <v>200</v>
      </c>
      <c r="F9">
        <v>0.98</v>
      </c>
      <c r="G9">
        <v>0.8</v>
      </c>
      <c r="H9">
        <v>0.8</v>
      </c>
      <c r="I9">
        <v>0.8</v>
      </c>
      <c r="J9" s="109">
        <v>0.25</v>
      </c>
      <c r="K9" s="109">
        <v>0.05</v>
      </c>
    </row>
    <row r="10" spans="1:42" ht="14" thickBot="1" x14ac:dyDescent="0.2">
      <c r="A10" s="118" t="s">
        <v>149</v>
      </c>
      <c r="B10" s="121">
        <f>1/3</f>
        <v>0.33333333333333331</v>
      </c>
      <c r="C10" s="60" t="s">
        <v>150</v>
      </c>
      <c r="D10">
        <v>9</v>
      </c>
      <c r="E10" s="185" t="s">
        <v>201</v>
      </c>
      <c r="F10">
        <v>0.98</v>
      </c>
      <c r="G10">
        <v>0.8</v>
      </c>
      <c r="H10">
        <v>0.8</v>
      </c>
      <c r="I10">
        <v>0.8</v>
      </c>
      <c r="J10" s="109">
        <v>0.25</v>
      </c>
      <c r="K10" s="109">
        <v>0.05</v>
      </c>
    </row>
    <row r="11" spans="1:42" x14ac:dyDescent="0.15">
      <c r="D11">
        <v>10</v>
      </c>
      <c r="E11" s="185" t="s">
        <v>202</v>
      </c>
      <c r="F11">
        <v>0.98</v>
      </c>
      <c r="G11">
        <v>0.8</v>
      </c>
      <c r="H11">
        <v>0.8</v>
      </c>
      <c r="I11">
        <v>0.8</v>
      </c>
      <c r="J11" s="109">
        <v>0.25</v>
      </c>
      <c r="K11" s="109">
        <v>0.05</v>
      </c>
    </row>
    <row r="12" spans="1:42" x14ac:dyDescent="0.15">
      <c r="D12">
        <v>11</v>
      </c>
      <c r="E12" s="185" t="s">
        <v>203</v>
      </c>
      <c r="F12">
        <v>0.98</v>
      </c>
      <c r="G12">
        <v>0.8</v>
      </c>
      <c r="H12">
        <v>0.8</v>
      </c>
      <c r="I12">
        <v>0.8</v>
      </c>
      <c r="J12" s="109">
        <v>0.25</v>
      </c>
      <c r="K12" s="109">
        <v>0.05</v>
      </c>
    </row>
    <row r="13" spans="1:42" x14ac:dyDescent="0.15">
      <c r="D13">
        <v>12</v>
      </c>
      <c r="E13" s="185" t="s">
        <v>204</v>
      </c>
      <c r="F13">
        <v>0.98</v>
      </c>
      <c r="G13">
        <v>0.8</v>
      </c>
      <c r="H13">
        <v>0.8</v>
      </c>
      <c r="I13">
        <v>0.8</v>
      </c>
      <c r="J13" s="109">
        <v>0.25</v>
      </c>
      <c r="K13" s="109">
        <v>0.05</v>
      </c>
    </row>
    <row r="14" spans="1:42" x14ac:dyDescent="0.15">
      <c r="D14">
        <v>13</v>
      </c>
      <c r="E14" s="185" t="s">
        <v>205</v>
      </c>
      <c r="F14">
        <v>0.98</v>
      </c>
      <c r="G14">
        <v>0.8</v>
      </c>
      <c r="H14">
        <v>0.8</v>
      </c>
      <c r="I14">
        <v>0.8</v>
      </c>
      <c r="J14" s="109">
        <v>0.25</v>
      </c>
      <c r="K14" s="109">
        <v>0.05</v>
      </c>
    </row>
    <row r="15" spans="1:42" x14ac:dyDescent="0.15">
      <c r="D15">
        <v>14</v>
      </c>
      <c r="E15" s="185" t="s">
        <v>206</v>
      </c>
      <c r="F15">
        <v>0.98</v>
      </c>
      <c r="G15">
        <v>0.8</v>
      </c>
      <c r="H15">
        <v>0.8</v>
      </c>
      <c r="I15">
        <v>0.8</v>
      </c>
      <c r="J15" s="109">
        <v>0.25</v>
      </c>
      <c r="K15" s="109">
        <v>0.05</v>
      </c>
    </row>
    <row r="16" spans="1:42" x14ac:dyDescent="0.15">
      <c r="D16">
        <v>15</v>
      </c>
      <c r="E16" s="185" t="s">
        <v>207</v>
      </c>
      <c r="F16">
        <v>0.98</v>
      </c>
      <c r="G16">
        <v>0.8</v>
      </c>
      <c r="H16">
        <v>0.8</v>
      </c>
      <c r="I16">
        <v>0.8</v>
      </c>
      <c r="J16" s="109">
        <v>0.25</v>
      </c>
      <c r="K16" s="109">
        <v>0.05</v>
      </c>
    </row>
    <row r="17" spans="4:33" ht="15" customHeight="1" x14ac:dyDescent="0.15">
      <c r="D17">
        <v>16</v>
      </c>
      <c r="E17" s="185" t="s">
        <v>208</v>
      </c>
      <c r="F17">
        <v>0.98</v>
      </c>
      <c r="G17">
        <v>0.8</v>
      </c>
      <c r="H17">
        <v>0.8</v>
      </c>
      <c r="I17">
        <v>0.8</v>
      </c>
      <c r="J17" s="109">
        <v>0.25</v>
      </c>
      <c r="K17" s="109">
        <v>0.05</v>
      </c>
    </row>
    <row r="18" spans="4:33" ht="15" customHeight="1" x14ac:dyDescent="0.15">
      <c r="D18">
        <v>17</v>
      </c>
      <c r="E18" s="185" t="s">
        <v>209</v>
      </c>
      <c r="F18">
        <v>0.98</v>
      </c>
      <c r="G18">
        <v>0.8</v>
      </c>
      <c r="H18">
        <v>0.8</v>
      </c>
      <c r="I18">
        <v>0.8</v>
      </c>
      <c r="J18" s="109">
        <v>0.25</v>
      </c>
      <c r="K18" s="109">
        <v>0.05</v>
      </c>
    </row>
    <row r="19" spans="4:33" ht="15" customHeight="1" x14ac:dyDescent="0.15">
      <c r="D19">
        <v>18</v>
      </c>
      <c r="E19" s="185" t="s">
        <v>210</v>
      </c>
      <c r="F19">
        <v>0.98</v>
      </c>
      <c r="G19">
        <v>0.8</v>
      </c>
      <c r="H19">
        <v>0.8</v>
      </c>
      <c r="I19">
        <v>0.8</v>
      </c>
      <c r="J19" s="109">
        <v>0.25</v>
      </c>
      <c r="K19" s="109">
        <v>0.05</v>
      </c>
    </row>
    <row r="20" spans="4:33" ht="15" customHeight="1" x14ac:dyDescent="0.15">
      <c r="D20">
        <v>19</v>
      </c>
      <c r="E20" s="185" t="s">
        <v>211</v>
      </c>
      <c r="F20">
        <v>0.98</v>
      </c>
      <c r="G20">
        <v>0.8</v>
      </c>
      <c r="H20">
        <v>0.8</v>
      </c>
      <c r="I20">
        <v>0.8</v>
      </c>
      <c r="J20" s="109">
        <v>0.25</v>
      </c>
      <c r="K20" s="109">
        <v>0.05</v>
      </c>
    </row>
    <row r="21" spans="4:33" ht="15" customHeight="1" x14ac:dyDescent="0.15">
      <c r="D21">
        <v>20</v>
      </c>
      <c r="E21" s="185" t="s">
        <v>212</v>
      </c>
      <c r="F21">
        <v>0.98</v>
      </c>
      <c r="G21">
        <v>0.8</v>
      </c>
      <c r="H21">
        <v>0.8</v>
      </c>
      <c r="I21">
        <v>0.8</v>
      </c>
      <c r="J21" s="109">
        <v>0.25</v>
      </c>
      <c r="K21" s="109">
        <v>0.05</v>
      </c>
    </row>
    <row r="22" spans="4:33" ht="15" customHeight="1" x14ac:dyDescent="0.15">
      <c r="D22">
        <v>21</v>
      </c>
      <c r="E22" s="185" t="s">
        <v>213</v>
      </c>
      <c r="F22">
        <v>0.98</v>
      </c>
      <c r="G22">
        <v>0.8</v>
      </c>
      <c r="H22">
        <v>0.8</v>
      </c>
      <c r="I22">
        <v>0.8</v>
      </c>
      <c r="J22" s="109">
        <v>0.25</v>
      </c>
      <c r="K22" s="109">
        <v>0.05</v>
      </c>
    </row>
    <row r="23" spans="4:33" ht="15" customHeight="1" x14ac:dyDescent="0.15">
      <c r="D23">
        <v>22</v>
      </c>
      <c r="E23" s="185" t="s">
        <v>214</v>
      </c>
      <c r="F23">
        <v>0.98</v>
      </c>
      <c r="G23">
        <v>0.8</v>
      </c>
      <c r="H23">
        <v>0.8</v>
      </c>
      <c r="I23">
        <v>0.8</v>
      </c>
      <c r="J23" s="109">
        <v>0.25</v>
      </c>
      <c r="K23" s="109">
        <v>0.05</v>
      </c>
    </row>
    <row r="24" spans="4:33" ht="15" customHeight="1" x14ac:dyDescent="0.15">
      <c r="D24">
        <v>23</v>
      </c>
      <c r="E24" s="185" t="s">
        <v>215</v>
      </c>
      <c r="F24">
        <v>0.98</v>
      </c>
      <c r="G24">
        <v>0.8</v>
      </c>
      <c r="H24">
        <v>0.8</v>
      </c>
      <c r="I24">
        <v>0.8</v>
      </c>
      <c r="J24" s="109">
        <v>0.25</v>
      </c>
      <c r="K24" s="109">
        <v>0.05</v>
      </c>
    </row>
    <row r="25" spans="4:33" ht="15" customHeight="1" x14ac:dyDescent="0.15">
      <c r="D25">
        <v>24</v>
      </c>
      <c r="E25" s="185" t="s">
        <v>216</v>
      </c>
      <c r="F25">
        <v>0.98</v>
      </c>
      <c r="G25">
        <v>0.8</v>
      </c>
      <c r="H25">
        <v>0.8</v>
      </c>
      <c r="I25">
        <v>0.8</v>
      </c>
      <c r="J25" s="109">
        <v>0.25</v>
      </c>
      <c r="K25" s="109">
        <v>0.05</v>
      </c>
    </row>
    <row r="26" spans="4:33" ht="15" customHeight="1" x14ac:dyDescent="0.15">
      <c r="D26">
        <v>25</v>
      </c>
      <c r="E26" s="185" t="s">
        <v>217</v>
      </c>
      <c r="F26">
        <v>0.98</v>
      </c>
      <c r="G26">
        <v>0.8</v>
      </c>
      <c r="H26">
        <v>0.8</v>
      </c>
      <c r="I26">
        <v>0.8</v>
      </c>
      <c r="J26" s="109">
        <v>0.25</v>
      </c>
      <c r="K26" s="109">
        <v>0.05</v>
      </c>
    </row>
    <row r="27" spans="4:33" ht="15" customHeight="1" x14ac:dyDescent="0.15">
      <c r="D27">
        <v>26</v>
      </c>
      <c r="E27" s="185" t="s">
        <v>218</v>
      </c>
      <c r="F27">
        <v>0.98</v>
      </c>
      <c r="G27">
        <v>0.8</v>
      </c>
      <c r="H27">
        <v>0.8</v>
      </c>
      <c r="I27">
        <v>0.8</v>
      </c>
      <c r="J27" s="109">
        <v>0.25</v>
      </c>
      <c r="K27" s="109">
        <v>0.05</v>
      </c>
    </row>
    <row r="28" spans="4:33" ht="15" customHeight="1" x14ac:dyDescent="0.15">
      <c r="D28">
        <v>27</v>
      </c>
      <c r="E28" s="185" t="s">
        <v>219</v>
      </c>
      <c r="F28">
        <v>0.98</v>
      </c>
      <c r="G28">
        <v>0.8</v>
      </c>
      <c r="H28">
        <v>0.8</v>
      </c>
      <c r="I28">
        <v>0.8</v>
      </c>
      <c r="J28" s="109">
        <v>0.25</v>
      </c>
      <c r="K28" s="109">
        <v>0.05</v>
      </c>
    </row>
    <row r="29" spans="4:33" ht="15" customHeight="1" x14ac:dyDescent="0.15">
      <c r="D29">
        <v>28</v>
      </c>
      <c r="E29" s="185" t="s">
        <v>220</v>
      </c>
      <c r="F29">
        <v>0.98</v>
      </c>
      <c r="G29">
        <v>0.8</v>
      </c>
      <c r="H29">
        <v>0.8</v>
      </c>
      <c r="I29">
        <v>0.8</v>
      </c>
      <c r="J29" s="109">
        <v>0.25</v>
      </c>
      <c r="K29" s="109">
        <v>0.05</v>
      </c>
      <c r="Y29"/>
      <c r="AC29"/>
      <c r="AG29"/>
    </row>
    <row r="30" spans="4:33" ht="15" customHeight="1" x14ac:dyDescent="0.15">
      <c r="D30">
        <v>29</v>
      </c>
      <c r="E30" s="185" t="s">
        <v>221</v>
      </c>
      <c r="F30">
        <v>0.98</v>
      </c>
      <c r="G30">
        <v>0.8</v>
      </c>
      <c r="H30">
        <v>0.8</v>
      </c>
      <c r="I30">
        <v>0.8</v>
      </c>
      <c r="J30" s="109">
        <v>0.25</v>
      </c>
      <c r="K30" s="109">
        <v>0.05</v>
      </c>
      <c r="Y30"/>
      <c r="AC30"/>
      <c r="AG30"/>
    </row>
    <row r="31" spans="4:33" ht="15" customHeight="1" x14ac:dyDescent="0.15">
      <c r="D31">
        <v>30</v>
      </c>
      <c r="E31" s="185" t="s">
        <v>222</v>
      </c>
      <c r="F31">
        <v>0.98</v>
      </c>
      <c r="G31">
        <v>0.8</v>
      </c>
      <c r="H31">
        <v>0.8</v>
      </c>
      <c r="I31">
        <v>0.8</v>
      </c>
      <c r="J31" s="109">
        <v>0.25</v>
      </c>
      <c r="K31" s="109">
        <v>0.05</v>
      </c>
      <c r="Y31"/>
      <c r="AC31"/>
      <c r="AG31"/>
    </row>
    <row r="32" spans="4:33" ht="15" customHeight="1" x14ac:dyDescent="0.15">
      <c r="D32">
        <v>31</v>
      </c>
      <c r="E32" s="185" t="s">
        <v>223</v>
      </c>
      <c r="F32">
        <v>0.98</v>
      </c>
      <c r="G32">
        <v>0.8</v>
      </c>
      <c r="H32">
        <v>0.8</v>
      </c>
      <c r="I32">
        <v>0</v>
      </c>
      <c r="J32" s="109">
        <v>0</v>
      </c>
      <c r="K32" s="109">
        <v>0</v>
      </c>
      <c r="Y32"/>
      <c r="AC32"/>
      <c r="AG32"/>
    </row>
    <row r="33" spans="4:33" ht="15" customHeight="1" x14ac:dyDescent="0.15">
      <c r="D33">
        <v>32</v>
      </c>
      <c r="E33" s="185" t="s">
        <v>224</v>
      </c>
      <c r="F33">
        <v>0.98</v>
      </c>
      <c r="G33">
        <v>0.8</v>
      </c>
      <c r="H33">
        <v>0.8</v>
      </c>
      <c r="I33">
        <v>0.8</v>
      </c>
      <c r="J33" s="109">
        <v>0.25</v>
      </c>
      <c r="K33" s="109">
        <v>0.05</v>
      </c>
      <c r="Y33"/>
      <c r="AC33"/>
      <c r="AG33"/>
    </row>
    <row r="34" spans="4:33" ht="15" customHeight="1" x14ac:dyDescent="0.15">
      <c r="D34">
        <v>33</v>
      </c>
      <c r="E34" s="185" t="s">
        <v>225</v>
      </c>
      <c r="F34">
        <v>0.98</v>
      </c>
      <c r="G34">
        <v>0.8</v>
      </c>
      <c r="H34">
        <v>0</v>
      </c>
      <c r="I34">
        <v>0</v>
      </c>
      <c r="J34" s="109">
        <v>0</v>
      </c>
      <c r="K34" s="109">
        <v>0</v>
      </c>
      <c r="Y34"/>
      <c r="AC34"/>
      <c r="AG34"/>
    </row>
    <row r="35" spans="4:33" ht="15" customHeight="1" x14ac:dyDescent="0.15">
      <c r="D35">
        <v>34</v>
      </c>
      <c r="E35" s="185" t="s">
        <v>226</v>
      </c>
      <c r="F35">
        <v>0.98</v>
      </c>
      <c r="G35">
        <v>0.8</v>
      </c>
      <c r="H35">
        <v>0</v>
      </c>
      <c r="I35">
        <v>0</v>
      </c>
      <c r="J35" s="109">
        <v>0</v>
      </c>
      <c r="K35" s="109">
        <v>0</v>
      </c>
      <c r="Y35"/>
      <c r="AC35"/>
      <c r="AG35"/>
    </row>
    <row r="36" spans="4:33" ht="15" customHeight="1" x14ac:dyDescent="0.15">
      <c r="D36">
        <v>35</v>
      </c>
      <c r="E36" s="185" t="s">
        <v>227</v>
      </c>
      <c r="F36">
        <v>0.98</v>
      </c>
      <c r="G36">
        <v>0.8</v>
      </c>
      <c r="H36">
        <v>0</v>
      </c>
      <c r="I36">
        <v>0</v>
      </c>
      <c r="J36" s="109">
        <v>0</v>
      </c>
      <c r="K36" s="109">
        <v>0</v>
      </c>
      <c r="Y36"/>
      <c r="AC36"/>
      <c r="AG36"/>
    </row>
    <row r="37" spans="4:33" ht="15" customHeight="1" x14ac:dyDescent="0.15">
      <c r="D37">
        <v>36</v>
      </c>
      <c r="E37" s="185" t="s">
        <v>228</v>
      </c>
      <c r="F37">
        <v>0.98</v>
      </c>
      <c r="G37">
        <v>0.8</v>
      </c>
      <c r="H37">
        <v>0</v>
      </c>
      <c r="I37">
        <v>0</v>
      </c>
      <c r="J37" s="109">
        <v>0</v>
      </c>
      <c r="K37" s="109">
        <v>0</v>
      </c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K38"/>
  <sheetViews>
    <sheetView workbookViewId="0">
      <selection activeCell="A3" sqref="A3"/>
    </sheetView>
  </sheetViews>
  <sheetFormatPr baseColWidth="10" defaultRowHeight="13" x14ac:dyDescent="0.15"/>
  <cols>
    <col min="1" max="1" width="31.83203125" style="107" bestFit="1" customWidth="1"/>
    <col min="2" max="31" width="3.83203125" style="107" customWidth="1"/>
    <col min="32" max="32" width="2.33203125" style="107" customWidth="1"/>
    <col min="33" max="33" width="3.83203125" style="107" customWidth="1"/>
    <col min="34" max="37" width="2.33203125" style="107" customWidth="1"/>
    <col min="38" max="16384" width="10.83203125" style="107"/>
  </cols>
  <sheetData>
    <row r="1" spans="1:37" x14ac:dyDescent="0.15">
      <c r="A1" s="62" t="s">
        <v>118</v>
      </c>
      <c r="B1" s="187" t="s">
        <v>193</v>
      </c>
      <c r="C1" s="187" t="s">
        <v>194</v>
      </c>
      <c r="D1" s="187" t="s">
        <v>195</v>
      </c>
      <c r="E1" s="187" t="s">
        <v>196</v>
      </c>
      <c r="F1" s="187" t="s">
        <v>197</v>
      </c>
      <c r="G1" s="187" t="s">
        <v>198</v>
      </c>
      <c r="H1" s="187" t="s">
        <v>199</v>
      </c>
      <c r="I1" s="187" t="s">
        <v>200</v>
      </c>
      <c r="J1" s="187" t="s">
        <v>201</v>
      </c>
      <c r="K1" s="187" t="s">
        <v>202</v>
      </c>
      <c r="L1" s="187" t="s">
        <v>203</v>
      </c>
      <c r="M1" s="187" t="s">
        <v>204</v>
      </c>
      <c r="N1" s="187" t="s">
        <v>205</v>
      </c>
      <c r="O1" s="187" t="s">
        <v>206</v>
      </c>
      <c r="P1" s="187" t="s">
        <v>207</v>
      </c>
      <c r="Q1" s="187" t="s">
        <v>208</v>
      </c>
      <c r="R1" s="187" t="s">
        <v>209</v>
      </c>
      <c r="S1" s="187" t="s">
        <v>210</v>
      </c>
      <c r="T1" s="187" t="s">
        <v>211</v>
      </c>
      <c r="U1" s="187" t="s">
        <v>212</v>
      </c>
      <c r="V1" s="187" t="s">
        <v>213</v>
      </c>
      <c r="W1" s="187" t="s">
        <v>214</v>
      </c>
      <c r="X1" s="187" t="s">
        <v>215</v>
      </c>
      <c r="Y1" s="187" t="s">
        <v>216</v>
      </c>
      <c r="Z1" s="187" t="s">
        <v>217</v>
      </c>
      <c r="AA1" s="187" t="s">
        <v>218</v>
      </c>
      <c r="AB1" s="187" t="s">
        <v>219</v>
      </c>
      <c r="AC1" s="187" t="s">
        <v>220</v>
      </c>
      <c r="AD1" s="187" t="s">
        <v>221</v>
      </c>
      <c r="AE1" s="187" t="s">
        <v>222</v>
      </c>
      <c r="AF1" s="187" t="s">
        <v>223</v>
      </c>
      <c r="AG1" s="187" t="s">
        <v>224</v>
      </c>
      <c r="AH1" s="187" t="s">
        <v>225</v>
      </c>
      <c r="AI1" s="187" t="s">
        <v>226</v>
      </c>
      <c r="AJ1" s="187" t="s">
        <v>227</v>
      </c>
      <c r="AK1" s="187" t="s">
        <v>228</v>
      </c>
    </row>
    <row r="2" spans="1:37" customFormat="1" x14ac:dyDescent="0.15">
      <c r="A2" s="186" t="s">
        <v>193</v>
      </c>
      <c r="B2" s="107">
        <v>0</v>
      </c>
      <c r="C2" s="107">
        <v>0</v>
      </c>
      <c r="D2" s="107">
        <v>0</v>
      </c>
      <c r="E2" s="107">
        <v>0</v>
      </c>
      <c r="F2" s="107">
        <v>0</v>
      </c>
      <c r="G2" s="107">
        <v>0</v>
      </c>
      <c r="H2" s="107">
        <v>0</v>
      </c>
      <c r="I2" s="107">
        <v>0</v>
      </c>
      <c r="J2" s="107">
        <v>0</v>
      </c>
      <c r="K2" s="107">
        <v>0</v>
      </c>
      <c r="L2" s="107">
        <v>0</v>
      </c>
      <c r="M2" s="107">
        <v>0</v>
      </c>
      <c r="N2" s="107">
        <v>0</v>
      </c>
      <c r="O2" s="107">
        <v>0</v>
      </c>
      <c r="P2" s="107">
        <v>0</v>
      </c>
      <c r="Q2" s="107">
        <v>0</v>
      </c>
      <c r="R2" s="107">
        <v>0</v>
      </c>
      <c r="S2" s="107">
        <v>0</v>
      </c>
      <c r="T2" s="107">
        <v>0</v>
      </c>
      <c r="U2" s="107">
        <v>0</v>
      </c>
      <c r="V2" s="107">
        <v>0</v>
      </c>
      <c r="W2" s="107">
        <v>0</v>
      </c>
      <c r="X2" s="107">
        <v>0</v>
      </c>
      <c r="Y2" s="107">
        <v>0</v>
      </c>
      <c r="Z2" s="107">
        <v>0</v>
      </c>
      <c r="AA2" s="107">
        <v>0</v>
      </c>
      <c r="AB2" s="107">
        <v>0</v>
      </c>
      <c r="AC2" s="107">
        <v>0</v>
      </c>
      <c r="AD2" s="107">
        <v>0</v>
      </c>
      <c r="AE2" s="107">
        <v>0</v>
      </c>
      <c r="AF2" s="107">
        <v>0</v>
      </c>
      <c r="AG2" s="107">
        <v>0</v>
      </c>
      <c r="AH2" s="107">
        <v>0</v>
      </c>
      <c r="AI2" s="107">
        <v>0</v>
      </c>
      <c r="AJ2" s="107">
        <v>0</v>
      </c>
      <c r="AK2" s="107">
        <v>0</v>
      </c>
    </row>
    <row r="3" spans="1:37" customFormat="1" x14ac:dyDescent="0.15">
      <c r="A3" s="186" t="s">
        <v>194</v>
      </c>
      <c r="B3" s="107">
        <v>0</v>
      </c>
      <c r="C3" s="107">
        <v>0</v>
      </c>
      <c r="D3" s="107">
        <v>0</v>
      </c>
      <c r="E3" s="107">
        <v>0</v>
      </c>
      <c r="F3" s="107">
        <v>0</v>
      </c>
      <c r="G3" s="107">
        <v>0</v>
      </c>
      <c r="H3" s="107">
        <v>0</v>
      </c>
      <c r="I3" s="107">
        <v>0</v>
      </c>
      <c r="J3" s="107">
        <v>0</v>
      </c>
      <c r="K3" s="107">
        <v>0</v>
      </c>
      <c r="L3" s="107">
        <v>0</v>
      </c>
      <c r="M3" s="107">
        <v>0</v>
      </c>
      <c r="N3" s="107">
        <v>0</v>
      </c>
      <c r="O3" s="107">
        <v>0</v>
      </c>
      <c r="P3" s="107">
        <v>0</v>
      </c>
      <c r="Q3" s="107">
        <v>0</v>
      </c>
      <c r="R3" s="107">
        <v>0</v>
      </c>
      <c r="S3" s="107">
        <v>0</v>
      </c>
      <c r="T3" s="107">
        <v>0</v>
      </c>
      <c r="U3" s="107">
        <v>0</v>
      </c>
      <c r="V3" s="107">
        <v>0</v>
      </c>
      <c r="W3" s="107">
        <v>0</v>
      </c>
      <c r="X3" s="107">
        <v>0</v>
      </c>
      <c r="Y3" s="107">
        <v>0</v>
      </c>
      <c r="Z3" s="107">
        <v>0</v>
      </c>
      <c r="AA3" s="107">
        <v>0</v>
      </c>
      <c r="AB3" s="107">
        <v>0</v>
      </c>
      <c r="AC3" s="107">
        <v>0</v>
      </c>
      <c r="AD3" s="107">
        <v>0</v>
      </c>
      <c r="AE3" s="107">
        <v>0</v>
      </c>
      <c r="AF3" s="107">
        <v>0</v>
      </c>
      <c r="AG3" s="107">
        <v>0</v>
      </c>
      <c r="AH3" s="107">
        <v>0</v>
      </c>
      <c r="AI3" s="107">
        <v>0</v>
      </c>
      <c r="AJ3" s="107">
        <v>0</v>
      </c>
      <c r="AK3" s="107">
        <v>0</v>
      </c>
    </row>
    <row r="4" spans="1:37" customFormat="1" x14ac:dyDescent="0.15">
      <c r="A4" s="186" t="s">
        <v>195</v>
      </c>
      <c r="B4" s="107">
        <v>0</v>
      </c>
      <c r="C4" s="107">
        <v>0</v>
      </c>
      <c r="D4" s="107">
        <v>0</v>
      </c>
      <c r="E4" s="107">
        <v>0</v>
      </c>
      <c r="F4" s="107">
        <v>0</v>
      </c>
      <c r="G4" s="107">
        <v>0</v>
      </c>
      <c r="H4" s="107">
        <v>0</v>
      </c>
      <c r="I4" s="107">
        <v>0</v>
      </c>
      <c r="J4" s="107">
        <v>0</v>
      </c>
      <c r="K4" s="107">
        <v>0</v>
      </c>
      <c r="L4" s="107">
        <v>0</v>
      </c>
      <c r="M4" s="107">
        <v>0</v>
      </c>
      <c r="N4" s="107">
        <v>0</v>
      </c>
      <c r="O4" s="107">
        <v>0</v>
      </c>
      <c r="P4" s="107">
        <v>0</v>
      </c>
      <c r="Q4" s="107">
        <v>0</v>
      </c>
      <c r="R4" s="107">
        <v>0</v>
      </c>
      <c r="S4" s="107">
        <v>0</v>
      </c>
      <c r="T4" s="107">
        <v>0</v>
      </c>
      <c r="U4" s="107">
        <v>0</v>
      </c>
      <c r="V4" s="107">
        <v>0</v>
      </c>
      <c r="W4" s="107">
        <v>0</v>
      </c>
      <c r="X4" s="107">
        <v>0</v>
      </c>
      <c r="Y4" s="107">
        <v>0</v>
      </c>
      <c r="Z4" s="107">
        <v>0</v>
      </c>
      <c r="AA4" s="107">
        <v>0</v>
      </c>
      <c r="AB4" s="107">
        <v>0</v>
      </c>
      <c r="AC4" s="107">
        <v>0</v>
      </c>
      <c r="AD4" s="107">
        <v>0</v>
      </c>
      <c r="AE4" s="107">
        <v>0</v>
      </c>
      <c r="AF4" s="107">
        <v>0</v>
      </c>
      <c r="AG4" s="107">
        <v>0</v>
      </c>
      <c r="AH4" s="107">
        <v>0</v>
      </c>
      <c r="AI4" s="107">
        <v>0</v>
      </c>
      <c r="AJ4" s="107">
        <v>0</v>
      </c>
      <c r="AK4" s="107">
        <v>0</v>
      </c>
    </row>
    <row r="5" spans="1:37" customFormat="1" x14ac:dyDescent="0.15">
      <c r="A5" s="186" t="s">
        <v>196</v>
      </c>
      <c r="B5" s="107">
        <v>0</v>
      </c>
      <c r="C5" s="107">
        <v>0</v>
      </c>
      <c r="D5" s="107">
        <v>0</v>
      </c>
      <c r="E5" s="107">
        <v>0</v>
      </c>
      <c r="F5" s="107">
        <v>0</v>
      </c>
      <c r="G5" s="107">
        <v>0</v>
      </c>
      <c r="H5" s="107">
        <v>0</v>
      </c>
      <c r="I5" s="107">
        <v>0</v>
      </c>
      <c r="J5" s="107">
        <v>0</v>
      </c>
      <c r="K5" s="107">
        <v>0</v>
      </c>
      <c r="L5" s="107">
        <v>0</v>
      </c>
      <c r="M5" s="107">
        <v>0</v>
      </c>
      <c r="N5" s="107">
        <v>0</v>
      </c>
      <c r="O5" s="107">
        <v>0</v>
      </c>
      <c r="P5" s="107">
        <v>0</v>
      </c>
      <c r="Q5" s="107">
        <v>0</v>
      </c>
      <c r="R5" s="107">
        <v>0</v>
      </c>
      <c r="S5" s="107">
        <v>0</v>
      </c>
      <c r="T5" s="107">
        <v>0</v>
      </c>
      <c r="U5" s="107">
        <v>0</v>
      </c>
      <c r="V5" s="107">
        <v>0</v>
      </c>
      <c r="W5" s="107">
        <v>0</v>
      </c>
      <c r="X5" s="107">
        <v>0</v>
      </c>
      <c r="Y5" s="107">
        <v>0</v>
      </c>
      <c r="Z5" s="107">
        <v>0</v>
      </c>
      <c r="AA5" s="107">
        <v>0</v>
      </c>
      <c r="AB5" s="107">
        <v>0</v>
      </c>
      <c r="AC5" s="107">
        <v>0</v>
      </c>
      <c r="AD5" s="107">
        <v>0</v>
      </c>
      <c r="AE5" s="107">
        <v>0</v>
      </c>
      <c r="AF5" s="107">
        <v>0</v>
      </c>
      <c r="AG5" s="107">
        <v>0</v>
      </c>
      <c r="AH5" s="107">
        <v>0</v>
      </c>
      <c r="AI5" s="107">
        <v>0</v>
      </c>
      <c r="AJ5" s="107">
        <v>0</v>
      </c>
      <c r="AK5" s="107">
        <v>0</v>
      </c>
    </row>
    <row r="6" spans="1:37" customFormat="1" x14ac:dyDescent="0.15">
      <c r="A6" s="186" t="s">
        <v>197</v>
      </c>
      <c r="B6" s="107">
        <v>0</v>
      </c>
      <c r="C6" s="107">
        <v>0</v>
      </c>
      <c r="D6" s="107">
        <v>0</v>
      </c>
      <c r="E6" s="107">
        <v>0</v>
      </c>
      <c r="F6" s="107">
        <v>0</v>
      </c>
      <c r="G6" s="107">
        <v>0</v>
      </c>
      <c r="H6" s="107">
        <v>0</v>
      </c>
      <c r="I6" s="107">
        <v>0</v>
      </c>
      <c r="J6" s="107">
        <v>0</v>
      </c>
      <c r="K6" s="107">
        <v>0</v>
      </c>
      <c r="L6" s="107">
        <v>0</v>
      </c>
      <c r="M6" s="107">
        <v>0</v>
      </c>
      <c r="N6" s="107">
        <v>0</v>
      </c>
      <c r="O6" s="107">
        <v>0</v>
      </c>
      <c r="P6" s="107">
        <v>0</v>
      </c>
      <c r="Q6" s="107">
        <v>0</v>
      </c>
      <c r="R6" s="107">
        <v>0</v>
      </c>
      <c r="S6" s="107">
        <v>0</v>
      </c>
      <c r="T6" s="107">
        <v>0</v>
      </c>
      <c r="U6" s="107">
        <v>0</v>
      </c>
      <c r="V6" s="107">
        <v>0</v>
      </c>
      <c r="W6" s="107">
        <v>0</v>
      </c>
      <c r="X6" s="107">
        <v>0</v>
      </c>
      <c r="Y6" s="107">
        <v>0</v>
      </c>
      <c r="Z6" s="107">
        <v>0</v>
      </c>
      <c r="AA6" s="107">
        <v>0</v>
      </c>
      <c r="AB6" s="107">
        <v>0</v>
      </c>
      <c r="AC6" s="107">
        <v>0</v>
      </c>
      <c r="AD6" s="107">
        <v>0</v>
      </c>
      <c r="AE6" s="107">
        <v>0</v>
      </c>
      <c r="AF6" s="107">
        <v>0</v>
      </c>
      <c r="AG6" s="107">
        <v>0</v>
      </c>
      <c r="AH6" s="107">
        <v>0</v>
      </c>
      <c r="AI6" s="107">
        <v>0</v>
      </c>
      <c r="AJ6" s="107">
        <v>0</v>
      </c>
      <c r="AK6" s="107">
        <v>0</v>
      </c>
    </row>
    <row r="7" spans="1:37" customFormat="1" x14ac:dyDescent="0.15">
      <c r="A7" s="186" t="s">
        <v>198</v>
      </c>
      <c r="B7" s="107">
        <v>0.8</v>
      </c>
      <c r="C7" s="107">
        <v>0.8</v>
      </c>
      <c r="D7" s="107">
        <v>0</v>
      </c>
      <c r="E7" s="107">
        <v>0</v>
      </c>
      <c r="F7" s="107">
        <v>0</v>
      </c>
      <c r="G7" s="107">
        <v>0</v>
      </c>
      <c r="H7" s="107">
        <v>0</v>
      </c>
      <c r="I7" s="107">
        <v>0.8</v>
      </c>
      <c r="J7" s="107">
        <v>0</v>
      </c>
      <c r="K7" s="107">
        <v>0</v>
      </c>
      <c r="L7" s="107">
        <v>0.8</v>
      </c>
      <c r="M7" s="107">
        <v>0</v>
      </c>
      <c r="N7" s="107">
        <v>0</v>
      </c>
      <c r="O7" s="107">
        <v>0</v>
      </c>
      <c r="P7" s="107">
        <v>0</v>
      </c>
      <c r="Q7" s="107">
        <v>0</v>
      </c>
      <c r="R7" s="107">
        <v>0</v>
      </c>
      <c r="S7" s="107">
        <v>0</v>
      </c>
      <c r="T7" s="107">
        <v>0</v>
      </c>
      <c r="U7" s="107">
        <v>0</v>
      </c>
      <c r="V7" s="107">
        <v>0</v>
      </c>
      <c r="W7" s="107">
        <v>0</v>
      </c>
      <c r="X7" s="107">
        <v>0</v>
      </c>
      <c r="Y7" s="107">
        <v>0</v>
      </c>
      <c r="Z7" s="107">
        <v>0</v>
      </c>
      <c r="AA7" s="107">
        <v>0</v>
      </c>
      <c r="AB7" s="107">
        <v>0</v>
      </c>
      <c r="AC7" s="107">
        <v>0</v>
      </c>
      <c r="AD7" s="107">
        <v>0</v>
      </c>
      <c r="AE7" s="107">
        <v>0</v>
      </c>
      <c r="AF7" s="107">
        <v>0</v>
      </c>
      <c r="AG7" s="107">
        <v>0</v>
      </c>
      <c r="AH7" s="107">
        <v>0</v>
      </c>
      <c r="AI7" s="107">
        <v>0</v>
      </c>
      <c r="AJ7" s="107">
        <v>0</v>
      </c>
      <c r="AK7" s="107">
        <v>0</v>
      </c>
    </row>
    <row r="8" spans="1:37" customFormat="1" x14ac:dyDescent="0.15">
      <c r="A8" s="186" t="s">
        <v>199</v>
      </c>
      <c r="B8" s="107">
        <v>0.8</v>
      </c>
      <c r="C8" s="107">
        <v>0.8</v>
      </c>
      <c r="D8" s="107">
        <v>0</v>
      </c>
      <c r="E8" s="107">
        <v>0</v>
      </c>
      <c r="F8" s="107">
        <v>0</v>
      </c>
      <c r="G8" s="107">
        <v>0</v>
      </c>
      <c r="H8" s="107">
        <v>0</v>
      </c>
      <c r="I8" s="107">
        <v>0</v>
      </c>
      <c r="J8" s="107">
        <v>0</v>
      </c>
      <c r="K8" s="107">
        <v>0</v>
      </c>
      <c r="L8" s="107">
        <v>0</v>
      </c>
      <c r="M8" s="107">
        <v>0</v>
      </c>
      <c r="N8" s="107">
        <v>0</v>
      </c>
      <c r="O8" s="107">
        <v>0</v>
      </c>
      <c r="P8" s="107">
        <v>0.8</v>
      </c>
      <c r="Q8" s="107">
        <v>0</v>
      </c>
      <c r="R8" s="107">
        <v>0</v>
      </c>
      <c r="S8" s="107">
        <v>0</v>
      </c>
      <c r="T8" s="107">
        <v>0</v>
      </c>
      <c r="U8" s="107">
        <v>0</v>
      </c>
      <c r="V8" s="107">
        <v>0</v>
      </c>
      <c r="W8" s="107">
        <v>0</v>
      </c>
      <c r="X8" s="107">
        <v>0</v>
      </c>
      <c r="Y8" s="107">
        <v>0</v>
      </c>
      <c r="Z8" s="107">
        <v>0</v>
      </c>
      <c r="AA8" s="107">
        <v>0</v>
      </c>
      <c r="AB8" s="107">
        <v>0</v>
      </c>
      <c r="AC8" s="107">
        <v>0</v>
      </c>
      <c r="AD8" s="107">
        <v>0</v>
      </c>
      <c r="AE8" s="107">
        <v>0</v>
      </c>
      <c r="AF8" s="107">
        <v>0</v>
      </c>
      <c r="AG8" s="107">
        <v>0</v>
      </c>
      <c r="AH8" s="107">
        <v>0</v>
      </c>
      <c r="AI8" s="107">
        <v>0</v>
      </c>
      <c r="AJ8" s="107">
        <v>0</v>
      </c>
      <c r="AK8" s="107">
        <v>0</v>
      </c>
    </row>
    <row r="9" spans="1:37" customFormat="1" x14ac:dyDescent="0.15">
      <c r="A9" s="186" t="s">
        <v>200</v>
      </c>
      <c r="B9" s="107">
        <v>0.8</v>
      </c>
      <c r="C9" s="107">
        <v>0</v>
      </c>
      <c r="D9" s="107">
        <v>0</v>
      </c>
      <c r="E9" s="107">
        <v>0</v>
      </c>
      <c r="F9" s="107">
        <v>0</v>
      </c>
      <c r="G9" s="107">
        <v>0</v>
      </c>
      <c r="H9" s="107">
        <v>0</v>
      </c>
      <c r="I9" s="107">
        <v>0</v>
      </c>
      <c r="J9" s="107">
        <v>0</v>
      </c>
      <c r="K9" s="107">
        <v>0</v>
      </c>
      <c r="L9" s="107">
        <v>0.8</v>
      </c>
      <c r="M9" s="107">
        <v>0</v>
      </c>
      <c r="N9" s="107">
        <v>0</v>
      </c>
      <c r="O9" s="107">
        <v>0</v>
      </c>
      <c r="P9" s="107">
        <v>0</v>
      </c>
      <c r="Q9" s="107">
        <v>0</v>
      </c>
      <c r="R9" s="107">
        <v>0</v>
      </c>
      <c r="S9" s="107">
        <v>0</v>
      </c>
      <c r="T9" s="107">
        <v>0</v>
      </c>
      <c r="U9" s="107">
        <v>0</v>
      </c>
      <c r="V9" s="107">
        <v>0</v>
      </c>
      <c r="W9" s="107">
        <v>0</v>
      </c>
      <c r="X9" s="107">
        <v>0</v>
      </c>
      <c r="Y9" s="107">
        <v>0</v>
      </c>
      <c r="Z9" s="107">
        <v>0</v>
      </c>
      <c r="AA9" s="107">
        <v>0</v>
      </c>
      <c r="AB9" s="107">
        <v>0</v>
      </c>
      <c r="AC9" s="107">
        <v>0</v>
      </c>
      <c r="AD9" s="107">
        <v>0</v>
      </c>
      <c r="AE9" s="107">
        <v>0</v>
      </c>
      <c r="AF9" s="107">
        <v>0</v>
      </c>
      <c r="AG9" s="107">
        <v>0</v>
      </c>
      <c r="AH9" s="107">
        <v>0</v>
      </c>
      <c r="AI9" s="107">
        <v>0</v>
      </c>
      <c r="AJ9" s="107">
        <v>0</v>
      </c>
      <c r="AK9" s="107">
        <v>0</v>
      </c>
    </row>
    <row r="10" spans="1:37" customFormat="1" x14ac:dyDescent="0.15">
      <c r="A10" s="186" t="s">
        <v>201</v>
      </c>
      <c r="B10" s="107">
        <v>0.8</v>
      </c>
      <c r="C10" s="107">
        <v>0</v>
      </c>
      <c r="D10" s="107">
        <v>0</v>
      </c>
      <c r="E10" s="107">
        <v>0</v>
      </c>
      <c r="F10" s="107">
        <v>0</v>
      </c>
      <c r="G10" s="107">
        <v>0</v>
      </c>
      <c r="H10" s="107">
        <v>0</v>
      </c>
      <c r="I10" s="107">
        <v>0.8</v>
      </c>
      <c r="J10" s="107">
        <v>0.8</v>
      </c>
      <c r="K10" s="107">
        <v>0</v>
      </c>
      <c r="L10" s="107">
        <v>0</v>
      </c>
      <c r="M10" s="107">
        <v>0.8</v>
      </c>
      <c r="N10" s="107">
        <v>0</v>
      </c>
      <c r="O10" s="107">
        <v>0</v>
      </c>
      <c r="P10" s="107">
        <v>0.8</v>
      </c>
      <c r="Q10" s="107">
        <v>0</v>
      </c>
      <c r="R10" s="107">
        <v>0</v>
      </c>
      <c r="S10" s="107">
        <v>0</v>
      </c>
      <c r="T10" s="107">
        <v>0</v>
      </c>
      <c r="U10" s="107">
        <v>0</v>
      </c>
      <c r="V10" s="107">
        <v>0</v>
      </c>
      <c r="W10" s="107">
        <v>0</v>
      </c>
      <c r="X10" s="107">
        <v>0</v>
      </c>
      <c r="Y10" s="107">
        <v>0</v>
      </c>
      <c r="Z10" s="107">
        <v>0</v>
      </c>
      <c r="AA10" s="107">
        <v>0</v>
      </c>
      <c r="AB10" s="107">
        <v>0</v>
      </c>
      <c r="AC10" s="107">
        <v>0</v>
      </c>
      <c r="AD10" s="107">
        <v>0</v>
      </c>
      <c r="AE10" s="107">
        <v>0</v>
      </c>
      <c r="AF10" s="107">
        <v>0</v>
      </c>
      <c r="AG10" s="107">
        <v>0</v>
      </c>
      <c r="AH10" s="107">
        <v>0</v>
      </c>
      <c r="AI10" s="107">
        <v>0</v>
      </c>
      <c r="AJ10" s="107">
        <v>0</v>
      </c>
      <c r="AK10" s="107">
        <v>0</v>
      </c>
    </row>
    <row r="11" spans="1:37" customFormat="1" x14ac:dyDescent="0.15">
      <c r="A11" s="186" t="s">
        <v>202</v>
      </c>
      <c r="B11" s="107">
        <v>0</v>
      </c>
      <c r="C11" s="107">
        <v>0</v>
      </c>
      <c r="D11" s="107">
        <v>0</v>
      </c>
      <c r="E11" s="107">
        <v>0</v>
      </c>
      <c r="F11" s="107">
        <v>0</v>
      </c>
      <c r="G11" s="107">
        <v>0</v>
      </c>
      <c r="H11" s="107">
        <v>0</v>
      </c>
      <c r="I11" s="107">
        <v>0.8</v>
      </c>
      <c r="J11" s="107">
        <v>0</v>
      </c>
      <c r="K11" s="107">
        <v>0</v>
      </c>
      <c r="L11" s="107">
        <v>0.8</v>
      </c>
      <c r="M11" s="107">
        <v>0</v>
      </c>
      <c r="N11" s="107">
        <v>0</v>
      </c>
      <c r="O11" s="107">
        <v>0</v>
      </c>
      <c r="P11" s="107">
        <v>0</v>
      </c>
      <c r="Q11" s="107">
        <v>0</v>
      </c>
      <c r="R11" s="107">
        <v>0</v>
      </c>
      <c r="S11" s="107">
        <v>0</v>
      </c>
      <c r="T11" s="107">
        <v>0</v>
      </c>
      <c r="U11" s="107">
        <v>0</v>
      </c>
      <c r="V11" s="107">
        <v>0</v>
      </c>
      <c r="W11" s="107">
        <v>0</v>
      </c>
      <c r="X11" s="107">
        <v>0</v>
      </c>
      <c r="Y11" s="107">
        <v>0</v>
      </c>
      <c r="Z11" s="107">
        <v>0</v>
      </c>
      <c r="AA11" s="107">
        <v>0</v>
      </c>
      <c r="AB11" s="107">
        <v>0</v>
      </c>
      <c r="AC11" s="107">
        <v>0</v>
      </c>
      <c r="AD11" s="107">
        <v>0</v>
      </c>
      <c r="AE11" s="107">
        <v>0</v>
      </c>
      <c r="AF11" s="107">
        <v>0</v>
      </c>
      <c r="AG11" s="107">
        <v>0</v>
      </c>
      <c r="AH11" s="107">
        <v>0</v>
      </c>
      <c r="AI11" s="107">
        <v>0</v>
      </c>
      <c r="AJ11" s="107">
        <v>0</v>
      </c>
      <c r="AK11" s="107">
        <v>0</v>
      </c>
    </row>
    <row r="12" spans="1:37" customFormat="1" x14ac:dyDescent="0.15">
      <c r="A12" s="186" t="s">
        <v>203</v>
      </c>
      <c r="B12" s="107">
        <v>0.8</v>
      </c>
      <c r="C12" s="107">
        <v>0</v>
      </c>
      <c r="D12" s="107">
        <v>0</v>
      </c>
      <c r="E12" s="107">
        <v>0</v>
      </c>
      <c r="F12" s="107">
        <v>0</v>
      </c>
      <c r="G12" s="107">
        <v>0</v>
      </c>
      <c r="H12" s="107">
        <v>0</v>
      </c>
      <c r="I12" s="107">
        <v>0.8</v>
      </c>
      <c r="J12" s="107">
        <v>0</v>
      </c>
      <c r="K12" s="107">
        <v>0</v>
      </c>
      <c r="L12" s="107">
        <v>0.8</v>
      </c>
      <c r="M12" s="107">
        <v>0</v>
      </c>
      <c r="N12" s="107">
        <v>0</v>
      </c>
      <c r="O12" s="107">
        <v>0</v>
      </c>
      <c r="P12" s="107">
        <v>0</v>
      </c>
      <c r="Q12" s="107">
        <v>0</v>
      </c>
      <c r="R12" s="107">
        <v>0</v>
      </c>
      <c r="S12" s="107">
        <v>0</v>
      </c>
      <c r="T12" s="107">
        <v>0</v>
      </c>
      <c r="U12" s="107">
        <v>0</v>
      </c>
      <c r="V12" s="107">
        <v>0</v>
      </c>
      <c r="W12" s="107">
        <v>0</v>
      </c>
      <c r="X12" s="107">
        <v>0</v>
      </c>
      <c r="Y12" s="107">
        <v>0</v>
      </c>
      <c r="Z12" s="107">
        <v>0</v>
      </c>
      <c r="AA12" s="107">
        <v>0</v>
      </c>
      <c r="AB12" s="107">
        <v>0</v>
      </c>
      <c r="AC12" s="107">
        <v>0</v>
      </c>
      <c r="AD12" s="107">
        <v>0</v>
      </c>
      <c r="AE12" s="107">
        <v>0</v>
      </c>
      <c r="AF12" s="107">
        <v>0</v>
      </c>
      <c r="AG12" s="107">
        <v>0</v>
      </c>
      <c r="AH12" s="107">
        <v>0</v>
      </c>
      <c r="AI12" s="107">
        <v>0</v>
      </c>
      <c r="AJ12" s="107">
        <v>0</v>
      </c>
      <c r="AK12" s="107">
        <v>0</v>
      </c>
    </row>
    <row r="13" spans="1:37" customFormat="1" x14ac:dyDescent="0.15">
      <c r="A13" s="186" t="s">
        <v>204</v>
      </c>
      <c r="B13" s="107">
        <v>0.8</v>
      </c>
      <c r="C13" s="107">
        <v>0</v>
      </c>
      <c r="D13" s="107">
        <v>0</v>
      </c>
      <c r="E13" s="107">
        <v>0</v>
      </c>
      <c r="F13" s="107">
        <v>0</v>
      </c>
      <c r="G13" s="107">
        <v>0</v>
      </c>
      <c r="H13" s="107">
        <v>0</v>
      </c>
      <c r="I13" s="107">
        <v>0.8</v>
      </c>
      <c r="J13" s="107">
        <v>0</v>
      </c>
      <c r="K13" s="107">
        <v>0</v>
      </c>
      <c r="L13" s="107">
        <v>0</v>
      </c>
      <c r="M13" s="107">
        <v>0</v>
      </c>
      <c r="N13" s="107">
        <v>0</v>
      </c>
      <c r="O13" s="107">
        <v>0</v>
      </c>
      <c r="P13" s="107">
        <v>0</v>
      </c>
      <c r="Q13" s="107">
        <v>0</v>
      </c>
      <c r="R13" s="107">
        <v>0</v>
      </c>
      <c r="S13" s="107">
        <v>0</v>
      </c>
      <c r="T13" s="107">
        <v>0</v>
      </c>
      <c r="U13" s="107">
        <v>0</v>
      </c>
      <c r="V13" s="107">
        <v>0</v>
      </c>
      <c r="W13" s="107">
        <v>0</v>
      </c>
      <c r="X13" s="107">
        <v>0</v>
      </c>
      <c r="Y13" s="107">
        <v>0</v>
      </c>
      <c r="Z13" s="107">
        <v>0</v>
      </c>
      <c r="AA13" s="107">
        <v>0</v>
      </c>
      <c r="AB13" s="107">
        <v>0</v>
      </c>
      <c r="AC13" s="107">
        <v>0</v>
      </c>
      <c r="AD13" s="107">
        <v>0</v>
      </c>
      <c r="AE13" s="107">
        <v>0</v>
      </c>
      <c r="AF13" s="107">
        <v>0</v>
      </c>
      <c r="AG13" s="107">
        <v>0</v>
      </c>
      <c r="AH13" s="107">
        <v>0</v>
      </c>
      <c r="AI13" s="107">
        <v>0</v>
      </c>
      <c r="AJ13" s="107">
        <v>0</v>
      </c>
      <c r="AK13" s="107">
        <v>0</v>
      </c>
    </row>
    <row r="14" spans="1:37" customFormat="1" x14ac:dyDescent="0.15">
      <c r="A14" s="186" t="s">
        <v>205</v>
      </c>
      <c r="B14" s="107">
        <v>0</v>
      </c>
      <c r="C14" s="107">
        <v>0</v>
      </c>
      <c r="D14" s="107">
        <v>0</v>
      </c>
      <c r="E14" s="107">
        <v>0</v>
      </c>
      <c r="F14" s="107">
        <v>0</v>
      </c>
      <c r="G14" s="107">
        <v>0</v>
      </c>
      <c r="H14" s="107">
        <v>0.8</v>
      </c>
      <c r="I14" s="107">
        <v>0</v>
      </c>
      <c r="J14" s="107">
        <v>0</v>
      </c>
      <c r="K14" s="107">
        <v>0</v>
      </c>
      <c r="L14" s="107">
        <v>0.8</v>
      </c>
      <c r="M14" s="107">
        <v>0.8</v>
      </c>
      <c r="N14" s="107">
        <v>0</v>
      </c>
      <c r="O14" s="107">
        <v>0</v>
      </c>
      <c r="P14" s="107">
        <v>0.8</v>
      </c>
      <c r="Q14" s="107">
        <v>0.8</v>
      </c>
      <c r="R14" s="107">
        <v>0</v>
      </c>
      <c r="S14" s="107">
        <v>0</v>
      </c>
      <c r="T14" s="107">
        <v>0</v>
      </c>
      <c r="U14" s="107">
        <v>0</v>
      </c>
      <c r="V14" s="107">
        <v>0</v>
      </c>
      <c r="W14" s="107">
        <v>0</v>
      </c>
      <c r="X14" s="107">
        <v>0</v>
      </c>
      <c r="Y14" s="107">
        <v>0</v>
      </c>
      <c r="Z14" s="107">
        <v>0</v>
      </c>
      <c r="AA14" s="107">
        <v>0</v>
      </c>
      <c r="AB14" s="107">
        <v>0</v>
      </c>
      <c r="AC14" s="107">
        <v>0</v>
      </c>
      <c r="AD14" s="107">
        <v>0</v>
      </c>
      <c r="AE14" s="107">
        <v>0</v>
      </c>
      <c r="AF14" s="107">
        <v>0</v>
      </c>
      <c r="AG14" s="107">
        <v>0</v>
      </c>
      <c r="AH14" s="107">
        <v>0</v>
      </c>
      <c r="AI14" s="107">
        <v>0</v>
      </c>
      <c r="AJ14" s="107">
        <v>0</v>
      </c>
      <c r="AK14" s="107">
        <v>0</v>
      </c>
    </row>
    <row r="15" spans="1:37" customFormat="1" x14ac:dyDescent="0.15">
      <c r="A15" s="186" t="s">
        <v>206</v>
      </c>
      <c r="B15" s="107">
        <v>0</v>
      </c>
      <c r="C15" s="107">
        <v>0</v>
      </c>
      <c r="D15" s="107">
        <v>0</v>
      </c>
      <c r="E15" s="107">
        <v>0</v>
      </c>
      <c r="F15" s="107">
        <v>0</v>
      </c>
      <c r="G15" s="107">
        <v>0</v>
      </c>
      <c r="H15" s="107">
        <v>0</v>
      </c>
      <c r="I15" s="107">
        <v>0.8</v>
      </c>
      <c r="J15" s="107">
        <v>0</v>
      </c>
      <c r="K15" s="107">
        <v>0</v>
      </c>
      <c r="L15" s="107">
        <v>0.8</v>
      </c>
      <c r="M15" s="107">
        <v>0</v>
      </c>
      <c r="N15" s="107">
        <v>0</v>
      </c>
      <c r="O15" s="107">
        <v>0</v>
      </c>
      <c r="P15" s="107">
        <v>0</v>
      </c>
      <c r="Q15" s="107">
        <v>0</v>
      </c>
      <c r="R15" s="107">
        <v>0</v>
      </c>
      <c r="S15" s="107">
        <v>0</v>
      </c>
      <c r="T15" s="107">
        <v>0</v>
      </c>
      <c r="U15" s="107">
        <v>0</v>
      </c>
      <c r="V15" s="107">
        <v>0</v>
      </c>
      <c r="W15" s="107">
        <v>0</v>
      </c>
      <c r="X15" s="107">
        <v>0</v>
      </c>
      <c r="Y15" s="107">
        <v>0</v>
      </c>
      <c r="Z15" s="107">
        <v>0</v>
      </c>
      <c r="AA15" s="107">
        <v>0</v>
      </c>
      <c r="AB15" s="107">
        <v>0</v>
      </c>
      <c r="AC15" s="107">
        <v>0</v>
      </c>
      <c r="AD15" s="107">
        <v>0</v>
      </c>
      <c r="AE15" s="107">
        <v>0</v>
      </c>
      <c r="AF15" s="107">
        <v>0</v>
      </c>
      <c r="AG15" s="107">
        <v>0</v>
      </c>
      <c r="AH15" s="107">
        <v>0</v>
      </c>
      <c r="AI15" s="107">
        <v>0</v>
      </c>
      <c r="AJ15" s="107">
        <v>0</v>
      </c>
      <c r="AK15" s="107">
        <v>0</v>
      </c>
    </row>
    <row r="16" spans="1:37" customFormat="1" x14ac:dyDescent="0.15">
      <c r="A16" s="186" t="s">
        <v>207</v>
      </c>
      <c r="B16" s="107">
        <v>0</v>
      </c>
      <c r="C16" s="107">
        <v>0</v>
      </c>
      <c r="D16" s="107">
        <v>0</v>
      </c>
      <c r="E16" s="107">
        <v>0</v>
      </c>
      <c r="F16" s="107">
        <v>0</v>
      </c>
      <c r="G16" s="107">
        <v>0</v>
      </c>
      <c r="H16" s="107">
        <v>0</v>
      </c>
      <c r="I16" s="107">
        <v>0.8</v>
      </c>
      <c r="J16" s="107">
        <v>0</v>
      </c>
      <c r="K16" s="107">
        <v>0</v>
      </c>
      <c r="L16" s="107">
        <v>0.8</v>
      </c>
      <c r="M16" s="107">
        <v>0</v>
      </c>
      <c r="N16" s="107">
        <v>0</v>
      </c>
      <c r="O16" s="107">
        <v>0</v>
      </c>
      <c r="P16" s="107">
        <v>0.8</v>
      </c>
      <c r="Q16" s="107">
        <v>0</v>
      </c>
      <c r="R16" s="107">
        <v>0</v>
      </c>
      <c r="S16" s="107">
        <v>0</v>
      </c>
      <c r="T16" s="107">
        <v>0</v>
      </c>
      <c r="U16" s="107">
        <v>0</v>
      </c>
      <c r="V16" s="107">
        <v>0</v>
      </c>
      <c r="W16" s="107">
        <v>0</v>
      </c>
      <c r="X16" s="107">
        <v>0</v>
      </c>
      <c r="Y16" s="107">
        <v>0</v>
      </c>
      <c r="Z16" s="107">
        <v>0</v>
      </c>
      <c r="AA16" s="107">
        <v>0</v>
      </c>
      <c r="AB16" s="107">
        <v>0</v>
      </c>
      <c r="AC16" s="107">
        <v>0</v>
      </c>
      <c r="AD16" s="107">
        <v>0</v>
      </c>
      <c r="AE16" s="107">
        <v>0</v>
      </c>
      <c r="AF16" s="107">
        <v>0</v>
      </c>
      <c r="AG16" s="107">
        <v>0</v>
      </c>
      <c r="AH16" s="107">
        <v>0</v>
      </c>
      <c r="AI16" s="107">
        <v>0</v>
      </c>
      <c r="AJ16" s="107">
        <v>0</v>
      </c>
      <c r="AK16" s="107">
        <v>0</v>
      </c>
    </row>
    <row r="17" spans="1:37" customFormat="1" x14ac:dyDescent="0.15">
      <c r="A17" s="186" t="s">
        <v>208</v>
      </c>
      <c r="B17" s="107">
        <v>0</v>
      </c>
      <c r="C17" s="107">
        <v>0.8</v>
      </c>
      <c r="D17" s="107">
        <v>0.8</v>
      </c>
      <c r="E17" s="107">
        <v>0.8</v>
      </c>
      <c r="F17" s="107">
        <v>0.8</v>
      </c>
      <c r="G17" s="107">
        <v>0</v>
      </c>
      <c r="H17" s="107">
        <v>0</v>
      </c>
      <c r="I17" s="107">
        <v>0</v>
      </c>
      <c r="J17" s="107">
        <v>0.8</v>
      </c>
      <c r="K17" s="107">
        <v>0</v>
      </c>
      <c r="L17" s="107">
        <v>0.8</v>
      </c>
      <c r="M17" s="107">
        <v>0.8</v>
      </c>
      <c r="N17" s="107">
        <v>0</v>
      </c>
      <c r="O17" s="107">
        <v>0</v>
      </c>
      <c r="P17" s="107">
        <v>0.8</v>
      </c>
      <c r="Q17" s="107">
        <v>0.8</v>
      </c>
      <c r="R17" s="107">
        <v>0</v>
      </c>
      <c r="S17" s="107">
        <v>0</v>
      </c>
      <c r="T17" s="107">
        <v>0</v>
      </c>
      <c r="U17" s="107">
        <v>0</v>
      </c>
      <c r="V17" s="107">
        <v>0</v>
      </c>
      <c r="W17" s="107">
        <v>0</v>
      </c>
      <c r="X17" s="107">
        <v>0</v>
      </c>
      <c r="Y17" s="107">
        <v>0</v>
      </c>
      <c r="Z17" s="107">
        <v>0</v>
      </c>
      <c r="AA17" s="107">
        <v>0</v>
      </c>
      <c r="AB17" s="107">
        <v>0</v>
      </c>
      <c r="AC17" s="107">
        <v>0</v>
      </c>
      <c r="AD17" s="107">
        <v>0</v>
      </c>
      <c r="AE17" s="107">
        <v>0</v>
      </c>
      <c r="AF17" s="107">
        <v>0</v>
      </c>
      <c r="AG17" s="107">
        <v>0</v>
      </c>
      <c r="AH17" s="107">
        <v>0</v>
      </c>
      <c r="AI17" s="107">
        <v>0</v>
      </c>
      <c r="AJ17" s="107">
        <v>0</v>
      </c>
      <c r="AK17" s="107">
        <v>0</v>
      </c>
    </row>
    <row r="18" spans="1:37" customFormat="1" x14ac:dyDescent="0.15">
      <c r="A18" s="186" t="s">
        <v>209</v>
      </c>
      <c r="B18" s="107">
        <v>0</v>
      </c>
      <c r="C18" s="107">
        <v>0</v>
      </c>
      <c r="D18" s="107">
        <v>0.8</v>
      </c>
      <c r="E18" s="107">
        <v>0.8</v>
      </c>
      <c r="F18" s="107">
        <v>0.8</v>
      </c>
      <c r="G18" s="107">
        <v>0</v>
      </c>
      <c r="H18" s="107">
        <v>0</v>
      </c>
      <c r="I18" s="107">
        <v>0</v>
      </c>
      <c r="J18" s="107">
        <v>0.8</v>
      </c>
      <c r="K18" s="107">
        <v>0.8</v>
      </c>
      <c r="L18" s="107">
        <v>0.8</v>
      </c>
      <c r="M18" s="107">
        <v>0.8</v>
      </c>
      <c r="N18" s="107">
        <v>0</v>
      </c>
      <c r="O18" s="107">
        <v>0</v>
      </c>
      <c r="P18" s="107">
        <v>0.8</v>
      </c>
      <c r="Q18" s="107">
        <v>0</v>
      </c>
      <c r="R18" s="107">
        <v>0</v>
      </c>
      <c r="S18" s="107">
        <v>0</v>
      </c>
      <c r="T18" s="107">
        <v>0</v>
      </c>
      <c r="U18" s="107">
        <v>0</v>
      </c>
      <c r="V18" s="107">
        <v>0</v>
      </c>
      <c r="W18" s="107">
        <v>0</v>
      </c>
      <c r="X18" s="107">
        <v>0</v>
      </c>
      <c r="Y18" s="107">
        <v>0</v>
      </c>
      <c r="Z18" s="107">
        <v>0</v>
      </c>
      <c r="AA18" s="107">
        <v>0</v>
      </c>
      <c r="AB18" s="107">
        <v>0</v>
      </c>
      <c r="AC18" s="107">
        <v>0</v>
      </c>
      <c r="AD18" s="107">
        <v>0</v>
      </c>
      <c r="AE18" s="107">
        <v>0</v>
      </c>
      <c r="AF18" s="107">
        <v>0</v>
      </c>
      <c r="AG18" s="107">
        <v>0</v>
      </c>
      <c r="AH18" s="107">
        <v>0</v>
      </c>
      <c r="AI18" s="107">
        <v>0</v>
      </c>
      <c r="AJ18" s="107">
        <v>0</v>
      </c>
      <c r="AK18" s="107">
        <v>0</v>
      </c>
    </row>
    <row r="19" spans="1:37" customFormat="1" x14ac:dyDescent="0.15">
      <c r="A19" s="186" t="s">
        <v>210</v>
      </c>
      <c r="B19" s="107">
        <v>0</v>
      </c>
      <c r="C19" s="107">
        <v>0</v>
      </c>
      <c r="D19" s="107">
        <v>0</v>
      </c>
      <c r="E19" s="107">
        <v>0</v>
      </c>
      <c r="F19" s="107">
        <v>0.8</v>
      </c>
      <c r="G19" s="107">
        <v>0</v>
      </c>
      <c r="H19" s="107">
        <v>0</v>
      </c>
      <c r="I19" s="107">
        <v>0</v>
      </c>
      <c r="J19" s="107">
        <v>0</v>
      </c>
      <c r="K19" s="107">
        <v>0.8</v>
      </c>
      <c r="L19" s="107">
        <v>0.8</v>
      </c>
      <c r="M19" s="107">
        <v>0</v>
      </c>
      <c r="N19" s="107">
        <v>0</v>
      </c>
      <c r="O19" s="107">
        <v>0</v>
      </c>
      <c r="P19" s="107">
        <v>0</v>
      </c>
      <c r="Q19" s="107">
        <v>0</v>
      </c>
      <c r="R19" s="107">
        <v>0</v>
      </c>
      <c r="S19" s="107">
        <v>0</v>
      </c>
      <c r="T19" s="107">
        <v>0</v>
      </c>
      <c r="U19" s="107">
        <v>0</v>
      </c>
      <c r="V19" s="107">
        <v>0.8</v>
      </c>
      <c r="W19" s="107">
        <v>0</v>
      </c>
      <c r="X19" s="107">
        <v>0</v>
      </c>
      <c r="Y19" s="107">
        <v>0</v>
      </c>
      <c r="Z19" s="107">
        <v>0</v>
      </c>
      <c r="AA19" s="107">
        <v>0</v>
      </c>
      <c r="AB19" s="107">
        <v>0</v>
      </c>
      <c r="AC19" s="107">
        <v>0</v>
      </c>
      <c r="AD19" s="107">
        <v>0</v>
      </c>
      <c r="AE19" s="107">
        <v>0</v>
      </c>
      <c r="AF19" s="107">
        <v>0</v>
      </c>
      <c r="AG19" s="107">
        <v>0</v>
      </c>
      <c r="AH19" s="107">
        <v>0</v>
      </c>
      <c r="AI19" s="107">
        <v>0</v>
      </c>
      <c r="AJ19" s="107">
        <v>0</v>
      </c>
      <c r="AK19" s="107">
        <v>0</v>
      </c>
    </row>
    <row r="20" spans="1:37" customFormat="1" x14ac:dyDescent="0.15">
      <c r="A20" s="186" t="s">
        <v>211</v>
      </c>
      <c r="B20" s="107">
        <v>0</v>
      </c>
      <c r="C20" s="107">
        <v>0</v>
      </c>
      <c r="D20" s="107">
        <v>0.8</v>
      </c>
      <c r="E20" s="107">
        <v>0</v>
      </c>
      <c r="F20" s="107">
        <v>0.8</v>
      </c>
      <c r="G20" s="107">
        <v>0</v>
      </c>
      <c r="H20" s="107">
        <v>0</v>
      </c>
      <c r="I20" s="107">
        <v>0</v>
      </c>
      <c r="J20" s="107">
        <v>0.8</v>
      </c>
      <c r="K20" s="107">
        <v>0.8</v>
      </c>
      <c r="L20" s="107">
        <v>0.8</v>
      </c>
      <c r="M20" s="107">
        <v>0</v>
      </c>
      <c r="N20" s="107">
        <v>0</v>
      </c>
      <c r="O20" s="107">
        <v>0</v>
      </c>
      <c r="P20" s="107">
        <v>0</v>
      </c>
      <c r="Q20" s="107">
        <v>0</v>
      </c>
      <c r="R20" s="107">
        <v>0.8</v>
      </c>
      <c r="S20" s="107">
        <v>0</v>
      </c>
      <c r="T20" s="107">
        <v>0</v>
      </c>
      <c r="U20" s="107">
        <v>0</v>
      </c>
      <c r="V20" s="107">
        <v>0.8</v>
      </c>
      <c r="W20" s="107">
        <v>0</v>
      </c>
      <c r="X20" s="107">
        <v>0</v>
      </c>
      <c r="Y20" s="107">
        <v>0</v>
      </c>
      <c r="Z20" s="107">
        <v>0</v>
      </c>
      <c r="AA20" s="107">
        <v>0</v>
      </c>
      <c r="AB20" s="107">
        <v>0</v>
      </c>
      <c r="AC20" s="107">
        <v>0</v>
      </c>
      <c r="AD20" s="107">
        <v>0</v>
      </c>
      <c r="AE20" s="107">
        <v>0</v>
      </c>
      <c r="AF20" s="107">
        <v>0</v>
      </c>
      <c r="AG20" s="107">
        <v>0</v>
      </c>
      <c r="AH20" s="107">
        <v>0</v>
      </c>
      <c r="AI20" s="107">
        <v>0</v>
      </c>
      <c r="AJ20" s="107">
        <v>0</v>
      </c>
      <c r="AK20" s="107">
        <v>0</v>
      </c>
    </row>
    <row r="21" spans="1:37" customFormat="1" x14ac:dyDescent="0.15">
      <c r="A21" s="186" t="s">
        <v>212</v>
      </c>
      <c r="B21" s="107">
        <v>0</v>
      </c>
      <c r="C21" s="107">
        <v>0.8</v>
      </c>
      <c r="D21" s="107">
        <v>0</v>
      </c>
      <c r="E21" s="107">
        <v>0</v>
      </c>
      <c r="F21" s="107">
        <v>0.8</v>
      </c>
      <c r="G21" s="107">
        <v>0</v>
      </c>
      <c r="H21" s="107">
        <v>0</v>
      </c>
      <c r="I21" s="107">
        <v>0</v>
      </c>
      <c r="J21" s="107">
        <v>0</v>
      </c>
      <c r="K21" s="107">
        <v>0.8</v>
      </c>
      <c r="L21" s="107">
        <v>0</v>
      </c>
      <c r="M21" s="107">
        <v>0.8</v>
      </c>
      <c r="N21" s="107">
        <v>0</v>
      </c>
      <c r="O21" s="107">
        <v>0</v>
      </c>
      <c r="P21" s="107">
        <v>0</v>
      </c>
      <c r="Q21" s="107">
        <v>0</v>
      </c>
      <c r="R21" s="107">
        <v>0</v>
      </c>
      <c r="S21" s="107">
        <v>0</v>
      </c>
      <c r="T21" s="107">
        <v>0</v>
      </c>
      <c r="U21" s="107">
        <v>0</v>
      </c>
      <c r="V21" s="107">
        <v>0.8</v>
      </c>
      <c r="W21" s="107">
        <v>0</v>
      </c>
      <c r="X21" s="107">
        <v>0</v>
      </c>
      <c r="Y21" s="107">
        <v>0</v>
      </c>
      <c r="Z21" s="107">
        <v>0</v>
      </c>
      <c r="AA21" s="107">
        <v>0</v>
      </c>
      <c r="AB21" s="107">
        <v>0</v>
      </c>
      <c r="AC21" s="107">
        <v>0</v>
      </c>
      <c r="AD21" s="107">
        <v>0</v>
      </c>
      <c r="AE21" s="107">
        <v>0</v>
      </c>
      <c r="AF21" s="107">
        <v>0</v>
      </c>
      <c r="AG21" s="107">
        <v>0</v>
      </c>
      <c r="AH21" s="107">
        <v>0</v>
      </c>
      <c r="AI21" s="107">
        <v>0</v>
      </c>
      <c r="AJ21" s="107">
        <v>0</v>
      </c>
      <c r="AK21" s="107">
        <v>0</v>
      </c>
    </row>
    <row r="22" spans="1:37" customFormat="1" x14ac:dyDescent="0.15">
      <c r="A22" s="186" t="s">
        <v>213</v>
      </c>
      <c r="B22" s="107">
        <v>0</v>
      </c>
      <c r="C22" s="107">
        <v>0</v>
      </c>
      <c r="D22" s="107">
        <v>0</v>
      </c>
      <c r="E22" s="107">
        <v>0</v>
      </c>
      <c r="F22" s="107">
        <v>0.8</v>
      </c>
      <c r="G22" s="107">
        <v>0</v>
      </c>
      <c r="H22" s="107">
        <v>0</v>
      </c>
      <c r="I22" s="107">
        <v>0.8</v>
      </c>
      <c r="J22" s="107">
        <v>0</v>
      </c>
      <c r="K22" s="107">
        <v>0</v>
      </c>
      <c r="L22" s="107">
        <v>0.8</v>
      </c>
      <c r="M22" s="107">
        <v>0.8</v>
      </c>
      <c r="N22" s="107">
        <v>0</v>
      </c>
      <c r="O22" s="107">
        <v>0</v>
      </c>
      <c r="P22" s="107">
        <v>0</v>
      </c>
      <c r="Q22" s="107">
        <v>0</v>
      </c>
      <c r="R22" s="107">
        <v>0.8</v>
      </c>
      <c r="S22" s="107">
        <v>0</v>
      </c>
      <c r="T22" s="107">
        <v>0</v>
      </c>
      <c r="U22" s="107">
        <v>0</v>
      </c>
      <c r="V22" s="107">
        <v>0.8</v>
      </c>
      <c r="W22" s="107">
        <v>0</v>
      </c>
      <c r="X22" s="107">
        <v>0</v>
      </c>
      <c r="Y22" s="107">
        <v>0</v>
      </c>
      <c r="Z22" s="107">
        <v>0</v>
      </c>
      <c r="AA22" s="107">
        <v>0</v>
      </c>
      <c r="AB22" s="107">
        <v>0</v>
      </c>
      <c r="AC22" s="107">
        <v>0</v>
      </c>
      <c r="AD22" s="107">
        <v>0</v>
      </c>
      <c r="AE22" s="107">
        <v>0</v>
      </c>
      <c r="AF22" s="107">
        <v>0</v>
      </c>
      <c r="AG22" s="107">
        <v>0</v>
      </c>
      <c r="AH22" s="107">
        <v>0</v>
      </c>
      <c r="AI22" s="107">
        <v>0</v>
      </c>
      <c r="AJ22" s="107">
        <v>0</v>
      </c>
      <c r="AK22" s="107">
        <v>0</v>
      </c>
    </row>
    <row r="23" spans="1:37" customFormat="1" x14ac:dyDescent="0.15">
      <c r="A23" s="186" t="s">
        <v>214</v>
      </c>
      <c r="B23" s="107">
        <v>0</v>
      </c>
      <c r="C23" s="107">
        <v>0</v>
      </c>
      <c r="D23" s="107">
        <v>0</v>
      </c>
      <c r="E23" s="107">
        <v>0</v>
      </c>
      <c r="F23" s="107">
        <v>0</v>
      </c>
      <c r="G23" s="107">
        <v>0</v>
      </c>
      <c r="H23" s="107">
        <v>0</v>
      </c>
      <c r="I23" s="107">
        <v>0.8</v>
      </c>
      <c r="J23" s="107">
        <v>0</v>
      </c>
      <c r="K23" s="107">
        <v>0</v>
      </c>
      <c r="L23" s="107">
        <v>0</v>
      </c>
      <c r="M23" s="107">
        <v>0</v>
      </c>
      <c r="N23" s="107">
        <v>0</v>
      </c>
      <c r="O23" s="107">
        <v>0</v>
      </c>
      <c r="P23" s="107">
        <v>0</v>
      </c>
      <c r="Q23" s="107">
        <v>0</v>
      </c>
      <c r="R23" s="107">
        <v>0</v>
      </c>
      <c r="S23" s="107">
        <v>0</v>
      </c>
      <c r="T23" s="107">
        <v>0</v>
      </c>
      <c r="U23" s="107">
        <v>0</v>
      </c>
      <c r="V23" s="107">
        <v>0.8</v>
      </c>
      <c r="W23" s="107">
        <v>0</v>
      </c>
      <c r="X23" s="107">
        <v>0</v>
      </c>
      <c r="Y23" s="107">
        <v>0</v>
      </c>
      <c r="Z23" s="107">
        <v>0</v>
      </c>
      <c r="AA23" s="107">
        <v>0</v>
      </c>
      <c r="AB23" s="107">
        <v>0</v>
      </c>
      <c r="AC23" s="107">
        <v>0</v>
      </c>
      <c r="AD23" s="107">
        <v>0</v>
      </c>
      <c r="AE23" s="107">
        <v>0</v>
      </c>
      <c r="AF23" s="107">
        <v>0</v>
      </c>
      <c r="AG23" s="107">
        <v>0</v>
      </c>
      <c r="AH23" s="107">
        <v>0</v>
      </c>
      <c r="AI23" s="107">
        <v>0</v>
      </c>
      <c r="AJ23" s="107">
        <v>0</v>
      </c>
      <c r="AK23" s="107">
        <v>0</v>
      </c>
    </row>
    <row r="24" spans="1:37" customFormat="1" x14ac:dyDescent="0.15">
      <c r="A24" s="186" t="s">
        <v>215</v>
      </c>
      <c r="B24" s="107">
        <v>0</v>
      </c>
      <c r="C24" s="107">
        <v>0</v>
      </c>
      <c r="D24" s="107">
        <v>0</v>
      </c>
      <c r="E24" s="107">
        <v>0</v>
      </c>
      <c r="F24" s="107">
        <v>0</v>
      </c>
      <c r="G24" s="107">
        <v>0</v>
      </c>
      <c r="H24" s="107">
        <v>0</v>
      </c>
      <c r="I24" s="107">
        <v>0</v>
      </c>
      <c r="J24" s="107">
        <v>0</v>
      </c>
      <c r="K24" s="107">
        <v>0</v>
      </c>
      <c r="L24" s="107">
        <v>0</v>
      </c>
      <c r="M24" s="107">
        <v>0</v>
      </c>
      <c r="N24" s="107">
        <v>0</v>
      </c>
      <c r="O24" s="107">
        <v>0</v>
      </c>
      <c r="P24" s="107">
        <v>0</v>
      </c>
      <c r="Q24" s="107">
        <v>0</v>
      </c>
      <c r="R24" s="107">
        <v>0</v>
      </c>
      <c r="S24" s="107">
        <v>0</v>
      </c>
      <c r="T24" s="107">
        <v>0</v>
      </c>
      <c r="U24" s="107">
        <v>0</v>
      </c>
      <c r="V24" s="107">
        <v>0</v>
      </c>
      <c r="W24" s="107">
        <v>0</v>
      </c>
      <c r="X24" s="107">
        <v>0.8</v>
      </c>
      <c r="Y24" s="107">
        <v>0</v>
      </c>
      <c r="Z24" s="107">
        <v>0</v>
      </c>
      <c r="AA24" s="107">
        <v>0</v>
      </c>
      <c r="AB24" s="107">
        <v>0</v>
      </c>
      <c r="AC24" s="107">
        <v>0</v>
      </c>
      <c r="AD24" s="107">
        <v>0</v>
      </c>
      <c r="AE24" s="107">
        <v>0</v>
      </c>
      <c r="AF24" s="107">
        <v>0</v>
      </c>
      <c r="AG24" s="107">
        <v>0</v>
      </c>
      <c r="AH24" s="107">
        <v>0</v>
      </c>
      <c r="AI24" s="107">
        <v>0</v>
      </c>
      <c r="AJ24" s="107">
        <v>0</v>
      </c>
      <c r="AK24" s="107">
        <v>0</v>
      </c>
    </row>
    <row r="25" spans="1:37" customFormat="1" x14ac:dyDescent="0.15">
      <c r="A25" s="186" t="s">
        <v>216</v>
      </c>
      <c r="B25" s="107">
        <v>0</v>
      </c>
      <c r="C25" s="107">
        <v>0.8</v>
      </c>
      <c r="D25" s="107">
        <v>0</v>
      </c>
      <c r="E25" s="107">
        <v>0.8</v>
      </c>
      <c r="F25" s="107">
        <v>0.8</v>
      </c>
      <c r="G25" s="107">
        <v>0.8</v>
      </c>
      <c r="H25" s="107">
        <v>0.8</v>
      </c>
      <c r="I25" s="107">
        <v>0</v>
      </c>
      <c r="J25" s="107">
        <v>0.8</v>
      </c>
      <c r="K25" s="107">
        <v>0.8</v>
      </c>
      <c r="L25" s="107">
        <v>0.8</v>
      </c>
      <c r="M25" s="107">
        <v>0.8</v>
      </c>
      <c r="N25" s="107">
        <v>0</v>
      </c>
      <c r="O25" s="107">
        <v>0</v>
      </c>
      <c r="P25" s="107">
        <v>0.8</v>
      </c>
      <c r="Q25" s="107">
        <v>0.8</v>
      </c>
      <c r="R25" s="107">
        <v>0.8</v>
      </c>
      <c r="S25" s="107">
        <v>0</v>
      </c>
      <c r="T25" s="107">
        <v>0</v>
      </c>
      <c r="U25" s="107">
        <v>0</v>
      </c>
      <c r="V25" s="107">
        <v>0.8</v>
      </c>
      <c r="W25" s="107">
        <v>0</v>
      </c>
      <c r="X25" s="107">
        <v>0</v>
      </c>
      <c r="Y25" s="107">
        <v>0</v>
      </c>
      <c r="Z25" s="107">
        <v>0</v>
      </c>
      <c r="AA25" s="107">
        <v>0</v>
      </c>
      <c r="AB25" s="107">
        <v>0</v>
      </c>
      <c r="AC25" s="107">
        <v>0</v>
      </c>
      <c r="AD25" s="107">
        <v>0</v>
      </c>
      <c r="AE25" s="107">
        <v>0</v>
      </c>
      <c r="AF25" s="107">
        <v>0</v>
      </c>
      <c r="AG25" s="107">
        <v>0</v>
      </c>
      <c r="AH25" s="107">
        <v>0</v>
      </c>
      <c r="AI25" s="107">
        <v>0</v>
      </c>
      <c r="AJ25" s="107">
        <v>0</v>
      </c>
      <c r="AK25" s="107">
        <v>0</v>
      </c>
    </row>
    <row r="26" spans="1:37" customFormat="1" x14ac:dyDescent="0.15">
      <c r="A26" s="186" t="s">
        <v>217</v>
      </c>
      <c r="B26" s="107">
        <v>0</v>
      </c>
      <c r="C26" s="107">
        <v>0</v>
      </c>
      <c r="D26" s="107">
        <v>0</v>
      </c>
      <c r="E26" s="107">
        <v>0</v>
      </c>
      <c r="F26" s="107">
        <v>0</v>
      </c>
      <c r="G26" s="107">
        <v>0.8</v>
      </c>
      <c r="H26" s="107">
        <v>0.8</v>
      </c>
      <c r="I26" s="107">
        <v>0</v>
      </c>
      <c r="J26" s="107">
        <v>0.8</v>
      </c>
      <c r="K26" s="107">
        <v>0</v>
      </c>
      <c r="L26" s="107">
        <v>0.8</v>
      </c>
      <c r="M26" s="107">
        <v>0.8</v>
      </c>
      <c r="N26" s="107">
        <v>0.8</v>
      </c>
      <c r="O26" s="107">
        <v>0</v>
      </c>
      <c r="P26" s="107">
        <v>0.8</v>
      </c>
      <c r="Q26" s="107">
        <v>0.8</v>
      </c>
      <c r="R26" s="107">
        <v>0.8</v>
      </c>
      <c r="S26" s="107">
        <v>0</v>
      </c>
      <c r="T26" s="107">
        <v>0</v>
      </c>
      <c r="U26" s="107">
        <v>0</v>
      </c>
      <c r="V26" s="107">
        <v>0.8</v>
      </c>
      <c r="W26" s="107">
        <v>0</v>
      </c>
      <c r="X26" s="107">
        <v>0.8</v>
      </c>
      <c r="Y26" s="107">
        <v>0</v>
      </c>
      <c r="Z26" s="107">
        <v>0</v>
      </c>
      <c r="AA26" s="107">
        <v>0</v>
      </c>
      <c r="AB26" s="107">
        <v>0</v>
      </c>
      <c r="AC26" s="107">
        <v>0</v>
      </c>
      <c r="AD26" s="107">
        <v>0</v>
      </c>
      <c r="AE26" s="107">
        <v>0</v>
      </c>
      <c r="AF26" s="107">
        <v>0</v>
      </c>
      <c r="AG26" s="107">
        <v>0</v>
      </c>
      <c r="AH26" s="107">
        <v>0</v>
      </c>
      <c r="AI26" s="107">
        <v>0</v>
      </c>
      <c r="AJ26" s="107">
        <v>0</v>
      </c>
      <c r="AK26" s="107">
        <v>0</v>
      </c>
    </row>
    <row r="27" spans="1:37" customFormat="1" x14ac:dyDescent="0.15">
      <c r="A27" s="186" t="s">
        <v>218</v>
      </c>
      <c r="B27" s="107">
        <v>0</v>
      </c>
      <c r="C27" s="107">
        <v>0</v>
      </c>
      <c r="D27" s="107">
        <v>0.8</v>
      </c>
      <c r="E27" s="107">
        <v>0</v>
      </c>
      <c r="F27" s="107">
        <v>0.8</v>
      </c>
      <c r="G27" s="107">
        <v>0.8</v>
      </c>
      <c r="H27" s="107">
        <v>0.8</v>
      </c>
      <c r="I27" s="107">
        <v>0</v>
      </c>
      <c r="J27" s="107">
        <v>0.8</v>
      </c>
      <c r="K27" s="107">
        <v>0.8</v>
      </c>
      <c r="L27" s="107">
        <v>0.8</v>
      </c>
      <c r="M27" s="107">
        <v>0.8</v>
      </c>
      <c r="N27" s="107">
        <v>0.8</v>
      </c>
      <c r="O27" s="107">
        <v>0</v>
      </c>
      <c r="P27" s="107">
        <v>0.8</v>
      </c>
      <c r="Q27" s="107">
        <v>0.8</v>
      </c>
      <c r="R27" s="107">
        <v>0.8</v>
      </c>
      <c r="S27" s="107">
        <v>0</v>
      </c>
      <c r="T27" s="107">
        <v>0</v>
      </c>
      <c r="U27" s="107">
        <v>0</v>
      </c>
      <c r="V27" s="107">
        <v>0.8</v>
      </c>
      <c r="W27" s="107">
        <v>0</v>
      </c>
      <c r="X27" s="107">
        <v>0.8</v>
      </c>
      <c r="Y27" s="107">
        <v>0.8</v>
      </c>
      <c r="Z27" s="107">
        <v>0.8</v>
      </c>
      <c r="AA27" s="107">
        <v>0.8</v>
      </c>
      <c r="AB27" s="107">
        <v>0</v>
      </c>
      <c r="AC27" s="107">
        <v>0.8</v>
      </c>
      <c r="AD27" s="107">
        <v>0</v>
      </c>
      <c r="AE27" s="107">
        <v>0</v>
      </c>
      <c r="AF27" s="107">
        <v>0</v>
      </c>
      <c r="AG27" s="107">
        <v>0</v>
      </c>
      <c r="AH27" s="107">
        <v>0</v>
      </c>
      <c r="AI27" s="107">
        <v>0</v>
      </c>
      <c r="AJ27" s="107">
        <v>0</v>
      </c>
      <c r="AK27" s="107">
        <v>0</v>
      </c>
    </row>
    <row r="28" spans="1:37" customFormat="1" x14ac:dyDescent="0.15">
      <c r="A28" s="186" t="s">
        <v>219</v>
      </c>
      <c r="B28" s="107">
        <v>0</v>
      </c>
      <c r="C28" s="107">
        <v>0</v>
      </c>
      <c r="D28" s="107">
        <v>0</v>
      </c>
      <c r="E28" s="107">
        <v>0</v>
      </c>
      <c r="F28" s="107">
        <v>0</v>
      </c>
      <c r="G28" s="107">
        <v>0.8</v>
      </c>
      <c r="H28" s="107">
        <v>0</v>
      </c>
      <c r="I28" s="107">
        <v>0</v>
      </c>
      <c r="J28" s="107">
        <v>0.8</v>
      </c>
      <c r="K28" s="107">
        <v>0.8</v>
      </c>
      <c r="L28" s="107">
        <v>0</v>
      </c>
      <c r="M28" s="107">
        <v>0</v>
      </c>
      <c r="N28" s="107">
        <v>0.8</v>
      </c>
      <c r="O28" s="107">
        <v>0</v>
      </c>
      <c r="P28" s="107">
        <v>0</v>
      </c>
      <c r="Q28" s="107">
        <v>0.8</v>
      </c>
      <c r="R28" s="107">
        <v>0.8</v>
      </c>
      <c r="S28" s="107">
        <v>0</v>
      </c>
      <c r="T28" s="107">
        <v>0</v>
      </c>
      <c r="U28" s="107">
        <v>0</v>
      </c>
      <c r="V28" s="107">
        <v>0.8</v>
      </c>
      <c r="W28" s="107">
        <v>0</v>
      </c>
      <c r="X28" s="107">
        <v>0.8</v>
      </c>
      <c r="Y28" s="107">
        <v>0.8</v>
      </c>
      <c r="Z28" s="107">
        <v>0.8</v>
      </c>
      <c r="AA28" s="107">
        <v>0.8</v>
      </c>
      <c r="AB28" s="107">
        <v>0</v>
      </c>
      <c r="AC28" s="107">
        <v>0.8</v>
      </c>
      <c r="AD28" s="107">
        <v>0</v>
      </c>
      <c r="AE28" s="107">
        <v>0</v>
      </c>
      <c r="AF28" s="107">
        <v>0</v>
      </c>
      <c r="AG28" s="107">
        <v>0</v>
      </c>
      <c r="AH28" s="107">
        <v>0</v>
      </c>
      <c r="AI28" s="107">
        <v>0</v>
      </c>
      <c r="AJ28" s="107">
        <v>0</v>
      </c>
      <c r="AK28" s="107">
        <v>0</v>
      </c>
    </row>
    <row r="29" spans="1:37" customFormat="1" x14ac:dyDescent="0.15">
      <c r="A29" s="186" t="s">
        <v>220</v>
      </c>
      <c r="B29" s="107">
        <v>0</v>
      </c>
      <c r="C29" s="107">
        <v>0</v>
      </c>
      <c r="D29" s="107">
        <v>0.8</v>
      </c>
      <c r="E29" s="107">
        <v>0</v>
      </c>
      <c r="F29" s="107">
        <v>0.8</v>
      </c>
      <c r="G29" s="107">
        <v>0</v>
      </c>
      <c r="H29" s="107">
        <v>0.8</v>
      </c>
      <c r="I29" s="107">
        <v>0</v>
      </c>
      <c r="J29" s="107">
        <v>0</v>
      </c>
      <c r="K29" s="107">
        <v>0.8</v>
      </c>
      <c r="L29" s="107">
        <v>0</v>
      </c>
      <c r="M29" s="107">
        <v>0.8</v>
      </c>
      <c r="N29" s="107">
        <v>0</v>
      </c>
      <c r="O29" s="107">
        <v>0.8</v>
      </c>
      <c r="P29" s="107">
        <v>0</v>
      </c>
      <c r="Q29" s="107">
        <v>0.8</v>
      </c>
      <c r="R29" s="107">
        <v>0.8</v>
      </c>
      <c r="S29" s="107">
        <v>0.8</v>
      </c>
      <c r="T29" s="107">
        <v>0</v>
      </c>
      <c r="U29" s="107">
        <v>0</v>
      </c>
      <c r="V29" s="107">
        <v>0.8</v>
      </c>
      <c r="W29" s="107">
        <v>0.8</v>
      </c>
      <c r="X29" s="107">
        <v>0</v>
      </c>
      <c r="Y29" s="107">
        <v>0</v>
      </c>
      <c r="Z29" s="107">
        <v>0</v>
      </c>
      <c r="AA29" s="107">
        <v>0</v>
      </c>
      <c r="AB29" s="107">
        <v>0</v>
      </c>
      <c r="AC29" s="107">
        <v>0</v>
      </c>
      <c r="AD29" s="107">
        <v>0</v>
      </c>
      <c r="AE29" s="107">
        <v>0</v>
      </c>
      <c r="AF29" s="107">
        <v>0</v>
      </c>
      <c r="AG29" s="107">
        <v>0</v>
      </c>
      <c r="AH29" s="107">
        <v>0</v>
      </c>
      <c r="AI29" s="107">
        <v>0</v>
      </c>
      <c r="AJ29" s="107">
        <v>0</v>
      </c>
      <c r="AK29" s="107">
        <v>0</v>
      </c>
    </row>
    <row r="30" spans="1:37" customFormat="1" x14ac:dyDescent="0.15">
      <c r="A30" s="186" t="s">
        <v>221</v>
      </c>
      <c r="B30" s="107">
        <v>0</v>
      </c>
      <c r="C30" s="107">
        <v>0</v>
      </c>
      <c r="D30" s="107">
        <v>0</v>
      </c>
      <c r="E30" s="107">
        <v>0</v>
      </c>
      <c r="F30" s="107">
        <v>0</v>
      </c>
      <c r="G30" s="107">
        <v>0</v>
      </c>
      <c r="H30" s="107">
        <v>0</v>
      </c>
      <c r="I30" s="107">
        <v>0</v>
      </c>
      <c r="J30" s="107">
        <v>0</v>
      </c>
      <c r="K30" s="107">
        <v>0.8</v>
      </c>
      <c r="L30" s="107">
        <v>0</v>
      </c>
      <c r="M30" s="107">
        <v>0</v>
      </c>
      <c r="N30" s="107">
        <v>0</v>
      </c>
      <c r="O30" s="107">
        <v>0.8</v>
      </c>
      <c r="P30" s="107">
        <v>0</v>
      </c>
      <c r="Q30" s="107">
        <v>0</v>
      </c>
      <c r="R30" s="107">
        <v>0.8</v>
      </c>
      <c r="S30" s="107">
        <v>0.8</v>
      </c>
      <c r="T30" s="107">
        <v>0.8</v>
      </c>
      <c r="U30" s="107">
        <v>0.8</v>
      </c>
      <c r="V30" s="107">
        <v>0.8</v>
      </c>
      <c r="W30" s="107">
        <v>0.8</v>
      </c>
      <c r="X30" s="107">
        <v>0</v>
      </c>
      <c r="Y30" s="107">
        <v>0</v>
      </c>
      <c r="Z30" s="107">
        <v>0</v>
      </c>
      <c r="AA30" s="107">
        <v>0</v>
      </c>
      <c r="AB30" s="107">
        <v>0</v>
      </c>
      <c r="AC30" s="107">
        <v>0.8</v>
      </c>
      <c r="AD30" s="107">
        <v>0</v>
      </c>
      <c r="AE30" s="107">
        <v>0</v>
      </c>
      <c r="AF30" s="107">
        <v>0</v>
      </c>
      <c r="AG30" s="107">
        <v>0</v>
      </c>
      <c r="AH30" s="107">
        <v>0</v>
      </c>
      <c r="AI30" s="107">
        <v>0</v>
      </c>
      <c r="AJ30" s="107">
        <v>0</v>
      </c>
      <c r="AK30" s="107">
        <v>0</v>
      </c>
    </row>
    <row r="31" spans="1:37" customFormat="1" x14ac:dyDescent="0.15">
      <c r="A31" s="186" t="s">
        <v>222</v>
      </c>
      <c r="B31" s="107">
        <v>0</v>
      </c>
      <c r="C31" s="107">
        <v>0</v>
      </c>
      <c r="D31" s="107">
        <v>0</v>
      </c>
      <c r="E31" s="107">
        <v>0</v>
      </c>
      <c r="F31" s="107">
        <v>0</v>
      </c>
      <c r="G31" s="107">
        <v>0</v>
      </c>
      <c r="H31" s="107">
        <v>0</v>
      </c>
      <c r="I31" s="107">
        <v>0</v>
      </c>
      <c r="J31" s="107">
        <v>0</v>
      </c>
      <c r="K31" s="107">
        <v>0</v>
      </c>
      <c r="L31" s="107">
        <v>0</v>
      </c>
      <c r="M31" s="107">
        <v>0</v>
      </c>
      <c r="N31" s="107">
        <v>0</v>
      </c>
      <c r="O31" s="107">
        <v>0.8</v>
      </c>
      <c r="P31" s="107">
        <v>0</v>
      </c>
      <c r="Q31" s="107">
        <v>0</v>
      </c>
      <c r="R31" s="107">
        <v>0</v>
      </c>
      <c r="S31" s="107">
        <v>0.8</v>
      </c>
      <c r="T31" s="107">
        <v>0.8</v>
      </c>
      <c r="U31" s="107">
        <v>0.8</v>
      </c>
      <c r="V31" s="107">
        <v>0</v>
      </c>
      <c r="W31" s="107">
        <v>0.8</v>
      </c>
      <c r="X31" s="107">
        <v>0</v>
      </c>
      <c r="Y31" s="107">
        <v>0</v>
      </c>
      <c r="Z31" s="107">
        <v>0</v>
      </c>
      <c r="AA31" s="107">
        <v>0</v>
      </c>
      <c r="AB31" s="107">
        <v>0.8</v>
      </c>
      <c r="AC31" s="107">
        <v>0.8</v>
      </c>
      <c r="AD31" s="107">
        <v>0.8</v>
      </c>
      <c r="AE31" s="107">
        <v>0</v>
      </c>
      <c r="AF31" s="107">
        <v>0</v>
      </c>
      <c r="AG31" s="107">
        <v>0.8</v>
      </c>
      <c r="AH31" s="107">
        <v>0</v>
      </c>
      <c r="AI31" s="107">
        <v>0</v>
      </c>
      <c r="AJ31" s="107">
        <v>0</v>
      </c>
      <c r="AK31" s="107">
        <v>0</v>
      </c>
    </row>
    <row r="32" spans="1:37" customFormat="1" x14ac:dyDescent="0.15">
      <c r="A32" s="186" t="s">
        <v>223</v>
      </c>
      <c r="B32" s="107">
        <v>0</v>
      </c>
      <c r="C32" s="107">
        <v>0</v>
      </c>
      <c r="D32" s="107">
        <v>0</v>
      </c>
      <c r="E32" s="107">
        <v>0</v>
      </c>
      <c r="F32" s="107">
        <v>0</v>
      </c>
      <c r="G32" s="107">
        <v>0</v>
      </c>
      <c r="H32" s="107">
        <v>0</v>
      </c>
      <c r="I32" s="107">
        <v>0</v>
      </c>
      <c r="J32" s="107">
        <v>0</v>
      </c>
      <c r="K32" s="107">
        <v>0</v>
      </c>
      <c r="L32" s="107">
        <v>0</v>
      </c>
      <c r="M32" s="107">
        <v>0</v>
      </c>
      <c r="N32" s="107">
        <v>0</v>
      </c>
      <c r="O32" s="107">
        <v>0</v>
      </c>
      <c r="P32" s="107">
        <v>0</v>
      </c>
      <c r="Q32" s="107">
        <v>0</v>
      </c>
      <c r="R32" s="107">
        <v>0.8</v>
      </c>
      <c r="S32" s="107">
        <v>0</v>
      </c>
      <c r="T32" s="107">
        <v>0.8</v>
      </c>
      <c r="U32" s="107">
        <v>0.8</v>
      </c>
      <c r="V32" s="107">
        <v>0</v>
      </c>
      <c r="W32" s="107">
        <v>0</v>
      </c>
      <c r="X32" s="107">
        <v>0</v>
      </c>
      <c r="Y32" s="107">
        <v>0.8</v>
      </c>
      <c r="Z32" s="107">
        <v>0.8</v>
      </c>
      <c r="AA32" s="107">
        <v>0.8</v>
      </c>
      <c r="AB32" s="107">
        <v>0.8</v>
      </c>
      <c r="AC32" s="107">
        <v>0.8</v>
      </c>
      <c r="AD32" s="107">
        <v>0</v>
      </c>
      <c r="AE32" s="107">
        <v>0</v>
      </c>
      <c r="AF32" s="107">
        <v>0</v>
      </c>
      <c r="AG32" s="107">
        <v>0.8</v>
      </c>
      <c r="AH32" s="107">
        <v>0</v>
      </c>
      <c r="AI32" s="107">
        <v>0</v>
      </c>
      <c r="AJ32" s="107">
        <v>0</v>
      </c>
      <c r="AK32" s="107">
        <v>0</v>
      </c>
    </row>
    <row r="33" spans="1:37" x14ac:dyDescent="0.15">
      <c r="A33" s="186" t="s">
        <v>224</v>
      </c>
      <c r="B33" s="107">
        <v>0</v>
      </c>
      <c r="C33" s="107">
        <v>0</v>
      </c>
      <c r="D33" s="107">
        <v>0</v>
      </c>
      <c r="E33" s="107">
        <v>0</v>
      </c>
      <c r="F33" s="107">
        <v>0</v>
      </c>
      <c r="G33" s="107">
        <v>0</v>
      </c>
      <c r="H33" s="107">
        <v>0</v>
      </c>
      <c r="I33" s="107">
        <v>0</v>
      </c>
      <c r="J33" s="107">
        <v>0</v>
      </c>
      <c r="K33" s="107">
        <v>0</v>
      </c>
      <c r="L33" s="107">
        <v>0</v>
      </c>
      <c r="M33" s="107">
        <v>0</v>
      </c>
      <c r="N33" s="107">
        <v>0</v>
      </c>
      <c r="O33" s="107">
        <v>0</v>
      </c>
      <c r="P33" s="107">
        <v>0</v>
      </c>
      <c r="Q33" s="107">
        <v>0</v>
      </c>
      <c r="R33" s="107">
        <v>0</v>
      </c>
      <c r="S33" s="107">
        <v>0</v>
      </c>
      <c r="T33" s="107">
        <v>0</v>
      </c>
      <c r="U33" s="107">
        <v>0.8</v>
      </c>
      <c r="V33" s="107">
        <v>0.8</v>
      </c>
      <c r="W33" s="107">
        <v>0</v>
      </c>
      <c r="X33" s="107">
        <v>0</v>
      </c>
      <c r="Y33" s="107">
        <v>0.8</v>
      </c>
      <c r="Z33" s="107">
        <v>0</v>
      </c>
      <c r="AA33" s="107">
        <v>0.8</v>
      </c>
      <c r="AB33" s="107">
        <v>0.8</v>
      </c>
      <c r="AC33" s="107">
        <v>0</v>
      </c>
      <c r="AD33" s="107">
        <v>0</v>
      </c>
      <c r="AE33" s="107">
        <v>0</v>
      </c>
      <c r="AF33" s="107">
        <v>0</v>
      </c>
      <c r="AG33" s="107">
        <v>0</v>
      </c>
      <c r="AH33" s="107">
        <v>0</v>
      </c>
      <c r="AI33" s="107">
        <v>0</v>
      </c>
      <c r="AJ33" s="107">
        <v>0</v>
      </c>
      <c r="AK33" s="107">
        <v>0</v>
      </c>
    </row>
    <row r="34" spans="1:37" x14ac:dyDescent="0.15">
      <c r="A34" s="186" t="s">
        <v>225</v>
      </c>
      <c r="B34" s="107">
        <v>0</v>
      </c>
      <c r="C34" s="107">
        <v>0</v>
      </c>
      <c r="D34" s="107">
        <v>0</v>
      </c>
      <c r="E34" s="107">
        <v>0</v>
      </c>
      <c r="F34" s="107">
        <v>0</v>
      </c>
      <c r="G34" s="107">
        <v>0</v>
      </c>
      <c r="H34" s="107">
        <v>0</v>
      </c>
      <c r="I34" s="107">
        <v>0</v>
      </c>
      <c r="J34" s="107">
        <v>0</v>
      </c>
      <c r="K34" s="107">
        <v>0</v>
      </c>
      <c r="L34" s="107">
        <v>0</v>
      </c>
      <c r="M34" s="107">
        <v>0</v>
      </c>
      <c r="N34" s="107">
        <v>0.8</v>
      </c>
      <c r="O34" s="107">
        <v>0</v>
      </c>
      <c r="P34" s="107">
        <v>0</v>
      </c>
      <c r="Q34" s="107">
        <v>0.8</v>
      </c>
      <c r="R34" s="107">
        <v>0.8</v>
      </c>
      <c r="S34" s="107">
        <v>0</v>
      </c>
      <c r="T34" s="107">
        <v>0</v>
      </c>
      <c r="U34" s="107">
        <v>0</v>
      </c>
      <c r="V34" s="107">
        <v>0</v>
      </c>
      <c r="W34" s="107">
        <v>0</v>
      </c>
      <c r="X34" s="107">
        <v>0.8</v>
      </c>
      <c r="Y34" s="107">
        <v>0.8</v>
      </c>
      <c r="Z34" s="107">
        <v>0.8</v>
      </c>
      <c r="AA34" s="107">
        <v>0.8</v>
      </c>
      <c r="AB34" s="107">
        <v>0.8</v>
      </c>
      <c r="AC34" s="107">
        <v>0</v>
      </c>
      <c r="AD34" s="107">
        <v>0</v>
      </c>
      <c r="AE34" s="107">
        <v>0.8</v>
      </c>
      <c r="AF34" s="107">
        <v>0</v>
      </c>
      <c r="AG34" s="107">
        <v>0.8</v>
      </c>
      <c r="AH34" s="107">
        <v>0</v>
      </c>
      <c r="AI34" s="107">
        <v>0</v>
      </c>
      <c r="AJ34" s="107">
        <v>0</v>
      </c>
      <c r="AK34" s="107">
        <v>0</v>
      </c>
    </row>
    <row r="35" spans="1:37" x14ac:dyDescent="0.15">
      <c r="A35" s="186" t="s">
        <v>226</v>
      </c>
      <c r="B35" s="107">
        <v>0</v>
      </c>
      <c r="C35" s="107">
        <v>0</v>
      </c>
      <c r="D35" s="107">
        <v>0</v>
      </c>
      <c r="E35" s="107">
        <v>0</v>
      </c>
      <c r="F35" s="107">
        <v>0</v>
      </c>
      <c r="G35" s="107">
        <v>0</v>
      </c>
      <c r="H35" s="107">
        <v>0</v>
      </c>
      <c r="I35" s="107">
        <v>0</v>
      </c>
      <c r="J35" s="107">
        <v>0</v>
      </c>
      <c r="K35" s="107">
        <v>0</v>
      </c>
      <c r="L35" s="107">
        <v>0</v>
      </c>
      <c r="M35" s="107">
        <v>0</v>
      </c>
      <c r="N35" s="107">
        <v>0</v>
      </c>
      <c r="O35" s="107">
        <v>0</v>
      </c>
      <c r="P35" s="107">
        <v>0</v>
      </c>
      <c r="Q35" s="107">
        <v>0</v>
      </c>
      <c r="R35" s="107">
        <v>0</v>
      </c>
      <c r="S35" s="107">
        <v>0</v>
      </c>
      <c r="T35" s="107">
        <v>0</v>
      </c>
      <c r="U35" s="107">
        <v>0</v>
      </c>
      <c r="V35" s="107">
        <v>0</v>
      </c>
      <c r="W35" s="107">
        <v>0</v>
      </c>
      <c r="X35" s="107">
        <v>0</v>
      </c>
      <c r="Y35" s="107">
        <v>0</v>
      </c>
      <c r="Z35" s="107">
        <v>0</v>
      </c>
      <c r="AA35" s="107">
        <v>0</v>
      </c>
      <c r="AB35" s="107">
        <v>0</v>
      </c>
      <c r="AC35" s="107">
        <v>0</v>
      </c>
      <c r="AD35" s="107">
        <v>0</v>
      </c>
      <c r="AE35" s="107">
        <v>0.8</v>
      </c>
      <c r="AF35" s="107">
        <v>0</v>
      </c>
      <c r="AG35" s="107">
        <v>0</v>
      </c>
      <c r="AH35" s="107">
        <v>0</v>
      </c>
      <c r="AI35" s="107">
        <v>0</v>
      </c>
      <c r="AJ35" s="107">
        <v>0</v>
      </c>
      <c r="AK35" s="107">
        <v>0</v>
      </c>
    </row>
    <row r="36" spans="1:37" x14ac:dyDescent="0.15">
      <c r="A36" s="186" t="s">
        <v>227</v>
      </c>
      <c r="B36" s="107">
        <v>0</v>
      </c>
      <c r="C36" s="107">
        <v>0</v>
      </c>
      <c r="D36" s="107">
        <v>0</v>
      </c>
      <c r="E36" s="107">
        <v>0</v>
      </c>
      <c r="F36" s="107">
        <v>0</v>
      </c>
      <c r="G36" s="107">
        <v>0</v>
      </c>
      <c r="H36" s="107">
        <v>0</v>
      </c>
      <c r="I36" s="107">
        <v>0</v>
      </c>
      <c r="J36" s="107">
        <v>0</v>
      </c>
      <c r="K36" s="107">
        <v>0</v>
      </c>
      <c r="L36" s="107">
        <v>0</v>
      </c>
      <c r="M36" s="107">
        <v>0</v>
      </c>
      <c r="N36" s="107">
        <v>0</v>
      </c>
      <c r="O36" s="107">
        <v>0</v>
      </c>
      <c r="P36" s="107">
        <v>0</v>
      </c>
      <c r="Q36" s="107">
        <v>0</v>
      </c>
      <c r="R36" s="107">
        <v>0</v>
      </c>
      <c r="S36" s="107">
        <v>0.8</v>
      </c>
      <c r="T36" s="107">
        <v>0.8</v>
      </c>
      <c r="U36" s="107">
        <v>0.8</v>
      </c>
      <c r="V36" s="107">
        <v>0</v>
      </c>
      <c r="W36" s="107">
        <v>0.8</v>
      </c>
      <c r="X36" s="107">
        <v>0</v>
      </c>
      <c r="Y36" s="107">
        <v>0</v>
      </c>
      <c r="Z36" s="107">
        <v>0</v>
      </c>
      <c r="AA36" s="107">
        <v>0</v>
      </c>
      <c r="AB36" s="107">
        <v>0</v>
      </c>
      <c r="AC36" s="107">
        <v>0.8</v>
      </c>
      <c r="AD36" s="107">
        <v>0</v>
      </c>
      <c r="AE36" s="107">
        <v>0.8</v>
      </c>
      <c r="AF36" s="107">
        <v>0</v>
      </c>
      <c r="AG36" s="107">
        <v>0</v>
      </c>
      <c r="AH36" s="107">
        <v>0</v>
      </c>
      <c r="AI36" s="107">
        <v>0</v>
      </c>
      <c r="AJ36" s="107">
        <v>0</v>
      </c>
      <c r="AK36" s="107">
        <v>0</v>
      </c>
    </row>
    <row r="37" spans="1:37" x14ac:dyDescent="0.15">
      <c r="A37" s="186" t="s">
        <v>228</v>
      </c>
      <c r="B37" s="107">
        <v>0</v>
      </c>
      <c r="C37" s="107">
        <v>0</v>
      </c>
      <c r="D37" s="107">
        <v>0</v>
      </c>
      <c r="E37" s="107">
        <v>0</v>
      </c>
      <c r="F37" s="107">
        <v>0.8</v>
      </c>
      <c r="G37" s="107">
        <v>0</v>
      </c>
      <c r="H37" s="107">
        <v>0</v>
      </c>
      <c r="I37" s="107">
        <v>0</v>
      </c>
      <c r="J37" s="107">
        <v>0</v>
      </c>
      <c r="K37" s="107">
        <v>0.8</v>
      </c>
      <c r="L37" s="107">
        <v>0</v>
      </c>
      <c r="M37" s="107">
        <v>0.8</v>
      </c>
      <c r="N37" s="107">
        <v>0</v>
      </c>
      <c r="O37" s="107">
        <v>0.8</v>
      </c>
      <c r="P37" s="107">
        <v>0</v>
      </c>
      <c r="Q37" s="107">
        <v>0</v>
      </c>
      <c r="R37" s="107">
        <v>0.8</v>
      </c>
      <c r="S37" s="107">
        <v>0.8</v>
      </c>
      <c r="T37" s="107">
        <v>0.8</v>
      </c>
      <c r="U37" s="107">
        <v>0.8</v>
      </c>
      <c r="V37" s="107">
        <v>0.8</v>
      </c>
      <c r="W37" s="107">
        <v>0.8</v>
      </c>
      <c r="X37" s="107">
        <v>0</v>
      </c>
      <c r="Y37" s="107">
        <v>0.8</v>
      </c>
      <c r="Z37" s="107">
        <v>0</v>
      </c>
      <c r="AA37" s="107">
        <v>0</v>
      </c>
      <c r="AB37" s="107">
        <v>0</v>
      </c>
      <c r="AC37" s="107">
        <v>0.8</v>
      </c>
      <c r="AD37" s="107">
        <v>0.8</v>
      </c>
      <c r="AE37" s="107">
        <v>0.8</v>
      </c>
      <c r="AF37" s="107">
        <v>0</v>
      </c>
      <c r="AG37" s="107">
        <v>0.8</v>
      </c>
      <c r="AH37" s="107">
        <v>0</v>
      </c>
      <c r="AI37" s="107">
        <v>0</v>
      </c>
      <c r="AJ37" s="107">
        <v>0</v>
      </c>
      <c r="AK37" s="107">
        <v>0</v>
      </c>
    </row>
    <row r="38" spans="1:37" x14ac:dyDescent="0.15">
      <c r="A38" s="186" t="s">
        <v>231</v>
      </c>
      <c r="B38" s="107">
        <v>0.8</v>
      </c>
      <c r="C38" s="107">
        <v>0.8</v>
      </c>
      <c r="D38" s="107">
        <v>0.8</v>
      </c>
      <c r="E38" s="107">
        <v>0</v>
      </c>
      <c r="F38" s="107">
        <v>0.8</v>
      </c>
      <c r="G38" s="107">
        <v>0.8</v>
      </c>
      <c r="H38" s="107">
        <v>0.8</v>
      </c>
      <c r="I38" s="107">
        <v>0.8</v>
      </c>
      <c r="J38" s="107">
        <v>0.8</v>
      </c>
      <c r="K38" s="107">
        <v>0</v>
      </c>
      <c r="L38" s="107">
        <v>0.8</v>
      </c>
      <c r="M38" s="107">
        <v>0.8</v>
      </c>
      <c r="N38" s="107">
        <v>0</v>
      </c>
      <c r="O38" s="107">
        <v>0.8</v>
      </c>
      <c r="P38" s="107">
        <v>0.8</v>
      </c>
      <c r="Q38" s="107">
        <v>0</v>
      </c>
      <c r="R38" s="107">
        <v>0</v>
      </c>
      <c r="S38" s="107">
        <v>0</v>
      </c>
      <c r="T38" s="107">
        <v>0</v>
      </c>
      <c r="U38" s="107">
        <v>0</v>
      </c>
      <c r="V38" s="107">
        <v>0</v>
      </c>
      <c r="W38" s="107">
        <v>0</v>
      </c>
      <c r="X38" s="107">
        <v>0</v>
      </c>
      <c r="Y38" s="107">
        <v>0</v>
      </c>
      <c r="Z38" s="107">
        <v>0</v>
      </c>
      <c r="AA38" s="107">
        <v>0</v>
      </c>
      <c r="AB38" s="107">
        <v>0</v>
      </c>
      <c r="AC38" s="107">
        <v>0</v>
      </c>
      <c r="AD38" s="107">
        <v>0</v>
      </c>
      <c r="AE38" s="107">
        <v>0</v>
      </c>
      <c r="AF38" s="107">
        <v>0</v>
      </c>
      <c r="AG38" s="107">
        <v>0</v>
      </c>
      <c r="AH38" s="107">
        <v>0</v>
      </c>
      <c r="AI38" s="107">
        <v>0</v>
      </c>
      <c r="AJ38" s="107">
        <v>0</v>
      </c>
      <c r="AK38" s="10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K38"/>
  <sheetViews>
    <sheetView workbookViewId="0">
      <selection activeCell="A3" sqref="A3"/>
    </sheetView>
  </sheetViews>
  <sheetFormatPr baseColWidth="10" defaultRowHeight="13" x14ac:dyDescent="0.15"/>
  <cols>
    <col min="1" max="1" width="31.83203125" style="107" bestFit="1" customWidth="1"/>
    <col min="2" max="37" width="2.33203125" style="107" customWidth="1"/>
    <col min="38" max="16384" width="10.83203125" style="107"/>
  </cols>
  <sheetData>
    <row r="1" spans="1:37" x14ac:dyDescent="0.15">
      <c r="A1" s="62" t="s">
        <v>139</v>
      </c>
      <c r="B1" s="189" t="s">
        <v>193</v>
      </c>
      <c r="C1" s="189" t="s">
        <v>194</v>
      </c>
      <c r="D1" s="189" t="s">
        <v>195</v>
      </c>
      <c r="E1" s="189" t="s">
        <v>196</v>
      </c>
      <c r="F1" s="189" t="s">
        <v>197</v>
      </c>
      <c r="G1" s="189" t="s">
        <v>198</v>
      </c>
      <c r="H1" s="189" t="s">
        <v>199</v>
      </c>
      <c r="I1" s="189" t="s">
        <v>200</v>
      </c>
      <c r="J1" s="189" t="s">
        <v>201</v>
      </c>
      <c r="K1" s="189" t="s">
        <v>202</v>
      </c>
      <c r="L1" s="189" t="s">
        <v>203</v>
      </c>
      <c r="M1" s="189" t="s">
        <v>204</v>
      </c>
      <c r="N1" s="189" t="s">
        <v>205</v>
      </c>
      <c r="O1" s="189" t="s">
        <v>206</v>
      </c>
      <c r="P1" s="189" t="s">
        <v>207</v>
      </c>
      <c r="Q1" s="189" t="s">
        <v>208</v>
      </c>
      <c r="R1" s="189" t="s">
        <v>209</v>
      </c>
      <c r="S1" s="189" t="s">
        <v>210</v>
      </c>
      <c r="T1" s="189" t="s">
        <v>211</v>
      </c>
      <c r="U1" s="189" t="s">
        <v>212</v>
      </c>
      <c r="V1" s="189" t="s">
        <v>213</v>
      </c>
      <c r="W1" s="189" t="s">
        <v>214</v>
      </c>
      <c r="X1" s="189" t="s">
        <v>215</v>
      </c>
      <c r="Y1" s="189" t="s">
        <v>216</v>
      </c>
      <c r="Z1" s="189" t="s">
        <v>217</v>
      </c>
      <c r="AA1" s="189" t="s">
        <v>218</v>
      </c>
      <c r="AB1" s="189" t="s">
        <v>219</v>
      </c>
      <c r="AC1" s="189" t="s">
        <v>220</v>
      </c>
      <c r="AD1" s="189" t="s">
        <v>221</v>
      </c>
      <c r="AE1" s="189" t="s">
        <v>222</v>
      </c>
      <c r="AF1" s="189" t="s">
        <v>223</v>
      </c>
      <c r="AG1" s="189" t="s">
        <v>224</v>
      </c>
      <c r="AH1" s="189" t="s">
        <v>225</v>
      </c>
      <c r="AI1" s="189" t="s">
        <v>226</v>
      </c>
      <c r="AJ1" s="189" t="s">
        <v>227</v>
      </c>
      <c r="AK1" s="189" t="s">
        <v>228</v>
      </c>
    </row>
    <row r="2" spans="1:37" customFormat="1" x14ac:dyDescent="0.15">
      <c r="A2" s="188" t="s">
        <v>193</v>
      </c>
      <c r="B2" s="107">
        <v>0</v>
      </c>
      <c r="C2" s="107">
        <v>0</v>
      </c>
      <c r="D2" s="107">
        <v>0</v>
      </c>
      <c r="E2" s="107">
        <v>0</v>
      </c>
      <c r="F2" s="107">
        <v>0</v>
      </c>
      <c r="G2" s="107">
        <v>0</v>
      </c>
      <c r="H2" s="107">
        <v>0</v>
      </c>
      <c r="I2" s="107">
        <v>0</v>
      </c>
      <c r="J2" s="107">
        <v>0</v>
      </c>
      <c r="K2" s="107">
        <v>0</v>
      </c>
      <c r="L2" s="107">
        <v>0</v>
      </c>
      <c r="M2" s="107">
        <v>0</v>
      </c>
      <c r="N2" s="107">
        <v>0</v>
      </c>
      <c r="O2" s="107">
        <v>0</v>
      </c>
      <c r="P2" s="107">
        <v>0</v>
      </c>
      <c r="Q2" s="107">
        <v>0</v>
      </c>
      <c r="R2" s="107">
        <v>0</v>
      </c>
      <c r="S2" s="107">
        <v>0</v>
      </c>
      <c r="T2" s="107">
        <v>0</v>
      </c>
      <c r="U2" s="107">
        <v>0</v>
      </c>
      <c r="V2" s="107">
        <v>0</v>
      </c>
      <c r="W2" s="107">
        <v>0</v>
      </c>
      <c r="X2" s="107">
        <v>0</v>
      </c>
      <c r="Y2" s="107">
        <v>0</v>
      </c>
      <c r="Z2" s="107">
        <v>0</v>
      </c>
      <c r="AA2" s="107">
        <v>0</v>
      </c>
      <c r="AB2" s="107">
        <v>0</v>
      </c>
      <c r="AC2" s="107">
        <v>0</v>
      </c>
      <c r="AD2" s="107">
        <v>0</v>
      </c>
      <c r="AE2" s="107">
        <v>0</v>
      </c>
      <c r="AF2" s="107">
        <v>0</v>
      </c>
      <c r="AG2" s="107">
        <v>0</v>
      </c>
      <c r="AH2" s="107">
        <v>0</v>
      </c>
      <c r="AI2" s="107">
        <v>0</v>
      </c>
      <c r="AJ2" s="107">
        <v>0</v>
      </c>
      <c r="AK2" s="107">
        <v>0</v>
      </c>
    </row>
    <row r="3" spans="1:37" customFormat="1" x14ac:dyDescent="0.15">
      <c r="A3" s="188" t="s">
        <v>194</v>
      </c>
      <c r="B3" s="107">
        <v>0</v>
      </c>
      <c r="C3" s="107">
        <v>0</v>
      </c>
      <c r="D3" s="107">
        <v>0</v>
      </c>
      <c r="E3" s="107">
        <v>0</v>
      </c>
      <c r="F3" s="107">
        <v>0</v>
      </c>
      <c r="G3" s="107">
        <v>0</v>
      </c>
      <c r="H3" s="107">
        <v>0</v>
      </c>
      <c r="I3" s="107">
        <v>0</v>
      </c>
      <c r="J3" s="107">
        <v>0</v>
      </c>
      <c r="K3" s="107">
        <v>0</v>
      </c>
      <c r="L3" s="107">
        <v>0</v>
      </c>
      <c r="M3" s="107">
        <v>0</v>
      </c>
      <c r="N3" s="107">
        <v>0</v>
      </c>
      <c r="O3" s="107">
        <v>0</v>
      </c>
      <c r="P3" s="107">
        <v>0</v>
      </c>
      <c r="Q3" s="107">
        <v>0</v>
      </c>
      <c r="R3" s="107">
        <v>0</v>
      </c>
      <c r="S3" s="107">
        <v>0</v>
      </c>
      <c r="T3" s="107">
        <v>0</v>
      </c>
      <c r="U3" s="107">
        <v>0</v>
      </c>
      <c r="V3" s="107">
        <v>0</v>
      </c>
      <c r="W3" s="107">
        <v>0</v>
      </c>
      <c r="X3" s="107">
        <v>0</v>
      </c>
      <c r="Y3" s="107">
        <v>0</v>
      </c>
      <c r="Z3" s="107">
        <v>0</v>
      </c>
      <c r="AA3" s="107">
        <v>0</v>
      </c>
      <c r="AB3" s="107">
        <v>0</v>
      </c>
      <c r="AC3" s="107">
        <v>0</v>
      </c>
      <c r="AD3" s="107">
        <v>0</v>
      </c>
      <c r="AE3" s="107">
        <v>0</v>
      </c>
      <c r="AF3" s="107">
        <v>0</v>
      </c>
      <c r="AG3" s="107">
        <v>0</v>
      </c>
      <c r="AH3" s="107">
        <v>0</v>
      </c>
      <c r="AI3" s="107">
        <v>0</v>
      </c>
      <c r="AJ3" s="107">
        <v>0</v>
      </c>
      <c r="AK3" s="107">
        <v>0</v>
      </c>
    </row>
    <row r="4" spans="1:37" customFormat="1" x14ac:dyDescent="0.15">
      <c r="A4" s="188" t="s">
        <v>195</v>
      </c>
      <c r="B4" s="107">
        <v>0</v>
      </c>
      <c r="C4" s="107">
        <v>0</v>
      </c>
      <c r="D4" s="107">
        <v>0</v>
      </c>
      <c r="E4" s="107">
        <v>0</v>
      </c>
      <c r="F4" s="107">
        <v>0</v>
      </c>
      <c r="G4" s="107">
        <v>0</v>
      </c>
      <c r="H4" s="107">
        <v>0</v>
      </c>
      <c r="I4" s="107">
        <v>0</v>
      </c>
      <c r="J4" s="107">
        <v>0</v>
      </c>
      <c r="K4" s="107">
        <v>0</v>
      </c>
      <c r="L4" s="107">
        <v>0</v>
      </c>
      <c r="M4" s="107">
        <v>0</v>
      </c>
      <c r="N4" s="107">
        <v>0</v>
      </c>
      <c r="O4" s="107">
        <v>0</v>
      </c>
      <c r="P4" s="107">
        <v>0</v>
      </c>
      <c r="Q4" s="107">
        <v>0</v>
      </c>
      <c r="R4" s="107">
        <v>0</v>
      </c>
      <c r="S4" s="107">
        <v>0</v>
      </c>
      <c r="T4" s="107">
        <v>0</v>
      </c>
      <c r="U4" s="107">
        <v>0</v>
      </c>
      <c r="V4" s="107">
        <v>0</v>
      </c>
      <c r="W4" s="107">
        <v>0</v>
      </c>
      <c r="X4" s="107">
        <v>0</v>
      </c>
      <c r="Y4" s="107">
        <v>0</v>
      </c>
      <c r="Z4" s="107">
        <v>0</v>
      </c>
      <c r="AA4" s="107">
        <v>0</v>
      </c>
      <c r="AB4" s="107">
        <v>0</v>
      </c>
      <c r="AC4" s="107">
        <v>0</v>
      </c>
      <c r="AD4" s="107">
        <v>0</v>
      </c>
      <c r="AE4" s="107">
        <v>0</v>
      </c>
      <c r="AF4" s="107">
        <v>0</v>
      </c>
      <c r="AG4" s="107">
        <v>0</v>
      </c>
      <c r="AH4" s="107">
        <v>0</v>
      </c>
      <c r="AI4" s="107">
        <v>0</v>
      </c>
      <c r="AJ4" s="107">
        <v>0</v>
      </c>
      <c r="AK4" s="107">
        <v>0</v>
      </c>
    </row>
    <row r="5" spans="1:37" customFormat="1" x14ac:dyDescent="0.15">
      <c r="A5" s="188" t="s">
        <v>196</v>
      </c>
      <c r="B5" s="107">
        <v>0</v>
      </c>
      <c r="C5" s="107">
        <v>0</v>
      </c>
      <c r="D5" s="107">
        <v>0</v>
      </c>
      <c r="E5" s="107">
        <v>0</v>
      </c>
      <c r="F5" s="107">
        <v>0</v>
      </c>
      <c r="G5" s="107">
        <v>0</v>
      </c>
      <c r="H5" s="107">
        <v>0</v>
      </c>
      <c r="I5" s="107">
        <v>0</v>
      </c>
      <c r="J5" s="107">
        <v>0</v>
      </c>
      <c r="K5" s="107">
        <v>0</v>
      </c>
      <c r="L5" s="107">
        <v>0</v>
      </c>
      <c r="M5" s="107">
        <v>0</v>
      </c>
      <c r="N5" s="107">
        <v>0</v>
      </c>
      <c r="O5" s="107">
        <v>0</v>
      </c>
      <c r="P5" s="107">
        <v>0</v>
      </c>
      <c r="Q5" s="107">
        <v>0</v>
      </c>
      <c r="R5" s="107">
        <v>0</v>
      </c>
      <c r="S5" s="107">
        <v>0</v>
      </c>
      <c r="T5" s="107">
        <v>0</v>
      </c>
      <c r="U5" s="107">
        <v>0</v>
      </c>
      <c r="V5" s="107">
        <v>0</v>
      </c>
      <c r="W5" s="107">
        <v>0</v>
      </c>
      <c r="X5" s="107">
        <v>0</v>
      </c>
      <c r="Y5" s="107">
        <v>0</v>
      </c>
      <c r="Z5" s="107">
        <v>0</v>
      </c>
      <c r="AA5" s="107">
        <v>0</v>
      </c>
      <c r="AB5" s="107">
        <v>0</v>
      </c>
      <c r="AC5" s="107">
        <v>0</v>
      </c>
      <c r="AD5" s="107">
        <v>0</v>
      </c>
      <c r="AE5" s="107">
        <v>0</v>
      </c>
      <c r="AF5" s="107">
        <v>0</v>
      </c>
      <c r="AG5" s="107">
        <v>0</v>
      </c>
      <c r="AH5" s="107">
        <v>0</v>
      </c>
      <c r="AI5" s="107">
        <v>0</v>
      </c>
      <c r="AJ5" s="107">
        <v>0</v>
      </c>
      <c r="AK5" s="107">
        <v>0</v>
      </c>
    </row>
    <row r="6" spans="1:37" customFormat="1" x14ac:dyDescent="0.15">
      <c r="A6" s="188" t="s">
        <v>197</v>
      </c>
      <c r="B6" s="107">
        <v>0</v>
      </c>
      <c r="C6" s="107">
        <v>0</v>
      </c>
      <c r="D6" s="107">
        <v>0</v>
      </c>
      <c r="E6" s="107">
        <v>0</v>
      </c>
      <c r="F6" s="107">
        <v>0</v>
      </c>
      <c r="G6" s="107">
        <v>0</v>
      </c>
      <c r="H6" s="107">
        <v>0</v>
      </c>
      <c r="I6" s="107">
        <v>0</v>
      </c>
      <c r="J6" s="107">
        <v>0</v>
      </c>
      <c r="K6" s="107">
        <v>0</v>
      </c>
      <c r="L6" s="107">
        <v>0</v>
      </c>
      <c r="M6" s="107">
        <v>0</v>
      </c>
      <c r="N6" s="107">
        <v>0</v>
      </c>
      <c r="O6" s="107">
        <v>0</v>
      </c>
      <c r="P6" s="107">
        <v>0</v>
      </c>
      <c r="Q6" s="107">
        <v>0</v>
      </c>
      <c r="R6" s="107">
        <v>0</v>
      </c>
      <c r="S6" s="107">
        <v>0</v>
      </c>
      <c r="T6" s="107">
        <v>0</v>
      </c>
      <c r="U6" s="107">
        <v>0</v>
      </c>
      <c r="V6" s="107">
        <v>0</v>
      </c>
      <c r="W6" s="107">
        <v>0</v>
      </c>
      <c r="X6" s="107">
        <v>0</v>
      </c>
      <c r="Y6" s="107">
        <v>0</v>
      </c>
      <c r="Z6" s="107">
        <v>0</v>
      </c>
      <c r="AA6" s="107">
        <v>0</v>
      </c>
      <c r="AB6" s="107">
        <v>0</v>
      </c>
      <c r="AC6" s="107">
        <v>0</v>
      </c>
      <c r="AD6" s="107">
        <v>0</v>
      </c>
      <c r="AE6" s="107">
        <v>0</v>
      </c>
      <c r="AF6" s="107">
        <v>0</v>
      </c>
      <c r="AG6" s="107">
        <v>0</v>
      </c>
      <c r="AH6" s="107">
        <v>0</v>
      </c>
      <c r="AI6" s="107">
        <v>0</v>
      </c>
      <c r="AJ6" s="107">
        <v>0</v>
      </c>
      <c r="AK6" s="107">
        <v>0</v>
      </c>
    </row>
    <row r="7" spans="1:37" customFormat="1" x14ac:dyDescent="0.15">
      <c r="A7" s="188" t="s">
        <v>198</v>
      </c>
      <c r="B7" s="107">
        <v>1</v>
      </c>
      <c r="C7" s="107">
        <v>1</v>
      </c>
      <c r="D7" s="107">
        <v>0</v>
      </c>
      <c r="E7" s="107">
        <v>0</v>
      </c>
      <c r="F7" s="107">
        <v>0</v>
      </c>
      <c r="G7" s="107">
        <v>0</v>
      </c>
      <c r="H7" s="107">
        <v>0</v>
      </c>
      <c r="I7" s="107">
        <v>1</v>
      </c>
      <c r="J7" s="107">
        <v>0</v>
      </c>
      <c r="K7" s="107">
        <v>0</v>
      </c>
      <c r="L7" s="107">
        <v>1</v>
      </c>
      <c r="M7" s="107">
        <v>0</v>
      </c>
      <c r="N7" s="107">
        <v>0</v>
      </c>
      <c r="O7" s="107">
        <v>0</v>
      </c>
      <c r="P7" s="107">
        <v>0</v>
      </c>
      <c r="Q7" s="107">
        <v>0</v>
      </c>
      <c r="R7" s="107">
        <v>0</v>
      </c>
      <c r="S7" s="107">
        <v>0</v>
      </c>
      <c r="T7" s="107">
        <v>0</v>
      </c>
      <c r="U7" s="107">
        <v>0</v>
      </c>
      <c r="V7" s="107">
        <v>0</v>
      </c>
      <c r="W7" s="107">
        <v>0</v>
      </c>
      <c r="X7" s="107">
        <v>0</v>
      </c>
      <c r="Y7" s="107">
        <v>0</v>
      </c>
      <c r="Z7" s="107">
        <v>0</v>
      </c>
      <c r="AA7" s="107">
        <v>0</v>
      </c>
      <c r="AB7" s="107">
        <v>0</v>
      </c>
      <c r="AC7" s="107">
        <v>0</v>
      </c>
      <c r="AD7" s="107">
        <v>0</v>
      </c>
      <c r="AE7" s="107">
        <v>0</v>
      </c>
      <c r="AF7" s="107">
        <v>0</v>
      </c>
      <c r="AG7" s="107">
        <v>0</v>
      </c>
      <c r="AH7" s="107">
        <v>0</v>
      </c>
      <c r="AI7" s="107">
        <v>0</v>
      </c>
      <c r="AJ7" s="107">
        <v>0</v>
      </c>
      <c r="AK7" s="107">
        <v>0</v>
      </c>
    </row>
    <row r="8" spans="1:37" customFormat="1" x14ac:dyDescent="0.15">
      <c r="A8" s="188" t="s">
        <v>199</v>
      </c>
      <c r="B8" s="107">
        <v>1</v>
      </c>
      <c r="C8" s="107">
        <v>1</v>
      </c>
      <c r="D8" s="107">
        <v>0</v>
      </c>
      <c r="E8" s="107">
        <v>0</v>
      </c>
      <c r="F8" s="107">
        <v>0</v>
      </c>
      <c r="G8" s="107">
        <v>0</v>
      </c>
      <c r="H8" s="107">
        <v>0</v>
      </c>
      <c r="I8" s="107">
        <v>0</v>
      </c>
      <c r="J8" s="107">
        <v>0</v>
      </c>
      <c r="K8" s="107">
        <v>0</v>
      </c>
      <c r="L8" s="107">
        <v>0</v>
      </c>
      <c r="M8" s="107">
        <v>0</v>
      </c>
      <c r="N8" s="107">
        <v>0</v>
      </c>
      <c r="O8" s="107">
        <v>0</v>
      </c>
      <c r="P8" s="107">
        <v>1</v>
      </c>
      <c r="Q8" s="107">
        <v>0</v>
      </c>
      <c r="R8" s="107">
        <v>0</v>
      </c>
      <c r="S8" s="107">
        <v>0</v>
      </c>
      <c r="T8" s="107">
        <v>0</v>
      </c>
      <c r="U8" s="107">
        <v>0</v>
      </c>
      <c r="V8" s="107">
        <v>0</v>
      </c>
      <c r="W8" s="107">
        <v>0</v>
      </c>
      <c r="X8" s="107">
        <v>0</v>
      </c>
      <c r="Y8" s="107">
        <v>0</v>
      </c>
      <c r="Z8" s="107">
        <v>0</v>
      </c>
      <c r="AA8" s="107">
        <v>0</v>
      </c>
      <c r="AB8" s="107">
        <v>0</v>
      </c>
      <c r="AC8" s="107">
        <v>0</v>
      </c>
      <c r="AD8" s="107">
        <v>0</v>
      </c>
      <c r="AE8" s="107">
        <v>0</v>
      </c>
      <c r="AF8" s="107">
        <v>0</v>
      </c>
      <c r="AG8" s="107">
        <v>0</v>
      </c>
      <c r="AH8" s="107">
        <v>0</v>
      </c>
      <c r="AI8" s="107">
        <v>0</v>
      </c>
      <c r="AJ8" s="107">
        <v>0</v>
      </c>
      <c r="AK8" s="107">
        <v>0</v>
      </c>
    </row>
    <row r="9" spans="1:37" customFormat="1" x14ac:dyDescent="0.15">
      <c r="A9" s="188" t="s">
        <v>200</v>
      </c>
      <c r="B9" s="107">
        <v>1</v>
      </c>
      <c r="C9" s="107">
        <v>0</v>
      </c>
      <c r="D9" s="107">
        <v>0</v>
      </c>
      <c r="E9" s="107">
        <v>0</v>
      </c>
      <c r="F9" s="107">
        <v>0</v>
      </c>
      <c r="G9" s="107">
        <v>0</v>
      </c>
      <c r="H9" s="107">
        <v>0</v>
      </c>
      <c r="I9" s="107">
        <v>0</v>
      </c>
      <c r="J9" s="107">
        <v>0</v>
      </c>
      <c r="K9" s="107">
        <v>0</v>
      </c>
      <c r="L9" s="107">
        <v>1</v>
      </c>
      <c r="M9" s="107">
        <v>0</v>
      </c>
      <c r="N9" s="107">
        <v>0</v>
      </c>
      <c r="O9" s="107">
        <v>0</v>
      </c>
      <c r="P9" s="107">
        <v>0</v>
      </c>
      <c r="Q9" s="107">
        <v>0</v>
      </c>
      <c r="R9" s="107">
        <v>0</v>
      </c>
      <c r="S9" s="107">
        <v>0</v>
      </c>
      <c r="T9" s="107">
        <v>0</v>
      </c>
      <c r="U9" s="107">
        <v>0</v>
      </c>
      <c r="V9" s="107">
        <v>0</v>
      </c>
      <c r="W9" s="107">
        <v>0</v>
      </c>
      <c r="X9" s="107">
        <v>0</v>
      </c>
      <c r="Y9" s="107">
        <v>0</v>
      </c>
      <c r="Z9" s="107">
        <v>0</v>
      </c>
      <c r="AA9" s="107">
        <v>0</v>
      </c>
      <c r="AB9" s="107">
        <v>0</v>
      </c>
      <c r="AC9" s="107">
        <v>0</v>
      </c>
      <c r="AD9" s="107">
        <v>0</v>
      </c>
      <c r="AE9" s="107">
        <v>0</v>
      </c>
      <c r="AF9" s="107">
        <v>0</v>
      </c>
      <c r="AG9" s="107">
        <v>0</v>
      </c>
      <c r="AH9" s="107">
        <v>0</v>
      </c>
      <c r="AI9" s="107">
        <v>0</v>
      </c>
      <c r="AJ9" s="107">
        <v>0</v>
      </c>
      <c r="AK9" s="107">
        <v>0</v>
      </c>
    </row>
    <row r="10" spans="1:37" customFormat="1" x14ac:dyDescent="0.15">
      <c r="A10" s="188" t="s">
        <v>201</v>
      </c>
      <c r="B10" s="107">
        <v>1</v>
      </c>
      <c r="C10" s="107">
        <v>0</v>
      </c>
      <c r="D10" s="107">
        <v>0</v>
      </c>
      <c r="E10" s="107">
        <v>0</v>
      </c>
      <c r="F10" s="107">
        <v>0</v>
      </c>
      <c r="G10" s="107">
        <v>0</v>
      </c>
      <c r="H10" s="107">
        <v>0</v>
      </c>
      <c r="I10" s="107">
        <v>1</v>
      </c>
      <c r="J10" s="107">
        <v>1</v>
      </c>
      <c r="K10" s="107">
        <v>0</v>
      </c>
      <c r="L10" s="107">
        <v>0</v>
      </c>
      <c r="M10" s="107">
        <v>1</v>
      </c>
      <c r="N10" s="107">
        <v>0</v>
      </c>
      <c r="O10" s="107">
        <v>0</v>
      </c>
      <c r="P10" s="107">
        <v>1</v>
      </c>
      <c r="Q10" s="107">
        <v>0</v>
      </c>
      <c r="R10" s="107">
        <v>0</v>
      </c>
      <c r="S10" s="107">
        <v>0</v>
      </c>
      <c r="T10" s="107">
        <v>0</v>
      </c>
      <c r="U10" s="107">
        <v>0</v>
      </c>
      <c r="V10" s="107">
        <v>0</v>
      </c>
      <c r="W10" s="107">
        <v>0</v>
      </c>
      <c r="X10" s="107">
        <v>0</v>
      </c>
      <c r="Y10" s="107">
        <v>0</v>
      </c>
      <c r="Z10" s="107">
        <v>0</v>
      </c>
      <c r="AA10" s="107">
        <v>0</v>
      </c>
      <c r="AB10" s="107">
        <v>0</v>
      </c>
      <c r="AC10" s="107">
        <v>0</v>
      </c>
      <c r="AD10" s="107">
        <v>0</v>
      </c>
      <c r="AE10" s="107">
        <v>0</v>
      </c>
      <c r="AF10" s="107">
        <v>0</v>
      </c>
      <c r="AG10" s="107">
        <v>0</v>
      </c>
      <c r="AH10" s="107">
        <v>0</v>
      </c>
      <c r="AI10" s="107">
        <v>0</v>
      </c>
      <c r="AJ10" s="107">
        <v>0</v>
      </c>
      <c r="AK10" s="107">
        <v>0</v>
      </c>
    </row>
    <row r="11" spans="1:37" customFormat="1" x14ac:dyDescent="0.15">
      <c r="A11" s="188" t="s">
        <v>202</v>
      </c>
      <c r="B11" s="107">
        <v>0</v>
      </c>
      <c r="C11" s="107">
        <v>0</v>
      </c>
      <c r="D11" s="107">
        <v>0</v>
      </c>
      <c r="E11" s="107">
        <v>0</v>
      </c>
      <c r="F11" s="107">
        <v>0</v>
      </c>
      <c r="G11" s="107">
        <v>0</v>
      </c>
      <c r="H11" s="107">
        <v>0</v>
      </c>
      <c r="I11" s="107">
        <v>1</v>
      </c>
      <c r="J11" s="107">
        <v>0</v>
      </c>
      <c r="K11" s="107">
        <v>0</v>
      </c>
      <c r="L11" s="107">
        <v>1</v>
      </c>
      <c r="M11" s="107">
        <v>0</v>
      </c>
      <c r="N11" s="107">
        <v>0</v>
      </c>
      <c r="O11" s="107">
        <v>0</v>
      </c>
      <c r="P11" s="107">
        <v>0</v>
      </c>
      <c r="Q11" s="107">
        <v>0</v>
      </c>
      <c r="R11" s="107">
        <v>0</v>
      </c>
      <c r="S11" s="107">
        <v>0</v>
      </c>
      <c r="T11" s="107">
        <v>0</v>
      </c>
      <c r="U11" s="107">
        <v>0</v>
      </c>
      <c r="V11" s="107">
        <v>0</v>
      </c>
      <c r="W11" s="107">
        <v>0</v>
      </c>
      <c r="X11" s="107">
        <v>0</v>
      </c>
      <c r="Y11" s="107">
        <v>0</v>
      </c>
      <c r="Z11" s="107">
        <v>0</v>
      </c>
      <c r="AA11" s="107">
        <v>0</v>
      </c>
      <c r="AB11" s="107">
        <v>0</v>
      </c>
      <c r="AC11" s="107">
        <v>0</v>
      </c>
      <c r="AD11" s="107">
        <v>0</v>
      </c>
      <c r="AE11" s="107">
        <v>0</v>
      </c>
      <c r="AF11" s="107">
        <v>0</v>
      </c>
      <c r="AG11" s="107">
        <v>0</v>
      </c>
      <c r="AH11" s="107">
        <v>0</v>
      </c>
      <c r="AI11" s="107">
        <v>0</v>
      </c>
      <c r="AJ11" s="107">
        <v>0</v>
      </c>
      <c r="AK11" s="107">
        <v>0</v>
      </c>
    </row>
    <row r="12" spans="1:37" customFormat="1" x14ac:dyDescent="0.15">
      <c r="A12" s="188" t="s">
        <v>203</v>
      </c>
      <c r="B12" s="107">
        <v>1</v>
      </c>
      <c r="C12" s="107">
        <v>0</v>
      </c>
      <c r="D12" s="107">
        <v>0</v>
      </c>
      <c r="E12" s="107">
        <v>0</v>
      </c>
      <c r="F12" s="107">
        <v>0</v>
      </c>
      <c r="G12" s="107">
        <v>0</v>
      </c>
      <c r="H12" s="107">
        <v>0</v>
      </c>
      <c r="I12" s="107">
        <v>1</v>
      </c>
      <c r="J12" s="107">
        <v>0</v>
      </c>
      <c r="K12" s="107">
        <v>0</v>
      </c>
      <c r="L12" s="107">
        <v>1</v>
      </c>
      <c r="M12" s="107">
        <v>0</v>
      </c>
      <c r="N12" s="107">
        <v>0</v>
      </c>
      <c r="O12" s="107">
        <v>0</v>
      </c>
      <c r="P12" s="107">
        <v>0</v>
      </c>
      <c r="Q12" s="107">
        <v>0</v>
      </c>
      <c r="R12" s="107">
        <v>0</v>
      </c>
      <c r="S12" s="107">
        <v>0</v>
      </c>
      <c r="T12" s="107">
        <v>0</v>
      </c>
      <c r="U12" s="107">
        <v>0</v>
      </c>
      <c r="V12" s="107">
        <v>0</v>
      </c>
      <c r="W12" s="107">
        <v>0</v>
      </c>
      <c r="X12" s="107">
        <v>0</v>
      </c>
      <c r="Y12" s="107">
        <v>0</v>
      </c>
      <c r="Z12" s="107">
        <v>0</v>
      </c>
      <c r="AA12" s="107">
        <v>0</v>
      </c>
      <c r="AB12" s="107">
        <v>0</v>
      </c>
      <c r="AC12" s="107">
        <v>0</v>
      </c>
      <c r="AD12" s="107">
        <v>0</v>
      </c>
      <c r="AE12" s="107">
        <v>0</v>
      </c>
      <c r="AF12" s="107">
        <v>0</v>
      </c>
      <c r="AG12" s="107">
        <v>0</v>
      </c>
      <c r="AH12" s="107">
        <v>0</v>
      </c>
      <c r="AI12" s="107">
        <v>0</v>
      </c>
      <c r="AJ12" s="107">
        <v>0</v>
      </c>
      <c r="AK12" s="107">
        <v>0</v>
      </c>
    </row>
    <row r="13" spans="1:37" customFormat="1" x14ac:dyDescent="0.15">
      <c r="A13" s="188" t="s">
        <v>204</v>
      </c>
      <c r="B13" s="107">
        <v>1</v>
      </c>
      <c r="C13" s="107">
        <v>0</v>
      </c>
      <c r="D13" s="107">
        <v>0</v>
      </c>
      <c r="E13" s="107">
        <v>0</v>
      </c>
      <c r="F13" s="107">
        <v>0</v>
      </c>
      <c r="G13" s="107">
        <v>0</v>
      </c>
      <c r="H13" s="107">
        <v>0</v>
      </c>
      <c r="I13" s="107">
        <v>1</v>
      </c>
      <c r="J13" s="107">
        <v>0</v>
      </c>
      <c r="K13" s="107">
        <v>0</v>
      </c>
      <c r="L13" s="107">
        <v>0</v>
      </c>
      <c r="M13" s="107">
        <v>0</v>
      </c>
      <c r="N13" s="107">
        <v>0</v>
      </c>
      <c r="O13" s="107">
        <v>0</v>
      </c>
      <c r="P13" s="107">
        <v>0</v>
      </c>
      <c r="Q13" s="107">
        <v>0</v>
      </c>
      <c r="R13" s="107">
        <v>0</v>
      </c>
      <c r="S13" s="107">
        <v>0</v>
      </c>
      <c r="T13" s="107">
        <v>0</v>
      </c>
      <c r="U13" s="107">
        <v>0</v>
      </c>
      <c r="V13" s="107">
        <v>0</v>
      </c>
      <c r="W13" s="107">
        <v>0</v>
      </c>
      <c r="X13" s="107">
        <v>0</v>
      </c>
      <c r="Y13" s="107">
        <v>0</v>
      </c>
      <c r="Z13" s="107">
        <v>0</v>
      </c>
      <c r="AA13" s="107">
        <v>0</v>
      </c>
      <c r="AB13" s="107">
        <v>0</v>
      </c>
      <c r="AC13" s="107">
        <v>0</v>
      </c>
      <c r="AD13" s="107">
        <v>0</v>
      </c>
      <c r="AE13" s="107">
        <v>0</v>
      </c>
      <c r="AF13" s="107">
        <v>0</v>
      </c>
      <c r="AG13" s="107">
        <v>0</v>
      </c>
      <c r="AH13" s="107">
        <v>0</v>
      </c>
      <c r="AI13" s="107">
        <v>0</v>
      </c>
      <c r="AJ13" s="107">
        <v>0</v>
      </c>
      <c r="AK13" s="107">
        <v>0</v>
      </c>
    </row>
    <row r="14" spans="1:37" customFormat="1" x14ac:dyDescent="0.15">
      <c r="A14" s="188" t="s">
        <v>205</v>
      </c>
      <c r="B14" s="107">
        <v>0</v>
      </c>
      <c r="C14" s="107">
        <v>0</v>
      </c>
      <c r="D14" s="107">
        <v>0</v>
      </c>
      <c r="E14" s="107">
        <v>0</v>
      </c>
      <c r="F14" s="107">
        <v>0</v>
      </c>
      <c r="G14" s="107">
        <v>0</v>
      </c>
      <c r="H14" s="107">
        <v>1</v>
      </c>
      <c r="I14" s="107">
        <v>0</v>
      </c>
      <c r="J14" s="107">
        <v>0</v>
      </c>
      <c r="K14" s="107">
        <v>0</v>
      </c>
      <c r="L14" s="107">
        <v>1</v>
      </c>
      <c r="M14" s="107">
        <v>1</v>
      </c>
      <c r="N14" s="107">
        <v>0</v>
      </c>
      <c r="O14" s="107">
        <v>0</v>
      </c>
      <c r="P14" s="107">
        <v>1</v>
      </c>
      <c r="Q14" s="107">
        <v>1</v>
      </c>
      <c r="R14" s="107">
        <v>0</v>
      </c>
      <c r="S14" s="107">
        <v>0</v>
      </c>
      <c r="T14" s="107">
        <v>0</v>
      </c>
      <c r="U14" s="107">
        <v>0</v>
      </c>
      <c r="V14" s="107">
        <v>0</v>
      </c>
      <c r="W14" s="107">
        <v>0</v>
      </c>
      <c r="X14" s="107">
        <v>0</v>
      </c>
      <c r="Y14" s="107">
        <v>0</v>
      </c>
      <c r="Z14" s="107">
        <v>0</v>
      </c>
      <c r="AA14" s="107">
        <v>0</v>
      </c>
      <c r="AB14" s="107">
        <v>0</v>
      </c>
      <c r="AC14" s="107">
        <v>0</v>
      </c>
      <c r="AD14" s="107">
        <v>0</v>
      </c>
      <c r="AE14" s="107">
        <v>0</v>
      </c>
      <c r="AF14" s="107">
        <v>0</v>
      </c>
      <c r="AG14" s="107">
        <v>0</v>
      </c>
      <c r="AH14" s="107">
        <v>0</v>
      </c>
      <c r="AI14" s="107">
        <v>0</v>
      </c>
      <c r="AJ14" s="107">
        <v>0</v>
      </c>
      <c r="AK14" s="107">
        <v>0</v>
      </c>
    </row>
    <row r="15" spans="1:37" customFormat="1" x14ac:dyDescent="0.15">
      <c r="A15" s="188" t="s">
        <v>206</v>
      </c>
      <c r="B15" s="107">
        <v>0</v>
      </c>
      <c r="C15" s="107">
        <v>0</v>
      </c>
      <c r="D15" s="107">
        <v>0</v>
      </c>
      <c r="E15" s="107">
        <v>0</v>
      </c>
      <c r="F15" s="107">
        <v>0</v>
      </c>
      <c r="G15" s="107">
        <v>0</v>
      </c>
      <c r="H15" s="107">
        <v>0</v>
      </c>
      <c r="I15" s="107">
        <v>1</v>
      </c>
      <c r="J15" s="107">
        <v>0</v>
      </c>
      <c r="K15" s="107">
        <v>0</v>
      </c>
      <c r="L15" s="107">
        <v>1</v>
      </c>
      <c r="M15" s="107">
        <v>0</v>
      </c>
      <c r="N15" s="107">
        <v>0</v>
      </c>
      <c r="O15" s="107">
        <v>0</v>
      </c>
      <c r="P15" s="107">
        <v>0</v>
      </c>
      <c r="Q15" s="107">
        <v>0</v>
      </c>
      <c r="R15" s="107">
        <v>0</v>
      </c>
      <c r="S15" s="107">
        <v>0</v>
      </c>
      <c r="T15" s="107">
        <v>0</v>
      </c>
      <c r="U15" s="107">
        <v>0</v>
      </c>
      <c r="V15" s="107">
        <v>0</v>
      </c>
      <c r="W15" s="107">
        <v>0</v>
      </c>
      <c r="X15" s="107">
        <v>0</v>
      </c>
      <c r="Y15" s="107">
        <v>0</v>
      </c>
      <c r="Z15" s="107">
        <v>0</v>
      </c>
      <c r="AA15" s="107">
        <v>0</v>
      </c>
      <c r="AB15" s="107">
        <v>0</v>
      </c>
      <c r="AC15" s="107">
        <v>0</v>
      </c>
      <c r="AD15" s="107">
        <v>0</v>
      </c>
      <c r="AE15" s="107">
        <v>0</v>
      </c>
      <c r="AF15" s="107">
        <v>0</v>
      </c>
      <c r="AG15" s="107">
        <v>0</v>
      </c>
      <c r="AH15" s="107">
        <v>0</v>
      </c>
      <c r="AI15" s="107">
        <v>0</v>
      </c>
      <c r="AJ15" s="107">
        <v>0</v>
      </c>
      <c r="AK15" s="107">
        <v>0</v>
      </c>
    </row>
    <row r="16" spans="1:37" customFormat="1" x14ac:dyDescent="0.15">
      <c r="A16" s="188" t="s">
        <v>207</v>
      </c>
      <c r="B16" s="107">
        <v>0</v>
      </c>
      <c r="C16" s="107">
        <v>0</v>
      </c>
      <c r="D16" s="107">
        <v>0</v>
      </c>
      <c r="E16" s="107">
        <v>0</v>
      </c>
      <c r="F16" s="107">
        <v>0</v>
      </c>
      <c r="G16" s="107">
        <v>0</v>
      </c>
      <c r="H16" s="107">
        <v>0</v>
      </c>
      <c r="I16" s="107">
        <v>1</v>
      </c>
      <c r="J16" s="107">
        <v>0</v>
      </c>
      <c r="K16" s="107">
        <v>0</v>
      </c>
      <c r="L16" s="107">
        <v>1</v>
      </c>
      <c r="M16" s="107">
        <v>0</v>
      </c>
      <c r="N16" s="107">
        <v>0</v>
      </c>
      <c r="O16" s="107">
        <v>0</v>
      </c>
      <c r="P16" s="107">
        <v>1</v>
      </c>
      <c r="Q16" s="107">
        <v>0</v>
      </c>
      <c r="R16" s="107">
        <v>0</v>
      </c>
      <c r="S16" s="107">
        <v>0</v>
      </c>
      <c r="T16" s="107">
        <v>0</v>
      </c>
      <c r="U16" s="107">
        <v>0</v>
      </c>
      <c r="V16" s="107">
        <v>0</v>
      </c>
      <c r="W16" s="107">
        <v>0</v>
      </c>
      <c r="X16" s="107">
        <v>0</v>
      </c>
      <c r="Y16" s="107">
        <v>0</v>
      </c>
      <c r="Z16" s="107">
        <v>0</v>
      </c>
      <c r="AA16" s="107">
        <v>0</v>
      </c>
      <c r="AB16" s="107">
        <v>0</v>
      </c>
      <c r="AC16" s="107">
        <v>0</v>
      </c>
      <c r="AD16" s="107">
        <v>0</v>
      </c>
      <c r="AE16" s="107">
        <v>0</v>
      </c>
      <c r="AF16" s="107">
        <v>0</v>
      </c>
      <c r="AG16" s="107">
        <v>0</v>
      </c>
      <c r="AH16" s="107">
        <v>0</v>
      </c>
      <c r="AI16" s="107">
        <v>0</v>
      </c>
      <c r="AJ16" s="107">
        <v>0</v>
      </c>
      <c r="AK16" s="107">
        <v>0</v>
      </c>
    </row>
    <row r="17" spans="1:37" customFormat="1" x14ac:dyDescent="0.15">
      <c r="A17" s="188" t="s">
        <v>208</v>
      </c>
      <c r="B17" s="107">
        <v>0</v>
      </c>
      <c r="C17" s="107">
        <v>1</v>
      </c>
      <c r="D17" s="107">
        <v>1</v>
      </c>
      <c r="E17" s="107">
        <v>1</v>
      </c>
      <c r="F17" s="107">
        <v>1</v>
      </c>
      <c r="G17" s="107">
        <v>0</v>
      </c>
      <c r="H17" s="107">
        <v>0</v>
      </c>
      <c r="I17" s="107">
        <v>0</v>
      </c>
      <c r="J17" s="107">
        <v>1</v>
      </c>
      <c r="K17" s="107">
        <v>0</v>
      </c>
      <c r="L17" s="107">
        <v>1</v>
      </c>
      <c r="M17" s="107">
        <v>1</v>
      </c>
      <c r="N17" s="107">
        <v>0</v>
      </c>
      <c r="O17" s="107">
        <v>0</v>
      </c>
      <c r="P17" s="107">
        <v>1</v>
      </c>
      <c r="Q17" s="107">
        <v>1</v>
      </c>
      <c r="R17" s="107">
        <v>0</v>
      </c>
      <c r="S17" s="107">
        <v>0</v>
      </c>
      <c r="T17" s="107">
        <v>0</v>
      </c>
      <c r="U17" s="107">
        <v>0</v>
      </c>
      <c r="V17" s="107">
        <v>0</v>
      </c>
      <c r="W17" s="107">
        <v>0</v>
      </c>
      <c r="X17" s="107">
        <v>0</v>
      </c>
      <c r="Y17" s="107">
        <v>0</v>
      </c>
      <c r="Z17" s="107">
        <v>0</v>
      </c>
      <c r="AA17" s="107">
        <v>0</v>
      </c>
      <c r="AB17" s="107">
        <v>0</v>
      </c>
      <c r="AC17" s="107">
        <v>0</v>
      </c>
      <c r="AD17" s="107">
        <v>0</v>
      </c>
      <c r="AE17" s="107">
        <v>0</v>
      </c>
      <c r="AF17" s="107">
        <v>0</v>
      </c>
      <c r="AG17" s="107">
        <v>0</v>
      </c>
      <c r="AH17" s="107">
        <v>0</v>
      </c>
      <c r="AI17" s="107">
        <v>0</v>
      </c>
      <c r="AJ17" s="107">
        <v>0</v>
      </c>
      <c r="AK17" s="107">
        <v>0</v>
      </c>
    </row>
    <row r="18" spans="1:37" customFormat="1" x14ac:dyDescent="0.15">
      <c r="A18" s="188" t="s">
        <v>209</v>
      </c>
      <c r="B18" s="107">
        <v>0</v>
      </c>
      <c r="C18" s="107">
        <v>0</v>
      </c>
      <c r="D18" s="107">
        <v>1</v>
      </c>
      <c r="E18" s="107">
        <v>1</v>
      </c>
      <c r="F18" s="107">
        <v>1</v>
      </c>
      <c r="G18" s="107">
        <v>0</v>
      </c>
      <c r="H18" s="107">
        <v>0</v>
      </c>
      <c r="I18" s="107">
        <v>0</v>
      </c>
      <c r="J18" s="107">
        <v>1</v>
      </c>
      <c r="K18" s="107">
        <v>1</v>
      </c>
      <c r="L18" s="107">
        <v>1</v>
      </c>
      <c r="M18" s="107">
        <v>1</v>
      </c>
      <c r="N18" s="107">
        <v>0</v>
      </c>
      <c r="O18" s="107">
        <v>0</v>
      </c>
      <c r="P18" s="107">
        <v>1</v>
      </c>
      <c r="Q18" s="107">
        <v>0</v>
      </c>
      <c r="R18" s="107">
        <v>0</v>
      </c>
      <c r="S18" s="107">
        <v>0</v>
      </c>
      <c r="T18" s="107">
        <v>0</v>
      </c>
      <c r="U18" s="107">
        <v>0</v>
      </c>
      <c r="V18" s="107">
        <v>0</v>
      </c>
      <c r="W18" s="107">
        <v>0</v>
      </c>
      <c r="X18" s="107">
        <v>0</v>
      </c>
      <c r="Y18" s="107">
        <v>0</v>
      </c>
      <c r="Z18" s="107">
        <v>0</v>
      </c>
      <c r="AA18" s="107">
        <v>0</v>
      </c>
      <c r="AB18" s="107">
        <v>0</v>
      </c>
      <c r="AC18" s="107">
        <v>0</v>
      </c>
      <c r="AD18" s="107">
        <v>0</v>
      </c>
      <c r="AE18" s="107">
        <v>0</v>
      </c>
      <c r="AF18" s="107">
        <v>0</v>
      </c>
      <c r="AG18" s="107">
        <v>0</v>
      </c>
      <c r="AH18" s="107">
        <v>0</v>
      </c>
      <c r="AI18" s="107">
        <v>0</v>
      </c>
      <c r="AJ18" s="107">
        <v>0</v>
      </c>
      <c r="AK18" s="107">
        <v>0</v>
      </c>
    </row>
    <row r="19" spans="1:37" customFormat="1" x14ac:dyDescent="0.15">
      <c r="A19" s="188" t="s">
        <v>210</v>
      </c>
      <c r="B19" s="107">
        <v>0</v>
      </c>
      <c r="C19" s="107">
        <v>0</v>
      </c>
      <c r="D19" s="107">
        <v>0</v>
      </c>
      <c r="E19" s="107">
        <v>0</v>
      </c>
      <c r="F19" s="107">
        <v>1</v>
      </c>
      <c r="G19" s="107">
        <v>0</v>
      </c>
      <c r="H19" s="107">
        <v>0</v>
      </c>
      <c r="I19" s="107">
        <v>0</v>
      </c>
      <c r="J19" s="107">
        <v>0</v>
      </c>
      <c r="K19" s="107">
        <v>1</v>
      </c>
      <c r="L19" s="107">
        <v>1</v>
      </c>
      <c r="M19" s="107">
        <v>0</v>
      </c>
      <c r="N19" s="107">
        <v>0</v>
      </c>
      <c r="O19" s="107">
        <v>0</v>
      </c>
      <c r="P19" s="107">
        <v>0</v>
      </c>
      <c r="Q19" s="107">
        <v>0</v>
      </c>
      <c r="R19" s="107">
        <v>0</v>
      </c>
      <c r="S19" s="107">
        <v>0</v>
      </c>
      <c r="T19" s="107">
        <v>0</v>
      </c>
      <c r="U19" s="107">
        <v>0</v>
      </c>
      <c r="V19" s="107">
        <v>1</v>
      </c>
      <c r="W19" s="107">
        <v>0</v>
      </c>
      <c r="X19" s="107">
        <v>0</v>
      </c>
      <c r="Y19" s="107">
        <v>0</v>
      </c>
      <c r="Z19" s="107">
        <v>0</v>
      </c>
      <c r="AA19" s="107">
        <v>0</v>
      </c>
      <c r="AB19" s="107">
        <v>0</v>
      </c>
      <c r="AC19" s="107">
        <v>0</v>
      </c>
      <c r="AD19" s="107">
        <v>0</v>
      </c>
      <c r="AE19" s="107">
        <v>0</v>
      </c>
      <c r="AF19" s="107">
        <v>0</v>
      </c>
      <c r="AG19" s="107">
        <v>0</v>
      </c>
      <c r="AH19" s="107">
        <v>0</v>
      </c>
      <c r="AI19" s="107">
        <v>0</v>
      </c>
      <c r="AJ19" s="107">
        <v>0</v>
      </c>
      <c r="AK19" s="107">
        <v>0</v>
      </c>
    </row>
    <row r="20" spans="1:37" customFormat="1" x14ac:dyDescent="0.15">
      <c r="A20" s="188" t="s">
        <v>211</v>
      </c>
      <c r="B20" s="107">
        <v>0</v>
      </c>
      <c r="C20" s="107">
        <v>0</v>
      </c>
      <c r="D20" s="107">
        <v>1</v>
      </c>
      <c r="E20" s="107">
        <v>0</v>
      </c>
      <c r="F20" s="107">
        <v>1</v>
      </c>
      <c r="G20" s="107">
        <v>0</v>
      </c>
      <c r="H20" s="107">
        <v>0</v>
      </c>
      <c r="I20" s="107">
        <v>0</v>
      </c>
      <c r="J20" s="107">
        <v>1</v>
      </c>
      <c r="K20" s="107">
        <v>1</v>
      </c>
      <c r="L20" s="107">
        <v>1</v>
      </c>
      <c r="M20" s="107">
        <v>0</v>
      </c>
      <c r="N20" s="107">
        <v>0</v>
      </c>
      <c r="O20" s="107">
        <v>0</v>
      </c>
      <c r="P20" s="107">
        <v>0</v>
      </c>
      <c r="Q20" s="107">
        <v>0</v>
      </c>
      <c r="R20" s="107">
        <v>1</v>
      </c>
      <c r="S20" s="107">
        <v>0</v>
      </c>
      <c r="T20" s="107">
        <v>0</v>
      </c>
      <c r="U20" s="107">
        <v>0</v>
      </c>
      <c r="V20" s="107">
        <v>1</v>
      </c>
      <c r="W20" s="107">
        <v>0</v>
      </c>
      <c r="X20" s="107">
        <v>0</v>
      </c>
      <c r="Y20" s="107">
        <v>0</v>
      </c>
      <c r="Z20" s="107">
        <v>0</v>
      </c>
      <c r="AA20" s="107">
        <v>0</v>
      </c>
      <c r="AB20" s="107">
        <v>0</v>
      </c>
      <c r="AC20" s="107">
        <v>0</v>
      </c>
      <c r="AD20" s="107">
        <v>0</v>
      </c>
      <c r="AE20" s="107">
        <v>0</v>
      </c>
      <c r="AF20" s="107">
        <v>0</v>
      </c>
      <c r="AG20" s="107">
        <v>0</v>
      </c>
      <c r="AH20" s="107">
        <v>0</v>
      </c>
      <c r="AI20" s="107">
        <v>0</v>
      </c>
      <c r="AJ20" s="107">
        <v>0</v>
      </c>
      <c r="AK20" s="107">
        <v>0</v>
      </c>
    </row>
    <row r="21" spans="1:37" customFormat="1" x14ac:dyDescent="0.15">
      <c r="A21" s="188" t="s">
        <v>212</v>
      </c>
      <c r="B21" s="107">
        <v>0</v>
      </c>
      <c r="C21" s="107">
        <v>1</v>
      </c>
      <c r="D21" s="107">
        <v>0</v>
      </c>
      <c r="E21" s="107">
        <v>0</v>
      </c>
      <c r="F21" s="107">
        <v>1</v>
      </c>
      <c r="G21" s="107">
        <v>0</v>
      </c>
      <c r="H21" s="107">
        <v>0</v>
      </c>
      <c r="I21" s="107">
        <v>0</v>
      </c>
      <c r="J21" s="107">
        <v>0</v>
      </c>
      <c r="K21" s="107">
        <v>1</v>
      </c>
      <c r="L21" s="107">
        <v>0</v>
      </c>
      <c r="M21" s="107">
        <v>1</v>
      </c>
      <c r="N21" s="107">
        <v>0</v>
      </c>
      <c r="O21" s="107">
        <v>0</v>
      </c>
      <c r="P21" s="107">
        <v>0</v>
      </c>
      <c r="Q21" s="107">
        <v>0</v>
      </c>
      <c r="R21" s="107">
        <v>0</v>
      </c>
      <c r="S21" s="107">
        <v>0</v>
      </c>
      <c r="T21" s="107">
        <v>0</v>
      </c>
      <c r="U21" s="107">
        <v>0</v>
      </c>
      <c r="V21" s="107">
        <v>1</v>
      </c>
      <c r="W21" s="107">
        <v>0</v>
      </c>
      <c r="X21" s="107">
        <v>0</v>
      </c>
      <c r="Y21" s="107">
        <v>0</v>
      </c>
      <c r="Z21" s="107">
        <v>0</v>
      </c>
      <c r="AA21" s="107">
        <v>0</v>
      </c>
      <c r="AB21" s="107">
        <v>0</v>
      </c>
      <c r="AC21" s="107">
        <v>0</v>
      </c>
      <c r="AD21" s="107">
        <v>0</v>
      </c>
      <c r="AE21" s="107">
        <v>0</v>
      </c>
      <c r="AF21" s="107">
        <v>0</v>
      </c>
      <c r="AG21" s="107">
        <v>0</v>
      </c>
      <c r="AH21" s="107">
        <v>0</v>
      </c>
      <c r="AI21" s="107">
        <v>0</v>
      </c>
      <c r="AJ21" s="107">
        <v>0</v>
      </c>
      <c r="AK21" s="107">
        <v>0</v>
      </c>
    </row>
    <row r="22" spans="1:37" customFormat="1" x14ac:dyDescent="0.15">
      <c r="A22" s="188" t="s">
        <v>213</v>
      </c>
      <c r="B22" s="107">
        <v>0</v>
      </c>
      <c r="C22" s="107">
        <v>0</v>
      </c>
      <c r="D22" s="107">
        <v>0</v>
      </c>
      <c r="E22" s="107">
        <v>0</v>
      </c>
      <c r="F22" s="107">
        <v>1</v>
      </c>
      <c r="G22" s="107">
        <v>0</v>
      </c>
      <c r="H22" s="107">
        <v>0</v>
      </c>
      <c r="I22" s="107">
        <v>1</v>
      </c>
      <c r="J22" s="107">
        <v>0</v>
      </c>
      <c r="K22" s="107">
        <v>0</v>
      </c>
      <c r="L22" s="107">
        <v>1</v>
      </c>
      <c r="M22" s="107">
        <v>1</v>
      </c>
      <c r="N22" s="107">
        <v>0</v>
      </c>
      <c r="O22" s="107">
        <v>0</v>
      </c>
      <c r="P22" s="107">
        <v>0</v>
      </c>
      <c r="Q22" s="107">
        <v>0</v>
      </c>
      <c r="R22" s="107">
        <v>1</v>
      </c>
      <c r="S22" s="107">
        <v>0</v>
      </c>
      <c r="T22" s="107">
        <v>0</v>
      </c>
      <c r="U22" s="107">
        <v>0</v>
      </c>
      <c r="V22" s="107">
        <v>1</v>
      </c>
      <c r="W22" s="107">
        <v>0</v>
      </c>
      <c r="X22" s="107">
        <v>0</v>
      </c>
      <c r="Y22" s="107">
        <v>0</v>
      </c>
      <c r="Z22" s="107">
        <v>0</v>
      </c>
      <c r="AA22" s="107">
        <v>0</v>
      </c>
      <c r="AB22" s="107">
        <v>0</v>
      </c>
      <c r="AC22" s="107">
        <v>0</v>
      </c>
      <c r="AD22" s="107">
        <v>0</v>
      </c>
      <c r="AE22" s="107">
        <v>0</v>
      </c>
      <c r="AF22" s="107">
        <v>0</v>
      </c>
      <c r="AG22" s="107">
        <v>0</v>
      </c>
      <c r="AH22" s="107">
        <v>0</v>
      </c>
      <c r="AI22" s="107">
        <v>0</v>
      </c>
      <c r="AJ22" s="107">
        <v>0</v>
      </c>
      <c r="AK22" s="107">
        <v>0</v>
      </c>
    </row>
    <row r="23" spans="1:37" customFormat="1" x14ac:dyDescent="0.15">
      <c r="A23" s="188" t="s">
        <v>214</v>
      </c>
      <c r="B23" s="107">
        <v>0</v>
      </c>
      <c r="C23" s="107">
        <v>0</v>
      </c>
      <c r="D23" s="107">
        <v>0</v>
      </c>
      <c r="E23" s="107">
        <v>0</v>
      </c>
      <c r="F23" s="107">
        <v>0</v>
      </c>
      <c r="G23" s="107">
        <v>0</v>
      </c>
      <c r="H23" s="107">
        <v>0</v>
      </c>
      <c r="I23" s="107">
        <v>1</v>
      </c>
      <c r="J23" s="107">
        <v>0</v>
      </c>
      <c r="K23" s="107">
        <v>0</v>
      </c>
      <c r="L23" s="107">
        <v>0</v>
      </c>
      <c r="M23" s="107">
        <v>0</v>
      </c>
      <c r="N23" s="107">
        <v>0</v>
      </c>
      <c r="O23" s="107">
        <v>0</v>
      </c>
      <c r="P23" s="107">
        <v>0</v>
      </c>
      <c r="Q23" s="107">
        <v>0</v>
      </c>
      <c r="R23" s="107">
        <v>0</v>
      </c>
      <c r="S23" s="107">
        <v>0</v>
      </c>
      <c r="T23" s="107">
        <v>0</v>
      </c>
      <c r="U23" s="107">
        <v>0</v>
      </c>
      <c r="V23" s="107">
        <v>1</v>
      </c>
      <c r="W23" s="107">
        <v>0</v>
      </c>
      <c r="X23" s="107">
        <v>0</v>
      </c>
      <c r="Y23" s="107">
        <v>0</v>
      </c>
      <c r="Z23" s="107">
        <v>0</v>
      </c>
      <c r="AA23" s="107">
        <v>0</v>
      </c>
      <c r="AB23" s="107">
        <v>0</v>
      </c>
      <c r="AC23" s="107">
        <v>0</v>
      </c>
      <c r="AD23" s="107">
        <v>0</v>
      </c>
      <c r="AE23" s="107">
        <v>0</v>
      </c>
      <c r="AF23" s="107">
        <v>0</v>
      </c>
      <c r="AG23" s="107">
        <v>0</v>
      </c>
      <c r="AH23" s="107">
        <v>0</v>
      </c>
      <c r="AI23" s="107">
        <v>0</v>
      </c>
      <c r="AJ23" s="107">
        <v>0</v>
      </c>
      <c r="AK23" s="107">
        <v>0</v>
      </c>
    </row>
    <row r="24" spans="1:37" customFormat="1" x14ac:dyDescent="0.15">
      <c r="A24" s="188" t="s">
        <v>215</v>
      </c>
      <c r="B24" s="107">
        <v>0</v>
      </c>
      <c r="C24" s="107">
        <v>0</v>
      </c>
      <c r="D24" s="107">
        <v>0</v>
      </c>
      <c r="E24" s="107">
        <v>0</v>
      </c>
      <c r="F24" s="107">
        <v>0</v>
      </c>
      <c r="G24" s="107">
        <v>0</v>
      </c>
      <c r="H24" s="107">
        <v>0</v>
      </c>
      <c r="I24" s="107">
        <v>0</v>
      </c>
      <c r="J24" s="107">
        <v>0</v>
      </c>
      <c r="K24" s="107">
        <v>0</v>
      </c>
      <c r="L24" s="107">
        <v>0</v>
      </c>
      <c r="M24" s="107">
        <v>0</v>
      </c>
      <c r="N24" s="107">
        <v>0</v>
      </c>
      <c r="O24" s="107">
        <v>0</v>
      </c>
      <c r="P24" s="107">
        <v>0</v>
      </c>
      <c r="Q24" s="107">
        <v>0</v>
      </c>
      <c r="R24" s="107">
        <v>0</v>
      </c>
      <c r="S24" s="107">
        <v>0</v>
      </c>
      <c r="T24" s="107">
        <v>0</v>
      </c>
      <c r="U24" s="107">
        <v>0</v>
      </c>
      <c r="V24" s="107">
        <v>0</v>
      </c>
      <c r="W24" s="107">
        <v>0</v>
      </c>
      <c r="X24" s="107">
        <v>1</v>
      </c>
      <c r="Y24" s="107">
        <v>0</v>
      </c>
      <c r="Z24" s="107">
        <v>0</v>
      </c>
      <c r="AA24" s="107">
        <v>0</v>
      </c>
      <c r="AB24" s="107">
        <v>0</v>
      </c>
      <c r="AC24" s="107">
        <v>0</v>
      </c>
      <c r="AD24" s="107">
        <v>0</v>
      </c>
      <c r="AE24" s="107">
        <v>0</v>
      </c>
      <c r="AF24" s="107">
        <v>0</v>
      </c>
      <c r="AG24" s="107">
        <v>0</v>
      </c>
      <c r="AH24" s="107">
        <v>0</v>
      </c>
      <c r="AI24" s="107">
        <v>0</v>
      </c>
      <c r="AJ24" s="107">
        <v>0</v>
      </c>
      <c r="AK24" s="107">
        <v>0</v>
      </c>
    </row>
    <row r="25" spans="1:37" customFormat="1" x14ac:dyDescent="0.15">
      <c r="A25" s="188" t="s">
        <v>216</v>
      </c>
      <c r="B25" s="107">
        <v>0</v>
      </c>
      <c r="C25" s="107">
        <v>1</v>
      </c>
      <c r="D25" s="107">
        <v>0</v>
      </c>
      <c r="E25" s="107">
        <v>1</v>
      </c>
      <c r="F25" s="107">
        <v>1</v>
      </c>
      <c r="G25" s="107">
        <v>1</v>
      </c>
      <c r="H25" s="107">
        <v>1</v>
      </c>
      <c r="I25" s="107">
        <v>0</v>
      </c>
      <c r="J25" s="107">
        <v>1</v>
      </c>
      <c r="K25" s="107">
        <v>1</v>
      </c>
      <c r="L25" s="107">
        <v>1</v>
      </c>
      <c r="M25" s="107">
        <v>1</v>
      </c>
      <c r="N25" s="107">
        <v>0</v>
      </c>
      <c r="O25" s="107">
        <v>0</v>
      </c>
      <c r="P25" s="107">
        <v>1</v>
      </c>
      <c r="Q25" s="107">
        <v>1</v>
      </c>
      <c r="R25" s="107">
        <v>1</v>
      </c>
      <c r="S25" s="107">
        <v>0</v>
      </c>
      <c r="T25" s="107">
        <v>0</v>
      </c>
      <c r="U25" s="107">
        <v>0</v>
      </c>
      <c r="V25" s="107">
        <v>1</v>
      </c>
      <c r="W25" s="107">
        <v>0</v>
      </c>
      <c r="X25" s="107">
        <v>0</v>
      </c>
      <c r="Y25" s="107">
        <v>0</v>
      </c>
      <c r="Z25" s="107">
        <v>0</v>
      </c>
      <c r="AA25" s="107">
        <v>0</v>
      </c>
      <c r="AB25" s="107">
        <v>0</v>
      </c>
      <c r="AC25" s="107">
        <v>0</v>
      </c>
      <c r="AD25" s="107">
        <v>0</v>
      </c>
      <c r="AE25" s="107">
        <v>0</v>
      </c>
      <c r="AF25" s="107">
        <v>0</v>
      </c>
      <c r="AG25" s="107">
        <v>0</v>
      </c>
      <c r="AH25" s="107">
        <v>0</v>
      </c>
      <c r="AI25" s="107">
        <v>0</v>
      </c>
      <c r="AJ25" s="107">
        <v>0</v>
      </c>
      <c r="AK25" s="107">
        <v>0</v>
      </c>
    </row>
    <row r="26" spans="1:37" customFormat="1" x14ac:dyDescent="0.15">
      <c r="A26" s="188" t="s">
        <v>217</v>
      </c>
      <c r="B26" s="107">
        <v>0</v>
      </c>
      <c r="C26" s="107">
        <v>0</v>
      </c>
      <c r="D26" s="107">
        <v>0</v>
      </c>
      <c r="E26" s="107">
        <v>0</v>
      </c>
      <c r="F26" s="107">
        <v>0</v>
      </c>
      <c r="G26" s="107">
        <v>1</v>
      </c>
      <c r="H26" s="107">
        <v>1</v>
      </c>
      <c r="I26" s="107">
        <v>0</v>
      </c>
      <c r="J26" s="107">
        <v>1</v>
      </c>
      <c r="K26" s="107">
        <v>0</v>
      </c>
      <c r="L26" s="107">
        <v>1</v>
      </c>
      <c r="M26" s="107">
        <v>1</v>
      </c>
      <c r="N26" s="107">
        <v>1</v>
      </c>
      <c r="O26" s="107">
        <v>0</v>
      </c>
      <c r="P26" s="107">
        <v>1</v>
      </c>
      <c r="Q26" s="107">
        <v>1</v>
      </c>
      <c r="R26" s="107">
        <v>1</v>
      </c>
      <c r="S26" s="107">
        <v>0</v>
      </c>
      <c r="T26" s="107">
        <v>0</v>
      </c>
      <c r="U26" s="107">
        <v>0</v>
      </c>
      <c r="V26" s="107">
        <v>1</v>
      </c>
      <c r="W26" s="107">
        <v>0</v>
      </c>
      <c r="X26" s="107">
        <v>1</v>
      </c>
      <c r="Y26" s="107">
        <v>0</v>
      </c>
      <c r="Z26" s="107">
        <v>0</v>
      </c>
      <c r="AA26" s="107">
        <v>0</v>
      </c>
      <c r="AB26" s="107">
        <v>0</v>
      </c>
      <c r="AC26" s="107">
        <v>0</v>
      </c>
      <c r="AD26" s="107">
        <v>0</v>
      </c>
      <c r="AE26" s="107">
        <v>0</v>
      </c>
      <c r="AF26" s="107">
        <v>0</v>
      </c>
      <c r="AG26" s="107">
        <v>0</v>
      </c>
      <c r="AH26" s="107">
        <v>0</v>
      </c>
      <c r="AI26" s="107">
        <v>0</v>
      </c>
      <c r="AJ26" s="107">
        <v>0</v>
      </c>
      <c r="AK26" s="107">
        <v>0</v>
      </c>
    </row>
    <row r="27" spans="1:37" customFormat="1" x14ac:dyDescent="0.15">
      <c r="A27" s="188" t="s">
        <v>218</v>
      </c>
      <c r="B27" s="107">
        <v>0</v>
      </c>
      <c r="C27" s="107">
        <v>0</v>
      </c>
      <c r="D27" s="107">
        <v>1</v>
      </c>
      <c r="E27" s="107">
        <v>0</v>
      </c>
      <c r="F27" s="107">
        <v>1</v>
      </c>
      <c r="G27" s="107">
        <v>1</v>
      </c>
      <c r="H27" s="107">
        <v>1</v>
      </c>
      <c r="I27" s="107">
        <v>0</v>
      </c>
      <c r="J27" s="107">
        <v>1</v>
      </c>
      <c r="K27" s="107">
        <v>1</v>
      </c>
      <c r="L27" s="107">
        <v>1</v>
      </c>
      <c r="M27" s="107">
        <v>1</v>
      </c>
      <c r="N27" s="107">
        <v>1</v>
      </c>
      <c r="O27" s="107">
        <v>0</v>
      </c>
      <c r="P27" s="107">
        <v>1</v>
      </c>
      <c r="Q27" s="107">
        <v>1</v>
      </c>
      <c r="R27" s="107">
        <v>1</v>
      </c>
      <c r="S27" s="107">
        <v>0</v>
      </c>
      <c r="T27" s="107">
        <v>0</v>
      </c>
      <c r="U27" s="107">
        <v>0</v>
      </c>
      <c r="V27" s="107">
        <v>1</v>
      </c>
      <c r="W27" s="107">
        <v>0</v>
      </c>
      <c r="X27" s="107">
        <v>1</v>
      </c>
      <c r="Y27" s="107">
        <v>1</v>
      </c>
      <c r="Z27" s="107">
        <v>1</v>
      </c>
      <c r="AA27" s="107">
        <v>1</v>
      </c>
      <c r="AB27" s="107">
        <v>0</v>
      </c>
      <c r="AC27" s="107">
        <v>1</v>
      </c>
      <c r="AD27" s="107">
        <v>0</v>
      </c>
      <c r="AE27" s="107">
        <v>0</v>
      </c>
      <c r="AF27" s="107">
        <v>0</v>
      </c>
      <c r="AG27" s="107">
        <v>0</v>
      </c>
      <c r="AH27" s="107">
        <v>0</v>
      </c>
      <c r="AI27" s="107">
        <v>0</v>
      </c>
      <c r="AJ27" s="107">
        <v>0</v>
      </c>
      <c r="AK27" s="107">
        <v>0</v>
      </c>
    </row>
    <row r="28" spans="1:37" customFormat="1" x14ac:dyDescent="0.15">
      <c r="A28" s="188" t="s">
        <v>219</v>
      </c>
      <c r="B28" s="107">
        <v>0</v>
      </c>
      <c r="C28" s="107">
        <v>0</v>
      </c>
      <c r="D28" s="107">
        <v>0</v>
      </c>
      <c r="E28" s="107">
        <v>0</v>
      </c>
      <c r="F28" s="107">
        <v>0</v>
      </c>
      <c r="G28" s="107">
        <v>1</v>
      </c>
      <c r="H28" s="107">
        <v>0</v>
      </c>
      <c r="I28" s="107">
        <v>0</v>
      </c>
      <c r="J28" s="107">
        <v>1</v>
      </c>
      <c r="K28" s="107">
        <v>1</v>
      </c>
      <c r="L28" s="107">
        <v>0</v>
      </c>
      <c r="M28" s="107">
        <v>0</v>
      </c>
      <c r="N28" s="107">
        <v>1</v>
      </c>
      <c r="O28" s="107">
        <v>0</v>
      </c>
      <c r="P28" s="107">
        <v>0</v>
      </c>
      <c r="Q28" s="107">
        <v>1</v>
      </c>
      <c r="R28" s="107">
        <v>1</v>
      </c>
      <c r="S28" s="107">
        <v>0</v>
      </c>
      <c r="T28" s="107">
        <v>0</v>
      </c>
      <c r="U28" s="107">
        <v>0</v>
      </c>
      <c r="V28" s="107">
        <v>1</v>
      </c>
      <c r="W28" s="107">
        <v>0</v>
      </c>
      <c r="X28" s="107">
        <v>1</v>
      </c>
      <c r="Y28" s="107">
        <v>1</v>
      </c>
      <c r="Z28" s="107">
        <v>1</v>
      </c>
      <c r="AA28" s="107">
        <v>1</v>
      </c>
      <c r="AB28" s="107">
        <v>0</v>
      </c>
      <c r="AC28" s="107">
        <v>1</v>
      </c>
      <c r="AD28" s="107">
        <v>0</v>
      </c>
      <c r="AE28" s="107">
        <v>0</v>
      </c>
      <c r="AF28" s="107">
        <v>0</v>
      </c>
      <c r="AG28" s="107">
        <v>0</v>
      </c>
      <c r="AH28" s="107">
        <v>0</v>
      </c>
      <c r="AI28" s="107">
        <v>0</v>
      </c>
      <c r="AJ28" s="107">
        <v>0</v>
      </c>
      <c r="AK28" s="107">
        <v>0</v>
      </c>
    </row>
    <row r="29" spans="1:37" customFormat="1" x14ac:dyDescent="0.15">
      <c r="A29" s="188" t="s">
        <v>220</v>
      </c>
      <c r="B29" s="107">
        <v>0</v>
      </c>
      <c r="C29" s="107">
        <v>0</v>
      </c>
      <c r="D29" s="107">
        <v>1</v>
      </c>
      <c r="E29" s="107">
        <v>0</v>
      </c>
      <c r="F29" s="107">
        <v>1</v>
      </c>
      <c r="G29" s="107">
        <v>0</v>
      </c>
      <c r="H29" s="107">
        <v>1</v>
      </c>
      <c r="I29" s="107">
        <v>0</v>
      </c>
      <c r="J29" s="107">
        <v>0</v>
      </c>
      <c r="K29" s="107">
        <v>1</v>
      </c>
      <c r="L29" s="107">
        <v>0</v>
      </c>
      <c r="M29" s="107">
        <v>1</v>
      </c>
      <c r="N29" s="107">
        <v>0</v>
      </c>
      <c r="O29" s="107">
        <v>1</v>
      </c>
      <c r="P29" s="107">
        <v>0</v>
      </c>
      <c r="Q29" s="107">
        <v>1</v>
      </c>
      <c r="R29" s="107">
        <v>1</v>
      </c>
      <c r="S29" s="107">
        <v>1</v>
      </c>
      <c r="T29" s="107">
        <v>0</v>
      </c>
      <c r="U29" s="107">
        <v>0</v>
      </c>
      <c r="V29" s="107">
        <v>1</v>
      </c>
      <c r="W29" s="107">
        <v>1</v>
      </c>
      <c r="X29" s="107">
        <v>0</v>
      </c>
      <c r="Y29" s="107">
        <v>0</v>
      </c>
      <c r="Z29" s="107">
        <v>0</v>
      </c>
      <c r="AA29" s="107">
        <v>0</v>
      </c>
      <c r="AB29" s="107">
        <v>0</v>
      </c>
      <c r="AC29" s="107">
        <v>0</v>
      </c>
      <c r="AD29" s="107">
        <v>0</v>
      </c>
      <c r="AE29" s="107">
        <v>0</v>
      </c>
      <c r="AF29" s="107">
        <v>0</v>
      </c>
      <c r="AG29" s="107">
        <v>0</v>
      </c>
      <c r="AH29" s="107">
        <v>0</v>
      </c>
      <c r="AI29" s="107">
        <v>0</v>
      </c>
      <c r="AJ29" s="107">
        <v>0</v>
      </c>
      <c r="AK29" s="107">
        <v>0</v>
      </c>
    </row>
    <row r="30" spans="1:37" customFormat="1" x14ac:dyDescent="0.15">
      <c r="A30" s="188" t="s">
        <v>221</v>
      </c>
      <c r="B30" s="107">
        <v>0</v>
      </c>
      <c r="C30" s="107">
        <v>0</v>
      </c>
      <c r="D30" s="107">
        <v>0</v>
      </c>
      <c r="E30" s="107">
        <v>0</v>
      </c>
      <c r="F30" s="107">
        <v>0</v>
      </c>
      <c r="G30" s="107">
        <v>0</v>
      </c>
      <c r="H30" s="107">
        <v>0</v>
      </c>
      <c r="I30" s="107">
        <v>0</v>
      </c>
      <c r="J30" s="107">
        <v>0</v>
      </c>
      <c r="K30" s="107">
        <v>1</v>
      </c>
      <c r="L30" s="107">
        <v>0</v>
      </c>
      <c r="M30" s="107">
        <v>0</v>
      </c>
      <c r="N30" s="107">
        <v>0</v>
      </c>
      <c r="O30" s="107">
        <v>1</v>
      </c>
      <c r="P30" s="107">
        <v>0</v>
      </c>
      <c r="Q30" s="107">
        <v>0</v>
      </c>
      <c r="R30" s="107">
        <v>1</v>
      </c>
      <c r="S30" s="107">
        <v>1</v>
      </c>
      <c r="T30" s="107">
        <v>1</v>
      </c>
      <c r="U30" s="107">
        <v>1</v>
      </c>
      <c r="V30" s="107">
        <v>1</v>
      </c>
      <c r="W30" s="107">
        <v>1</v>
      </c>
      <c r="X30" s="107">
        <v>0</v>
      </c>
      <c r="Y30" s="107">
        <v>0</v>
      </c>
      <c r="Z30" s="107">
        <v>0</v>
      </c>
      <c r="AA30" s="107">
        <v>0</v>
      </c>
      <c r="AB30" s="107">
        <v>0</v>
      </c>
      <c r="AC30" s="107">
        <v>1</v>
      </c>
      <c r="AD30" s="107">
        <v>0</v>
      </c>
      <c r="AE30" s="107">
        <v>0</v>
      </c>
      <c r="AF30" s="107">
        <v>0</v>
      </c>
      <c r="AG30" s="107">
        <v>0</v>
      </c>
      <c r="AH30" s="107">
        <v>0</v>
      </c>
      <c r="AI30" s="107">
        <v>0</v>
      </c>
      <c r="AJ30" s="107">
        <v>0</v>
      </c>
      <c r="AK30" s="107">
        <v>0</v>
      </c>
    </row>
    <row r="31" spans="1:37" customFormat="1" x14ac:dyDescent="0.15">
      <c r="A31" s="188" t="s">
        <v>222</v>
      </c>
      <c r="B31" s="107">
        <v>0</v>
      </c>
      <c r="C31" s="107">
        <v>0</v>
      </c>
      <c r="D31" s="107">
        <v>0</v>
      </c>
      <c r="E31" s="107">
        <v>0</v>
      </c>
      <c r="F31" s="107">
        <v>0</v>
      </c>
      <c r="G31" s="107">
        <v>0</v>
      </c>
      <c r="H31" s="107">
        <v>0</v>
      </c>
      <c r="I31" s="107">
        <v>0</v>
      </c>
      <c r="J31" s="107">
        <v>0</v>
      </c>
      <c r="K31" s="107">
        <v>0</v>
      </c>
      <c r="L31" s="107">
        <v>0</v>
      </c>
      <c r="M31" s="107">
        <v>0</v>
      </c>
      <c r="N31" s="107">
        <v>0</v>
      </c>
      <c r="O31" s="107">
        <v>1</v>
      </c>
      <c r="P31" s="107">
        <v>0</v>
      </c>
      <c r="Q31" s="107">
        <v>0</v>
      </c>
      <c r="R31" s="107">
        <v>0</v>
      </c>
      <c r="S31" s="107">
        <v>1</v>
      </c>
      <c r="T31" s="107">
        <v>1</v>
      </c>
      <c r="U31" s="107">
        <v>1</v>
      </c>
      <c r="V31" s="107">
        <v>0</v>
      </c>
      <c r="W31" s="107">
        <v>1</v>
      </c>
      <c r="X31" s="107">
        <v>0</v>
      </c>
      <c r="Y31" s="107">
        <v>0</v>
      </c>
      <c r="Z31" s="107">
        <v>0</v>
      </c>
      <c r="AA31" s="107">
        <v>0</v>
      </c>
      <c r="AB31" s="107">
        <v>1</v>
      </c>
      <c r="AC31" s="107">
        <v>1</v>
      </c>
      <c r="AD31" s="107">
        <v>1</v>
      </c>
      <c r="AE31" s="107">
        <v>0</v>
      </c>
      <c r="AF31" s="107">
        <v>0</v>
      </c>
      <c r="AG31" s="107">
        <v>1</v>
      </c>
      <c r="AH31" s="107">
        <v>0</v>
      </c>
      <c r="AI31" s="107">
        <v>0</v>
      </c>
      <c r="AJ31" s="107">
        <v>0</v>
      </c>
      <c r="AK31" s="107">
        <v>0</v>
      </c>
    </row>
    <row r="32" spans="1:37" x14ac:dyDescent="0.15">
      <c r="A32" s="188" t="s">
        <v>223</v>
      </c>
      <c r="B32" s="107">
        <v>0</v>
      </c>
      <c r="C32" s="107">
        <v>0</v>
      </c>
      <c r="D32" s="107">
        <v>0</v>
      </c>
      <c r="E32" s="107">
        <v>0</v>
      </c>
      <c r="F32" s="107">
        <v>0</v>
      </c>
      <c r="G32" s="107">
        <v>0</v>
      </c>
      <c r="H32" s="107">
        <v>0</v>
      </c>
      <c r="I32" s="107">
        <v>0</v>
      </c>
      <c r="J32" s="107">
        <v>0</v>
      </c>
      <c r="K32" s="107">
        <v>0</v>
      </c>
      <c r="L32" s="107">
        <v>0</v>
      </c>
      <c r="M32" s="107">
        <v>0</v>
      </c>
      <c r="N32" s="107">
        <v>0</v>
      </c>
      <c r="O32" s="107">
        <v>0</v>
      </c>
      <c r="P32" s="107">
        <v>0</v>
      </c>
      <c r="Q32" s="107">
        <v>0</v>
      </c>
      <c r="R32" s="107">
        <v>1</v>
      </c>
      <c r="S32" s="107">
        <v>0</v>
      </c>
      <c r="T32" s="107">
        <v>1</v>
      </c>
      <c r="U32" s="107">
        <v>1</v>
      </c>
      <c r="V32" s="107">
        <v>0</v>
      </c>
      <c r="W32" s="107">
        <v>0</v>
      </c>
      <c r="X32" s="107">
        <v>0</v>
      </c>
      <c r="Y32" s="107">
        <v>1</v>
      </c>
      <c r="Z32" s="107">
        <v>1</v>
      </c>
      <c r="AA32" s="107">
        <v>1</v>
      </c>
      <c r="AB32" s="107">
        <v>1</v>
      </c>
      <c r="AC32" s="107">
        <v>1</v>
      </c>
      <c r="AD32" s="107">
        <v>0</v>
      </c>
      <c r="AE32" s="107">
        <v>0</v>
      </c>
      <c r="AF32" s="107">
        <v>0</v>
      </c>
      <c r="AG32" s="107">
        <v>1</v>
      </c>
      <c r="AH32" s="107">
        <v>0</v>
      </c>
      <c r="AI32" s="107">
        <v>0</v>
      </c>
      <c r="AJ32" s="107">
        <v>0</v>
      </c>
      <c r="AK32" s="107">
        <v>0</v>
      </c>
    </row>
    <row r="33" spans="1:37" x14ac:dyDescent="0.15">
      <c r="A33" s="188" t="s">
        <v>224</v>
      </c>
      <c r="B33" s="107">
        <v>0</v>
      </c>
      <c r="C33" s="107">
        <v>0</v>
      </c>
      <c r="D33" s="107">
        <v>0</v>
      </c>
      <c r="E33" s="107">
        <v>0</v>
      </c>
      <c r="F33" s="107">
        <v>0</v>
      </c>
      <c r="G33" s="107">
        <v>0</v>
      </c>
      <c r="H33" s="107">
        <v>0</v>
      </c>
      <c r="I33" s="107">
        <v>0</v>
      </c>
      <c r="J33" s="107">
        <v>0</v>
      </c>
      <c r="K33" s="107">
        <v>0</v>
      </c>
      <c r="L33" s="107">
        <v>0</v>
      </c>
      <c r="M33" s="107">
        <v>0</v>
      </c>
      <c r="N33" s="107">
        <v>0</v>
      </c>
      <c r="O33" s="107">
        <v>0</v>
      </c>
      <c r="P33" s="107">
        <v>0</v>
      </c>
      <c r="Q33" s="107">
        <v>0</v>
      </c>
      <c r="R33" s="107">
        <v>0</v>
      </c>
      <c r="S33" s="107">
        <v>0</v>
      </c>
      <c r="T33" s="107">
        <v>0</v>
      </c>
      <c r="U33" s="107">
        <v>1</v>
      </c>
      <c r="V33" s="107">
        <v>1</v>
      </c>
      <c r="W33" s="107">
        <v>0</v>
      </c>
      <c r="X33" s="107">
        <v>0</v>
      </c>
      <c r="Y33" s="107">
        <v>1</v>
      </c>
      <c r="Z33" s="107">
        <v>0</v>
      </c>
      <c r="AA33" s="107">
        <v>1</v>
      </c>
      <c r="AB33" s="107">
        <v>1</v>
      </c>
      <c r="AC33" s="107">
        <v>0</v>
      </c>
      <c r="AD33" s="107">
        <v>0</v>
      </c>
      <c r="AE33" s="107">
        <v>0</v>
      </c>
      <c r="AF33" s="107">
        <v>0</v>
      </c>
      <c r="AG33" s="107">
        <v>0</v>
      </c>
      <c r="AH33" s="107">
        <v>0</v>
      </c>
      <c r="AI33" s="107">
        <v>0</v>
      </c>
      <c r="AJ33" s="107">
        <v>0</v>
      </c>
      <c r="AK33" s="107">
        <v>0</v>
      </c>
    </row>
    <row r="34" spans="1:37" x14ac:dyDescent="0.15">
      <c r="A34" s="188" t="s">
        <v>225</v>
      </c>
      <c r="B34" s="107">
        <v>0</v>
      </c>
      <c r="C34" s="107">
        <v>0</v>
      </c>
      <c r="D34" s="107">
        <v>0</v>
      </c>
      <c r="E34" s="107">
        <v>0</v>
      </c>
      <c r="F34" s="107">
        <v>0</v>
      </c>
      <c r="G34" s="107">
        <v>0</v>
      </c>
      <c r="H34" s="107">
        <v>0</v>
      </c>
      <c r="I34" s="107">
        <v>0</v>
      </c>
      <c r="J34" s="107">
        <v>0</v>
      </c>
      <c r="K34" s="107">
        <v>0</v>
      </c>
      <c r="L34" s="107">
        <v>0</v>
      </c>
      <c r="M34" s="107">
        <v>0</v>
      </c>
      <c r="N34" s="107">
        <v>1</v>
      </c>
      <c r="O34" s="107">
        <v>0</v>
      </c>
      <c r="P34" s="107">
        <v>0</v>
      </c>
      <c r="Q34" s="107">
        <v>1</v>
      </c>
      <c r="R34" s="107">
        <v>1</v>
      </c>
      <c r="S34" s="107">
        <v>0</v>
      </c>
      <c r="T34" s="107">
        <v>0</v>
      </c>
      <c r="U34" s="107">
        <v>0</v>
      </c>
      <c r="V34" s="107">
        <v>0</v>
      </c>
      <c r="W34" s="107">
        <v>0</v>
      </c>
      <c r="X34" s="107">
        <v>1</v>
      </c>
      <c r="Y34" s="107">
        <v>1</v>
      </c>
      <c r="Z34" s="107">
        <v>1</v>
      </c>
      <c r="AA34" s="107">
        <v>1</v>
      </c>
      <c r="AB34" s="107">
        <v>1</v>
      </c>
      <c r="AC34" s="107">
        <v>0</v>
      </c>
      <c r="AD34" s="107">
        <v>0</v>
      </c>
      <c r="AE34" s="107">
        <v>1</v>
      </c>
      <c r="AF34" s="107">
        <v>0</v>
      </c>
      <c r="AG34" s="107">
        <v>1</v>
      </c>
      <c r="AH34" s="107">
        <v>0</v>
      </c>
      <c r="AI34" s="107">
        <v>0</v>
      </c>
      <c r="AJ34" s="107">
        <v>0</v>
      </c>
      <c r="AK34" s="107">
        <v>0</v>
      </c>
    </row>
    <row r="35" spans="1:37" x14ac:dyDescent="0.15">
      <c r="A35" s="188" t="s">
        <v>226</v>
      </c>
      <c r="B35" s="107">
        <v>0</v>
      </c>
      <c r="C35" s="107">
        <v>0</v>
      </c>
      <c r="D35" s="107">
        <v>0</v>
      </c>
      <c r="E35" s="107">
        <v>0</v>
      </c>
      <c r="F35" s="107">
        <v>0</v>
      </c>
      <c r="G35" s="107">
        <v>0</v>
      </c>
      <c r="H35" s="107">
        <v>0</v>
      </c>
      <c r="I35" s="107">
        <v>0</v>
      </c>
      <c r="J35" s="107">
        <v>0</v>
      </c>
      <c r="K35" s="107">
        <v>0</v>
      </c>
      <c r="L35" s="107">
        <v>0</v>
      </c>
      <c r="M35" s="107">
        <v>0</v>
      </c>
      <c r="N35" s="107">
        <v>0</v>
      </c>
      <c r="O35" s="107">
        <v>0</v>
      </c>
      <c r="P35" s="107">
        <v>0</v>
      </c>
      <c r="Q35" s="107">
        <v>0</v>
      </c>
      <c r="R35" s="107">
        <v>0</v>
      </c>
      <c r="S35" s="107">
        <v>0</v>
      </c>
      <c r="T35" s="107">
        <v>0</v>
      </c>
      <c r="U35" s="107">
        <v>0</v>
      </c>
      <c r="V35" s="107">
        <v>0</v>
      </c>
      <c r="W35" s="107">
        <v>0</v>
      </c>
      <c r="X35" s="107">
        <v>0</v>
      </c>
      <c r="Y35" s="107">
        <v>0</v>
      </c>
      <c r="Z35" s="107">
        <v>0</v>
      </c>
      <c r="AA35" s="107">
        <v>0</v>
      </c>
      <c r="AB35" s="107">
        <v>0</v>
      </c>
      <c r="AC35" s="107">
        <v>0</v>
      </c>
      <c r="AD35" s="107">
        <v>0</v>
      </c>
      <c r="AE35" s="107">
        <v>1</v>
      </c>
      <c r="AF35" s="107">
        <v>0</v>
      </c>
      <c r="AG35" s="107">
        <v>0</v>
      </c>
      <c r="AH35" s="107">
        <v>0</v>
      </c>
      <c r="AI35" s="107">
        <v>0</v>
      </c>
      <c r="AJ35" s="107">
        <v>0</v>
      </c>
      <c r="AK35" s="107">
        <v>0</v>
      </c>
    </row>
    <row r="36" spans="1:37" x14ac:dyDescent="0.15">
      <c r="A36" s="188" t="s">
        <v>227</v>
      </c>
      <c r="B36" s="107">
        <v>0</v>
      </c>
      <c r="C36" s="107">
        <v>0</v>
      </c>
      <c r="D36" s="107">
        <v>0</v>
      </c>
      <c r="E36" s="107">
        <v>0</v>
      </c>
      <c r="F36" s="107">
        <v>0</v>
      </c>
      <c r="G36" s="107">
        <v>0</v>
      </c>
      <c r="H36" s="107">
        <v>0</v>
      </c>
      <c r="I36" s="107">
        <v>0</v>
      </c>
      <c r="J36" s="107">
        <v>0</v>
      </c>
      <c r="K36" s="107">
        <v>0</v>
      </c>
      <c r="L36" s="107">
        <v>0</v>
      </c>
      <c r="M36" s="107">
        <v>0</v>
      </c>
      <c r="N36" s="107">
        <v>0</v>
      </c>
      <c r="O36" s="107">
        <v>0</v>
      </c>
      <c r="P36" s="107">
        <v>0</v>
      </c>
      <c r="Q36" s="107">
        <v>0</v>
      </c>
      <c r="R36" s="107">
        <v>0</v>
      </c>
      <c r="S36" s="107">
        <v>1</v>
      </c>
      <c r="T36" s="107">
        <v>1</v>
      </c>
      <c r="U36" s="107">
        <v>1</v>
      </c>
      <c r="V36" s="107">
        <v>0</v>
      </c>
      <c r="W36" s="107">
        <v>1</v>
      </c>
      <c r="X36" s="107">
        <v>0</v>
      </c>
      <c r="Y36" s="107">
        <v>0</v>
      </c>
      <c r="Z36" s="107">
        <v>0</v>
      </c>
      <c r="AA36" s="107">
        <v>0</v>
      </c>
      <c r="AB36" s="107">
        <v>0</v>
      </c>
      <c r="AC36" s="107">
        <v>1</v>
      </c>
      <c r="AD36" s="107">
        <v>0</v>
      </c>
      <c r="AE36" s="107">
        <v>1</v>
      </c>
      <c r="AF36" s="107">
        <v>0</v>
      </c>
      <c r="AG36" s="107">
        <v>0</v>
      </c>
      <c r="AH36" s="107">
        <v>0</v>
      </c>
      <c r="AI36" s="107">
        <v>0</v>
      </c>
      <c r="AJ36" s="107">
        <v>0</v>
      </c>
      <c r="AK36" s="107">
        <v>0</v>
      </c>
    </row>
    <row r="37" spans="1:37" x14ac:dyDescent="0.15">
      <c r="A37" s="188" t="s">
        <v>228</v>
      </c>
      <c r="B37" s="107">
        <v>0</v>
      </c>
      <c r="C37" s="107">
        <v>0</v>
      </c>
      <c r="D37" s="107">
        <v>0</v>
      </c>
      <c r="E37" s="107">
        <v>0</v>
      </c>
      <c r="F37" s="107">
        <v>1</v>
      </c>
      <c r="G37" s="107">
        <v>0</v>
      </c>
      <c r="H37" s="107">
        <v>0</v>
      </c>
      <c r="I37" s="107">
        <v>0</v>
      </c>
      <c r="J37" s="107">
        <v>0</v>
      </c>
      <c r="K37" s="107">
        <v>1</v>
      </c>
      <c r="L37" s="107">
        <v>0</v>
      </c>
      <c r="M37" s="107">
        <v>1</v>
      </c>
      <c r="N37" s="107">
        <v>0</v>
      </c>
      <c r="O37" s="107">
        <v>1</v>
      </c>
      <c r="P37" s="107">
        <v>0</v>
      </c>
      <c r="Q37" s="107">
        <v>0</v>
      </c>
      <c r="R37" s="107">
        <v>1</v>
      </c>
      <c r="S37" s="107">
        <v>1</v>
      </c>
      <c r="T37" s="107">
        <v>1</v>
      </c>
      <c r="U37" s="107">
        <v>1</v>
      </c>
      <c r="V37" s="107">
        <v>1</v>
      </c>
      <c r="W37" s="107">
        <v>1</v>
      </c>
      <c r="X37" s="107">
        <v>0</v>
      </c>
      <c r="Y37" s="107">
        <v>1</v>
      </c>
      <c r="Z37" s="107">
        <v>0</v>
      </c>
      <c r="AA37" s="107">
        <v>0</v>
      </c>
      <c r="AB37" s="107">
        <v>0</v>
      </c>
      <c r="AC37" s="107">
        <v>1</v>
      </c>
      <c r="AD37" s="107">
        <v>1</v>
      </c>
      <c r="AE37" s="107">
        <v>1</v>
      </c>
      <c r="AF37" s="107">
        <v>0</v>
      </c>
      <c r="AG37" s="107">
        <v>1</v>
      </c>
      <c r="AH37" s="107">
        <v>0</v>
      </c>
      <c r="AI37" s="107">
        <v>0</v>
      </c>
      <c r="AJ37" s="107">
        <v>0</v>
      </c>
      <c r="AK37" s="107">
        <v>0</v>
      </c>
    </row>
    <row r="38" spans="1:37" x14ac:dyDescent="0.15">
      <c r="A38" s="188" t="s">
        <v>231</v>
      </c>
      <c r="B38" s="107">
        <v>1</v>
      </c>
      <c r="C38" s="107">
        <v>1</v>
      </c>
      <c r="D38" s="107">
        <v>1</v>
      </c>
      <c r="E38" s="107">
        <v>0</v>
      </c>
      <c r="F38" s="107">
        <v>1</v>
      </c>
      <c r="G38" s="107">
        <v>1</v>
      </c>
      <c r="H38" s="107">
        <v>1</v>
      </c>
      <c r="I38" s="107">
        <v>1</v>
      </c>
      <c r="J38" s="107">
        <v>1</v>
      </c>
      <c r="K38" s="107">
        <v>0</v>
      </c>
      <c r="L38" s="107">
        <v>1</v>
      </c>
      <c r="M38" s="107">
        <v>1</v>
      </c>
      <c r="N38" s="107">
        <v>0</v>
      </c>
      <c r="O38" s="107">
        <v>1</v>
      </c>
      <c r="P38" s="107">
        <v>1</v>
      </c>
      <c r="Q38" s="107">
        <v>0</v>
      </c>
      <c r="R38" s="107">
        <v>0</v>
      </c>
      <c r="S38" s="107">
        <v>0</v>
      </c>
      <c r="T38" s="107">
        <v>0</v>
      </c>
      <c r="U38" s="107">
        <v>0</v>
      </c>
      <c r="V38" s="107">
        <v>0</v>
      </c>
      <c r="W38" s="107">
        <v>0</v>
      </c>
      <c r="X38" s="107">
        <v>0</v>
      </c>
      <c r="Y38" s="107">
        <v>0</v>
      </c>
      <c r="Z38" s="107">
        <v>0</v>
      </c>
      <c r="AA38" s="107">
        <v>0</v>
      </c>
      <c r="AB38" s="107">
        <v>0</v>
      </c>
      <c r="AC38" s="107">
        <v>0</v>
      </c>
      <c r="AD38" s="107">
        <v>0</v>
      </c>
      <c r="AE38" s="107">
        <v>0</v>
      </c>
      <c r="AF38" s="107">
        <v>0</v>
      </c>
      <c r="AG38" s="107">
        <v>0</v>
      </c>
      <c r="AH38" s="107">
        <v>0</v>
      </c>
      <c r="AI38" s="107">
        <v>0</v>
      </c>
      <c r="AJ38" s="107">
        <v>0</v>
      </c>
      <c r="AK38" s="10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D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1.83203125" bestFit="1" customWidth="1"/>
    <col min="3" max="4" width="3.83203125" bestFit="1" customWidth="1"/>
  </cols>
  <sheetData>
    <row r="1" spans="1:4" ht="112" x14ac:dyDescent="0.15">
      <c r="A1" s="5" t="s">
        <v>83</v>
      </c>
      <c r="B1" s="3" t="s">
        <v>0</v>
      </c>
      <c r="C1" s="191" t="s">
        <v>229</v>
      </c>
      <c r="D1" s="191" t="s">
        <v>230</v>
      </c>
    </row>
    <row r="2" spans="1:4" x14ac:dyDescent="0.15">
      <c r="A2">
        <v>1</v>
      </c>
      <c r="B2" s="190" t="s">
        <v>193</v>
      </c>
      <c r="C2">
        <v>0</v>
      </c>
      <c r="D2">
        <v>0</v>
      </c>
    </row>
    <row r="3" spans="1:4" x14ac:dyDescent="0.15">
      <c r="A3">
        <v>2</v>
      </c>
      <c r="B3" s="190" t="s">
        <v>194</v>
      </c>
      <c r="C3">
        <v>0</v>
      </c>
      <c r="D3">
        <v>0</v>
      </c>
    </row>
    <row r="4" spans="1:4" x14ac:dyDescent="0.15">
      <c r="A4">
        <v>3</v>
      </c>
      <c r="B4" s="190" t="s">
        <v>195</v>
      </c>
      <c r="C4">
        <v>0</v>
      </c>
      <c r="D4">
        <v>0.8</v>
      </c>
    </row>
    <row r="5" spans="1:4" x14ac:dyDescent="0.15">
      <c r="A5">
        <v>4</v>
      </c>
      <c r="B5" s="190" t="s">
        <v>196</v>
      </c>
      <c r="C5">
        <v>0</v>
      </c>
      <c r="D5">
        <v>0.8</v>
      </c>
    </row>
    <row r="6" spans="1:4" x14ac:dyDescent="0.15">
      <c r="A6">
        <v>5</v>
      </c>
      <c r="B6" s="190" t="s">
        <v>197</v>
      </c>
      <c r="C6">
        <v>0</v>
      </c>
      <c r="D6">
        <v>0.8</v>
      </c>
    </row>
    <row r="7" spans="1:4" x14ac:dyDescent="0.15">
      <c r="A7">
        <v>6</v>
      </c>
      <c r="B7" s="190" t="s">
        <v>198</v>
      </c>
      <c r="C7">
        <v>0</v>
      </c>
      <c r="D7">
        <v>0.8</v>
      </c>
    </row>
    <row r="8" spans="1:4" x14ac:dyDescent="0.15">
      <c r="A8">
        <v>7</v>
      </c>
      <c r="B8" s="190" t="s">
        <v>199</v>
      </c>
      <c r="C8">
        <v>0</v>
      </c>
      <c r="D8">
        <v>0.8</v>
      </c>
    </row>
    <row r="9" spans="1:4" x14ac:dyDescent="0.15">
      <c r="A9">
        <v>8</v>
      </c>
      <c r="B9" s="190" t="s">
        <v>200</v>
      </c>
      <c r="C9">
        <v>0.8</v>
      </c>
      <c r="D9">
        <v>0</v>
      </c>
    </row>
    <row r="10" spans="1:4" x14ac:dyDescent="0.15">
      <c r="A10">
        <v>9</v>
      </c>
      <c r="B10" s="190" t="s">
        <v>201</v>
      </c>
      <c r="C10">
        <v>0</v>
      </c>
      <c r="D10">
        <v>0.8</v>
      </c>
    </row>
    <row r="11" spans="1:4" x14ac:dyDescent="0.15">
      <c r="A11">
        <v>10</v>
      </c>
      <c r="B11" s="190" t="s">
        <v>202</v>
      </c>
      <c r="C11">
        <v>0</v>
      </c>
      <c r="D11">
        <v>0</v>
      </c>
    </row>
    <row r="12" spans="1:4" x14ac:dyDescent="0.15">
      <c r="A12">
        <v>11</v>
      </c>
      <c r="B12" s="190" t="s">
        <v>203</v>
      </c>
      <c r="C12">
        <v>0.8</v>
      </c>
      <c r="D12">
        <v>0</v>
      </c>
    </row>
    <row r="13" spans="1:4" x14ac:dyDescent="0.15">
      <c r="A13">
        <v>12</v>
      </c>
      <c r="B13" s="190" t="s">
        <v>204</v>
      </c>
      <c r="C13">
        <v>0.8</v>
      </c>
      <c r="D13">
        <v>0</v>
      </c>
    </row>
    <row r="14" spans="1:4" x14ac:dyDescent="0.15">
      <c r="A14">
        <v>13</v>
      </c>
      <c r="B14" s="190" t="s">
        <v>205</v>
      </c>
      <c r="C14">
        <v>0</v>
      </c>
      <c r="D14">
        <v>0</v>
      </c>
    </row>
    <row r="15" spans="1:4" x14ac:dyDescent="0.15">
      <c r="A15">
        <v>14</v>
      </c>
      <c r="B15" s="190" t="s">
        <v>206</v>
      </c>
      <c r="C15">
        <v>0</v>
      </c>
      <c r="D15">
        <v>0</v>
      </c>
    </row>
    <row r="16" spans="1:4" x14ac:dyDescent="0.15">
      <c r="A16">
        <v>15</v>
      </c>
      <c r="B16" s="190" t="s">
        <v>207</v>
      </c>
      <c r="C16">
        <v>0</v>
      </c>
      <c r="D16">
        <v>0</v>
      </c>
    </row>
    <row r="17" spans="1:4" x14ac:dyDescent="0.15">
      <c r="A17">
        <v>16</v>
      </c>
      <c r="B17" s="190" t="s">
        <v>208</v>
      </c>
      <c r="C17">
        <v>0</v>
      </c>
      <c r="D17">
        <v>0</v>
      </c>
    </row>
    <row r="18" spans="1:4" x14ac:dyDescent="0.15">
      <c r="A18">
        <v>17</v>
      </c>
      <c r="B18" s="190" t="s">
        <v>209</v>
      </c>
      <c r="C18">
        <v>0</v>
      </c>
      <c r="D18">
        <v>0.8</v>
      </c>
    </row>
    <row r="19" spans="1:4" x14ac:dyDescent="0.15">
      <c r="A19">
        <v>18</v>
      </c>
      <c r="B19" s="190" t="s">
        <v>210</v>
      </c>
      <c r="C19">
        <v>0</v>
      </c>
      <c r="D19">
        <v>0</v>
      </c>
    </row>
    <row r="20" spans="1:4" x14ac:dyDescent="0.15">
      <c r="A20">
        <v>19</v>
      </c>
      <c r="B20" s="190" t="s">
        <v>211</v>
      </c>
      <c r="C20">
        <v>0</v>
      </c>
      <c r="D20">
        <v>0</v>
      </c>
    </row>
    <row r="21" spans="1:4" x14ac:dyDescent="0.15">
      <c r="A21">
        <v>20</v>
      </c>
      <c r="B21" s="190" t="s">
        <v>212</v>
      </c>
      <c r="C21">
        <v>0</v>
      </c>
      <c r="D21">
        <v>0</v>
      </c>
    </row>
    <row r="22" spans="1:4" x14ac:dyDescent="0.15">
      <c r="A22">
        <v>21</v>
      </c>
      <c r="B22" s="190" t="s">
        <v>213</v>
      </c>
      <c r="C22">
        <v>0</v>
      </c>
      <c r="D22">
        <v>0</v>
      </c>
    </row>
    <row r="23" spans="1:4" x14ac:dyDescent="0.15">
      <c r="A23">
        <v>22</v>
      </c>
      <c r="B23" s="190" t="s">
        <v>214</v>
      </c>
      <c r="C23">
        <v>0</v>
      </c>
      <c r="D23">
        <v>0</v>
      </c>
    </row>
    <row r="24" spans="1:4" x14ac:dyDescent="0.15">
      <c r="A24">
        <v>23</v>
      </c>
      <c r="B24" s="190" t="s">
        <v>215</v>
      </c>
      <c r="C24">
        <v>0</v>
      </c>
      <c r="D24">
        <v>0</v>
      </c>
    </row>
    <row r="25" spans="1:4" x14ac:dyDescent="0.15">
      <c r="A25">
        <v>24</v>
      </c>
      <c r="B25" s="190" t="s">
        <v>216</v>
      </c>
      <c r="C25">
        <v>0</v>
      </c>
      <c r="D25">
        <v>0</v>
      </c>
    </row>
    <row r="26" spans="1:4" x14ac:dyDescent="0.15">
      <c r="A26">
        <v>25</v>
      </c>
      <c r="B26" s="190" t="s">
        <v>217</v>
      </c>
      <c r="C26">
        <v>0</v>
      </c>
      <c r="D26">
        <v>0</v>
      </c>
    </row>
    <row r="27" spans="1:4" x14ac:dyDescent="0.15">
      <c r="A27">
        <v>26</v>
      </c>
      <c r="B27" s="190" t="s">
        <v>218</v>
      </c>
      <c r="C27">
        <v>0</v>
      </c>
      <c r="D27">
        <v>0</v>
      </c>
    </row>
    <row r="28" spans="1:4" x14ac:dyDescent="0.15">
      <c r="A28">
        <v>27</v>
      </c>
      <c r="B28" s="190" t="s">
        <v>219</v>
      </c>
      <c r="C28">
        <v>0</v>
      </c>
      <c r="D28">
        <v>0</v>
      </c>
    </row>
    <row r="29" spans="1:4" x14ac:dyDescent="0.15">
      <c r="A29">
        <v>28</v>
      </c>
      <c r="B29" s="190" t="s">
        <v>220</v>
      </c>
      <c r="C29">
        <v>0</v>
      </c>
      <c r="D29">
        <v>0</v>
      </c>
    </row>
    <row r="30" spans="1:4" x14ac:dyDescent="0.15">
      <c r="A30">
        <v>29</v>
      </c>
      <c r="B30" s="190" t="s">
        <v>221</v>
      </c>
      <c r="C30">
        <v>0</v>
      </c>
      <c r="D30">
        <v>0</v>
      </c>
    </row>
    <row r="31" spans="1:4" x14ac:dyDescent="0.15">
      <c r="A31">
        <v>30</v>
      </c>
      <c r="B31" s="190" t="s">
        <v>222</v>
      </c>
      <c r="C31">
        <v>0</v>
      </c>
      <c r="D31">
        <v>0</v>
      </c>
    </row>
    <row r="32" spans="1:4" x14ac:dyDescent="0.15">
      <c r="A32">
        <v>31</v>
      </c>
      <c r="B32" s="190" t="s">
        <v>223</v>
      </c>
      <c r="C32">
        <v>0</v>
      </c>
      <c r="D32">
        <v>0</v>
      </c>
    </row>
    <row r="33" spans="1:4" x14ac:dyDescent="0.15">
      <c r="A33">
        <v>32</v>
      </c>
      <c r="B33" s="190" t="s">
        <v>224</v>
      </c>
      <c r="C33">
        <v>0</v>
      </c>
      <c r="D33">
        <v>0</v>
      </c>
    </row>
    <row r="34" spans="1:4" x14ac:dyDescent="0.15">
      <c r="A34">
        <v>33</v>
      </c>
      <c r="B34" s="190" t="s">
        <v>225</v>
      </c>
      <c r="C34">
        <v>0</v>
      </c>
      <c r="D34">
        <v>0</v>
      </c>
    </row>
    <row r="35" spans="1:4" x14ac:dyDescent="0.15">
      <c r="A35">
        <v>34</v>
      </c>
      <c r="B35" s="190" t="s">
        <v>226</v>
      </c>
      <c r="C35">
        <v>0</v>
      </c>
      <c r="D35">
        <v>0</v>
      </c>
    </row>
    <row r="36" spans="1:4" x14ac:dyDescent="0.15">
      <c r="A36">
        <v>35</v>
      </c>
      <c r="B36" s="190" t="s">
        <v>227</v>
      </c>
      <c r="C36">
        <v>0</v>
      </c>
      <c r="D36">
        <v>0</v>
      </c>
    </row>
    <row r="37" spans="1:4" x14ac:dyDescent="0.15">
      <c r="A37">
        <v>36</v>
      </c>
      <c r="B37" s="190" t="s">
        <v>228</v>
      </c>
      <c r="C37">
        <v>0</v>
      </c>
      <c r="D37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D37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1.83203125" bestFit="1" customWidth="1"/>
    <col min="3" max="4" width="3.83203125" bestFit="1" customWidth="1"/>
  </cols>
  <sheetData>
    <row r="1" spans="1:4" ht="112" x14ac:dyDescent="0.15">
      <c r="A1" s="5" t="s">
        <v>82</v>
      </c>
      <c r="B1" s="3" t="s">
        <v>0</v>
      </c>
      <c r="C1" s="193" t="s">
        <v>229</v>
      </c>
      <c r="D1" s="193" t="s">
        <v>230</v>
      </c>
    </row>
    <row r="2" spans="1:4" x14ac:dyDescent="0.15">
      <c r="A2">
        <v>1</v>
      </c>
      <c r="B2" s="192" t="s">
        <v>193</v>
      </c>
      <c r="C2">
        <v>0</v>
      </c>
      <c r="D2">
        <v>0</v>
      </c>
    </row>
    <row r="3" spans="1:4" x14ac:dyDescent="0.15">
      <c r="A3">
        <v>2</v>
      </c>
      <c r="B3" s="192" t="s">
        <v>194</v>
      </c>
      <c r="C3">
        <v>0</v>
      </c>
      <c r="D3">
        <v>0</v>
      </c>
    </row>
    <row r="4" spans="1:4" x14ac:dyDescent="0.15">
      <c r="A4">
        <v>3</v>
      </c>
      <c r="B4" s="192" t="s">
        <v>195</v>
      </c>
      <c r="C4">
        <v>0</v>
      </c>
      <c r="D4">
        <v>0.8</v>
      </c>
    </row>
    <row r="5" spans="1:4" x14ac:dyDescent="0.15">
      <c r="A5">
        <v>4</v>
      </c>
      <c r="B5" s="192" t="s">
        <v>196</v>
      </c>
      <c r="C5">
        <v>0</v>
      </c>
      <c r="D5">
        <v>0.8</v>
      </c>
    </row>
    <row r="6" spans="1:4" x14ac:dyDescent="0.15">
      <c r="A6">
        <v>5</v>
      </c>
      <c r="B6" s="192" t="s">
        <v>197</v>
      </c>
      <c r="C6">
        <v>0</v>
      </c>
      <c r="D6">
        <v>0.8</v>
      </c>
    </row>
    <row r="7" spans="1:4" x14ac:dyDescent="0.15">
      <c r="A7">
        <v>6</v>
      </c>
      <c r="B7" s="192" t="s">
        <v>198</v>
      </c>
      <c r="C7">
        <v>0</v>
      </c>
      <c r="D7">
        <v>0.8</v>
      </c>
    </row>
    <row r="8" spans="1:4" x14ac:dyDescent="0.15">
      <c r="A8">
        <v>7</v>
      </c>
      <c r="B8" s="192" t="s">
        <v>199</v>
      </c>
      <c r="C8">
        <v>0</v>
      </c>
      <c r="D8">
        <v>0.8</v>
      </c>
    </row>
    <row r="9" spans="1:4" x14ac:dyDescent="0.15">
      <c r="A9">
        <v>8</v>
      </c>
      <c r="B9" s="192" t="s">
        <v>200</v>
      </c>
      <c r="C9">
        <v>0.8</v>
      </c>
      <c r="D9">
        <v>0</v>
      </c>
    </row>
    <row r="10" spans="1:4" x14ac:dyDescent="0.15">
      <c r="A10">
        <v>9</v>
      </c>
      <c r="B10" s="192" t="s">
        <v>201</v>
      </c>
      <c r="C10">
        <v>0</v>
      </c>
      <c r="D10">
        <v>0.8</v>
      </c>
    </row>
    <row r="11" spans="1:4" x14ac:dyDescent="0.15">
      <c r="A11">
        <v>10</v>
      </c>
      <c r="B11" s="192" t="s">
        <v>202</v>
      </c>
      <c r="C11">
        <v>0</v>
      </c>
      <c r="D11">
        <v>0</v>
      </c>
    </row>
    <row r="12" spans="1:4" x14ac:dyDescent="0.15">
      <c r="A12">
        <v>11</v>
      </c>
      <c r="B12" s="192" t="s">
        <v>203</v>
      </c>
      <c r="C12">
        <v>0.8</v>
      </c>
      <c r="D12">
        <v>0</v>
      </c>
    </row>
    <row r="13" spans="1:4" x14ac:dyDescent="0.15">
      <c r="A13">
        <v>12</v>
      </c>
      <c r="B13" s="192" t="s">
        <v>204</v>
      </c>
      <c r="C13">
        <v>0.8</v>
      </c>
      <c r="D13">
        <v>0</v>
      </c>
    </row>
    <row r="14" spans="1:4" x14ac:dyDescent="0.15">
      <c r="A14">
        <v>13</v>
      </c>
      <c r="B14" s="192" t="s">
        <v>205</v>
      </c>
      <c r="C14">
        <v>0</v>
      </c>
      <c r="D14">
        <v>0</v>
      </c>
    </row>
    <row r="15" spans="1:4" x14ac:dyDescent="0.15">
      <c r="A15">
        <v>14</v>
      </c>
      <c r="B15" s="192" t="s">
        <v>206</v>
      </c>
      <c r="C15">
        <v>0</v>
      </c>
      <c r="D15">
        <v>0</v>
      </c>
    </row>
    <row r="16" spans="1:4" x14ac:dyDescent="0.15">
      <c r="A16">
        <v>15</v>
      </c>
      <c r="B16" s="192" t="s">
        <v>207</v>
      </c>
      <c r="C16">
        <v>0</v>
      </c>
      <c r="D16">
        <v>0</v>
      </c>
    </row>
    <row r="17" spans="1:4" x14ac:dyDescent="0.15">
      <c r="A17">
        <v>16</v>
      </c>
      <c r="B17" s="192" t="s">
        <v>208</v>
      </c>
      <c r="C17">
        <v>0</v>
      </c>
      <c r="D17">
        <v>0</v>
      </c>
    </row>
    <row r="18" spans="1:4" x14ac:dyDescent="0.15">
      <c r="A18">
        <v>17</v>
      </c>
      <c r="B18" s="192" t="s">
        <v>209</v>
      </c>
      <c r="C18">
        <v>0</v>
      </c>
      <c r="D18">
        <v>0.8</v>
      </c>
    </row>
    <row r="19" spans="1:4" x14ac:dyDescent="0.15">
      <c r="A19">
        <v>18</v>
      </c>
      <c r="B19" s="192" t="s">
        <v>210</v>
      </c>
      <c r="C19">
        <v>0</v>
      </c>
      <c r="D19">
        <v>0</v>
      </c>
    </row>
    <row r="20" spans="1:4" x14ac:dyDescent="0.15">
      <c r="A20">
        <v>19</v>
      </c>
      <c r="B20" s="192" t="s">
        <v>211</v>
      </c>
      <c r="C20">
        <v>0</v>
      </c>
      <c r="D20">
        <v>0</v>
      </c>
    </row>
    <row r="21" spans="1:4" x14ac:dyDescent="0.15">
      <c r="A21">
        <v>20</v>
      </c>
      <c r="B21" s="192" t="s">
        <v>212</v>
      </c>
      <c r="C21">
        <v>0</v>
      </c>
      <c r="D21">
        <v>0</v>
      </c>
    </row>
    <row r="22" spans="1:4" x14ac:dyDescent="0.15">
      <c r="A22">
        <v>21</v>
      </c>
      <c r="B22" s="192" t="s">
        <v>213</v>
      </c>
      <c r="C22">
        <v>0</v>
      </c>
      <c r="D22">
        <v>0</v>
      </c>
    </row>
    <row r="23" spans="1:4" x14ac:dyDescent="0.15">
      <c r="A23">
        <v>22</v>
      </c>
      <c r="B23" s="192" t="s">
        <v>214</v>
      </c>
      <c r="C23">
        <v>0</v>
      </c>
      <c r="D23">
        <v>0</v>
      </c>
    </row>
    <row r="24" spans="1:4" x14ac:dyDescent="0.15">
      <c r="A24">
        <v>23</v>
      </c>
      <c r="B24" s="192" t="s">
        <v>215</v>
      </c>
      <c r="C24">
        <v>0</v>
      </c>
      <c r="D24">
        <v>0</v>
      </c>
    </row>
    <row r="25" spans="1:4" x14ac:dyDescent="0.15">
      <c r="A25">
        <v>24</v>
      </c>
      <c r="B25" s="192" t="s">
        <v>216</v>
      </c>
      <c r="C25">
        <v>0</v>
      </c>
      <c r="D25">
        <v>0</v>
      </c>
    </row>
    <row r="26" spans="1:4" x14ac:dyDescent="0.15">
      <c r="A26">
        <v>25</v>
      </c>
      <c r="B26" s="192" t="s">
        <v>217</v>
      </c>
      <c r="C26">
        <v>0</v>
      </c>
      <c r="D26">
        <v>0</v>
      </c>
    </row>
    <row r="27" spans="1:4" x14ac:dyDescent="0.15">
      <c r="A27">
        <v>26</v>
      </c>
      <c r="B27" s="192" t="s">
        <v>218</v>
      </c>
      <c r="C27">
        <v>0</v>
      </c>
      <c r="D27">
        <v>0</v>
      </c>
    </row>
    <row r="28" spans="1:4" x14ac:dyDescent="0.15">
      <c r="A28">
        <v>27</v>
      </c>
      <c r="B28" s="192" t="s">
        <v>219</v>
      </c>
      <c r="C28">
        <v>0</v>
      </c>
      <c r="D28">
        <v>0</v>
      </c>
    </row>
    <row r="29" spans="1:4" x14ac:dyDescent="0.15">
      <c r="A29">
        <v>28</v>
      </c>
      <c r="B29" s="192" t="s">
        <v>220</v>
      </c>
      <c r="C29">
        <v>0</v>
      </c>
      <c r="D29">
        <v>0</v>
      </c>
    </row>
    <row r="30" spans="1:4" x14ac:dyDescent="0.15">
      <c r="A30">
        <v>29</v>
      </c>
      <c r="B30" s="192" t="s">
        <v>221</v>
      </c>
      <c r="C30">
        <v>0</v>
      </c>
      <c r="D30">
        <v>0</v>
      </c>
    </row>
    <row r="31" spans="1:4" x14ac:dyDescent="0.15">
      <c r="A31">
        <v>30</v>
      </c>
      <c r="B31" s="192" t="s">
        <v>222</v>
      </c>
      <c r="C31">
        <v>0</v>
      </c>
      <c r="D31">
        <v>0</v>
      </c>
    </row>
    <row r="32" spans="1:4" x14ac:dyDescent="0.15">
      <c r="A32">
        <v>31</v>
      </c>
      <c r="B32" s="192" t="s">
        <v>223</v>
      </c>
      <c r="C32">
        <v>0</v>
      </c>
      <c r="D32">
        <v>0</v>
      </c>
    </row>
    <row r="33" spans="1:4" x14ac:dyDescent="0.15">
      <c r="A33">
        <v>32</v>
      </c>
      <c r="B33" s="192" t="s">
        <v>224</v>
      </c>
      <c r="C33">
        <v>0</v>
      </c>
      <c r="D33">
        <v>0</v>
      </c>
    </row>
    <row r="34" spans="1:4" x14ac:dyDescent="0.15">
      <c r="A34">
        <v>33</v>
      </c>
      <c r="B34" s="192" t="s">
        <v>225</v>
      </c>
      <c r="C34">
        <v>0</v>
      </c>
      <c r="D34">
        <v>0</v>
      </c>
    </row>
    <row r="35" spans="1:4" x14ac:dyDescent="0.15">
      <c r="A35">
        <v>34</v>
      </c>
      <c r="B35" s="192" t="s">
        <v>226</v>
      </c>
      <c r="C35">
        <v>0</v>
      </c>
      <c r="D35">
        <v>0</v>
      </c>
    </row>
    <row r="36" spans="1:4" x14ac:dyDescent="0.15">
      <c r="A36">
        <v>35</v>
      </c>
      <c r="B36" s="192" t="s">
        <v>227</v>
      </c>
      <c r="C36">
        <v>0</v>
      </c>
      <c r="D36">
        <v>0</v>
      </c>
    </row>
    <row r="37" spans="1:4" x14ac:dyDescent="0.15">
      <c r="A37">
        <v>36</v>
      </c>
      <c r="B37" s="192" t="s">
        <v>228</v>
      </c>
      <c r="C37">
        <v>0</v>
      </c>
      <c r="D3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3" sqref="K3"/>
    </sheetView>
  </sheetViews>
  <sheetFormatPr baseColWidth="10" defaultColWidth="8.83203125" defaultRowHeight="15" customHeight="1" x14ac:dyDescent="0.15"/>
  <cols>
    <col min="1" max="1" width="8.83203125" style="81"/>
    <col min="2" max="2" width="41.83203125" style="81" bestFit="1" customWidth="1"/>
    <col min="3" max="3" width="9.33203125" style="81" bestFit="1" customWidth="1"/>
    <col min="4" max="4" width="13" style="81" bestFit="1" customWidth="1"/>
    <col min="5" max="6" width="9.33203125" style="81" bestFit="1" customWidth="1"/>
    <col min="7" max="7" width="9.33203125" style="97" bestFit="1" customWidth="1"/>
    <col min="8" max="8" width="9.33203125" style="81" bestFit="1" customWidth="1"/>
    <col min="9" max="9" width="11" style="81" customWidth="1"/>
    <col min="10" max="10" width="8.83203125" style="81"/>
    <col min="15" max="16384" width="8.83203125" style="81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4" t="s">
        <v>14</v>
      </c>
      <c r="H1" s="1" t="s">
        <v>26</v>
      </c>
      <c r="I1" s="1" t="s">
        <v>24</v>
      </c>
    </row>
    <row r="2" spans="1:10" ht="15" customHeight="1" x14ac:dyDescent="0.15">
      <c r="A2" s="145">
        <v>1</v>
      </c>
      <c r="B2" s="145" t="s">
        <v>193</v>
      </c>
      <c r="C2" s="8">
        <v>4.650670051574707</v>
      </c>
      <c r="D2" s="9">
        <v>1.5839999541640282E-2</v>
      </c>
      <c r="E2" s="9">
        <v>7.0000000298023224E-2</v>
      </c>
      <c r="F2" s="9">
        <v>14.100000381469727</v>
      </c>
      <c r="G2" s="7">
        <v>0</v>
      </c>
      <c r="H2" s="9">
        <v>4.9645388498902321E-3</v>
      </c>
      <c r="I2">
        <v>0</v>
      </c>
      <c r="J2"/>
    </row>
    <row r="3" spans="1:10" ht="15" customHeight="1" x14ac:dyDescent="0.15">
      <c r="A3" s="146">
        <v>2</v>
      </c>
      <c r="B3" s="146" t="s">
        <v>194</v>
      </c>
      <c r="C3" s="8">
        <v>3.8238544464111328</v>
      </c>
      <c r="D3" s="9">
        <v>1.0833330452442169E-2</v>
      </c>
      <c r="E3" s="9">
        <v>0.11760000139474869</v>
      </c>
      <c r="F3" s="9">
        <v>112.98999786376953</v>
      </c>
      <c r="G3" s="7">
        <v>0</v>
      </c>
      <c r="H3" s="9">
        <v>1.0408001253381371E-3</v>
      </c>
      <c r="I3">
        <v>0</v>
      </c>
      <c r="J3"/>
    </row>
    <row r="4" spans="1:10" ht="15" customHeight="1" x14ac:dyDescent="0.15">
      <c r="A4" s="147">
        <v>3</v>
      </c>
      <c r="B4" s="147" t="s">
        <v>195</v>
      </c>
      <c r="C4" s="8">
        <v>3.4181647300720215</v>
      </c>
      <c r="D4" s="9">
        <v>5.7828839868307114E-2</v>
      </c>
      <c r="E4" s="9">
        <v>0.11478040367364883</v>
      </c>
      <c r="F4" s="9">
        <v>2.2669999599456787</v>
      </c>
      <c r="G4" s="9">
        <v>5.1223195623606443E-4</v>
      </c>
      <c r="H4" s="9">
        <v>5.0630968064069748E-2</v>
      </c>
      <c r="I4">
        <v>3.3999999686784577E-6</v>
      </c>
      <c r="J4"/>
    </row>
    <row r="5" spans="1:10" ht="15" customHeight="1" x14ac:dyDescent="0.15">
      <c r="A5" s="148">
        <v>4</v>
      </c>
      <c r="B5" s="148" t="s">
        <v>196</v>
      </c>
      <c r="C5" s="8">
        <v>3.9962854385375977</v>
      </c>
      <c r="D5" s="9">
        <v>8.946596086025238E-2</v>
      </c>
      <c r="E5" s="9">
        <v>0.23187260329723358</v>
      </c>
      <c r="F5" s="9">
        <v>4.1939997673034668</v>
      </c>
      <c r="G5" s="9">
        <v>1.0123065439984202E-3</v>
      </c>
      <c r="H5" s="9">
        <v>5.5286746472120285E-2</v>
      </c>
      <c r="I5">
        <v>2.0999999833293259E-5</v>
      </c>
      <c r="J5"/>
    </row>
    <row r="6" spans="1:10" ht="15" customHeight="1" x14ac:dyDescent="0.15">
      <c r="A6" s="149">
        <v>5</v>
      </c>
      <c r="B6" s="149" t="s">
        <v>197</v>
      </c>
      <c r="C6" s="8">
        <v>3.4597005844116211</v>
      </c>
      <c r="D6" s="9">
        <v>1.215831995010376</v>
      </c>
      <c r="E6" s="9">
        <v>0.12477210164070129</v>
      </c>
      <c r="F6" s="9">
        <v>4.8020000457763672</v>
      </c>
      <c r="G6" s="9">
        <v>1.2875249609351158E-2</v>
      </c>
      <c r="H6" s="9">
        <v>2.5983361527323723E-2</v>
      </c>
      <c r="I6">
        <v>1.9531999714672565E-3</v>
      </c>
      <c r="J6"/>
    </row>
    <row r="7" spans="1:10" ht="15" customHeight="1" x14ac:dyDescent="0.15">
      <c r="A7" s="150">
        <v>6</v>
      </c>
      <c r="B7" s="150" t="s">
        <v>198</v>
      </c>
      <c r="C7" s="8">
        <v>3.2923500537872314</v>
      </c>
      <c r="D7" s="9">
        <v>0.17018939554691315</v>
      </c>
      <c r="E7" s="9">
        <v>0.33575031161308289</v>
      </c>
      <c r="F7" s="9">
        <v>4.5900001525878906</v>
      </c>
      <c r="G7" s="9">
        <v>0.49286586046218872</v>
      </c>
      <c r="H7" s="9">
        <v>7.3148213326931E-2</v>
      </c>
      <c r="I7">
        <v>2.9000000722589903E-5</v>
      </c>
      <c r="J7"/>
    </row>
    <row r="8" spans="1:10" ht="15" customHeight="1" x14ac:dyDescent="0.15">
      <c r="A8" s="151">
        <v>7</v>
      </c>
      <c r="B8" s="151" t="s">
        <v>199</v>
      </c>
      <c r="C8" s="8">
        <v>3.3609545230865479</v>
      </c>
      <c r="D8" s="9">
        <v>0.76403027772903442</v>
      </c>
      <c r="E8" s="9">
        <v>0.61331272125244141</v>
      </c>
      <c r="F8" s="9">
        <v>4.8579998016357422</v>
      </c>
      <c r="G8" s="9">
        <v>6.5863192081451416E-2</v>
      </c>
      <c r="H8" s="9">
        <v>0.12624798715114594</v>
      </c>
      <c r="I8">
        <v>3.2287999056279659E-3</v>
      </c>
      <c r="J8"/>
    </row>
    <row r="9" spans="1:10" ht="15" customHeight="1" x14ac:dyDescent="0.15">
      <c r="A9" s="152">
        <v>8</v>
      </c>
      <c r="B9" s="152" t="s">
        <v>200</v>
      </c>
      <c r="C9" s="8">
        <v>4.1812114715576172</v>
      </c>
      <c r="D9" s="9">
        <v>9.2509299516677856E-2</v>
      </c>
      <c r="E9" s="9">
        <v>6.2151789665222168E-2</v>
      </c>
      <c r="F9" s="9">
        <v>1.6150000095367432</v>
      </c>
      <c r="G9" s="9">
        <v>0.46754249930381775</v>
      </c>
      <c r="H9" s="9">
        <v>3.8484081625938416E-2</v>
      </c>
      <c r="I9">
        <v>1.2430000060703605E-4</v>
      </c>
      <c r="J9"/>
    </row>
    <row r="10" spans="1:10" ht="15" customHeight="1" x14ac:dyDescent="0.15">
      <c r="A10" s="153">
        <v>9</v>
      </c>
      <c r="B10" s="153" t="s">
        <v>201</v>
      </c>
      <c r="C10" s="8">
        <v>3.240098237991333</v>
      </c>
      <c r="D10" s="9">
        <v>0.14623700082302094</v>
      </c>
      <c r="E10" s="9">
        <v>1.0136799812316895</v>
      </c>
      <c r="F10" s="9">
        <v>7.8569998741149902</v>
      </c>
      <c r="G10" s="9">
        <v>0.57345122098922729</v>
      </c>
      <c r="H10" s="9">
        <v>0.12901616096496582</v>
      </c>
      <c r="I10">
        <v>4.3779998668469489E-4</v>
      </c>
      <c r="J10"/>
    </row>
    <row r="11" spans="1:10" ht="15" customHeight="1" x14ac:dyDescent="0.15">
      <c r="A11" s="154">
        <v>10</v>
      </c>
      <c r="B11" s="154" t="s">
        <v>202</v>
      </c>
      <c r="C11" s="8">
        <v>3.0080339908599854</v>
      </c>
      <c r="D11" s="9">
        <v>0.24112330377101898</v>
      </c>
      <c r="E11" s="9">
        <v>0.68123048543930054</v>
      </c>
      <c r="F11" s="9">
        <v>4.8369998931884766</v>
      </c>
      <c r="G11" s="9">
        <v>0.26212608814239502</v>
      </c>
      <c r="H11" s="9">
        <v>0.1408374011516571</v>
      </c>
      <c r="I11">
        <v>0</v>
      </c>
      <c r="J11"/>
    </row>
    <row r="12" spans="1:10" ht="15" customHeight="1" x14ac:dyDescent="0.15">
      <c r="A12" s="155">
        <v>11</v>
      </c>
      <c r="B12" s="155" t="s">
        <v>203</v>
      </c>
      <c r="C12" s="8">
        <v>3.7204897403717041</v>
      </c>
      <c r="D12" s="9">
        <v>0.22972109913825989</v>
      </c>
      <c r="E12" s="9">
        <v>0.18471409380435944</v>
      </c>
      <c r="F12" s="9">
        <v>3.1500000953674316</v>
      </c>
      <c r="G12" s="9">
        <v>0.89696311950683594</v>
      </c>
      <c r="H12" s="9">
        <v>5.8639392256736755E-2</v>
      </c>
      <c r="I12">
        <v>2.288329997099936E-4</v>
      </c>
      <c r="J12"/>
    </row>
    <row r="13" spans="1:10" ht="15" customHeight="1" x14ac:dyDescent="0.15">
      <c r="A13" s="156">
        <v>12</v>
      </c>
      <c r="B13" s="156" t="s">
        <v>204</v>
      </c>
      <c r="C13" s="8">
        <v>3.5616512298583984</v>
      </c>
      <c r="D13" s="9">
        <v>0.12185700237751007</v>
      </c>
      <c r="E13" s="9">
        <v>0.19269870221614838</v>
      </c>
      <c r="F13" s="9">
        <v>3.9509999752044678</v>
      </c>
      <c r="G13" s="9">
        <v>0.11462709307670593</v>
      </c>
      <c r="H13" s="9">
        <v>4.8772133886814117E-2</v>
      </c>
      <c r="I13">
        <v>8.0580000940244645E-5</v>
      </c>
      <c r="J13"/>
    </row>
    <row r="14" spans="1:10" ht="15" customHeight="1" x14ac:dyDescent="0.15">
      <c r="A14" s="157">
        <v>13</v>
      </c>
      <c r="B14" s="157" t="s">
        <v>205</v>
      </c>
      <c r="C14" s="8">
        <v>3.1242363452911377</v>
      </c>
      <c r="D14" s="9">
        <v>0.60840719938278198</v>
      </c>
      <c r="E14" s="9">
        <v>0.98100000619888306</v>
      </c>
      <c r="F14" s="9">
        <v>12.131999969482422</v>
      </c>
      <c r="G14" s="9">
        <v>0.90000009536743164</v>
      </c>
      <c r="H14" s="9">
        <v>8.0860532820224762E-2</v>
      </c>
      <c r="I14">
        <v>0</v>
      </c>
      <c r="J14"/>
    </row>
    <row r="15" spans="1:10" ht="15" customHeight="1" x14ac:dyDescent="0.15">
      <c r="A15" s="158">
        <v>14</v>
      </c>
      <c r="B15" s="158" t="s">
        <v>206</v>
      </c>
      <c r="C15" s="8">
        <v>2.1842424869537354</v>
      </c>
      <c r="D15" s="9">
        <v>1.8918920308351517E-2</v>
      </c>
      <c r="E15" s="9">
        <v>0.30000001192092896</v>
      </c>
      <c r="F15" s="9">
        <v>6.4039998054504395</v>
      </c>
      <c r="G15" s="9">
        <v>0.45682856440544128</v>
      </c>
      <c r="H15" s="9">
        <v>4.6845722943544388E-2</v>
      </c>
      <c r="I15">
        <v>0</v>
      </c>
      <c r="J15"/>
    </row>
    <row r="16" spans="1:10" ht="15" customHeight="1" x14ac:dyDescent="0.15">
      <c r="A16" s="159">
        <v>15</v>
      </c>
      <c r="B16" s="159" t="s">
        <v>207</v>
      </c>
      <c r="C16" s="8">
        <v>3.6828916072845459</v>
      </c>
      <c r="D16" s="9">
        <v>6.1187488026916981E-3</v>
      </c>
      <c r="E16" s="9">
        <v>1.6799999475479126</v>
      </c>
      <c r="F16" s="9">
        <v>12.772000312805176</v>
      </c>
      <c r="G16" s="9">
        <v>0.76494491100311279</v>
      </c>
      <c r="H16" s="9">
        <v>0.13153773546218872</v>
      </c>
      <c r="I16">
        <v>0</v>
      </c>
      <c r="J16"/>
    </row>
    <row r="17" spans="1:10" ht="15" customHeight="1" x14ac:dyDescent="0.15">
      <c r="A17" s="160">
        <v>16</v>
      </c>
      <c r="B17" s="160" t="s">
        <v>208</v>
      </c>
      <c r="C17" s="8">
        <v>3.1681058406829834</v>
      </c>
      <c r="D17" s="9">
        <v>1.2931702136993408</v>
      </c>
      <c r="E17" s="9">
        <v>1.2200000286102295</v>
      </c>
      <c r="F17" s="9">
        <v>8.3299999237060547</v>
      </c>
      <c r="G17" s="9">
        <v>0.90000057220458984</v>
      </c>
      <c r="H17" s="9">
        <v>0.14645858108997345</v>
      </c>
      <c r="I17">
        <v>0</v>
      </c>
      <c r="J17"/>
    </row>
    <row r="18" spans="1:10" ht="15" customHeight="1" x14ac:dyDescent="0.15">
      <c r="A18" s="161">
        <v>17</v>
      </c>
      <c r="B18" s="161" t="s">
        <v>209</v>
      </c>
      <c r="C18" s="8">
        <v>2.9022307395935059</v>
      </c>
      <c r="D18" s="9">
        <v>0.5043189525604248</v>
      </c>
      <c r="E18" s="9">
        <v>1.5</v>
      </c>
      <c r="F18" s="9">
        <v>10</v>
      </c>
      <c r="G18" s="9">
        <v>0.89999997615814209</v>
      </c>
      <c r="H18" s="9">
        <v>0.15000000596046448</v>
      </c>
      <c r="I18">
        <v>1.8349599093198776E-2</v>
      </c>
      <c r="J18"/>
    </row>
    <row r="19" spans="1:10" ht="15" customHeight="1" x14ac:dyDescent="0.15">
      <c r="A19" s="162">
        <v>18</v>
      </c>
      <c r="B19" s="162" t="s">
        <v>210</v>
      </c>
      <c r="C19" s="8">
        <v>2.1750059127807617</v>
      </c>
      <c r="D19" s="9">
        <v>0.27838760614395142</v>
      </c>
      <c r="E19" s="9">
        <v>0.23000000417232513</v>
      </c>
      <c r="F19" s="9">
        <v>3.630000114440918</v>
      </c>
      <c r="G19" s="9">
        <v>0.79827147722244263</v>
      </c>
      <c r="H19" s="9">
        <v>6.3360877335071564E-2</v>
      </c>
      <c r="I19">
        <v>0</v>
      </c>
      <c r="J19"/>
    </row>
    <row r="20" spans="1:10" ht="15" customHeight="1" x14ac:dyDescent="0.15">
      <c r="A20" s="163">
        <v>19</v>
      </c>
      <c r="B20" s="163" t="s">
        <v>211</v>
      </c>
      <c r="C20" s="8">
        <v>2.1624999046325684</v>
      </c>
      <c r="D20" s="9">
        <v>13.133000373840332</v>
      </c>
      <c r="E20" s="9">
        <v>1.5099999904632568</v>
      </c>
      <c r="F20" s="9">
        <v>10.069999694824219</v>
      </c>
      <c r="G20" s="9">
        <v>0.3038783073425293</v>
      </c>
      <c r="H20" s="9">
        <v>0.14995035529136658</v>
      </c>
      <c r="I20">
        <v>0</v>
      </c>
      <c r="J20"/>
    </row>
    <row r="21" spans="1:10" ht="15" customHeight="1" x14ac:dyDescent="0.15">
      <c r="A21" s="164">
        <v>20</v>
      </c>
      <c r="B21" s="164" t="s">
        <v>212</v>
      </c>
      <c r="C21" s="8">
        <v>2.2194998264312744</v>
      </c>
      <c r="D21" s="9">
        <v>0.45148670673370361</v>
      </c>
      <c r="E21" s="9">
        <v>0.55000001192092896</v>
      </c>
      <c r="F21" s="9">
        <v>2.880000114440918</v>
      </c>
      <c r="G21" s="9">
        <v>0.97234940528869629</v>
      </c>
      <c r="H21" s="9">
        <v>0.1909722238779068</v>
      </c>
      <c r="I21">
        <v>0</v>
      </c>
      <c r="J21"/>
    </row>
    <row r="22" spans="1:10" ht="15" customHeight="1" x14ac:dyDescent="0.15">
      <c r="A22" s="165">
        <v>21</v>
      </c>
      <c r="B22" s="165" t="s">
        <v>213</v>
      </c>
      <c r="C22" s="8">
        <v>3.1991786956787109</v>
      </c>
      <c r="D22" s="9">
        <v>0.71002048254013062</v>
      </c>
      <c r="E22" s="9">
        <v>1</v>
      </c>
      <c r="F22" s="9">
        <v>6.6700000762939453</v>
      </c>
      <c r="G22" s="9">
        <v>0.90633499622344971</v>
      </c>
      <c r="H22" s="9">
        <v>0.14992503821849823</v>
      </c>
      <c r="I22">
        <v>0</v>
      </c>
      <c r="J22"/>
    </row>
    <row r="23" spans="1:10" ht="15" customHeight="1" x14ac:dyDescent="0.15">
      <c r="A23" s="166">
        <v>22</v>
      </c>
      <c r="B23" s="166" t="s">
        <v>214</v>
      </c>
      <c r="C23" s="8">
        <v>2.1650011539459229</v>
      </c>
      <c r="D23" s="9">
        <v>4.8153800964355469</v>
      </c>
      <c r="E23" s="9">
        <v>0.23000000417232513</v>
      </c>
      <c r="F23" s="9">
        <v>2.880000114440918</v>
      </c>
      <c r="G23" s="9">
        <v>4.4109303504228592E-2</v>
      </c>
      <c r="H23" s="9">
        <v>7.98611119389534E-2</v>
      </c>
      <c r="I23">
        <v>0</v>
      </c>
      <c r="J23"/>
    </row>
    <row r="24" spans="1:10" ht="15" customHeight="1" x14ac:dyDescent="0.15">
      <c r="A24" s="167">
        <v>23</v>
      </c>
      <c r="B24" s="167" t="s">
        <v>215</v>
      </c>
      <c r="C24" s="8">
        <v>3.1332392692565918</v>
      </c>
      <c r="D24" s="9">
        <v>3.2352941036224365</v>
      </c>
      <c r="E24" s="9">
        <v>6.5</v>
      </c>
      <c r="F24" s="9">
        <v>23.5</v>
      </c>
      <c r="G24" s="9">
        <v>0.10846153646707535</v>
      </c>
      <c r="H24" s="9">
        <v>0.27659574151039124</v>
      </c>
      <c r="I24">
        <v>0</v>
      </c>
      <c r="J24"/>
    </row>
    <row r="25" spans="1:10" ht="15" customHeight="1" x14ac:dyDescent="0.15">
      <c r="A25" s="168">
        <v>24</v>
      </c>
      <c r="B25" s="168" t="s">
        <v>216</v>
      </c>
      <c r="C25" s="8">
        <v>2.3860819339752197</v>
      </c>
      <c r="D25" s="9">
        <v>10.616669654846191</v>
      </c>
      <c r="E25" s="9">
        <v>1.25</v>
      </c>
      <c r="F25" s="9">
        <v>16.799999237060547</v>
      </c>
      <c r="G25" s="9">
        <v>0.50239068269729614</v>
      </c>
      <c r="H25" s="9">
        <v>7.4404768645763397E-2</v>
      </c>
      <c r="I25">
        <v>0</v>
      </c>
      <c r="J25"/>
    </row>
    <row r="26" spans="1:10" ht="15" customHeight="1" x14ac:dyDescent="0.15">
      <c r="A26" s="169">
        <v>25</v>
      </c>
      <c r="B26" s="169" t="s">
        <v>217</v>
      </c>
      <c r="C26" s="8">
        <v>2.1655242443084717</v>
      </c>
      <c r="D26" s="9">
        <v>11.149999618530273</v>
      </c>
      <c r="E26" s="9">
        <v>2.5</v>
      </c>
      <c r="F26" s="9">
        <v>16.700000762939453</v>
      </c>
      <c r="G26" s="9">
        <v>0.43202990293502808</v>
      </c>
      <c r="H26" s="9">
        <v>0.1497005969285965</v>
      </c>
      <c r="I26">
        <v>0</v>
      </c>
      <c r="J26"/>
    </row>
    <row r="27" spans="1:10" ht="15" customHeight="1" x14ac:dyDescent="0.15">
      <c r="A27" s="170">
        <v>26</v>
      </c>
      <c r="B27" s="170" t="s">
        <v>218</v>
      </c>
      <c r="C27" s="8">
        <v>2.3042347431182861</v>
      </c>
      <c r="D27" s="9">
        <v>20</v>
      </c>
      <c r="E27" s="9">
        <v>6.5</v>
      </c>
      <c r="F27" s="9">
        <v>26</v>
      </c>
      <c r="G27" s="9">
        <v>0.77788561582565308</v>
      </c>
      <c r="H27" s="9">
        <v>0.25</v>
      </c>
      <c r="I27">
        <v>0</v>
      </c>
      <c r="J27"/>
    </row>
    <row r="28" spans="1:10" ht="15" customHeight="1" x14ac:dyDescent="0.15">
      <c r="A28" s="171">
        <v>27</v>
      </c>
      <c r="B28" s="171" t="s">
        <v>219</v>
      </c>
      <c r="C28" s="8">
        <v>2.1449999809265137</v>
      </c>
      <c r="D28" s="9">
        <v>4.1999998092651367</v>
      </c>
      <c r="E28" s="9">
        <v>36.5</v>
      </c>
      <c r="F28" s="9">
        <v>121.69999694824219</v>
      </c>
      <c r="G28" s="9">
        <v>0.89527601003646851</v>
      </c>
      <c r="H28" s="9">
        <v>0.29991784691810608</v>
      </c>
      <c r="I28">
        <v>0</v>
      </c>
      <c r="J28"/>
    </row>
    <row r="29" spans="1:10" ht="15" customHeight="1" x14ac:dyDescent="0.15">
      <c r="A29" s="172">
        <v>28</v>
      </c>
      <c r="B29" s="172" t="s">
        <v>220</v>
      </c>
      <c r="C29" s="8">
        <v>2.2506117820739746</v>
      </c>
      <c r="D29" s="9">
        <v>0.24976089596748352</v>
      </c>
      <c r="E29" s="9">
        <v>1.309999942779541</v>
      </c>
      <c r="F29" s="9">
        <v>8.7299995422363281</v>
      </c>
      <c r="G29" s="9">
        <v>0.92995834350585938</v>
      </c>
      <c r="H29" s="9">
        <v>0.15005727112293243</v>
      </c>
      <c r="I29">
        <v>0</v>
      </c>
      <c r="J29"/>
    </row>
    <row r="30" spans="1:10" ht="15" customHeight="1" x14ac:dyDescent="0.15">
      <c r="A30" s="173">
        <v>29</v>
      </c>
      <c r="B30" s="173" t="s">
        <v>221</v>
      </c>
      <c r="C30" s="8">
        <v>2.25</v>
      </c>
      <c r="D30" s="9">
        <v>1.1424829959869385</v>
      </c>
      <c r="E30" s="9">
        <v>10.640000343322754</v>
      </c>
      <c r="F30" s="9">
        <v>42.560001373291016</v>
      </c>
      <c r="G30" s="9">
        <v>0.63688069581985474</v>
      </c>
      <c r="H30" s="9">
        <v>0.25</v>
      </c>
      <c r="I30">
        <v>0</v>
      </c>
      <c r="J30"/>
    </row>
    <row r="31" spans="1:10" ht="15" customHeight="1" x14ac:dyDescent="0.15">
      <c r="A31" s="174">
        <v>30</v>
      </c>
      <c r="B31" s="174" t="s">
        <v>222</v>
      </c>
      <c r="C31" s="8">
        <v>2</v>
      </c>
      <c r="D31" s="9">
        <v>1.8037745952606201</v>
      </c>
      <c r="E31" s="9">
        <v>143</v>
      </c>
      <c r="F31" s="9">
        <v>340.5</v>
      </c>
      <c r="G31" s="9">
        <v>0.90000033378601074</v>
      </c>
      <c r="H31" s="9">
        <v>0.41997063159942627</v>
      </c>
      <c r="I31">
        <v>0</v>
      </c>
      <c r="J31"/>
    </row>
    <row r="32" spans="1:10" ht="15" customHeight="1" x14ac:dyDescent="0.15">
      <c r="A32" s="202">
        <v>31</v>
      </c>
      <c r="B32" s="202" t="s">
        <v>223</v>
      </c>
      <c r="C32" s="8">
        <v>1</v>
      </c>
      <c r="D32" s="9">
        <v>18</v>
      </c>
      <c r="E32" s="9">
        <v>65</v>
      </c>
      <c r="F32" s="10"/>
      <c r="G32" s="9">
        <v>0.58647447824478149</v>
      </c>
      <c r="H32" s="10"/>
      <c r="I32">
        <v>0</v>
      </c>
      <c r="J32"/>
    </row>
    <row r="33" spans="1:10" ht="15" customHeight="1" x14ac:dyDescent="0.15">
      <c r="A33" s="203">
        <v>32</v>
      </c>
      <c r="B33" s="203" t="s">
        <v>224</v>
      </c>
      <c r="C33" s="8">
        <v>2.9000000953674316</v>
      </c>
      <c r="D33" s="9">
        <v>1.6380000114440918</v>
      </c>
      <c r="E33" s="9">
        <v>36.5</v>
      </c>
      <c r="F33" s="9">
        <v>121.66999816894531</v>
      </c>
      <c r="G33" s="9">
        <v>0.94580703973770142</v>
      </c>
      <c r="H33" s="9">
        <v>0.29999178647994995</v>
      </c>
      <c r="I33">
        <v>0</v>
      </c>
      <c r="J33"/>
    </row>
    <row r="34" spans="1:10" ht="15" customHeight="1" x14ac:dyDescent="0.15">
      <c r="A34" s="204">
        <v>33</v>
      </c>
      <c r="B34" s="204" t="s">
        <v>225</v>
      </c>
      <c r="C34" s="8">
        <v>1</v>
      </c>
      <c r="D34" s="9">
        <v>122.30000305175781</v>
      </c>
      <c r="E34" s="10"/>
      <c r="F34" s="10"/>
      <c r="G34" s="9">
        <v>0.56368499994277954</v>
      </c>
      <c r="H34" s="10"/>
      <c r="I34">
        <v>0</v>
      </c>
      <c r="J34"/>
    </row>
    <row r="35" spans="1:10" ht="15" customHeight="1" x14ac:dyDescent="0.15">
      <c r="A35" s="205">
        <v>34</v>
      </c>
      <c r="B35" s="205" t="s">
        <v>226</v>
      </c>
      <c r="C35" s="8">
        <v>1</v>
      </c>
      <c r="D35" s="9">
        <v>1.0470000505447388</v>
      </c>
      <c r="E35" s="10"/>
      <c r="F35" s="10"/>
      <c r="G35" s="9">
        <v>0.78209030628204346</v>
      </c>
      <c r="H35" s="10"/>
      <c r="I35">
        <v>0</v>
      </c>
      <c r="J35"/>
    </row>
    <row r="36" spans="1:10" ht="15" customHeight="1" x14ac:dyDescent="0.15">
      <c r="A36" s="206">
        <v>35</v>
      </c>
      <c r="B36" s="206" t="s">
        <v>227</v>
      </c>
      <c r="C36" s="8">
        <v>1</v>
      </c>
      <c r="D36" s="9">
        <v>22</v>
      </c>
      <c r="E36" s="10"/>
      <c r="F36" s="10"/>
      <c r="G36" s="9">
        <v>0.54966235160827637</v>
      </c>
      <c r="H36" s="10"/>
      <c r="I36">
        <v>0</v>
      </c>
      <c r="J36"/>
    </row>
    <row r="37" spans="1:10" ht="15" customHeight="1" x14ac:dyDescent="0.15">
      <c r="A37" s="207">
        <v>36</v>
      </c>
      <c r="B37" s="207" t="s">
        <v>228</v>
      </c>
      <c r="C37" s="8">
        <v>1</v>
      </c>
      <c r="D37" s="9">
        <v>67</v>
      </c>
      <c r="E37" s="10"/>
      <c r="F37" s="10"/>
      <c r="G37" s="7">
        <v>0.80431205034255981</v>
      </c>
      <c r="H37" s="10"/>
      <c r="I37">
        <v>0</v>
      </c>
      <c r="J37"/>
    </row>
    <row r="38" spans="1:10" ht="15" customHeight="1" x14ac:dyDescent="0.15">
      <c r="A38" s="208">
        <v>37</v>
      </c>
      <c r="B38" s="208" t="s">
        <v>229</v>
      </c>
      <c r="C38" s="8">
        <v>4.8230195045471191</v>
      </c>
      <c r="D38" s="10"/>
      <c r="E38" s="10"/>
      <c r="F38" s="10"/>
      <c r="G38" s="10"/>
      <c r="H38" s="10"/>
      <c r="I38">
        <v>4.3371302308514714E-4</v>
      </c>
      <c r="J38"/>
    </row>
    <row r="39" spans="1:10" ht="15" customHeight="1" x14ac:dyDescent="0.15">
      <c r="A39" s="209">
        <v>38</v>
      </c>
      <c r="B39" s="209" t="s">
        <v>230</v>
      </c>
      <c r="C39" s="8">
        <v>4.016869068145752</v>
      </c>
      <c r="D39" s="10"/>
      <c r="E39" s="10"/>
      <c r="F39" s="10"/>
      <c r="G39" s="10"/>
      <c r="H39" s="10"/>
      <c r="I39">
        <v>2.4022798985242844E-2</v>
      </c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1" bestFit="1" customWidth="1"/>
    <col min="2" max="4" width="9.5" style="81" bestFit="1" customWidth="1"/>
    <col min="5" max="7" width="9" style="81" bestFit="1" customWidth="1"/>
    <col min="8" max="16" width="12.6640625" style="81" bestFit="1" customWidth="1"/>
    <col min="17" max="17" width="12.33203125" style="81" bestFit="1" customWidth="1"/>
    <col min="18" max="18" width="8.83203125" style="81"/>
    <col min="19" max="21" width="9.33203125" style="81" bestFit="1" customWidth="1"/>
    <col min="22" max="23" width="8.83203125" style="81"/>
    <col min="24" max="24" width="9.33203125" style="81" bestFit="1" customWidth="1"/>
    <col min="25" max="27" width="8.83203125" style="81"/>
    <col min="28" max="58" width="9" style="81" bestFit="1" customWidth="1"/>
    <col min="59" max="59" width="12.33203125" style="81" bestFit="1" customWidth="1"/>
    <col min="60" max="60" width="9" style="81" bestFit="1" customWidth="1"/>
    <col min="61" max="61" width="11.33203125" style="81" bestFit="1" customWidth="1"/>
    <col min="62" max="77" width="9" style="81" bestFit="1" customWidth="1"/>
    <col min="78" max="78" width="12.33203125" style="81" bestFit="1" customWidth="1"/>
    <col min="79" max="79" width="9" style="81" bestFit="1" customWidth="1"/>
    <col min="80" max="80" width="12.33203125" style="81" bestFit="1" customWidth="1"/>
    <col min="81" max="107" width="9" style="81" bestFit="1" customWidth="1"/>
    <col min="108" max="108" width="11.33203125" style="81" bestFit="1" customWidth="1"/>
    <col min="109" max="124" width="9" style="81" bestFit="1" customWidth="1"/>
    <col min="125" max="125" width="10.33203125" style="81" bestFit="1" customWidth="1"/>
    <col min="126" max="129" width="9.33203125" style="81" bestFit="1" customWidth="1"/>
    <col min="130" max="130" width="9" style="81" bestFit="1" customWidth="1"/>
    <col min="131" max="134" width="9.33203125" style="81" bestFit="1" customWidth="1"/>
    <col min="135" max="165" width="9" style="81" bestFit="1" customWidth="1"/>
    <col min="166" max="166" width="12.33203125" style="81" bestFit="1" customWidth="1"/>
    <col min="167" max="170" width="9" style="81" bestFit="1" customWidth="1"/>
    <col min="171" max="176" width="8.83203125" style="81"/>
    <col min="177" max="177" width="13.83203125" style="81" bestFit="1" customWidth="1"/>
    <col min="178" max="16384" width="8.83203125" style="81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235</v>
      </c>
      <c r="E1" t="s">
        <v>236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 t="s">
        <v>217</v>
      </c>
      <c r="AE1" t="s">
        <v>218</v>
      </c>
      <c r="AF1" t="s">
        <v>219</v>
      </c>
      <c r="AG1" t="s">
        <v>220</v>
      </c>
      <c r="AH1" t="s">
        <v>221</v>
      </c>
      <c r="AI1" t="s">
        <v>222</v>
      </c>
      <c r="AJ1" t="s">
        <v>223</v>
      </c>
      <c r="AK1" t="s">
        <v>224</v>
      </c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193</v>
      </c>
      <c r="B2">
        <v>7.0000000298023224E-2</v>
      </c>
      <c r="C2">
        <v>7.0000000298023224E-2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194</v>
      </c>
      <c r="B3">
        <v>0.11760000139474869</v>
      </c>
      <c r="C3">
        <v>0.11760000139474869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195</v>
      </c>
      <c r="B4">
        <v>0.11478040367364883</v>
      </c>
      <c r="C4">
        <v>0.11472161114215851</v>
      </c>
      <c r="D4"/>
      <c r="E4" s="11">
        <v>5.8794194046640769E-5</v>
      </c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196</v>
      </c>
      <c r="B5">
        <v>0.23187260329723358</v>
      </c>
      <c r="C5">
        <v>0.23163788020610809</v>
      </c>
      <c r="D5"/>
      <c r="E5" s="14">
        <v>2.3472614702768624E-4</v>
      </c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197</v>
      </c>
      <c r="B6">
        <v>0.12477210164070129</v>
      </c>
      <c r="C6">
        <v>0.12316562980413437</v>
      </c>
      <c r="D6"/>
      <c r="E6" s="17">
        <v>1.6064719529822469E-3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198</v>
      </c>
      <c r="B7">
        <v>0.33575031161308289</v>
      </c>
      <c r="C7">
        <v>0.17027044296264648</v>
      </c>
      <c r="D7"/>
      <c r="E7" s="11">
        <v>1.7039840167853981E-4</v>
      </c>
      <c r="F7" s="213">
        <v>1.3123263604938984E-2</v>
      </c>
      <c r="G7" s="221">
        <v>0.14384658634662628</v>
      </c>
      <c r="H7"/>
      <c r="I7"/>
      <c r="J7"/>
      <c r="K7"/>
      <c r="L7"/>
      <c r="M7" s="21">
        <v>6.511396262794733E-3</v>
      </c>
      <c r="N7"/>
      <c r="O7"/>
      <c r="P7" s="23">
        <v>1.8282084492966533E-3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199</v>
      </c>
      <c r="B8">
        <v>0.61331272125244141</v>
      </c>
      <c r="C8">
        <v>0.57291799783706665</v>
      </c>
      <c r="D8"/>
      <c r="E8" s="22">
        <v>4.2260102927684784E-3</v>
      </c>
      <c r="F8" s="12">
        <v>2.923235297203064E-3</v>
      </c>
      <c r="G8" s="222">
        <v>3.2042138278484344E-2</v>
      </c>
      <c r="H8"/>
      <c r="I8"/>
      <c r="J8"/>
      <c r="K8"/>
      <c r="L8"/>
      <c r="M8"/>
      <c r="N8"/>
      <c r="O8"/>
      <c r="P8"/>
      <c r="Q8"/>
      <c r="R8"/>
      <c r="S8"/>
      <c r="T8" s="14">
        <v>1.2033500242978334E-3</v>
      </c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200</v>
      </c>
      <c r="B9">
        <v>6.2151789665222168E-2</v>
      </c>
      <c r="C9">
        <v>3.309318795800209E-2</v>
      </c>
      <c r="D9" s="63">
        <v>1.3436487643048167E-3</v>
      </c>
      <c r="E9"/>
      <c r="F9" s="106">
        <v>1.2071436271071434E-2</v>
      </c>
      <c r="G9"/>
      <c r="H9"/>
      <c r="I9"/>
      <c r="J9"/>
      <c r="K9"/>
      <c r="L9"/>
      <c r="M9"/>
      <c r="N9"/>
      <c r="O9"/>
      <c r="P9" s="144">
        <v>1.5643518418073654E-2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201</v>
      </c>
      <c r="B10">
        <v>1.0136799812316895</v>
      </c>
      <c r="C10">
        <v>0.4323839545249939</v>
      </c>
      <c r="D10"/>
      <c r="E10" s="12">
        <v>2.9937701765447855E-3</v>
      </c>
      <c r="F10" s="16">
        <v>1.5272743999958038E-2</v>
      </c>
      <c r="G10"/>
      <c r="H10"/>
      <c r="I10"/>
      <c r="J10"/>
      <c r="K10"/>
      <c r="L10"/>
      <c r="M10" s="229">
        <v>0.4179847240447998</v>
      </c>
      <c r="N10" s="72">
        <v>7.8570008277893066E-2</v>
      </c>
      <c r="O10"/>
      <c r="P10"/>
      <c r="Q10" s="74">
        <v>6.5846122801303864E-2</v>
      </c>
      <c r="R10"/>
      <c r="S10"/>
      <c r="T10" s="11">
        <v>6.2870286637917161E-4</v>
      </c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202</v>
      </c>
      <c r="B11">
        <v>0.68123048543930054</v>
      </c>
      <c r="C11">
        <v>0.50266218185424805</v>
      </c>
      <c r="D11"/>
      <c r="E11"/>
      <c r="F11"/>
      <c r="G11"/>
      <c r="H11"/>
      <c r="I11"/>
      <c r="J11"/>
      <c r="K11"/>
      <c r="L11"/>
      <c r="M11" s="227">
        <v>0.17721788585186005</v>
      </c>
      <c r="N11"/>
      <c r="O11"/>
      <c r="P11" s="14">
        <v>1.350402133539319E-3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203</v>
      </c>
      <c r="B12">
        <v>0.18471409380435944</v>
      </c>
      <c r="C12">
        <v>1.9032364711165428E-2</v>
      </c>
      <c r="D12" s="23">
        <v>9.9613401107490063E-4</v>
      </c>
      <c r="E12"/>
      <c r="F12" s="223">
        <v>0.11666878312826157</v>
      </c>
      <c r="G12"/>
      <c r="H12"/>
      <c r="I12"/>
      <c r="J12"/>
      <c r="K12"/>
      <c r="L12"/>
      <c r="M12" s="218">
        <v>4.7701828181743622E-2</v>
      </c>
      <c r="N12"/>
      <c r="O12"/>
      <c r="P12" s="14">
        <v>3.1498429598286748E-4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204</v>
      </c>
      <c r="B13">
        <v>0.19269870221614838</v>
      </c>
      <c r="C13">
        <v>0.1706102043390274</v>
      </c>
      <c r="D13" s="12">
        <v>6.612669094465673E-4</v>
      </c>
      <c r="E13"/>
      <c r="F13" s="28">
        <v>9.1641852632164955E-3</v>
      </c>
      <c r="G13"/>
      <c r="H13"/>
      <c r="I13"/>
      <c r="J13"/>
      <c r="K13"/>
      <c r="L13"/>
      <c r="M13" s="65">
        <v>1.2263038195669651E-2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205</v>
      </c>
      <c r="B14">
        <v>0.98100000619888306</v>
      </c>
      <c r="C14">
        <v>9.8099909722805023E-2</v>
      </c>
      <c r="D14"/>
      <c r="E14"/>
      <c r="F14"/>
      <c r="G14"/>
      <c r="H14"/>
      <c r="I14"/>
      <c r="J14"/>
      <c r="K14"/>
      <c r="L14" s="235">
        <v>0.30512231588363647</v>
      </c>
      <c r="M14"/>
      <c r="N14"/>
      <c r="O14"/>
      <c r="P14" s="13">
        <v>3.5679329186677933E-2</v>
      </c>
      <c r="Q14" s="22">
        <v>7.9134004190564156E-3</v>
      </c>
      <c r="R14"/>
      <c r="S14"/>
      <c r="T14" s="12">
        <v>3.0223045032471418E-3</v>
      </c>
      <c r="U14" s="237">
        <v>0.53116267919540405</v>
      </c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206</v>
      </c>
      <c r="B15">
        <v>0.30000001192092896</v>
      </c>
      <c r="C15">
        <v>0.16295143961906433</v>
      </c>
      <c r="D15"/>
      <c r="E15"/>
      <c r="F15"/>
      <c r="G15"/>
      <c r="H15"/>
      <c r="I15"/>
      <c r="J15"/>
      <c r="K15"/>
      <c r="L15"/>
      <c r="M15" s="214">
        <v>0.13666610419750214</v>
      </c>
      <c r="N15"/>
      <c r="O15"/>
      <c r="P15" s="14">
        <v>3.8246650365181267E-4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207</v>
      </c>
      <c r="B16">
        <v>1.6799999475479126</v>
      </c>
      <c r="C16">
        <v>0.39489254355430603</v>
      </c>
      <c r="D16"/>
      <c r="E16"/>
      <c r="F16"/>
      <c r="G16"/>
      <c r="H16"/>
      <c r="I16"/>
      <c r="J16"/>
      <c r="K16"/>
      <c r="L16"/>
      <c r="M16" s="212">
        <v>0.3282630443572998</v>
      </c>
      <c r="N16"/>
      <c r="O16"/>
      <c r="P16" s="215">
        <v>0.6563267707824707</v>
      </c>
      <c r="Q16"/>
      <c r="R16"/>
      <c r="S16"/>
      <c r="T16" s="211">
        <v>0.30051761865615845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208</v>
      </c>
      <c r="B17">
        <v>1.2200000286102295</v>
      </c>
      <c r="C17">
        <v>0.12199930846691132</v>
      </c>
      <c r="D17"/>
      <c r="E17"/>
      <c r="F17"/>
      <c r="G17" s="22">
        <v>9.4655612483620644E-3</v>
      </c>
      <c r="H17" s="12">
        <v>5.0688600167632103E-3</v>
      </c>
      <c r="I17" s="234">
        <v>0.13869424164295197</v>
      </c>
      <c r="J17" s="75">
        <v>0.27088892459869385</v>
      </c>
      <c r="K17"/>
      <c r="L17"/>
      <c r="M17"/>
      <c r="N17" s="14">
        <v>1.7770037520676851E-3</v>
      </c>
      <c r="O17"/>
      <c r="P17" s="230">
        <v>0.17345857620239258</v>
      </c>
      <c r="Q17" s="64">
        <v>7.1483045816421509E-2</v>
      </c>
      <c r="R17"/>
      <c r="S17"/>
      <c r="T17" s="22">
        <v>1.0664444416761398E-2</v>
      </c>
      <c r="U17" s="239">
        <v>0.41650000214576721</v>
      </c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209</v>
      </c>
      <c r="B18">
        <v>1.5</v>
      </c>
      <c r="C18">
        <v>0.15000003576278687</v>
      </c>
      <c r="D18"/>
      <c r="E18" s="210">
        <v>3.6384910345077515E-2</v>
      </c>
      <c r="F18"/>
      <c r="G18"/>
      <c r="H18" s="24">
        <v>4.6791099011898041E-2</v>
      </c>
      <c r="I18" s="233">
        <v>0.34075829386711121</v>
      </c>
      <c r="J18" s="236">
        <v>0.46307411789894104</v>
      </c>
      <c r="K18"/>
      <c r="L18"/>
      <c r="M18"/>
      <c r="N18" s="12">
        <v>4.5565776526927948E-3</v>
      </c>
      <c r="O18" s="26">
        <v>0.11563250422477722</v>
      </c>
      <c r="P18" s="230">
        <v>0.21521660685539246</v>
      </c>
      <c r="Q18" s="105">
        <v>0.10024011135101318</v>
      </c>
      <c r="R18"/>
      <c r="S18"/>
      <c r="T18" s="19">
        <v>2.7345674112439156E-2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210</v>
      </c>
      <c r="B19">
        <v>0.23000000417232513</v>
      </c>
      <c r="C19">
        <v>4.6397559344768524E-2</v>
      </c>
      <c r="D19"/>
      <c r="E19"/>
      <c r="F19"/>
      <c r="G19"/>
      <c r="H19"/>
      <c r="I19"/>
      <c r="J19" s="226">
        <v>0.1468060314655304</v>
      </c>
      <c r="K19"/>
      <c r="L19"/>
      <c r="M19"/>
      <c r="N19"/>
      <c r="O19" s="19">
        <v>4.1895308531820774E-3</v>
      </c>
      <c r="P19" s="216">
        <v>1.5595206059515476E-2</v>
      </c>
      <c r="Q19"/>
      <c r="R19"/>
      <c r="S19"/>
      <c r="T19"/>
      <c r="U19"/>
      <c r="V19"/>
      <c r="W19"/>
      <c r="X19"/>
      <c r="Y19"/>
      <c r="Z19" s="217">
        <v>1.7011664807796478E-2</v>
      </c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211</v>
      </c>
      <c r="B20">
        <v>1.5099999904632568</v>
      </c>
      <c r="C20">
        <v>1.0511437654495239</v>
      </c>
      <c r="D20"/>
      <c r="E20"/>
      <c r="F20"/>
      <c r="G20"/>
      <c r="H20" s="14">
        <v>3.0945229809731245E-3</v>
      </c>
      <c r="I20"/>
      <c r="J20" s="217">
        <v>0.11114037781953812</v>
      </c>
      <c r="K20"/>
      <c r="L20"/>
      <c r="M20"/>
      <c r="N20" s="11">
        <v>4.3744163122028112E-4</v>
      </c>
      <c r="O20" s="27">
        <v>5.2396625280380249E-2</v>
      </c>
      <c r="P20" s="23">
        <v>9.2562511563301086E-3</v>
      </c>
      <c r="Q20"/>
      <c r="R20"/>
      <c r="S20"/>
      <c r="T20"/>
      <c r="U20"/>
      <c r="V20" s="25">
        <v>3.8400892168283463E-2</v>
      </c>
      <c r="W20"/>
      <c r="X20"/>
      <c r="Y20"/>
      <c r="Z20" s="244">
        <v>0.24413014948368073</v>
      </c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212</v>
      </c>
      <c r="B21">
        <v>0.55000001192092896</v>
      </c>
      <c r="C21">
        <v>1.5207827091217041E-2</v>
      </c>
      <c r="D21"/>
      <c r="E21"/>
      <c r="F21"/>
      <c r="G21" s="219">
        <v>2.7111722156405449E-2</v>
      </c>
      <c r="H21"/>
      <c r="I21"/>
      <c r="J21" s="231">
        <v>0.2586311399936676</v>
      </c>
      <c r="K21"/>
      <c r="L21"/>
      <c r="M21"/>
      <c r="N21"/>
      <c r="O21" s="225">
        <v>8.7831281125545502E-2</v>
      </c>
      <c r="P21"/>
      <c r="Q21" s="228">
        <v>0.10877089202404022</v>
      </c>
      <c r="R21"/>
      <c r="S21"/>
      <c r="T21"/>
      <c r="U21"/>
      <c r="V21"/>
      <c r="W21"/>
      <c r="X21"/>
      <c r="Y21"/>
      <c r="Z21" s="220">
        <v>5.2447129040956497E-2</v>
      </c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213</v>
      </c>
      <c r="B22">
        <v>1</v>
      </c>
      <c r="C22">
        <v>9.3665003776550293E-2</v>
      </c>
      <c r="D22"/>
      <c r="E22"/>
      <c r="F22"/>
      <c r="G22"/>
      <c r="H22"/>
      <c r="I22"/>
      <c r="J22" s="238">
        <v>0.65783184766769409</v>
      </c>
      <c r="K22"/>
      <c r="L22"/>
      <c r="M22" s="210">
        <v>2.2583307698369026E-2</v>
      </c>
      <c r="N22"/>
      <c r="O22"/>
      <c r="P22" s="21">
        <v>2.0382098853588104E-2</v>
      </c>
      <c r="Q22" s="216">
        <v>6.7808888852596283E-2</v>
      </c>
      <c r="R22"/>
      <c r="S22"/>
      <c r="T22"/>
      <c r="U22"/>
      <c r="V22" s="69">
        <v>7.1028783917427063E-2</v>
      </c>
      <c r="W22"/>
      <c r="X22"/>
      <c r="Y22"/>
      <c r="Z22" s="105">
        <v>6.6699996590614319E-2</v>
      </c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214</v>
      </c>
      <c r="B23">
        <v>0.23000000417232513</v>
      </c>
      <c r="C23">
        <v>0.21985486149787903</v>
      </c>
      <c r="D23"/>
      <c r="E23"/>
      <c r="F23"/>
      <c r="G23"/>
      <c r="H23"/>
      <c r="I23"/>
      <c r="J23"/>
      <c r="K23"/>
      <c r="L23"/>
      <c r="M23" s="14">
        <v>3.1032587867230177E-4</v>
      </c>
      <c r="N23"/>
      <c r="O23"/>
      <c r="P23"/>
      <c r="Q23"/>
      <c r="R23"/>
      <c r="S23"/>
      <c r="T23"/>
      <c r="U23"/>
      <c r="V23"/>
      <c r="W23"/>
      <c r="X23"/>
      <c r="Y23"/>
      <c r="Z23" s="20">
        <v>9.8348129540681839E-3</v>
      </c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215</v>
      </c>
      <c r="B24">
        <v>6.5</v>
      </c>
      <c r="C24">
        <v>5.7950000762939453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 s="242">
        <v>0.70499998331069946</v>
      </c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216</v>
      </c>
      <c r="B25">
        <v>1.25</v>
      </c>
      <c r="C25">
        <v>0.62201166152954102</v>
      </c>
      <c r="D25"/>
      <c r="E25"/>
      <c r="F25"/>
      <c r="G25" s="12">
        <v>4.6118348836898804E-3</v>
      </c>
      <c r="H25"/>
      <c r="I25" s="14">
        <v>2.2619236260652542E-3</v>
      </c>
      <c r="J25" s="12">
        <v>5.4993010126054287E-3</v>
      </c>
      <c r="K25" s="16">
        <v>1.8394878134131432E-2</v>
      </c>
      <c r="L25" s="76">
        <v>0.20982697606086731</v>
      </c>
      <c r="M25"/>
      <c r="N25" s="19">
        <v>2.2186031565070152E-2</v>
      </c>
      <c r="O25" s="11">
        <v>2.1971360547468066E-4</v>
      </c>
      <c r="P25" s="23">
        <v>7.2926483117043972E-3</v>
      </c>
      <c r="Q25" s="14">
        <v>2.267457777634263E-3</v>
      </c>
      <c r="R25"/>
      <c r="S25"/>
      <c r="T25" s="14">
        <v>1.731985597871244E-3</v>
      </c>
      <c r="U25" s="243">
        <v>0.27496770024299622</v>
      </c>
      <c r="V25" s="13">
        <v>4.7502554953098297E-2</v>
      </c>
      <c r="W25"/>
      <c r="X25"/>
      <c r="Y25"/>
      <c r="Z25" s="25">
        <v>3.1225288286805153E-2</v>
      </c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217</v>
      </c>
      <c r="B26">
        <v>2.5</v>
      </c>
      <c r="C26">
        <v>1.4199252128601074</v>
      </c>
      <c r="D26"/>
      <c r="E26"/>
      <c r="F26"/>
      <c r="G26"/>
      <c r="H26"/>
      <c r="I26"/>
      <c r="J26"/>
      <c r="K26" s="23">
        <v>1.5413207001984119E-2</v>
      </c>
      <c r="L26" s="27">
        <v>8.9905701577663422E-2</v>
      </c>
      <c r="M26"/>
      <c r="N26" s="63">
        <v>5.4100155830383301E-2</v>
      </c>
      <c r="O26"/>
      <c r="P26" s="14">
        <v>3.5692555829882622E-3</v>
      </c>
      <c r="Q26" s="14">
        <v>3.4543999936431646E-3</v>
      </c>
      <c r="R26" s="241">
        <v>0.19859720766544342</v>
      </c>
      <c r="S26"/>
      <c r="T26" s="11">
        <v>4.1228521149605513E-4</v>
      </c>
      <c r="U26" s="64">
        <v>0.14491626620292664</v>
      </c>
      <c r="V26" s="27">
        <v>8.7294675409793854E-2</v>
      </c>
      <c r="W26"/>
      <c r="X26"/>
      <c r="Y26"/>
      <c r="Z26" s="14">
        <v>5.096865352243185E-3</v>
      </c>
      <c r="AA26"/>
      <c r="AB26" s="245">
        <v>0.47731471061706543</v>
      </c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218</v>
      </c>
      <c r="B27">
        <v>6.5</v>
      </c>
      <c r="C27">
        <v>1.4437434673309326</v>
      </c>
      <c r="D27"/>
      <c r="E27"/>
      <c r="F27"/>
      <c r="G27"/>
      <c r="H27" s="11">
        <v>3.932939434889704E-4</v>
      </c>
      <c r="I27"/>
      <c r="J27" s="11">
        <v>5.8384262956678867E-3</v>
      </c>
      <c r="K27" s="12">
        <v>1.9529234617948532E-2</v>
      </c>
      <c r="L27" s="11">
        <v>1.2994703138247132E-3</v>
      </c>
      <c r="M27"/>
      <c r="N27" s="11">
        <v>5.5151251144707203E-3</v>
      </c>
      <c r="O27" s="11">
        <v>3.4406245686113834E-3</v>
      </c>
      <c r="P27" s="11">
        <v>2.8766125906258821E-3</v>
      </c>
      <c r="Q27" s="11">
        <v>1.9258281099610031E-4</v>
      </c>
      <c r="R27" s="24">
        <v>0.20298290252685547</v>
      </c>
      <c r="S27"/>
      <c r="T27" s="11">
        <v>5.5163761135190725E-4</v>
      </c>
      <c r="U27" s="210">
        <v>0.15457974374294281</v>
      </c>
      <c r="V27" s="15">
        <v>5.8500997722148895E-2</v>
      </c>
      <c r="W27"/>
      <c r="X27"/>
      <c r="Y27"/>
      <c r="Z27" s="12">
        <v>3.0072564259171486E-2</v>
      </c>
      <c r="AA27"/>
      <c r="AB27" s="250">
        <v>1.7106616497039795</v>
      </c>
      <c r="AC27" s="251">
        <v>1.9619604349136353</v>
      </c>
      <c r="AD27" s="240">
        <v>0.37240999937057495</v>
      </c>
      <c r="AE27" s="241">
        <v>0.51999998092651367</v>
      </c>
      <c r="AF27"/>
      <c r="AG27" s="11">
        <v>5.4510314948856831E-3</v>
      </c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219</v>
      </c>
      <c r="B28">
        <v>36.5</v>
      </c>
      <c r="C28">
        <v>3.8224256038665771</v>
      </c>
      <c r="D28"/>
      <c r="E28"/>
      <c r="F28"/>
      <c r="G28"/>
      <c r="H28"/>
      <c r="I28"/>
      <c r="J28"/>
      <c r="K28" s="11">
        <v>1.8599270842969418E-3</v>
      </c>
      <c r="L28"/>
      <c r="M28"/>
      <c r="N28" s="11">
        <v>2.0517574623227119E-2</v>
      </c>
      <c r="O28" s="11">
        <v>4.1654049418866634E-3</v>
      </c>
      <c r="P28"/>
      <c r="Q28"/>
      <c r="R28" s="14">
        <v>8.7871387600898743E-2</v>
      </c>
      <c r="S28"/>
      <c r="T28"/>
      <c r="U28" s="12">
        <v>0.15388725697994232</v>
      </c>
      <c r="V28" s="14">
        <v>9.6060752868652344E-2</v>
      </c>
      <c r="W28"/>
      <c r="X28"/>
      <c r="Y28"/>
      <c r="Z28" s="11">
        <v>3.3827409148216248E-2</v>
      </c>
      <c r="AA28"/>
      <c r="AB28" s="248">
        <v>6.3357844352722168</v>
      </c>
      <c r="AC28" s="246">
        <v>2.9726674556732178</v>
      </c>
      <c r="AD28" s="137">
        <v>4.3891181945800781</v>
      </c>
      <c r="AE28" s="252">
        <v>18.571430206298828</v>
      </c>
      <c r="AF28"/>
      <c r="AG28" s="11">
        <v>1.0382916778326035E-2</v>
      </c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220</v>
      </c>
      <c r="B29">
        <v>1.309999942779541</v>
      </c>
      <c r="C29">
        <v>9.175456315279007E-2</v>
      </c>
      <c r="D29"/>
      <c r="E29"/>
      <c r="F29"/>
      <c r="G29"/>
      <c r="H29" s="66">
        <v>0.1207256019115448</v>
      </c>
      <c r="I29"/>
      <c r="J29" s="232">
        <v>0.58440148830413818</v>
      </c>
      <c r="K29"/>
      <c r="L29" s="22">
        <v>1.0405715554952621E-2</v>
      </c>
      <c r="M29"/>
      <c r="N29"/>
      <c r="O29" s="69">
        <v>9.3394391238689423E-2</v>
      </c>
      <c r="P29"/>
      <c r="Q29" s="22">
        <v>9.6383579075336456E-3</v>
      </c>
      <c r="R29"/>
      <c r="S29" s="19">
        <v>2.4254549294710159E-2</v>
      </c>
      <c r="T29"/>
      <c r="U29" s="105">
        <v>8.6259365081787109E-2</v>
      </c>
      <c r="V29" s="143">
        <v>8.0768287181854248E-2</v>
      </c>
      <c r="W29" s="24">
        <v>4.0460579097270966E-2</v>
      </c>
      <c r="X29"/>
      <c r="Y29"/>
      <c r="Z29" s="20">
        <v>5.6884448975324631E-2</v>
      </c>
      <c r="AA29" s="224">
        <v>0.11105258017778397</v>
      </c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221</v>
      </c>
      <c r="B30">
        <v>10.640000343322754</v>
      </c>
      <c r="C30">
        <v>3.8635895252227783</v>
      </c>
      <c r="D30"/>
      <c r="E30"/>
      <c r="F30"/>
      <c r="G30"/>
      <c r="H30"/>
      <c r="I30"/>
      <c r="J30"/>
      <c r="K30"/>
      <c r="L30"/>
      <c r="M30"/>
      <c r="N30"/>
      <c r="O30" s="12">
        <v>5.1042918115854263E-2</v>
      </c>
      <c r="P30"/>
      <c r="Q30"/>
      <c r="R30"/>
      <c r="S30" s="11">
        <v>5.3023439832031727E-3</v>
      </c>
      <c r="T30"/>
      <c r="U30"/>
      <c r="V30" s="11">
        <v>4.4142361730337143E-3</v>
      </c>
      <c r="W30" s="12">
        <v>4.4225912541151047E-2</v>
      </c>
      <c r="X30" s="138">
        <v>5.7878022193908691</v>
      </c>
      <c r="Y30" s="23">
        <v>5.6905955076217651E-2</v>
      </c>
      <c r="Z30" s="18">
        <v>0.12435642629861832</v>
      </c>
      <c r="AA30" s="240">
        <v>0.60693657398223877</v>
      </c>
      <c r="AB30"/>
      <c r="AC30"/>
      <c r="AD30"/>
      <c r="AE30"/>
      <c r="AF30"/>
      <c r="AG30" s="15">
        <v>9.5424287021160126E-2</v>
      </c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222</v>
      </c>
      <c r="B31">
        <v>143</v>
      </c>
      <c r="C31">
        <v>14.299952507019043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 s="11">
        <v>3.3584230113774538E-3</v>
      </c>
      <c r="T31"/>
      <c r="U31"/>
      <c r="V31"/>
      <c r="W31" s="11">
        <v>5.6024022400379181E-2</v>
      </c>
      <c r="X31" s="67">
        <v>7.3318090438842773</v>
      </c>
      <c r="Y31" s="11">
        <v>7.2086706757545471E-2</v>
      </c>
      <c r="Z31"/>
      <c r="AA31" s="23">
        <v>0.76884853839874268</v>
      </c>
      <c r="AB31"/>
      <c r="AC31"/>
      <c r="AD31"/>
      <c r="AE31"/>
      <c r="AF31" s="139">
        <v>14.168621063232422</v>
      </c>
      <c r="AG31" s="11">
        <v>0.12088054418563843</v>
      </c>
      <c r="AH31" s="28">
        <v>6.7392120361328125</v>
      </c>
      <c r="AI31"/>
      <c r="AJ31"/>
      <c r="AK31" s="253">
        <v>99.439201354980469</v>
      </c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223</v>
      </c>
      <c r="B32">
        <v>65</v>
      </c>
      <c r="C32">
        <v>26.879158020019531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1">
        <v>2.2414173930883408E-2</v>
      </c>
      <c r="W32"/>
      <c r="X32" s="23">
        <v>0.36735919117927551</v>
      </c>
      <c r="Y32" s="11">
        <v>5.7790298014879227E-3</v>
      </c>
      <c r="Z32"/>
      <c r="AA32"/>
      <c r="AB32"/>
      <c r="AC32" s="222">
        <v>3.4681119918823242</v>
      </c>
      <c r="AD32" s="66">
        <v>6.0102834701538086</v>
      </c>
      <c r="AE32" s="254">
        <v>11.526666641235352</v>
      </c>
      <c r="AF32" s="255">
        <v>15.618165969848633</v>
      </c>
      <c r="AG32" s="11">
        <v>5.9355669654905796E-3</v>
      </c>
      <c r="AH32"/>
      <c r="AI32"/>
      <c r="AJ32"/>
      <c r="AK32" s="19">
        <v>1.0961250066757202</v>
      </c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224</v>
      </c>
      <c r="B33">
        <v>36.5</v>
      </c>
      <c r="C33">
        <v>1.9780430793762207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 s="11">
        <v>2.381468378007412E-2</v>
      </c>
      <c r="Z33" s="11">
        <v>2.8912309557199478E-2</v>
      </c>
      <c r="AA33"/>
      <c r="AB33"/>
      <c r="AC33" s="142">
        <v>1.0888891220092773</v>
      </c>
      <c r="AD33"/>
      <c r="AE33" s="249">
        <v>17.777778625488281</v>
      </c>
      <c r="AF33" s="247">
        <v>15.602563858032227</v>
      </c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225</v>
      </c>
      <c r="B34"/>
      <c r="C34">
        <v>0.56368499994277954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 s="9">
        <v>0.73811960220336914</v>
      </c>
      <c r="S34"/>
      <c r="T34"/>
      <c r="U34" s="9">
        <v>1.6158162355422974</v>
      </c>
      <c r="V34" s="9">
        <v>0.5043189525604248</v>
      </c>
      <c r="W34"/>
      <c r="X34"/>
      <c r="Y34"/>
      <c r="Z34"/>
      <c r="AA34"/>
      <c r="AB34" s="9">
        <v>7.6029410362243652</v>
      </c>
      <c r="AC34" s="9">
        <v>35.672008514404297</v>
      </c>
      <c r="AD34" s="9">
        <v>52.137401580810547</v>
      </c>
      <c r="AE34" s="9">
        <v>195</v>
      </c>
      <c r="AF34" s="9">
        <v>178.89898681640625</v>
      </c>
      <c r="AG34"/>
      <c r="AH34"/>
      <c r="AI34" s="9">
        <v>122.83705139160156</v>
      </c>
      <c r="AJ34"/>
      <c r="AK34" s="9">
        <v>0.19929544627666473</v>
      </c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226</v>
      </c>
      <c r="B35"/>
      <c r="C35">
        <v>0.78209030628204346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 s="9">
        <v>19.653928756713867</v>
      </c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227</v>
      </c>
      <c r="B36"/>
      <c r="C36">
        <v>0.54966235160827637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 s="9">
        <v>3.0316410586237907E-2</v>
      </c>
      <c r="X36" s="9">
        <v>3.9674792289733887</v>
      </c>
      <c r="Y36" s="9">
        <v>3.9008453488349915E-2</v>
      </c>
      <c r="Z36"/>
      <c r="AA36" s="9">
        <v>0.41604885458946228</v>
      </c>
      <c r="AB36"/>
      <c r="AC36"/>
      <c r="AD36"/>
      <c r="AE36"/>
      <c r="AF36"/>
      <c r="AG36" s="9">
        <v>0.21804125607013702</v>
      </c>
      <c r="AH36"/>
      <c r="AI36" s="9">
        <v>0.61418527364730835</v>
      </c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228</v>
      </c>
      <c r="B37"/>
      <c r="C37">
        <v>0.80431205034255981</v>
      </c>
      <c r="D37"/>
      <c r="E37"/>
      <c r="F37"/>
      <c r="G37"/>
      <c r="H37"/>
      <c r="I37"/>
      <c r="J37" s="9">
        <v>0.11676841974258423</v>
      </c>
      <c r="K37"/>
      <c r="L37"/>
      <c r="M37"/>
      <c r="N37"/>
      <c r="O37" s="9">
        <v>0.20877020061016083</v>
      </c>
      <c r="P37"/>
      <c r="Q37" s="9">
        <v>4.8145700246095657E-2</v>
      </c>
      <c r="R37"/>
      <c r="S37" s="9">
        <v>9.6925407648086548E-2</v>
      </c>
      <c r="T37"/>
      <c r="U37"/>
      <c r="V37" s="9">
        <v>0.5043189525604248</v>
      </c>
      <c r="W37" s="9">
        <v>0.81854313611984253</v>
      </c>
      <c r="X37" s="9">
        <v>101.83196258544922</v>
      </c>
      <c r="Y37" s="9">
        <v>0.92320001125335693</v>
      </c>
      <c r="Z37" s="9">
        <v>7.1037553250789642E-2</v>
      </c>
      <c r="AA37" s="9">
        <v>11.344265937805176</v>
      </c>
      <c r="AB37"/>
      <c r="AC37" s="9">
        <v>26.754007339477539</v>
      </c>
      <c r="AD37"/>
      <c r="AE37"/>
      <c r="AF37"/>
      <c r="AG37" s="9">
        <v>1.3758403062820435</v>
      </c>
      <c r="AH37" s="9">
        <v>36.468059539794922</v>
      </c>
      <c r="AI37" s="9">
        <v>471.08010864257812</v>
      </c>
      <c r="AJ37"/>
      <c r="AK37" s="9">
        <v>1.1878933946718462E-5</v>
      </c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11" workbookViewId="0">
      <selection activeCell="A37" sqref="A37:XFD40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31.832031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31.832031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3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1" t="s">
        <v>166</v>
      </c>
    </row>
    <row r="2" spans="1:12" x14ac:dyDescent="0.15">
      <c r="A2" s="1" t="s">
        <v>37</v>
      </c>
      <c r="B2" s="38">
        <v>3</v>
      </c>
      <c r="C2" s="36"/>
      <c r="D2" t="s">
        <v>38</v>
      </c>
      <c r="E2">
        <v>1</v>
      </c>
      <c r="F2">
        <v>1</v>
      </c>
      <c r="G2">
        <v>1</v>
      </c>
      <c r="H2" t="s">
        <v>38</v>
      </c>
      <c r="J2" s="54"/>
      <c r="K2" s="55"/>
      <c r="L2" s="61" t="s">
        <v>167</v>
      </c>
    </row>
    <row r="3" spans="1:12" ht="14" thickBot="1" x14ac:dyDescent="0.2">
      <c r="A3" s="1" t="s">
        <v>39</v>
      </c>
      <c r="B3" s="39">
        <v>0</v>
      </c>
      <c r="C3" s="36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6"/>
      <c r="K3" s="57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6"/>
      <c r="K4" s="57"/>
    </row>
    <row r="5" spans="1:12" x14ac:dyDescent="0.15">
      <c r="D5" s="194" t="s">
        <v>193</v>
      </c>
      <c r="E5">
        <v>4</v>
      </c>
      <c r="F5">
        <v>3.13</v>
      </c>
      <c r="G5">
        <v>4</v>
      </c>
      <c r="H5" s="195" t="s">
        <v>193</v>
      </c>
      <c r="J5" s="56"/>
      <c r="K5" s="57"/>
    </row>
    <row r="6" spans="1:12" ht="14" thickBot="1" x14ac:dyDescent="0.2">
      <c r="A6" s="40" t="s">
        <v>121</v>
      </c>
      <c r="D6" s="194" t="s">
        <v>194</v>
      </c>
      <c r="E6">
        <v>5</v>
      </c>
      <c r="F6">
        <v>3.13</v>
      </c>
      <c r="G6">
        <v>5</v>
      </c>
      <c r="H6" s="195" t="s">
        <v>194</v>
      </c>
      <c r="J6" s="56"/>
      <c r="K6" s="57"/>
    </row>
    <row r="7" spans="1:12" x14ac:dyDescent="0.15">
      <c r="A7" s="35" t="s">
        <v>126</v>
      </c>
      <c r="B7" s="42">
        <v>1</v>
      </c>
      <c r="C7" s="37"/>
      <c r="D7" s="194" t="s">
        <v>195</v>
      </c>
      <c r="E7">
        <v>6</v>
      </c>
      <c r="F7">
        <v>3.12</v>
      </c>
      <c r="G7">
        <v>6</v>
      </c>
      <c r="H7" s="195" t="s">
        <v>195</v>
      </c>
      <c r="J7" s="56"/>
      <c r="K7" s="57"/>
    </row>
    <row r="8" spans="1:12" x14ac:dyDescent="0.15">
      <c r="A8" s="35" t="s">
        <v>38</v>
      </c>
      <c r="B8" s="43">
        <v>1</v>
      </c>
      <c r="C8" s="37"/>
      <c r="D8" s="194" t="s">
        <v>196</v>
      </c>
      <c r="E8">
        <v>7</v>
      </c>
      <c r="F8">
        <v>3.22</v>
      </c>
      <c r="G8">
        <v>7</v>
      </c>
      <c r="H8" s="195" t="s">
        <v>196</v>
      </c>
      <c r="J8" s="56"/>
      <c r="K8" s="57"/>
    </row>
    <row r="9" spans="1:12" x14ac:dyDescent="0.15">
      <c r="A9" s="35" t="s">
        <v>40</v>
      </c>
      <c r="B9" s="43">
        <v>1.1000000000000001</v>
      </c>
      <c r="C9" s="37"/>
      <c r="D9" s="194" t="s">
        <v>197</v>
      </c>
      <c r="E9">
        <v>8</v>
      </c>
      <c r="F9">
        <v>3.22</v>
      </c>
      <c r="G9">
        <v>8</v>
      </c>
      <c r="H9" s="195" t="s">
        <v>197</v>
      </c>
      <c r="J9" s="56"/>
      <c r="K9" s="57"/>
    </row>
    <row r="10" spans="1:12" x14ac:dyDescent="0.15">
      <c r="A10" s="35" t="s">
        <v>41</v>
      </c>
      <c r="B10" s="43">
        <v>1.2</v>
      </c>
      <c r="C10" s="37"/>
      <c r="D10" s="194" t="s">
        <v>198</v>
      </c>
      <c r="E10">
        <v>9</v>
      </c>
      <c r="F10">
        <v>3.12</v>
      </c>
      <c r="G10">
        <v>9</v>
      </c>
      <c r="H10" s="195" t="s">
        <v>198</v>
      </c>
      <c r="J10" s="56"/>
      <c r="K10" s="57"/>
    </row>
    <row r="11" spans="1:12" ht="12" customHeight="1" x14ac:dyDescent="0.15">
      <c r="A11" s="41" t="s">
        <v>127</v>
      </c>
      <c r="B11" s="43">
        <v>2</v>
      </c>
      <c r="C11" s="37"/>
      <c r="D11" s="194" t="s">
        <v>199</v>
      </c>
      <c r="E11">
        <v>10</v>
      </c>
      <c r="F11">
        <v>3.12</v>
      </c>
      <c r="G11">
        <v>10</v>
      </c>
      <c r="H11" s="195" t="s">
        <v>199</v>
      </c>
      <c r="J11" s="56"/>
      <c r="K11" s="57"/>
    </row>
    <row r="12" spans="1:12" x14ac:dyDescent="0.15">
      <c r="A12" s="35" t="s">
        <v>42</v>
      </c>
      <c r="B12" s="43">
        <v>2.1</v>
      </c>
      <c r="C12" s="37"/>
      <c r="D12" s="194" t="s">
        <v>200</v>
      </c>
      <c r="E12">
        <v>11</v>
      </c>
      <c r="F12">
        <v>3</v>
      </c>
      <c r="G12">
        <v>11</v>
      </c>
      <c r="H12" s="195" t="s">
        <v>200</v>
      </c>
      <c r="J12" s="56"/>
      <c r="K12" s="57"/>
    </row>
    <row r="13" spans="1:12" x14ac:dyDescent="0.15">
      <c r="A13" s="35" t="s">
        <v>43</v>
      </c>
      <c r="B13" s="43">
        <v>2.2000000000000002</v>
      </c>
      <c r="C13" s="37"/>
      <c r="D13" s="194" t="s">
        <v>201</v>
      </c>
      <c r="E13">
        <v>12</v>
      </c>
      <c r="F13">
        <v>3.22</v>
      </c>
      <c r="G13">
        <v>12</v>
      </c>
      <c r="H13" s="195" t="s">
        <v>201</v>
      </c>
      <c r="J13" s="56"/>
      <c r="K13" s="57"/>
    </row>
    <row r="14" spans="1:12" x14ac:dyDescent="0.15">
      <c r="A14" s="35" t="s">
        <v>67</v>
      </c>
      <c r="B14" s="43">
        <v>2.2999999999999998</v>
      </c>
      <c r="C14" s="37"/>
      <c r="D14" s="194" t="s">
        <v>202</v>
      </c>
      <c r="E14">
        <v>13</v>
      </c>
      <c r="F14">
        <v>3.22</v>
      </c>
      <c r="G14">
        <v>13</v>
      </c>
      <c r="H14" s="195" t="s">
        <v>202</v>
      </c>
      <c r="J14" s="56"/>
      <c r="K14" s="57"/>
    </row>
    <row r="15" spans="1:12" x14ac:dyDescent="0.15">
      <c r="A15" s="41" t="s">
        <v>128</v>
      </c>
      <c r="B15" s="43">
        <v>3</v>
      </c>
      <c r="C15" s="37"/>
      <c r="D15" s="194" t="s">
        <v>203</v>
      </c>
      <c r="E15">
        <v>14</v>
      </c>
      <c r="F15">
        <v>3.22</v>
      </c>
      <c r="G15">
        <v>14</v>
      </c>
      <c r="H15" s="195" t="s">
        <v>203</v>
      </c>
      <c r="J15" s="56"/>
      <c r="K15" s="57"/>
    </row>
    <row r="16" spans="1:12" x14ac:dyDescent="0.15">
      <c r="A16" s="35" t="s">
        <v>62</v>
      </c>
      <c r="B16" s="43">
        <v>3.11</v>
      </c>
      <c r="C16" s="37"/>
      <c r="D16" s="194" t="s">
        <v>204</v>
      </c>
      <c r="E16">
        <v>15</v>
      </c>
      <c r="F16">
        <v>3</v>
      </c>
      <c r="G16">
        <v>15</v>
      </c>
      <c r="H16" s="195" t="s">
        <v>204</v>
      </c>
      <c r="J16" s="56"/>
      <c r="K16" s="57"/>
    </row>
    <row r="17" spans="1:12" x14ac:dyDescent="0.15">
      <c r="A17" s="35" t="s">
        <v>61</v>
      </c>
      <c r="B17" s="43">
        <v>3.12</v>
      </c>
      <c r="C17" s="37"/>
      <c r="D17" s="194" t="s">
        <v>205</v>
      </c>
      <c r="E17">
        <v>16</v>
      </c>
      <c r="F17">
        <v>3.12</v>
      </c>
      <c r="G17">
        <v>16</v>
      </c>
      <c r="H17" s="195" t="s">
        <v>205</v>
      </c>
      <c r="J17" s="56"/>
      <c r="K17" s="57"/>
    </row>
    <row r="18" spans="1:12" x14ac:dyDescent="0.15">
      <c r="A18" s="35" t="s">
        <v>68</v>
      </c>
      <c r="B18" s="43">
        <v>3.13</v>
      </c>
      <c r="C18" s="37"/>
      <c r="D18" s="194" t="s">
        <v>206</v>
      </c>
      <c r="E18">
        <v>17</v>
      </c>
      <c r="F18">
        <v>3.22</v>
      </c>
      <c r="G18">
        <v>17</v>
      </c>
      <c r="H18" s="195" t="s">
        <v>206</v>
      </c>
      <c r="J18" s="56"/>
      <c r="K18" s="57"/>
    </row>
    <row r="19" spans="1:12" x14ac:dyDescent="0.15">
      <c r="A19" s="35" t="s">
        <v>66</v>
      </c>
      <c r="B19" s="43">
        <v>3.21</v>
      </c>
      <c r="C19" s="37"/>
      <c r="D19" s="194" t="s">
        <v>207</v>
      </c>
      <c r="E19">
        <v>18</v>
      </c>
      <c r="F19">
        <v>3.21</v>
      </c>
      <c r="G19">
        <v>18</v>
      </c>
      <c r="H19" s="195" t="s">
        <v>207</v>
      </c>
      <c r="J19" s="56"/>
      <c r="K19" s="57"/>
    </row>
    <row r="20" spans="1:12" x14ac:dyDescent="0.15">
      <c r="A20" s="35" t="s">
        <v>63</v>
      </c>
      <c r="B20" s="43">
        <v>3.22</v>
      </c>
      <c r="C20" s="37"/>
      <c r="D20" s="194" t="s">
        <v>208</v>
      </c>
      <c r="E20">
        <v>19</v>
      </c>
      <c r="F20">
        <v>3.12</v>
      </c>
      <c r="G20">
        <v>19</v>
      </c>
      <c r="H20" s="195" t="s">
        <v>208</v>
      </c>
      <c r="J20" s="56"/>
      <c r="K20" s="57"/>
    </row>
    <row r="21" spans="1:12" ht="14" thickBot="1" x14ac:dyDescent="0.2">
      <c r="A21" s="35" t="s">
        <v>69</v>
      </c>
      <c r="B21" s="43">
        <v>3.23</v>
      </c>
      <c r="C21" s="37"/>
      <c r="D21" s="194" t="s">
        <v>209</v>
      </c>
      <c r="E21">
        <v>20</v>
      </c>
      <c r="F21">
        <v>3.21</v>
      </c>
      <c r="G21">
        <v>20</v>
      </c>
      <c r="H21" s="195" t="s">
        <v>209</v>
      </c>
      <c r="J21" s="58"/>
      <c r="K21" s="59"/>
      <c r="L21" s="61" t="s">
        <v>152</v>
      </c>
    </row>
    <row r="22" spans="1:12" x14ac:dyDescent="0.15">
      <c r="A22" s="35" t="s">
        <v>64</v>
      </c>
      <c r="B22" s="43">
        <v>8</v>
      </c>
      <c r="C22" s="37"/>
      <c r="D22" s="194" t="s">
        <v>210</v>
      </c>
      <c r="E22">
        <v>21</v>
      </c>
      <c r="F22">
        <v>3.21</v>
      </c>
      <c r="G22">
        <v>21</v>
      </c>
      <c r="H22" s="195" t="s">
        <v>210</v>
      </c>
    </row>
    <row r="23" spans="1:12" x14ac:dyDescent="0.15">
      <c r="A23" s="35" t="s">
        <v>129</v>
      </c>
      <c r="B23" s="43">
        <v>4</v>
      </c>
      <c r="C23" s="37"/>
      <c r="D23" s="194" t="s">
        <v>211</v>
      </c>
      <c r="E23">
        <v>22</v>
      </c>
      <c r="F23">
        <v>3.21</v>
      </c>
      <c r="G23">
        <v>22</v>
      </c>
      <c r="H23" s="195" t="s">
        <v>211</v>
      </c>
    </row>
    <row r="24" spans="1:12" x14ac:dyDescent="0.15">
      <c r="A24" s="35" t="s">
        <v>122</v>
      </c>
      <c r="B24" s="43">
        <v>4.0999999999999996</v>
      </c>
      <c r="C24" s="37"/>
      <c r="D24" s="194" t="s">
        <v>212</v>
      </c>
      <c r="E24">
        <v>23</v>
      </c>
      <c r="F24">
        <v>3.21</v>
      </c>
      <c r="G24">
        <v>23</v>
      </c>
      <c r="H24" s="195" t="s">
        <v>212</v>
      </c>
    </row>
    <row r="25" spans="1:12" x14ac:dyDescent="0.15">
      <c r="A25" s="35" t="s">
        <v>70</v>
      </c>
      <c r="B25" s="43">
        <v>4.2</v>
      </c>
      <c r="C25" s="37"/>
      <c r="D25" s="194" t="s">
        <v>213</v>
      </c>
      <c r="E25">
        <v>24</v>
      </c>
      <c r="F25">
        <v>3</v>
      </c>
      <c r="G25">
        <v>24</v>
      </c>
      <c r="H25" s="195" t="s">
        <v>213</v>
      </c>
    </row>
    <row r="26" spans="1:12" x14ac:dyDescent="0.15">
      <c r="A26" s="35" t="s">
        <v>123</v>
      </c>
      <c r="B26" s="43">
        <v>4.3</v>
      </c>
      <c r="C26" s="37"/>
      <c r="D26" s="194" t="s">
        <v>214</v>
      </c>
      <c r="E26">
        <v>25</v>
      </c>
      <c r="F26">
        <v>3.21</v>
      </c>
      <c r="G26">
        <v>25</v>
      </c>
      <c r="H26" s="195" t="s">
        <v>214</v>
      </c>
    </row>
    <row r="27" spans="1:12" x14ac:dyDescent="0.15">
      <c r="A27" s="35" t="s">
        <v>125</v>
      </c>
      <c r="B27" s="43">
        <v>6.1</v>
      </c>
      <c r="D27" s="194" t="s">
        <v>215</v>
      </c>
      <c r="E27">
        <v>26</v>
      </c>
      <c r="F27">
        <v>3.11</v>
      </c>
      <c r="G27">
        <v>26</v>
      </c>
      <c r="H27" s="195" t="s">
        <v>215</v>
      </c>
    </row>
    <row r="28" spans="1:12" x14ac:dyDescent="0.15">
      <c r="A28" s="35" t="s">
        <v>124</v>
      </c>
      <c r="B28" s="43">
        <v>6.2</v>
      </c>
      <c r="D28" s="194" t="s">
        <v>216</v>
      </c>
      <c r="E28">
        <v>27</v>
      </c>
      <c r="F28">
        <v>3.12</v>
      </c>
      <c r="G28">
        <v>27</v>
      </c>
      <c r="H28" s="195" t="s">
        <v>216</v>
      </c>
    </row>
    <row r="29" spans="1:12" x14ac:dyDescent="0.15">
      <c r="A29" s="35" t="s">
        <v>44</v>
      </c>
      <c r="B29" s="43">
        <v>5</v>
      </c>
      <c r="D29" s="194" t="s">
        <v>217</v>
      </c>
      <c r="E29">
        <v>28</v>
      </c>
      <c r="F29">
        <v>3.12</v>
      </c>
      <c r="G29">
        <v>28</v>
      </c>
      <c r="H29" s="195" t="s">
        <v>217</v>
      </c>
    </row>
    <row r="30" spans="1:12" x14ac:dyDescent="0.15">
      <c r="A30" s="35" t="s">
        <v>73</v>
      </c>
      <c r="B30" s="43">
        <v>7</v>
      </c>
      <c r="D30" s="194" t="s">
        <v>218</v>
      </c>
      <c r="E30">
        <v>29</v>
      </c>
      <c r="F30">
        <v>3.11</v>
      </c>
      <c r="G30">
        <v>29</v>
      </c>
      <c r="H30" s="195" t="s">
        <v>218</v>
      </c>
    </row>
    <row r="31" spans="1:12" x14ac:dyDescent="0.15">
      <c r="A31" s="35" t="s">
        <v>169</v>
      </c>
      <c r="B31" s="43">
        <v>3.14</v>
      </c>
      <c r="D31" s="194" t="s">
        <v>219</v>
      </c>
      <c r="E31">
        <v>30</v>
      </c>
      <c r="F31">
        <v>3.14</v>
      </c>
      <c r="G31">
        <v>30</v>
      </c>
      <c r="H31" s="195" t="s">
        <v>219</v>
      </c>
    </row>
    <row r="32" spans="1:12" ht="12" customHeight="1" thickBot="1" x14ac:dyDescent="0.2">
      <c r="A32" s="41" t="s">
        <v>170</v>
      </c>
      <c r="B32" s="44">
        <v>9</v>
      </c>
      <c r="D32" s="194" t="s">
        <v>220</v>
      </c>
      <c r="E32">
        <v>31</v>
      </c>
      <c r="F32">
        <v>3.21</v>
      </c>
      <c r="G32">
        <v>31</v>
      </c>
      <c r="H32" s="195" t="s">
        <v>220</v>
      </c>
    </row>
    <row r="33" spans="4:8" customFormat="1" ht="12" customHeight="1" x14ac:dyDescent="0.15">
      <c r="D33" s="194" t="s">
        <v>221</v>
      </c>
      <c r="E33">
        <v>32</v>
      </c>
      <c r="F33">
        <v>3.21</v>
      </c>
      <c r="G33">
        <v>32</v>
      </c>
      <c r="H33" s="195" t="s">
        <v>221</v>
      </c>
    </row>
    <row r="34" spans="4:8" customFormat="1" ht="12" customHeight="1" x14ac:dyDescent="0.15">
      <c r="D34" s="194" t="s">
        <v>222</v>
      </c>
      <c r="E34">
        <v>33</v>
      </c>
      <c r="F34">
        <v>9</v>
      </c>
      <c r="G34">
        <v>33</v>
      </c>
      <c r="H34" s="195" t="s">
        <v>222</v>
      </c>
    </row>
    <row r="35" spans="4:8" customFormat="1" x14ac:dyDescent="0.15">
      <c r="D35" s="194" t="s">
        <v>223</v>
      </c>
      <c r="E35">
        <v>34</v>
      </c>
      <c r="F35">
        <v>2.1</v>
      </c>
      <c r="G35">
        <v>34</v>
      </c>
      <c r="H35" s="195" t="s">
        <v>223</v>
      </c>
    </row>
    <row r="36" spans="4:8" customFormat="1" x14ac:dyDescent="0.15">
      <c r="D36" s="194" t="s">
        <v>224</v>
      </c>
      <c r="E36">
        <v>35</v>
      </c>
      <c r="F36">
        <v>3.14</v>
      </c>
      <c r="G36">
        <v>35</v>
      </c>
      <c r="H36" s="195" t="s">
        <v>224</v>
      </c>
    </row>
    <row r="37" spans="4:8" customFormat="1" ht="12" customHeight="1" x14ac:dyDescent="0.15">
      <c r="D37" s="194" t="s">
        <v>225</v>
      </c>
      <c r="E37">
        <v>36</v>
      </c>
      <c r="F37">
        <v>4.0999999999999996</v>
      </c>
      <c r="G37">
        <v>36</v>
      </c>
      <c r="H37" s="195" t="s">
        <v>225</v>
      </c>
    </row>
    <row r="38" spans="4:8" customFormat="1" x14ac:dyDescent="0.15">
      <c r="D38" s="194" t="s">
        <v>226</v>
      </c>
      <c r="E38">
        <v>37</v>
      </c>
      <c r="F38">
        <v>4</v>
      </c>
      <c r="G38">
        <v>37</v>
      </c>
      <c r="H38" s="195" t="s">
        <v>226</v>
      </c>
    </row>
    <row r="39" spans="4:8" customFormat="1" x14ac:dyDescent="0.15">
      <c r="D39" s="194" t="s">
        <v>227</v>
      </c>
      <c r="E39">
        <v>38</v>
      </c>
      <c r="F39">
        <v>4</v>
      </c>
      <c r="G39">
        <v>38</v>
      </c>
      <c r="H39" s="195" t="s">
        <v>227</v>
      </c>
    </row>
    <row r="40" spans="4:8" customFormat="1" x14ac:dyDescent="0.15">
      <c r="D40" s="194" t="s">
        <v>228</v>
      </c>
      <c r="E40">
        <v>39</v>
      </c>
      <c r="F40">
        <v>4.3</v>
      </c>
      <c r="G40">
        <v>39</v>
      </c>
      <c r="H40" s="195" t="s">
        <v>228</v>
      </c>
    </row>
    <row r="41" spans="4:8" customFormat="1" x14ac:dyDescent="0.15">
      <c r="D41" s="194" t="s">
        <v>229</v>
      </c>
      <c r="E41">
        <v>40</v>
      </c>
      <c r="F41">
        <v>5</v>
      </c>
      <c r="G41">
        <v>40</v>
      </c>
      <c r="H41" s="195" t="s">
        <v>229</v>
      </c>
    </row>
    <row r="42" spans="4:8" customFormat="1" x14ac:dyDescent="0.15">
      <c r="D42" s="194" t="s">
        <v>230</v>
      </c>
      <c r="E42">
        <v>41</v>
      </c>
      <c r="F42">
        <v>5</v>
      </c>
      <c r="G42">
        <v>41</v>
      </c>
      <c r="H42" s="195" t="s">
        <v>230</v>
      </c>
    </row>
    <row r="43" spans="4:8" customFormat="1" x14ac:dyDescent="0.15">
      <c r="D43" s="194" t="s">
        <v>138</v>
      </c>
      <c r="E43">
        <v>42</v>
      </c>
      <c r="F43">
        <v>6.1</v>
      </c>
      <c r="G43">
        <v>42</v>
      </c>
      <c r="H43" s="195" t="s">
        <v>138</v>
      </c>
    </row>
    <row r="44" spans="4:8" customFormat="1" x14ac:dyDescent="0.15">
      <c r="D44" s="194" t="s">
        <v>45</v>
      </c>
      <c r="E44">
        <v>43</v>
      </c>
      <c r="F44">
        <v>6.2</v>
      </c>
      <c r="G44">
        <v>43</v>
      </c>
      <c r="H44" s="195" t="s">
        <v>45</v>
      </c>
    </row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2" bestFit="1" customWidth="1"/>
    <col min="2" max="2" width="3.83203125" style="81" customWidth="1"/>
    <col min="3" max="3" width="18" style="81" customWidth="1"/>
    <col min="4" max="4" width="39.6640625" style="81" customWidth="1"/>
    <col min="5" max="5" width="8.1640625" style="81" customWidth="1"/>
    <col min="6" max="6" width="31.83203125" style="81" bestFit="1" customWidth="1"/>
    <col min="7" max="9" width="2.33203125" style="81" customWidth="1"/>
    <col min="10" max="10" width="2.33203125" style="81" bestFit="1" customWidth="1"/>
    <col min="11" max="15" width="3.83203125" style="81" customWidth="1"/>
    <col min="16" max="16" width="3.83203125" style="70" customWidth="1"/>
    <col min="17" max="17" width="2.33203125" style="81" customWidth="1"/>
    <col min="18" max="18" width="2.33203125" style="71" customWidth="1"/>
    <col min="19" max="16384" width="11.5" style="81"/>
  </cols>
  <sheetData>
    <row r="1" spans="1:23" ht="15" customHeight="1" thickBot="1" x14ac:dyDescent="0.2">
      <c r="F1" s="1"/>
      <c r="G1" s="68" t="s">
        <v>46</v>
      </c>
      <c r="H1" s="68" t="s">
        <v>47</v>
      </c>
      <c r="I1" s="68" t="s">
        <v>120</v>
      </c>
      <c r="J1" s="68" t="s">
        <v>132</v>
      </c>
      <c r="K1" s="83" t="s">
        <v>48</v>
      </c>
      <c r="L1" s="71"/>
      <c r="M1" s="83" t="s">
        <v>119</v>
      </c>
      <c r="N1" s="71"/>
      <c r="O1" s="83" t="s">
        <v>49</v>
      </c>
      <c r="P1" s="73"/>
      <c r="Q1" s="83" t="s">
        <v>50</v>
      </c>
      <c r="R1" s="68" t="s">
        <v>154</v>
      </c>
    </row>
    <row r="2" spans="1:23" ht="15" customHeight="1" x14ac:dyDescent="0.15">
      <c r="A2" s="83" t="s">
        <v>51</v>
      </c>
      <c r="B2" s="84">
        <v>0.5</v>
      </c>
      <c r="C2" s="82" t="s">
        <v>52</v>
      </c>
      <c r="D2" s="85"/>
      <c r="F2" s="1"/>
      <c r="G2" s="86"/>
      <c r="H2" s="86"/>
      <c r="I2" s="86" t="s">
        <v>133</v>
      </c>
      <c r="J2" s="86" t="s">
        <v>133</v>
      </c>
      <c r="K2" s="86" t="s">
        <v>52</v>
      </c>
      <c r="L2" s="86" t="s">
        <v>53</v>
      </c>
      <c r="M2" s="86" t="s">
        <v>52</v>
      </c>
      <c r="N2" s="86" t="s">
        <v>53</v>
      </c>
      <c r="O2" s="86" t="s">
        <v>52</v>
      </c>
      <c r="P2" s="87" t="s">
        <v>53</v>
      </c>
      <c r="Q2" s="86"/>
      <c r="R2" s="88" t="s">
        <v>155</v>
      </c>
    </row>
    <row r="3" spans="1:23" ht="15" customHeight="1" thickBot="1" x14ac:dyDescent="0.2">
      <c r="A3" s="83" t="s">
        <v>54</v>
      </c>
      <c r="B3" s="89">
        <v>0.5</v>
      </c>
      <c r="C3" s="82" t="s">
        <v>53</v>
      </c>
      <c r="D3" s="85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6">
        <v>0</v>
      </c>
      <c r="R3" s="37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6">
        <v>0</v>
      </c>
      <c r="R4" s="108">
        <v>0</v>
      </c>
    </row>
    <row r="5" spans="1:23" ht="15" customHeight="1" x14ac:dyDescent="0.15">
      <c r="A5" s="83" t="s">
        <v>55</v>
      </c>
      <c r="B5" s="90">
        <v>0.5</v>
      </c>
      <c r="C5" s="82" t="s">
        <v>52</v>
      </c>
      <c r="D5" s="85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6">
        <v>0</v>
      </c>
      <c r="R5" s="108">
        <v>0</v>
      </c>
    </row>
    <row r="6" spans="1:23" ht="15" customHeight="1" thickBot="1" x14ac:dyDescent="0.2">
      <c r="A6" s="83"/>
      <c r="B6" s="91">
        <v>0.5</v>
      </c>
      <c r="C6" s="82" t="s">
        <v>53</v>
      </c>
      <c r="D6" s="85"/>
      <c r="F6" s="196" t="s">
        <v>193</v>
      </c>
      <c r="G6" s="81">
        <v>0</v>
      </c>
      <c r="H6" s="81">
        <v>0</v>
      </c>
      <c r="I6" s="81">
        <v>0</v>
      </c>
      <c r="J6" s="81">
        <v>0</v>
      </c>
      <c r="K6" s="81">
        <v>0</v>
      </c>
      <c r="L6" s="81">
        <v>1</v>
      </c>
      <c r="M6" s="81">
        <v>0</v>
      </c>
      <c r="N6" s="81">
        <v>1</v>
      </c>
      <c r="O6" s="81">
        <v>0</v>
      </c>
      <c r="P6" s="70">
        <v>1</v>
      </c>
      <c r="Q6" s="81">
        <v>0</v>
      </c>
      <c r="R6" s="71">
        <v>1</v>
      </c>
      <c r="S6"/>
      <c r="T6"/>
    </row>
    <row r="7" spans="1:23" ht="15" customHeight="1" thickBot="1" x14ac:dyDescent="0.2">
      <c r="F7" s="196" t="s">
        <v>194</v>
      </c>
      <c r="G7" s="81">
        <v>0</v>
      </c>
      <c r="H7" s="81">
        <v>0</v>
      </c>
      <c r="I7" s="81">
        <v>0</v>
      </c>
      <c r="J7" s="81">
        <v>0</v>
      </c>
      <c r="K7" s="81">
        <v>0</v>
      </c>
      <c r="L7" s="81">
        <v>1</v>
      </c>
      <c r="M7" s="81">
        <v>0</v>
      </c>
      <c r="N7" s="81">
        <v>1</v>
      </c>
      <c r="O7" s="81">
        <v>0</v>
      </c>
      <c r="P7" s="70">
        <v>1</v>
      </c>
      <c r="Q7" s="81">
        <v>0</v>
      </c>
      <c r="R7" s="71">
        <v>1</v>
      </c>
      <c r="S7"/>
      <c r="T7"/>
    </row>
    <row r="8" spans="1:23" ht="15" customHeight="1" x14ac:dyDescent="0.15">
      <c r="A8" s="83" t="s">
        <v>56</v>
      </c>
      <c r="B8" s="90">
        <v>1</v>
      </c>
      <c r="C8" s="197" t="s">
        <v>223</v>
      </c>
      <c r="D8" s="85" t="s">
        <v>160</v>
      </c>
      <c r="F8" s="196" t="s">
        <v>195</v>
      </c>
      <c r="G8" s="81">
        <v>0</v>
      </c>
      <c r="H8" s="81">
        <v>0</v>
      </c>
      <c r="I8" s="81">
        <v>0</v>
      </c>
      <c r="J8" s="81">
        <v>0</v>
      </c>
      <c r="K8" s="81">
        <v>0</v>
      </c>
      <c r="L8" s="81">
        <v>1</v>
      </c>
      <c r="M8" s="81">
        <v>0</v>
      </c>
      <c r="N8" s="81">
        <v>1</v>
      </c>
      <c r="O8" s="81">
        <v>0</v>
      </c>
      <c r="P8" s="70">
        <v>1</v>
      </c>
      <c r="Q8" s="81">
        <v>0</v>
      </c>
      <c r="R8" s="71">
        <v>1</v>
      </c>
      <c r="S8"/>
      <c r="T8"/>
      <c r="W8"/>
    </row>
    <row r="9" spans="1:23" ht="15" customHeight="1" x14ac:dyDescent="0.15">
      <c r="A9" s="122" t="s">
        <v>168</v>
      </c>
      <c r="B9" s="92"/>
      <c r="C9" s="80"/>
      <c r="D9" s="85" t="s">
        <v>160</v>
      </c>
      <c r="F9" s="196" t="s">
        <v>196</v>
      </c>
      <c r="G9" s="81">
        <v>0</v>
      </c>
      <c r="H9" s="81">
        <v>0</v>
      </c>
      <c r="I9" s="81">
        <v>0</v>
      </c>
      <c r="J9" s="81">
        <v>0</v>
      </c>
      <c r="K9" s="81">
        <v>0</v>
      </c>
      <c r="L9" s="81">
        <v>1</v>
      </c>
      <c r="M9" s="81">
        <v>0</v>
      </c>
      <c r="N9" s="81">
        <v>1</v>
      </c>
      <c r="O9" s="81">
        <v>0</v>
      </c>
      <c r="P9" s="70">
        <v>1</v>
      </c>
      <c r="Q9" s="81">
        <v>0</v>
      </c>
      <c r="R9" s="71">
        <v>1</v>
      </c>
      <c r="S9"/>
      <c r="T9"/>
      <c r="W9"/>
    </row>
    <row r="10" spans="1:23" ht="15" customHeight="1" x14ac:dyDescent="0.15">
      <c r="B10" s="92"/>
      <c r="C10" s="80"/>
      <c r="D10" s="85" t="s">
        <v>160</v>
      </c>
      <c r="F10" s="196" t="s">
        <v>197</v>
      </c>
      <c r="G10" s="81">
        <v>0</v>
      </c>
      <c r="H10" s="81">
        <v>0</v>
      </c>
      <c r="I10" s="81">
        <v>0</v>
      </c>
      <c r="J10" s="81">
        <v>0</v>
      </c>
      <c r="K10" s="81">
        <v>0</v>
      </c>
      <c r="L10" s="81">
        <v>1</v>
      </c>
      <c r="M10" s="81">
        <v>0</v>
      </c>
      <c r="N10" s="81">
        <v>1</v>
      </c>
      <c r="O10" s="81">
        <v>0</v>
      </c>
      <c r="P10" s="70">
        <v>1</v>
      </c>
      <c r="Q10" s="81">
        <v>0</v>
      </c>
      <c r="R10" s="71">
        <v>1</v>
      </c>
      <c r="S10"/>
      <c r="T10"/>
      <c r="W10"/>
    </row>
    <row r="11" spans="1:23" ht="15" customHeight="1" x14ac:dyDescent="0.15">
      <c r="A11" s="83"/>
      <c r="B11" s="92"/>
      <c r="C11" s="95"/>
      <c r="D11" s="85" t="s">
        <v>160</v>
      </c>
      <c r="F11" s="196" t="s">
        <v>198</v>
      </c>
      <c r="G11" s="81">
        <v>0</v>
      </c>
      <c r="H11" s="81">
        <v>0</v>
      </c>
      <c r="I11" s="81">
        <v>0</v>
      </c>
      <c r="J11" s="81">
        <v>0</v>
      </c>
      <c r="K11" s="81">
        <v>0</v>
      </c>
      <c r="L11" s="81">
        <v>1</v>
      </c>
      <c r="M11" s="81">
        <v>0</v>
      </c>
      <c r="N11" s="81">
        <v>1</v>
      </c>
      <c r="O11" s="81">
        <v>0</v>
      </c>
      <c r="P11" s="70">
        <v>1</v>
      </c>
      <c r="Q11" s="81">
        <v>0</v>
      </c>
      <c r="R11" s="71">
        <v>1</v>
      </c>
      <c r="S11"/>
      <c r="T11"/>
      <c r="W11"/>
    </row>
    <row r="12" spans="1:23" ht="15" customHeight="1" x14ac:dyDescent="0.15">
      <c r="B12" s="92"/>
      <c r="C12" s="96"/>
      <c r="D12" s="85" t="s">
        <v>160</v>
      </c>
      <c r="F12" s="196" t="s">
        <v>199</v>
      </c>
      <c r="G12" s="81">
        <v>0</v>
      </c>
      <c r="H12" s="81">
        <v>0</v>
      </c>
      <c r="I12" s="81">
        <v>0</v>
      </c>
      <c r="J12" s="81">
        <v>0</v>
      </c>
      <c r="K12" s="81">
        <v>0</v>
      </c>
      <c r="L12" s="81">
        <v>1</v>
      </c>
      <c r="M12" s="81">
        <v>0</v>
      </c>
      <c r="N12" s="81">
        <v>1</v>
      </c>
      <c r="O12" s="81">
        <v>0</v>
      </c>
      <c r="P12" s="70">
        <v>1</v>
      </c>
      <c r="Q12" s="81">
        <v>0</v>
      </c>
      <c r="R12" s="71">
        <v>1</v>
      </c>
      <c r="S12"/>
      <c r="T12"/>
      <c r="W12"/>
    </row>
    <row r="13" spans="1:23" ht="15" customHeight="1" x14ac:dyDescent="0.15">
      <c r="B13" s="92"/>
      <c r="C13" s="96"/>
      <c r="D13" s="85" t="s">
        <v>160</v>
      </c>
      <c r="F13" s="196" t="s">
        <v>200</v>
      </c>
      <c r="G13" s="81">
        <v>0</v>
      </c>
      <c r="H13" s="81">
        <v>0</v>
      </c>
      <c r="I13" s="81">
        <v>0</v>
      </c>
      <c r="J13" s="81">
        <v>0</v>
      </c>
      <c r="K13" s="81">
        <v>0</v>
      </c>
      <c r="L13" s="81">
        <v>1</v>
      </c>
      <c r="M13" s="81">
        <v>0</v>
      </c>
      <c r="N13" s="81">
        <v>1</v>
      </c>
      <c r="O13" s="81">
        <v>0</v>
      </c>
      <c r="P13" s="70">
        <v>1</v>
      </c>
      <c r="Q13" s="81">
        <v>0</v>
      </c>
      <c r="R13" s="71">
        <v>1</v>
      </c>
      <c r="S13"/>
      <c r="T13"/>
      <c r="W13"/>
    </row>
    <row r="14" spans="1:23" ht="15" customHeight="1" x14ac:dyDescent="0.15">
      <c r="B14" s="92"/>
      <c r="C14" s="80"/>
      <c r="D14" s="85" t="s">
        <v>160</v>
      </c>
      <c r="F14" s="196" t="s">
        <v>201</v>
      </c>
      <c r="G14" s="81">
        <v>0</v>
      </c>
      <c r="H14" s="81">
        <v>0</v>
      </c>
      <c r="I14" s="81">
        <v>0</v>
      </c>
      <c r="J14" s="81">
        <v>0</v>
      </c>
      <c r="K14" s="81">
        <v>0</v>
      </c>
      <c r="L14" s="81">
        <v>1</v>
      </c>
      <c r="M14" s="81">
        <v>0</v>
      </c>
      <c r="N14" s="81">
        <v>1</v>
      </c>
      <c r="O14" s="81">
        <v>0</v>
      </c>
      <c r="P14" s="70">
        <v>1</v>
      </c>
      <c r="Q14" s="81">
        <v>0</v>
      </c>
      <c r="R14" s="71">
        <v>1</v>
      </c>
      <c r="S14"/>
      <c r="T14"/>
      <c r="W14"/>
    </row>
    <row r="15" spans="1:23" ht="15" customHeight="1" x14ac:dyDescent="0.15">
      <c r="B15" s="92"/>
      <c r="C15" s="80"/>
      <c r="D15" s="85" t="s">
        <v>160</v>
      </c>
      <c r="F15" s="196" t="s">
        <v>202</v>
      </c>
      <c r="G15" s="81">
        <v>0</v>
      </c>
      <c r="H15" s="81">
        <v>0</v>
      </c>
      <c r="I15" s="81">
        <v>0</v>
      </c>
      <c r="J15" s="81">
        <v>0</v>
      </c>
      <c r="K15" s="81">
        <v>0</v>
      </c>
      <c r="L15" s="81">
        <v>1</v>
      </c>
      <c r="M15" s="81">
        <v>0</v>
      </c>
      <c r="N15" s="81">
        <v>1</v>
      </c>
      <c r="O15" s="81">
        <v>0</v>
      </c>
      <c r="P15" s="70">
        <v>1</v>
      </c>
      <c r="Q15" s="81">
        <v>0</v>
      </c>
      <c r="R15" s="71">
        <v>1</v>
      </c>
      <c r="S15"/>
      <c r="T15"/>
      <c r="W15"/>
    </row>
    <row r="16" spans="1:23" ht="15" customHeight="1" x14ac:dyDescent="0.15">
      <c r="B16" s="92"/>
      <c r="C16" s="80"/>
      <c r="D16" s="85" t="s">
        <v>160</v>
      </c>
      <c r="F16" s="196" t="s">
        <v>203</v>
      </c>
      <c r="G16" s="81">
        <v>0</v>
      </c>
      <c r="H16" s="81">
        <v>0</v>
      </c>
      <c r="I16" s="81">
        <v>0</v>
      </c>
      <c r="J16" s="81">
        <v>0</v>
      </c>
      <c r="K16" s="81">
        <v>0</v>
      </c>
      <c r="L16" s="81">
        <v>1</v>
      </c>
      <c r="M16" s="81">
        <v>0</v>
      </c>
      <c r="N16" s="81">
        <v>1</v>
      </c>
      <c r="O16" s="81">
        <v>0</v>
      </c>
      <c r="P16" s="70">
        <v>1</v>
      </c>
      <c r="Q16" s="81">
        <v>0</v>
      </c>
      <c r="R16" s="71">
        <v>1</v>
      </c>
      <c r="S16"/>
      <c r="T16"/>
    </row>
    <row r="17" spans="1:20" ht="15" customHeight="1" thickBot="1" x14ac:dyDescent="0.2">
      <c r="B17" s="91"/>
      <c r="C17" s="80"/>
      <c r="D17" s="85" t="s">
        <v>160</v>
      </c>
      <c r="F17" s="196" t="s">
        <v>204</v>
      </c>
      <c r="G17" s="81">
        <v>0</v>
      </c>
      <c r="H17" s="81">
        <v>0</v>
      </c>
      <c r="I17" s="81">
        <v>0</v>
      </c>
      <c r="J17" s="81">
        <v>0</v>
      </c>
      <c r="K17" s="81">
        <v>0</v>
      </c>
      <c r="L17" s="81">
        <v>1</v>
      </c>
      <c r="M17" s="81">
        <v>0</v>
      </c>
      <c r="N17" s="81">
        <v>1</v>
      </c>
      <c r="O17" s="81">
        <v>0</v>
      </c>
      <c r="P17" s="70">
        <v>1</v>
      </c>
      <c r="Q17" s="81">
        <v>0</v>
      </c>
      <c r="R17" s="71">
        <v>1</v>
      </c>
      <c r="S17"/>
      <c r="T17"/>
    </row>
    <row r="18" spans="1:20" ht="15" customHeight="1" thickBot="1" x14ac:dyDescent="0.2">
      <c r="B18" s="93"/>
      <c r="F18" s="196" t="s">
        <v>205</v>
      </c>
      <c r="G18" s="81">
        <v>0</v>
      </c>
      <c r="H18" s="81">
        <v>0</v>
      </c>
      <c r="I18" s="81">
        <v>0</v>
      </c>
      <c r="J18" s="81">
        <v>0</v>
      </c>
      <c r="K18" s="81">
        <v>0</v>
      </c>
      <c r="L18" s="81">
        <v>1</v>
      </c>
      <c r="M18" s="81">
        <v>0</v>
      </c>
      <c r="N18" s="81">
        <v>1</v>
      </c>
      <c r="O18" s="81">
        <v>0</v>
      </c>
      <c r="P18" s="70">
        <v>1</v>
      </c>
      <c r="Q18" s="81">
        <v>0</v>
      </c>
      <c r="R18" s="71">
        <v>1</v>
      </c>
      <c r="S18"/>
      <c r="T18"/>
    </row>
    <row r="19" spans="1:20" ht="15" customHeight="1" x14ac:dyDescent="0.15">
      <c r="A19" s="83" t="s">
        <v>57</v>
      </c>
      <c r="B19" s="90">
        <v>1</v>
      </c>
      <c r="C19" s="198" t="s">
        <v>223</v>
      </c>
      <c r="D19" s="85" t="s">
        <v>160</v>
      </c>
      <c r="F19" s="196" t="s">
        <v>206</v>
      </c>
      <c r="G19" s="81">
        <v>0</v>
      </c>
      <c r="H19" s="81">
        <v>0</v>
      </c>
      <c r="I19" s="81">
        <v>0</v>
      </c>
      <c r="J19" s="81">
        <v>0</v>
      </c>
      <c r="K19" s="81">
        <v>0</v>
      </c>
      <c r="L19" s="81">
        <v>1</v>
      </c>
      <c r="M19" s="81">
        <v>0</v>
      </c>
      <c r="N19" s="81">
        <v>1</v>
      </c>
      <c r="O19" s="81">
        <v>0</v>
      </c>
      <c r="P19" s="70">
        <v>1</v>
      </c>
      <c r="Q19" s="81">
        <v>0</v>
      </c>
      <c r="R19" s="71">
        <v>1</v>
      </c>
      <c r="S19"/>
      <c r="T19"/>
    </row>
    <row r="20" spans="1:20" ht="15" customHeight="1" x14ac:dyDescent="0.15">
      <c r="A20" s="122" t="s">
        <v>168</v>
      </c>
      <c r="B20" s="92"/>
      <c r="C20" s="80"/>
      <c r="D20" s="85" t="s">
        <v>160</v>
      </c>
      <c r="F20" s="196" t="s">
        <v>207</v>
      </c>
      <c r="G20" s="81">
        <v>0</v>
      </c>
      <c r="H20" s="81">
        <v>0</v>
      </c>
      <c r="I20" s="81">
        <v>0</v>
      </c>
      <c r="J20" s="81">
        <v>0</v>
      </c>
      <c r="K20" s="81">
        <v>0</v>
      </c>
      <c r="L20" s="81">
        <v>1</v>
      </c>
      <c r="M20" s="81">
        <v>0</v>
      </c>
      <c r="N20" s="81">
        <v>1</v>
      </c>
      <c r="O20" s="81">
        <v>0</v>
      </c>
      <c r="P20" s="70">
        <v>1</v>
      </c>
      <c r="Q20" s="81">
        <v>0</v>
      </c>
      <c r="R20" s="71">
        <v>1</v>
      </c>
      <c r="S20"/>
      <c r="T20"/>
    </row>
    <row r="21" spans="1:20" ht="15" customHeight="1" x14ac:dyDescent="0.15">
      <c r="B21" s="92"/>
      <c r="C21" s="80"/>
      <c r="D21" s="85" t="s">
        <v>160</v>
      </c>
      <c r="F21" s="196" t="s">
        <v>208</v>
      </c>
      <c r="G21" s="81">
        <v>0</v>
      </c>
      <c r="H21" s="81">
        <v>0</v>
      </c>
      <c r="I21" s="81">
        <v>0</v>
      </c>
      <c r="J21" s="81">
        <v>0</v>
      </c>
      <c r="K21" s="81">
        <v>0</v>
      </c>
      <c r="L21" s="81">
        <v>1</v>
      </c>
      <c r="M21" s="81">
        <v>0</v>
      </c>
      <c r="N21" s="81">
        <v>1</v>
      </c>
      <c r="O21" s="81">
        <v>0</v>
      </c>
      <c r="P21" s="70">
        <v>1</v>
      </c>
      <c r="Q21" s="81">
        <v>0</v>
      </c>
      <c r="R21" s="71">
        <v>1</v>
      </c>
      <c r="S21"/>
      <c r="T21"/>
    </row>
    <row r="22" spans="1:20" ht="15" customHeight="1" x14ac:dyDescent="0.15">
      <c r="A22" s="81"/>
      <c r="B22" s="92"/>
      <c r="C22" s="95"/>
      <c r="D22" s="85" t="s">
        <v>160</v>
      </c>
      <c r="F22" s="196" t="s">
        <v>209</v>
      </c>
      <c r="G22" s="81">
        <v>0</v>
      </c>
      <c r="H22" s="81">
        <v>0</v>
      </c>
      <c r="I22" s="81">
        <v>0</v>
      </c>
      <c r="J22" s="81">
        <v>0</v>
      </c>
      <c r="K22" s="81">
        <v>0</v>
      </c>
      <c r="L22" s="81">
        <v>1</v>
      </c>
      <c r="M22" s="81">
        <v>0</v>
      </c>
      <c r="N22" s="81">
        <v>1</v>
      </c>
      <c r="O22" s="81">
        <v>0</v>
      </c>
      <c r="P22" s="70">
        <v>1</v>
      </c>
      <c r="Q22" s="81">
        <v>0</v>
      </c>
      <c r="R22" s="71">
        <v>1</v>
      </c>
      <c r="S22"/>
      <c r="T22"/>
    </row>
    <row r="23" spans="1:20" ht="15" customHeight="1" x14ac:dyDescent="0.15">
      <c r="A23" s="81"/>
      <c r="B23" s="92"/>
      <c r="C23" s="96"/>
      <c r="D23" s="85" t="s">
        <v>160</v>
      </c>
      <c r="F23" s="196" t="s">
        <v>210</v>
      </c>
      <c r="G23" s="81">
        <v>0</v>
      </c>
      <c r="H23" s="81">
        <v>0</v>
      </c>
      <c r="I23" s="81">
        <v>0</v>
      </c>
      <c r="J23" s="81">
        <v>0</v>
      </c>
      <c r="K23" s="81">
        <v>0</v>
      </c>
      <c r="L23" s="81">
        <v>1</v>
      </c>
      <c r="M23" s="81">
        <v>0</v>
      </c>
      <c r="N23" s="81">
        <v>1</v>
      </c>
      <c r="O23" s="81">
        <v>0</v>
      </c>
      <c r="P23" s="70">
        <v>1</v>
      </c>
      <c r="Q23" s="81">
        <v>0</v>
      </c>
      <c r="R23" s="71">
        <v>1</v>
      </c>
      <c r="S23"/>
      <c r="T23"/>
    </row>
    <row r="24" spans="1:20" ht="15" customHeight="1" x14ac:dyDescent="0.15">
      <c r="A24" s="81"/>
      <c r="B24" s="92"/>
      <c r="C24" s="96"/>
      <c r="D24" s="85" t="s">
        <v>160</v>
      </c>
      <c r="F24" s="196" t="s">
        <v>211</v>
      </c>
      <c r="G24" s="81">
        <v>0</v>
      </c>
      <c r="H24" s="81">
        <v>0</v>
      </c>
      <c r="I24" s="81">
        <v>0</v>
      </c>
      <c r="J24" s="81">
        <v>0</v>
      </c>
      <c r="K24" s="81">
        <v>0</v>
      </c>
      <c r="L24" s="81">
        <v>1</v>
      </c>
      <c r="M24" s="81">
        <v>0</v>
      </c>
      <c r="N24" s="81">
        <v>1</v>
      </c>
      <c r="O24" s="81">
        <v>0</v>
      </c>
      <c r="P24" s="70">
        <v>1</v>
      </c>
      <c r="Q24" s="81">
        <v>0</v>
      </c>
      <c r="R24" s="71">
        <v>1</v>
      </c>
      <c r="S24"/>
      <c r="T24"/>
    </row>
    <row r="25" spans="1:20" ht="15" customHeight="1" x14ac:dyDescent="0.15">
      <c r="A25" s="81"/>
      <c r="B25" s="92"/>
      <c r="C25" s="80"/>
      <c r="D25" s="85" t="s">
        <v>160</v>
      </c>
      <c r="F25" s="196" t="s">
        <v>212</v>
      </c>
      <c r="G25" s="81">
        <v>0</v>
      </c>
      <c r="H25" s="81">
        <v>0</v>
      </c>
      <c r="I25" s="81">
        <v>0</v>
      </c>
      <c r="J25" s="81">
        <v>0</v>
      </c>
      <c r="K25" s="81">
        <v>0</v>
      </c>
      <c r="L25" s="81">
        <v>1</v>
      </c>
      <c r="M25" s="81">
        <v>0</v>
      </c>
      <c r="N25" s="81">
        <v>1</v>
      </c>
      <c r="O25" s="81">
        <v>0</v>
      </c>
      <c r="P25" s="70">
        <v>1</v>
      </c>
      <c r="Q25" s="81">
        <v>0</v>
      </c>
      <c r="R25" s="71">
        <v>1</v>
      </c>
      <c r="S25"/>
      <c r="T25"/>
    </row>
    <row r="26" spans="1:20" ht="15" customHeight="1" x14ac:dyDescent="0.15">
      <c r="B26" s="92"/>
      <c r="C26" s="80"/>
      <c r="D26" s="85" t="s">
        <v>160</v>
      </c>
      <c r="F26" s="196" t="s">
        <v>213</v>
      </c>
      <c r="G26" s="81">
        <v>0</v>
      </c>
      <c r="H26" s="81">
        <v>0</v>
      </c>
      <c r="I26" s="81">
        <v>0</v>
      </c>
      <c r="J26" s="81">
        <v>0</v>
      </c>
      <c r="K26" s="81">
        <v>0</v>
      </c>
      <c r="L26" s="81">
        <v>1</v>
      </c>
      <c r="M26" s="81">
        <v>0</v>
      </c>
      <c r="N26" s="81">
        <v>1</v>
      </c>
      <c r="O26" s="81">
        <v>0</v>
      </c>
      <c r="P26" s="70">
        <v>1</v>
      </c>
      <c r="Q26" s="81">
        <v>0</v>
      </c>
      <c r="R26" s="71">
        <v>1</v>
      </c>
      <c r="S26"/>
      <c r="T26"/>
    </row>
    <row r="27" spans="1:20" ht="15" customHeight="1" x14ac:dyDescent="0.15">
      <c r="B27" s="92"/>
      <c r="C27" s="80"/>
      <c r="D27" s="85" t="s">
        <v>160</v>
      </c>
      <c r="F27" s="196" t="s">
        <v>214</v>
      </c>
      <c r="G27" s="81">
        <v>0</v>
      </c>
      <c r="H27" s="81">
        <v>0</v>
      </c>
      <c r="I27" s="81">
        <v>0</v>
      </c>
      <c r="J27" s="81">
        <v>0</v>
      </c>
      <c r="K27" s="81">
        <v>0</v>
      </c>
      <c r="L27" s="81">
        <v>1</v>
      </c>
      <c r="M27" s="81">
        <v>0</v>
      </c>
      <c r="N27" s="81">
        <v>1</v>
      </c>
      <c r="O27" s="81">
        <v>0</v>
      </c>
      <c r="P27" s="70">
        <v>1</v>
      </c>
      <c r="Q27" s="81">
        <v>0</v>
      </c>
      <c r="R27" s="71">
        <v>1</v>
      </c>
      <c r="S27"/>
      <c r="T27"/>
    </row>
    <row r="28" spans="1:20" ht="15" customHeight="1" thickBot="1" x14ac:dyDescent="0.2">
      <c r="B28" s="91"/>
      <c r="C28" s="80"/>
      <c r="D28" s="85" t="s">
        <v>160</v>
      </c>
      <c r="F28" s="196" t="s">
        <v>215</v>
      </c>
      <c r="G28" s="81">
        <v>0</v>
      </c>
      <c r="H28" s="81">
        <v>0</v>
      </c>
      <c r="I28" s="81">
        <v>0</v>
      </c>
      <c r="J28" s="81">
        <v>0</v>
      </c>
      <c r="K28" s="81">
        <v>0</v>
      </c>
      <c r="L28" s="81">
        <v>1</v>
      </c>
      <c r="M28" s="81">
        <v>0</v>
      </c>
      <c r="N28" s="81">
        <v>1</v>
      </c>
      <c r="O28" s="81">
        <v>0</v>
      </c>
      <c r="P28" s="70">
        <v>1</v>
      </c>
      <c r="Q28" s="81">
        <v>0</v>
      </c>
      <c r="R28" s="71">
        <v>1</v>
      </c>
      <c r="S28"/>
      <c r="T28"/>
    </row>
    <row r="29" spans="1:20" ht="15" customHeight="1" x14ac:dyDescent="0.15">
      <c r="F29" s="196" t="s">
        <v>216</v>
      </c>
      <c r="G29" s="81">
        <v>0</v>
      </c>
      <c r="H29" s="81">
        <v>0</v>
      </c>
      <c r="I29" s="81">
        <v>0</v>
      </c>
      <c r="J29" s="81">
        <v>0</v>
      </c>
      <c r="K29" s="81">
        <v>0.2</v>
      </c>
      <c r="L29" s="81">
        <v>0.8</v>
      </c>
      <c r="M29" s="81">
        <v>0.2</v>
      </c>
      <c r="N29" s="81">
        <v>0.8</v>
      </c>
      <c r="O29" s="81">
        <v>0.2</v>
      </c>
      <c r="P29" s="70">
        <v>0.8</v>
      </c>
      <c r="Q29" s="81">
        <v>0</v>
      </c>
      <c r="R29" s="71">
        <v>1</v>
      </c>
      <c r="S29"/>
      <c r="T29"/>
    </row>
    <row r="30" spans="1:20" ht="15" customHeight="1" x14ac:dyDescent="0.15">
      <c r="F30" s="196" t="s">
        <v>217</v>
      </c>
      <c r="G30" s="81">
        <v>0</v>
      </c>
      <c r="H30" s="81">
        <v>0</v>
      </c>
      <c r="I30" s="81">
        <v>0</v>
      </c>
      <c r="J30" s="81">
        <v>0</v>
      </c>
      <c r="K30" s="81">
        <v>0.2</v>
      </c>
      <c r="L30" s="81">
        <v>0.8</v>
      </c>
      <c r="M30" s="81">
        <v>0.2</v>
      </c>
      <c r="N30" s="81">
        <v>0.8</v>
      </c>
      <c r="O30" s="81">
        <v>0.2</v>
      </c>
      <c r="P30" s="70">
        <v>0.8</v>
      </c>
      <c r="Q30" s="81">
        <v>0</v>
      </c>
      <c r="R30" s="71">
        <v>1</v>
      </c>
      <c r="S30"/>
      <c r="T30"/>
    </row>
    <row r="31" spans="1:20" ht="15" customHeight="1" x14ac:dyDescent="0.15">
      <c r="A31" s="123"/>
      <c r="B31" s="134" t="s">
        <v>17</v>
      </c>
      <c r="C31" s="134" t="s">
        <v>1</v>
      </c>
      <c r="D31" s="134" t="s">
        <v>161</v>
      </c>
      <c r="E31" s="135" t="s">
        <v>163</v>
      </c>
      <c r="F31" s="196" t="s">
        <v>218</v>
      </c>
      <c r="G31" s="81">
        <v>0</v>
      </c>
      <c r="H31" s="81">
        <v>0</v>
      </c>
      <c r="I31" s="81">
        <v>0</v>
      </c>
      <c r="J31" s="81">
        <v>0</v>
      </c>
      <c r="K31" s="81">
        <v>1</v>
      </c>
      <c r="L31" s="81">
        <v>0</v>
      </c>
      <c r="M31" s="81">
        <v>1</v>
      </c>
      <c r="N31" s="81">
        <v>0</v>
      </c>
      <c r="O31" s="81">
        <v>1</v>
      </c>
      <c r="P31" s="70">
        <v>0</v>
      </c>
      <c r="Q31" s="81">
        <v>0</v>
      </c>
      <c r="R31" s="71">
        <v>1</v>
      </c>
      <c r="S31"/>
      <c r="T31"/>
    </row>
    <row r="32" spans="1:20" ht="15" customHeight="1" x14ac:dyDescent="0.15">
      <c r="A32" s="199" t="s">
        <v>223</v>
      </c>
      <c r="B32" s="93">
        <v>18</v>
      </c>
      <c r="C32" s="93">
        <v>65</v>
      </c>
      <c r="D32" s="93">
        <v>1170</v>
      </c>
      <c r="E32" s="125">
        <v>1</v>
      </c>
      <c r="F32" s="196" t="s">
        <v>219</v>
      </c>
      <c r="G32" s="81">
        <v>0</v>
      </c>
      <c r="H32" s="81">
        <v>0</v>
      </c>
      <c r="I32" s="81">
        <v>0</v>
      </c>
      <c r="J32" s="81">
        <v>0</v>
      </c>
      <c r="K32" s="81">
        <v>1</v>
      </c>
      <c r="L32" s="81">
        <v>0</v>
      </c>
      <c r="M32" s="81">
        <v>1</v>
      </c>
      <c r="N32" s="81">
        <v>0</v>
      </c>
      <c r="O32" s="81">
        <v>1</v>
      </c>
      <c r="P32" s="70">
        <v>0</v>
      </c>
      <c r="Q32" s="81">
        <v>0</v>
      </c>
      <c r="R32" s="71">
        <v>1</v>
      </c>
      <c r="S32"/>
      <c r="T32"/>
    </row>
    <row r="33" spans="1:20" ht="15" customHeight="1" x14ac:dyDescent="0.15">
      <c r="A33" s="124"/>
      <c r="B33" s="93"/>
      <c r="C33" s="93"/>
      <c r="D33" s="93"/>
      <c r="E33" s="125"/>
      <c r="F33" s="196" t="s">
        <v>220</v>
      </c>
      <c r="G33" s="81">
        <v>0</v>
      </c>
      <c r="H33" s="81">
        <v>0</v>
      </c>
      <c r="I33" s="81">
        <v>0</v>
      </c>
      <c r="J33" s="81">
        <v>0</v>
      </c>
      <c r="K33" s="81">
        <v>0</v>
      </c>
      <c r="L33" s="81">
        <v>1</v>
      </c>
      <c r="M33" s="81">
        <v>0</v>
      </c>
      <c r="N33" s="81">
        <v>1</v>
      </c>
      <c r="O33" s="81">
        <v>0</v>
      </c>
      <c r="P33" s="70">
        <v>1</v>
      </c>
      <c r="Q33" s="81">
        <v>0</v>
      </c>
      <c r="R33" s="71">
        <v>1</v>
      </c>
      <c r="S33"/>
      <c r="T33"/>
    </row>
    <row r="34" spans="1:20" ht="15" customHeight="1" x14ac:dyDescent="0.15">
      <c r="A34" s="126"/>
      <c r="B34" s="93"/>
      <c r="C34" s="93"/>
      <c r="D34" s="93"/>
      <c r="E34" s="125"/>
      <c r="F34" s="196" t="s">
        <v>221</v>
      </c>
      <c r="G34" s="81">
        <v>0</v>
      </c>
      <c r="H34" s="81">
        <v>0</v>
      </c>
      <c r="I34" s="81">
        <v>0</v>
      </c>
      <c r="J34" s="81">
        <v>0</v>
      </c>
      <c r="K34" s="81">
        <v>0</v>
      </c>
      <c r="L34" s="81">
        <v>1</v>
      </c>
      <c r="M34" s="81">
        <v>0</v>
      </c>
      <c r="N34" s="81">
        <v>1</v>
      </c>
      <c r="O34" s="81">
        <v>0</v>
      </c>
      <c r="P34" s="70">
        <v>1</v>
      </c>
      <c r="Q34" s="81">
        <v>0</v>
      </c>
      <c r="R34" s="71">
        <v>1</v>
      </c>
      <c r="S34"/>
      <c r="T34"/>
    </row>
    <row r="35" spans="1:20" ht="15" customHeight="1" x14ac:dyDescent="0.15">
      <c r="A35" s="127"/>
      <c r="B35" s="93"/>
      <c r="C35" s="93"/>
      <c r="D35" s="93"/>
      <c r="E35" s="125"/>
      <c r="F35" s="196" t="s">
        <v>222</v>
      </c>
      <c r="G35" s="81">
        <v>0</v>
      </c>
      <c r="H35" s="81">
        <v>0</v>
      </c>
      <c r="I35" s="81">
        <v>0</v>
      </c>
      <c r="J35" s="81">
        <v>0</v>
      </c>
      <c r="K35" s="81">
        <v>0.3</v>
      </c>
      <c r="L35" s="81">
        <v>0.7</v>
      </c>
      <c r="M35" s="81">
        <v>0.3</v>
      </c>
      <c r="N35" s="81">
        <v>0.7</v>
      </c>
      <c r="O35" s="81">
        <v>0.3</v>
      </c>
      <c r="P35" s="70">
        <v>0.7</v>
      </c>
      <c r="Q35" s="81">
        <v>0</v>
      </c>
      <c r="R35" s="71">
        <v>1</v>
      </c>
      <c r="S35"/>
      <c r="T35"/>
    </row>
    <row r="36" spans="1:20" ht="15" customHeight="1" x14ac:dyDescent="0.15">
      <c r="A36" s="128"/>
      <c r="B36" s="93"/>
      <c r="C36" s="93"/>
      <c r="D36" s="93"/>
      <c r="E36" s="125"/>
      <c r="F36" s="196" t="s">
        <v>223</v>
      </c>
      <c r="G36" s="81">
        <v>0</v>
      </c>
      <c r="H36" s="81">
        <v>0</v>
      </c>
      <c r="I36" s="81">
        <v>0</v>
      </c>
      <c r="J36" s="81">
        <v>0</v>
      </c>
      <c r="K36" s="81">
        <v>0</v>
      </c>
      <c r="L36" s="81">
        <v>0</v>
      </c>
      <c r="M36" s="81">
        <v>1</v>
      </c>
      <c r="N36" s="81">
        <v>0</v>
      </c>
      <c r="O36" s="81">
        <v>0</v>
      </c>
      <c r="P36" s="70">
        <v>0</v>
      </c>
      <c r="Q36" s="81">
        <v>0</v>
      </c>
      <c r="R36" s="71">
        <v>1</v>
      </c>
      <c r="S36"/>
      <c r="T36"/>
    </row>
    <row r="37" spans="1:20" ht="15" customHeight="1" x14ac:dyDescent="0.15">
      <c r="A37" s="128"/>
      <c r="B37" s="93"/>
      <c r="C37" s="93"/>
      <c r="D37" s="93"/>
      <c r="E37" s="125"/>
      <c r="F37" s="196" t="s">
        <v>224</v>
      </c>
      <c r="G37" s="81">
        <v>0</v>
      </c>
      <c r="H37" s="81">
        <v>0</v>
      </c>
      <c r="I37" s="81">
        <v>0</v>
      </c>
      <c r="J37" s="81">
        <v>0</v>
      </c>
      <c r="K37" s="81">
        <v>1</v>
      </c>
      <c r="L37" s="81">
        <v>0</v>
      </c>
      <c r="M37" s="81">
        <v>1</v>
      </c>
      <c r="N37" s="81">
        <v>0</v>
      </c>
      <c r="O37" s="81">
        <v>1</v>
      </c>
      <c r="P37" s="70">
        <v>0</v>
      </c>
      <c r="Q37" s="81">
        <v>0</v>
      </c>
      <c r="R37" s="71">
        <v>1</v>
      </c>
      <c r="S37"/>
      <c r="T37"/>
    </row>
    <row r="38" spans="1:20" ht="15" customHeight="1" x14ac:dyDescent="0.15">
      <c r="A38" s="129"/>
      <c r="B38" s="93"/>
      <c r="C38" s="93"/>
      <c r="D38" s="93"/>
      <c r="E38" s="125"/>
      <c r="F38" s="196" t="s">
        <v>225</v>
      </c>
      <c r="G38" s="81">
        <v>0</v>
      </c>
      <c r="H38" s="81">
        <v>0</v>
      </c>
      <c r="I38" s="81">
        <v>0</v>
      </c>
      <c r="J38" s="81">
        <v>0</v>
      </c>
      <c r="K38" s="81">
        <v>0</v>
      </c>
      <c r="L38" s="81">
        <v>1</v>
      </c>
      <c r="M38" s="81">
        <v>0</v>
      </c>
      <c r="N38" s="81">
        <v>1</v>
      </c>
      <c r="O38" s="81">
        <v>0</v>
      </c>
      <c r="P38" s="70">
        <v>1</v>
      </c>
      <c r="Q38" s="81">
        <v>0</v>
      </c>
      <c r="R38" s="71">
        <v>1</v>
      </c>
      <c r="S38"/>
      <c r="T38"/>
    </row>
    <row r="39" spans="1:20" ht="15" customHeight="1" x14ac:dyDescent="0.15">
      <c r="A39" s="129"/>
      <c r="B39" s="93"/>
      <c r="C39" s="93"/>
      <c r="D39" s="93"/>
      <c r="E39" s="125"/>
      <c r="F39" s="196" t="s">
        <v>226</v>
      </c>
      <c r="G39" s="81">
        <v>0</v>
      </c>
      <c r="H39" s="81">
        <v>0</v>
      </c>
      <c r="I39" s="81">
        <v>0</v>
      </c>
      <c r="J39" s="81">
        <v>0</v>
      </c>
      <c r="K39" s="81">
        <v>0</v>
      </c>
      <c r="L39" s="81">
        <v>1</v>
      </c>
      <c r="M39" s="81">
        <v>0</v>
      </c>
      <c r="N39" s="81">
        <v>1</v>
      </c>
      <c r="O39" s="81">
        <v>0</v>
      </c>
      <c r="P39" s="70">
        <v>1</v>
      </c>
      <c r="Q39" s="81">
        <v>0</v>
      </c>
      <c r="R39" s="71">
        <v>1</v>
      </c>
      <c r="S39"/>
      <c r="T39"/>
    </row>
    <row r="40" spans="1:20" ht="15" customHeight="1" x14ac:dyDescent="0.15">
      <c r="A40" s="129"/>
      <c r="B40" s="93"/>
      <c r="C40" s="93"/>
      <c r="D40" s="93"/>
      <c r="E40" s="125"/>
      <c r="F40" s="196" t="s">
        <v>227</v>
      </c>
      <c r="G40" s="81">
        <v>0</v>
      </c>
      <c r="H40" s="81">
        <v>0</v>
      </c>
      <c r="I40" s="81">
        <v>0</v>
      </c>
      <c r="J40" s="81">
        <v>0</v>
      </c>
      <c r="K40" s="81">
        <v>0</v>
      </c>
      <c r="L40" s="81">
        <v>1</v>
      </c>
      <c r="M40" s="81">
        <v>0</v>
      </c>
      <c r="N40" s="81">
        <v>1</v>
      </c>
      <c r="O40" s="81">
        <v>0</v>
      </c>
      <c r="P40" s="70">
        <v>1</v>
      </c>
      <c r="Q40" s="81">
        <v>0</v>
      </c>
      <c r="R40" s="71">
        <v>1</v>
      </c>
      <c r="S40"/>
      <c r="T40"/>
    </row>
    <row r="41" spans="1:20" ht="15" customHeight="1" thickBot="1" x14ac:dyDescent="0.2">
      <c r="A41" s="129"/>
      <c r="B41" s="93"/>
      <c r="C41" s="93"/>
      <c r="D41" s="94"/>
      <c r="E41" s="130"/>
      <c r="F41" s="196" t="s">
        <v>228</v>
      </c>
      <c r="G41" s="81">
        <v>0</v>
      </c>
      <c r="H41" s="81">
        <v>0</v>
      </c>
      <c r="I41" s="81">
        <v>0</v>
      </c>
      <c r="J41" s="81">
        <v>0</v>
      </c>
      <c r="K41" s="81">
        <v>0</v>
      </c>
      <c r="L41" s="81">
        <v>1</v>
      </c>
      <c r="M41" s="81">
        <v>0</v>
      </c>
      <c r="N41" s="81">
        <v>1</v>
      </c>
      <c r="O41" s="81">
        <v>0</v>
      </c>
      <c r="P41" s="70">
        <v>1</v>
      </c>
      <c r="Q41" s="81">
        <v>0</v>
      </c>
      <c r="R41" s="71">
        <v>1</v>
      </c>
      <c r="S41"/>
      <c r="T41"/>
    </row>
    <row r="42" spans="1:20" ht="15" customHeight="1" x14ac:dyDescent="0.15">
      <c r="A42" s="131"/>
      <c r="B42" s="132"/>
      <c r="C42" s="132" t="s">
        <v>162</v>
      </c>
      <c r="D42" s="132">
        <f>SUM(D32:D41)</f>
        <v>1170</v>
      </c>
      <c r="E42" s="133">
        <f>SUM(E32:E41)</f>
        <v>1</v>
      </c>
      <c r="F42" s="196" t="s">
        <v>229</v>
      </c>
      <c r="G42" s="81">
        <v>0</v>
      </c>
      <c r="H42" s="81">
        <v>0</v>
      </c>
      <c r="I42" s="81">
        <v>0</v>
      </c>
      <c r="J42" s="81">
        <v>0</v>
      </c>
      <c r="K42" s="81">
        <v>0</v>
      </c>
      <c r="L42" s="81">
        <v>1</v>
      </c>
      <c r="M42" s="81">
        <v>0</v>
      </c>
      <c r="N42" s="81">
        <v>0</v>
      </c>
      <c r="O42" s="81">
        <v>0</v>
      </c>
      <c r="P42" s="70">
        <v>0</v>
      </c>
      <c r="Q42" s="81">
        <v>0</v>
      </c>
      <c r="R42" s="71">
        <v>1</v>
      </c>
      <c r="S42"/>
      <c r="T42"/>
    </row>
    <row r="43" spans="1:20" ht="15" customHeight="1" x14ac:dyDescent="0.15">
      <c r="A43" s="81"/>
      <c r="F43" s="196" t="s">
        <v>230</v>
      </c>
      <c r="G43" s="81">
        <v>0</v>
      </c>
      <c r="H43" s="81">
        <v>0</v>
      </c>
      <c r="I43" s="81">
        <v>0</v>
      </c>
      <c r="J43" s="81">
        <v>0</v>
      </c>
      <c r="K43" s="81">
        <v>0</v>
      </c>
      <c r="L43" s="81">
        <v>1</v>
      </c>
      <c r="M43" s="81">
        <v>0</v>
      </c>
      <c r="N43" s="81">
        <v>0</v>
      </c>
      <c r="O43" s="81">
        <v>0</v>
      </c>
      <c r="P43" s="70">
        <v>0</v>
      </c>
      <c r="Q43" s="81">
        <v>0</v>
      </c>
      <c r="R43" s="71">
        <v>1</v>
      </c>
      <c r="S43"/>
      <c r="T43"/>
    </row>
    <row r="44" spans="1:20" ht="15" customHeight="1" x14ac:dyDescent="0.15">
      <c r="A44" s="81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81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81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81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81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81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1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1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1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1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1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1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1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1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1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1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1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1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1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1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1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1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1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1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1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1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1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1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1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1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1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1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1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1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1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1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1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1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1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1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1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1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1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1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1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1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1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1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1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1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1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1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1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1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1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1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1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1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1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1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1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1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1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1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1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1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1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1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1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1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1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1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1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1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1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1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1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1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1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1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1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1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1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1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1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1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1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1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1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1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1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1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1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1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1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1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1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1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1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1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1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1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1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1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1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1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1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1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1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1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1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1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1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1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1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1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1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1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1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1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1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1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1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1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1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T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31.83203125" bestFit="1" customWidth="1"/>
    <col min="2" max="2" width="2.33203125" style="108" customWidth="1"/>
    <col min="3" max="5" width="7.83203125" style="108" customWidth="1"/>
    <col min="6" max="8" width="8.83203125" style="6"/>
    <col min="9" max="9" width="15.5" style="6" customWidth="1"/>
    <col min="10" max="10" width="8.5" style="6" customWidth="1"/>
    <col min="11" max="11" width="15.33203125" style="6" customWidth="1"/>
    <col min="12" max="12" width="10.6640625" style="6" customWidth="1"/>
    <col min="13" max="13" width="10" style="6" customWidth="1"/>
    <col min="14" max="14" width="15.5" style="6" customWidth="1"/>
    <col min="15" max="15" width="11.33203125" style="6" customWidth="1"/>
    <col min="16" max="16" width="15.83203125" style="6" customWidth="1"/>
    <col min="17" max="17" width="6.1640625" style="6" customWidth="1"/>
    <col min="18" max="18" width="13.1640625" style="6" customWidth="1"/>
    <col min="19" max="19" width="29.5" style="6" customWidth="1"/>
    <col min="20" max="20" width="9.5" style="6" customWidth="1"/>
    <col min="21" max="21" width="17.1640625" style="6" customWidth="1"/>
    <col min="22" max="22" width="7.5" style="6" customWidth="1"/>
    <col min="23" max="23" width="24" style="6" customWidth="1"/>
    <col min="24" max="24" width="14.5" style="6" customWidth="1"/>
    <col min="25" max="25" width="20.1640625" style="6" customWidth="1"/>
    <col min="26" max="26" width="27.1640625" style="6" customWidth="1"/>
    <col min="27" max="27" width="20" style="6" customWidth="1"/>
    <col min="28" max="28" width="31.83203125" style="6" customWidth="1"/>
    <col min="29" max="29" width="20.33203125" style="6" customWidth="1"/>
    <col min="30" max="30" width="14.33203125" style="6" customWidth="1"/>
    <col min="31" max="31" width="22.1640625" style="6" customWidth="1"/>
    <col min="32" max="32" width="9.33203125" style="6" customWidth="1"/>
    <col min="33" max="33" width="9.5" style="6" customWidth="1"/>
    <col min="34" max="34" width="21.5" style="6" customWidth="1"/>
    <col min="35" max="35" width="15.83203125" style="6" customWidth="1"/>
    <col min="36" max="36" width="12.6640625" style="6" customWidth="1"/>
    <col min="37" max="37" width="9.6640625" style="6" customWidth="1"/>
    <col min="38" max="38" width="8.1640625" style="6" customWidth="1"/>
    <col min="39" max="39" width="18" customWidth="1"/>
    <col min="40" max="40" width="18.33203125" customWidth="1"/>
    <col min="41" max="41" width="11.6640625" customWidth="1"/>
    <col min="42" max="42" width="22.5" customWidth="1"/>
    <col min="43" max="43" width="22.6640625" customWidth="1"/>
    <col min="44" max="44" width="14.33203125" customWidth="1"/>
    <col min="45" max="45" width="19.33203125" customWidth="1"/>
    <col min="46" max="46" width="14.1640625" customWidth="1"/>
    <col min="81" max="81" width="22.1640625" bestFit="1" customWidth="1"/>
  </cols>
  <sheetData>
    <row r="1" spans="1:46" x14ac:dyDescent="0.15">
      <c r="A1" s="4" t="s">
        <v>156</v>
      </c>
      <c r="B1" s="36" t="s">
        <v>157</v>
      </c>
      <c r="C1" s="36" t="s">
        <v>17</v>
      </c>
      <c r="D1" s="36" t="s">
        <v>158</v>
      </c>
      <c r="E1" s="36" t="s">
        <v>159</v>
      </c>
      <c r="F1" t="s">
        <v>38</v>
      </c>
      <c r="G1" t="s">
        <v>40</v>
      </c>
      <c r="H1" t="s">
        <v>41</v>
      </c>
      <c r="I1" s="201" t="s">
        <v>193</v>
      </c>
      <c r="J1" s="201" t="s">
        <v>194</v>
      </c>
      <c r="K1" s="201" t="s">
        <v>195</v>
      </c>
      <c r="L1" s="201" t="s">
        <v>196</v>
      </c>
      <c r="M1" s="201" t="s">
        <v>197</v>
      </c>
      <c r="N1" s="201" t="s">
        <v>198</v>
      </c>
      <c r="O1" s="201" t="s">
        <v>199</v>
      </c>
      <c r="P1" s="201" t="s">
        <v>200</v>
      </c>
      <c r="Q1" s="201" t="s">
        <v>201</v>
      </c>
      <c r="R1" s="201" t="s">
        <v>202</v>
      </c>
      <c r="S1" s="201" t="s">
        <v>203</v>
      </c>
      <c r="T1" s="201" t="s">
        <v>204</v>
      </c>
      <c r="U1" s="201" t="s">
        <v>205</v>
      </c>
      <c r="V1" s="201" t="s">
        <v>206</v>
      </c>
      <c r="W1" s="201" t="s">
        <v>207</v>
      </c>
      <c r="X1" s="201" t="s">
        <v>208</v>
      </c>
      <c r="Y1" s="201" t="s">
        <v>209</v>
      </c>
      <c r="Z1" s="201" t="s">
        <v>210</v>
      </c>
      <c r="AA1" s="201" t="s">
        <v>211</v>
      </c>
      <c r="AB1" s="201" t="s">
        <v>212</v>
      </c>
      <c r="AC1" s="201" t="s">
        <v>213</v>
      </c>
      <c r="AD1" s="201" t="s">
        <v>214</v>
      </c>
      <c r="AE1" s="201" t="s">
        <v>215</v>
      </c>
      <c r="AF1" s="201" t="s">
        <v>216</v>
      </c>
      <c r="AG1" s="201" t="s">
        <v>217</v>
      </c>
      <c r="AH1" s="201" t="s">
        <v>218</v>
      </c>
      <c r="AI1" s="201" t="s">
        <v>219</v>
      </c>
      <c r="AJ1" s="201" t="s">
        <v>220</v>
      </c>
      <c r="AK1" s="201" t="s">
        <v>221</v>
      </c>
      <c r="AL1" s="201" t="s">
        <v>222</v>
      </c>
      <c r="AM1" s="201" t="s">
        <v>223</v>
      </c>
      <c r="AN1" s="201" t="s">
        <v>224</v>
      </c>
      <c r="AO1" s="201" t="s">
        <v>225</v>
      </c>
      <c r="AP1" s="201" t="s">
        <v>226</v>
      </c>
      <c r="AQ1" s="201" t="s">
        <v>227</v>
      </c>
      <c r="AR1" s="201" t="s">
        <v>228</v>
      </c>
      <c r="AS1" s="201" t="s">
        <v>229</v>
      </c>
      <c r="AT1" s="201" t="s">
        <v>230</v>
      </c>
    </row>
    <row r="2" spans="1:46" x14ac:dyDescent="0.15">
      <c r="A2" t="s">
        <v>38</v>
      </c>
      <c r="B2" s="108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6" x14ac:dyDescent="0.15">
      <c r="A3" t="s">
        <v>40</v>
      </c>
      <c r="B3" s="108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6" x14ac:dyDescent="0.15">
      <c r="A4" t="s">
        <v>41</v>
      </c>
      <c r="B4" s="108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6" x14ac:dyDescent="0.15">
      <c r="A5" s="200" t="s">
        <v>193</v>
      </c>
      <c r="B5" s="108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6" x14ac:dyDescent="0.15">
      <c r="A6" s="200" t="s">
        <v>194</v>
      </c>
      <c r="B6" s="108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6" x14ac:dyDescent="0.15">
      <c r="A7" s="200" t="s">
        <v>195</v>
      </c>
      <c r="B7" s="108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6" x14ac:dyDescent="0.15">
      <c r="A8" s="200" t="s">
        <v>196</v>
      </c>
      <c r="B8" s="108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6" x14ac:dyDescent="0.15">
      <c r="A9" s="200" t="s">
        <v>197</v>
      </c>
      <c r="B9" s="108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6" x14ac:dyDescent="0.15">
      <c r="A10" s="200" t="s">
        <v>198</v>
      </c>
      <c r="B10" s="108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6" x14ac:dyDescent="0.15">
      <c r="A11" s="200" t="s">
        <v>199</v>
      </c>
      <c r="B11" s="108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6" x14ac:dyDescent="0.15">
      <c r="A12" s="200" t="s">
        <v>200</v>
      </c>
      <c r="B12" s="108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6" x14ac:dyDescent="0.15">
      <c r="A13" s="200" t="s">
        <v>201</v>
      </c>
      <c r="B13" s="108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6" x14ac:dyDescent="0.15">
      <c r="A14" s="200" t="s">
        <v>202</v>
      </c>
      <c r="B14" s="108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6" x14ac:dyDescent="0.15">
      <c r="A15" s="200" t="s">
        <v>203</v>
      </c>
      <c r="B15" s="108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6" x14ac:dyDescent="0.15">
      <c r="A16" s="200" t="s">
        <v>204</v>
      </c>
      <c r="B16" s="108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0" t="s">
        <v>205</v>
      </c>
      <c r="B17" s="108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0" t="s">
        <v>206</v>
      </c>
      <c r="B18" s="108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0" t="s">
        <v>207</v>
      </c>
      <c r="B19" s="108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0" t="s">
        <v>208</v>
      </c>
      <c r="B20" s="108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0" t="s">
        <v>209</v>
      </c>
      <c r="B21" s="108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0" t="s">
        <v>210</v>
      </c>
      <c r="B22" s="108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0" t="s">
        <v>211</v>
      </c>
      <c r="B23" s="108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0" t="s">
        <v>212</v>
      </c>
      <c r="B24" s="108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0" t="s">
        <v>213</v>
      </c>
      <c r="B25" s="108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0" t="s">
        <v>214</v>
      </c>
      <c r="B26" s="108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0" t="s">
        <v>215</v>
      </c>
      <c r="B27" s="108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0" t="s">
        <v>216</v>
      </c>
      <c r="B28" s="108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0" t="s">
        <v>217</v>
      </c>
      <c r="B29" s="108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0" t="s">
        <v>218</v>
      </c>
      <c r="B30" s="108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0" t="s">
        <v>219</v>
      </c>
      <c r="B31" s="108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0" t="s">
        <v>220</v>
      </c>
      <c r="B32" s="108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0" t="s">
        <v>221</v>
      </c>
      <c r="B33" s="108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0" t="s">
        <v>222</v>
      </c>
      <c r="B34" s="108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0" t="s">
        <v>223</v>
      </c>
      <c r="B35" s="108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0" t="s">
        <v>224</v>
      </c>
      <c r="B36" s="108">
        <v>0</v>
      </c>
      <c r="C36"/>
      <c r="D36"/>
    </row>
    <row r="37" spans="1:38" ht="15" customHeight="1" x14ac:dyDescent="0.15">
      <c r="A37" s="200" t="s">
        <v>225</v>
      </c>
      <c r="B37" s="108">
        <v>0</v>
      </c>
      <c r="C37"/>
      <c r="D37"/>
    </row>
    <row r="38" spans="1:38" ht="15" customHeight="1" x14ac:dyDescent="0.15">
      <c r="A38" s="200" t="s">
        <v>226</v>
      </c>
      <c r="B38" s="108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0" t="s">
        <v>227</v>
      </c>
      <c r="B39" s="108">
        <v>0</v>
      </c>
      <c r="C39"/>
      <c r="D39"/>
    </row>
    <row r="40" spans="1:38" ht="15" customHeight="1" x14ac:dyDescent="0.15">
      <c r="A40" s="200" t="s">
        <v>228</v>
      </c>
      <c r="B40" s="108">
        <v>0</v>
      </c>
      <c r="C40"/>
      <c r="D40"/>
    </row>
    <row r="41" spans="1:38" ht="15" customHeight="1" x14ac:dyDescent="0.15">
      <c r="A41" s="200" t="s">
        <v>229</v>
      </c>
      <c r="B41" s="108">
        <v>0</v>
      </c>
      <c r="C41"/>
      <c r="D41"/>
    </row>
    <row r="42" spans="1:38" ht="15" customHeight="1" x14ac:dyDescent="0.15">
      <c r="A42" s="200" t="s">
        <v>230</v>
      </c>
      <c r="B42" s="108">
        <v>0</v>
      </c>
    </row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2022-10-24T04:58:06Z</dcterms:modified>
</cp:coreProperties>
</file>