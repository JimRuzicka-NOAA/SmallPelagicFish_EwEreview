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82850E17-B878-5644-9C60-302CBB0A8B41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Main!$C$2:$N$63</definedName>
    <definedName name="matDetritus">Detritus!$C$2:$E$63</definedName>
    <definedName name="matDiet">Diets!$B$2:$AX$53</definedName>
    <definedName name="matDiscards">Discards!$C$2:$M$52</definedName>
    <definedName name="matFishery">Fishing!$C$2:$M$52</definedName>
    <definedName name="matFishing">Fishing!#REF!</definedName>
    <definedName name="matMort">Mortalities!$A$1:$BM$52</definedName>
    <definedName name="matOut">MainOutputs!$A$2:$I$63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<sst xmlns="http://schemas.openxmlformats.org/spreadsheetml/2006/main" count="1503" uniqueCount="269">
  <si>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</si>
  <si>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</si>
  <si>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</si>
  <si>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</si>
  <si>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</si>
  <si>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</si>
  <si>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</si>
  <si>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</si>
  <si>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</si>
  <si>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</si>
  <si>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</si>
  <si>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</si>
  <si>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</si>
  <si>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</si>
  <si>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</si>
  <si>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</si>
  <si>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</si>
  <si>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</si>
  <si>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</si>
  <si>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</si>
  <si>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</si>
  <si>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</si>
  <si>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</si>
  <si>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</si>
  <si>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</si>
  <si>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</si>
  <si>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</si>
  <si>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</si>
  <si>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</si>
  <si>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</si>
  <si>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</si>
  <si>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</si>
  <si>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</si>
  <si>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</si>
  <si>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</si>
  <si>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</si>
  <si>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</si>
  <si>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</si>
  <si>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</si>
  <si>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</si>
  <si>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</si>
  <si>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</si>
  <si>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</si>
  <si>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</si>
  <si>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</si>
  <si>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</si>
  <si>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</si>
  <si>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</si>
  <si>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</si>
  <si>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</si>
  <si>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</si>
  <si>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</si>
  <si>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</si>
  <si>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</si>
  <si>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</si>
  <si>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</si>
  <si>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</si>
  <si>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</si>
  <si>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</si>
  <si>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</si>
  <si>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</si>
  <si>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</si>
  <si>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</si>
  <si>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</si>
  <si>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</si>
  <si>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</si>
  <si>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</si>
  <si>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</si>
  <si>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</si>
  <si>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</si>
  <si>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</si>
  <si>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</si>
  <si>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</si>
  <si>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</si>
  <si>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</si>
  <si>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</si>
  <si>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</si>
  <si>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</si>
  <si>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</si>
  <si>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</si>
  <si>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</si>
  <si>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</si>
  <si>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</si>
  <si>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</si>
  <si>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</si>
  <si>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</si>
  <si>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</si>
  <si>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</si>
  <si>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</si>
  <si>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</si>
  <si>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</si>
  <si>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</si>
  <si>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</si>
  <si>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</si>
  <si>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</si>
  <si>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</si>
  <si>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</si>
  <si>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</si>
  <si>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</si>
  <si>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</si>
  <si>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</si>
  <si>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</si>
  <si>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</si>
  <si>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</si>
  <si>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</si>
  <si>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</si>
  <si>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</si>
  <si>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</si>
  <si>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</si>
  <si>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</si>
  <si>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</si>
  <si>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</si>
  <si>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</si>
  <si>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</si>
  <si>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</si>
  <si>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</si>
  <si>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</si>
  <si>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</si>
  <si>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</si>
  <si>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</si>
  <si>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</si>
  <si>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</si>
  <si>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</si>
  <si>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</si>
  <si>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</si>
  <si>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</si>
  <si>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</si>
  <si>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</si>
  <si>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</si>
  <si>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</si>
  <si>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</si>
  <si>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</si>
  <si>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</si>
  <si>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</si>
  <si>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</si>
  <si>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</si>
  <si>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</si>
  <si>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</si>
  <si>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</si>
  <si>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</si>
  <si>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</si>
  <si>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</si>
  <si>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</si>
  <si>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</si>
  <si>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</si>
  <si>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</si>
  <si>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</si>
  <si>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</si>
  <si>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</si>
  <si>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</si>
  <si>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</si>
  <si>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</si>
  <si>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</si>
  <si>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</si>
  <si>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</si>
  <si>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</si>
  <si>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</si>
  <si>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</si>
  <si>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</si>
  <si>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</si>
  <si>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</si>
  <si>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</si>
  <si>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</si>
  <si>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</si>
  <si>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</si>
  <si>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</si>
  <si>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</si>
  <si>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</si>
  <si>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</si>
  <si>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</si>
  <si>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</si>
  <si>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</si>
  <si>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</si>
  <si>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</si>
  <si>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</si>
  <si>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</si>
  <si>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</si>
  <si>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</si>
  <si>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</si>
  <si>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</si>
  <si>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</si>
  <si>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</si>
  <si>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</si>
  <si>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</si>
  <si>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</si>
  <si>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Grand Banks of Newfoundland</t>
  </si>
  <si>
    <t>Canada</t>
  </si>
  <si>
    <t>BOX(-60 42.945,-57.098 46.984)</t>
  </si>
  <si>
    <t>open ocean</t>
  </si>
  <si>
    <t>WetWeight</t>
  </si>
  <si>
    <t>This is the Heymans &amp;amp; Pitcher 2002 model adapted for the biomass, P/B and catch of Bundy et al. 2000. Now described in Heymans J.J. MS.Revised models for Newfoundland and southern Labrador (2J3KLNO) for the time periods 1985-87 and 1995-97. and added Respiration for detritus of 755 t/km2; 07/05/03 6:40:28 PM; 07/05/03 7:06:04 PM; 15/05/03 4:50:17 PM; 15/05/03 4:55:08 PM; 15/05/03 4:58:42 PM; 15/05/03 5:18:33 PM; 16/05/03 3:05:11 PM; 16/05/03 4:38:17 PM; 21/05/03 11:38:01 AM; 22/06/2003 2:04:42 PM; 22/06/2003 3:38:16 PM; 22/06/2003 3:39:04 PM; 22/06/2003 3:40:04 PM; 22/06/2003 3:41:12 PM; 22/06/2003 3:42:56 PM; 22/06/2003 3:44:54 PM; 22/06/2003 3:46:21 PM; 22/06/2003 3:59:22 PM; 22/06/2003 5:06:45 PM; 22/06/2003 6:36:56 PM; 24/06/2003 9:20:34 PM; 24/06/2003 9:24:54 PM; 24/06/2003 9:26:52 PM; 24/06/2003 9:27:44 PM; 24/06/2003 9:57:37 PM; 29/06/2003 2:40:26 PM; 30/06/2003 11:47:35 AM; 30/06/2003 11:48:50 AM; 30/06/2003 11:49:29 AM; 30/06/2003 11:55:26 AM; 2003-07-03 15:40:34</t>
  </si>
  <si>
    <t>Heymans J.J.(2003). Ecosystem models of Newfoundland and Southeastern Labrador: Additional information and analyses for 'Back to the Future' Fisheries Centre Research Reports</t>
  </si>
  <si>
    <t>Walrusses</t>
  </si>
  <si>
    <t>Cetaceans</t>
  </si>
  <si>
    <t>Grey seals</t>
  </si>
  <si>
    <t>Harp Seals</t>
  </si>
  <si>
    <t>Hooded Seals</t>
  </si>
  <si>
    <t>Ducks</t>
  </si>
  <si>
    <t>Piscivorous Birds</t>
  </si>
  <si>
    <t>Planktivorous Birds</t>
  </si>
  <si>
    <t>Cod + 40cm</t>
  </si>
  <si>
    <t>Cod  &amp;lt;40 cm</t>
  </si>
  <si>
    <t>Aplaice +35cm</t>
  </si>
  <si>
    <t>Aplaice&amp;lt;=35cm</t>
  </si>
  <si>
    <t>G. Halibut +65cm</t>
  </si>
  <si>
    <t>G. Halibut Juv.</t>
  </si>
  <si>
    <t>Yellowtail flounder</t>
  </si>
  <si>
    <t>Witch flounder</t>
  </si>
  <si>
    <t>Winter flounder</t>
  </si>
  <si>
    <t>Skates</t>
  </si>
  <si>
    <t>Dogfish</t>
  </si>
  <si>
    <t>Redfish</t>
  </si>
  <si>
    <t>Transient Mackerel ( +29cm)</t>
  </si>
  <si>
    <t>L. Dem. Pisc (+40 cm)</t>
  </si>
  <si>
    <t>Juv. Dem. Pisc (- 40cm)</t>
  </si>
  <si>
    <t>L.Plankt.Dem.Feed. (+ 30cm)</t>
  </si>
  <si>
    <t>S.Plank.Dem.Feed. (&amp;lt;30cm)</t>
  </si>
  <si>
    <t>O.S.Demersals</t>
  </si>
  <si>
    <t>Lumpfish</t>
  </si>
  <si>
    <t>Greenland cod</t>
  </si>
  <si>
    <t>Salmon</t>
  </si>
  <si>
    <t>Capelin</t>
  </si>
  <si>
    <t>Sandlance</t>
  </si>
  <si>
    <t>Arctic cod</t>
  </si>
  <si>
    <t>Herring</t>
  </si>
  <si>
    <t>Transient Pelagics</t>
  </si>
  <si>
    <t>Small Pelagics</t>
  </si>
  <si>
    <t>Small Mesopelagics</t>
  </si>
  <si>
    <t>Short finned squid</t>
  </si>
  <si>
    <t>Arctic squid</t>
  </si>
  <si>
    <t>Large Crabs  +95 cm</t>
  </si>
  <si>
    <t>Small Crabs  - 95 cm</t>
  </si>
  <si>
    <t>Lobster</t>
  </si>
  <si>
    <t>Shrimp</t>
  </si>
  <si>
    <t>Echinoderms</t>
  </si>
  <si>
    <t>Polychaetes</t>
  </si>
  <si>
    <t>Bivalves</t>
  </si>
  <si>
    <t>O.Benthic Inver</t>
  </si>
  <si>
    <t>L.Zooplankton</t>
  </si>
  <si>
    <t>S.Zooplankton</t>
  </si>
  <si>
    <t>Phytoplankton</t>
  </si>
  <si>
    <t>Detritus</t>
  </si>
  <si>
    <t>detritus_TerminalBenthic</t>
  </si>
  <si>
    <t>Seal hunt</t>
  </si>
  <si>
    <t>Bottom trawl</t>
  </si>
  <si>
    <t>Midwater trawl</t>
  </si>
  <si>
    <t>Mobile Seine</t>
  </si>
  <si>
    <t>Surround net</t>
  </si>
  <si>
    <t>Gill and Entangling</t>
  </si>
  <si>
    <t>Hook and Line</t>
  </si>
  <si>
    <t>Traps and Liftnets</t>
  </si>
  <si>
    <t>Dredges</t>
  </si>
  <si>
    <t>Grappling</t>
  </si>
  <si>
    <t>Other gear</t>
  </si>
  <si>
    <t>Import</t>
  </si>
  <si>
    <t>export</t>
  </si>
  <si>
    <t>sum</t>
  </si>
  <si>
    <t>TOTAL</t>
  </si>
  <si>
    <t>F Seal hunt</t>
  </si>
  <si>
    <t>F Bottom trawl</t>
  </si>
  <si>
    <t>F Midwater trawl</t>
  </si>
  <si>
    <t>F Mobile Seine</t>
  </si>
  <si>
    <t>F Surround net</t>
  </si>
  <si>
    <t>F Gill and Entangling</t>
  </si>
  <si>
    <t>F Hook and Line</t>
  </si>
  <si>
    <t>F Traps and Liftnets</t>
  </si>
  <si>
    <t>F Dredges</t>
  </si>
  <si>
    <t>F Grappling</t>
  </si>
  <si>
    <t>F Other gear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</si>
</sst>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9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EE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1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870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3" t="s">
        <v>171</v>
      </c>
      <c r="C53" s="116">
        <v>107</v>
      </c>
      <c r="D53" s="116"/>
    </row>
    <row r="54" spans="2:4" x14ac:dyDescent="0.15">
      <c r="B54" s="183" t="s">
        <v>172</v>
      </c>
      <c r="C54" s="183" t="s">
        <v>185</v>
      </c>
      <c r="D54" s="116"/>
    </row>
    <row r="55" spans="2:4" x14ac:dyDescent="0.15">
      <c r="B55" s="183" t="s">
        <v>173</v>
      </c>
      <c r="C55" s="183" t="s">
        <v>186</v>
      </c>
      <c r="D55" s="116"/>
    </row>
    <row r="56" spans="2:4" x14ac:dyDescent="0.15">
      <c r="B56" s="183" t="s">
        <v>174</v>
      </c>
      <c r="C56" s="116">
        <v>495000</v>
      </c>
      <c r="D56" s="116"/>
    </row>
    <row r="57" spans="2:4" x14ac:dyDescent="0.15">
      <c r="B57" s="183" t="s">
        <v>175</v>
      </c>
      <c r="C57" s="183" t="s">
        <v>187</v>
      </c>
      <c r="D57" s="116"/>
    </row>
    <row r="58" spans="2:4" x14ac:dyDescent="0.15">
      <c r="B58" s="183" t="s">
        <v>176</v>
      </c>
      <c r="C58" s="183" t="s">
        <v>188</v>
      </c>
      <c r="D58" s="116"/>
    </row>
    <row r="59" spans="2:4" x14ac:dyDescent="0.15">
      <c r="B59" s="183" t="s">
        <v>177</v>
      </c>
      <c r="C59" s="183" t="s">
        <v>189</v>
      </c>
      <c r="D59" s="116"/>
    </row>
    <row r="60" spans="2:4" x14ac:dyDescent="0.15">
      <c r="B60" s="183" t="s">
        <v>178</v>
      </c>
      <c r="C60" s="183" t="s">
        <v>190</v>
      </c>
      <c r="D60" s="116"/>
    </row>
    <row r="61" spans="2:4" x14ac:dyDescent="0.15">
      <c r="B61" s="183" t="s">
        <v>179</v>
      </c>
      <c r="C61" s="116">
        <v>50</v>
      </c>
      <c r="D61" s="116"/>
    </row>
    <row r="62" spans="2:4" x14ac:dyDescent="0.15">
      <c r="B62" s="183" t="s">
        <v>180</v>
      </c>
      <c r="C62" s="116">
        <v>11</v>
      </c>
      <c r="D62" s="116"/>
    </row>
    <row r="63" spans="2:4" x14ac:dyDescent="0.15">
      <c r="B63" s="183" t="s">
        <v>181</v>
      </c>
      <c r="C63" s="116">
        <v>1980</v>
      </c>
      <c r="D63" s="116"/>
    </row>
    <row r="64" spans="2:4" x14ac:dyDescent="0.15">
      <c r="B64" s="183" t="s">
        <v>182</v>
      </c>
      <c r="C64" s="116">
        <v>7</v>
      </c>
      <c r="D64" s="116"/>
    </row>
    <row r="65" spans="2:4" x14ac:dyDescent="0.15">
      <c r="B65" s="183" t="s">
        <v>183</v>
      </c>
      <c r="C65" s="183" t="s">
        <v>191</v>
      </c>
      <c r="D65" s="116"/>
    </row>
    <row r="66" spans="2:4" x14ac:dyDescent="0.15">
      <c r="B66" s="183" t="s">
        <v>184</v>
      </c>
      <c r="D66" s="116"/>
    </row>
    <row r="67" spans="2:4" x14ac:dyDescent="0.15">
      <c r="B67" s="116"/>
      <c r="C67" s="116"/>
      <c r="D67" s="116"/>
    </row>
    <row r="68" spans="2:4" x14ac:dyDescent="0.15">
      <c r="B68" s="116"/>
      <c r="C68" s="116"/>
      <c r="D68" s="11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26.6640625" style="85" bestFit="1" customWidth="1"/>
    <col min="6" max="6" width="2.33203125" style="85" bestFit="1" customWidth="1"/>
    <col min="7" max="7" width="12.83203125" style="85" bestFit="1" customWidth="1"/>
    <col min="8" max="8" width="9.83203125" style="85" customWidth="1"/>
    <col min="9" max="9" width="10.83203125" style="85" customWidth="1"/>
    <col min="10" max="10" width="12.83203125" style="85" customWidth="1"/>
    <col min="11" max="11" width="13.83203125" style="85" customWidth="1"/>
    <col min="12" max="12" width="2.33203125" style="85" customWidth="1"/>
    <col min="13" max="13" width="3.83203125" style="85" customWidth="1"/>
    <col min="14" max="14" width="2.3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84" t="s">
        <v>192</v>
      </c>
      <c r="F2" s="85">
        <v>0</v>
      </c>
      <c r="G2" s="85">
        <v>9.9999999999999995E-7</v>
      </c>
      <c r="H2" s="85">
        <v>0.06</v>
      </c>
      <c r="I2" s="6">
        <v>16.8462</v>
      </c>
      <c r="J2" s="6">
        <v>0</v>
      </c>
      <c r="K2" s="6">
        <v>3.5616338699999998E-3</v>
      </c>
      <c r="L2" s="6">
        <v>0</v>
      </c>
      <c r="M2" s="85">
        <v>0.2</v>
      </c>
      <c r="N2" s="85">
        <v>0</v>
      </c>
    </row>
    <row r="3" spans="1:46" ht="15" customHeight="1" x14ac:dyDescent="0.15">
      <c r="A3" s="1" t="s">
        <v>9</v>
      </c>
      <c r="B3" s="4">
        <v>49</v>
      </c>
      <c r="C3" s="85">
        <v>2</v>
      </c>
      <c r="D3"/>
      <c r="E3" s="184" t="s">
        <v>193</v>
      </c>
      <c r="F3" s="85">
        <v>0</v>
      </c>
      <c r="G3" s="85">
        <v>0.251</v>
      </c>
      <c r="H3" s="85">
        <v>0.1</v>
      </c>
      <c r="I3" s="85">
        <v>11.794</v>
      </c>
      <c r="J3" s="85">
        <v>0</v>
      </c>
      <c r="K3" s="85">
        <v>8.4788880000000004E-3</v>
      </c>
      <c r="L3" s="85">
        <v>0</v>
      </c>
      <c r="M3" s="85">
        <v>0.2</v>
      </c>
      <c r="N3" s="85">
        <v>0</v>
      </c>
    </row>
    <row r="4" spans="1:46" ht="15" customHeight="1" x14ac:dyDescent="0.15">
      <c r="A4" s="1" t="s">
        <v>10</v>
      </c>
      <c r="B4" s="4">
        <v>2</v>
      </c>
      <c r="C4" s="85">
        <v>3</v>
      </c>
      <c r="D4"/>
      <c r="E4" s="184" t="s">
        <v>194</v>
      </c>
      <c r="F4" s="85">
        <v>0</v>
      </c>
      <c r="G4" s="85">
        <v>9.9999999999999995E-7</v>
      </c>
      <c r="H4" s="85">
        <v>0.12</v>
      </c>
      <c r="I4" s="85">
        <v>11.8</v>
      </c>
      <c r="J4" s="85">
        <v>0.140399054</v>
      </c>
      <c r="K4" s="85">
        <v>1.01694912E-2</v>
      </c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11</v>
      </c>
      <c r="C5" s="85">
        <v>4</v>
      </c>
      <c r="D5"/>
      <c r="E5" s="184" t="s">
        <v>195</v>
      </c>
      <c r="F5" s="85">
        <v>0</v>
      </c>
      <c r="G5" s="85">
        <v>0.184</v>
      </c>
      <c r="H5" s="85">
        <v>0.10199999999999999</v>
      </c>
      <c r="I5" s="85">
        <v>17.411999999999999</v>
      </c>
      <c r="J5" s="85">
        <v>0.1614459</v>
      </c>
      <c r="K5" s="85">
        <v>5.8580289999999998E-3</v>
      </c>
      <c r="L5" s="85">
        <v>0</v>
      </c>
      <c r="M5" s="85">
        <v>0.2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84" t="s">
        <v>196</v>
      </c>
      <c r="F6" s="85">
        <v>0</v>
      </c>
      <c r="G6" s="85">
        <v>3.4000000000000002E-2</v>
      </c>
      <c r="H6" s="85">
        <v>0.109</v>
      </c>
      <c r="I6" s="85">
        <v>13.1</v>
      </c>
      <c r="J6" s="85">
        <v>4.8304600000000003E-2</v>
      </c>
      <c r="K6" s="85">
        <v>8.3206100000000009E-3</v>
      </c>
      <c r="L6" s="85">
        <v>0</v>
      </c>
      <c r="M6" s="85">
        <v>0.2</v>
      </c>
      <c r="N6" s="85">
        <v>0</v>
      </c>
      <c r="P6" s="73"/>
      <c r="Q6" s="73"/>
      <c r="R6" s="73"/>
      <c r="W6" s="36" t="s">
        <v>31</v>
      </c>
      <c r="X6" s="52">
        <f>MAX(MainOutputs!G:G)</f>
        <v>0.98752480745315552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608</v>
      </c>
      <c r="C7" s="85">
        <v>6</v>
      </c>
      <c r="D7"/>
      <c r="E7" s="184" t="s">
        <v>197</v>
      </c>
      <c r="F7" s="85">
        <v>0</v>
      </c>
      <c r="G7" s="85">
        <v>1.6799999999999999E-4</v>
      </c>
      <c r="H7" s="85">
        <v>0.25</v>
      </c>
      <c r="I7" s="85">
        <v>54.75</v>
      </c>
      <c r="J7" s="85">
        <v>0.333333343</v>
      </c>
      <c r="K7" s="85">
        <v>4.5662100000000002E-3</v>
      </c>
      <c r="L7" s="85">
        <v>0</v>
      </c>
      <c r="M7" s="85">
        <v>0.2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182</v>
      </c>
      <c r="C8" s="85">
        <v>7</v>
      </c>
      <c r="D8"/>
      <c r="E8" s="184" t="s">
        <v>198</v>
      </c>
      <c r="F8" s="85">
        <v>0</v>
      </c>
      <c r="G8" s="85">
        <v>9.9889999999999996E-3</v>
      </c>
      <c r="H8" s="85">
        <v>0.25</v>
      </c>
      <c r="I8" s="85">
        <v>54.75</v>
      </c>
      <c r="J8" s="85">
        <v>0.45263740000000002</v>
      </c>
      <c r="K8" s="85">
        <v>4.5662100000000002E-3</v>
      </c>
      <c r="L8" s="85">
        <v>0</v>
      </c>
      <c r="M8" s="85">
        <v>0.2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84" t="s">
        <v>199</v>
      </c>
      <c r="F9" s="85">
        <v>0</v>
      </c>
      <c r="G9" s="85">
        <v>2.1689999999999999E-3</v>
      </c>
      <c r="H9" s="85">
        <v>0.25</v>
      </c>
      <c r="I9" s="85">
        <v>54.75</v>
      </c>
      <c r="J9" s="85">
        <v>0.32457354700000002</v>
      </c>
      <c r="K9" s="85">
        <v>4.5662100000000002E-3</v>
      </c>
      <c r="L9" s="85">
        <v>0</v>
      </c>
      <c r="M9" s="85">
        <v>0.2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84" t="s">
        <v>200</v>
      </c>
      <c r="F10" s="85">
        <v>0</v>
      </c>
      <c r="G10" s="85">
        <v>2.04</v>
      </c>
      <c r="H10" s="85">
        <v>0.65</v>
      </c>
      <c r="I10" s="85">
        <v>2.6</v>
      </c>
      <c r="J10" s="85">
        <v>0.46738449999999998</v>
      </c>
      <c r="K10" s="85">
        <v>0.25</v>
      </c>
      <c r="L10" s="85">
        <v>0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84" t="s">
        <v>201</v>
      </c>
      <c r="F11" s="85">
        <v>0</v>
      </c>
      <c r="G11" s="85">
        <v>0.37740000000000001</v>
      </c>
      <c r="H11" s="85">
        <v>1.6</v>
      </c>
      <c r="I11" s="85">
        <v>6.09</v>
      </c>
      <c r="J11" s="85">
        <v>0.96672760000000002</v>
      </c>
      <c r="K11" s="85">
        <v>0.26272577000000003</v>
      </c>
      <c r="L11" s="85">
        <v>0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84" t="s">
        <v>202</v>
      </c>
      <c r="F12" s="85">
        <v>0</v>
      </c>
      <c r="G12" s="85">
        <v>0.97</v>
      </c>
      <c r="H12" s="85">
        <v>0.54</v>
      </c>
      <c r="I12" s="85">
        <v>2</v>
      </c>
      <c r="J12" s="85">
        <v>0.26095200000000002</v>
      </c>
      <c r="K12" s="85">
        <v>0.27</v>
      </c>
      <c r="L12" s="85">
        <v>0</v>
      </c>
      <c r="M12" s="85">
        <v>0.2</v>
      </c>
      <c r="N12" s="85">
        <v>0</v>
      </c>
    </row>
    <row r="13" spans="1:46" ht="15" customHeight="1" x14ac:dyDescent="0.15">
      <c r="C13" s="85">
        <v>12</v>
      </c>
      <c r="D13"/>
      <c r="E13" s="184" t="s">
        <v>203</v>
      </c>
      <c r="F13" s="85">
        <v>0</v>
      </c>
      <c r="G13" s="85">
        <v>0.78</v>
      </c>
      <c r="H13" s="85">
        <v>0.63</v>
      </c>
      <c r="I13" s="85">
        <v>3.7360000000000002</v>
      </c>
      <c r="J13" s="85">
        <v>0.86723680000000003</v>
      </c>
      <c r="K13" s="85">
        <v>0.16862954199999999</v>
      </c>
      <c r="L13" s="85">
        <v>0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84" t="s">
        <v>204</v>
      </c>
      <c r="F14" s="85">
        <v>0</v>
      </c>
      <c r="G14" s="85">
        <v>0.35</v>
      </c>
      <c r="H14" s="85">
        <v>0.3</v>
      </c>
      <c r="I14" s="85">
        <v>1.48</v>
      </c>
      <c r="J14" s="85">
        <v>0.96317120000000001</v>
      </c>
      <c r="K14" s="85">
        <v>0.20270270000000001</v>
      </c>
      <c r="L14" s="85">
        <v>0</v>
      </c>
      <c r="M14" s="85">
        <v>0.2</v>
      </c>
      <c r="N14" s="85">
        <v>0</v>
      </c>
    </row>
    <row r="15" spans="1:46" ht="15" customHeight="1" x14ac:dyDescent="0.15">
      <c r="C15" s="85">
        <v>14</v>
      </c>
      <c r="D15"/>
      <c r="E15" s="184" t="s">
        <v>205</v>
      </c>
      <c r="F15" s="85">
        <v>0</v>
      </c>
      <c r="G15" s="85">
        <v>0.3624</v>
      </c>
      <c r="H15" s="85">
        <v>0.87</v>
      </c>
      <c r="I15" s="85">
        <v>3.4009999999999998</v>
      </c>
      <c r="J15" s="85">
        <v>0.95001924000000004</v>
      </c>
      <c r="K15" s="85">
        <v>0.25580710000000001</v>
      </c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84" t="s">
        <v>206</v>
      </c>
      <c r="F16" s="85">
        <v>0</v>
      </c>
      <c r="G16" s="85">
        <v>0.214531362</v>
      </c>
      <c r="H16" s="85">
        <v>0.53366899999999995</v>
      </c>
      <c r="I16" s="85">
        <v>3.6</v>
      </c>
      <c r="J16" s="85">
        <v>0.95</v>
      </c>
      <c r="K16" s="85">
        <v>0.148241386</v>
      </c>
      <c r="L16" s="85">
        <v>0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84" t="s">
        <v>207</v>
      </c>
      <c r="F17" s="85">
        <v>0</v>
      </c>
      <c r="G17" s="85">
        <v>0.55031126699999999</v>
      </c>
      <c r="H17" s="85">
        <v>0.58786400000000005</v>
      </c>
      <c r="I17" s="85">
        <v>2.3044829999999998</v>
      </c>
      <c r="J17" s="85">
        <v>0.95</v>
      </c>
      <c r="K17" s="85">
        <v>0.25509584000000002</v>
      </c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84" t="s">
        <v>208</v>
      </c>
      <c r="F18" s="85">
        <v>0</v>
      </c>
      <c r="G18" s="85">
        <v>4.8071786800000002E-2</v>
      </c>
      <c r="H18" s="85">
        <v>0.26736700000000002</v>
      </c>
      <c r="I18" s="85">
        <v>1.6435709999999999</v>
      </c>
      <c r="J18" s="85">
        <v>0.95</v>
      </c>
      <c r="K18" s="85">
        <v>0.162674442</v>
      </c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84" t="s">
        <v>209</v>
      </c>
      <c r="F19" s="85">
        <v>0</v>
      </c>
      <c r="G19" s="85">
        <v>0.52</v>
      </c>
      <c r="H19" s="85">
        <v>0.28999999999999998</v>
      </c>
      <c r="I19" s="85">
        <v>2.8780000000000001</v>
      </c>
      <c r="J19" s="85">
        <v>0.30828037899999999</v>
      </c>
      <c r="K19" s="85">
        <v>0.100764416</v>
      </c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84" t="s">
        <v>210</v>
      </c>
      <c r="F20" s="85">
        <v>0</v>
      </c>
      <c r="G20" s="85">
        <v>2.07403712E-2</v>
      </c>
      <c r="H20" s="85">
        <v>0.19298000000000001</v>
      </c>
      <c r="I20" s="85">
        <v>1.9298</v>
      </c>
      <c r="J20" s="85">
        <v>0.95</v>
      </c>
      <c r="K20" s="85">
        <v>0.1</v>
      </c>
      <c r="L20" s="85">
        <v>0</v>
      </c>
      <c r="M20" s="85">
        <v>0.2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84" t="s">
        <v>211</v>
      </c>
      <c r="F21" s="85">
        <v>0</v>
      </c>
      <c r="G21" s="85">
        <v>2.0105</v>
      </c>
      <c r="H21" s="85">
        <v>0.33</v>
      </c>
      <c r="I21" s="85">
        <v>2</v>
      </c>
      <c r="J21" s="85">
        <v>0.94987356700000003</v>
      </c>
      <c r="K21" s="85">
        <v>0.16500000000000001</v>
      </c>
      <c r="L21" s="85">
        <v>0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84" t="s">
        <v>212</v>
      </c>
      <c r="F22" s="85">
        <v>0</v>
      </c>
      <c r="G22" s="85">
        <v>0.37254700000000002</v>
      </c>
      <c r="H22" s="85">
        <v>0.28999999999999998</v>
      </c>
      <c r="I22" s="85">
        <v>1.9333331600000001</v>
      </c>
      <c r="J22" s="85">
        <v>0.17127963900000001</v>
      </c>
      <c r="K22" s="85">
        <v>0.15</v>
      </c>
      <c r="L22" s="85">
        <v>0</v>
      </c>
      <c r="M22" s="85">
        <v>0.2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84" t="s">
        <v>213</v>
      </c>
      <c r="F23" s="85">
        <v>0</v>
      </c>
      <c r="G23" s="85">
        <v>0.23155580000000001</v>
      </c>
      <c r="H23" s="85">
        <v>0.3</v>
      </c>
      <c r="I23" s="85">
        <v>2</v>
      </c>
      <c r="J23" s="85">
        <v>0.95</v>
      </c>
      <c r="K23" s="85">
        <v>0.15</v>
      </c>
      <c r="L23" s="85">
        <v>0</v>
      </c>
      <c r="M23" s="85">
        <v>0.2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84" t="s">
        <v>214</v>
      </c>
      <c r="F24" s="85">
        <v>0</v>
      </c>
      <c r="G24" s="85">
        <v>0.63128130000000005</v>
      </c>
      <c r="H24" s="85">
        <v>0.56399999999999995</v>
      </c>
      <c r="I24" s="85">
        <v>4</v>
      </c>
      <c r="J24" s="85">
        <v>0.95</v>
      </c>
      <c r="K24" s="85">
        <v>0.14099999999999999</v>
      </c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84" t="s">
        <v>215</v>
      </c>
      <c r="F25" s="85">
        <v>0</v>
      </c>
      <c r="G25" s="85">
        <v>0.393886238</v>
      </c>
      <c r="H25" s="85">
        <v>0.27173799999999998</v>
      </c>
      <c r="I25" s="85">
        <v>1.7470000000000001</v>
      </c>
      <c r="J25" s="85">
        <v>0.95</v>
      </c>
      <c r="K25" s="85">
        <v>0.1555455</v>
      </c>
      <c r="L25" s="85">
        <v>0</v>
      </c>
      <c r="M25" s="85">
        <v>0.2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84" t="s">
        <v>216</v>
      </c>
      <c r="F26" s="85">
        <v>0</v>
      </c>
      <c r="G26" s="85">
        <v>1.3588867200000001</v>
      </c>
      <c r="H26" s="85">
        <v>0.56399999999999995</v>
      </c>
      <c r="I26" s="85">
        <v>4</v>
      </c>
      <c r="J26" s="85">
        <v>0.95</v>
      </c>
      <c r="K26" s="85">
        <v>0.14099999999999999</v>
      </c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84" t="s">
        <v>217</v>
      </c>
      <c r="F27" s="85">
        <v>0</v>
      </c>
      <c r="G27" s="85">
        <v>0.99319153999999998</v>
      </c>
      <c r="H27" s="85">
        <v>0.56399999999999995</v>
      </c>
      <c r="I27" s="85">
        <v>4.5</v>
      </c>
      <c r="J27" s="85">
        <v>0.95</v>
      </c>
      <c r="K27" s="85">
        <v>0.12533333899999999</v>
      </c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84" t="s">
        <v>218</v>
      </c>
      <c r="F28" s="85">
        <v>0</v>
      </c>
      <c r="G28" s="85">
        <v>0.108867586</v>
      </c>
      <c r="H28" s="85">
        <v>0.20614499999999999</v>
      </c>
      <c r="I28" s="85">
        <v>1.3743000000000001</v>
      </c>
      <c r="J28" s="85">
        <v>0.95</v>
      </c>
      <c r="K28" s="85">
        <v>0.15</v>
      </c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84" t="s">
        <v>219</v>
      </c>
      <c r="F29" s="85">
        <v>0</v>
      </c>
      <c r="G29" s="85">
        <v>8.2837160000000007E-2</v>
      </c>
      <c r="H29" s="85">
        <v>0.16600899999999999</v>
      </c>
      <c r="I29" s="85">
        <v>1.3</v>
      </c>
      <c r="J29" s="85">
        <v>0.95</v>
      </c>
      <c r="K29" s="85">
        <v>0.127699226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84" t="s">
        <v>220</v>
      </c>
      <c r="F30" s="85">
        <v>0</v>
      </c>
      <c r="G30" s="85">
        <v>1.41710341E-2</v>
      </c>
      <c r="H30" s="85">
        <v>0.61391470000000004</v>
      </c>
      <c r="I30" s="85">
        <v>4.092765</v>
      </c>
      <c r="J30" s="85">
        <v>0.95</v>
      </c>
      <c r="K30" s="85">
        <v>0.15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84" t="s">
        <v>221</v>
      </c>
      <c r="F31" s="85">
        <v>0</v>
      </c>
      <c r="G31" s="85">
        <v>13.289</v>
      </c>
      <c r="H31" s="85">
        <v>1.1499999999999999</v>
      </c>
      <c r="I31" s="85">
        <v>6.4</v>
      </c>
      <c r="J31" s="85">
        <v>0.95639586399999998</v>
      </c>
      <c r="K31" s="85">
        <v>0.1796875</v>
      </c>
      <c r="L31" s="85">
        <v>0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84" t="s">
        <v>222</v>
      </c>
      <c r="F32" s="85">
        <v>0</v>
      </c>
      <c r="G32" s="85">
        <v>2.9340000000000002</v>
      </c>
      <c r="H32" s="85">
        <v>1.1499999999999999</v>
      </c>
      <c r="I32" s="85">
        <v>7.6669999999999998</v>
      </c>
      <c r="J32" s="85">
        <v>0.95000589999999996</v>
      </c>
      <c r="K32" s="85">
        <v>0.14999347900000001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84" t="s">
        <v>223</v>
      </c>
      <c r="F33" s="85">
        <v>0</v>
      </c>
      <c r="G33" s="85">
        <v>2.7290000000000001</v>
      </c>
      <c r="H33" s="85">
        <v>0.4</v>
      </c>
      <c r="I33" s="85">
        <v>2.633</v>
      </c>
      <c r="J33" s="85">
        <v>0.73326444599999996</v>
      </c>
      <c r="K33" s="85">
        <v>0.15191797900000001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84" t="s">
        <v>224</v>
      </c>
      <c r="F34" s="85">
        <v>0</v>
      </c>
      <c r="G34" s="85">
        <v>0.923843741</v>
      </c>
      <c r="H34" s="85">
        <v>0.54396900000000004</v>
      </c>
      <c r="I34" s="85">
        <v>4.0999999999999996</v>
      </c>
      <c r="J34" s="85">
        <v>0.95</v>
      </c>
      <c r="K34" s="85">
        <v>0.13267536499999999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84" t="s">
        <v>225</v>
      </c>
      <c r="F35" s="85">
        <v>0</v>
      </c>
      <c r="G35" s="85">
        <v>1.2378584600000001E-2</v>
      </c>
      <c r="H35" s="85">
        <v>0.4</v>
      </c>
      <c r="I35" s="85">
        <v>3.33</v>
      </c>
      <c r="J35" s="85">
        <v>0.95</v>
      </c>
      <c r="K35" s="85">
        <v>0.120120123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184" t="s">
        <v>226</v>
      </c>
      <c r="F36" s="85">
        <v>0</v>
      </c>
      <c r="G36" s="85">
        <v>0.95795240000000004</v>
      </c>
      <c r="H36" s="85">
        <v>0.28000000000000003</v>
      </c>
      <c r="I36" s="85">
        <v>1.7669999999999999</v>
      </c>
      <c r="J36" s="85">
        <v>0.95</v>
      </c>
      <c r="K36" s="85">
        <v>0.15846067699999999</v>
      </c>
      <c r="L36" s="85">
        <v>0</v>
      </c>
      <c r="M36" s="85">
        <v>0.2</v>
      </c>
      <c r="N36" s="85">
        <v>0</v>
      </c>
    </row>
    <row r="37" spans="3:14" customFormat="1" ht="15" customHeight="1" x14ac:dyDescent="0.15">
      <c r="C37" s="85">
        <v>36</v>
      </c>
      <c r="E37" s="184" t="s">
        <v>227</v>
      </c>
      <c r="F37" s="85">
        <v>0</v>
      </c>
      <c r="G37" s="85">
        <v>1.2884250900000001</v>
      </c>
      <c r="H37" s="85">
        <v>1.422042</v>
      </c>
      <c r="I37" s="85">
        <v>4.7893819999999998</v>
      </c>
      <c r="J37" s="85">
        <v>0.95</v>
      </c>
      <c r="K37" s="85">
        <v>0.29691556099999999</v>
      </c>
      <c r="L37" s="85">
        <v>0</v>
      </c>
      <c r="M37" s="85">
        <v>0.2</v>
      </c>
      <c r="N37" s="85">
        <v>0</v>
      </c>
    </row>
    <row r="38" spans="3:14" customFormat="1" ht="15" customHeight="1" x14ac:dyDescent="0.15">
      <c r="C38" s="85">
        <v>37</v>
      </c>
      <c r="E38" s="184" t="s">
        <v>228</v>
      </c>
      <c r="F38" s="85">
        <v>0</v>
      </c>
      <c r="G38" s="85">
        <v>0.45326817000000003</v>
      </c>
      <c r="H38" s="85">
        <v>0.6</v>
      </c>
      <c r="I38" s="85">
        <v>4</v>
      </c>
      <c r="J38" s="85">
        <v>0.95</v>
      </c>
      <c r="K38" s="85">
        <v>0.15</v>
      </c>
      <c r="L38" s="85">
        <v>0</v>
      </c>
      <c r="M38" s="85">
        <v>0.2</v>
      </c>
      <c r="N38" s="85">
        <v>0</v>
      </c>
    </row>
    <row r="39" spans="3:14" customFormat="1" ht="15" customHeight="1" x14ac:dyDescent="0.15">
      <c r="C39" s="85">
        <v>38</v>
      </c>
      <c r="E39" s="184" t="s">
        <v>229</v>
      </c>
      <c r="F39" s="85">
        <v>0</v>
      </c>
      <c r="G39" s="85">
        <v>1.6680102299999999</v>
      </c>
      <c r="H39" s="85">
        <v>0.5</v>
      </c>
      <c r="I39" s="85">
        <v>3.3333332499999999</v>
      </c>
      <c r="J39" s="85">
        <v>0.95</v>
      </c>
      <c r="K39" s="85">
        <v>0.15</v>
      </c>
      <c r="L39" s="85">
        <v>0</v>
      </c>
      <c r="M39" s="85">
        <v>0.2</v>
      </c>
      <c r="N39" s="85">
        <v>0</v>
      </c>
    </row>
    <row r="40" spans="3:14" customFormat="1" ht="15" customHeight="1" x14ac:dyDescent="0.15">
      <c r="C40" s="85">
        <v>39</v>
      </c>
      <c r="E40" s="184" t="s">
        <v>230</v>
      </c>
      <c r="F40" s="85">
        <v>0</v>
      </c>
      <c r="G40" s="85">
        <v>0.17443400000000001</v>
      </c>
      <c r="H40" s="85">
        <v>0.16</v>
      </c>
      <c r="I40" s="85">
        <v>1.2</v>
      </c>
      <c r="J40" s="85">
        <v>0.7312729</v>
      </c>
      <c r="K40" s="85">
        <v>0.133333325</v>
      </c>
      <c r="L40" s="85">
        <v>0</v>
      </c>
      <c r="M40" s="85">
        <v>0.2</v>
      </c>
      <c r="N40" s="85">
        <v>0</v>
      </c>
    </row>
    <row r="41" spans="3:14" customFormat="1" ht="15" customHeight="1" x14ac:dyDescent="0.15">
      <c r="C41" s="85">
        <v>40</v>
      </c>
      <c r="E41" s="184" t="s">
        <v>231</v>
      </c>
      <c r="F41" s="85">
        <v>0</v>
      </c>
      <c r="G41" s="85">
        <v>3.37</v>
      </c>
      <c r="H41" s="85">
        <v>0.38</v>
      </c>
      <c r="I41" s="85">
        <v>1.5</v>
      </c>
      <c r="J41" s="85">
        <v>0.974283338</v>
      </c>
      <c r="K41" s="85">
        <v>0.25333333000000002</v>
      </c>
      <c r="L41" s="85">
        <v>0</v>
      </c>
      <c r="M41" s="85">
        <v>0.2</v>
      </c>
      <c r="N41" s="85">
        <v>0</v>
      </c>
    </row>
    <row r="42" spans="3:14" customFormat="1" ht="15" customHeight="1" x14ac:dyDescent="0.15">
      <c r="C42" s="85">
        <v>41</v>
      </c>
      <c r="E42" s="184" t="s">
        <v>232</v>
      </c>
      <c r="F42" s="85">
        <v>0</v>
      </c>
      <c r="G42" s="85">
        <v>4.4790000000000003E-3</v>
      </c>
      <c r="H42" s="85">
        <v>0.38</v>
      </c>
      <c r="I42" s="85">
        <v>4.42</v>
      </c>
      <c r="J42" s="85">
        <v>0.98752516499999998</v>
      </c>
      <c r="K42" s="85">
        <v>8.59728456E-2</v>
      </c>
      <c r="L42" s="85">
        <v>0</v>
      </c>
      <c r="M42" s="85">
        <v>0.2</v>
      </c>
      <c r="N42" s="85">
        <v>0</v>
      </c>
    </row>
    <row r="43" spans="3:14" customFormat="1" ht="15" customHeight="1" x14ac:dyDescent="0.15">
      <c r="C43" s="85">
        <v>42</v>
      </c>
      <c r="E43" s="184" t="s">
        <v>233</v>
      </c>
      <c r="F43" s="85">
        <v>0</v>
      </c>
      <c r="G43" s="85">
        <v>1.1479061800000001</v>
      </c>
      <c r="H43" s="85">
        <v>1.7</v>
      </c>
      <c r="I43" s="85">
        <v>9.6669999999999998</v>
      </c>
      <c r="J43" s="85">
        <v>0.95</v>
      </c>
      <c r="K43" s="85">
        <v>0.17585600900000001</v>
      </c>
      <c r="L43" s="85">
        <v>0</v>
      </c>
      <c r="M43" s="85">
        <v>0.2</v>
      </c>
      <c r="N43" s="85">
        <v>0</v>
      </c>
    </row>
    <row r="44" spans="3:14" customFormat="1" ht="15" customHeight="1" x14ac:dyDescent="0.15">
      <c r="C44" s="85">
        <v>43</v>
      </c>
      <c r="E44" s="184" t="s">
        <v>234</v>
      </c>
      <c r="F44" s="85">
        <v>0</v>
      </c>
      <c r="G44" s="85">
        <v>112.3</v>
      </c>
      <c r="H44" s="85">
        <v>0.6</v>
      </c>
      <c r="I44" s="85">
        <v>6.6669999999999998</v>
      </c>
      <c r="J44" s="85">
        <v>6.1946634200000003E-2</v>
      </c>
      <c r="K44" s="85">
        <v>8.9995500000000006E-2</v>
      </c>
      <c r="L44" s="85">
        <v>0</v>
      </c>
      <c r="M44" s="85">
        <v>0.2</v>
      </c>
      <c r="N44" s="85">
        <v>0</v>
      </c>
    </row>
    <row r="45" spans="3:14" customFormat="1" ht="15" customHeight="1" x14ac:dyDescent="0.15">
      <c r="C45" s="85">
        <v>44</v>
      </c>
      <c r="E45" s="184" t="s">
        <v>235</v>
      </c>
      <c r="F45" s="85">
        <v>0</v>
      </c>
      <c r="G45" s="85">
        <v>10.5</v>
      </c>
      <c r="H45" s="85">
        <v>2</v>
      </c>
      <c r="I45" s="85">
        <v>22.222000000000001</v>
      </c>
      <c r="J45" s="85">
        <v>0.18679431099999999</v>
      </c>
      <c r="K45" s="85">
        <v>9.0000899999999995E-2</v>
      </c>
      <c r="L45" s="85">
        <v>0</v>
      </c>
      <c r="M45" s="85">
        <v>0.2</v>
      </c>
      <c r="N45" s="85">
        <v>0</v>
      </c>
    </row>
    <row r="46" spans="3:14" customFormat="1" ht="15" customHeight="1" x14ac:dyDescent="0.15">
      <c r="C46" s="85">
        <v>45</v>
      </c>
      <c r="E46" s="184" t="s">
        <v>236</v>
      </c>
      <c r="F46" s="85">
        <v>0</v>
      </c>
      <c r="G46" s="85">
        <v>42.1</v>
      </c>
      <c r="H46" s="85">
        <v>0.56999999999999995</v>
      </c>
      <c r="I46" s="85">
        <v>6.3330000000000002</v>
      </c>
      <c r="J46" s="85">
        <v>9.7036570000000003E-2</v>
      </c>
      <c r="K46" s="85">
        <v>9.0004734700000005E-2</v>
      </c>
      <c r="L46" s="85">
        <v>0</v>
      </c>
      <c r="M46" s="85">
        <v>0.2</v>
      </c>
      <c r="N46" s="85">
        <v>0</v>
      </c>
    </row>
    <row r="47" spans="3:14" customFormat="1" ht="15" customHeight="1" x14ac:dyDescent="0.15">
      <c r="C47" s="85">
        <v>46</v>
      </c>
      <c r="E47" s="184" t="s">
        <v>237</v>
      </c>
      <c r="F47" s="85">
        <v>0</v>
      </c>
      <c r="G47" s="85">
        <v>7.8</v>
      </c>
      <c r="H47" s="85">
        <v>2.5</v>
      </c>
      <c r="I47" s="85">
        <v>12.5</v>
      </c>
      <c r="J47" s="85">
        <v>0.39481413399999998</v>
      </c>
      <c r="K47" s="85">
        <v>0.2</v>
      </c>
      <c r="L47" s="85">
        <v>0</v>
      </c>
      <c r="M47" s="85">
        <v>0.2</v>
      </c>
      <c r="N47" s="85">
        <v>0</v>
      </c>
    </row>
    <row r="48" spans="3:14" customFormat="1" ht="15" customHeight="1" x14ac:dyDescent="0.15">
      <c r="C48" s="85">
        <v>47</v>
      </c>
      <c r="E48" s="184" t="s">
        <v>238</v>
      </c>
      <c r="F48" s="85">
        <v>0</v>
      </c>
      <c r="G48" s="85">
        <v>27.480039999999999</v>
      </c>
      <c r="H48" s="85">
        <v>3.4329999999999998</v>
      </c>
      <c r="I48" s="85">
        <v>19.5</v>
      </c>
      <c r="J48" s="85">
        <v>0.95</v>
      </c>
      <c r="K48" s="85">
        <v>0.176051289</v>
      </c>
      <c r="L48" s="85">
        <v>0</v>
      </c>
      <c r="M48" s="85">
        <v>0.2</v>
      </c>
      <c r="N48" s="85">
        <v>0</v>
      </c>
    </row>
    <row r="49" spans="3:14" customFormat="1" ht="15" customHeight="1" x14ac:dyDescent="0.15">
      <c r="C49" s="85">
        <v>48</v>
      </c>
      <c r="E49" s="184" t="s">
        <v>239</v>
      </c>
      <c r="F49" s="85">
        <v>0</v>
      </c>
      <c r="G49" s="85">
        <v>41.754703499999998</v>
      </c>
      <c r="H49" s="85">
        <v>8.4</v>
      </c>
      <c r="I49" s="85">
        <v>27.999998099999999</v>
      </c>
      <c r="J49" s="85">
        <v>0.95</v>
      </c>
      <c r="K49" s="85">
        <v>0.3</v>
      </c>
      <c r="L49" s="85">
        <v>0</v>
      </c>
      <c r="M49" s="85">
        <v>0.2</v>
      </c>
      <c r="N49" s="85">
        <v>0</v>
      </c>
    </row>
    <row r="50" spans="3:14" customFormat="1" ht="15" customHeight="1" x14ac:dyDescent="0.15">
      <c r="C50" s="85">
        <v>49</v>
      </c>
      <c r="E50" s="184" t="s">
        <v>240</v>
      </c>
      <c r="F50" s="85">
        <v>1</v>
      </c>
      <c r="G50" s="85">
        <v>26.86</v>
      </c>
      <c r="H50" s="85">
        <v>93.1</v>
      </c>
      <c r="I50" s="85">
        <v>0</v>
      </c>
      <c r="J50" s="85">
        <v>0.54719156000000002</v>
      </c>
      <c r="K50" s="85">
        <v>0</v>
      </c>
      <c r="L50" s="85">
        <v>0</v>
      </c>
      <c r="M50" s="85">
        <v>0</v>
      </c>
      <c r="N50" s="85">
        <v>0</v>
      </c>
    </row>
    <row r="51" spans="3:14" customFormat="1" ht="15" customHeight="1" x14ac:dyDescent="0.15">
      <c r="C51" s="85">
        <v>50</v>
      </c>
      <c r="E51" s="184" t="s">
        <v>241</v>
      </c>
      <c r="F51" s="85">
        <v>2</v>
      </c>
      <c r="G51" s="85">
        <v>389</v>
      </c>
      <c r="H51" s="85">
        <v>0</v>
      </c>
      <c r="I51" s="85">
        <v>0</v>
      </c>
      <c r="J51" s="85">
        <v>0.58651286400000002</v>
      </c>
      <c r="K51" s="85">
        <v>0</v>
      </c>
      <c r="L51" s="85">
        <v>0</v>
      </c>
      <c r="M51" s="85">
        <v>0</v>
      </c>
      <c r="N51" s="85">
        <v>0</v>
      </c>
    </row>
    <row r="52" spans="3:14" customFormat="1" ht="15" customHeight="1" x14ac:dyDescent="0.15">
      <c r="C52" s="85">
        <v>51</v>
      </c>
      <c r="E52" s="184" t="s">
        <v>242</v>
      </c>
      <c r="F52" s="85">
        <v>2</v>
      </c>
      <c r="G52" s="85">
        <v>5</v>
      </c>
      <c r="H52" s="85">
        <v>0</v>
      </c>
      <c r="I52" s="85">
        <v>0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</row>
    <row r="53" spans="3:14" customFormat="1" ht="15" customHeight="1" x14ac:dyDescent="0.15">
      <c r="C53" s="85">
        <v>52</v>
      </c>
      <c r="E53" s="184" t="s">
        <v>243</v>
      </c>
      <c r="F53" s="85">
        <v>3</v>
      </c>
      <c r="G53" s="85">
        <v>0</v>
      </c>
      <c r="H53" s="85">
        <v>0</v>
      </c>
      <c r="I53" s="85">
        <v>0</v>
      </c>
      <c r="J53" s="85">
        <v>0</v>
      </c>
      <c r="K53" s="85">
        <v>0</v>
      </c>
      <c r="L53" s="85">
        <v>0</v>
      </c>
      <c r="M53" s="85">
        <v>0</v>
      </c>
      <c r="N53" s="85">
        <v>0</v>
      </c>
    </row>
    <row r="54" spans="3:14" customFormat="1" ht="15" customHeight="1" x14ac:dyDescent="0.15">
      <c r="C54" s="85">
        <v>53</v>
      </c>
      <c r="E54" s="184" t="s">
        <v>244</v>
      </c>
      <c r="F54" s="85">
        <v>3</v>
      </c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</row>
    <row r="55" spans="3:14" customFormat="1" ht="15" customHeight="1" x14ac:dyDescent="0.15">
      <c r="C55" s="85">
        <v>54</v>
      </c>
      <c r="E55" s="184" t="s">
        <v>245</v>
      </c>
      <c r="F55" s="85">
        <v>3</v>
      </c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5">
        <v>0</v>
      </c>
      <c r="N55" s="85">
        <v>0</v>
      </c>
    </row>
    <row r="56" spans="3:14" customFormat="1" ht="15" customHeight="1" x14ac:dyDescent="0.15">
      <c r="C56" s="85">
        <v>55</v>
      </c>
      <c r="E56" s="184" t="s">
        <v>246</v>
      </c>
      <c r="F56" s="85">
        <v>3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0</v>
      </c>
      <c r="N56" s="85">
        <v>0</v>
      </c>
    </row>
    <row r="57" spans="3:14" customFormat="1" ht="15" customHeight="1" x14ac:dyDescent="0.15">
      <c r="C57" s="85">
        <v>56</v>
      </c>
      <c r="E57" s="184" t="s">
        <v>247</v>
      </c>
      <c r="F57" s="85">
        <v>3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0</v>
      </c>
      <c r="N57" s="85">
        <v>0</v>
      </c>
    </row>
    <row r="58" spans="3:14" customFormat="1" ht="15" customHeight="1" x14ac:dyDescent="0.15">
      <c r="C58" s="85">
        <v>57</v>
      </c>
      <c r="E58" s="184" t="s">
        <v>248</v>
      </c>
      <c r="F58" s="85">
        <v>3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5">
        <v>0</v>
      </c>
      <c r="N58" s="85">
        <v>0</v>
      </c>
    </row>
    <row r="59" spans="3:14" customFormat="1" ht="15" customHeight="1" x14ac:dyDescent="0.15">
      <c r="C59" s="85">
        <v>58</v>
      </c>
      <c r="E59" s="184" t="s">
        <v>249</v>
      </c>
      <c r="F59" s="85">
        <v>3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0</v>
      </c>
      <c r="M59" s="85">
        <v>0</v>
      </c>
      <c r="N59" s="85">
        <v>0</v>
      </c>
    </row>
    <row r="60" spans="3:14" customFormat="1" ht="15" customHeight="1" x14ac:dyDescent="0.15">
      <c r="C60" s="85">
        <v>59</v>
      </c>
      <c r="E60" s="184" t="s">
        <v>250</v>
      </c>
      <c r="F60" s="85">
        <v>3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</row>
    <row r="61" spans="3:14" customFormat="1" ht="15" customHeight="1" x14ac:dyDescent="0.15">
      <c r="C61" s="85">
        <v>60</v>
      </c>
      <c r="E61" s="184" t="s">
        <v>251</v>
      </c>
      <c r="F61" s="85">
        <v>3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</row>
    <row r="62" spans="3:14" customFormat="1" ht="15" customHeight="1" x14ac:dyDescent="0.15">
      <c r="C62" s="85">
        <v>61</v>
      </c>
      <c r="E62" s="184" t="s">
        <v>252</v>
      </c>
      <c r="F62" s="85">
        <v>3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</row>
    <row r="63" spans="3:14" customFormat="1" ht="15" customHeight="1" x14ac:dyDescent="0.15">
      <c r="C63" s="85">
        <v>62</v>
      </c>
      <c r="E63" s="184" t="s">
        <v>253</v>
      </c>
      <c r="F63" s="85">
        <v>3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0</v>
      </c>
      <c r="M63" s="85">
        <v>0</v>
      </c>
      <c r="N63" s="85">
        <v>0</v>
      </c>
    </row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Z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6.6640625" style="150" bestFit="1" customWidth="1"/>
    <col min="2" max="2" width="15.5" style="150" bestFit="1" customWidth="1"/>
    <col min="3" max="3" width="14.83203125" style="150" bestFit="1" customWidth="1"/>
    <col min="4" max="6" width="15.83203125" style="150" bestFit="1" customWidth="1"/>
    <col min="7" max="7" width="3.83203125" style="150" bestFit="1" customWidth="1"/>
    <col min="8" max="8" width="15.83203125" style="150" bestFit="1" customWidth="1"/>
    <col min="9" max="9" width="6.83203125" style="150" bestFit="1" customWidth="1"/>
    <col min="10" max="10" width="15.83203125" style="150" bestFit="1" customWidth="1"/>
    <col min="11" max="11" width="6.83203125" style="150" bestFit="1" customWidth="1"/>
    <col min="12" max="12" width="15.83203125" style="150" bestFit="1" customWidth="1"/>
    <col min="13" max="13" width="15.5" style="150" bestFit="1" customWidth="1"/>
    <col min="14" max="14" width="6.83203125" style="150" bestFit="1" customWidth="1"/>
    <col min="15" max="15" width="15.83203125" style="150" bestFit="1" customWidth="1"/>
    <col min="16" max="16" width="13.83203125" style="150" bestFit="1" customWidth="1"/>
    <col min="17" max="17" width="5.83203125" style="150" bestFit="1" customWidth="1"/>
    <col min="18" max="18" width="14.83203125" style="150" bestFit="1" customWidth="1"/>
    <col min="19" max="19" width="15.83203125" style="150" bestFit="1" customWidth="1"/>
    <col min="20" max="20" width="6.83203125" style="150" bestFit="1" customWidth="1"/>
    <col min="21" max="21" width="5.83203125" style="150" bestFit="1" customWidth="1"/>
    <col min="22" max="22" width="4.83203125" style="150" bestFit="1" customWidth="1"/>
    <col min="23" max="23" width="15.5" style="150" bestFit="1" customWidth="1"/>
    <col min="24" max="25" width="15.83203125" style="150" bestFit="1" customWidth="1"/>
    <col min="26" max="26" width="6.83203125" style="150" bestFit="1" customWidth="1"/>
    <col min="27" max="28" width="5.83203125" style="150" bestFit="1" customWidth="1"/>
    <col min="29" max="29" width="14.83203125" style="150" bestFit="1" customWidth="1"/>
    <col min="30" max="30" width="6.83203125" style="150" customWidth="1"/>
    <col min="31" max="34" width="5.83203125" style="150" customWidth="1"/>
    <col min="35" max="35" width="15.83203125" style="150" customWidth="1"/>
    <col min="36" max="37" width="4.83203125" style="150" customWidth="1"/>
    <col min="38" max="38" width="6.83203125" style="150" customWidth="1"/>
    <col min="39" max="39" width="3.83203125" style="150" customWidth="1"/>
    <col min="40" max="40" width="14.83203125" style="150" customWidth="1"/>
    <col min="41" max="42" width="4.83203125" style="150" customWidth="1"/>
    <col min="43" max="43" width="5.83203125" style="150" customWidth="1"/>
    <col min="44" max="47" width="2.33203125" style="150" customWidth="1"/>
    <col min="48" max="48" width="4.83203125" style="150" customWidth="1"/>
    <col min="49" max="52" width="2.33203125" style="150" customWidth="1"/>
    <col min="53" max="16384" width="8.83203125" style="150"/>
  </cols>
  <sheetData>
    <row r="1" spans="1:52" x14ac:dyDescent="0.15">
      <c r="A1" s="149" t="s">
        <v>19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  <c r="AI1" s="186" t="s">
        <v>225</v>
      </c>
      <c r="AJ1" s="186" t="s">
        <v>226</v>
      </c>
      <c r="AK1" s="186" t="s">
        <v>227</v>
      </c>
      <c r="AL1" s="186" t="s">
        <v>228</v>
      </c>
      <c r="AM1" s="186" t="s">
        <v>229</v>
      </c>
      <c r="AN1" s="186" t="s">
        <v>230</v>
      </c>
      <c r="AO1" s="186" t="s">
        <v>231</v>
      </c>
      <c r="AP1" s="186" t="s">
        <v>232</v>
      </c>
      <c r="AQ1" s="186" t="s">
        <v>233</v>
      </c>
      <c r="AR1" s="186" t="s">
        <v>234</v>
      </c>
      <c r="AS1" s="186" t="s">
        <v>235</v>
      </c>
      <c r="AT1" s="186" t="s">
        <v>236</v>
      </c>
      <c r="AU1" s="186" t="s">
        <v>237</v>
      </c>
      <c r="AV1" s="186" t="s">
        <v>238</v>
      </c>
      <c r="AW1" s="186" t="s">
        <v>239</v>
      </c>
      <c r="AX1" s="186" t="s">
        <v>240</v>
      </c>
      <c r="AY1" s="186" t="s">
        <v>241</v>
      </c>
      <c r="AZ1" s="186" t="s">
        <v>242</v>
      </c>
    </row>
    <row r="2" spans="1:52" customFormat="1" x14ac:dyDescent="0.15">
      <c r="A2" s="185" t="s">
        <v>192</v>
      </c>
      <c r="B2" s="150">
        <v>0</v>
      </c>
      <c r="C2" s="150">
        <v>0</v>
      </c>
      <c r="D2" s="150">
        <v>0</v>
      </c>
      <c r="E2" s="150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0">
        <v>0</v>
      </c>
      <c r="AA2" s="150">
        <v>0</v>
      </c>
      <c r="AB2" s="150">
        <v>0</v>
      </c>
      <c r="AC2" s="150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0">
        <v>0</v>
      </c>
      <c r="AK2" s="150">
        <v>0</v>
      </c>
      <c r="AL2" s="150">
        <v>0</v>
      </c>
      <c r="AM2" s="150">
        <v>0</v>
      </c>
      <c r="AN2" s="150">
        <v>0</v>
      </c>
      <c r="AO2" s="150">
        <v>0</v>
      </c>
      <c r="AP2" s="150">
        <v>0</v>
      </c>
      <c r="AQ2" s="150">
        <v>0</v>
      </c>
      <c r="AR2" s="150">
        <v>0</v>
      </c>
      <c r="AS2" s="150">
        <v>0</v>
      </c>
      <c r="AT2" s="150">
        <v>0</v>
      </c>
      <c r="AU2" s="150">
        <v>0</v>
      </c>
      <c r="AV2" s="150">
        <v>0</v>
      </c>
      <c r="AW2" s="150">
        <v>0</v>
      </c>
      <c r="AX2" s="150">
        <v>0</v>
      </c>
      <c r="AY2" s="150">
        <v>0</v>
      </c>
      <c r="AZ2" s="150">
        <v>0</v>
      </c>
    </row>
    <row r="3" spans="1:52" customFormat="1" x14ac:dyDescent="0.15">
      <c r="A3" s="185" t="s">
        <v>193</v>
      </c>
      <c r="B3" s="150">
        <v>0</v>
      </c>
      <c r="C3" s="150">
        <v>0</v>
      </c>
      <c r="D3" s="15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0">
        <v>0</v>
      </c>
      <c r="AA3" s="150">
        <v>0</v>
      </c>
      <c r="AB3" s="150">
        <v>0</v>
      </c>
      <c r="AC3" s="150">
        <v>0</v>
      </c>
      <c r="AD3" s="150">
        <v>0</v>
      </c>
      <c r="AE3" s="150">
        <v>0</v>
      </c>
      <c r="AF3" s="150">
        <v>0</v>
      </c>
      <c r="AG3" s="150">
        <v>0</v>
      </c>
      <c r="AH3" s="150">
        <v>0</v>
      </c>
      <c r="AI3" s="150">
        <v>0</v>
      </c>
      <c r="AJ3" s="150">
        <v>0</v>
      </c>
      <c r="AK3" s="150">
        <v>0</v>
      </c>
      <c r="AL3" s="150">
        <v>0</v>
      </c>
      <c r="AM3" s="150">
        <v>0</v>
      </c>
      <c r="AN3" s="150">
        <v>0</v>
      </c>
      <c r="AO3" s="150">
        <v>0</v>
      </c>
      <c r="AP3" s="150">
        <v>0</v>
      </c>
      <c r="AQ3" s="150">
        <v>0</v>
      </c>
      <c r="AR3" s="150">
        <v>0</v>
      </c>
      <c r="AS3" s="150">
        <v>0</v>
      </c>
      <c r="AT3" s="150">
        <v>0</v>
      </c>
      <c r="AU3" s="150">
        <v>0</v>
      </c>
      <c r="AV3" s="150">
        <v>0</v>
      </c>
      <c r="AW3" s="150">
        <v>0</v>
      </c>
      <c r="AX3" s="150">
        <v>0</v>
      </c>
      <c r="AY3" s="150">
        <v>0</v>
      </c>
      <c r="AZ3" s="150">
        <v>0</v>
      </c>
    </row>
    <row r="4" spans="1:52" customFormat="1" x14ac:dyDescent="0.15">
      <c r="A4" s="185" t="s">
        <v>194</v>
      </c>
      <c r="B4" s="150">
        <v>1.000000026697331E-3</v>
      </c>
      <c r="C4" s="150">
        <v>0</v>
      </c>
      <c r="D4" s="15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0">
        <v>0</v>
      </c>
      <c r="AA4" s="150">
        <v>0</v>
      </c>
      <c r="AB4" s="150">
        <v>0</v>
      </c>
      <c r="AC4" s="150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0">
        <v>0</v>
      </c>
      <c r="AK4" s="150">
        <v>0</v>
      </c>
      <c r="AL4" s="150">
        <v>0</v>
      </c>
      <c r="AM4" s="150">
        <v>0</v>
      </c>
      <c r="AN4" s="150">
        <v>0</v>
      </c>
      <c r="AO4" s="150">
        <v>0</v>
      </c>
      <c r="AP4" s="150">
        <v>0</v>
      </c>
      <c r="AQ4" s="150">
        <v>0</v>
      </c>
      <c r="AR4" s="150">
        <v>0</v>
      </c>
      <c r="AS4" s="150">
        <v>0</v>
      </c>
      <c r="AT4" s="150">
        <v>0</v>
      </c>
      <c r="AU4" s="150">
        <v>0</v>
      </c>
      <c r="AV4" s="150">
        <v>0</v>
      </c>
      <c r="AW4" s="150">
        <v>0</v>
      </c>
      <c r="AX4" s="150">
        <v>0</v>
      </c>
      <c r="AY4" s="150">
        <v>0</v>
      </c>
      <c r="AZ4" s="150">
        <v>0</v>
      </c>
    </row>
    <row r="5" spans="1:52" customFormat="1" x14ac:dyDescent="0.15">
      <c r="A5" s="185" t="s">
        <v>195</v>
      </c>
      <c r="B5" s="150">
        <v>1.000000026697331E-3</v>
      </c>
      <c r="C5" s="150">
        <v>0</v>
      </c>
      <c r="D5" s="15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0">
        <v>0</v>
      </c>
      <c r="AA5" s="150">
        <v>0</v>
      </c>
      <c r="AB5" s="150">
        <v>0</v>
      </c>
      <c r="AC5" s="150">
        <v>0</v>
      </c>
      <c r="AD5" s="150">
        <v>0</v>
      </c>
      <c r="AE5" s="150">
        <v>0</v>
      </c>
      <c r="AF5" s="150">
        <v>0</v>
      </c>
      <c r="AG5" s="150">
        <v>0</v>
      </c>
      <c r="AH5" s="150">
        <v>0</v>
      </c>
      <c r="AI5" s="150">
        <v>0</v>
      </c>
      <c r="AJ5" s="150">
        <v>0</v>
      </c>
      <c r="AK5" s="150">
        <v>0</v>
      </c>
      <c r="AL5" s="150">
        <v>0</v>
      </c>
      <c r="AM5" s="150">
        <v>0</v>
      </c>
      <c r="AN5" s="150">
        <v>0</v>
      </c>
      <c r="AO5" s="150">
        <v>0</v>
      </c>
      <c r="AP5" s="150">
        <v>0</v>
      </c>
      <c r="AQ5" s="150">
        <v>0</v>
      </c>
      <c r="AR5" s="150">
        <v>0</v>
      </c>
      <c r="AS5" s="150">
        <v>0</v>
      </c>
      <c r="AT5" s="150">
        <v>0</v>
      </c>
      <c r="AU5" s="150">
        <v>0</v>
      </c>
      <c r="AV5" s="150">
        <v>0</v>
      </c>
      <c r="AW5" s="150">
        <v>0</v>
      </c>
      <c r="AX5" s="150">
        <v>0</v>
      </c>
      <c r="AY5" s="150">
        <v>0</v>
      </c>
      <c r="AZ5" s="150">
        <v>0</v>
      </c>
    </row>
    <row r="6" spans="1:52" customFormat="1" x14ac:dyDescent="0.15">
      <c r="A6" s="185" t="s">
        <v>196</v>
      </c>
      <c r="B6" s="150">
        <v>1.000000026697331E-3</v>
      </c>
      <c r="C6" s="150">
        <v>0</v>
      </c>
      <c r="D6" s="15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0">
        <v>0</v>
      </c>
      <c r="AA6" s="150">
        <v>0</v>
      </c>
      <c r="AB6" s="150">
        <v>0</v>
      </c>
      <c r="AC6" s="150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0">
        <v>0</v>
      </c>
      <c r="AK6" s="150">
        <v>0</v>
      </c>
      <c r="AL6" s="150">
        <v>0</v>
      </c>
      <c r="AM6" s="150">
        <v>0</v>
      </c>
      <c r="AN6" s="150">
        <v>0</v>
      </c>
      <c r="AO6" s="150">
        <v>0</v>
      </c>
      <c r="AP6" s="150">
        <v>0</v>
      </c>
      <c r="AQ6" s="150">
        <v>0</v>
      </c>
      <c r="AR6" s="150">
        <v>0</v>
      </c>
      <c r="AS6" s="150">
        <v>0</v>
      </c>
      <c r="AT6" s="150">
        <v>0</v>
      </c>
      <c r="AU6" s="150">
        <v>0</v>
      </c>
      <c r="AV6" s="150">
        <v>0</v>
      </c>
      <c r="AW6" s="150">
        <v>0</v>
      </c>
      <c r="AX6" s="150">
        <v>0</v>
      </c>
      <c r="AY6" s="150">
        <v>0</v>
      </c>
      <c r="AZ6" s="150">
        <v>0</v>
      </c>
    </row>
    <row r="7" spans="1:52" customFormat="1" x14ac:dyDescent="0.15">
      <c r="A7" s="185" t="s">
        <v>197</v>
      </c>
      <c r="B7" s="150">
        <v>0</v>
      </c>
      <c r="C7" s="150">
        <v>0</v>
      </c>
      <c r="D7" s="15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0">
        <v>0</v>
      </c>
      <c r="AA7" s="150">
        <v>0</v>
      </c>
      <c r="AB7" s="150">
        <v>0</v>
      </c>
      <c r="AC7" s="150">
        <v>0</v>
      </c>
      <c r="AD7" s="150">
        <v>0</v>
      </c>
      <c r="AE7" s="150">
        <v>0</v>
      </c>
      <c r="AF7" s="150">
        <v>0</v>
      </c>
      <c r="AG7" s="150">
        <v>0</v>
      </c>
      <c r="AH7" s="150">
        <v>0</v>
      </c>
      <c r="AI7" s="150">
        <v>0</v>
      </c>
      <c r="AJ7" s="150">
        <v>0</v>
      </c>
      <c r="AK7" s="150">
        <v>0</v>
      </c>
      <c r="AL7" s="150">
        <v>0</v>
      </c>
      <c r="AM7" s="150">
        <v>0</v>
      </c>
      <c r="AN7" s="150">
        <v>0</v>
      </c>
      <c r="AO7" s="150">
        <v>0</v>
      </c>
      <c r="AP7" s="150">
        <v>0</v>
      </c>
      <c r="AQ7" s="150">
        <v>0</v>
      </c>
      <c r="AR7" s="150">
        <v>0</v>
      </c>
      <c r="AS7" s="150">
        <v>0</v>
      </c>
      <c r="AT7" s="150">
        <v>0</v>
      </c>
      <c r="AU7" s="150">
        <v>0</v>
      </c>
      <c r="AV7" s="150">
        <v>0</v>
      </c>
      <c r="AW7" s="150">
        <v>0</v>
      </c>
      <c r="AX7" s="150">
        <v>0</v>
      </c>
      <c r="AY7" s="150">
        <v>0</v>
      </c>
      <c r="AZ7" s="150">
        <v>0</v>
      </c>
    </row>
    <row r="8" spans="1:52" customFormat="1" x14ac:dyDescent="0.15">
      <c r="A8" s="185" t="s">
        <v>198</v>
      </c>
      <c r="B8" s="150">
        <v>0</v>
      </c>
      <c r="C8" s="150">
        <v>0</v>
      </c>
      <c r="D8" s="150">
        <v>0</v>
      </c>
      <c r="E8" s="150">
        <v>9.9990000314968493E-5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0">
        <v>0</v>
      </c>
      <c r="AA8" s="150">
        <v>0</v>
      </c>
      <c r="AB8" s="150">
        <v>0</v>
      </c>
      <c r="AC8" s="150">
        <v>0</v>
      </c>
      <c r="AD8" s="150">
        <v>0</v>
      </c>
      <c r="AE8" s="150">
        <v>0</v>
      </c>
      <c r="AF8" s="150">
        <v>0</v>
      </c>
      <c r="AG8" s="150">
        <v>0</v>
      </c>
      <c r="AH8" s="150">
        <v>0</v>
      </c>
      <c r="AI8" s="150">
        <v>0</v>
      </c>
      <c r="AJ8" s="150">
        <v>0</v>
      </c>
      <c r="AK8" s="150">
        <v>0</v>
      </c>
      <c r="AL8" s="150">
        <v>0</v>
      </c>
      <c r="AM8" s="150">
        <v>0</v>
      </c>
      <c r="AN8" s="150">
        <v>0</v>
      </c>
      <c r="AO8" s="150">
        <v>0</v>
      </c>
      <c r="AP8" s="150">
        <v>0</v>
      </c>
      <c r="AQ8" s="150">
        <v>0</v>
      </c>
      <c r="AR8" s="150">
        <v>0</v>
      </c>
      <c r="AS8" s="150">
        <v>0</v>
      </c>
      <c r="AT8" s="150">
        <v>0</v>
      </c>
      <c r="AU8" s="150">
        <v>0</v>
      </c>
      <c r="AV8" s="150">
        <v>0</v>
      </c>
      <c r="AW8" s="150">
        <v>0</v>
      </c>
      <c r="AX8" s="150">
        <v>0</v>
      </c>
      <c r="AY8" s="150">
        <v>0</v>
      </c>
      <c r="AZ8" s="150">
        <v>0</v>
      </c>
    </row>
    <row r="9" spans="1:52" customFormat="1" x14ac:dyDescent="0.15">
      <c r="A9" s="185" t="s">
        <v>199</v>
      </c>
      <c r="B9" s="150">
        <v>0</v>
      </c>
      <c r="C9" s="150">
        <v>0</v>
      </c>
      <c r="D9" s="15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0">
        <v>0</v>
      </c>
      <c r="AA9" s="150">
        <v>0</v>
      </c>
      <c r="AB9" s="150">
        <v>0</v>
      </c>
      <c r="AC9" s="150">
        <v>0</v>
      </c>
      <c r="AD9" s="150">
        <v>0</v>
      </c>
      <c r="AE9" s="150">
        <v>0</v>
      </c>
      <c r="AF9" s="150">
        <v>0</v>
      </c>
      <c r="AG9" s="150">
        <v>0</v>
      </c>
      <c r="AH9" s="150">
        <v>0</v>
      </c>
      <c r="AI9" s="150">
        <v>0</v>
      </c>
      <c r="AJ9" s="150">
        <v>0</v>
      </c>
      <c r="AK9" s="150">
        <v>0</v>
      </c>
      <c r="AL9" s="150">
        <v>0</v>
      </c>
      <c r="AM9" s="150">
        <v>0</v>
      </c>
      <c r="AN9" s="150">
        <v>0</v>
      </c>
      <c r="AO9" s="150">
        <v>0</v>
      </c>
      <c r="AP9" s="150">
        <v>0</v>
      </c>
      <c r="AQ9" s="150">
        <v>0</v>
      </c>
      <c r="AR9" s="150">
        <v>0</v>
      </c>
      <c r="AS9" s="150">
        <v>0</v>
      </c>
      <c r="AT9" s="150">
        <v>0</v>
      </c>
      <c r="AU9" s="150">
        <v>0</v>
      </c>
      <c r="AV9" s="150">
        <v>0</v>
      </c>
      <c r="AW9" s="150">
        <v>0</v>
      </c>
      <c r="AX9" s="150">
        <v>0</v>
      </c>
      <c r="AY9" s="150">
        <v>0</v>
      </c>
      <c r="AZ9" s="150">
        <v>0</v>
      </c>
    </row>
    <row r="10" spans="1:52" customFormat="1" x14ac:dyDescent="0.15">
      <c r="A10" s="185" t="s">
        <v>200</v>
      </c>
      <c r="B10" s="150">
        <v>0</v>
      </c>
      <c r="C10" s="150">
        <v>0</v>
      </c>
      <c r="D10" s="150">
        <v>9.9890010773148685E-2</v>
      </c>
      <c r="E10" s="150">
        <v>3.1996800100789918E-3</v>
      </c>
      <c r="F10" s="150">
        <v>1.409859031439856E-2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0">
        <v>0</v>
      </c>
      <c r="AA10" s="150">
        <v>0</v>
      </c>
      <c r="AB10" s="150">
        <v>0</v>
      </c>
      <c r="AC10" s="150">
        <v>0</v>
      </c>
      <c r="AD10" s="150">
        <v>0</v>
      </c>
      <c r="AE10" s="150">
        <v>0</v>
      </c>
      <c r="AF10" s="150">
        <v>0</v>
      </c>
      <c r="AG10" s="150">
        <v>0</v>
      </c>
      <c r="AH10" s="150">
        <v>0</v>
      </c>
      <c r="AI10" s="150">
        <v>0</v>
      </c>
      <c r="AJ10" s="150">
        <v>0</v>
      </c>
      <c r="AK10" s="150">
        <v>0</v>
      </c>
      <c r="AL10" s="150">
        <v>0</v>
      </c>
      <c r="AM10" s="150">
        <v>0</v>
      </c>
      <c r="AN10" s="150">
        <v>0</v>
      </c>
      <c r="AO10" s="150">
        <v>0</v>
      </c>
      <c r="AP10" s="150">
        <v>0</v>
      </c>
      <c r="AQ10" s="150">
        <v>0</v>
      </c>
      <c r="AR10" s="150">
        <v>0</v>
      </c>
      <c r="AS10" s="150">
        <v>0</v>
      </c>
      <c r="AT10" s="150">
        <v>0</v>
      </c>
      <c r="AU10" s="150">
        <v>0</v>
      </c>
      <c r="AV10" s="150">
        <v>0</v>
      </c>
      <c r="AW10" s="150">
        <v>0</v>
      </c>
      <c r="AX10" s="150">
        <v>0</v>
      </c>
      <c r="AY10" s="150">
        <v>0</v>
      </c>
      <c r="AZ10" s="150">
        <v>0</v>
      </c>
    </row>
    <row r="11" spans="1:52" customFormat="1" x14ac:dyDescent="0.15">
      <c r="A11" s="185" t="s">
        <v>201</v>
      </c>
      <c r="B11" s="150">
        <v>0</v>
      </c>
      <c r="C11" s="150">
        <v>9.9999998912000104E-3</v>
      </c>
      <c r="D11" s="150">
        <v>9.0890910703495656E-2</v>
      </c>
      <c r="E11" s="150">
        <v>5.9994000188981099E-3</v>
      </c>
      <c r="F11" s="150">
        <v>4.2395760945425458E-2</v>
      </c>
      <c r="G11" s="150">
        <v>0</v>
      </c>
      <c r="H11" s="150">
        <v>5.7000003095768375E-3</v>
      </c>
      <c r="I11" s="150">
        <v>0</v>
      </c>
      <c r="J11" s="150">
        <v>1.7682317843828389E-2</v>
      </c>
      <c r="K11" s="150">
        <v>6.4999999999999997E-3</v>
      </c>
      <c r="L11" s="150">
        <v>1.0000999947794772E-4</v>
      </c>
      <c r="M11" s="150">
        <v>4.2995703505769433E-3</v>
      </c>
      <c r="N11" s="150">
        <v>7.6399999999999996E-2</v>
      </c>
      <c r="O11" s="150">
        <v>8.6991297947790619E-3</v>
      </c>
      <c r="P11" s="150">
        <v>0</v>
      </c>
      <c r="Q11" s="150">
        <v>0</v>
      </c>
      <c r="R11" s="150">
        <v>0</v>
      </c>
      <c r="S11" s="150">
        <v>3.4400001170274537E-2</v>
      </c>
      <c r="T11" s="150">
        <v>0.02</v>
      </c>
      <c r="U11" s="150">
        <v>2E-3</v>
      </c>
      <c r="V11" s="150">
        <v>0</v>
      </c>
      <c r="W11" s="150">
        <v>5.3745460219718467E-2</v>
      </c>
      <c r="X11" s="150">
        <v>2.709729122362254E-2</v>
      </c>
      <c r="Y11" s="150">
        <v>1.7001700719121977E-3</v>
      </c>
      <c r="Z11" s="150">
        <v>8.9999999999999998E-4</v>
      </c>
      <c r="AA11" s="150">
        <v>0</v>
      </c>
      <c r="AB11" s="150">
        <v>0</v>
      </c>
      <c r="AC11" s="150">
        <v>0</v>
      </c>
      <c r="AD11" s="150">
        <v>2.2000000000000001E-3</v>
      </c>
      <c r="AE11" s="150">
        <v>0</v>
      </c>
      <c r="AF11" s="150">
        <v>0</v>
      </c>
      <c r="AG11" s="150">
        <v>0</v>
      </c>
      <c r="AH11" s="150">
        <v>0</v>
      </c>
      <c r="AI11" s="150">
        <v>9.9900104755244984E-4</v>
      </c>
      <c r="AJ11" s="150">
        <v>0</v>
      </c>
      <c r="AK11" s="150">
        <v>0</v>
      </c>
      <c r="AL11" s="150">
        <v>0.1</v>
      </c>
      <c r="AM11" s="150">
        <v>0</v>
      </c>
      <c r="AN11" s="150">
        <v>0</v>
      </c>
      <c r="AO11" s="150">
        <v>0</v>
      </c>
      <c r="AP11" s="150">
        <v>0</v>
      </c>
      <c r="AQ11" s="150">
        <v>0</v>
      </c>
      <c r="AR11" s="150">
        <v>0</v>
      </c>
      <c r="AS11" s="150">
        <v>0</v>
      </c>
      <c r="AT11" s="150">
        <v>0</v>
      </c>
      <c r="AU11" s="150">
        <v>0</v>
      </c>
      <c r="AV11" s="150">
        <v>0</v>
      </c>
      <c r="AW11" s="150">
        <v>0</v>
      </c>
      <c r="AX11" s="150">
        <v>0</v>
      </c>
      <c r="AY11" s="150">
        <v>0</v>
      </c>
      <c r="AZ11" s="150">
        <v>0</v>
      </c>
    </row>
    <row r="12" spans="1:52" customFormat="1" x14ac:dyDescent="0.15">
      <c r="A12" s="185" t="s">
        <v>202</v>
      </c>
      <c r="B12" s="150">
        <v>0</v>
      </c>
      <c r="C12" s="150">
        <v>0</v>
      </c>
      <c r="D12" s="150">
        <v>0</v>
      </c>
      <c r="E12" s="150">
        <v>1.0798920034016597E-2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0">
        <v>0</v>
      </c>
      <c r="AA12" s="150">
        <v>0</v>
      </c>
      <c r="AB12" s="150">
        <v>0</v>
      </c>
      <c r="AC12" s="150">
        <v>0</v>
      </c>
      <c r="AD12" s="150">
        <v>0</v>
      </c>
      <c r="AE12" s="150">
        <v>0</v>
      </c>
      <c r="AF12" s="150">
        <v>0</v>
      </c>
      <c r="AG12" s="150">
        <v>0</v>
      </c>
      <c r="AH12" s="150">
        <v>0</v>
      </c>
      <c r="AI12" s="150">
        <v>0</v>
      </c>
      <c r="AJ12" s="150">
        <v>0</v>
      </c>
      <c r="AK12" s="150">
        <v>0</v>
      </c>
      <c r="AL12" s="150">
        <v>0</v>
      </c>
      <c r="AM12" s="150">
        <v>0</v>
      </c>
      <c r="AN12" s="150">
        <v>0</v>
      </c>
      <c r="AO12" s="150">
        <v>0</v>
      </c>
      <c r="AP12" s="150">
        <v>0</v>
      </c>
      <c r="AQ12" s="150">
        <v>0</v>
      </c>
      <c r="AR12" s="150">
        <v>0</v>
      </c>
      <c r="AS12" s="150">
        <v>0</v>
      </c>
      <c r="AT12" s="150">
        <v>0</v>
      </c>
      <c r="AU12" s="150">
        <v>0</v>
      </c>
      <c r="AV12" s="150">
        <v>0</v>
      </c>
      <c r="AW12" s="150">
        <v>0</v>
      </c>
      <c r="AX12" s="150">
        <v>0</v>
      </c>
      <c r="AY12" s="150">
        <v>0</v>
      </c>
      <c r="AZ12" s="150">
        <v>0</v>
      </c>
    </row>
    <row r="13" spans="1:52" customFormat="1" x14ac:dyDescent="0.15">
      <c r="A13" s="185" t="s">
        <v>203</v>
      </c>
      <c r="B13" s="150">
        <v>9.9999993670632763E-3</v>
      </c>
      <c r="C13" s="150">
        <v>0</v>
      </c>
      <c r="D13" s="150">
        <v>6.9993003841745853E-3</v>
      </c>
      <c r="E13" s="150">
        <v>3.8696130121892811E-2</v>
      </c>
      <c r="F13" s="150">
        <v>0</v>
      </c>
      <c r="G13" s="150">
        <v>0</v>
      </c>
      <c r="H13" s="150">
        <v>0</v>
      </c>
      <c r="I13" s="150">
        <v>0</v>
      </c>
      <c r="J13" s="150">
        <v>1.7082918574546222E-2</v>
      </c>
      <c r="K13" s="150">
        <v>2.9999999999999997E-4</v>
      </c>
      <c r="L13" s="150">
        <v>9.0009004030153152E-4</v>
      </c>
      <c r="M13" s="150">
        <v>2.0897910051408859E-2</v>
      </c>
      <c r="N13" s="150">
        <v>1E-3</v>
      </c>
      <c r="O13" s="150">
        <v>0</v>
      </c>
      <c r="P13" s="150">
        <v>0</v>
      </c>
      <c r="Q13" s="150">
        <v>0</v>
      </c>
      <c r="R13" s="150">
        <v>0</v>
      </c>
      <c r="S13" s="150">
        <v>1.4999999444014944E-3</v>
      </c>
      <c r="T13" s="150">
        <v>0</v>
      </c>
      <c r="U13" s="150">
        <v>0</v>
      </c>
      <c r="V13" s="150">
        <v>0</v>
      </c>
      <c r="W13" s="150">
        <v>6.7431571458202597E-2</v>
      </c>
      <c r="X13" s="150">
        <v>3.399660079126083E-2</v>
      </c>
      <c r="Y13" s="150">
        <v>1.0001000487718816E-3</v>
      </c>
      <c r="Z13" s="150">
        <v>5.0000000000000001E-4</v>
      </c>
      <c r="AA13" s="150">
        <v>0</v>
      </c>
      <c r="AB13" s="150">
        <v>0</v>
      </c>
      <c r="AC13" s="150">
        <v>0</v>
      </c>
      <c r="AD13" s="150">
        <v>0</v>
      </c>
      <c r="AE13" s="150">
        <v>0</v>
      </c>
      <c r="AF13" s="150">
        <v>0</v>
      </c>
      <c r="AG13" s="150">
        <v>0</v>
      </c>
      <c r="AH13" s="150">
        <v>0</v>
      </c>
      <c r="AI13" s="150">
        <v>0</v>
      </c>
      <c r="AJ13" s="150">
        <v>0</v>
      </c>
      <c r="AK13" s="150">
        <v>0</v>
      </c>
      <c r="AL13" s="150">
        <v>0</v>
      </c>
      <c r="AM13" s="150">
        <v>0</v>
      </c>
      <c r="AN13" s="150">
        <v>0</v>
      </c>
      <c r="AO13" s="150">
        <v>0</v>
      </c>
      <c r="AP13" s="150">
        <v>0</v>
      </c>
      <c r="AQ13" s="150">
        <v>0</v>
      </c>
      <c r="AR13" s="150">
        <v>0</v>
      </c>
      <c r="AS13" s="150">
        <v>0</v>
      </c>
      <c r="AT13" s="150">
        <v>0</v>
      </c>
      <c r="AU13" s="150">
        <v>0</v>
      </c>
      <c r="AV13" s="150">
        <v>0</v>
      </c>
      <c r="AW13" s="150">
        <v>0</v>
      </c>
      <c r="AX13" s="150">
        <v>0</v>
      </c>
      <c r="AY13" s="150">
        <v>0</v>
      </c>
      <c r="AZ13" s="150">
        <v>0</v>
      </c>
    </row>
    <row r="14" spans="1:52" customFormat="1" x14ac:dyDescent="0.15">
      <c r="A14" s="185" t="s">
        <v>204</v>
      </c>
      <c r="B14" s="150">
        <v>0</v>
      </c>
      <c r="C14" s="150">
        <v>0</v>
      </c>
      <c r="D14" s="150">
        <v>0</v>
      </c>
      <c r="E14" s="150">
        <v>7.7992200245675424E-3</v>
      </c>
      <c r="F14" s="150">
        <v>9.2190782055854431E-2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0">
        <v>0</v>
      </c>
      <c r="AA14" s="150">
        <v>0</v>
      </c>
      <c r="AB14" s="150">
        <v>0</v>
      </c>
      <c r="AC14" s="150">
        <v>0</v>
      </c>
      <c r="AD14" s="150">
        <v>0</v>
      </c>
      <c r="AE14" s="150">
        <v>0</v>
      </c>
      <c r="AF14" s="150">
        <v>0</v>
      </c>
      <c r="AG14" s="150">
        <v>0</v>
      </c>
      <c r="AH14" s="150">
        <v>0</v>
      </c>
      <c r="AI14" s="150">
        <v>0</v>
      </c>
      <c r="AJ14" s="150">
        <v>0</v>
      </c>
      <c r="AK14" s="150">
        <v>0</v>
      </c>
      <c r="AL14" s="150">
        <v>0</v>
      </c>
      <c r="AM14" s="150">
        <v>0</v>
      </c>
      <c r="AN14" s="150">
        <v>0</v>
      </c>
      <c r="AO14" s="150">
        <v>0</v>
      </c>
      <c r="AP14" s="150">
        <v>0</v>
      </c>
      <c r="AQ14" s="150">
        <v>0</v>
      </c>
      <c r="AR14" s="150">
        <v>0</v>
      </c>
      <c r="AS14" s="150">
        <v>0</v>
      </c>
      <c r="AT14" s="150">
        <v>0</v>
      </c>
      <c r="AU14" s="150">
        <v>0</v>
      </c>
      <c r="AV14" s="150">
        <v>0</v>
      </c>
      <c r="AW14" s="150">
        <v>0</v>
      </c>
      <c r="AX14" s="150">
        <v>0</v>
      </c>
      <c r="AY14" s="150">
        <v>0</v>
      </c>
      <c r="AZ14" s="150">
        <v>0</v>
      </c>
    </row>
    <row r="15" spans="1:52" customFormat="1" x14ac:dyDescent="0.15">
      <c r="A15" s="185" t="s">
        <v>205</v>
      </c>
      <c r="B15" s="150">
        <v>0</v>
      </c>
      <c r="C15" s="150">
        <v>0</v>
      </c>
      <c r="D15" s="150">
        <v>9.9990000773922589E-4</v>
      </c>
      <c r="E15" s="150">
        <v>1.6898310053229674E-2</v>
      </c>
      <c r="F15" s="150">
        <v>0.27637234916310338</v>
      </c>
      <c r="G15" s="150">
        <v>0</v>
      </c>
      <c r="H15" s="150">
        <v>0</v>
      </c>
      <c r="I15" s="150">
        <v>0</v>
      </c>
      <c r="J15" s="150">
        <v>5.6943061781820721E-3</v>
      </c>
      <c r="K15" s="150">
        <v>2.3E-3</v>
      </c>
      <c r="L15" s="150">
        <v>1.0001000447794795E-3</v>
      </c>
      <c r="M15" s="150">
        <v>1.8998100046735327E-3</v>
      </c>
      <c r="N15" s="150">
        <v>0.127</v>
      </c>
      <c r="O15" s="150">
        <v>5.4994497280787371E-3</v>
      </c>
      <c r="P15" s="150">
        <v>0</v>
      </c>
      <c r="Q15" s="150">
        <v>0</v>
      </c>
      <c r="R15" s="150">
        <v>0</v>
      </c>
      <c r="S15" s="150">
        <v>7.9999995068079485E-4</v>
      </c>
      <c r="T15" s="150">
        <v>2.5000000000000001E-3</v>
      </c>
      <c r="U15" s="150">
        <v>0</v>
      </c>
      <c r="V15" s="150">
        <v>0</v>
      </c>
      <c r="W15" s="150">
        <v>1.8980738649716036E-3</v>
      </c>
      <c r="X15" s="150">
        <v>9.9990009386060523E-4</v>
      </c>
      <c r="Y15" s="150">
        <v>0</v>
      </c>
      <c r="Z15" s="150">
        <v>0</v>
      </c>
      <c r="AA15" s="150">
        <v>0</v>
      </c>
      <c r="AB15" s="150">
        <v>0</v>
      </c>
      <c r="AC15" s="150">
        <v>0</v>
      </c>
      <c r="AD15" s="150">
        <v>1.1000000000000001E-3</v>
      </c>
      <c r="AE15" s="150">
        <v>0</v>
      </c>
      <c r="AF15" s="150">
        <v>0</v>
      </c>
      <c r="AG15" s="150">
        <v>0</v>
      </c>
      <c r="AH15" s="150">
        <v>0</v>
      </c>
      <c r="AI15" s="150">
        <v>0</v>
      </c>
      <c r="AJ15" s="150">
        <v>0</v>
      </c>
      <c r="AK15" s="150">
        <v>0</v>
      </c>
      <c r="AL15" s="150">
        <v>0</v>
      </c>
      <c r="AM15" s="150">
        <v>0</v>
      </c>
      <c r="AN15" s="150">
        <v>0</v>
      </c>
      <c r="AO15" s="150">
        <v>0</v>
      </c>
      <c r="AP15" s="150">
        <v>0</v>
      </c>
      <c r="AQ15" s="150">
        <v>0</v>
      </c>
      <c r="AR15" s="150">
        <v>0</v>
      </c>
      <c r="AS15" s="150">
        <v>0</v>
      </c>
      <c r="AT15" s="150">
        <v>0</v>
      </c>
      <c r="AU15" s="150">
        <v>0</v>
      </c>
      <c r="AV15" s="150">
        <v>0</v>
      </c>
      <c r="AW15" s="150">
        <v>0</v>
      </c>
      <c r="AX15" s="150">
        <v>0</v>
      </c>
      <c r="AY15" s="150">
        <v>0</v>
      </c>
      <c r="AZ15" s="150">
        <v>0</v>
      </c>
    </row>
    <row r="16" spans="1:52" customFormat="1" x14ac:dyDescent="0.15">
      <c r="A16" s="185" t="s">
        <v>206</v>
      </c>
      <c r="B16" s="150">
        <v>4.3000001147985231E-3</v>
      </c>
      <c r="C16" s="150">
        <v>0</v>
      </c>
      <c r="D16" s="150">
        <v>6.9993003841745853E-3</v>
      </c>
      <c r="E16" s="150">
        <v>0</v>
      </c>
      <c r="F16" s="150">
        <v>2.0797920463793623E-2</v>
      </c>
      <c r="G16" s="150">
        <v>0</v>
      </c>
      <c r="H16" s="150">
        <v>0</v>
      </c>
      <c r="I16" s="150">
        <v>0</v>
      </c>
      <c r="J16" s="150">
        <v>8.9910095492348274E-4</v>
      </c>
      <c r="K16" s="150">
        <v>0</v>
      </c>
      <c r="L16" s="150">
        <v>1.0000999947794772E-4</v>
      </c>
      <c r="M16" s="150">
        <v>7.8992100194320569E-3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1.1388442529839442E-2</v>
      </c>
      <c r="X16" s="150">
        <v>5.6994299850055084E-3</v>
      </c>
      <c r="Y16" s="150">
        <v>0</v>
      </c>
      <c r="Z16" s="150">
        <v>0</v>
      </c>
      <c r="AA16" s="150">
        <v>0</v>
      </c>
      <c r="AB16" s="150">
        <v>0</v>
      </c>
      <c r="AC16" s="150">
        <v>0</v>
      </c>
      <c r="AD16" s="150">
        <v>0</v>
      </c>
      <c r="AE16" s="150">
        <v>0</v>
      </c>
      <c r="AF16" s="150">
        <v>0</v>
      </c>
      <c r="AG16" s="150">
        <v>0</v>
      </c>
      <c r="AH16" s="150">
        <v>0</v>
      </c>
      <c r="AI16" s="150">
        <v>0</v>
      </c>
      <c r="AJ16" s="150">
        <v>0</v>
      </c>
      <c r="AK16" s="150">
        <v>0</v>
      </c>
      <c r="AL16" s="150">
        <v>0</v>
      </c>
      <c r="AM16" s="150">
        <v>0</v>
      </c>
      <c r="AN16" s="150">
        <v>0</v>
      </c>
      <c r="AO16" s="150">
        <v>0</v>
      </c>
      <c r="AP16" s="150">
        <v>0</v>
      </c>
      <c r="AQ16" s="150">
        <v>0</v>
      </c>
      <c r="AR16" s="150">
        <v>0</v>
      </c>
      <c r="AS16" s="150">
        <v>0</v>
      </c>
      <c r="AT16" s="150">
        <v>0</v>
      </c>
      <c r="AU16" s="150">
        <v>0</v>
      </c>
      <c r="AV16" s="150">
        <v>0</v>
      </c>
      <c r="AW16" s="150">
        <v>0</v>
      </c>
      <c r="AX16" s="150">
        <v>0</v>
      </c>
      <c r="AY16" s="150">
        <v>0</v>
      </c>
      <c r="AZ16" s="150">
        <v>0</v>
      </c>
    </row>
    <row r="17" spans="1:52" customFormat="1" x14ac:dyDescent="0.15">
      <c r="A17" s="185" t="s">
        <v>207</v>
      </c>
      <c r="B17" s="150">
        <v>4.3000001147985231E-3</v>
      </c>
      <c r="C17" s="150">
        <v>0</v>
      </c>
      <c r="D17" s="150">
        <v>2.9996998832176772E-2</v>
      </c>
      <c r="E17" s="150">
        <v>7.259274022866713E-2</v>
      </c>
      <c r="F17" s="150">
        <v>7.7392261725847428E-2</v>
      </c>
      <c r="G17" s="150">
        <v>0</v>
      </c>
      <c r="H17" s="150">
        <v>0</v>
      </c>
      <c r="I17" s="150">
        <v>0</v>
      </c>
      <c r="J17" s="150">
        <v>9.9900101547053104E-5</v>
      </c>
      <c r="K17" s="150">
        <v>0</v>
      </c>
      <c r="L17" s="150">
        <v>1.0000999947794772E-4</v>
      </c>
      <c r="M17" s="150">
        <v>0</v>
      </c>
      <c r="N17" s="150">
        <v>2.3999999999999998E-3</v>
      </c>
      <c r="O17" s="150">
        <v>0</v>
      </c>
      <c r="P17" s="150">
        <v>0</v>
      </c>
      <c r="Q17" s="150">
        <v>0</v>
      </c>
      <c r="R17" s="150">
        <v>0</v>
      </c>
      <c r="S17" s="150">
        <v>4.6000001441646168E-3</v>
      </c>
      <c r="T17" s="150">
        <v>0</v>
      </c>
      <c r="U17" s="150">
        <v>0</v>
      </c>
      <c r="V17" s="150">
        <v>0</v>
      </c>
      <c r="W17" s="150">
        <v>3.7961477399430579E-3</v>
      </c>
      <c r="X17" s="150">
        <v>1.8998100783351604E-3</v>
      </c>
      <c r="Y17" s="150">
        <v>0</v>
      </c>
      <c r="Z17" s="150">
        <v>0</v>
      </c>
      <c r="AA17" s="150">
        <v>0</v>
      </c>
      <c r="AB17" s="150">
        <v>0</v>
      </c>
      <c r="AC17" s="150">
        <v>0</v>
      </c>
      <c r="AD17" s="150">
        <v>0</v>
      </c>
      <c r="AE17" s="150">
        <v>0</v>
      </c>
      <c r="AF17" s="150">
        <v>0</v>
      </c>
      <c r="AG17" s="150">
        <v>0</v>
      </c>
      <c r="AH17" s="150">
        <v>0</v>
      </c>
      <c r="AI17" s="150">
        <v>0</v>
      </c>
      <c r="AJ17" s="150">
        <v>0</v>
      </c>
      <c r="AK17" s="150">
        <v>0</v>
      </c>
      <c r="AL17" s="150">
        <v>0</v>
      </c>
      <c r="AM17" s="150">
        <v>0</v>
      </c>
      <c r="AN17" s="150">
        <v>0</v>
      </c>
      <c r="AO17" s="150">
        <v>0</v>
      </c>
      <c r="AP17" s="150">
        <v>0</v>
      </c>
      <c r="AQ17" s="150">
        <v>0</v>
      </c>
      <c r="AR17" s="150">
        <v>0</v>
      </c>
      <c r="AS17" s="150">
        <v>0</v>
      </c>
      <c r="AT17" s="150">
        <v>0</v>
      </c>
      <c r="AU17" s="150">
        <v>0</v>
      </c>
      <c r="AV17" s="150">
        <v>0</v>
      </c>
      <c r="AW17" s="150">
        <v>0</v>
      </c>
      <c r="AX17" s="150">
        <v>0</v>
      </c>
      <c r="AY17" s="150">
        <v>0</v>
      </c>
      <c r="AZ17" s="150">
        <v>0</v>
      </c>
    </row>
    <row r="18" spans="1:52" customFormat="1" x14ac:dyDescent="0.15">
      <c r="A18" s="185" t="s">
        <v>208</v>
      </c>
      <c r="B18" s="150">
        <v>4.3000001147985231E-3</v>
      </c>
      <c r="C18" s="150">
        <v>0</v>
      </c>
      <c r="D18" s="150">
        <v>2.9996998832176772E-2</v>
      </c>
      <c r="E18" s="150">
        <v>9.9990000314968493E-5</v>
      </c>
      <c r="F18" s="150">
        <v>2.0797920463793623E-2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  <c r="W18" s="150">
        <v>0</v>
      </c>
      <c r="X18" s="150">
        <v>0</v>
      </c>
      <c r="Y18" s="150">
        <v>0</v>
      </c>
      <c r="Z18" s="150">
        <v>0</v>
      </c>
      <c r="AA18" s="150">
        <v>0</v>
      </c>
      <c r="AB18" s="150">
        <v>0</v>
      </c>
      <c r="AC18" s="150">
        <v>0</v>
      </c>
      <c r="AD18" s="150">
        <v>0</v>
      </c>
      <c r="AE18" s="150">
        <v>0</v>
      </c>
      <c r="AF18" s="150">
        <v>0</v>
      </c>
      <c r="AG18" s="150">
        <v>0</v>
      </c>
      <c r="AH18" s="150">
        <v>0</v>
      </c>
      <c r="AI18" s="150">
        <v>0</v>
      </c>
      <c r="AJ18" s="150">
        <v>0</v>
      </c>
      <c r="AK18" s="150">
        <v>0</v>
      </c>
      <c r="AL18" s="150">
        <v>0</v>
      </c>
      <c r="AM18" s="150">
        <v>0</v>
      </c>
      <c r="AN18" s="150">
        <v>0</v>
      </c>
      <c r="AO18" s="150">
        <v>0</v>
      </c>
      <c r="AP18" s="150">
        <v>0</v>
      </c>
      <c r="AQ18" s="150">
        <v>0</v>
      </c>
      <c r="AR18" s="150">
        <v>0</v>
      </c>
      <c r="AS18" s="150">
        <v>0</v>
      </c>
      <c r="AT18" s="150">
        <v>0</v>
      </c>
      <c r="AU18" s="150">
        <v>0</v>
      </c>
      <c r="AV18" s="150">
        <v>0</v>
      </c>
      <c r="AW18" s="150">
        <v>0</v>
      </c>
      <c r="AX18" s="150">
        <v>0</v>
      </c>
      <c r="AY18" s="150">
        <v>0</v>
      </c>
      <c r="AZ18" s="150">
        <v>0</v>
      </c>
    </row>
    <row r="19" spans="1:52" customFormat="1" x14ac:dyDescent="0.15">
      <c r="A19" s="185" t="s">
        <v>209</v>
      </c>
      <c r="B19" s="150">
        <v>0</v>
      </c>
      <c r="C19" s="150">
        <v>0</v>
      </c>
      <c r="D19" s="150">
        <v>3.9996000309569036E-3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1.9980020609410657E-4</v>
      </c>
      <c r="K19" s="150">
        <v>0</v>
      </c>
      <c r="L19" s="150">
        <v>0</v>
      </c>
      <c r="M19" s="150">
        <v>0</v>
      </c>
      <c r="N19" s="150">
        <v>1E-3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  <c r="W19" s="150">
        <v>3.7961477399430579E-3</v>
      </c>
      <c r="X19" s="150">
        <v>1.8998100783351604E-3</v>
      </c>
      <c r="Y19" s="150">
        <v>3.0003003563156705E-4</v>
      </c>
      <c r="Z19" s="150">
        <v>2.0000000000000001E-4</v>
      </c>
      <c r="AA19" s="150">
        <v>0</v>
      </c>
      <c r="AB19" s="150">
        <v>0</v>
      </c>
      <c r="AC19" s="150">
        <v>0</v>
      </c>
      <c r="AD19" s="150">
        <v>0</v>
      </c>
      <c r="AE19" s="150">
        <v>0</v>
      </c>
      <c r="AF19" s="150">
        <v>0</v>
      </c>
      <c r="AG19" s="150">
        <v>0</v>
      </c>
      <c r="AH19" s="150">
        <v>0</v>
      </c>
      <c r="AI19" s="150">
        <v>0</v>
      </c>
      <c r="AJ19" s="150">
        <v>0</v>
      </c>
      <c r="AK19" s="150">
        <v>0</v>
      </c>
      <c r="AL19" s="150">
        <v>0</v>
      </c>
      <c r="AM19" s="150">
        <v>0</v>
      </c>
      <c r="AN19" s="150">
        <v>0</v>
      </c>
      <c r="AO19" s="150">
        <v>0</v>
      </c>
      <c r="AP19" s="150">
        <v>0</v>
      </c>
      <c r="AQ19" s="150">
        <v>0</v>
      </c>
      <c r="AR19" s="150">
        <v>0</v>
      </c>
      <c r="AS19" s="150">
        <v>0</v>
      </c>
      <c r="AT19" s="150">
        <v>0</v>
      </c>
      <c r="AU19" s="150">
        <v>0</v>
      </c>
      <c r="AV19" s="150">
        <v>0</v>
      </c>
      <c r="AW19" s="150">
        <v>0</v>
      </c>
      <c r="AX19" s="150">
        <v>0</v>
      </c>
      <c r="AY19" s="150">
        <v>0</v>
      </c>
      <c r="AZ19" s="150">
        <v>0</v>
      </c>
    </row>
    <row r="20" spans="1:52" customFormat="1" x14ac:dyDescent="0.15">
      <c r="A20" s="185" t="s">
        <v>210</v>
      </c>
      <c r="B20" s="150">
        <v>0</v>
      </c>
      <c r="C20" s="150">
        <v>1.2000000729439945E-3</v>
      </c>
      <c r="D20" s="150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  <c r="W20" s="150">
        <v>0</v>
      </c>
      <c r="X20" s="150">
        <v>0</v>
      </c>
      <c r="Y20" s="150">
        <v>0</v>
      </c>
      <c r="Z20" s="150">
        <v>0</v>
      </c>
      <c r="AA20" s="150">
        <v>0</v>
      </c>
      <c r="AB20" s="150">
        <v>0</v>
      </c>
      <c r="AC20" s="150">
        <v>0</v>
      </c>
      <c r="AD20" s="150">
        <v>0</v>
      </c>
      <c r="AE20" s="150">
        <v>0</v>
      </c>
      <c r="AF20" s="150">
        <v>0</v>
      </c>
      <c r="AG20" s="150">
        <v>0</v>
      </c>
      <c r="AH20" s="150">
        <v>0</v>
      </c>
      <c r="AI20" s="150">
        <v>0</v>
      </c>
      <c r="AJ20" s="150">
        <v>0</v>
      </c>
      <c r="AK20" s="150">
        <v>0</v>
      </c>
      <c r="AL20" s="150">
        <v>0</v>
      </c>
      <c r="AM20" s="150">
        <v>0</v>
      </c>
      <c r="AN20" s="150">
        <v>0</v>
      </c>
      <c r="AO20" s="150">
        <v>0</v>
      </c>
      <c r="AP20" s="150">
        <v>0</v>
      </c>
      <c r="AQ20" s="150">
        <v>0</v>
      </c>
      <c r="AR20" s="150">
        <v>0</v>
      </c>
      <c r="AS20" s="150">
        <v>0</v>
      </c>
      <c r="AT20" s="150">
        <v>0</v>
      </c>
      <c r="AU20" s="150">
        <v>0</v>
      </c>
      <c r="AV20" s="150">
        <v>0</v>
      </c>
      <c r="AW20" s="150">
        <v>0</v>
      </c>
      <c r="AX20" s="150">
        <v>0</v>
      </c>
      <c r="AY20" s="150">
        <v>0</v>
      </c>
      <c r="AZ20" s="150">
        <v>0</v>
      </c>
    </row>
    <row r="21" spans="1:52" customFormat="1" x14ac:dyDescent="0.15">
      <c r="A21" s="185" t="s">
        <v>211</v>
      </c>
      <c r="B21" s="150">
        <v>0</v>
      </c>
      <c r="C21" s="150">
        <v>0</v>
      </c>
      <c r="D21" s="150">
        <v>5.9994000464353566E-3</v>
      </c>
      <c r="E21" s="150">
        <v>2.9997000094490549E-3</v>
      </c>
      <c r="F21" s="150">
        <v>0.11938806166235376</v>
      </c>
      <c r="G21" s="150">
        <v>0</v>
      </c>
      <c r="H21" s="150">
        <v>0</v>
      </c>
      <c r="I21" s="150">
        <v>0</v>
      </c>
      <c r="J21" s="150">
        <v>8.5914099930467138E-3</v>
      </c>
      <c r="K21" s="150">
        <v>1E-4</v>
      </c>
      <c r="L21" s="150">
        <v>0</v>
      </c>
      <c r="M21" s="150">
        <v>7.9992000196780317E-4</v>
      </c>
      <c r="N21" s="150">
        <v>0.25650000000000001</v>
      </c>
      <c r="O21" s="150">
        <v>0</v>
      </c>
      <c r="P21" s="150">
        <v>0</v>
      </c>
      <c r="Q21" s="150">
        <v>0</v>
      </c>
      <c r="R21" s="150">
        <v>0</v>
      </c>
      <c r="S21" s="150">
        <v>4.9999998780049876E-2</v>
      </c>
      <c r="T21" s="150">
        <v>5.2999999999999999E-2</v>
      </c>
      <c r="U21" s="150">
        <v>7.0000000000000001E-3</v>
      </c>
      <c r="V21" s="150">
        <v>0</v>
      </c>
      <c r="W21" s="150">
        <v>2.3176479813353312E-2</v>
      </c>
      <c r="X21" s="150">
        <v>1.1698829658169234E-2</v>
      </c>
      <c r="Y21" s="150">
        <v>1.8501850197279731E-2</v>
      </c>
      <c r="Z21" s="150">
        <v>9.2999999999999992E-3</v>
      </c>
      <c r="AA21" s="150">
        <v>0</v>
      </c>
      <c r="AB21" s="150">
        <v>0</v>
      </c>
      <c r="AC21" s="150">
        <v>0</v>
      </c>
      <c r="AD21" s="150">
        <v>0</v>
      </c>
      <c r="AE21" s="150">
        <v>0</v>
      </c>
      <c r="AF21" s="150">
        <v>0</v>
      </c>
      <c r="AG21" s="150">
        <v>0</v>
      </c>
      <c r="AH21" s="150">
        <v>0</v>
      </c>
      <c r="AI21" s="150">
        <v>1.9980020951048997E-3</v>
      </c>
      <c r="AJ21" s="150">
        <v>0</v>
      </c>
      <c r="AK21" s="150">
        <v>0</v>
      </c>
      <c r="AL21" s="150">
        <v>0</v>
      </c>
      <c r="AM21" s="150">
        <v>0</v>
      </c>
      <c r="AN21" s="150">
        <v>0</v>
      </c>
      <c r="AO21" s="150">
        <v>0</v>
      </c>
      <c r="AP21" s="150">
        <v>0</v>
      </c>
      <c r="AQ21" s="150">
        <v>0</v>
      </c>
      <c r="AR21" s="150">
        <v>0</v>
      </c>
      <c r="AS21" s="150">
        <v>0</v>
      </c>
      <c r="AT21" s="150">
        <v>0</v>
      </c>
      <c r="AU21" s="150">
        <v>0</v>
      </c>
      <c r="AV21" s="150">
        <v>0</v>
      </c>
      <c r="AW21" s="150">
        <v>0</v>
      </c>
      <c r="AX21" s="150">
        <v>0</v>
      </c>
      <c r="AY21" s="150">
        <v>0</v>
      </c>
      <c r="AZ21" s="150">
        <v>0</v>
      </c>
    </row>
    <row r="22" spans="1:52" customFormat="1" x14ac:dyDescent="0.15">
      <c r="A22" s="185" t="s">
        <v>212</v>
      </c>
      <c r="B22" s="150">
        <v>0</v>
      </c>
      <c r="C22" s="150">
        <v>0</v>
      </c>
      <c r="D22" s="150">
        <v>4.9995000386961301E-3</v>
      </c>
      <c r="E22" s="150">
        <v>0</v>
      </c>
      <c r="F22" s="150">
        <v>0</v>
      </c>
      <c r="G22" s="150">
        <v>0</v>
      </c>
      <c r="H22" s="150">
        <v>3.9999997968959762E-4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  <c r="W22" s="150">
        <v>0</v>
      </c>
      <c r="X22" s="150">
        <v>0</v>
      </c>
      <c r="Y22" s="150">
        <v>0</v>
      </c>
      <c r="Z22" s="150">
        <v>0</v>
      </c>
      <c r="AA22" s="150">
        <v>0</v>
      </c>
      <c r="AB22" s="150">
        <v>0</v>
      </c>
      <c r="AC22" s="150">
        <v>0</v>
      </c>
      <c r="AD22" s="150">
        <v>0</v>
      </c>
      <c r="AE22" s="150">
        <v>0</v>
      </c>
      <c r="AF22" s="150">
        <v>0</v>
      </c>
      <c r="AG22" s="150">
        <v>0</v>
      </c>
      <c r="AH22" s="150">
        <v>0</v>
      </c>
      <c r="AI22" s="150">
        <v>0</v>
      </c>
      <c r="AJ22" s="150">
        <v>0</v>
      </c>
      <c r="AK22" s="150">
        <v>0</v>
      </c>
      <c r="AL22" s="150">
        <v>0</v>
      </c>
      <c r="AM22" s="150">
        <v>0</v>
      </c>
      <c r="AN22" s="150">
        <v>0</v>
      </c>
      <c r="AO22" s="150">
        <v>0</v>
      </c>
      <c r="AP22" s="150">
        <v>0</v>
      </c>
      <c r="AQ22" s="150">
        <v>0</v>
      </c>
      <c r="AR22" s="150">
        <v>0</v>
      </c>
      <c r="AS22" s="150">
        <v>0</v>
      </c>
      <c r="AT22" s="150">
        <v>0</v>
      </c>
      <c r="AU22" s="150">
        <v>0</v>
      </c>
      <c r="AV22" s="150">
        <v>0</v>
      </c>
      <c r="AW22" s="150">
        <v>0</v>
      </c>
      <c r="AX22" s="150">
        <v>0</v>
      </c>
      <c r="AY22" s="150">
        <v>0</v>
      </c>
      <c r="AZ22" s="150">
        <v>0</v>
      </c>
    </row>
    <row r="23" spans="1:52" customFormat="1" x14ac:dyDescent="0.15">
      <c r="A23" s="185" t="s">
        <v>213</v>
      </c>
      <c r="B23" s="150">
        <v>0</v>
      </c>
      <c r="C23" s="150">
        <v>1.4999999386800054E-2</v>
      </c>
      <c r="D23" s="150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  <c r="W23" s="150">
        <v>0</v>
      </c>
      <c r="X23" s="150">
        <v>0</v>
      </c>
      <c r="Y23" s="150">
        <v>0</v>
      </c>
      <c r="Z23" s="150">
        <v>0</v>
      </c>
      <c r="AA23" s="150">
        <v>0</v>
      </c>
      <c r="AB23" s="150">
        <v>0</v>
      </c>
      <c r="AC23" s="150">
        <v>0</v>
      </c>
      <c r="AD23" s="150">
        <v>0</v>
      </c>
      <c r="AE23" s="150">
        <v>0</v>
      </c>
      <c r="AF23" s="150">
        <v>0</v>
      </c>
      <c r="AG23" s="150">
        <v>0</v>
      </c>
      <c r="AH23" s="150">
        <v>0</v>
      </c>
      <c r="AI23" s="150">
        <v>0</v>
      </c>
      <c r="AJ23" s="150">
        <v>0</v>
      </c>
      <c r="AK23" s="150">
        <v>0</v>
      </c>
      <c r="AL23" s="150">
        <v>0</v>
      </c>
      <c r="AM23" s="150">
        <v>0</v>
      </c>
      <c r="AN23" s="150">
        <v>0</v>
      </c>
      <c r="AO23" s="150">
        <v>0</v>
      </c>
      <c r="AP23" s="150">
        <v>0</v>
      </c>
      <c r="AQ23" s="150">
        <v>0</v>
      </c>
      <c r="AR23" s="150">
        <v>0</v>
      </c>
      <c r="AS23" s="150">
        <v>0</v>
      </c>
      <c r="AT23" s="150">
        <v>0</v>
      </c>
      <c r="AU23" s="150">
        <v>0</v>
      </c>
      <c r="AV23" s="150">
        <v>0</v>
      </c>
      <c r="AW23" s="150">
        <v>0</v>
      </c>
      <c r="AX23" s="150">
        <v>0</v>
      </c>
      <c r="AY23" s="150">
        <v>0</v>
      </c>
      <c r="AZ23" s="150">
        <v>0</v>
      </c>
    </row>
    <row r="24" spans="1:52" customFormat="1" x14ac:dyDescent="0.15">
      <c r="A24" s="185" t="s">
        <v>214</v>
      </c>
      <c r="B24" s="150">
        <v>2.000000053394662E-3</v>
      </c>
      <c r="C24" s="150">
        <v>1.4999999386800054E-2</v>
      </c>
      <c r="D24" s="150">
        <v>4.0995900317308272E-2</v>
      </c>
      <c r="E24" s="150">
        <v>0</v>
      </c>
      <c r="F24" s="150">
        <v>0</v>
      </c>
      <c r="G24" s="150">
        <v>0</v>
      </c>
      <c r="H24" s="150">
        <v>3.5999998992063882E-3</v>
      </c>
      <c r="I24" s="150">
        <v>0</v>
      </c>
      <c r="J24" s="150">
        <v>9.9900101547053104E-5</v>
      </c>
      <c r="K24" s="150">
        <v>1E-4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4.1700002670362009E-2</v>
      </c>
      <c r="T24" s="150">
        <v>1.2500000000000001E-2</v>
      </c>
      <c r="U24" s="150">
        <v>0</v>
      </c>
      <c r="V24" s="150">
        <v>0</v>
      </c>
      <c r="W24" s="150">
        <v>0.13006800547231803</v>
      </c>
      <c r="X24" s="150">
        <v>6.5593443037256019E-2</v>
      </c>
      <c r="Y24" s="150">
        <v>3.0003003563156705E-4</v>
      </c>
      <c r="Z24" s="150">
        <v>2.0000000000000001E-4</v>
      </c>
      <c r="AA24" s="150">
        <v>0</v>
      </c>
      <c r="AB24" s="150">
        <v>0</v>
      </c>
      <c r="AC24" s="150">
        <v>0</v>
      </c>
      <c r="AD24" s="150">
        <v>0</v>
      </c>
      <c r="AE24" s="150">
        <v>0</v>
      </c>
      <c r="AF24" s="150">
        <v>0</v>
      </c>
      <c r="AG24" s="150">
        <v>0</v>
      </c>
      <c r="AH24" s="150">
        <v>0</v>
      </c>
      <c r="AI24" s="150">
        <v>1.198801177062936E-2</v>
      </c>
      <c r="AJ24" s="150">
        <v>0</v>
      </c>
      <c r="AK24" s="150">
        <v>0</v>
      </c>
      <c r="AL24" s="150">
        <v>2.9999999999999997E-4</v>
      </c>
      <c r="AM24" s="150">
        <v>0</v>
      </c>
      <c r="AN24" s="150">
        <v>0</v>
      </c>
      <c r="AO24" s="150">
        <v>0</v>
      </c>
      <c r="AP24" s="150">
        <v>0</v>
      </c>
      <c r="AQ24" s="150">
        <v>0</v>
      </c>
      <c r="AR24" s="150">
        <v>0</v>
      </c>
      <c r="AS24" s="150">
        <v>0</v>
      </c>
      <c r="AT24" s="150">
        <v>0</v>
      </c>
      <c r="AU24" s="150">
        <v>0</v>
      </c>
      <c r="AV24" s="150">
        <v>0</v>
      </c>
      <c r="AW24" s="150">
        <v>0</v>
      </c>
      <c r="AX24" s="150">
        <v>0</v>
      </c>
      <c r="AY24" s="150">
        <v>0</v>
      </c>
      <c r="AZ24" s="150">
        <v>0</v>
      </c>
    </row>
    <row r="25" spans="1:52" customFormat="1" x14ac:dyDescent="0.15">
      <c r="A25" s="185" t="s">
        <v>215</v>
      </c>
      <c r="B25" s="150">
        <v>0</v>
      </c>
      <c r="C25" s="150">
        <v>1.4999999386800054E-2</v>
      </c>
      <c r="D25" s="150">
        <v>0</v>
      </c>
      <c r="E25" s="150">
        <v>6.4993500204729524E-3</v>
      </c>
      <c r="F25" s="150">
        <v>1.2898710887641251E-2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  <c r="W25" s="150">
        <v>0</v>
      </c>
      <c r="X25" s="150">
        <v>0</v>
      </c>
      <c r="Y25" s="150">
        <v>0</v>
      </c>
      <c r="Z25" s="150">
        <v>0</v>
      </c>
      <c r="AA25" s="150">
        <v>0</v>
      </c>
      <c r="AB25" s="150">
        <v>0</v>
      </c>
      <c r="AC25" s="150">
        <v>0</v>
      </c>
      <c r="AD25" s="150">
        <v>0</v>
      </c>
      <c r="AE25" s="150">
        <v>0</v>
      </c>
      <c r="AF25" s="150">
        <v>0</v>
      </c>
      <c r="AG25" s="150">
        <v>0</v>
      </c>
      <c r="AH25" s="150">
        <v>0</v>
      </c>
      <c r="AI25" s="150">
        <v>0</v>
      </c>
      <c r="AJ25" s="150">
        <v>0</v>
      </c>
      <c r="AK25" s="150">
        <v>0</v>
      </c>
      <c r="AL25" s="150">
        <v>0</v>
      </c>
      <c r="AM25" s="150">
        <v>0</v>
      </c>
      <c r="AN25" s="150">
        <v>0</v>
      </c>
      <c r="AO25" s="150">
        <v>0</v>
      </c>
      <c r="AP25" s="150">
        <v>0</v>
      </c>
      <c r="AQ25" s="150">
        <v>0</v>
      </c>
      <c r="AR25" s="150">
        <v>0</v>
      </c>
      <c r="AS25" s="150">
        <v>0</v>
      </c>
      <c r="AT25" s="150">
        <v>0</v>
      </c>
      <c r="AU25" s="150">
        <v>0</v>
      </c>
      <c r="AV25" s="150">
        <v>0</v>
      </c>
      <c r="AW25" s="150">
        <v>0</v>
      </c>
      <c r="AX25" s="150">
        <v>0</v>
      </c>
      <c r="AY25" s="150">
        <v>0</v>
      </c>
      <c r="AZ25" s="150">
        <v>0</v>
      </c>
    </row>
    <row r="26" spans="1:52" customFormat="1" x14ac:dyDescent="0.15">
      <c r="A26" s="185" t="s">
        <v>216</v>
      </c>
      <c r="B26" s="150">
        <v>9.9999993670632763E-3</v>
      </c>
      <c r="C26" s="150">
        <v>1.4999999386800054E-2</v>
      </c>
      <c r="D26" s="150">
        <v>2.5997400201219878E-2</v>
      </c>
      <c r="E26" s="150">
        <v>5.9994000188981099E-3</v>
      </c>
      <c r="F26" s="150">
        <v>3.8596142960693983E-2</v>
      </c>
      <c r="G26" s="150">
        <v>0</v>
      </c>
      <c r="H26" s="150">
        <v>3.5999998992063882E-3</v>
      </c>
      <c r="I26" s="150">
        <v>0</v>
      </c>
      <c r="J26" s="150">
        <v>2.4675327452122392E-2</v>
      </c>
      <c r="K26" s="150">
        <v>5.0000000000000001E-3</v>
      </c>
      <c r="L26" s="150">
        <v>4.4004401970297096E-3</v>
      </c>
      <c r="M26" s="150">
        <v>5.6994300140205982E-3</v>
      </c>
      <c r="N26" s="150">
        <v>6.9599999999999995E-2</v>
      </c>
      <c r="O26" s="150">
        <v>3.9995997458754524E-4</v>
      </c>
      <c r="P26" s="150">
        <v>0</v>
      </c>
      <c r="Q26" s="150">
        <v>0</v>
      </c>
      <c r="R26" s="150">
        <v>0</v>
      </c>
      <c r="S26" s="150">
        <v>0.11200000127531216</v>
      </c>
      <c r="T26" s="150">
        <v>3.5000000000000003E-2</v>
      </c>
      <c r="U26" s="150">
        <v>1E-3</v>
      </c>
      <c r="V26" s="150">
        <v>0</v>
      </c>
      <c r="W26" s="150">
        <v>0.14725057678036449</v>
      </c>
      <c r="X26" s="150">
        <v>7.4292572113843477E-2</v>
      </c>
      <c r="Y26" s="150">
        <v>4.0003999650874996E-4</v>
      </c>
      <c r="Z26" s="150">
        <v>2.0000000000000001E-4</v>
      </c>
      <c r="AA26" s="150">
        <v>2E-3</v>
      </c>
      <c r="AB26" s="150">
        <v>0</v>
      </c>
      <c r="AC26" s="150">
        <v>9.9999999165000051E-3</v>
      </c>
      <c r="AD26" s="150">
        <v>0</v>
      </c>
      <c r="AE26" s="150">
        <v>0</v>
      </c>
      <c r="AF26" s="150">
        <v>0</v>
      </c>
      <c r="AG26" s="150">
        <v>0</v>
      </c>
      <c r="AH26" s="150">
        <v>0</v>
      </c>
      <c r="AI26" s="150">
        <v>1.198801177062936E-2</v>
      </c>
      <c r="AJ26" s="150">
        <v>0</v>
      </c>
      <c r="AK26" s="150">
        <v>0</v>
      </c>
      <c r="AL26" s="150">
        <v>2.9999999999999997E-4</v>
      </c>
      <c r="AM26" s="150">
        <v>0</v>
      </c>
      <c r="AN26" s="150">
        <v>0</v>
      </c>
      <c r="AO26" s="150">
        <v>0</v>
      </c>
      <c r="AP26" s="150">
        <v>0</v>
      </c>
      <c r="AQ26" s="150">
        <v>0</v>
      </c>
      <c r="AR26" s="150">
        <v>0</v>
      </c>
      <c r="AS26" s="150">
        <v>0</v>
      </c>
      <c r="AT26" s="150">
        <v>0</v>
      </c>
      <c r="AU26" s="150">
        <v>0</v>
      </c>
      <c r="AV26" s="150">
        <v>0</v>
      </c>
      <c r="AW26" s="150">
        <v>0</v>
      </c>
      <c r="AX26" s="150">
        <v>0</v>
      </c>
      <c r="AY26" s="150">
        <v>0</v>
      </c>
      <c r="AZ26" s="150">
        <v>0</v>
      </c>
    </row>
    <row r="27" spans="1:52" customFormat="1" x14ac:dyDescent="0.15">
      <c r="A27" s="185" t="s">
        <v>217</v>
      </c>
      <c r="B27" s="150">
        <v>1.6000000427157296E-2</v>
      </c>
      <c r="C27" s="150">
        <v>0</v>
      </c>
      <c r="D27" s="150">
        <v>2.9997000232176783E-3</v>
      </c>
      <c r="E27" s="150">
        <v>1.2898710640630938E-2</v>
      </c>
      <c r="F27" s="150">
        <v>0</v>
      </c>
      <c r="G27" s="150">
        <v>0</v>
      </c>
      <c r="H27" s="150">
        <v>3.5999998992063882E-3</v>
      </c>
      <c r="I27" s="150">
        <v>0</v>
      </c>
      <c r="J27" s="150">
        <v>1.4485515474322789E-2</v>
      </c>
      <c r="K27" s="150">
        <v>1.8800000000000001E-2</v>
      </c>
      <c r="L27" s="150">
        <v>4.90049021941945E-3</v>
      </c>
      <c r="M27" s="150">
        <v>1.4698530036158383E-2</v>
      </c>
      <c r="N27" s="150">
        <v>1.5800000000000002E-2</v>
      </c>
      <c r="O27" s="150">
        <v>7.199280002575751E-3</v>
      </c>
      <c r="P27" s="150">
        <v>0</v>
      </c>
      <c r="Q27" s="150">
        <v>8.9999999999999993E-3</v>
      </c>
      <c r="R27" s="150">
        <v>7.1007102836023683E-2</v>
      </c>
      <c r="S27" s="150">
        <v>2.7799998646907659E-2</v>
      </c>
      <c r="T27" s="150">
        <v>0.01</v>
      </c>
      <c r="U27" s="150">
        <v>0</v>
      </c>
      <c r="V27" s="150">
        <v>0</v>
      </c>
      <c r="W27" s="150">
        <v>0.10209639471478085</v>
      </c>
      <c r="X27" s="150">
        <v>5.1494849933821682E-2</v>
      </c>
      <c r="Y27" s="150">
        <v>1.3001300744034474E-3</v>
      </c>
      <c r="Z27" s="150">
        <v>6.9999999999999999E-4</v>
      </c>
      <c r="AA27" s="150">
        <v>8.0000000000000002E-3</v>
      </c>
      <c r="AB27" s="150">
        <v>0</v>
      </c>
      <c r="AC27" s="150">
        <v>0.20000000232999982</v>
      </c>
      <c r="AD27" s="150">
        <v>0</v>
      </c>
      <c r="AE27" s="150">
        <v>0</v>
      </c>
      <c r="AF27" s="150">
        <v>0</v>
      </c>
      <c r="AG27" s="150">
        <v>0</v>
      </c>
      <c r="AH27" s="150">
        <v>0</v>
      </c>
      <c r="AI27" s="150">
        <v>1.09890105230769E-2</v>
      </c>
      <c r="AJ27" s="150">
        <v>0</v>
      </c>
      <c r="AK27" s="150">
        <v>0</v>
      </c>
      <c r="AL27" s="150">
        <v>2.9999999999999997E-4</v>
      </c>
      <c r="AM27" s="150">
        <v>0</v>
      </c>
      <c r="AN27" s="150">
        <v>0</v>
      </c>
      <c r="AO27" s="150">
        <v>0</v>
      </c>
      <c r="AP27" s="150">
        <v>0</v>
      </c>
      <c r="AQ27" s="150">
        <v>0</v>
      </c>
      <c r="AR27" s="150">
        <v>0</v>
      </c>
      <c r="AS27" s="150">
        <v>0</v>
      </c>
      <c r="AT27" s="150">
        <v>0</v>
      </c>
      <c r="AU27" s="150">
        <v>0</v>
      </c>
      <c r="AV27" s="150">
        <v>0</v>
      </c>
      <c r="AW27" s="150">
        <v>0</v>
      </c>
      <c r="AX27" s="150">
        <v>0</v>
      </c>
      <c r="AY27" s="150">
        <v>0</v>
      </c>
      <c r="AZ27" s="150">
        <v>0</v>
      </c>
    </row>
    <row r="28" spans="1:52" customFormat="1" x14ac:dyDescent="0.15">
      <c r="A28" s="185" t="s">
        <v>218</v>
      </c>
      <c r="B28" s="150">
        <v>0</v>
      </c>
      <c r="C28" s="150">
        <v>6.0000000347199978E-3</v>
      </c>
      <c r="D28" s="150">
        <v>1.4998499416088386E-2</v>
      </c>
      <c r="E28" s="150">
        <v>0</v>
      </c>
      <c r="F28" s="150">
        <v>0</v>
      </c>
      <c r="G28" s="150">
        <v>0</v>
      </c>
      <c r="H28" s="150">
        <v>3.5999998992063882E-3</v>
      </c>
      <c r="I28" s="150">
        <v>0</v>
      </c>
      <c r="J28" s="150">
        <v>2.9970033464116284E-4</v>
      </c>
      <c r="K28" s="150">
        <v>0</v>
      </c>
      <c r="L28" s="150">
        <v>0</v>
      </c>
      <c r="M28" s="150">
        <v>0</v>
      </c>
      <c r="N28" s="150">
        <v>0</v>
      </c>
      <c r="O28" s="150">
        <v>0</v>
      </c>
      <c r="P28" s="150">
        <v>0</v>
      </c>
      <c r="Q28" s="150">
        <v>0</v>
      </c>
      <c r="R28" s="150">
        <v>0</v>
      </c>
      <c r="S28" s="150">
        <v>0</v>
      </c>
      <c r="T28" s="150">
        <v>0</v>
      </c>
      <c r="U28" s="150">
        <v>0</v>
      </c>
      <c r="V28" s="150">
        <v>0</v>
      </c>
      <c r="W28" s="150">
        <v>0</v>
      </c>
      <c r="X28" s="150">
        <v>0</v>
      </c>
      <c r="Y28" s="150">
        <v>0</v>
      </c>
      <c r="Z28" s="150">
        <v>0</v>
      </c>
      <c r="AA28" s="150">
        <v>0</v>
      </c>
      <c r="AB28" s="150">
        <v>0</v>
      </c>
      <c r="AC28" s="150">
        <v>0</v>
      </c>
      <c r="AD28" s="150">
        <v>0</v>
      </c>
      <c r="AE28" s="150">
        <v>0</v>
      </c>
      <c r="AF28" s="150">
        <v>0</v>
      </c>
      <c r="AG28" s="150">
        <v>0</v>
      </c>
      <c r="AH28" s="150">
        <v>0</v>
      </c>
      <c r="AI28" s="150">
        <v>0</v>
      </c>
      <c r="AJ28" s="150">
        <v>0</v>
      </c>
      <c r="AK28" s="150">
        <v>0</v>
      </c>
      <c r="AL28" s="150">
        <v>0</v>
      </c>
      <c r="AM28" s="150">
        <v>0</v>
      </c>
      <c r="AN28" s="150">
        <v>0</v>
      </c>
      <c r="AO28" s="150">
        <v>0</v>
      </c>
      <c r="AP28" s="150">
        <v>0</v>
      </c>
      <c r="AQ28" s="150">
        <v>0</v>
      </c>
      <c r="AR28" s="150">
        <v>0</v>
      </c>
      <c r="AS28" s="150">
        <v>0</v>
      </c>
      <c r="AT28" s="150">
        <v>0</v>
      </c>
      <c r="AU28" s="150">
        <v>0</v>
      </c>
      <c r="AV28" s="150">
        <v>0</v>
      </c>
      <c r="AW28" s="150">
        <v>0</v>
      </c>
      <c r="AX28" s="150">
        <v>0</v>
      </c>
      <c r="AY28" s="150">
        <v>0</v>
      </c>
      <c r="AZ28" s="150">
        <v>0</v>
      </c>
    </row>
    <row r="29" spans="1:52" customFormat="1" x14ac:dyDescent="0.15">
      <c r="A29" s="185" t="s">
        <v>219</v>
      </c>
      <c r="B29" s="150">
        <v>2.000000053394662E-3</v>
      </c>
      <c r="C29" s="150">
        <v>2.0000001682399867E-3</v>
      </c>
      <c r="D29" s="150">
        <v>3.9996000309569036E-3</v>
      </c>
      <c r="E29" s="150">
        <v>1.0998900034646535E-3</v>
      </c>
      <c r="F29" s="150">
        <v>0</v>
      </c>
      <c r="G29" s="150">
        <v>0</v>
      </c>
      <c r="H29" s="150">
        <v>3.5999998992063882E-3</v>
      </c>
      <c r="I29" s="150">
        <v>0</v>
      </c>
      <c r="J29" s="150">
        <v>2.9970033464116284E-4</v>
      </c>
      <c r="K29" s="150">
        <v>0</v>
      </c>
      <c r="L29" s="150">
        <v>0</v>
      </c>
      <c r="M29" s="150">
        <v>0</v>
      </c>
      <c r="N29" s="150">
        <v>0</v>
      </c>
      <c r="O29" s="150">
        <v>0</v>
      </c>
      <c r="P29" s="150">
        <v>0</v>
      </c>
      <c r="Q29" s="150">
        <v>0</v>
      </c>
      <c r="R29" s="150">
        <v>0</v>
      </c>
      <c r="S29" s="150">
        <v>0</v>
      </c>
      <c r="T29" s="150">
        <v>0</v>
      </c>
      <c r="U29" s="150">
        <v>0</v>
      </c>
      <c r="V29" s="150">
        <v>0</v>
      </c>
      <c r="W29" s="150">
        <v>0</v>
      </c>
      <c r="X29" s="150">
        <v>0</v>
      </c>
      <c r="Y29" s="150">
        <v>0</v>
      </c>
      <c r="Z29" s="150">
        <v>0</v>
      </c>
      <c r="AA29" s="150">
        <v>0</v>
      </c>
      <c r="AB29" s="150">
        <v>0</v>
      </c>
      <c r="AC29" s="150">
        <v>0</v>
      </c>
      <c r="AD29" s="150">
        <v>0</v>
      </c>
      <c r="AE29" s="150">
        <v>0</v>
      </c>
      <c r="AF29" s="150">
        <v>0</v>
      </c>
      <c r="AG29" s="150">
        <v>0</v>
      </c>
      <c r="AH29" s="150">
        <v>0</v>
      </c>
      <c r="AI29" s="150">
        <v>9.9900104755244984E-4</v>
      </c>
      <c r="AJ29" s="150">
        <v>0</v>
      </c>
      <c r="AK29" s="150">
        <v>0</v>
      </c>
      <c r="AL29" s="150">
        <v>0</v>
      </c>
      <c r="AM29" s="150">
        <v>0</v>
      </c>
      <c r="AN29" s="150">
        <v>0</v>
      </c>
      <c r="AO29" s="150">
        <v>0</v>
      </c>
      <c r="AP29" s="150">
        <v>0</v>
      </c>
      <c r="AQ29" s="150">
        <v>0</v>
      </c>
      <c r="AR29" s="150">
        <v>0</v>
      </c>
      <c r="AS29" s="150">
        <v>0</v>
      </c>
      <c r="AT29" s="150">
        <v>0</v>
      </c>
      <c r="AU29" s="150">
        <v>0</v>
      </c>
      <c r="AV29" s="150">
        <v>0</v>
      </c>
      <c r="AW29" s="150">
        <v>0</v>
      </c>
      <c r="AX29" s="150">
        <v>0</v>
      </c>
      <c r="AY29" s="150">
        <v>0</v>
      </c>
      <c r="AZ29" s="150">
        <v>0</v>
      </c>
    </row>
    <row r="30" spans="1:52" customFormat="1" x14ac:dyDescent="0.15">
      <c r="A30" s="185" t="s">
        <v>220</v>
      </c>
      <c r="B30" s="150">
        <v>0</v>
      </c>
      <c r="C30" s="150">
        <v>1.0000000791199938E-3</v>
      </c>
      <c r="D30" s="150">
        <v>1.9998000154784518E-3</v>
      </c>
      <c r="E30" s="150">
        <v>0</v>
      </c>
      <c r="F30" s="150">
        <v>0</v>
      </c>
      <c r="G30" s="150">
        <v>0</v>
      </c>
      <c r="H30" s="150">
        <v>3.9999997968959762E-4</v>
      </c>
      <c r="I30" s="150">
        <v>0</v>
      </c>
      <c r="J30" s="150">
        <v>0</v>
      </c>
      <c r="K30" s="150">
        <v>0</v>
      </c>
      <c r="L30" s="150">
        <v>0</v>
      </c>
      <c r="M30" s="150">
        <v>0</v>
      </c>
      <c r="N30" s="150">
        <v>0</v>
      </c>
      <c r="O30" s="150">
        <v>0</v>
      </c>
      <c r="P30" s="150">
        <v>0</v>
      </c>
      <c r="Q30" s="150">
        <v>0</v>
      </c>
      <c r="R30" s="150">
        <v>0</v>
      </c>
      <c r="S30" s="150">
        <v>1.0000000096010012E-3</v>
      </c>
      <c r="T30" s="150">
        <v>0</v>
      </c>
      <c r="U30" s="150">
        <v>0</v>
      </c>
      <c r="V30" s="150">
        <v>0</v>
      </c>
      <c r="W30" s="150">
        <v>0</v>
      </c>
      <c r="X30" s="150">
        <v>0</v>
      </c>
      <c r="Y30" s="150">
        <v>0</v>
      </c>
      <c r="Z30" s="150">
        <v>0</v>
      </c>
      <c r="AA30" s="150">
        <v>0</v>
      </c>
      <c r="AB30" s="150">
        <v>0</v>
      </c>
      <c r="AC30" s="150">
        <v>0</v>
      </c>
      <c r="AD30" s="150">
        <v>0</v>
      </c>
      <c r="AE30" s="150">
        <v>0</v>
      </c>
      <c r="AF30" s="150">
        <v>0</v>
      </c>
      <c r="AG30" s="150">
        <v>0</v>
      </c>
      <c r="AH30" s="150">
        <v>0</v>
      </c>
      <c r="AI30" s="150">
        <v>9.9900104755244984E-4</v>
      </c>
      <c r="AJ30" s="150">
        <v>0</v>
      </c>
      <c r="AK30" s="150">
        <v>0</v>
      </c>
      <c r="AL30" s="150">
        <v>0</v>
      </c>
      <c r="AM30" s="150">
        <v>0</v>
      </c>
      <c r="AN30" s="150">
        <v>0</v>
      </c>
      <c r="AO30" s="150">
        <v>0</v>
      </c>
      <c r="AP30" s="150">
        <v>0</v>
      </c>
      <c r="AQ30" s="150">
        <v>0</v>
      </c>
      <c r="AR30" s="150">
        <v>0</v>
      </c>
      <c r="AS30" s="150">
        <v>0</v>
      </c>
      <c r="AT30" s="150">
        <v>0</v>
      </c>
      <c r="AU30" s="150">
        <v>0</v>
      </c>
      <c r="AV30" s="150">
        <v>0</v>
      </c>
      <c r="AW30" s="150">
        <v>0</v>
      </c>
      <c r="AX30" s="150">
        <v>0</v>
      </c>
      <c r="AY30" s="150">
        <v>0</v>
      </c>
      <c r="AZ30" s="150">
        <v>0</v>
      </c>
    </row>
    <row r="31" spans="1:52" customFormat="1" x14ac:dyDescent="0.15">
      <c r="A31" s="185" t="s">
        <v>221</v>
      </c>
      <c r="B31" s="150">
        <v>4.4000001174682564E-2</v>
      </c>
      <c r="C31" s="150">
        <v>0.48840000249820786</v>
      </c>
      <c r="D31" s="150">
        <v>1.1998800092870713E-2</v>
      </c>
      <c r="E31" s="150">
        <v>0.45405460143027193</v>
      </c>
      <c r="F31" s="150">
        <v>5.9994001337866226E-3</v>
      </c>
      <c r="G31" s="150">
        <v>0</v>
      </c>
      <c r="H31" s="150">
        <v>0.79289999453270898</v>
      </c>
      <c r="I31" s="150">
        <v>0</v>
      </c>
      <c r="J31" s="150">
        <v>0.59700296900518501</v>
      </c>
      <c r="K31" s="150">
        <v>0.42970000000000003</v>
      </c>
      <c r="L31" s="150">
        <v>0.29732973731293899</v>
      </c>
      <c r="M31" s="150">
        <v>0.33566644882573948</v>
      </c>
      <c r="N31" s="150">
        <v>0.38290000000000002</v>
      </c>
      <c r="O31" s="150">
        <v>0.83371663449272881</v>
      </c>
      <c r="P31" s="150">
        <v>3.9396060189101086E-2</v>
      </c>
      <c r="Q31" s="150">
        <v>0</v>
      </c>
      <c r="R31" s="150">
        <v>0</v>
      </c>
      <c r="S31" s="150">
        <v>0.12510000071108521</v>
      </c>
      <c r="T31" s="150">
        <v>0.151</v>
      </c>
      <c r="U31" s="150">
        <v>7.0000000000000001E-3</v>
      </c>
      <c r="V31" s="150">
        <v>0.49999999999999989</v>
      </c>
      <c r="W31" s="150">
        <v>0.12147672731818321</v>
      </c>
      <c r="X31" s="150">
        <v>6.1293867393655978E-2</v>
      </c>
      <c r="Y31" s="150">
        <v>3.0603060434419457E-2</v>
      </c>
      <c r="Z31" s="150">
        <v>1.54E-2</v>
      </c>
      <c r="AA31" s="150">
        <v>0.02</v>
      </c>
      <c r="AB31" s="150">
        <v>0.1</v>
      </c>
      <c r="AC31" s="150">
        <v>0.40000000465999963</v>
      </c>
      <c r="AD31" s="150">
        <v>0.48280000000000001</v>
      </c>
      <c r="AE31" s="150">
        <v>2.5000000000000001E-2</v>
      </c>
      <c r="AF31" s="150">
        <v>0</v>
      </c>
      <c r="AG31" s="150">
        <v>3.7999999999999999E-2</v>
      </c>
      <c r="AH31" s="150">
        <v>0</v>
      </c>
      <c r="AI31" s="150">
        <v>7.4925073566433492E-2</v>
      </c>
      <c r="AJ31" s="150">
        <v>0</v>
      </c>
      <c r="AK31" s="150">
        <v>0.01</v>
      </c>
      <c r="AL31" s="150">
        <v>0.35899999999999999</v>
      </c>
      <c r="AM31" s="150">
        <v>0</v>
      </c>
      <c r="AN31" s="150">
        <v>0</v>
      </c>
      <c r="AO31" s="150">
        <v>0</v>
      </c>
      <c r="AP31" s="150">
        <v>0</v>
      </c>
      <c r="AQ31" s="150">
        <v>0</v>
      </c>
      <c r="AR31" s="150">
        <v>0</v>
      </c>
      <c r="AS31" s="150">
        <v>0</v>
      </c>
      <c r="AT31" s="150">
        <v>0</v>
      </c>
      <c r="AU31" s="150">
        <v>0</v>
      </c>
      <c r="AV31" s="150">
        <v>0</v>
      </c>
      <c r="AW31" s="150">
        <v>0</v>
      </c>
      <c r="AX31" s="150">
        <v>0</v>
      </c>
      <c r="AY31" s="150">
        <v>0</v>
      </c>
      <c r="AZ31" s="150">
        <v>0</v>
      </c>
    </row>
    <row r="32" spans="1:52" customFormat="1" x14ac:dyDescent="0.15">
      <c r="A32" s="185" t="s">
        <v>222</v>
      </c>
      <c r="B32" s="150">
        <v>0</v>
      </c>
      <c r="C32" s="150">
        <v>5.1899998902328097E-2</v>
      </c>
      <c r="D32" s="150">
        <v>0.45035496748574744</v>
      </c>
      <c r="E32" s="150">
        <v>0.14588540845953901</v>
      </c>
      <c r="F32" s="150">
        <v>0</v>
      </c>
      <c r="G32" s="150">
        <v>0</v>
      </c>
      <c r="H32" s="150">
        <v>5.6600000048078414E-2</v>
      </c>
      <c r="I32" s="150">
        <v>0</v>
      </c>
      <c r="J32" s="150">
        <v>0.10469531210131233</v>
      </c>
      <c r="K32" s="150">
        <v>3.09E-2</v>
      </c>
      <c r="L32" s="150">
        <v>0.16871687055429785</v>
      </c>
      <c r="M32" s="150">
        <v>9.049094492260773E-2</v>
      </c>
      <c r="N32" s="150">
        <v>0</v>
      </c>
      <c r="O32" s="150">
        <v>1.9997998729377262E-4</v>
      </c>
      <c r="P32" s="150">
        <v>4.0395956693900593E-2</v>
      </c>
      <c r="Q32" s="150">
        <v>0</v>
      </c>
      <c r="R32" s="150">
        <v>0</v>
      </c>
      <c r="S32" s="150">
        <v>0.12510000071108521</v>
      </c>
      <c r="T32" s="150">
        <v>0.05</v>
      </c>
      <c r="U32" s="150">
        <v>4.0000000000000001E-3</v>
      </c>
      <c r="V32" s="150">
        <v>4.9999999999999989E-2</v>
      </c>
      <c r="W32" s="150">
        <v>0.17502238151119318</v>
      </c>
      <c r="X32" s="150">
        <v>8.8191190638505126E-2</v>
      </c>
      <c r="Y32" s="150">
        <v>1.2001200125262526E-2</v>
      </c>
      <c r="Z32" s="150">
        <v>6.1000000000000004E-3</v>
      </c>
      <c r="AA32" s="150">
        <v>0.01</v>
      </c>
      <c r="AB32" s="150">
        <v>1E-3</v>
      </c>
      <c r="AC32" s="150">
        <v>5.0000000582499954E-2</v>
      </c>
      <c r="AD32" s="150">
        <v>0.18310000000000001</v>
      </c>
      <c r="AE32" s="150">
        <v>5.0000000000000001E-3</v>
      </c>
      <c r="AF32" s="150">
        <v>0</v>
      </c>
      <c r="AG32" s="150">
        <v>0</v>
      </c>
      <c r="AH32" s="150">
        <v>0</v>
      </c>
      <c r="AI32" s="150">
        <v>8.5914084089510401E-2</v>
      </c>
      <c r="AJ32" s="150">
        <v>0</v>
      </c>
      <c r="AK32" s="150">
        <v>0</v>
      </c>
      <c r="AL32" s="150">
        <v>0.126</v>
      </c>
      <c r="AM32" s="150">
        <v>0</v>
      </c>
      <c r="AN32" s="150">
        <v>0</v>
      </c>
      <c r="AO32" s="150">
        <v>0</v>
      </c>
      <c r="AP32" s="150">
        <v>0</v>
      </c>
      <c r="AQ32" s="150">
        <v>0</v>
      </c>
      <c r="AR32" s="150">
        <v>0</v>
      </c>
      <c r="AS32" s="150">
        <v>0</v>
      </c>
      <c r="AT32" s="150">
        <v>0</v>
      </c>
      <c r="AU32" s="150">
        <v>0</v>
      </c>
      <c r="AV32" s="150">
        <v>0</v>
      </c>
      <c r="AW32" s="150">
        <v>0</v>
      </c>
      <c r="AX32" s="150">
        <v>0</v>
      </c>
      <c r="AY32" s="150">
        <v>0</v>
      </c>
      <c r="AZ32" s="150">
        <v>0</v>
      </c>
    </row>
    <row r="33" spans="1:52" customFormat="1" x14ac:dyDescent="0.15">
      <c r="A33" s="185" t="s">
        <v>223</v>
      </c>
      <c r="B33" s="150">
        <v>0</v>
      </c>
      <c r="C33" s="150">
        <v>0</v>
      </c>
      <c r="D33" s="150">
        <v>1.9998000154784518E-3</v>
      </c>
      <c r="E33" s="150">
        <v>0.11128886835055993</v>
      </c>
      <c r="F33" s="150">
        <v>7.2392761614358578E-2</v>
      </c>
      <c r="G33" s="150">
        <v>0</v>
      </c>
      <c r="H33" s="150">
        <v>6.800000430723252E-2</v>
      </c>
      <c r="I33" s="150">
        <v>0</v>
      </c>
      <c r="J33" s="150">
        <v>2.1778222517257625E-2</v>
      </c>
      <c r="K33" s="150">
        <v>3.2199999999999999E-2</v>
      </c>
      <c r="L33" s="150">
        <v>6.0006002686768768E-4</v>
      </c>
      <c r="M33" s="150">
        <v>3.6996300091010899E-3</v>
      </c>
      <c r="N33" s="150">
        <v>2.6700000000000002E-2</v>
      </c>
      <c r="O33" s="150">
        <v>4.9795020901148825E-2</v>
      </c>
      <c r="P33" s="150">
        <v>0</v>
      </c>
      <c r="Q33" s="150">
        <v>0</v>
      </c>
      <c r="R33" s="150">
        <v>0</v>
      </c>
      <c r="S33" s="150">
        <v>7.9999995068079485E-4</v>
      </c>
      <c r="T33" s="150">
        <v>1E-3</v>
      </c>
      <c r="U33" s="150">
        <v>0</v>
      </c>
      <c r="V33" s="150">
        <v>4.9999999999999989E-2</v>
      </c>
      <c r="W33" s="150">
        <v>0</v>
      </c>
      <c r="X33" s="150">
        <v>0</v>
      </c>
      <c r="Y33" s="150">
        <v>0</v>
      </c>
      <c r="Z33" s="150">
        <v>0</v>
      </c>
      <c r="AA33" s="150">
        <v>5.0000000000000001E-3</v>
      </c>
      <c r="AB33" s="150">
        <v>2E-3</v>
      </c>
      <c r="AC33" s="150">
        <v>5.0000000582499954E-2</v>
      </c>
      <c r="AD33" s="150">
        <v>0</v>
      </c>
      <c r="AE33" s="150">
        <v>0</v>
      </c>
      <c r="AF33" s="150">
        <v>0</v>
      </c>
      <c r="AG33" s="150">
        <v>2E-3</v>
      </c>
      <c r="AH33" s="150">
        <v>0</v>
      </c>
      <c r="AI33" s="150">
        <v>0</v>
      </c>
      <c r="AJ33" s="150">
        <v>0</v>
      </c>
      <c r="AK33" s="150">
        <v>0</v>
      </c>
      <c r="AL33" s="150">
        <v>0.01</v>
      </c>
      <c r="AM33" s="150">
        <v>0</v>
      </c>
      <c r="AN33" s="150">
        <v>0</v>
      </c>
      <c r="AO33" s="150">
        <v>0</v>
      </c>
      <c r="AP33" s="150">
        <v>0</v>
      </c>
      <c r="AQ33" s="150">
        <v>0</v>
      </c>
      <c r="AR33" s="150">
        <v>0</v>
      </c>
      <c r="AS33" s="150">
        <v>0</v>
      </c>
      <c r="AT33" s="150">
        <v>0</v>
      </c>
      <c r="AU33" s="150">
        <v>0</v>
      </c>
      <c r="AV33" s="150">
        <v>0</v>
      </c>
      <c r="AW33" s="150">
        <v>0</v>
      </c>
      <c r="AX33" s="150">
        <v>0</v>
      </c>
      <c r="AY33" s="150">
        <v>0</v>
      </c>
      <c r="AZ33" s="150">
        <v>0</v>
      </c>
    </row>
    <row r="34" spans="1:52" customFormat="1" x14ac:dyDescent="0.15">
      <c r="A34" s="185" t="s">
        <v>224</v>
      </c>
      <c r="B34" s="150">
        <v>0</v>
      </c>
      <c r="C34" s="150">
        <v>5.3899999040568088E-2</v>
      </c>
      <c r="D34" s="150">
        <v>7.4892510579668031E-2</v>
      </c>
      <c r="E34" s="150">
        <v>1.0198980632126788E-2</v>
      </c>
      <c r="F34" s="150">
        <v>6.9893011558614146E-2</v>
      </c>
      <c r="G34" s="150">
        <v>0</v>
      </c>
      <c r="H34" s="150">
        <v>1.090000049954166E-2</v>
      </c>
      <c r="I34" s="150">
        <v>0</v>
      </c>
      <c r="J34" s="150">
        <v>4.9950053173526835E-3</v>
      </c>
      <c r="K34" s="150">
        <v>1.5900000000000001E-2</v>
      </c>
      <c r="L34" s="150">
        <v>0</v>
      </c>
      <c r="M34" s="150">
        <v>0</v>
      </c>
      <c r="N34" s="150">
        <v>0</v>
      </c>
      <c r="O34" s="150">
        <v>0</v>
      </c>
      <c r="P34" s="150">
        <v>0</v>
      </c>
      <c r="Q34" s="150">
        <v>0</v>
      </c>
      <c r="R34" s="150">
        <v>0</v>
      </c>
      <c r="S34" s="150">
        <v>0</v>
      </c>
      <c r="T34" s="150">
        <v>7.0000000000000007E-2</v>
      </c>
      <c r="U34" s="150">
        <v>0</v>
      </c>
      <c r="V34" s="150">
        <v>4.9999999999999989E-2</v>
      </c>
      <c r="W34" s="150">
        <v>0</v>
      </c>
      <c r="X34" s="150">
        <v>0</v>
      </c>
      <c r="Y34" s="150">
        <v>1.0000999887718746E-4</v>
      </c>
      <c r="Z34" s="150">
        <v>0</v>
      </c>
      <c r="AA34" s="150">
        <v>2E-3</v>
      </c>
      <c r="AB34" s="150">
        <v>2E-3</v>
      </c>
      <c r="AC34" s="150">
        <v>1.999999983300001E-2</v>
      </c>
      <c r="AD34" s="150">
        <v>0.11550000000000001</v>
      </c>
      <c r="AE34" s="150">
        <v>0</v>
      </c>
      <c r="AF34" s="150">
        <v>0</v>
      </c>
      <c r="AG34" s="150">
        <v>0</v>
      </c>
      <c r="AH34" s="150">
        <v>0</v>
      </c>
      <c r="AI34" s="150">
        <v>0.11488511946853168</v>
      </c>
      <c r="AJ34" s="150">
        <v>0</v>
      </c>
      <c r="AK34" s="150">
        <v>0</v>
      </c>
      <c r="AL34" s="150">
        <v>5.8000000000000003E-2</v>
      </c>
      <c r="AM34" s="150">
        <v>0</v>
      </c>
      <c r="AN34" s="150">
        <v>0</v>
      </c>
      <c r="AO34" s="150">
        <v>0</v>
      </c>
      <c r="AP34" s="150">
        <v>0</v>
      </c>
      <c r="AQ34" s="150">
        <v>0</v>
      </c>
      <c r="AR34" s="150">
        <v>0</v>
      </c>
      <c r="AS34" s="150">
        <v>0</v>
      </c>
      <c r="AT34" s="150">
        <v>0</v>
      </c>
      <c r="AU34" s="150">
        <v>0</v>
      </c>
      <c r="AV34" s="150">
        <v>0</v>
      </c>
      <c r="AW34" s="150">
        <v>0</v>
      </c>
      <c r="AX34" s="150">
        <v>0</v>
      </c>
      <c r="AY34" s="150">
        <v>0</v>
      </c>
      <c r="AZ34" s="150">
        <v>0</v>
      </c>
    </row>
    <row r="35" spans="1:52" customFormat="1" x14ac:dyDescent="0.15">
      <c r="A35" s="185" t="s">
        <v>225</v>
      </c>
      <c r="B35" s="150">
        <v>0</v>
      </c>
      <c r="C35" s="150">
        <v>0</v>
      </c>
      <c r="D35" s="150">
        <v>4.9995000386961301E-3</v>
      </c>
      <c r="E35" s="150">
        <v>0</v>
      </c>
      <c r="F35" s="150">
        <v>7.9992001783821629E-3</v>
      </c>
      <c r="G35" s="150">
        <v>0</v>
      </c>
      <c r="H35" s="150">
        <v>3.9999997968959762E-4</v>
      </c>
      <c r="I35" s="150">
        <v>0</v>
      </c>
      <c r="J35" s="150">
        <v>0</v>
      </c>
      <c r="K35" s="150">
        <v>0</v>
      </c>
      <c r="L35" s="150">
        <v>0</v>
      </c>
      <c r="M35" s="150">
        <v>0</v>
      </c>
      <c r="N35" s="150">
        <v>4.0000000000000002E-4</v>
      </c>
      <c r="O35" s="150">
        <v>0</v>
      </c>
      <c r="P35" s="150">
        <v>0</v>
      </c>
      <c r="Q35" s="150">
        <v>0</v>
      </c>
      <c r="R35" s="150">
        <v>0</v>
      </c>
      <c r="S35" s="150">
        <v>0</v>
      </c>
      <c r="T35" s="150">
        <v>0</v>
      </c>
      <c r="U35" s="150">
        <v>0</v>
      </c>
      <c r="V35" s="150">
        <v>0</v>
      </c>
      <c r="W35" s="150">
        <v>0</v>
      </c>
      <c r="X35" s="150">
        <v>0</v>
      </c>
      <c r="Y35" s="150">
        <v>0</v>
      </c>
      <c r="Z35" s="150">
        <v>0</v>
      </c>
      <c r="AA35" s="150">
        <v>0</v>
      </c>
      <c r="AB35" s="150">
        <v>0</v>
      </c>
      <c r="AC35" s="150">
        <v>0</v>
      </c>
      <c r="AD35" s="150">
        <v>0</v>
      </c>
      <c r="AE35" s="150">
        <v>0</v>
      </c>
      <c r="AF35" s="150">
        <v>0</v>
      </c>
      <c r="AG35" s="150">
        <v>0</v>
      </c>
      <c r="AH35" s="150">
        <v>0</v>
      </c>
      <c r="AI35" s="150">
        <v>0</v>
      </c>
      <c r="AJ35" s="150">
        <v>0</v>
      </c>
      <c r="AK35" s="150">
        <v>0</v>
      </c>
      <c r="AL35" s="150">
        <v>0</v>
      </c>
      <c r="AM35" s="150">
        <v>0</v>
      </c>
      <c r="AN35" s="150">
        <v>0</v>
      </c>
      <c r="AO35" s="150">
        <v>0</v>
      </c>
      <c r="AP35" s="150">
        <v>0</v>
      </c>
      <c r="AQ35" s="150">
        <v>0</v>
      </c>
      <c r="AR35" s="150">
        <v>0</v>
      </c>
      <c r="AS35" s="150">
        <v>0</v>
      </c>
      <c r="AT35" s="150">
        <v>0</v>
      </c>
      <c r="AU35" s="150">
        <v>0</v>
      </c>
      <c r="AV35" s="150">
        <v>0</v>
      </c>
      <c r="AW35" s="150">
        <v>0</v>
      </c>
      <c r="AX35" s="150">
        <v>0</v>
      </c>
      <c r="AY35" s="150">
        <v>0</v>
      </c>
      <c r="AZ35" s="150">
        <v>0</v>
      </c>
    </row>
    <row r="36" spans="1:52" customFormat="1" x14ac:dyDescent="0.15">
      <c r="A36" s="185" t="s">
        <v>226</v>
      </c>
      <c r="B36" s="150">
        <v>0</v>
      </c>
      <c r="C36" s="150">
        <v>5.4900001059687925E-2</v>
      </c>
      <c r="D36" s="150">
        <v>4.2995702832786739E-2</v>
      </c>
      <c r="E36" s="150">
        <v>0</v>
      </c>
      <c r="F36" s="150">
        <v>2.8997099646635317E-2</v>
      </c>
      <c r="G36" s="150">
        <v>0</v>
      </c>
      <c r="H36" s="150">
        <v>5.9999997153439661E-3</v>
      </c>
      <c r="I36" s="150">
        <v>0</v>
      </c>
      <c r="J36" s="150">
        <v>0</v>
      </c>
      <c r="K36" s="150">
        <v>0</v>
      </c>
      <c r="L36" s="150">
        <v>0</v>
      </c>
      <c r="M36" s="150">
        <v>0</v>
      </c>
      <c r="N36" s="150">
        <v>0</v>
      </c>
      <c r="O36" s="150">
        <v>0</v>
      </c>
      <c r="P36" s="150">
        <v>0</v>
      </c>
      <c r="Q36" s="150">
        <v>0</v>
      </c>
      <c r="R36" s="150">
        <v>0</v>
      </c>
      <c r="S36" s="150">
        <v>0</v>
      </c>
      <c r="T36" s="150">
        <v>0.02</v>
      </c>
      <c r="U36" s="150">
        <v>0</v>
      </c>
      <c r="V36" s="150">
        <v>0</v>
      </c>
      <c r="W36" s="150">
        <v>2.127840555838751E-2</v>
      </c>
      <c r="X36" s="150">
        <v>1.0698930164308564E-2</v>
      </c>
      <c r="Y36" s="150">
        <v>8.0007999501750006E-3</v>
      </c>
      <c r="Z36" s="150">
        <v>4.0000000000000001E-3</v>
      </c>
      <c r="AA36" s="150">
        <v>1E-3</v>
      </c>
      <c r="AB36" s="150">
        <v>2E-3</v>
      </c>
      <c r="AC36" s="150">
        <v>0</v>
      </c>
      <c r="AD36" s="150">
        <v>0</v>
      </c>
      <c r="AE36" s="150">
        <v>0</v>
      </c>
      <c r="AF36" s="150">
        <v>0</v>
      </c>
      <c r="AG36" s="150">
        <v>0</v>
      </c>
      <c r="AH36" s="150">
        <v>0</v>
      </c>
      <c r="AI36" s="150">
        <v>0.11488511946853168</v>
      </c>
      <c r="AJ36" s="150">
        <v>0</v>
      </c>
      <c r="AK36" s="150">
        <v>0</v>
      </c>
      <c r="AL36" s="150">
        <v>0</v>
      </c>
      <c r="AM36" s="150">
        <v>0</v>
      </c>
      <c r="AN36" s="150">
        <v>0</v>
      </c>
      <c r="AO36" s="150">
        <v>0</v>
      </c>
      <c r="AP36" s="150">
        <v>0</v>
      </c>
      <c r="AQ36" s="150">
        <v>0</v>
      </c>
      <c r="AR36" s="150">
        <v>0</v>
      </c>
      <c r="AS36" s="150">
        <v>0</v>
      </c>
      <c r="AT36" s="150">
        <v>0</v>
      </c>
      <c r="AU36" s="150">
        <v>0</v>
      </c>
      <c r="AV36" s="150">
        <v>0</v>
      </c>
      <c r="AW36" s="150">
        <v>0</v>
      </c>
      <c r="AX36" s="150">
        <v>0</v>
      </c>
      <c r="AY36" s="150">
        <v>0</v>
      </c>
      <c r="AZ36" s="150">
        <v>0</v>
      </c>
    </row>
    <row r="37" spans="1:52" customFormat="1" x14ac:dyDescent="0.15">
      <c r="A37" s="185" t="s">
        <v>227</v>
      </c>
      <c r="B37" s="150">
        <v>0</v>
      </c>
      <c r="C37" s="150">
        <v>2.9999998773600108E-2</v>
      </c>
      <c r="D37" s="150">
        <v>9.9990000773922602E-3</v>
      </c>
      <c r="E37" s="150">
        <v>3.9996000125987397E-4</v>
      </c>
      <c r="F37" s="150">
        <v>0</v>
      </c>
      <c r="G37" s="150">
        <v>0</v>
      </c>
      <c r="H37" s="150">
        <v>1.7000001126808138E-2</v>
      </c>
      <c r="I37" s="150">
        <v>0</v>
      </c>
      <c r="J37" s="150">
        <v>1.5984016447528522E-3</v>
      </c>
      <c r="K37" s="150">
        <v>5.0000000000000001E-4</v>
      </c>
      <c r="L37" s="150">
        <v>0</v>
      </c>
      <c r="M37" s="150">
        <v>0</v>
      </c>
      <c r="N37" s="150">
        <v>8.8999999999999999E-3</v>
      </c>
      <c r="O37" s="150">
        <v>8.4991498224852875E-3</v>
      </c>
      <c r="P37" s="150">
        <v>0</v>
      </c>
      <c r="Q37" s="150">
        <v>0</v>
      </c>
      <c r="R37" s="150">
        <v>0</v>
      </c>
      <c r="S37" s="150">
        <v>7.6999998439276846E-3</v>
      </c>
      <c r="T37" s="150">
        <v>0.05</v>
      </c>
      <c r="U37" s="150">
        <v>0.23300000000000001</v>
      </c>
      <c r="V37" s="150">
        <v>0</v>
      </c>
      <c r="W37" s="150">
        <v>3.7162286992095124E-2</v>
      </c>
      <c r="X37" s="150">
        <v>1.8798120204579542E-2</v>
      </c>
      <c r="Y37" s="150">
        <v>5.4305429549312813E-2</v>
      </c>
      <c r="Z37" s="150">
        <v>2.7400000000000001E-2</v>
      </c>
      <c r="AA37" s="150">
        <v>0</v>
      </c>
      <c r="AB37" s="150">
        <v>0</v>
      </c>
      <c r="AC37" s="150">
        <v>0</v>
      </c>
      <c r="AD37" s="150">
        <v>0.19239999999999999</v>
      </c>
      <c r="AE37" s="150">
        <v>0</v>
      </c>
      <c r="AF37" s="150">
        <v>0</v>
      </c>
      <c r="AG37" s="150">
        <v>0</v>
      </c>
      <c r="AH37" s="150">
        <v>0</v>
      </c>
      <c r="AI37" s="150">
        <v>0.11488511946853168</v>
      </c>
      <c r="AJ37" s="150">
        <v>0</v>
      </c>
      <c r="AK37" s="150">
        <v>0.05</v>
      </c>
      <c r="AL37" s="150">
        <v>0.05</v>
      </c>
      <c r="AM37" s="150">
        <v>0</v>
      </c>
      <c r="AN37" s="150">
        <v>0</v>
      </c>
      <c r="AO37" s="150">
        <v>0</v>
      </c>
      <c r="AP37" s="150">
        <v>0</v>
      </c>
      <c r="AQ37" s="150">
        <v>0</v>
      </c>
      <c r="AR37" s="150">
        <v>0</v>
      </c>
      <c r="AS37" s="150">
        <v>0</v>
      </c>
      <c r="AT37" s="150">
        <v>0</v>
      </c>
      <c r="AU37" s="150">
        <v>0</v>
      </c>
      <c r="AV37" s="150">
        <v>0</v>
      </c>
      <c r="AW37" s="150">
        <v>0</v>
      </c>
      <c r="AX37" s="150">
        <v>0</v>
      </c>
      <c r="AY37" s="150">
        <v>0</v>
      </c>
      <c r="AZ37" s="150">
        <v>0</v>
      </c>
    </row>
    <row r="38" spans="1:52" customFormat="1" x14ac:dyDescent="0.15">
      <c r="A38" s="185" t="s">
        <v>228</v>
      </c>
      <c r="B38" s="150">
        <v>0</v>
      </c>
      <c r="C38" s="150">
        <v>0</v>
      </c>
      <c r="D38" s="150">
        <v>2.9996998832176772E-2</v>
      </c>
      <c r="E38" s="150">
        <v>7.4992496736226363E-3</v>
      </c>
      <c r="F38" s="150">
        <v>4.9395063101509901E-2</v>
      </c>
      <c r="G38" s="150">
        <v>0</v>
      </c>
      <c r="H38" s="150">
        <v>5.9999997153439661E-3</v>
      </c>
      <c r="I38" s="150">
        <v>0</v>
      </c>
      <c r="J38" s="150">
        <v>1.1988013485646524E-3</v>
      </c>
      <c r="K38" s="150">
        <v>0</v>
      </c>
      <c r="L38" s="150">
        <v>0</v>
      </c>
      <c r="M38" s="150">
        <v>0</v>
      </c>
      <c r="N38" s="150">
        <v>5.9999999999999995E-4</v>
      </c>
      <c r="O38" s="150">
        <v>0</v>
      </c>
      <c r="P38" s="150">
        <v>0</v>
      </c>
      <c r="Q38" s="150">
        <v>0</v>
      </c>
      <c r="R38" s="150">
        <v>0</v>
      </c>
      <c r="S38" s="150">
        <v>5.9099996477418731E-2</v>
      </c>
      <c r="T38" s="150">
        <v>2.5000000000000001E-2</v>
      </c>
      <c r="U38" s="150">
        <v>0</v>
      </c>
      <c r="V38" s="150">
        <v>0</v>
      </c>
      <c r="W38" s="150">
        <v>7.5922954698862651E-3</v>
      </c>
      <c r="X38" s="150">
        <v>4.1495847795215764E-2</v>
      </c>
      <c r="Y38" s="150">
        <v>1.0000999887718746E-4</v>
      </c>
      <c r="Z38" s="150">
        <v>1E-4</v>
      </c>
      <c r="AA38" s="150">
        <v>0</v>
      </c>
      <c r="AB38" s="150">
        <v>0</v>
      </c>
      <c r="AC38" s="150">
        <v>4.9999999582500025E-3</v>
      </c>
      <c r="AD38" s="150">
        <v>0</v>
      </c>
      <c r="AE38" s="150">
        <v>0</v>
      </c>
      <c r="AF38" s="150">
        <v>0</v>
      </c>
      <c r="AG38" s="150">
        <v>0</v>
      </c>
      <c r="AH38" s="150">
        <v>0</v>
      </c>
      <c r="AI38" s="150">
        <v>5.6443556086713267E-2</v>
      </c>
      <c r="AJ38" s="150">
        <v>0</v>
      </c>
      <c r="AK38" s="150">
        <v>0</v>
      </c>
      <c r="AL38" s="150">
        <v>0</v>
      </c>
      <c r="AM38" s="150">
        <v>0</v>
      </c>
      <c r="AN38" s="150">
        <v>0</v>
      </c>
      <c r="AO38" s="150">
        <v>0</v>
      </c>
      <c r="AP38" s="150">
        <v>0</v>
      </c>
      <c r="AQ38" s="150">
        <v>0</v>
      </c>
      <c r="AR38" s="150">
        <v>0</v>
      </c>
      <c r="AS38" s="150">
        <v>0</v>
      </c>
      <c r="AT38" s="150">
        <v>0</v>
      </c>
      <c r="AU38" s="150">
        <v>0</v>
      </c>
      <c r="AV38" s="150">
        <v>0</v>
      </c>
      <c r="AW38" s="150">
        <v>0</v>
      </c>
      <c r="AX38" s="150">
        <v>0</v>
      </c>
      <c r="AY38" s="150">
        <v>0</v>
      </c>
      <c r="AZ38" s="150">
        <v>0</v>
      </c>
    </row>
    <row r="39" spans="1:52" x14ac:dyDescent="0.15">
      <c r="A39" s="185" t="s">
        <v>229</v>
      </c>
      <c r="B39" s="150">
        <v>0</v>
      </c>
      <c r="C39" s="150">
        <v>5.3899999040568088E-2</v>
      </c>
      <c r="D39" s="150">
        <v>0</v>
      </c>
      <c r="E39" s="150">
        <v>3.9996000125987397E-4</v>
      </c>
      <c r="F39" s="150">
        <v>4.9395063101509901E-2</v>
      </c>
      <c r="G39" s="150">
        <v>0</v>
      </c>
      <c r="H39" s="150">
        <v>1.090000049954166E-2</v>
      </c>
      <c r="I39" s="150">
        <v>0</v>
      </c>
      <c r="J39" s="150">
        <v>2.5974028502234051E-3</v>
      </c>
      <c r="K39" s="150">
        <v>1.9E-3</v>
      </c>
      <c r="L39" s="150">
        <v>6.0006002686768768E-4</v>
      </c>
      <c r="M39" s="150">
        <v>9.9990000245975396E-5</v>
      </c>
      <c r="N39" s="150">
        <v>1.2500000000000001E-2</v>
      </c>
      <c r="O39" s="150">
        <v>3.1096888091681634E-2</v>
      </c>
      <c r="P39" s="150">
        <v>0</v>
      </c>
      <c r="Q39" s="150">
        <v>0</v>
      </c>
      <c r="R39" s="150">
        <v>0</v>
      </c>
      <c r="S39" s="150">
        <v>7.9999995068079485E-4</v>
      </c>
      <c r="T39" s="150">
        <v>0.1</v>
      </c>
      <c r="U39" s="150">
        <v>1.2E-2</v>
      </c>
      <c r="V39" s="150">
        <v>0</v>
      </c>
      <c r="W39" s="150">
        <v>0</v>
      </c>
      <c r="X39" s="150">
        <v>0</v>
      </c>
      <c r="Y39" s="150">
        <v>3.8003802613331594E-3</v>
      </c>
      <c r="Z39" s="150">
        <v>4.1000000000000003E-3</v>
      </c>
      <c r="AA39" s="150">
        <v>0</v>
      </c>
      <c r="AB39" s="150">
        <v>2E-3</v>
      </c>
      <c r="AC39" s="150">
        <v>4.9999999582500025E-3</v>
      </c>
      <c r="AD39" s="150">
        <v>4.4000000000000003E-3</v>
      </c>
      <c r="AE39" s="150">
        <v>0</v>
      </c>
      <c r="AF39" s="150">
        <v>0</v>
      </c>
      <c r="AG39" s="150">
        <v>0</v>
      </c>
      <c r="AH39" s="150">
        <v>0</v>
      </c>
      <c r="AI39" s="150">
        <v>5.6443556086713267E-2</v>
      </c>
      <c r="AJ39" s="150">
        <v>0</v>
      </c>
      <c r="AK39" s="150">
        <v>0.04</v>
      </c>
      <c r="AL39" s="150">
        <v>0.11609999999999999</v>
      </c>
      <c r="AM39" s="150">
        <v>0</v>
      </c>
      <c r="AN39" s="150">
        <v>0</v>
      </c>
      <c r="AO39" s="150">
        <v>0</v>
      </c>
      <c r="AP39" s="150">
        <v>0</v>
      </c>
      <c r="AQ39" s="150">
        <v>0</v>
      </c>
      <c r="AR39" s="150">
        <v>0</v>
      </c>
      <c r="AS39" s="150">
        <v>0</v>
      </c>
      <c r="AT39" s="150">
        <v>0</v>
      </c>
      <c r="AU39" s="150">
        <v>0</v>
      </c>
      <c r="AV39" s="150">
        <v>0</v>
      </c>
      <c r="AW39" s="150">
        <v>0</v>
      </c>
      <c r="AX39" s="150">
        <v>0</v>
      </c>
      <c r="AY39" s="150">
        <v>0</v>
      </c>
      <c r="AZ39" s="150">
        <v>0</v>
      </c>
    </row>
    <row r="40" spans="1:52" x14ac:dyDescent="0.15">
      <c r="A40" s="185" t="s">
        <v>230</v>
      </c>
      <c r="B40" s="150">
        <v>0</v>
      </c>
      <c r="C40" s="150">
        <v>0</v>
      </c>
      <c r="D40" s="150">
        <v>9.9990000773922589E-4</v>
      </c>
      <c r="E40" s="150">
        <v>9.9990000314968493E-5</v>
      </c>
      <c r="F40" s="150">
        <v>9.9990002229777037E-4</v>
      </c>
      <c r="G40" s="150">
        <v>0</v>
      </c>
      <c r="H40" s="150">
        <v>0</v>
      </c>
      <c r="I40" s="150">
        <v>0</v>
      </c>
      <c r="J40" s="150">
        <v>9.9900111547054265E-4</v>
      </c>
      <c r="K40" s="150">
        <v>0</v>
      </c>
      <c r="L40" s="150">
        <v>0</v>
      </c>
      <c r="M40" s="150">
        <v>0</v>
      </c>
      <c r="N40" s="150">
        <v>0</v>
      </c>
      <c r="O40" s="150">
        <v>0</v>
      </c>
      <c r="P40" s="150">
        <v>0</v>
      </c>
      <c r="Q40" s="150">
        <v>0</v>
      </c>
      <c r="R40" s="150">
        <v>0</v>
      </c>
      <c r="S40" s="150">
        <v>0</v>
      </c>
      <c r="T40" s="150">
        <v>0</v>
      </c>
      <c r="U40" s="150">
        <v>0</v>
      </c>
      <c r="V40" s="150">
        <v>0</v>
      </c>
      <c r="W40" s="150">
        <v>0</v>
      </c>
      <c r="X40" s="150">
        <v>0</v>
      </c>
      <c r="Y40" s="150">
        <v>0</v>
      </c>
      <c r="Z40" s="150">
        <v>0</v>
      </c>
      <c r="AA40" s="150">
        <v>0</v>
      </c>
      <c r="AB40" s="150">
        <v>0</v>
      </c>
      <c r="AC40" s="150">
        <v>0</v>
      </c>
      <c r="AD40" s="150">
        <v>0</v>
      </c>
      <c r="AE40" s="150">
        <v>0</v>
      </c>
      <c r="AF40" s="150">
        <v>0</v>
      </c>
      <c r="AG40" s="150">
        <v>0</v>
      </c>
      <c r="AH40" s="150">
        <v>0</v>
      </c>
      <c r="AI40" s="150">
        <v>0</v>
      </c>
      <c r="AJ40" s="150">
        <v>0</v>
      </c>
      <c r="AK40" s="150">
        <v>0</v>
      </c>
      <c r="AL40" s="150">
        <v>0</v>
      </c>
      <c r="AM40" s="150">
        <v>0</v>
      </c>
      <c r="AN40" s="150">
        <v>0</v>
      </c>
      <c r="AO40" s="150">
        <v>0</v>
      </c>
      <c r="AP40" s="150">
        <v>0</v>
      </c>
      <c r="AQ40" s="150">
        <v>0</v>
      </c>
      <c r="AR40" s="150">
        <v>0</v>
      </c>
      <c r="AS40" s="150">
        <v>0</v>
      </c>
      <c r="AT40" s="150">
        <v>0</v>
      </c>
      <c r="AU40" s="150">
        <v>0</v>
      </c>
      <c r="AV40" s="150">
        <v>0</v>
      </c>
      <c r="AW40" s="150">
        <v>0</v>
      </c>
      <c r="AX40" s="150">
        <v>0</v>
      </c>
      <c r="AY40" s="150">
        <v>0</v>
      </c>
      <c r="AZ40" s="150">
        <v>0</v>
      </c>
    </row>
    <row r="41" spans="1:52" x14ac:dyDescent="0.15">
      <c r="A41" s="185" t="s">
        <v>231</v>
      </c>
      <c r="B41" s="150">
        <v>0.11999999620437946</v>
      </c>
      <c r="C41" s="150">
        <v>0</v>
      </c>
      <c r="D41" s="150">
        <v>0</v>
      </c>
      <c r="E41" s="150">
        <v>1.9998000062993699E-4</v>
      </c>
      <c r="F41" s="150">
        <v>0</v>
      </c>
      <c r="G41" s="150">
        <v>0</v>
      </c>
      <c r="H41" s="150">
        <v>0</v>
      </c>
      <c r="I41" s="150">
        <v>0</v>
      </c>
      <c r="J41" s="150">
        <v>4.9550453327338685E-2</v>
      </c>
      <c r="K41" s="150">
        <v>2.3599999999999999E-2</v>
      </c>
      <c r="L41" s="150">
        <v>4.8604859376282575E-2</v>
      </c>
      <c r="M41" s="150">
        <v>2.4897510061247876E-2</v>
      </c>
      <c r="N41" s="150">
        <v>0</v>
      </c>
      <c r="O41" s="150">
        <v>0</v>
      </c>
      <c r="P41" s="150">
        <v>0</v>
      </c>
      <c r="Q41" s="150">
        <v>1E-3</v>
      </c>
      <c r="R41" s="150">
        <v>1.8001801318991944E-3</v>
      </c>
      <c r="S41" s="150">
        <v>0.15000000744015085</v>
      </c>
      <c r="T41" s="150">
        <v>0</v>
      </c>
      <c r="U41" s="150">
        <v>0</v>
      </c>
      <c r="V41" s="150">
        <v>0</v>
      </c>
      <c r="W41" s="150">
        <v>1.0699840776846381E-2</v>
      </c>
      <c r="X41" s="150">
        <v>5.8894110148390216E-2</v>
      </c>
      <c r="Y41" s="150">
        <v>8.7508750392539192E-2</v>
      </c>
      <c r="Z41" s="150">
        <v>0.05</v>
      </c>
      <c r="AA41" s="150">
        <v>0.01</v>
      </c>
      <c r="AB41" s="150">
        <v>0</v>
      </c>
      <c r="AC41" s="150">
        <v>5.9999997699000177E-2</v>
      </c>
      <c r="AD41" s="150">
        <v>0</v>
      </c>
      <c r="AE41" s="150">
        <v>0</v>
      </c>
      <c r="AF41" s="150">
        <v>0</v>
      </c>
      <c r="AG41" s="150">
        <v>0</v>
      </c>
      <c r="AH41" s="150">
        <v>0</v>
      </c>
      <c r="AI41" s="150">
        <v>0</v>
      </c>
      <c r="AJ41" s="150">
        <v>0</v>
      </c>
      <c r="AK41" s="150">
        <v>0</v>
      </c>
      <c r="AL41" s="150">
        <v>0</v>
      </c>
      <c r="AM41" s="150">
        <v>0</v>
      </c>
      <c r="AN41" s="150">
        <v>1.0000000723399938E-3</v>
      </c>
      <c r="AO41" s="150">
        <v>0</v>
      </c>
      <c r="AP41" s="150">
        <v>1.0000000000000002E-2</v>
      </c>
      <c r="AQ41" s="150">
        <v>0</v>
      </c>
      <c r="AR41" s="150">
        <v>0</v>
      </c>
      <c r="AS41" s="150">
        <v>0</v>
      </c>
      <c r="AT41" s="150">
        <v>0</v>
      </c>
      <c r="AU41" s="150">
        <v>0</v>
      </c>
      <c r="AV41" s="150">
        <v>0</v>
      </c>
      <c r="AW41" s="150">
        <v>0</v>
      </c>
      <c r="AX41" s="150">
        <v>0</v>
      </c>
      <c r="AY41" s="150">
        <v>0</v>
      </c>
      <c r="AZ41" s="150">
        <v>0</v>
      </c>
    </row>
    <row r="42" spans="1:52" x14ac:dyDescent="0.15">
      <c r="A42" s="185" t="s">
        <v>232</v>
      </c>
      <c r="B42" s="150">
        <v>9.9990003669366172E-5</v>
      </c>
      <c r="C42" s="150">
        <v>0</v>
      </c>
      <c r="D42" s="150">
        <v>0</v>
      </c>
      <c r="E42" s="150">
        <v>0</v>
      </c>
      <c r="F42" s="150">
        <v>0</v>
      </c>
      <c r="G42" s="150">
        <v>0</v>
      </c>
      <c r="H42" s="150">
        <v>0</v>
      </c>
      <c r="I42" s="150">
        <v>0</v>
      </c>
      <c r="J42" s="150">
        <v>0</v>
      </c>
      <c r="K42" s="150">
        <v>0</v>
      </c>
      <c r="L42" s="150">
        <v>0</v>
      </c>
      <c r="M42" s="150">
        <v>0</v>
      </c>
      <c r="N42" s="150">
        <v>0</v>
      </c>
      <c r="O42" s="150">
        <v>0</v>
      </c>
      <c r="P42" s="150">
        <v>0</v>
      </c>
      <c r="Q42" s="150">
        <v>0</v>
      </c>
      <c r="R42" s="150">
        <v>0</v>
      </c>
      <c r="S42" s="150">
        <v>9.9999990960099043E-5</v>
      </c>
      <c r="T42" s="150">
        <v>0</v>
      </c>
      <c r="U42" s="150">
        <v>0</v>
      </c>
      <c r="V42" s="150">
        <v>0</v>
      </c>
      <c r="W42" s="150">
        <v>9.9998511933143758E-5</v>
      </c>
      <c r="X42" s="150">
        <v>0</v>
      </c>
      <c r="Y42" s="150">
        <v>1.0000999887718746E-4</v>
      </c>
      <c r="Z42" s="150">
        <v>0</v>
      </c>
      <c r="AA42" s="150">
        <v>0</v>
      </c>
      <c r="AB42" s="150">
        <v>0</v>
      </c>
      <c r="AC42" s="150">
        <v>0</v>
      </c>
      <c r="AD42" s="150">
        <v>0</v>
      </c>
      <c r="AE42" s="150">
        <v>0</v>
      </c>
      <c r="AF42" s="150">
        <v>0</v>
      </c>
      <c r="AG42" s="150">
        <v>0</v>
      </c>
      <c r="AH42" s="150">
        <v>0</v>
      </c>
      <c r="AI42" s="150">
        <v>0</v>
      </c>
      <c r="AJ42" s="150">
        <v>0</v>
      </c>
      <c r="AK42" s="150">
        <v>0</v>
      </c>
      <c r="AL42" s="150">
        <v>0</v>
      </c>
      <c r="AM42" s="150">
        <v>0</v>
      </c>
      <c r="AN42" s="150">
        <v>0</v>
      </c>
      <c r="AO42" s="150">
        <v>0</v>
      </c>
      <c r="AP42" s="150">
        <v>0</v>
      </c>
      <c r="AQ42" s="150">
        <v>0</v>
      </c>
      <c r="AR42" s="150">
        <v>0</v>
      </c>
      <c r="AS42" s="150">
        <v>0</v>
      </c>
      <c r="AT42" s="150">
        <v>0</v>
      </c>
      <c r="AU42" s="150">
        <v>0</v>
      </c>
      <c r="AV42" s="150">
        <v>0</v>
      </c>
      <c r="AW42" s="150">
        <v>0</v>
      </c>
      <c r="AX42" s="150">
        <v>0</v>
      </c>
      <c r="AY42" s="150">
        <v>0</v>
      </c>
      <c r="AZ42" s="150">
        <v>0</v>
      </c>
    </row>
    <row r="43" spans="1:52" x14ac:dyDescent="0.15">
      <c r="A43" s="185" t="s">
        <v>233</v>
      </c>
      <c r="B43" s="150">
        <v>0.11999999620437946</v>
      </c>
      <c r="C43" s="150">
        <v>0</v>
      </c>
      <c r="D43" s="150">
        <v>0</v>
      </c>
      <c r="E43" s="150">
        <v>6.8993100217328268E-2</v>
      </c>
      <c r="F43" s="150">
        <v>0</v>
      </c>
      <c r="G43" s="150">
        <v>0</v>
      </c>
      <c r="H43" s="150">
        <v>6.799999810723178E-3</v>
      </c>
      <c r="I43" s="150">
        <v>0</v>
      </c>
      <c r="J43" s="150">
        <v>3.6963038672409777E-2</v>
      </c>
      <c r="K43" s="150">
        <v>7.8700000000000006E-2</v>
      </c>
      <c r="L43" s="150">
        <v>2.9002899698604831E-3</v>
      </c>
      <c r="M43" s="150">
        <v>1.2698729531238875E-2</v>
      </c>
      <c r="N43" s="150">
        <v>1.3299999999999999E-2</v>
      </c>
      <c r="O43" s="150">
        <v>2.2197778024608841E-2</v>
      </c>
      <c r="P43" s="150">
        <v>0</v>
      </c>
      <c r="Q43" s="150">
        <v>2.1000000000000001E-2</v>
      </c>
      <c r="R43" s="150">
        <v>0</v>
      </c>
      <c r="S43" s="150">
        <v>1.3599999790573582E-2</v>
      </c>
      <c r="T43" s="150">
        <v>0.17499999999999999</v>
      </c>
      <c r="U43" s="150">
        <v>3.5000000000000003E-2</v>
      </c>
      <c r="V43" s="150">
        <v>0</v>
      </c>
      <c r="W43" s="150">
        <v>2.1378305171792351E-2</v>
      </c>
      <c r="X43" s="150">
        <v>0.11728826454985072</v>
      </c>
      <c r="Y43" s="150">
        <v>7.8407839311714994E-2</v>
      </c>
      <c r="Z43" s="150">
        <v>8.4199999999999997E-2</v>
      </c>
      <c r="AA43" s="150">
        <v>0.02</v>
      </c>
      <c r="AB43" s="150">
        <v>0.01</v>
      </c>
      <c r="AC43" s="150">
        <v>0.11999999559800034</v>
      </c>
      <c r="AD43" s="150">
        <v>6.0000000000000001E-3</v>
      </c>
      <c r="AE43" s="150">
        <v>0</v>
      </c>
      <c r="AF43" s="150">
        <v>0</v>
      </c>
      <c r="AG43" s="150">
        <v>0</v>
      </c>
      <c r="AH43" s="150">
        <v>0</v>
      </c>
      <c r="AI43" s="150">
        <v>1.198801177062936E-2</v>
      </c>
      <c r="AJ43" s="150">
        <v>0</v>
      </c>
      <c r="AK43" s="150">
        <v>0</v>
      </c>
      <c r="AL43" s="150">
        <v>0</v>
      </c>
      <c r="AM43" s="150">
        <v>0</v>
      </c>
      <c r="AN43" s="150">
        <v>1.9999999646800031E-2</v>
      </c>
      <c r="AO43" s="150">
        <v>0.01</v>
      </c>
      <c r="AP43" s="150">
        <v>2.0000000000000004E-2</v>
      </c>
      <c r="AQ43" s="150">
        <v>0</v>
      </c>
      <c r="AR43" s="150">
        <v>0</v>
      </c>
      <c r="AS43" s="150">
        <v>0</v>
      </c>
      <c r="AT43" s="150">
        <v>0</v>
      </c>
      <c r="AU43" s="150">
        <v>0</v>
      </c>
      <c r="AV43" s="150">
        <v>0</v>
      </c>
      <c r="AW43" s="150">
        <v>0</v>
      </c>
      <c r="AX43" s="150">
        <v>0</v>
      </c>
      <c r="AY43" s="150">
        <v>0</v>
      </c>
      <c r="AZ43" s="150">
        <v>0</v>
      </c>
    </row>
    <row r="44" spans="1:52" x14ac:dyDescent="0.15">
      <c r="A44" s="185" t="s">
        <v>234</v>
      </c>
      <c r="B44" s="150">
        <v>5.0000001334866546E-2</v>
      </c>
      <c r="C44" s="150">
        <v>0</v>
      </c>
      <c r="D44" s="150">
        <v>0</v>
      </c>
      <c r="E44" s="150">
        <v>0</v>
      </c>
      <c r="F44" s="150">
        <v>0</v>
      </c>
      <c r="G44" s="150">
        <v>0</v>
      </c>
      <c r="H44" s="150">
        <v>0</v>
      </c>
      <c r="I44" s="150">
        <v>0</v>
      </c>
      <c r="J44" s="150">
        <v>4.2957049165233477E-3</v>
      </c>
      <c r="K44" s="150">
        <v>2.0000000000000001E-4</v>
      </c>
      <c r="L44" s="150">
        <v>0.29762975732637231</v>
      </c>
      <c r="M44" s="150">
        <v>0.11178881727500049</v>
      </c>
      <c r="N44" s="150">
        <v>0</v>
      </c>
      <c r="O44" s="150">
        <v>9.9989996146885961E-5</v>
      </c>
      <c r="P44" s="150">
        <v>7.3392660352284769E-2</v>
      </c>
      <c r="Q44" s="150">
        <v>6.0000000000000001E-3</v>
      </c>
      <c r="R44" s="150">
        <v>0.10231023708627086</v>
      </c>
      <c r="S44" s="150">
        <v>4.9999998780049876E-2</v>
      </c>
      <c r="T44" s="150">
        <v>0</v>
      </c>
      <c r="U44" s="150">
        <v>0</v>
      </c>
      <c r="V44" s="150">
        <v>0</v>
      </c>
      <c r="W44" s="150">
        <v>3.9999404773257505E-3</v>
      </c>
      <c r="X44" s="150">
        <v>1.7198281374402435E-2</v>
      </c>
      <c r="Y44" s="150">
        <v>0.31893188587635074</v>
      </c>
      <c r="Z44" s="150">
        <v>0.34229999999999999</v>
      </c>
      <c r="AA44" s="150">
        <v>0.1</v>
      </c>
      <c r="AB44" s="150">
        <v>0.01</v>
      </c>
      <c r="AC44" s="150">
        <v>1.999999983300001E-2</v>
      </c>
      <c r="AD44" s="150">
        <v>0</v>
      </c>
      <c r="AE44" s="150">
        <v>0</v>
      </c>
      <c r="AF44" s="150">
        <v>0</v>
      </c>
      <c r="AG44" s="150">
        <v>0</v>
      </c>
      <c r="AH44" s="150">
        <v>0</v>
      </c>
      <c r="AI44" s="150">
        <v>0</v>
      </c>
      <c r="AJ44" s="150">
        <v>0</v>
      </c>
      <c r="AK44" s="150">
        <v>0</v>
      </c>
      <c r="AL44" s="150">
        <v>0</v>
      </c>
      <c r="AM44" s="150">
        <v>0</v>
      </c>
      <c r="AN44" s="150">
        <v>0.30300000643901948</v>
      </c>
      <c r="AO44" s="150">
        <v>0.09</v>
      </c>
      <c r="AP44" s="150">
        <v>0.30000000000000004</v>
      </c>
      <c r="AQ44" s="150">
        <v>0</v>
      </c>
      <c r="AR44" s="150">
        <v>0</v>
      </c>
      <c r="AS44" s="150">
        <v>0</v>
      </c>
      <c r="AT44" s="150">
        <v>0</v>
      </c>
      <c r="AU44" s="150">
        <v>0</v>
      </c>
      <c r="AV44" s="150">
        <v>0</v>
      </c>
      <c r="AW44" s="150">
        <v>0</v>
      </c>
      <c r="AX44" s="150">
        <v>0</v>
      </c>
      <c r="AY44" s="150">
        <v>0</v>
      </c>
      <c r="AZ44" s="150">
        <v>0</v>
      </c>
    </row>
    <row r="45" spans="1:52" x14ac:dyDescent="0.15">
      <c r="A45" s="185" t="s">
        <v>235</v>
      </c>
      <c r="B45" s="150">
        <v>0.10000000266973309</v>
      </c>
      <c r="C45" s="150">
        <v>0</v>
      </c>
      <c r="D45" s="150">
        <v>0</v>
      </c>
      <c r="E45" s="150">
        <v>0</v>
      </c>
      <c r="F45" s="150">
        <v>0</v>
      </c>
      <c r="G45" s="150">
        <v>0</v>
      </c>
      <c r="H45" s="150">
        <v>0</v>
      </c>
      <c r="I45" s="150">
        <v>0</v>
      </c>
      <c r="J45" s="150">
        <v>5.894106681276213E-3</v>
      </c>
      <c r="K45" s="150">
        <v>1.7000000000000001E-2</v>
      </c>
      <c r="L45" s="150">
        <v>1.6501650738861409E-2</v>
      </c>
      <c r="M45" s="150">
        <v>0.11058893827204878</v>
      </c>
      <c r="N45" s="150">
        <v>0</v>
      </c>
      <c r="O45" s="150">
        <v>0</v>
      </c>
      <c r="P45" s="150">
        <v>0.40425956394044593</v>
      </c>
      <c r="Q45" s="150">
        <v>0.66</v>
      </c>
      <c r="R45" s="150">
        <v>0.13181318826461874</v>
      </c>
      <c r="S45" s="150">
        <v>5.6099998348615933E-2</v>
      </c>
      <c r="T45" s="150">
        <v>2.5000000000000001E-2</v>
      </c>
      <c r="U45" s="150">
        <v>0</v>
      </c>
      <c r="V45" s="150">
        <v>0</v>
      </c>
      <c r="W45" s="150">
        <v>3.1967558194282942E-3</v>
      </c>
      <c r="X45" s="150">
        <v>1.7498251042560652E-2</v>
      </c>
      <c r="Y45" s="150">
        <v>8.7308740368785998E-2</v>
      </c>
      <c r="Z45" s="150">
        <v>9.3700000000000006E-2</v>
      </c>
      <c r="AA45" s="150">
        <v>0.2</v>
      </c>
      <c r="AB45" s="150">
        <v>0.01</v>
      </c>
      <c r="AC45" s="150">
        <v>1.4999999424750044E-2</v>
      </c>
      <c r="AD45" s="150">
        <v>0</v>
      </c>
      <c r="AE45" s="150">
        <v>0</v>
      </c>
      <c r="AF45" s="150">
        <v>0</v>
      </c>
      <c r="AG45" s="150">
        <v>0</v>
      </c>
      <c r="AH45" s="150">
        <v>0</v>
      </c>
      <c r="AI45" s="150">
        <v>2.9970029426573401E-3</v>
      </c>
      <c r="AJ45" s="150">
        <v>0</v>
      </c>
      <c r="AK45" s="150">
        <v>0</v>
      </c>
      <c r="AL45" s="150">
        <v>0</v>
      </c>
      <c r="AM45" s="150">
        <v>0</v>
      </c>
      <c r="AN45" s="150">
        <v>0.30300000643901948</v>
      </c>
      <c r="AO45" s="150">
        <v>0.1</v>
      </c>
      <c r="AP45" s="150">
        <v>0.30000000000000004</v>
      </c>
      <c r="AQ45" s="150">
        <v>1.4999999999999999E-2</v>
      </c>
      <c r="AR45" s="150">
        <v>0</v>
      </c>
      <c r="AS45" s="150">
        <v>0</v>
      </c>
      <c r="AT45" s="150">
        <v>0</v>
      </c>
      <c r="AU45" s="150">
        <v>0</v>
      </c>
      <c r="AV45" s="150">
        <v>0</v>
      </c>
      <c r="AW45" s="150">
        <v>0</v>
      </c>
      <c r="AX45" s="150">
        <v>0</v>
      </c>
      <c r="AY45" s="150">
        <v>0</v>
      </c>
      <c r="AZ45" s="150">
        <v>0</v>
      </c>
    </row>
    <row r="46" spans="1:52" x14ac:dyDescent="0.15">
      <c r="A46" s="185" t="s">
        <v>236</v>
      </c>
      <c r="B46" s="150">
        <v>0.30000000800919929</v>
      </c>
      <c r="C46" s="150">
        <v>0</v>
      </c>
      <c r="D46" s="150">
        <v>0</v>
      </c>
      <c r="E46" s="150">
        <v>0</v>
      </c>
      <c r="F46" s="150">
        <v>0</v>
      </c>
      <c r="G46" s="150">
        <v>0.9</v>
      </c>
      <c r="H46" s="150">
        <v>0</v>
      </c>
      <c r="I46" s="150">
        <v>0</v>
      </c>
      <c r="J46" s="150">
        <v>1.9780220886316608E-2</v>
      </c>
      <c r="K46" s="150">
        <v>4.7000000000000002E-3</v>
      </c>
      <c r="L46" s="150">
        <v>5.9905989882290692E-2</v>
      </c>
      <c r="M46" s="150">
        <v>2.1697830053376662E-2</v>
      </c>
      <c r="N46" s="150">
        <v>0</v>
      </c>
      <c r="O46" s="150">
        <v>0</v>
      </c>
      <c r="P46" s="150">
        <v>2.9797020143025696E-2</v>
      </c>
      <c r="Q46" s="150">
        <v>1.0999999999999999E-2</v>
      </c>
      <c r="R46" s="150">
        <v>5.6305634248847033E-2</v>
      </c>
      <c r="S46" s="150">
        <v>3.5999998645635863E-2</v>
      </c>
      <c r="T46" s="150">
        <v>0</v>
      </c>
      <c r="U46" s="150">
        <v>0</v>
      </c>
      <c r="V46" s="150">
        <v>0</v>
      </c>
      <c r="W46" s="150">
        <v>0</v>
      </c>
      <c r="X46" s="150">
        <v>0</v>
      </c>
      <c r="Y46" s="150">
        <v>2.7102712018718077E-2</v>
      </c>
      <c r="Z46" s="150">
        <v>7.2800000000000004E-2</v>
      </c>
      <c r="AA46" s="150">
        <v>0.05</v>
      </c>
      <c r="AB46" s="150">
        <v>0</v>
      </c>
      <c r="AC46" s="150">
        <v>4.9999999582500025E-3</v>
      </c>
      <c r="AD46" s="150">
        <v>0</v>
      </c>
      <c r="AE46" s="150">
        <v>0</v>
      </c>
      <c r="AF46" s="150">
        <v>0</v>
      </c>
      <c r="AG46" s="150">
        <v>0</v>
      </c>
      <c r="AH46" s="150">
        <v>0</v>
      </c>
      <c r="AI46" s="150">
        <v>0</v>
      </c>
      <c r="AJ46" s="150">
        <v>0</v>
      </c>
      <c r="AK46" s="150">
        <v>0</v>
      </c>
      <c r="AL46" s="150">
        <v>0</v>
      </c>
      <c r="AM46" s="150">
        <v>0</v>
      </c>
      <c r="AN46" s="150">
        <v>0.1199999944808005</v>
      </c>
      <c r="AO46" s="150">
        <v>0.25</v>
      </c>
      <c r="AP46" s="150">
        <v>0.12000000000000001</v>
      </c>
      <c r="AQ46" s="150">
        <v>0</v>
      </c>
      <c r="AR46" s="150">
        <v>0</v>
      </c>
      <c r="AS46" s="150">
        <v>0</v>
      </c>
      <c r="AT46" s="150">
        <v>0</v>
      </c>
      <c r="AU46" s="150">
        <v>0</v>
      </c>
      <c r="AV46" s="150">
        <v>0</v>
      </c>
      <c r="AW46" s="150">
        <v>0</v>
      </c>
      <c r="AX46" s="150">
        <v>0</v>
      </c>
      <c r="AY46" s="150">
        <v>0</v>
      </c>
      <c r="AZ46" s="150">
        <v>0</v>
      </c>
    </row>
    <row r="47" spans="1:52" x14ac:dyDescent="0.15">
      <c r="A47" s="185" t="s">
        <v>237</v>
      </c>
      <c r="B47" s="150">
        <v>0.20000000533946619</v>
      </c>
      <c r="C47" s="150">
        <v>0</v>
      </c>
      <c r="D47" s="150">
        <v>0</v>
      </c>
      <c r="E47" s="150">
        <v>0</v>
      </c>
      <c r="F47" s="150">
        <v>0</v>
      </c>
      <c r="G47" s="150">
        <v>0.1</v>
      </c>
      <c r="H47" s="150">
        <v>0</v>
      </c>
      <c r="I47" s="150">
        <v>0</v>
      </c>
      <c r="J47" s="150">
        <v>1.1988012585646421E-2</v>
      </c>
      <c r="K47" s="150">
        <v>0.13900000000000001</v>
      </c>
      <c r="L47" s="150">
        <v>7.5107513362938902E-2</v>
      </c>
      <c r="M47" s="150">
        <v>0.13978602034387361</v>
      </c>
      <c r="N47" s="150">
        <v>1.9E-3</v>
      </c>
      <c r="O47" s="150">
        <v>3.4996499151410021E-3</v>
      </c>
      <c r="P47" s="150">
        <v>0.37016300177678241</v>
      </c>
      <c r="Q47" s="150">
        <v>0.29099999999999998</v>
      </c>
      <c r="R47" s="150">
        <v>0.63676365743234042</v>
      </c>
      <c r="S47" s="150">
        <v>9.8199996662817854E-2</v>
      </c>
      <c r="T47" s="150">
        <v>2.5000000000000001E-2</v>
      </c>
      <c r="U47" s="150">
        <v>0</v>
      </c>
      <c r="V47" s="150">
        <v>0.29999999999999993</v>
      </c>
      <c r="W47" s="150">
        <v>1.0389456495640728E-2</v>
      </c>
      <c r="X47" s="150">
        <v>5.6894307460669272E-2</v>
      </c>
      <c r="Y47" s="150">
        <v>0.1865186461509544</v>
      </c>
      <c r="Z47" s="150">
        <v>0.20019999999999999</v>
      </c>
      <c r="AA47" s="150">
        <v>0.47199999999999998</v>
      </c>
      <c r="AB47" s="150">
        <v>0.01</v>
      </c>
      <c r="AC47" s="150">
        <v>1.999999983300001E-2</v>
      </c>
      <c r="AD47" s="150">
        <v>0</v>
      </c>
      <c r="AE47" s="150">
        <v>0</v>
      </c>
      <c r="AF47" s="150">
        <v>3.9E-2</v>
      </c>
      <c r="AG47" s="150">
        <v>0</v>
      </c>
      <c r="AH47" s="150">
        <v>0.1</v>
      </c>
      <c r="AI47" s="150">
        <v>1.898101810349646E-2</v>
      </c>
      <c r="AJ47" s="150">
        <v>0</v>
      </c>
      <c r="AK47" s="150">
        <v>0</v>
      </c>
      <c r="AL47" s="150">
        <v>0</v>
      </c>
      <c r="AM47" s="150">
        <v>0</v>
      </c>
      <c r="AN47" s="150">
        <v>0.1199999944808005</v>
      </c>
      <c r="AO47" s="150">
        <v>0.15</v>
      </c>
      <c r="AP47" s="150">
        <v>0.12000000000000001</v>
      </c>
      <c r="AQ47" s="150">
        <v>1.4999999999999999E-2</v>
      </c>
      <c r="AR47" s="150">
        <v>0</v>
      </c>
      <c r="AS47" s="150">
        <v>0</v>
      </c>
      <c r="AT47" s="150">
        <v>0</v>
      </c>
      <c r="AU47" s="150">
        <v>0</v>
      </c>
      <c r="AV47" s="150">
        <v>0</v>
      </c>
      <c r="AW47" s="150">
        <v>0</v>
      </c>
      <c r="AX47" s="150">
        <v>0</v>
      </c>
      <c r="AY47" s="150">
        <v>0</v>
      </c>
      <c r="AZ47" s="150">
        <v>0</v>
      </c>
    </row>
    <row r="48" spans="1:52" x14ac:dyDescent="0.15">
      <c r="A48" s="185" t="s">
        <v>238</v>
      </c>
      <c r="B48" s="150">
        <v>0</v>
      </c>
      <c r="C48" s="150">
        <v>0.10389999959656805</v>
      </c>
      <c r="D48" s="150">
        <v>0</v>
      </c>
      <c r="E48" s="150">
        <v>1.5298470048190179E-2</v>
      </c>
      <c r="F48" s="150">
        <v>0</v>
      </c>
      <c r="G48" s="150">
        <v>0</v>
      </c>
      <c r="H48" s="150">
        <v>0</v>
      </c>
      <c r="I48" s="150">
        <v>0.95689999999999997</v>
      </c>
      <c r="J48" s="150">
        <v>4.6553449480927003E-2</v>
      </c>
      <c r="K48" s="150">
        <v>0.19239999999999999</v>
      </c>
      <c r="L48" s="150">
        <v>2.0602060922457276E-2</v>
      </c>
      <c r="M48" s="150">
        <v>9.2290770227035288E-2</v>
      </c>
      <c r="N48" s="150">
        <v>3.0999999999999999E-3</v>
      </c>
      <c r="O48" s="150">
        <v>2.9097089268743766E-2</v>
      </c>
      <c r="P48" s="150">
        <v>4.259573690445953E-2</v>
      </c>
      <c r="Q48" s="150">
        <v>1E-3</v>
      </c>
      <c r="R48" s="150">
        <v>0</v>
      </c>
      <c r="S48" s="150">
        <v>2.3000000720823084E-3</v>
      </c>
      <c r="T48" s="150">
        <v>0.17499999999999999</v>
      </c>
      <c r="U48" s="150">
        <v>0.53800000000000003</v>
      </c>
      <c r="V48" s="150">
        <v>4.9999999999999989E-2</v>
      </c>
      <c r="W48" s="150">
        <v>4.045894143494299E-2</v>
      </c>
      <c r="X48" s="150">
        <v>0.22257774237337269</v>
      </c>
      <c r="Y48" s="150">
        <v>7.4407444836628145E-2</v>
      </c>
      <c r="Z48" s="150">
        <v>7.9899999999999999E-2</v>
      </c>
      <c r="AA48" s="150">
        <v>0.05</v>
      </c>
      <c r="AB48" s="150">
        <v>0.80100000000000005</v>
      </c>
      <c r="AC48" s="150">
        <v>1.999999983300001E-2</v>
      </c>
      <c r="AD48" s="150">
        <v>1.2500000000000001E-2</v>
      </c>
      <c r="AE48" s="150">
        <v>0.434</v>
      </c>
      <c r="AF48" s="150">
        <v>0.20899999999999999</v>
      </c>
      <c r="AG48" s="150">
        <v>0.64</v>
      </c>
      <c r="AH48" s="150">
        <v>0.51300000000000001</v>
      </c>
      <c r="AI48" s="150">
        <v>0.29470528602797164</v>
      </c>
      <c r="AJ48" s="150">
        <v>0.75</v>
      </c>
      <c r="AK48" s="150">
        <v>0.45</v>
      </c>
      <c r="AL48" s="150">
        <v>0.18</v>
      </c>
      <c r="AM48" s="150">
        <v>0.5</v>
      </c>
      <c r="AN48" s="150">
        <v>1.9999999646800031E-2</v>
      </c>
      <c r="AO48" s="150">
        <v>0.2</v>
      </c>
      <c r="AP48" s="150">
        <v>2.0000000000000004E-2</v>
      </c>
      <c r="AQ48" s="150">
        <v>0.12</v>
      </c>
      <c r="AR48" s="150">
        <v>0</v>
      </c>
      <c r="AS48" s="150">
        <v>0</v>
      </c>
      <c r="AT48" s="150">
        <v>0</v>
      </c>
      <c r="AU48" s="150">
        <v>0</v>
      </c>
      <c r="AV48" s="150">
        <v>0.05</v>
      </c>
      <c r="AW48" s="150">
        <v>0</v>
      </c>
      <c r="AX48" s="150">
        <v>0</v>
      </c>
      <c r="AY48" s="150">
        <v>0</v>
      </c>
      <c r="AZ48" s="150">
        <v>0</v>
      </c>
    </row>
    <row r="49" spans="1:52" x14ac:dyDescent="0.15">
      <c r="A49" s="185" t="s">
        <v>239</v>
      </c>
      <c r="B49" s="150">
        <v>9.9999993670632763E-3</v>
      </c>
      <c r="C49" s="150">
        <v>8.290000329504775E-2</v>
      </c>
      <c r="D49" s="150">
        <v>0</v>
      </c>
      <c r="E49" s="150">
        <v>0</v>
      </c>
      <c r="F49" s="150">
        <v>0</v>
      </c>
      <c r="G49" s="150">
        <v>0</v>
      </c>
      <c r="H49" s="150">
        <v>0</v>
      </c>
      <c r="I49" s="150">
        <v>4.3099999999999999E-2</v>
      </c>
      <c r="J49" s="150">
        <v>0</v>
      </c>
      <c r="K49" s="150">
        <v>2.0000000000000001E-4</v>
      </c>
      <c r="L49" s="150">
        <v>0</v>
      </c>
      <c r="M49" s="150">
        <v>9.9990000245975396E-5</v>
      </c>
      <c r="N49" s="150">
        <v>0</v>
      </c>
      <c r="O49" s="150">
        <v>0</v>
      </c>
      <c r="P49" s="150">
        <v>0</v>
      </c>
      <c r="Q49" s="150">
        <v>0</v>
      </c>
      <c r="R49" s="150">
        <v>0</v>
      </c>
      <c r="S49" s="150">
        <v>1.3000000324813038E-3</v>
      </c>
      <c r="T49" s="150">
        <v>0</v>
      </c>
      <c r="U49" s="150">
        <v>0.161</v>
      </c>
      <c r="V49" s="150">
        <v>0</v>
      </c>
      <c r="W49" s="150">
        <v>2.5973641289101074E-3</v>
      </c>
      <c r="X49" s="150">
        <v>1.4498549860978933E-2</v>
      </c>
      <c r="Y49" s="150">
        <v>7.300730267034726E-3</v>
      </c>
      <c r="Z49" s="150">
        <v>7.7999999999999996E-3</v>
      </c>
      <c r="AA49" s="150">
        <v>0.05</v>
      </c>
      <c r="AB49" s="150">
        <v>0.05</v>
      </c>
      <c r="AC49" s="150">
        <v>0</v>
      </c>
      <c r="AD49" s="150">
        <v>0</v>
      </c>
      <c r="AE49" s="150">
        <v>0.53600000000000003</v>
      </c>
      <c r="AF49" s="150">
        <v>0.71199999999999997</v>
      </c>
      <c r="AG49" s="150">
        <v>0.32</v>
      </c>
      <c r="AH49" s="150">
        <v>0.38700000000000001</v>
      </c>
      <c r="AI49" s="150">
        <v>1.2987013618181848E-2</v>
      </c>
      <c r="AJ49" s="150">
        <v>0.25</v>
      </c>
      <c r="AK49" s="150">
        <v>0.45</v>
      </c>
      <c r="AL49" s="150">
        <v>0</v>
      </c>
      <c r="AM49" s="150">
        <v>0.5</v>
      </c>
      <c r="AN49" s="150">
        <v>9.9999998234000156E-3</v>
      </c>
      <c r="AO49" s="150">
        <v>0.15</v>
      </c>
      <c r="AP49" s="150">
        <v>1.0000000000000002E-2</v>
      </c>
      <c r="AQ49" s="150">
        <v>0.24</v>
      </c>
      <c r="AR49" s="150">
        <v>0</v>
      </c>
      <c r="AS49" s="150">
        <v>0</v>
      </c>
      <c r="AT49" s="150">
        <v>0</v>
      </c>
      <c r="AU49" s="150">
        <v>0</v>
      </c>
      <c r="AV49" s="150">
        <v>0.48</v>
      </c>
      <c r="AW49" s="150">
        <v>0</v>
      </c>
      <c r="AX49" s="150">
        <v>0</v>
      </c>
      <c r="AY49" s="150">
        <v>0</v>
      </c>
      <c r="AZ49" s="150">
        <v>0</v>
      </c>
    </row>
    <row r="50" spans="1:52" x14ac:dyDescent="0.15">
      <c r="A50" s="185" t="s">
        <v>240</v>
      </c>
      <c r="B50" s="150">
        <v>0</v>
      </c>
      <c r="C50" s="150">
        <v>0</v>
      </c>
      <c r="D50" s="150">
        <v>0</v>
      </c>
      <c r="E50" s="150">
        <v>0</v>
      </c>
      <c r="F50" s="150">
        <v>0</v>
      </c>
      <c r="G50" s="150">
        <v>0</v>
      </c>
      <c r="H50" s="150">
        <v>0</v>
      </c>
      <c r="I50" s="150">
        <v>0</v>
      </c>
      <c r="J50" s="150">
        <v>0</v>
      </c>
      <c r="K50" s="150">
        <v>0</v>
      </c>
      <c r="L50" s="150">
        <v>0</v>
      </c>
      <c r="M50" s="150">
        <v>0</v>
      </c>
      <c r="N50" s="150">
        <v>0</v>
      </c>
      <c r="O50" s="150">
        <v>0</v>
      </c>
      <c r="P50" s="150">
        <v>0</v>
      </c>
      <c r="Q50" s="150">
        <v>0</v>
      </c>
      <c r="R50" s="150">
        <v>0</v>
      </c>
      <c r="S50" s="150">
        <v>0</v>
      </c>
      <c r="T50" s="150">
        <v>0</v>
      </c>
      <c r="U50" s="150">
        <v>0</v>
      </c>
      <c r="V50" s="150">
        <v>0</v>
      </c>
      <c r="W50" s="150">
        <v>0</v>
      </c>
      <c r="X50" s="150">
        <v>0</v>
      </c>
      <c r="Y50" s="150">
        <v>0</v>
      </c>
      <c r="Z50" s="150">
        <v>0</v>
      </c>
      <c r="AA50" s="150">
        <v>0</v>
      </c>
      <c r="AB50" s="150">
        <v>0</v>
      </c>
      <c r="AC50" s="150">
        <v>0</v>
      </c>
      <c r="AD50" s="150">
        <v>0</v>
      </c>
      <c r="AE50" s="150">
        <v>0</v>
      </c>
      <c r="AF50" s="150">
        <v>0</v>
      </c>
      <c r="AG50" s="150">
        <v>0</v>
      </c>
      <c r="AH50" s="150">
        <v>0</v>
      </c>
      <c r="AI50" s="150">
        <v>0</v>
      </c>
      <c r="AJ50" s="150">
        <v>0</v>
      </c>
      <c r="AK50" s="150">
        <v>0</v>
      </c>
      <c r="AL50" s="150">
        <v>0</v>
      </c>
      <c r="AM50" s="150">
        <v>0</v>
      </c>
      <c r="AN50" s="150">
        <v>0</v>
      </c>
      <c r="AO50" s="150">
        <v>0</v>
      </c>
      <c r="AP50" s="150">
        <v>0</v>
      </c>
      <c r="AQ50" s="150">
        <v>8.5000000000000006E-2</v>
      </c>
      <c r="AR50" s="150">
        <v>0</v>
      </c>
      <c r="AS50" s="150">
        <v>0</v>
      </c>
      <c r="AT50" s="150">
        <v>0</v>
      </c>
      <c r="AU50" s="150">
        <v>0</v>
      </c>
      <c r="AV50" s="150">
        <v>0.37</v>
      </c>
      <c r="AW50" s="150">
        <v>1</v>
      </c>
      <c r="AX50" s="150">
        <v>0</v>
      </c>
      <c r="AY50" s="150">
        <v>0</v>
      </c>
      <c r="AZ50" s="150">
        <v>0</v>
      </c>
    </row>
    <row r="51" spans="1:52" x14ac:dyDescent="0.15">
      <c r="A51" s="185" t="s">
        <v>241</v>
      </c>
      <c r="B51" s="150">
        <v>0</v>
      </c>
      <c r="C51" s="150">
        <v>0</v>
      </c>
      <c r="D51" s="150">
        <v>0</v>
      </c>
      <c r="E51" s="150">
        <v>0</v>
      </c>
      <c r="F51" s="150">
        <v>0</v>
      </c>
      <c r="G51" s="150">
        <v>0</v>
      </c>
      <c r="H51" s="150">
        <v>0</v>
      </c>
      <c r="I51" s="150">
        <v>0</v>
      </c>
      <c r="J51" s="150">
        <v>0</v>
      </c>
      <c r="K51" s="150">
        <v>0</v>
      </c>
      <c r="L51" s="150">
        <v>0</v>
      </c>
      <c r="M51" s="150">
        <v>0</v>
      </c>
      <c r="N51" s="150">
        <v>0</v>
      </c>
      <c r="O51" s="150">
        <v>0</v>
      </c>
      <c r="P51" s="150">
        <v>0</v>
      </c>
      <c r="Q51" s="150">
        <v>0</v>
      </c>
      <c r="R51" s="150">
        <v>0</v>
      </c>
      <c r="S51" s="150">
        <v>0</v>
      </c>
      <c r="T51" s="150">
        <v>0</v>
      </c>
      <c r="U51" s="150">
        <v>0</v>
      </c>
      <c r="V51" s="150">
        <v>0</v>
      </c>
      <c r="W51" s="150">
        <v>0</v>
      </c>
      <c r="X51" s="150">
        <v>0</v>
      </c>
      <c r="Y51" s="150">
        <v>0</v>
      </c>
      <c r="Z51" s="150">
        <v>0</v>
      </c>
      <c r="AA51" s="150">
        <v>0</v>
      </c>
      <c r="AB51" s="150">
        <v>0</v>
      </c>
      <c r="AC51" s="150">
        <v>0</v>
      </c>
      <c r="AD51" s="150">
        <v>0</v>
      </c>
      <c r="AE51" s="150">
        <v>0</v>
      </c>
      <c r="AF51" s="150">
        <v>0.04</v>
      </c>
      <c r="AG51" s="150">
        <v>0</v>
      </c>
      <c r="AH51" s="150">
        <v>0</v>
      </c>
      <c r="AI51" s="150">
        <v>0</v>
      </c>
      <c r="AJ51" s="150">
        <v>0</v>
      </c>
      <c r="AK51" s="150">
        <v>0</v>
      </c>
      <c r="AL51" s="150">
        <v>0</v>
      </c>
      <c r="AM51" s="150">
        <v>0</v>
      </c>
      <c r="AN51" s="150">
        <v>0.10299999897102011</v>
      </c>
      <c r="AO51" s="150">
        <v>0.05</v>
      </c>
      <c r="AP51" s="150">
        <v>0.10000000000000002</v>
      </c>
      <c r="AQ51" s="150">
        <v>0.52500000000000002</v>
      </c>
      <c r="AR51" s="150">
        <v>1</v>
      </c>
      <c r="AS51" s="150">
        <v>1</v>
      </c>
      <c r="AT51" s="150">
        <v>1</v>
      </c>
      <c r="AU51" s="150">
        <v>1</v>
      </c>
      <c r="AV51" s="150">
        <v>0.1</v>
      </c>
      <c r="AW51" s="150">
        <v>0</v>
      </c>
      <c r="AX51" s="150">
        <v>0</v>
      </c>
      <c r="AY51" s="150">
        <v>0</v>
      </c>
      <c r="AZ51" s="150">
        <v>0</v>
      </c>
    </row>
    <row r="52" spans="1:52" x14ac:dyDescent="0.15">
      <c r="A52" s="185" t="s">
        <v>242</v>
      </c>
      <c r="B52" s="150">
        <v>0</v>
      </c>
      <c r="C52" s="150">
        <v>0</v>
      </c>
      <c r="D52" s="150">
        <v>0</v>
      </c>
      <c r="E52" s="150">
        <v>0</v>
      </c>
      <c r="F52" s="150">
        <v>0</v>
      </c>
      <c r="G52" s="150">
        <v>0</v>
      </c>
      <c r="H52" s="150">
        <v>0</v>
      </c>
      <c r="I52" s="150">
        <v>0</v>
      </c>
      <c r="J52" s="150">
        <v>0</v>
      </c>
      <c r="K52" s="150">
        <v>0</v>
      </c>
      <c r="L52" s="150">
        <v>0</v>
      </c>
      <c r="M52" s="150">
        <v>0</v>
      </c>
      <c r="N52" s="150">
        <v>0</v>
      </c>
      <c r="O52" s="150">
        <v>0</v>
      </c>
      <c r="P52" s="150">
        <v>0</v>
      </c>
      <c r="Q52" s="150">
        <v>0</v>
      </c>
      <c r="R52" s="150">
        <v>0</v>
      </c>
      <c r="S52" s="150">
        <v>0</v>
      </c>
      <c r="T52" s="150">
        <v>0</v>
      </c>
      <c r="U52" s="150">
        <v>0</v>
      </c>
      <c r="V52" s="150">
        <v>0</v>
      </c>
      <c r="W52" s="150">
        <v>0</v>
      </c>
      <c r="X52" s="150">
        <v>0</v>
      </c>
      <c r="Y52" s="150">
        <v>0</v>
      </c>
      <c r="Z52" s="150">
        <v>0</v>
      </c>
      <c r="AA52" s="150">
        <v>0</v>
      </c>
      <c r="AB52" s="150">
        <v>0</v>
      </c>
      <c r="AC52" s="150">
        <v>0</v>
      </c>
      <c r="AD52" s="150">
        <v>0</v>
      </c>
      <c r="AE52" s="150">
        <v>0</v>
      </c>
      <c r="AF52" s="150">
        <v>0</v>
      </c>
      <c r="AG52" s="150">
        <v>0</v>
      </c>
      <c r="AH52" s="150">
        <v>0</v>
      </c>
      <c r="AI52" s="150">
        <v>0</v>
      </c>
      <c r="AJ52" s="150">
        <v>0</v>
      </c>
      <c r="AK52" s="150">
        <v>0</v>
      </c>
      <c r="AL52" s="150">
        <v>0</v>
      </c>
      <c r="AM52" s="150">
        <v>0</v>
      </c>
      <c r="AN52" s="150">
        <v>0</v>
      </c>
      <c r="AO52" s="150">
        <v>0</v>
      </c>
      <c r="AP52" s="150">
        <v>0</v>
      </c>
      <c r="AQ52" s="150">
        <v>0</v>
      </c>
      <c r="AR52" s="150">
        <v>0</v>
      </c>
      <c r="AS52" s="150">
        <v>0</v>
      </c>
      <c r="AT52" s="150">
        <v>0</v>
      </c>
      <c r="AU52" s="150">
        <v>0</v>
      </c>
      <c r="AV52" s="150">
        <v>0</v>
      </c>
      <c r="AW52" s="150">
        <v>0</v>
      </c>
      <c r="AX52" s="150">
        <v>0</v>
      </c>
      <c r="AY52" s="150">
        <v>0</v>
      </c>
      <c r="AZ52" s="150">
        <v>0</v>
      </c>
    </row>
    <row r="53" spans="1:52" x14ac:dyDescent="0.15">
      <c r="A53" s="185" t="s">
        <v>254</v>
      </c>
      <c r="B53" s="150">
        <v>0</v>
      </c>
      <c r="C53" s="150">
        <v>0</v>
      </c>
      <c r="D53" s="150">
        <v>0</v>
      </c>
      <c r="E53" s="150">
        <v>0</v>
      </c>
      <c r="F53" s="150">
        <v>0</v>
      </c>
      <c r="G53" s="150">
        <v>0</v>
      </c>
      <c r="H53" s="150">
        <v>0</v>
      </c>
      <c r="I53" s="150">
        <v>0</v>
      </c>
      <c r="J53" s="150">
        <v>0</v>
      </c>
      <c r="K53" s="150">
        <v>0</v>
      </c>
      <c r="L53" s="150">
        <v>0</v>
      </c>
      <c r="M53" s="150">
        <v>0</v>
      </c>
      <c r="N53" s="150">
        <v>0</v>
      </c>
      <c r="O53" s="150">
        <v>0</v>
      </c>
      <c r="P53" s="150">
        <v>0</v>
      </c>
      <c r="Q53" s="150">
        <v>0</v>
      </c>
      <c r="R53" s="150">
        <v>0</v>
      </c>
      <c r="S53" s="150">
        <v>0</v>
      </c>
      <c r="T53" s="150">
        <v>0</v>
      </c>
      <c r="U53" s="150">
        <v>0</v>
      </c>
      <c r="V53" s="150">
        <v>0</v>
      </c>
      <c r="W53" s="150">
        <v>0</v>
      </c>
      <c r="X53" s="150">
        <v>0</v>
      </c>
      <c r="Y53" s="150">
        <v>0</v>
      </c>
      <c r="Z53" s="150">
        <v>0</v>
      </c>
      <c r="AA53" s="150">
        <v>0</v>
      </c>
      <c r="AB53" s="150">
        <v>0</v>
      </c>
      <c r="AC53" s="150">
        <v>0</v>
      </c>
      <c r="AD53" s="150">
        <v>0</v>
      </c>
      <c r="AE53" s="150">
        <v>0</v>
      </c>
      <c r="AF53" s="150">
        <v>0</v>
      </c>
      <c r="AG53" s="150">
        <v>0</v>
      </c>
      <c r="AH53" s="150">
        <v>0</v>
      </c>
      <c r="AI53" s="150">
        <v>0</v>
      </c>
      <c r="AJ53" s="150">
        <v>0</v>
      </c>
      <c r="AK53" s="150">
        <v>0</v>
      </c>
      <c r="AL53" s="150">
        <v>0</v>
      </c>
      <c r="AM53" s="150">
        <v>0</v>
      </c>
      <c r="AN53" s="150">
        <v>0</v>
      </c>
      <c r="AO53" s="150">
        <v>0</v>
      </c>
      <c r="AP53" s="150">
        <v>0</v>
      </c>
      <c r="AQ53" s="150">
        <v>0</v>
      </c>
      <c r="AR53" s="150">
        <v>0</v>
      </c>
      <c r="AS53" s="150">
        <v>0</v>
      </c>
      <c r="AT53" s="150">
        <v>0</v>
      </c>
      <c r="AU53" s="150">
        <v>0</v>
      </c>
      <c r="AV53" s="150">
        <v>0</v>
      </c>
      <c r="AW53" s="150">
        <v>0</v>
      </c>
      <c r="AX53" s="150">
        <v>0</v>
      </c>
      <c r="AY53" s="150">
        <v>0</v>
      </c>
      <c r="AZ53" s="150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45" activePane="bottomRight" state="frozen"/>
      <selection pane="topRight" activeCell="C1" sqref="C1"/>
      <selection pane="bottomLeft" activeCell="A2" sqref="A2"/>
      <selection pane="bottomRight" activeCell="I64" sqref="I64"/>
    </sheetView>
  </sheetViews>
  <sheetFormatPr baseColWidth="10" defaultColWidth="8.83203125" defaultRowHeight="13" x14ac:dyDescent="0.15"/>
  <cols>
    <col min="1" max="1" width="3.33203125" customWidth="1"/>
    <col min="2" max="2" width="26.6640625" customWidth="1"/>
    <col min="3" max="4" width="9" style="118" customWidth="1"/>
    <col min="5" max="6" width="9" style="117" customWidth="1"/>
    <col min="7" max="8" width="8.83203125" style="118"/>
  </cols>
  <sheetData>
    <row r="1" spans="1:8" ht="70" x14ac:dyDescent="0.15">
      <c r="A1" s="5" t="s">
        <v>20</v>
      </c>
      <c r="B1" s="1" t="s">
        <v>0</v>
      </c>
      <c r="C1" s="188" t="s">
        <v>241</v>
      </c>
      <c r="D1" s="188" t="s">
        <v>242</v>
      </c>
      <c r="E1" s="188" t="s">
        <v>255</v>
      </c>
      <c r="F1" s="188" t="s">
        <v>256</v>
      </c>
      <c r="G1"/>
      <c r="H1"/>
    </row>
    <row r="2" spans="1:8" x14ac:dyDescent="0.15">
      <c r="A2">
        <v>1</v>
      </c>
      <c r="B2" s="187" t="s">
        <v>192</v>
      </c>
      <c r="C2" s="118">
        <v>1</v>
      </c>
      <c r="D2" s="118">
        <v>0</v>
      </c>
      <c r="E2" s="117">
        <v>0</v>
      </c>
      <c r="F2" s="117">
        <v>1</v>
      </c>
      <c r="G2"/>
      <c r="H2"/>
    </row>
    <row r="3" spans="1:8" x14ac:dyDescent="0.15">
      <c r="A3">
        <v>2</v>
      </c>
      <c r="B3" s="187" t="s">
        <v>193</v>
      </c>
      <c r="C3" s="118">
        <v>1</v>
      </c>
      <c r="D3" s="118">
        <v>0</v>
      </c>
      <c r="E3" s="117">
        <v>0</v>
      </c>
      <c r="F3" s="117">
        <v>1</v>
      </c>
      <c r="G3"/>
      <c r="H3"/>
    </row>
    <row r="4" spans="1:8" x14ac:dyDescent="0.15">
      <c r="A4">
        <v>3</v>
      </c>
      <c r="B4" s="187" t="s">
        <v>194</v>
      </c>
      <c r="C4" s="118">
        <v>1</v>
      </c>
      <c r="D4" s="118">
        <v>0</v>
      </c>
      <c r="E4" s="117">
        <v>0</v>
      </c>
      <c r="F4" s="117">
        <v>1</v>
      </c>
      <c r="G4"/>
      <c r="H4"/>
    </row>
    <row r="5" spans="1:8" x14ac:dyDescent="0.15">
      <c r="A5">
        <v>4</v>
      </c>
      <c r="B5" s="187" t="s">
        <v>195</v>
      </c>
      <c r="C5" s="118">
        <v>1</v>
      </c>
      <c r="D5" s="118">
        <v>0</v>
      </c>
      <c r="E5" s="117">
        <v>0</v>
      </c>
      <c r="F5" s="117">
        <v>1</v>
      </c>
      <c r="G5"/>
      <c r="H5"/>
    </row>
    <row r="6" spans="1:8" x14ac:dyDescent="0.15">
      <c r="A6">
        <v>5</v>
      </c>
      <c r="B6" s="187" t="s">
        <v>196</v>
      </c>
      <c r="C6" s="118">
        <v>1</v>
      </c>
      <c r="D6" s="118">
        <v>0</v>
      </c>
      <c r="E6" s="117">
        <v>0</v>
      </c>
      <c r="F6" s="117">
        <v>1</v>
      </c>
      <c r="G6"/>
      <c r="H6"/>
    </row>
    <row r="7" spans="1:8" x14ac:dyDescent="0.15">
      <c r="A7">
        <v>6</v>
      </c>
      <c r="B7" s="187" t="s">
        <v>197</v>
      </c>
      <c r="C7" s="118">
        <v>1</v>
      </c>
      <c r="D7" s="118">
        <v>0</v>
      </c>
      <c r="E7" s="117">
        <v>0</v>
      </c>
      <c r="F7" s="117">
        <v>1</v>
      </c>
      <c r="G7"/>
      <c r="H7"/>
    </row>
    <row r="8" spans="1:8" x14ac:dyDescent="0.15">
      <c r="A8">
        <v>7</v>
      </c>
      <c r="B8" s="187" t="s">
        <v>198</v>
      </c>
      <c r="C8" s="118">
        <v>1</v>
      </c>
      <c r="D8" s="118">
        <v>0</v>
      </c>
      <c r="E8" s="117">
        <v>0</v>
      </c>
      <c r="F8" s="117">
        <v>1</v>
      </c>
      <c r="G8"/>
      <c r="H8"/>
    </row>
    <row r="9" spans="1:8" x14ac:dyDescent="0.15">
      <c r="A9">
        <v>8</v>
      </c>
      <c r="B9" s="187" t="s">
        <v>199</v>
      </c>
      <c r="C9" s="118">
        <v>1</v>
      </c>
      <c r="D9" s="118">
        <v>0</v>
      </c>
      <c r="E9" s="117">
        <v>0</v>
      </c>
      <c r="F9" s="117">
        <v>1</v>
      </c>
      <c r="G9"/>
      <c r="H9"/>
    </row>
    <row r="10" spans="1:8" x14ac:dyDescent="0.15">
      <c r="A10">
        <v>9</v>
      </c>
      <c r="B10" s="187" t="s">
        <v>200</v>
      </c>
      <c r="C10" s="118">
        <v>1</v>
      </c>
      <c r="D10" s="118">
        <v>0</v>
      </c>
      <c r="E10" s="117">
        <v>0</v>
      </c>
      <c r="F10" s="117">
        <v>1</v>
      </c>
      <c r="G10"/>
      <c r="H10"/>
    </row>
    <row r="11" spans="1:8" x14ac:dyDescent="0.15">
      <c r="A11">
        <v>10</v>
      </c>
      <c r="B11" s="187" t="s">
        <v>201</v>
      </c>
      <c r="C11" s="118">
        <v>1</v>
      </c>
      <c r="D11" s="118">
        <v>0</v>
      </c>
      <c r="E11" s="117">
        <v>0</v>
      </c>
      <c r="F11" s="117">
        <v>1</v>
      </c>
      <c r="G11"/>
      <c r="H11"/>
    </row>
    <row r="12" spans="1:8" x14ac:dyDescent="0.15">
      <c r="A12">
        <v>11</v>
      </c>
      <c r="B12" s="187" t="s">
        <v>202</v>
      </c>
      <c r="C12" s="118">
        <v>1</v>
      </c>
      <c r="D12" s="118">
        <v>0</v>
      </c>
      <c r="E12" s="117">
        <v>0</v>
      </c>
      <c r="F12" s="117">
        <v>1</v>
      </c>
      <c r="G12"/>
      <c r="H12"/>
    </row>
    <row r="13" spans="1:8" x14ac:dyDescent="0.15">
      <c r="A13">
        <v>12</v>
      </c>
      <c r="B13" s="187" t="s">
        <v>203</v>
      </c>
      <c r="C13" s="118">
        <v>1</v>
      </c>
      <c r="D13" s="118">
        <v>0</v>
      </c>
      <c r="E13" s="117">
        <v>0</v>
      </c>
      <c r="F13" s="117">
        <v>1</v>
      </c>
      <c r="G13"/>
      <c r="H13"/>
    </row>
    <row r="14" spans="1:8" x14ac:dyDescent="0.15">
      <c r="A14">
        <v>13</v>
      </c>
      <c r="B14" s="187" t="s">
        <v>204</v>
      </c>
      <c r="C14" s="118">
        <v>1</v>
      </c>
      <c r="D14" s="118">
        <v>0</v>
      </c>
      <c r="E14" s="117">
        <v>0</v>
      </c>
      <c r="F14" s="117">
        <v>1</v>
      </c>
      <c r="G14"/>
      <c r="H14"/>
    </row>
    <row r="15" spans="1:8" x14ac:dyDescent="0.15">
      <c r="A15">
        <v>14</v>
      </c>
      <c r="B15" s="187" t="s">
        <v>205</v>
      </c>
      <c r="C15" s="118">
        <v>1</v>
      </c>
      <c r="D15" s="118">
        <v>0</v>
      </c>
      <c r="E15" s="117">
        <v>0</v>
      </c>
      <c r="F15" s="117">
        <v>1</v>
      </c>
      <c r="G15"/>
      <c r="H15"/>
    </row>
    <row r="16" spans="1:8" x14ac:dyDescent="0.15">
      <c r="A16">
        <v>15</v>
      </c>
      <c r="B16" s="187" t="s">
        <v>206</v>
      </c>
      <c r="C16" s="118">
        <v>1</v>
      </c>
      <c r="D16" s="118">
        <v>0</v>
      </c>
      <c r="E16" s="117">
        <v>0</v>
      </c>
      <c r="F16" s="117">
        <v>1</v>
      </c>
      <c r="G16"/>
      <c r="H16"/>
    </row>
    <row r="17" spans="1:8" ht="15" customHeight="1" x14ac:dyDescent="0.15">
      <c r="A17">
        <v>16</v>
      </c>
      <c r="B17" s="187" t="s">
        <v>207</v>
      </c>
      <c r="C17" s="118">
        <v>1</v>
      </c>
      <c r="D17" s="118">
        <v>0</v>
      </c>
      <c r="E17" s="117">
        <v>0</v>
      </c>
      <c r="F17" s="117">
        <v>1</v>
      </c>
      <c r="G17"/>
      <c r="H17"/>
    </row>
    <row r="18" spans="1:8" ht="15" customHeight="1" x14ac:dyDescent="0.15">
      <c r="A18">
        <v>17</v>
      </c>
      <c r="B18" s="187" t="s">
        <v>208</v>
      </c>
      <c r="C18" s="118">
        <v>1</v>
      </c>
      <c r="D18" s="118">
        <v>0</v>
      </c>
      <c r="E18" s="117">
        <v>0</v>
      </c>
      <c r="F18" s="117">
        <v>1</v>
      </c>
      <c r="G18"/>
      <c r="H18"/>
    </row>
    <row r="19" spans="1:8" ht="15" customHeight="1" x14ac:dyDescent="0.15">
      <c r="A19">
        <v>18</v>
      </c>
      <c r="B19" s="187" t="s">
        <v>209</v>
      </c>
      <c r="C19" s="118">
        <v>1</v>
      </c>
      <c r="D19" s="118">
        <v>0</v>
      </c>
      <c r="E19" s="117">
        <v>0</v>
      </c>
      <c r="F19" s="117">
        <v>1</v>
      </c>
      <c r="G19"/>
      <c r="H19"/>
    </row>
    <row r="20" spans="1:8" ht="15" customHeight="1" x14ac:dyDescent="0.15">
      <c r="A20">
        <v>19</v>
      </c>
      <c r="B20" s="187" t="s">
        <v>210</v>
      </c>
      <c r="C20" s="118">
        <v>1</v>
      </c>
      <c r="D20" s="118">
        <v>0</v>
      </c>
      <c r="E20" s="117">
        <v>0</v>
      </c>
      <c r="F20" s="117">
        <v>1</v>
      </c>
      <c r="G20"/>
      <c r="H20"/>
    </row>
    <row r="21" spans="1:8" ht="15" customHeight="1" x14ac:dyDescent="0.15">
      <c r="A21">
        <v>20</v>
      </c>
      <c r="B21" s="187" t="s">
        <v>211</v>
      </c>
      <c r="C21" s="118">
        <v>1</v>
      </c>
      <c r="D21" s="118">
        <v>0</v>
      </c>
      <c r="E21" s="117">
        <v>0</v>
      </c>
      <c r="F21" s="117">
        <v>1</v>
      </c>
      <c r="G21"/>
      <c r="H21"/>
    </row>
    <row r="22" spans="1:8" ht="15" customHeight="1" x14ac:dyDescent="0.15">
      <c r="A22">
        <v>21</v>
      </c>
      <c r="B22" s="187" t="s">
        <v>212</v>
      </c>
      <c r="C22" s="118">
        <v>1</v>
      </c>
      <c r="D22" s="118">
        <v>0</v>
      </c>
      <c r="E22" s="117">
        <v>0</v>
      </c>
      <c r="F22" s="117">
        <v>1</v>
      </c>
      <c r="G22"/>
      <c r="H22"/>
    </row>
    <row r="23" spans="1:8" ht="15" customHeight="1" x14ac:dyDescent="0.15">
      <c r="A23">
        <v>22</v>
      </c>
      <c r="B23" s="187" t="s">
        <v>213</v>
      </c>
      <c r="C23" s="118">
        <v>1</v>
      </c>
      <c r="D23" s="118">
        <v>0</v>
      </c>
      <c r="E23" s="117">
        <v>0</v>
      </c>
      <c r="F23" s="117">
        <v>1</v>
      </c>
      <c r="G23"/>
      <c r="H23"/>
    </row>
    <row r="24" spans="1:8" ht="15" customHeight="1" x14ac:dyDescent="0.15">
      <c r="A24">
        <v>23</v>
      </c>
      <c r="B24" s="187" t="s">
        <v>214</v>
      </c>
      <c r="C24" s="118">
        <v>1</v>
      </c>
      <c r="D24" s="118">
        <v>0</v>
      </c>
      <c r="E24" s="117">
        <v>0</v>
      </c>
      <c r="F24" s="117">
        <v>1</v>
      </c>
      <c r="G24"/>
      <c r="H24"/>
    </row>
    <row r="25" spans="1:8" ht="15" customHeight="1" x14ac:dyDescent="0.15">
      <c r="A25">
        <v>24</v>
      </c>
      <c r="B25" s="187" t="s">
        <v>215</v>
      </c>
      <c r="C25" s="118">
        <v>1</v>
      </c>
      <c r="D25" s="118">
        <v>0</v>
      </c>
      <c r="E25" s="117">
        <v>0</v>
      </c>
      <c r="F25" s="117">
        <v>1</v>
      </c>
      <c r="G25"/>
      <c r="H25"/>
    </row>
    <row r="26" spans="1:8" ht="15" customHeight="1" x14ac:dyDescent="0.15">
      <c r="A26">
        <v>25</v>
      </c>
      <c r="B26" s="187" t="s">
        <v>216</v>
      </c>
      <c r="C26" s="118">
        <v>1</v>
      </c>
      <c r="D26" s="118">
        <v>0</v>
      </c>
      <c r="E26" s="117">
        <v>0</v>
      </c>
      <c r="F26" s="117">
        <v>1</v>
      </c>
      <c r="G26"/>
      <c r="H26"/>
    </row>
    <row r="27" spans="1:8" ht="15" customHeight="1" x14ac:dyDescent="0.15">
      <c r="A27">
        <v>26</v>
      </c>
      <c r="B27" s="187" t="s">
        <v>217</v>
      </c>
      <c r="C27" s="118">
        <v>1</v>
      </c>
      <c r="D27" s="118">
        <v>0</v>
      </c>
      <c r="E27" s="117">
        <v>0</v>
      </c>
      <c r="F27" s="117">
        <v>1</v>
      </c>
      <c r="G27"/>
      <c r="H27"/>
    </row>
    <row r="28" spans="1:8" ht="15" customHeight="1" x14ac:dyDescent="0.15">
      <c r="A28">
        <v>27</v>
      </c>
      <c r="B28" s="187" t="s">
        <v>218</v>
      </c>
      <c r="C28" s="118">
        <v>1</v>
      </c>
      <c r="D28" s="118">
        <v>0</v>
      </c>
      <c r="E28" s="117">
        <v>0</v>
      </c>
      <c r="F28" s="117">
        <v>1</v>
      </c>
      <c r="G28"/>
      <c r="H28"/>
    </row>
    <row r="29" spans="1:8" ht="15" customHeight="1" x14ac:dyDescent="0.15">
      <c r="A29">
        <v>28</v>
      </c>
      <c r="B29" s="187" t="s">
        <v>219</v>
      </c>
      <c r="C29" s="118">
        <v>1</v>
      </c>
      <c r="D29" s="118">
        <v>0</v>
      </c>
      <c r="E29" s="117">
        <v>0</v>
      </c>
      <c r="F29" s="117">
        <v>1</v>
      </c>
      <c r="G29"/>
      <c r="H29"/>
    </row>
    <row r="30" spans="1:8" ht="15" customHeight="1" x14ac:dyDescent="0.15">
      <c r="A30">
        <v>29</v>
      </c>
      <c r="B30" s="187" t="s">
        <v>220</v>
      </c>
      <c r="C30" s="118">
        <v>1</v>
      </c>
      <c r="D30" s="118">
        <v>0</v>
      </c>
      <c r="E30" s="117">
        <v>0</v>
      </c>
      <c r="F30" s="117">
        <v>1</v>
      </c>
      <c r="G30"/>
      <c r="H30"/>
    </row>
    <row r="31" spans="1:8" ht="15" customHeight="1" x14ac:dyDescent="0.15">
      <c r="A31">
        <v>30</v>
      </c>
      <c r="B31" s="187" t="s">
        <v>221</v>
      </c>
      <c r="C31" s="118">
        <v>1</v>
      </c>
      <c r="D31" s="118">
        <v>0</v>
      </c>
      <c r="E31" s="117">
        <v>0</v>
      </c>
      <c r="F31" s="117">
        <v>1</v>
      </c>
      <c r="G31"/>
      <c r="H31"/>
    </row>
    <row r="32" spans="1:8" ht="15" customHeight="1" x14ac:dyDescent="0.15">
      <c r="A32">
        <v>31</v>
      </c>
      <c r="B32" s="187" t="s">
        <v>222</v>
      </c>
      <c r="C32" s="118">
        <v>1</v>
      </c>
      <c r="D32" s="118">
        <v>0</v>
      </c>
      <c r="E32" s="117">
        <v>0</v>
      </c>
      <c r="F32" s="117">
        <v>1</v>
      </c>
    </row>
    <row r="33" spans="1:8" ht="15" customHeight="1" x14ac:dyDescent="0.15">
      <c r="A33">
        <v>32</v>
      </c>
      <c r="B33" s="187" t="s">
        <v>223</v>
      </c>
      <c r="C33" s="118">
        <v>1</v>
      </c>
      <c r="D33" s="118">
        <v>0</v>
      </c>
      <c r="E33" s="117">
        <v>0</v>
      </c>
      <c r="F33" s="117">
        <v>1</v>
      </c>
    </row>
    <row r="34" spans="1:8" ht="15" customHeight="1" x14ac:dyDescent="0.15">
      <c r="A34">
        <v>33</v>
      </c>
      <c r="B34" s="187" t="s">
        <v>224</v>
      </c>
      <c r="C34" s="118">
        <v>1</v>
      </c>
      <c r="D34" s="118">
        <v>0</v>
      </c>
      <c r="E34" s="117">
        <v>0</v>
      </c>
      <c r="F34" s="117">
        <v>1</v>
      </c>
    </row>
    <row r="35" spans="1:8" ht="15" customHeight="1" x14ac:dyDescent="0.15">
      <c r="A35">
        <v>34</v>
      </c>
      <c r="B35" s="187" t="s">
        <v>225</v>
      </c>
      <c r="C35" s="118">
        <v>1</v>
      </c>
      <c r="D35" s="118">
        <v>0</v>
      </c>
      <c r="E35" s="117">
        <v>0</v>
      </c>
      <c r="F35" s="117">
        <v>1</v>
      </c>
    </row>
    <row r="36" spans="1:8" ht="15" customHeight="1" x14ac:dyDescent="0.15">
      <c r="A36">
        <v>35</v>
      </c>
      <c r="B36" s="187" t="s">
        <v>226</v>
      </c>
      <c r="C36" s="118">
        <v>1</v>
      </c>
      <c r="D36" s="118">
        <v>0</v>
      </c>
      <c r="E36" s="118">
        <v>0</v>
      </c>
      <c r="F36" s="118">
        <v>1</v>
      </c>
      <c r="G36"/>
      <c r="H36"/>
    </row>
    <row r="37" spans="1:8" ht="15" customHeight="1" x14ac:dyDescent="0.15">
      <c r="A37">
        <v>36</v>
      </c>
      <c r="B37" s="187" t="s">
        <v>227</v>
      </c>
      <c r="C37" s="118">
        <v>1</v>
      </c>
      <c r="D37" s="118">
        <v>0</v>
      </c>
      <c r="E37" s="118">
        <v>0</v>
      </c>
      <c r="F37" s="118">
        <v>1</v>
      </c>
      <c r="G37"/>
      <c r="H37"/>
    </row>
    <row r="38" spans="1:8" ht="15" customHeight="1" x14ac:dyDescent="0.15">
      <c r="A38">
        <v>37</v>
      </c>
      <c r="B38" s="187" t="s">
        <v>228</v>
      </c>
      <c r="C38" s="118">
        <v>1</v>
      </c>
      <c r="D38" s="118">
        <v>0</v>
      </c>
      <c r="E38" s="118">
        <v>0</v>
      </c>
      <c r="F38" s="118">
        <v>1</v>
      </c>
      <c r="G38"/>
      <c r="H38"/>
    </row>
    <row r="39" spans="1:8" ht="15" customHeight="1" x14ac:dyDescent="0.15">
      <c r="A39">
        <v>38</v>
      </c>
      <c r="B39" s="187" t="s">
        <v>229</v>
      </c>
      <c r="C39" s="118">
        <v>1</v>
      </c>
      <c r="D39" s="118">
        <v>0</v>
      </c>
      <c r="E39" s="118">
        <v>0</v>
      </c>
      <c r="F39" s="118">
        <v>1</v>
      </c>
      <c r="G39"/>
      <c r="H39"/>
    </row>
    <row r="40" spans="1:8" ht="15" customHeight="1" x14ac:dyDescent="0.15">
      <c r="A40">
        <v>39</v>
      </c>
      <c r="B40" s="187" t="s">
        <v>230</v>
      </c>
      <c r="C40" s="118">
        <v>1</v>
      </c>
      <c r="D40" s="118">
        <v>0</v>
      </c>
      <c r="E40" s="118">
        <v>0</v>
      </c>
      <c r="F40" s="118">
        <v>1</v>
      </c>
      <c r="G40"/>
      <c r="H40"/>
    </row>
    <row r="41" spans="1:8" ht="15" customHeight="1" x14ac:dyDescent="0.15">
      <c r="A41">
        <v>40</v>
      </c>
      <c r="B41" s="187" t="s">
        <v>231</v>
      </c>
      <c r="C41" s="118">
        <v>1</v>
      </c>
      <c r="D41" s="118">
        <v>0</v>
      </c>
      <c r="E41" s="118">
        <v>0</v>
      </c>
      <c r="F41" s="118">
        <v>1</v>
      </c>
      <c r="G41"/>
      <c r="H41"/>
    </row>
    <row r="42" spans="1:8" ht="15" customHeight="1" x14ac:dyDescent="0.15">
      <c r="A42">
        <v>41</v>
      </c>
      <c r="B42" s="187" t="s">
        <v>232</v>
      </c>
      <c r="C42" s="118">
        <v>1</v>
      </c>
      <c r="D42" s="118">
        <v>0</v>
      </c>
      <c r="E42" s="118">
        <v>0</v>
      </c>
      <c r="F42" s="118">
        <v>1</v>
      </c>
      <c r="G42"/>
      <c r="H42"/>
    </row>
    <row r="43" spans="1:8" ht="15" customHeight="1" x14ac:dyDescent="0.15">
      <c r="A43">
        <v>42</v>
      </c>
      <c r="B43" s="187" t="s">
        <v>233</v>
      </c>
      <c r="C43" s="118">
        <v>1</v>
      </c>
      <c r="D43" s="118">
        <v>0</v>
      </c>
      <c r="E43" s="118">
        <v>0</v>
      </c>
      <c r="F43" s="118">
        <v>1</v>
      </c>
      <c r="G43"/>
      <c r="H43"/>
    </row>
    <row r="44" spans="1:8" ht="15" customHeight="1" x14ac:dyDescent="0.15">
      <c r="A44">
        <v>43</v>
      </c>
      <c r="B44" s="187" t="s">
        <v>234</v>
      </c>
      <c r="C44" s="118">
        <v>1</v>
      </c>
      <c r="D44" s="118">
        <v>0</v>
      </c>
      <c r="E44" s="117">
        <v>0</v>
      </c>
      <c r="F44" s="117">
        <v>1</v>
      </c>
      <c r="G44"/>
      <c r="H44"/>
    </row>
    <row r="45" spans="1:8" ht="15" customHeight="1" x14ac:dyDescent="0.15">
      <c r="A45">
        <v>44</v>
      </c>
      <c r="B45" s="187" t="s">
        <v>235</v>
      </c>
      <c r="C45" s="118">
        <v>1</v>
      </c>
      <c r="D45" s="118">
        <v>0</v>
      </c>
      <c r="E45" s="117">
        <v>0</v>
      </c>
      <c r="F45" s="117">
        <v>1</v>
      </c>
      <c r="G45"/>
      <c r="H45"/>
    </row>
    <row r="46" spans="1:8" ht="15" customHeight="1" x14ac:dyDescent="0.15">
      <c r="A46">
        <v>45</v>
      </c>
      <c r="B46" s="187" t="s">
        <v>236</v>
      </c>
      <c r="C46" s="118">
        <v>1</v>
      </c>
      <c r="D46" s="118">
        <v>0</v>
      </c>
      <c r="E46" s="118">
        <v>0</v>
      </c>
      <c r="F46" s="118">
        <v>1</v>
      </c>
      <c r="G46"/>
      <c r="H46"/>
    </row>
    <row r="47" spans="1:8" ht="15" customHeight="1" x14ac:dyDescent="0.15">
      <c r="A47">
        <v>46</v>
      </c>
      <c r="B47" s="187" t="s">
        <v>237</v>
      </c>
      <c r="C47" s="118">
        <v>1</v>
      </c>
      <c r="D47" s="118">
        <v>0</v>
      </c>
      <c r="E47" s="117">
        <v>0</v>
      </c>
      <c r="F47" s="117">
        <v>1</v>
      </c>
      <c r="G47"/>
      <c r="H47"/>
    </row>
    <row r="48" spans="1:8" ht="15" customHeight="1" x14ac:dyDescent="0.15">
      <c r="A48">
        <v>47</v>
      </c>
      <c r="B48" s="187" t="s">
        <v>238</v>
      </c>
      <c r="C48" s="118">
        <v>1</v>
      </c>
      <c r="D48" s="118">
        <v>0</v>
      </c>
      <c r="E48" s="117">
        <v>0</v>
      </c>
      <c r="F48" s="117">
        <v>1</v>
      </c>
      <c r="G48"/>
      <c r="H48"/>
    </row>
    <row r="49" spans="1:8" ht="15" customHeight="1" x14ac:dyDescent="0.15">
      <c r="A49">
        <v>48</v>
      </c>
      <c r="B49" s="187" t="s">
        <v>239</v>
      </c>
      <c r="C49" s="118">
        <v>1</v>
      </c>
      <c r="D49" s="118">
        <v>0</v>
      </c>
      <c r="E49" s="117">
        <v>0</v>
      </c>
      <c r="F49" s="117">
        <v>1</v>
      </c>
      <c r="G49"/>
      <c r="H49"/>
    </row>
    <row r="50" spans="1:8" ht="15" customHeight="1" x14ac:dyDescent="0.15">
      <c r="A50">
        <v>49</v>
      </c>
      <c r="B50" s="187" t="s">
        <v>240</v>
      </c>
      <c r="C50" s="118">
        <v>1</v>
      </c>
      <c r="D50" s="118">
        <v>0</v>
      </c>
      <c r="E50" s="117">
        <v>0</v>
      </c>
      <c r="F50" s="117">
        <v>1</v>
      </c>
      <c r="G50"/>
      <c r="H50"/>
    </row>
    <row r="51" spans="1:8" ht="15" customHeight="1" x14ac:dyDescent="0.15">
      <c r="A51">
        <v>50</v>
      </c>
      <c r="B51" s="187" t="s">
        <v>241</v>
      </c>
      <c r="C51" s="118">
        <v>0</v>
      </c>
      <c r="D51" s="118">
        <v>1</v>
      </c>
      <c r="E51" s="117">
        <v>0</v>
      </c>
      <c r="F51" s="117">
        <v>1</v>
      </c>
      <c r="G51"/>
      <c r="H51"/>
    </row>
    <row r="52" spans="1:8" ht="15" customHeight="1" x14ac:dyDescent="0.15">
      <c r="A52">
        <v>51</v>
      </c>
      <c r="B52" s="187" t="s">
        <v>242</v>
      </c>
      <c r="C52" s="118">
        <v>0</v>
      </c>
      <c r="D52" s="118">
        <v>0</v>
      </c>
      <c r="E52" s="117">
        <v>1</v>
      </c>
      <c r="F52" s="117">
        <v>1</v>
      </c>
      <c r="G52"/>
      <c r="H52"/>
    </row>
    <row r="53" spans="1:8" ht="15" customHeight="1" x14ac:dyDescent="0.15">
      <c r="A53">
        <v>52</v>
      </c>
      <c r="B53" s="187" t="s">
        <v>243</v>
      </c>
      <c r="C53" s="118">
        <v>0</v>
      </c>
      <c r="D53" s="118">
        <v>1</v>
      </c>
      <c r="E53" s="117">
        <v>0</v>
      </c>
      <c r="F53" s="117">
        <v>1</v>
      </c>
      <c r="G53"/>
      <c r="H53"/>
    </row>
    <row r="54" spans="1:8" ht="15" customHeight="1" x14ac:dyDescent="0.15">
      <c r="A54">
        <v>53</v>
      </c>
      <c r="B54" s="187" t="s">
        <v>244</v>
      </c>
      <c r="C54" s="118">
        <v>0</v>
      </c>
      <c r="D54" s="118">
        <v>1</v>
      </c>
      <c r="E54" s="117">
        <v>0</v>
      </c>
      <c r="F54" s="117">
        <v>1</v>
      </c>
      <c r="G54"/>
      <c r="H54"/>
    </row>
    <row r="55" spans="1:8" ht="15" customHeight="1" x14ac:dyDescent="0.15">
      <c r="A55">
        <v>54</v>
      </c>
      <c r="B55" s="187" t="s">
        <v>245</v>
      </c>
      <c r="C55" s="118">
        <v>0</v>
      </c>
      <c r="D55" s="118">
        <v>1</v>
      </c>
      <c r="E55" s="117">
        <v>0</v>
      </c>
      <c r="F55" s="117">
        <v>1</v>
      </c>
      <c r="G55"/>
      <c r="H55"/>
    </row>
    <row r="56" spans="1:8" ht="15" customHeight="1" x14ac:dyDescent="0.15">
      <c r="A56">
        <v>55</v>
      </c>
      <c r="B56" s="187" t="s">
        <v>246</v>
      </c>
      <c r="C56" s="118">
        <v>0</v>
      </c>
      <c r="D56" s="118">
        <v>1</v>
      </c>
      <c r="E56" s="117">
        <v>0</v>
      </c>
      <c r="F56" s="117">
        <v>1</v>
      </c>
      <c r="G56"/>
      <c r="H56"/>
    </row>
    <row r="57" spans="1:8" ht="15" customHeight="1" x14ac:dyDescent="0.15">
      <c r="A57">
        <v>56</v>
      </c>
      <c r="B57" s="187" t="s">
        <v>247</v>
      </c>
      <c r="C57" s="118">
        <v>0</v>
      </c>
      <c r="D57" s="118">
        <v>1</v>
      </c>
      <c r="E57" s="117">
        <v>0</v>
      </c>
      <c r="F57" s="117">
        <v>1</v>
      </c>
      <c r="G57"/>
      <c r="H57"/>
    </row>
    <row r="58" spans="1:8" ht="15" customHeight="1" x14ac:dyDescent="0.15">
      <c r="A58">
        <v>57</v>
      </c>
      <c r="B58" s="187" t="s">
        <v>248</v>
      </c>
      <c r="C58" s="118">
        <v>0</v>
      </c>
      <c r="D58" s="118">
        <v>1</v>
      </c>
      <c r="E58" s="117">
        <v>0</v>
      </c>
      <c r="F58" s="117">
        <v>1</v>
      </c>
      <c r="G58"/>
      <c r="H58"/>
    </row>
    <row r="59" spans="1:8" ht="15" customHeight="1" x14ac:dyDescent="0.15">
      <c r="A59">
        <v>58</v>
      </c>
      <c r="B59" s="187" t="s">
        <v>249</v>
      </c>
      <c r="C59" s="118">
        <v>0</v>
      </c>
      <c r="D59" s="118">
        <v>1</v>
      </c>
      <c r="E59" s="117">
        <v>0</v>
      </c>
      <c r="F59" s="117">
        <v>1</v>
      </c>
      <c r="G59"/>
      <c r="H59"/>
    </row>
    <row r="60" spans="1:8" ht="15" customHeight="1" x14ac:dyDescent="0.15">
      <c r="A60">
        <v>59</v>
      </c>
      <c r="B60" s="187" t="s">
        <v>250</v>
      </c>
      <c r="C60" s="118">
        <v>0</v>
      </c>
      <c r="D60" s="118">
        <v>1</v>
      </c>
      <c r="E60" s="117">
        <v>0</v>
      </c>
      <c r="F60" s="117">
        <v>1</v>
      </c>
      <c r="G60"/>
      <c r="H60"/>
    </row>
    <row r="61" spans="1:8" ht="15" customHeight="1" x14ac:dyDescent="0.15">
      <c r="A61">
        <v>60</v>
      </c>
      <c r="B61" s="187" t="s">
        <v>251</v>
      </c>
      <c r="C61" s="118">
        <v>0</v>
      </c>
      <c r="D61" s="118">
        <v>1</v>
      </c>
      <c r="E61" s="117">
        <v>0</v>
      </c>
      <c r="F61" s="117">
        <v>1</v>
      </c>
      <c r="G61"/>
      <c r="H61"/>
    </row>
    <row r="62" spans="1:8" ht="15" customHeight="1" x14ac:dyDescent="0.15">
      <c r="A62">
        <v>61</v>
      </c>
      <c r="B62" s="187" t="s">
        <v>252</v>
      </c>
      <c r="C62" s="118">
        <v>0</v>
      </c>
      <c r="D62" s="118">
        <v>1</v>
      </c>
      <c r="E62" s="117">
        <v>0</v>
      </c>
      <c r="F62" s="117">
        <v>1</v>
      </c>
      <c r="G62"/>
      <c r="H62"/>
    </row>
    <row r="63" spans="1:8" ht="15" customHeight="1" x14ac:dyDescent="0.15">
      <c r="A63">
        <v>62</v>
      </c>
      <c r="B63" s="187" t="s">
        <v>253</v>
      </c>
      <c r="C63" s="118">
        <v>0</v>
      </c>
      <c r="D63" s="118">
        <v>1</v>
      </c>
      <c r="E63" s="117">
        <v>0</v>
      </c>
      <c r="F63" s="117">
        <v>1</v>
      </c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N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6640625" bestFit="1" customWidth="1"/>
    <col min="3" max="5" width="8.83203125" bestFit="1" customWidth="1"/>
    <col min="6" max="11" width="8.83203125" customWidth="1"/>
    <col min="12" max="12" width="2.33203125" customWidth="1"/>
    <col min="13" max="14" width="8.83203125" customWidth="1"/>
  </cols>
  <sheetData>
    <row r="1" spans="1:14" s="119" customFormat="1" ht="112" x14ac:dyDescent="0.15">
      <c r="A1" s="5" t="s">
        <v>21</v>
      </c>
      <c r="B1" s="3" t="s">
        <v>0</v>
      </c>
      <c r="C1" s="190" t="s">
        <v>243</v>
      </c>
      <c r="D1" s="190" t="s">
        <v>244</v>
      </c>
      <c r="E1" s="190" t="s">
        <v>245</v>
      </c>
      <c r="F1" s="190" t="s">
        <v>246</v>
      </c>
      <c r="G1" s="190" t="s">
        <v>247</v>
      </c>
      <c r="H1" s="190" t="s">
        <v>248</v>
      </c>
      <c r="I1" s="190" t="s">
        <v>249</v>
      </c>
      <c r="J1" s="190" t="s">
        <v>250</v>
      </c>
      <c r="K1" s="190" t="s">
        <v>251</v>
      </c>
      <c r="L1" s="190" t="s">
        <v>252</v>
      </c>
      <c r="M1" s="190" t="s">
        <v>253</v>
      </c>
      <c r="N1" s="190" t="s">
        <v>257</v>
      </c>
    </row>
    <row r="2" spans="1:14" ht="15" customHeight="1" x14ac:dyDescent="0.15">
      <c r="A2">
        <v>1</v>
      </c>
      <c r="B2" s="18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ht="15" customHeight="1" x14ac:dyDescent="0.15">
      <c r="A3">
        <v>2</v>
      </c>
      <c r="B3" s="18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ht="15" customHeight="1" x14ac:dyDescent="0.15">
      <c r="A4">
        <v>3</v>
      </c>
      <c r="B4" s="18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ht="15" customHeight="1" x14ac:dyDescent="0.15">
      <c r="A5">
        <v>4</v>
      </c>
      <c r="B5" s="189" t="s">
        <v>195</v>
      </c>
      <c r="C5">
        <v>8.9999999999999998E-4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8.9999999999999998E-4</v>
      </c>
    </row>
    <row r="6" spans="1:14" ht="15" customHeight="1" x14ac:dyDescent="0.15">
      <c r="A6">
        <v>5</v>
      </c>
      <c r="B6" s="189" t="s">
        <v>196</v>
      </c>
      <c r="C6">
        <v>1.7899999999999999E-4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1.7899999999999999E-4</v>
      </c>
    </row>
    <row r="7" spans="1:14" ht="15" customHeight="1" x14ac:dyDescent="0.15">
      <c r="A7">
        <v>6</v>
      </c>
      <c r="B7" s="189" t="s">
        <v>197</v>
      </c>
      <c r="C7">
        <v>1.4E-5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1.4E-5</v>
      </c>
    </row>
    <row r="8" spans="1:14" ht="15" customHeight="1" x14ac:dyDescent="0.15">
      <c r="A8">
        <v>7</v>
      </c>
      <c r="B8" s="189" t="s">
        <v>198</v>
      </c>
      <c r="C8">
        <v>8.0999999999999996E-4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8.0999999999999996E-4</v>
      </c>
    </row>
    <row r="9" spans="1:14" ht="15" customHeight="1" x14ac:dyDescent="0.15">
      <c r="A9">
        <v>8</v>
      </c>
      <c r="B9" s="189" t="s">
        <v>199</v>
      </c>
      <c r="C9">
        <v>1.76E-4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1.76E-4</v>
      </c>
    </row>
    <row r="10" spans="1:14" ht="15" customHeight="1" x14ac:dyDescent="0.15">
      <c r="A10">
        <v>9</v>
      </c>
      <c r="B10" s="189" t="s">
        <v>200</v>
      </c>
      <c r="C10">
        <v>0</v>
      </c>
      <c r="D10">
        <v>0.41062799999999999</v>
      </c>
      <c r="E10">
        <v>7.3300000000000004E-4</v>
      </c>
      <c r="F10">
        <v>5.8500000000000002E-4</v>
      </c>
      <c r="G10">
        <v>0</v>
      </c>
      <c r="H10">
        <v>5.8661999999999999E-2</v>
      </c>
      <c r="I10">
        <v>3.8886999999999998E-2</v>
      </c>
      <c r="J10">
        <v>6.5688999999999997E-2</v>
      </c>
      <c r="K10">
        <v>0</v>
      </c>
      <c r="L10">
        <v>0</v>
      </c>
      <c r="M10">
        <v>8.7170000000000008E-3</v>
      </c>
      <c r="N10">
        <v>0.58390099999999989</v>
      </c>
    </row>
    <row r="11" spans="1:14" ht="15" customHeight="1" x14ac:dyDescent="0.15">
      <c r="A11">
        <v>10</v>
      </c>
      <c r="B11" s="189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ht="15" customHeight="1" x14ac:dyDescent="0.15">
      <c r="A12">
        <v>11</v>
      </c>
      <c r="B12" s="189" t="s">
        <v>202</v>
      </c>
      <c r="C12">
        <v>0</v>
      </c>
      <c r="D12">
        <v>9.5588999999999993E-2</v>
      </c>
      <c r="E12">
        <v>8.6000000000000003E-5</v>
      </c>
      <c r="F12">
        <v>1.12E-4</v>
      </c>
      <c r="G12">
        <v>0</v>
      </c>
      <c r="H12">
        <v>5.8700000000000002E-3</v>
      </c>
      <c r="I12">
        <v>2.7599999999999999E-4</v>
      </c>
      <c r="J12">
        <v>1.47E-4</v>
      </c>
      <c r="K12">
        <v>1.9999999999999999E-6</v>
      </c>
      <c r="L12">
        <v>0</v>
      </c>
      <c r="M12">
        <v>6.9999999999999999E-6</v>
      </c>
      <c r="N12">
        <v>0.10208899999999999</v>
      </c>
    </row>
    <row r="13" spans="1:14" ht="15" customHeight="1" x14ac:dyDescent="0.15">
      <c r="A13">
        <v>12</v>
      </c>
      <c r="B13" s="189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ht="15" customHeight="1" x14ac:dyDescent="0.15">
      <c r="A14">
        <v>13</v>
      </c>
      <c r="B14" s="189" t="s">
        <v>204</v>
      </c>
      <c r="C14">
        <v>0</v>
      </c>
      <c r="D14">
        <v>1.6563999999999999E-2</v>
      </c>
      <c r="E14">
        <v>1.2999999999999999E-5</v>
      </c>
      <c r="F14">
        <v>0</v>
      </c>
      <c r="G14">
        <v>0</v>
      </c>
      <c r="H14">
        <v>1.8408999999999998E-2</v>
      </c>
      <c r="I14">
        <v>5.7000000000000003E-5</v>
      </c>
      <c r="J14">
        <v>4.0000000000000003E-5</v>
      </c>
      <c r="K14">
        <v>0</v>
      </c>
      <c r="L14">
        <v>0</v>
      </c>
      <c r="M14">
        <v>9.9999999999999995E-7</v>
      </c>
      <c r="N14">
        <v>3.5083999999999997E-2</v>
      </c>
    </row>
    <row r="15" spans="1:14" ht="15" customHeight="1" x14ac:dyDescent="0.15">
      <c r="A15">
        <v>14</v>
      </c>
      <c r="B15" s="18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ht="15" customHeight="1" x14ac:dyDescent="0.15">
      <c r="A16">
        <v>15</v>
      </c>
      <c r="B16" s="189" t="s">
        <v>206</v>
      </c>
      <c r="C16">
        <v>0</v>
      </c>
      <c r="D16">
        <v>5.0620999999999999E-2</v>
      </c>
      <c r="E16">
        <v>1.2E-5</v>
      </c>
      <c r="F16">
        <v>1.54E-4</v>
      </c>
      <c r="G16">
        <v>0</v>
      </c>
      <c r="H16">
        <v>0</v>
      </c>
      <c r="I16">
        <v>2.1999999999999999E-5</v>
      </c>
      <c r="J16">
        <v>0</v>
      </c>
      <c r="K16">
        <v>0</v>
      </c>
      <c r="L16">
        <v>0</v>
      </c>
      <c r="M16">
        <v>1.9999999999999999E-6</v>
      </c>
      <c r="N16">
        <v>5.0811000000000002E-2</v>
      </c>
    </row>
    <row r="17" spans="1:14" ht="15" customHeight="1" x14ac:dyDescent="0.15">
      <c r="A17">
        <v>16</v>
      </c>
      <c r="B17" s="189" t="s">
        <v>207</v>
      </c>
      <c r="C17">
        <v>0</v>
      </c>
      <c r="D17">
        <v>2.3614E-2</v>
      </c>
      <c r="E17">
        <v>2.34E-4</v>
      </c>
      <c r="F17">
        <v>1.7E-5</v>
      </c>
      <c r="G17">
        <v>0</v>
      </c>
      <c r="H17">
        <v>9.6699999999999998E-4</v>
      </c>
      <c r="I17">
        <v>6.0000000000000002E-6</v>
      </c>
      <c r="J17">
        <v>1.9999999999999999E-6</v>
      </c>
      <c r="K17">
        <v>0</v>
      </c>
      <c r="L17">
        <v>0</v>
      </c>
      <c r="M17">
        <v>1.9999999999999999E-6</v>
      </c>
      <c r="N17">
        <v>2.4841999999999996E-2</v>
      </c>
    </row>
    <row r="18" spans="1:14" ht="15" customHeight="1" x14ac:dyDescent="0.15">
      <c r="A18">
        <v>17</v>
      </c>
      <c r="B18" s="189" t="s">
        <v>208</v>
      </c>
      <c r="C18">
        <v>0</v>
      </c>
      <c r="D18">
        <v>2.0900000000000001E-4</v>
      </c>
      <c r="E18">
        <v>0</v>
      </c>
      <c r="F18">
        <v>0</v>
      </c>
      <c r="G18">
        <v>0</v>
      </c>
      <c r="H18">
        <v>2.2959999999999999E-3</v>
      </c>
      <c r="I18">
        <v>4.1999999999999998E-5</v>
      </c>
      <c r="J18">
        <v>7.8999999999999996E-5</v>
      </c>
      <c r="K18">
        <v>0</v>
      </c>
      <c r="L18">
        <v>0</v>
      </c>
      <c r="M18">
        <v>0</v>
      </c>
      <c r="N18">
        <v>2.6259999999999999E-3</v>
      </c>
    </row>
    <row r="19" spans="1:14" ht="15" customHeight="1" x14ac:dyDescent="0.15">
      <c r="A19">
        <v>18</v>
      </c>
      <c r="B19" s="189" t="s">
        <v>209</v>
      </c>
      <c r="C19">
        <v>0</v>
      </c>
      <c r="D19">
        <v>3.4065999999999999E-2</v>
      </c>
      <c r="E19">
        <v>2.6610000000000002E-3</v>
      </c>
      <c r="F19">
        <v>0</v>
      </c>
      <c r="G19">
        <v>0</v>
      </c>
      <c r="H19">
        <v>3.0299999999999999E-4</v>
      </c>
      <c r="I19">
        <v>2.8E-5</v>
      </c>
      <c r="J19">
        <v>3.9999999999999998E-6</v>
      </c>
      <c r="K19">
        <v>0</v>
      </c>
      <c r="L19">
        <v>0</v>
      </c>
      <c r="M19">
        <v>0</v>
      </c>
      <c r="N19">
        <v>3.7061999999999991E-2</v>
      </c>
    </row>
    <row r="20" spans="1:14" ht="15" customHeight="1" x14ac:dyDescent="0.15">
      <c r="A20">
        <v>19</v>
      </c>
      <c r="B20" s="189" t="s">
        <v>210</v>
      </c>
      <c r="C20">
        <v>0</v>
      </c>
      <c r="D20">
        <v>1.3300000000000001E-4</v>
      </c>
      <c r="E20">
        <v>1.17E-4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2.5000000000000001E-4</v>
      </c>
    </row>
    <row r="21" spans="1:14" ht="15" customHeight="1" x14ac:dyDescent="0.15">
      <c r="A21">
        <v>20</v>
      </c>
      <c r="B21" s="189" t="s">
        <v>211</v>
      </c>
      <c r="C21">
        <v>0</v>
      </c>
      <c r="D21">
        <v>0.139242</v>
      </c>
      <c r="E21">
        <v>3.5547000000000002E-2</v>
      </c>
      <c r="F21">
        <v>0</v>
      </c>
      <c r="G21">
        <v>0</v>
      </c>
      <c r="H21">
        <v>4.7600000000000002E-4</v>
      </c>
      <c r="I21">
        <v>9.9999999999999995E-7</v>
      </c>
      <c r="J21">
        <v>9.9999999999999995E-7</v>
      </c>
      <c r="K21">
        <v>0</v>
      </c>
      <c r="L21">
        <v>0</v>
      </c>
      <c r="M21">
        <v>9.9999999999999995E-7</v>
      </c>
      <c r="N21">
        <v>0.17526800000000001</v>
      </c>
    </row>
    <row r="22" spans="1:14" ht="15" customHeight="1" x14ac:dyDescent="0.15">
      <c r="A22">
        <v>21</v>
      </c>
      <c r="B22" s="189" t="s">
        <v>212</v>
      </c>
      <c r="C22">
        <v>0</v>
      </c>
      <c r="D22">
        <v>0</v>
      </c>
      <c r="E22">
        <v>4.0000000000000003E-5</v>
      </c>
      <c r="F22">
        <v>0</v>
      </c>
      <c r="G22">
        <v>1.5886000000000001E-2</v>
      </c>
      <c r="H22">
        <v>1.3849999999999999E-3</v>
      </c>
      <c r="I22">
        <v>6.9999999999999999E-6</v>
      </c>
      <c r="J22">
        <v>6.3599999999999996E-4</v>
      </c>
      <c r="K22">
        <v>0</v>
      </c>
      <c r="L22">
        <v>0</v>
      </c>
      <c r="M22">
        <v>3.3199999999999999E-4</v>
      </c>
      <c r="N22">
        <v>1.8286E-2</v>
      </c>
    </row>
    <row r="23" spans="1:14" ht="15" customHeight="1" x14ac:dyDescent="0.15">
      <c r="A23">
        <v>22</v>
      </c>
      <c r="B23" s="189" t="s">
        <v>213</v>
      </c>
      <c r="C23">
        <v>0</v>
      </c>
      <c r="D23">
        <v>1.0186000000000001E-2</v>
      </c>
      <c r="E23">
        <v>3.4699999999999998E-4</v>
      </c>
      <c r="F23">
        <v>5.0000000000000002E-5</v>
      </c>
      <c r="G23">
        <v>0</v>
      </c>
      <c r="H23">
        <v>2.0300000000000001E-3</v>
      </c>
      <c r="I23">
        <v>5.3899999999999998E-3</v>
      </c>
      <c r="J23">
        <v>3.9999999999999998E-6</v>
      </c>
      <c r="K23">
        <v>0</v>
      </c>
      <c r="L23">
        <v>0</v>
      </c>
      <c r="M23">
        <v>9.0000000000000002E-6</v>
      </c>
      <c r="N23">
        <v>1.8016000000000001E-2</v>
      </c>
    </row>
    <row r="24" spans="1:14" ht="15" customHeight="1" x14ac:dyDescent="0.15">
      <c r="A24">
        <v>23</v>
      </c>
      <c r="B24" s="189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ht="15" customHeight="1" x14ac:dyDescent="0.15">
      <c r="A25">
        <v>24</v>
      </c>
      <c r="B25" s="189" t="s">
        <v>215</v>
      </c>
      <c r="C25">
        <v>0</v>
      </c>
      <c r="D25">
        <v>2.4996999999999998E-2</v>
      </c>
      <c r="E25">
        <v>3.4E-5</v>
      </c>
      <c r="F25">
        <v>4.3999999999999999E-5</v>
      </c>
      <c r="G25">
        <v>0</v>
      </c>
      <c r="H25">
        <v>4.0200000000000001E-4</v>
      </c>
      <c r="I25">
        <v>1.18E-4</v>
      </c>
      <c r="J25">
        <v>2.8E-5</v>
      </c>
      <c r="K25">
        <v>0</v>
      </c>
      <c r="L25">
        <v>0</v>
      </c>
      <c r="M25">
        <v>3.9999999999999998E-6</v>
      </c>
      <c r="N25">
        <v>2.5626999999999997E-2</v>
      </c>
    </row>
    <row r="26" spans="1:14" ht="15" customHeight="1" x14ac:dyDescent="0.15">
      <c r="A26">
        <v>25</v>
      </c>
      <c r="B26" s="18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ht="15" customHeight="1" x14ac:dyDescent="0.15">
      <c r="A27">
        <v>26</v>
      </c>
      <c r="B27" s="18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ht="15" customHeight="1" x14ac:dyDescent="0.15">
      <c r="A28">
        <v>27</v>
      </c>
      <c r="B28" s="189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ht="15" customHeight="1" x14ac:dyDescent="0.15">
      <c r="A29">
        <v>28</v>
      </c>
      <c r="B29" s="189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5.0000000000000004E-6</v>
      </c>
      <c r="I29">
        <v>1.2999999999999999E-5</v>
      </c>
      <c r="J29">
        <v>1.9999999999999999E-6</v>
      </c>
      <c r="K29">
        <v>0</v>
      </c>
      <c r="L29">
        <v>0</v>
      </c>
      <c r="M29">
        <v>0</v>
      </c>
      <c r="N29">
        <v>2.0000000000000002E-5</v>
      </c>
    </row>
    <row r="30" spans="1:14" ht="15" customHeight="1" x14ac:dyDescent="0.15">
      <c r="A30">
        <v>29</v>
      </c>
      <c r="B30" s="189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1.797E-3</v>
      </c>
      <c r="I30">
        <v>1.9000000000000001E-5</v>
      </c>
      <c r="J30">
        <v>4.0000000000000003E-5</v>
      </c>
      <c r="K30">
        <v>0</v>
      </c>
      <c r="L30">
        <v>0</v>
      </c>
      <c r="M30">
        <v>1.6919999999999999E-3</v>
      </c>
      <c r="N30">
        <v>3.5479999999999999E-3</v>
      </c>
    </row>
    <row r="31" spans="1:14" ht="15" customHeight="1" x14ac:dyDescent="0.15">
      <c r="A31">
        <v>30</v>
      </c>
      <c r="B31" s="189" t="s">
        <v>221</v>
      </c>
      <c r="C31">
        <v>0</v>
      </c>
      <c r="D31">
        <v>3.1000000000000001E-5</v>
      </c>
      <c r="E31">
        <v>5.6515999999999997E-2</v>
      </c>
      <c r="F31">
        <v>0</v>
      </c>
      <c r="G31">
        <v>2.3674000000000001E-2</v>
      </c>
      <c r="H31">
        <v>1.0000000000000001E-5</v>
      </c>
      <c r="I31">
        <v>0</v>
      </c>
      <c r="J31">
        <v>4.5753000000000002E-2</v>
      </c>
      <c r="K31">
        <v>0</v>
      </c>
      <c r="L31">
        <v>0</v>
      </c>
      <c r="M31">
        <v>0</v>
      </c>
      <c r="N31">
        <v>0.12598399999999998</v>
      </c>
    </row>
    <row r="32" spans="1:14" ht="15" customHeight="1" x14ac:dyDescent="0.15">
      <c r="A32">
        <v>31</v>
      </c>
      <c r="B32" s="189" t="s">
        <v>222</v>
      </c>
      <c r="C32">
        <v>0</v>
      </c>
      <c r="D32">
        <v>8.2999999999999998E-5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8.2999999999999998E-5</v>
      </c>
    </row>
    <row r="33" spans="1:14" ht="15" customHeight="1" x14ac:dyDescent="0.15">
      <c r="A33">
        <v>32</v>
      </c>
      <c r="B33" s="18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ht="15" customHeight="1" x14ac:dyDescent="0.15">
      <c r="A34">
        <v>33</v>
      </c>
      <c r="B34" s="189" t="s">
        <v>224</v>
      </c>
      <c r="C34">
        <v>0</v>
      </c>
      <c r="D34">
        <v>1.2E-5</v>
      </c>
      <c r="E34">
        <v>0</v>
      </c>
      <c r="F34">
        <v>0</v>
      </c>
      <c r="G34">
        <v>1.2677000000000001E-2</v>
      </c>
      <c r="H34">
        <v>4.934E-3</v>
      </c>
      <c r="I34">
        <v>1.9999999999999999E-6</v>
      </c>
      <c r="J34">
        <v>5.5699999999999999E-4</v>
      </c>
      <c r="K34">
        <v>0</v>
      </c>
      <c r="L34">
        <v>0</v>
      </c>
      <c r="M34">
        <v>0</v>
      </c>
      <c r="N34">
        <v>1.8181999999999997E-2</v>
      </c>
    </row>
    <row r="35" spans="1:14" ht="15" customHeight="1" x14ac:dyDescent="0.15">
      <c r="A35">
        <v>34</v>
      </c>
      <c r="B35" s="18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7.0799999999999997E-4</v>
      </c>
      <c r="J35">
        <v>0</v>
      </c>
      <c r="K35">
        <v>0</v>
      </c>
      <c r="L35">
        <v>0</v>
      </c>
      <c r="M35">
        <v>6.9999999999999999E-6</v>
      </c>
      <c r="N35">
        <v>7.1499999999999992E-4</v>
      </c>
    </row>
    <row r="36" spans="1:14" ht="15" customHeight="1" x14ac:dyDescent="0.15">
      <c r="A36">
        <v>35</v>
      </c>
      <c r="B36" s="189" t="s">
        <v>226</v>
      </c>
      <c r="C36">
        <v>0</v>
      </c>
      <c r="D36">
        <v>2.5000000000000001E-5</v>
      </c>
      <c r="E36">
        <v>5.8999999999999998E-5</v>
      </c>
      <c r="F36">
        <v>0</v>
      </c>
      <c r="G36">
        <v>0</v>
      </c>
      <c r="H36">
        <v>1.8E-5</v>
      </c>
      <c r="I36">
        <v>1.4E-5</v>
      </c>
      <c r="J36">
        <v>3.0000000000000001E-6</v>
      </c>
      <c r="K36">
        <v>0</v>
      </c>
      <c r="L36">
        <v>0</v>
      </c>
      <c r="M36">
        <v>1.5560000000000001E-3</v>
      </c>
      <c r="N36">
        <v>1.6750000000000001E-3</v>
      </c>
    </row>
    <row r="37" spans="1:14" ht="15" customHeight="1" x14ac:dyDescent="0.15">
      <c r="A37">
        <v>36</v>
      </c>
      <c r="B37" s="18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ht="15" customHeight="1" x14ac:dyDescent="0.15">
      <c r="A38">
        <v>37</v>
      </c>
      <c r="B38" s="189" t="s">
        <v>228</v>
      </c>
      <c r="C38">
        <v>0</v>
      </c>
      <c r="D38">
        <v>7.6300000000000001E-4</v>
      </c>
      <c r="E38">
        <v>9.9999999999999995E-7</v>
      </c>
      <c r="F38">
        <v>0</v>
      </c>
      <c r="G38">
        <v>0</v>
      </c>
      <c r="H38">
        <v>0</v>
      </c>
      <c r="I38">
        <v>3.9199999999999999E-4</v>
      </c>
      <c r="J38">
        <v>6.0000000000000002E-6</v>
      </c>
      <c r="K38">
        <v>0</v>
      </c>
      <c r="L38">
        <v>0</v>
      </c>
      <c r="M38">
        <v>0</v>
      </c>
      <c r="N38">
        <v>1.1619999999999998E-3</v>
      </c>
    </row>
    <row r="39" spans="1:14" ht="15" customHeight="1" x14ac:dyDescent="0.15">
      <c r="A39">
        <v>38</v>
      </c>
      <c r="B39" s="18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ht="15" customHeight="1" x14ac:dyDescent="0.15">
      <c r="A40">
        <v>39</v>
      </c>
      <c r="B40" s="189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2.4000000000000001E-5</v>
      </c>
      <c r="I40">
        <v>0</v>
      </c>
      <c r="J40">
        <v>1.4321E-2</v>
      </c>
      <c r="K40">
        <v>0</v>
      </c>
      <c r="L40">
        <v>0</v>
      </c>
      <c r="M40">
        <v>0</v>
      </c>
      <c r="N40">
        <v>1.4345E-2</v>
      </c>
    </row>
    <row r="41" spans="1:14" ht="15" customHeight="1" x14ac:dyDescent="0.15">
      <c r="A41">
        <v>40</v>
      </c>
      <c r="B41" s="189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ht="15" customHeight="1" x14ac:dyDescent="0.15">
      <c r="A42">
        <v>41</v>
      </c>
      <c r="B42" s="189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1.4159999999999999E-3</v>
      </c>
      <c r="K42">
        <v>0</v>
      </c>
      <c r="L42">
        <v>0</v>
      </c>
      <c r="M42">
        <v>0</v>
      </c>
      <c r="N42">
        <v>1.4159999999999999E-3</v>
      </c>
    </row>
    <row r="43" spans="1:14" ht="15" customHeight="1" x14ac:dyDescent="0.15">
      <c r="A43">
        <v>42</v>
      </c>
      <c r="B43" s="189" t="s">
        <v>233</v>
      </c>
      <c r="C43">
        <v>0</v>
      </c>
      <c r="D43">
        <v>3.0929999999999998E-3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3.0929999999999998E-3</v>
      </c>
    </row>
    <row r="44" spans="1:14" ht="15" customHeight="1" x14ac:dyDescent="0.15">
      <c r="A44">
        <v>43</v>
      </c>
      <c r="B44" s="189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ht="15" customHeight="1" x14ac:dyDescent="0.15">
      <c r="A45">
        <v>44</v>
      </c>
      <c r="B45" s="189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ht="15" customHeight="1" x14ac:dyDescent="0.15">
      <c r="A46">
        <v>45</v>
      </c>
      <c r="B46" s="189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2.4399999999999999E-4</v>
      </c>
      <c r="L46">
        <v>0</v>
      </c>
      <c r="M46">
        <v>0</v>
      </c>
      <c r="N46">
        <v>2.4399999999999999E-4</v>
      </c>
    </row>
    <row r="47" spans="1:14" ht="15" customHeight="1" x14ac:dyDescent="0.15">
      <c r="A47">
        <v>46</v>
      </c>
      <c r="B47" s="189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ht="15" customHeight="1" x14ac:dyDescent="0.15">
      <c r="A48">
        <v>47</v>
      </c>
      <c r="B48" s="189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ht="15" customHeight="1" x14ac:dyDescent="0.15">
      <c r="A49">
        <v>48</v>
      </c>
      <c r="B49" s="189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15">
      <c r="A50">
        <v>49</v>
      </c>
      <c r="B50" s="189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15">
      <c r="A51">
        <v>50</v>
      </c>
      <c r="B51" s="18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15">
      <c r="A52">
        <v>51</v>
      </c>
      <c r="B52" s="189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N5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6640625" bestFit="1" customWidth="1"/>
    <col min="3" max="3" width="2.33203125" bestFit="1" customWidth="1"/>
    <col min="4" max="4" width="8.83203125" bestFit="1" customWidth="1"/>
    <col min="5" max="5" width="2.33203125" bestFit="1" customWidth="1"/>
    <col min="6" max="7" width="2.33203125" customWidth="1"/>
    <col min="8" max="8" width="7.83203125" customWidth="1"/>
    <col min="9" max="13" width="2.33203125" customWidth="1"/>
    <col min="14" max="14" width="8.83203125" customWidth="1"/>
  </cols>
  <sheetData>
    <row r="1" spans="1:14" s="119" customFormat="1" ht="112" x14ac:dyDescent="0.15">
      <c r="A1" s="5" t="s">
        <v>22</v>
      </c>
      <c r="B1" s="3" t="s">
        <v>0</v>
      </c>
      <c r="C1" s="192" t="s">
        <v>243</v>
      </c>
      <c r="D1" s="192" t="s">
        <v>244</v>
      </c>
      <c r="E1" s="192" t="s">
        <v>245</v>
      </c>
      <c r="F1" s="192" t="s">
        <v>246</v>
      </c>
      <c r="G1" s="192" t="s">
        <v>247</v>
      </c>
      <c r="H1" s="192" t="s">
        <v>248</v>
      </c>
      <c r="I1" s="192" t="s">
        <v>249</v>
      </c>
      <c r="J1" s="192" t="s">
        <v>250</v>
      </c>
      <c r="K1" s="192" t="s">
        <v>251</v>
      </c>
      <c r="L1" s="192" t="s">
        <v>252</v>
      </c>
      <c r="M1" s="192" t="s">
        <v>253</v>
      </c>
      <c r="N1" s="192" t="s">
        <v>257</v>
      </c>
    </row>
    <row r="2" spans="1:14" x14ac:dyDescent="0.15">
      <c r="A2">
        <v>1</v>
      </c>
      <c r="B2" s="19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15">
      <c r="A3">
        <v>2</v>
      </c>
      <c r="B3" s="191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15">
      <c r="A4">
        <v>3</v>
      </c>
      <c r="B4" s="19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15">
      <c r="A5">
        <v>4</v>
      </c>
      <c r="B5" s="191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2.1299999999999999E-3</v>
      </c>
      <c r="I5">
        <v>0</v>
      </c>
      <c r="J5">
        <v>0</v>
      </c>
      <c r="K5">
        <v>0</v>
      </c>
      <c r="L5">
        <v>0</v>
      </c>
      <c r="M5">
        <v>0</v>
      </c>
      <c r="N5">
        <v>2.1299999999999999E-3</v>
      </c>
    </row>
    <row r="6" spans="1:14" x14ac:dyDescent="0.15">
      <c r="A6">
        <v>5</v>
      </c>
      <c r="B6" s="191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15">
      <c r="A7">
        <v>6</v>
      </c>
      <c r="B7" s="191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15">
      <c r="A8">
        <v>7</v>
      </c>
      <c r="B8" s="191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15">
      <c r="A9">
        <v>8</v>
      </c>
      <c r="B9" s="191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15">
      <c r="A10">
        <v>9</v>
      </c>
      <c r="B10" s="191" t="s">
        <v>200</v>
      </c>
      <c r="C10">
        <v>0</v>
      </c>
      <c r="D10">
        <v>1.9318999999999999E-2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1.9318999999999999E-2</v>
      </c>
    </row>
    <row r="11" spans="1:14" x14ac:dyDescent="0.15">
      <c r="A11">
        <v>10</v>
      </c>
      <c r="B11" s="191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15">
      <c r="A12">
        <v>11</v>
      </c>
      <c r="B12" s="19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15">
      <c r="A13">
        <v>12</v>
      </c>
      <c r="B13" s="191" t="s">
        <v>203</v>
      </c>
      <c r="C13">
        <v>0</v>
      </c>
      <c r="D13">
        <v>2.5000000000000001E-2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2.5000000000000001E-2</v>
      </c>
    </row>
    <row r="14" spans="1:14" x14ac:dyDescent="0.15">
      <c r="A14">
        <v>13</v>
      </c>
      <c r="B14" s="191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15">
      <c r="A15">
        <v>14</v>
      </c>
      <c r="B15" s="191" t="s">
        <v>205</v>
      </c>
      <c r="C15">
        <v>0</v>
      </c>
      <c r="D15">
        <v>2E-3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2E-3</v>
      </c>
    </row>
    <row r="16" spans="1:14" x14ac:dyDescent="0.15">
      <c r="A16">
        <v>15</v>
      </c>
      <c r="B16" s="191" t="s">
        <v>206</v>
      </c>
      <c r="C16">
        <v>0</v>
      </c>
      <c r="D16">
        <v>1.042E-3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1.042E-3</v>
      </c>
    </row>
    <row r="17" spans="1:14" x14ac:dyDescent="0.15">
      <c r="A17">
        <v>16</v>
      </c>
      <c r="B17" s="191" t="s">
        <v>207</v>
      </c>
      <c r="C17">
        <v>0</v>
      </c>
      <c r="D17">
        <v>4.0000000000000003E-5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4.0000000000000003E-5</v>
      </c>
    </row>
    <row r="18" spans="1:14" x14ac:dyDescent="0.15">
      <c r="A18">
        <v>17</v>
      </c>
      <c r="B18" s="191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15">
      <c r="A19">
        <v>18</v>
      </c>
      <c r="B19" s="191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15">
      <c r="A20">
        <v>19</v>
      </c>
      <c r="B20" s="191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15">
      <c r="A21">
        <v>20</v>
      </c>
      <c r="B21" s="191" t="s">
        <v>211</v>
      </c>
      <c r="C21">
        <v>0</v>
      </c>
      <c r="D21">
        <v>2.4220000000000001E-3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2.4220000000000001E-3</v>
      </c>
    </row>
    <row r="22" spans="1:14" x14ac:dyDescent="0.15">
      <c r="A22">
        <v>21</v>
      </c>
      <c r="B22" s="191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15">
      <c r="A23">
        <v>22</v>
      </c>
      <c r="B23" s="191" t="s">
        <v>213</v>
      </c>
      <c r="C23">
        <v>0</v>
      </c>
      <c r="D23">
        <v>3.5729999999999998E-3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3.5729999999999998E-3</v>
      </c>
    </row>
    <row r="24" spans="1:14" x14ac:dyDescent="0.15">
      <c r="A24">
        <v>23</v>
      </c>
      <c r="B24" s="191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15">
      <c r="A25">
        <v>24</v>
      </c>
      <c r="B25" s="191" t="s">
        <v>215</v>
      </c>
      <c r="C25">
        <v>0</v>
      </c>
      <c r="D25">
        <v>5.0829999999999998E-3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5.0829999999999998E-3</v>
      </c>
    </row>
    <row r="26" spans="1:14" x14ac:dyDescent="0.15">
      <c r="A26">
        <v>25</v>
      </c>
      <c r="B26" s="191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15">
      <c r="A27">
        <v>26</v>
      </c>
      <c r="B27" s="191" t="s">
        <v>217</v>
      </c>
      <c r="C27">
        <v>0</v>
      </c>
      <c r="D27">
        <v>8.8999999999999995E-5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8.8999999999999995E-5</v>
      </c>
    </row>
    <row r="28" spans="1:14" x14ac:dyDescent="0.15">
      <c r="A28">
        <v>27</v>
      </c>
      <c r="B28" s="191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15">
      <c r="A29">
        <v>28</v>
      </c>
      <c r="B29" s="191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15">
      <c r="A30">
        <v>29</v>
      </c>
      <c r="B30" s="19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15">
      <c r="A31">
        <v>30</v>
      </c>
      <c r="B31" s="19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15">
      <c r="A32">
        <v>31</v>
      </c>
      <c r="B32" s="19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15">
      <c r="A33">
        <v>32</v>
      </c>
      <c r="B33" s="19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15">
      <c r="A34">
        <v>33</v>
      </c>
      <c r="B34" s="19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15">
      <c r="A35">
        <v>34</v>
      </c>
      <c r="B35" s="19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15">
      <c r="A36">
        <v>35</v>
      </c>
      <c r="B36" s="19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15">
      <c r="A37">
        <v>36</v>
      </c>
      <c r="B37" s="19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15">
      <c r="A38">
        <v>37</v>
      </c>
      <c r="B38" s="19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15">
      <c r="A39">
        <v>38</v>
      </c>
      <c r="B39" s="191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x14ac:dyDescent="0.15">
      <c r="A40">
        <v>39</v>
      </c>
      <c r="B40" s="191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15">
      <c r="A41">
        <v>40</v>
      </c>
      <c r="B41" s="191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15">
      <c r="A42">
        <v>41</v>
      </c>
      <c r="B42" s="191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15">
      <c r="A43">
        <v>42</v>
      </c>
      <c r="B43" s="191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15">
      <c r="A44">
        <v>43</v>
      </c>
      <c r="B44" s="191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15">
      <c r="A45">
        <v>44</v>
      </c>
      <c r="B45" s="191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15">
      <c r="A46">
        <v>45</v>
      </c>
      <c r="B46" s="191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15">
      <c r="A47">
        <v>46</v>
      </c>
      <c r="B47" s="191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15">
      <c r="A48">
        <v>47</v>
      </c>
      <c r="B48" s="191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15">
      <c r="A49">
        <v>48</v>
      </c>
      <c r="B49" s="191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15">
      <c r="A50">
        <v>49</v>
      </c>
      <c r="B50" s="191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15">
      <c r="A51">
        <v>50</v>
      </c>
      <c r="B51" s="191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x14ac:dyDescent="0.15">
      <c r="A52">
        <v>51</v>
      </c>
      <c r="B52" s="191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6.6640625" bestFit="1" customWidth="1"/>
    <col min="6" max="6" width="4.83203125" bestFit="1" customWidth="1"/>
    <col min="7" max="9" width="3.83203125" bestFit="1" customWidth="1"/>
    <col min="10" max="11" width="4.83203125" style="11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20" customFormat="1" ht="14" thickBot="1" x14ac:dyDescent="0.2">
      <c r="D1" s="121" t="s">
        <v>8</v>
      </c>
      <c r="E1" s="121" t="s">
        <v>0</v>
      </c>
      <c r="F1" s="122" t="s">
        <v>99</v>
      </c>
      <c r="G1" s="123" t="s">
        <v>84</v>
      </c>
      <c r="H1" s="123" t="s">
        <v>85</v>
      </c>
      <c r="I1" s="123" t="s">
        <v>86</v>
      </c>
      <c r="J1" s="123" t="s">
        <v>87</v>
      </c>
      <c r="K1" s="123" t="s">
        <v>88</v>
      </c>
      <c r="L1" s="124" t="s">
        <v>89</v>
      </c>
      <c r="M1" s="124" t="s">
        <v>93</v>
      </c>
      <c r="N1" s="124" t="s">
        <v>92</v>
      </c>
      <c r="O1" s="124" t="s">
        <v>90</v>
      </c>
      <c r="P1" s="124" t="s">
        <v>91</v>
      </c>
      <c r="Q1" s="125" t="s">
        <v>94</v>
      </c>
      <c r="R1" s="125" t="s">
        <v>95</v>
      </c>
      <c r="S1" s="125" t="s">
        <v>96</v>
      </c>
      <c r="T1" s="125" t="s">
        <v>97</v>
      </c>
      <c r="U1" s="125" t="s">
        <v>98</v>
      </c>
      <c r="V1" s="123" t="s">
        <v>100</v>
      </c>
      <c r="W1" s="123" t="s">
        <v>101</v>
      </c>
      <c r="X1" s="123" t="s">
        <v>102</v>
      </c>
      <c r="Y1" s="123" t="s">
        <v>134</v>
      </c>
      <c r="Z1" s="124" t="s">
        <v>103</v>
      </c>
      <c r="AA1" s="124" t="s">
        <v>104</v>
      </c>
      <c r="AB1" s="124" t="s">
        <v>105</v>
      </c>
      <c r="AC1" s="126" t="s">
        <v>135</v>
      </c>
      <c r="AD1" s="125" t="s">
        <v>106</v>
      </c>
      <c r="AE1" s="125" t="s">
        <v>107</v>
      </c>
      <c r="AF1" s="125" t="s">
        <v>108</v>
      </c>
      <c r="AG1" s="125" t="s">
        <v>136</v>
      </c>
      <c r="AH1" s="123" t="s">
        <v>109</v>
      </c>
      <c r="AI1" s="123" t="s">
        <v>111</v>
      </c>
      <c r="AJ1" s="123" t="s">
        <v>110</v>
      </c>
      <c r="AK1" s="124" t="s">
        <v>115</v>
      </c>
      <c r="AL1" s="124" t="s">
        <v>116</v>
      </c>
      <c r="AM1" s="124" t="s">
        <v>117</v>
      </c>
      <c r="AN1" s="125" t="s">
        <v>112</v>
      </c>
      <c r="AO1" s="125" t="s">
        <v>113</v>
      </c>
      <c r="AP1" s="125" t="s">
        <v>114</v>
      </c>
    </row>
    <row r="2" spans="1:42" x14ac:dyDescent="0.15">
      <c r="A2" s="127" t="s">
        <v>74</v>
      </c>
      <c r="B2" s="128">
        <v>1</v>
      </c>
      <c r="D2">
        <v>1</v>
      </c>
      <c r="E2" s="193" t="s">
        <v>192</v>
      </c>
      <c r="F2">
        <v>0.98</v>
      </c>
      <c r="G2">
        <v>0.8</v>
      </c>
      <c r="H2">
        <v>0.8</v>
      </c>
      <c r="I2">
        <v>0.8</v>
      </c>
      <c r="J2" s="118">
        <v>0.25</v>
      </c>
      <c r="K2" s="118">
        <v>0.05</v>
      </c>
    </row>
    <row r="3" spans="1:42" x14ac:dyDescent="0.15">
      <c r="A3" s="127" t="s">
        <v>75</v>
      </c>
      <c r="B3" s="129">
        <v>1</v>
      </c>
      <c r="D3">
        <v>2</v>
      </c>
      <c r="E3" s="193" t="s">
        <v>193</v>
      </c>
      <c r="F3">
        <v>0.98</v>
      </c>
      <c r="G3">
        <v>0.8</v>
      </c>
      <c r="H3">
        <v>0.8</v>
      </c>
      <c r="I3">
        <v>0.8</v>
      </c>
      <c r="J3" s="118">
        <v>0.25</v>
      </c>
      <c r="K3" s="118">
        <v>0.05</v>
      </c>
    </row>
    <row r="4" spans="1:42" x14ac:dyDescent="0.15">
      <c r="A4" s="127" t="s">
        <v>76</v>
      </c>
      <c r="B4" s="129">
        <v>1</v>
      </c>
      <c r="D4">
        <v>3</v>
      </c>
      <c r="E4" s="193" t="s">
        <v>194</v>
      </c>
      <c r="F4">
        <v>0.98</v>
      </c>
      <c r="G4">
        <v>0.8</v>
      </c>
      <c r="H4">
        <v>0.8</v>
      </c>
      <c r="I4">
        <v>0.8</v>
      </c>
      <c r="J4" s="118">
        <v>0.25</v>
      </c>
      <c r="K4" s="118">
        <v>0.05</v>
      </c>
    </row>
    <row r="5" spans="1:42" x14ac:dyDescent="0.15">
      <c r="A5" s="127" t="s">
        <v>77</v>
      </c>
      <c r="B5" s="129">
        <v>1</v>
      </c>
      <c r="D5">
        <v>4</v>
      </c>
      <c r="E5" s="193" t="s">
        <v>195</v>
      </c>
      <c r="F5">
        <v>0.98</v>
      </c>
      <c r="G5">
        <v>0.8</v>
      </c>
      <c r="H5">
        <v>0.8</v>
      </c>
      <c r="I5">
        <v>0.8</v>
      </c>
      <c r="J5" s="118">
        <v>0.25</v>
      </c>
      <c r="K5" s="118">
        <v>0.05</v>
      </c>
    </row>
    <row r="6" spans="1:42" x14ac:dyDescent="0.15">
      <c r="A6" s="127" t="s">
        <v>78</v>
      </c>
      <c r="B6" s="129">
        <v>1</v>
      </c>
      <c r="D6">
        <v>5</v>
      </c>
      <c r="E6" s="193" t="s">
        <v>196</v>
      </c>
      <c r="F6">
        <v>0.98</v>
      </c>
      <c r="G6">
        <v>0.8</v>
      </c>
      <c r="H6">
        <v>0.8</v>
      </c>
      <c r="I6">
        <v>0.8</v>
      </c>
      <c r="J6" s="118">
        <v>0.25</v>
      </c>
      <c r="K6" s="118">
        <v>0.05</v>
      </c>
    </row>
    <row r="7" spans="1:42" x14ac:dyDescent="0.15">
      <c r="A7" s="127" t="s">
        <v>79</v>
      </c>
      <c r="B7" s="129">
        <v>1</v>
      </c>
      <c r="D7">
        <v>6</v>
      </c>
      <c r="E7" s="193" t="s">
        <v>197</v>
      </c>
      <c r="F7">
        <v>0.98</v>
      </c>
      <c r="G7">
        <v>0.8</v>
      </c>
      <c r="H7">
        <v>0.8</v>
      </c>
      <c r="I7">
        <v>0.8</v>
      </c>
      <c r="J7" s="118">
        <v>0.25</v>
      </c>
      <c r="K7" s="118">
        <v>0.05</v>
      </c>
    </row>
    <row r="8" spans="1:42" x14ac:dyDescent="0.15">
      <c r="A8" s="127" t="s">
        <v>80</v>
      </c>
      <c r="B8" s="129">
        <v>1</v>
      </c>
      <c r="D8">
        <v>7</v>
      </c>
      <c r="E8" s="193" t="s">
        <v>198</v>
      </c>
      <c r="F8">
        <v>0.98</v>
      </c>
      <c r="G8">
        <v>0.8</v>
      </c>
      <c r="H8">
        <v>0.8</v>
      </c>
      <c r="I8">
        <v>0.8</v>
      </c>
      <c r="J8" s="118">
        <v>0.25</v>
      </c>
      <c r="K8" s="118">
        <v>0.05</v>
      </c>
    </row>
    <row r="9" spans="1:42" x14ac:dyDescent="0.15">
      <c r="A9" s="127" t="s">
        <v>81</v>
      </c>
      <c r="B9" s="129">
        <v>0.1</v>
      </c>
      <c r="C9" s="61" t="s">
        <v>150</v>
      </c>
      <c r="D9">
        <v>8</v>
      </c>
      <c r="E9" s="193" t="s">
        <v>199</v>
      </c>
      <c r="F9">
        <v>0.98</v>
      </c>
      <c r="G9">
        <v>0.8</v>
      </c>
      <c r="H9">
        <v>0.8</v>
      </c>
      <c r="I9">
        <v>0.8</v>
      </c>
      <c r="J9" s="118">
        <v>0.25</v>
      </c>
      <c r="K9" s="118">
        <v>0.05</v>
      </c>
    </row>
    <row r="10" spans="1:42" ht="14" thickBot="1" x14ac:dyDescent="0.2">
      <c r="A10" s="127" t="s">
        <v>149</v>
      </c>
      <c r="B10" s="130">
        <f>1/3</f>
        <v>0.33333333333333331</v>
      </c>
      <c r="C10" s="61" t="s">
        <v>150</v>
      </c>
      <c r="D10">
        <v>9</v>
      </c>
      <c r="E10" s="193" t="s">
        <v>200</v>
      </c>
      <c r="F10">
        <v>0.98</v>
      </c>
      <c r="G10">
        <v>0.8</v>
      </c>
      <c r="H10">
        <v>0.8</v>
      </c>
      <c r="I10">
        <v>0.8</v>
      </c>
      <c r="J10" s="118">
        <v>0.25</v>
      </c>
      <c r="K10" s="118">
        <v>0.05</v>
      </c>
    </row>
    <row r="11" spans="1:42" x14ac:dyDescent="0.15">
      <c r="D11">
        <v>10</v>
      </c>
      <c r="E11" s="193" t="s">
        <v>201</v>
      </c>
      <c r="F11">
        <v>0.98</v>
      </c>
      <c r="G11">
        <v>0.8</v>
      </c>
      <c r="H11">
        <v>0.8</v>
      </c>
      <c r="I11">
        <v>0.8</v>
      </c>
      <c r="J11" s="118">
        <v>0.25</v>
      </c>
      <c r="K11" s="118">
        <v>0.05</v>
      </c>
    </row>
    <row r="12" spans="1:42" x14ac:dyDescent="0.15">
      <c r="D12">
        <v>11</v>
      </c>
      <c r="E12" s="193" t="s">
        <v>202</v>
      </c>
      <c r="F12">
        <v>0.98</v>
      </c>
      <c r="G12">
        <v>0.8</v>
      </c>
      <c r="H12">
        <v>0.8</v>
      </c>
      <c r="I12">
        <v>0.8</v>
      </c>
      <c r="J12" s="118">
        <v>0.25</v>
      </c>
      <c r="K12" s="118">
        <v>0.05</v>
      </c>
    </row>
    <row r="13" spans="1:42" x14ac:dyDescent="0.15">
      <c r="D13">
        <v>12</v>
      </c>
      <c r="E13" s="193" t="s">
        <v>203</v>
      </c>
      <c r="F13">
        <v>0.98</v>
      </c>
      <c r="G13">
        <v>0.8</v>
      </c>
      <c r="H13">
        <v>0.8</v>
      </c>
      <c r="I13">
        <v>0.8</v>
      </c>
      <c r="J13" s="118">
        <v>0.25</v>
      </c>
      <c r="K13" s="118">
        <v>0.05</v>
      </c>
    </row>
    <row r="14" spans="1:42" x14ac:dyDescent="0.15">
      <c r="D14">
        <v>13</v>
      </c>
      <c r="E14" s="193" t="s">
        <v>204</v>
      </c>
      <c r="F14">
        <v>0.98</v>
      </c>
      <c r="G14">
        <v>0.8</v>
      </c>
      <c r="H14">
        <v>0.8</v>
      </c>
      <c r="I14">
        <v>0.8</v>
      </c>
      <c r="J14" s="118">
        <v>0.25</v>
      </c>
      <c r="K14" s="118">
        <v>0.05</v>
      </c>
    </row>
    <row r="15" spans="1:42" x14ac:dyDescent="0.15">
      <c r="D15">
        <v>14</v>
      </c>
      <c r="E15" s="193" t="s">
        <v>205</v>
      </c>
      <c r="F15">
        <v>0.98</v>
      </c>
      <c r="G15">
        <v>0.8</v>
      </c>
      <c r="H15">
        <v>0.8</v>
      </c>
      <c r="I15">
        <v>0.8</v>
      </c>
      <c r="J15" s="118">
        <v>0.25</v>
      </c>
      <c r="K15" s="118">
        <v>0.05</v>
      </c>
    </row>
    <row r="16" spans="1:42" x14ac:dyDescent="0.15">
      <c r="D16">
        <v>15</v>
      </c>
      <c r="E16" s="193" t="s">
        <v>206</v>
      </c>
      <c r="F16">
        <v>0.98</v>
      </c>
      <c r="G16">
        <v>0.8</v>
      </c>
      <c r="H16">
        <v>0.8</v>
      </c>
      <c r="I16">
        <v>0.8</v>
      </c>
      <c r="J16" s="118">
        <v>0.25</v>
      </c>
      <c r="K16" s="118">
        <v>0.05</v>
      </c>
    </row>
    <row r="17" spans="4:33" ht="15" customHeight="1" x14ac:dyDescent="0.15">
      <c r="D17">
        <v>16</v>
      </c>
      <c r="E17" s="193" t="s">
        <v>207</v>
      </c>
      <c r="F17">
        <v>0.98</v>
      </c>
      <c r="G17">
        <v>0.8</v>
      </c>
      <c r="H17">
        <v>0.8</v>
      </c>
      <c r="I17">
        <v>0.8</v>
      </c>
      <c r="J17" s="118">
        <v>0.25</v>
      </c>
      <c r="K17" s="118">
        <v>0.05</v>
      </c>
    </row>
    <row r="18" spans="4:33" ht="15" customHeight="1" x14ac:dyDescent="0.15">
      <c r="D18">
        <v>17</v>
      </c>
      <c r="E18" s="193" t="s">
        <v>208</v>
      </c>
      <c r="F18">
        <v>0.98</v>
      </c>
      <c r="G18">
        <v>0.8</v>
      </c>
      <c r="H18">
        <v>0.8</v>
      </c>
      <c r="I18">
        <v>0.8</v>
      </c>
      <c r="J18" s="118">
        <v>0.25</v>
      </c>
      <c r="K18" s="118">
        <v>0.05</v>
      </c>
    </row>
    <row r="19" spans="4:33" ht="15" customHeight="1" x14ac:dyDescent="0.15">
      <c r="D19">
        <v>18</v>
      </c>
      <c r="E19" s="193" t="s">
        <v>209</v>
      </c>
      <c r="F19">
        <v>0.98</v>
      </c>
      <c r="G19">
        <v>0.8</v>
      </c>
      <c r="H19">
        <v>0.8</v>
      </c>
      <c r="I19">
        <v>0.8</v>
      </c>
      <c r="J19" s="118">
        <v>0.25</v>
      </c>
      <c r="K19" s="118">
        <v>0.05</v>
      </c>
    </row>
    <row r="20" spans="4:33" ht="15" customHeight="1" x14ac:dyDescent="0.15">
      <c r="D20">
        <v>19</v>
      </c>
      <c r="E20" s="193" t="s">
        <v>210</v>
      </c>
      <c r="F20">
        <v>0.98</v>
      </c>
      <c r="G20">
        <v>0.8</v>
      </c>
      <c r="H20">
        <v>0.8</v>
      </c>
      <c r="I20">
        <v>0.8</v>
      </c>
      <c r="J20" s="118">
        <v>0.25</v>
      </c>
      <c r="K20" s="118">
        <v>0.05</v>
      </c>
    </row>
    <row r="21" spans="4:33" ht="15" customHeight="1" x14ac:dyDescent="0.15">
      <c r="D21">
        <v>20</v>
      </c>
      <c r="E21" s="193" t="s">
        <v>211</v>
      </c>
      <c r="F21">
        <v>0.98</v>
      </c>
      <c r="G21">
        <v>0.8</v>
      </c>
      <c r="H21">
        <v>0.8</v>
      </c>
      <c r="I21">
        <v>0.8</v>
      </c>
      <c r="J21" s="118">
        <v>0.25</v>
      </c>
      <c r="K21" s="118">
        <v>0.05</v>
      </c>
    </row>
    <row r="22" spans="4:33" ht="15" customHeight="1" x14ac:dyDescent="0.15">
      <c r="D22">
        <v>21</v>
      </c>
      <c r="E22" s="193" t="s">
        <v>212</v>
      </c>
      <c r="F22">
        <v>0.98</v>
      </c>
      <c r="G22">
        <v>0.8</v>
      </c>
      <c r="H22">
        <v>0.8</v>
      </c>
      <c r="I22">
        <v>0.8</v>
      </c>
      <c r="J22" s="118">
        <v>0.25</v>
      </c>
      <c r="K22" s="118">
        <v>0.05</v>
      </c>
    </row>
    <row r="23" spans="4:33" ht="15" customHeight="1" x14ac:dyDescent="0.15">
      <c r="D23">
        <v>22</v>
      </c>
      <c r="E23" s="193" t="s">
        <v>213</v>
      </c>
      <c r="F23">
        <v>0.98</v>
      </c>
      <c r="G23">
        <v>0.8</v>
      </c>
      <c r="H23">
        <v>0.8</v>
      </c>
      <c r="I23">
        <v>0.8</v>
      </c>
      <c r="J23" s="118">
        <v>0.25</v>
      </c>
      <c r="K23" s="118">
        <v>0.05</v>
      </c>
    </row>
    <row r="24" spans="4:33" ht="15" customHeight="1" x14ac:dyDescent="0.15">
      <c r="D24">
        <v>23</v>
      </c>
      <c r="E24" s="193" t="s">
        <v>214</v>
      </c>
      <c r="F24">
        <v>0.98</v>
      </c>
      <c r="G24">
        <v>0.8</v>
      </c>
      <c r="H24">
        <v>0.8</v>
      </c>
      <c r="I24">
        <v>0.8</v>
      </c>
      <c r="J24" s="118">
        <v>0.25</v>
      </c>
      <c r="K24" s="118">
        <v>0.05</v>
      </c>
    </row>
    <row r="25" spans="4:33" ht="15" customHeight="1" x14ac:dyDescent="0.15">
      <c r="D25">
        <v>24</v>
      </c>
      <c r="E25" s="193" t="s">
        <v>215</v>
      </c>
      <c r="F25">
        <v>0.98</v>
      </c>
      <c r="G25">
        <v>0.8</v>
      </c>
      <c r="H25">
        <v>0.8</v>
      </c>
      <c r="I25">
        <v>0.8</v>
      </c>
      <c r="J25" s="118">
        <v>0.25</v>
      </c>
      <c r="K25" s="118">
        <v>0.05</v>
      </c>
    </row>
    <row r="26" spans="4:33" ht="15" customHeight="1" x14ac:dyDescent="0.15">
      <c r="D26">
        <v>25</v>
      </c>
      <c r="E26" s="193" t="s">
        <v>216</v>
      </c>
      <c r="F26">
        <v>0.98</v>
      </c>
      <c r="G26">
        <v>0.8</v>
      </c>
      <c r="H26">
        <v>0.8</v>
      </c>
      <c r="I26">
        <v>0.8</v>
      </c>
      <c r="J26" s="118">
        <v>0.25</v>
      </c>
      <c r="K26" s="118">
        <v>0.05</v>
      </c>
    </row>
    <row r="27" spans="4:33" ht="15" customHeight="1" x14ac:dyDescent="0.15">
      <c r="D27">
        <v>26</v>
      </c>
      <c r="E27" s="193" t="s">
        <v>217</v>
      </c>
      <c r="F27">
        <v>0.98</v>
      </c>
      <c r="G27">
        <v>0.8</v>
      </c>
      <c r="H27">
        <v>0.8</v>
      </c>
      <c r="I27">
        <v>0.8</v>
      </c>
      <c r="J27" s="118">
        <v>0.25</v>
      </c>
      <c r="K27" s="118">
        <v>0.05</v>
      </c>
    </row>
    <row r="28" spans="4:33" ht="15" customHeight="1" x14ac:dyDescent="0.15">
      <c r="D28">
        <v>27</v>
      </c>
      <c r="E28" s="193" t="s">
        <v>218</v>
      </c>
      <c r="F28">
        <v>0.98</v>
      </c>
      <c r="G28">
        <v>0.8</v>
      </c>
      <c r="H28">
        <v>0.8</v>
      </c>
      <c r="I28">
        <v>0.8</v>
      </c>
      <c r="J28" s="118">
        <v>0.25</v>
      </c>
      <c r="K28" s="118">
        <v>0.05</v>
      </c>
    </row>
    <row r="29" spans="4:33" ht="15" customHeight="1" x14ac:dyDescent="0.15">
      <c r="D29">
        <v>28</v>
      </c>
      <c r="E29" s="193" t="s">
        <v>219</v>
      </c>
      <c r="F29">
        <v>0.98</v>
      </c>
      <c r="G29">
        <v>0.8</v>
      </c>
      <c r="H29">
        <v>0.8</v>
      </c>
      <c r="I29">
        <v>0.8</v>
      </c>
      <c r="J29" s="118">
        <v>0.25</v>
      </c>
      <c r="K29" s="118">
        <v>0.05</v>
      </c>
      <c r="Y29"/>
      <c r="AC29"/>
      <c r="AG29"/>
    </row>
    <row r="30" spans="4:33" ht="15" customHeight="1" x14ac:dyDescent="0.15">
      <c r="D30">
        <v>29</v>
      </c>
      <c r="E30" s="193" t="s">
        <v>220</v>
      </c>
      <c r="F30">
        <v>0.98</v>
      </c>
      <c r="G30">
        <v>0.8</v>
      </c>
      <c r="H30">
        <v>0.8</v>
      </c>
      <c r="I30">
        <v>0.8</v>
      </c>
      <c r="J30" s="118">
        <v>0.25</v>
      </c>
      <c r="K30" s="118">
        <v>0.05</v>
      </c>
      <c r="Y30"/>
      <c r="AC30"/>
      <c r="AG30"/>
    </row>
    <row r="31" spans="4:33" ht="15" customHeight="1" x14ac:dyDescent="0.15">
      <c r="D31">
        <v>30</v>
      </c>
      <c r="E31" s="193" t="s">
        <v>221</v>
      </c>
      <c r="F31">
        <v>0.98</v>
      </c>
      <c r="G31">
        <v>0.8</v>
      </c>
      <c r="H31">
        <v>0.8</v>
      </c>
      <c r="I31">
        <v>0.8</v>
      </c>
      <c r="J31" s="118">
        <v>0.25</v>
      </c>
      <c r="K31" s="118">
        <v>0.05</v>
      </c>
      <c r="Y31"/>
      <c r="AC31"/>
      <c r="AG31"/>
    </row>
    <row r="32" spans="4:33" ht="15" customHeight="1" x14ac:dyDescent="0.15">
      <c r="D32">
        <v>31</v>
      </c>
      <c r="E32" s="193" t="s">
        <v>222</v>
      </c>
      <c r="F32">
        <v>0.98</v>
      </c>
      <c r="G32">
        <v>0.8</v>
      </c>
      <c r="H32">
        <v>0.8</v>
      </c>
      <c r="I32">
        <v>0.8</v>
      </c>
      <c r="J32" s="118">
        <v>0.25</v>
      </c>
      <c r="K32" s="118">
        <v>0.05</v>
      </c>
      <c r="Y32"/>
      <c r="AC32"/>
      <c r="AG32"/>
    </row>
    <row r="33" spans="4:33" ht="15" customHeight="1" x14ac:dyDescent="0.15">
      <c r="D33">
        <v>32</v>
      </c>
      <c r="E33" s="193" t="s">
        <v>223</v>
      </c>
      <c r="F33">
        <v>0.98</v>
      </c>
      <c r="G33">
        <v>0.8</v>
      </c>
      <c r="H33">
        <v>0.8</v>
      </c>
      <c r="I33">
        <v>0.8</v>
      </c>
      <c r="J33" s="118">
        <v>0.25</v>
      </c>
      <c r="K33" s="118">
        <v>0.05</v>
      </c>
      <c r="Y33"/>
      <c r="AC33"/>
      <c r="AG33"/>
    </row>
    <row r="34" spans="4:33" ht="15" customHeight="1" x14ac:dyDescent="0.15">
      <c r="D34">
        <v>33</v>
      </c>
      <c r="E34" s="193" t="s">
        <v>224</v>
      </c>
      <c r="F34">
        <v>0.98</v>
      </c>
      <c r="G34">
        <v>0.8</v>
      </c>
      <c r="H34">
        <v>0.8</v>
      </c>
      <c r="I34">
        <v>0.8</v>
      </c>
      <c r="J34" s="118">
        <v>0.25</v>
      </c>
      <c r="K34" s="118">
        <v>0.05</v>
      </c>
      <c r="Y34"/>
      <c r="AC34"/>
      <c r="AG34"/>
    </row>
    <row r="35" spans="4:33" ht="15" customHeight="1" x14ac:dyDescent="0.15">
      <c r="D35">
        <v>34</v>
      </c>
      <c r="E35" s="193" t="s">
        <v>225</v>
      </c>
      <c r="F35">
        <v>0.98</v>
      </c>
      <c r="G35">
        <v>0.8</v>
      </c>
      <c r="H35">
        <v>0.8</v>
      </c>
      <c r="I35">
        <v>0.8</v>
      </c>
      <c r="J35" s="118">
        <v>0.25</v>
      </c>
      <c r="K35" s="118">
        <v>0.05</v>
      </c>
      <c r="Y35"/>
      <c r="AC35"/>
      <c r="AG35"/>
    </row>
    <row r="36" spans="4:33" ht="15" customHeight="1" x14ac:dyDescent="0.15">
      <c r="D36">
        <v>35</v>
      </c>
      <c r="E36" s="193" t="s">
        <v>226</v>
      </c>
      <c r="F36">
        <v>0.98</v>
      </c>
      <c r="G36">
        <v>0.8</v>
      </c>
      <c r="H36">
        <v>0.8</v>
      </c>
      <c r="I36">
        <v>0.8</v>
      </c>
      <c r="J36" s="118">
        <v>0.25</v>
      </c>
      <c r="K36" s="118">
        <v>0.05</v>
      </c>
      <c r="Y36"/>
      <c r="AC36"/>
      <c r="AG36"/>
    </row>
    <row r="37" spans="4:33" ht="15" customHeight="1" x14ac:dyDescent="0.15">
      <c r="D37">
        <v>36</v>
      </c>
      <c r="E37" s="193" t="s">
        <v>227</v>
      </c>
      <c r="F37">
        <v>0.98</v>
      </c>
      <c r="G37">
        <v>0.8</v>
      </c>
      <c r="H37">
        <v>0.8</v>
      </c>
      <c r="I37">
        <v>0.8</v>
      </c>
      <c r="J37" s="118">
        <v>0.25</v>
      </c>
      <c r="K37" s="118">
        <v>0.05</v>
      </c>
      <c r="Y37"/>
      <c r="AC37"/>
      <c r="AG37"/>
    </row>
    <row r="38" spans="4:33" ht="15" customHeight="1" x14ac:dyDescent="0.15">
      <c r="D38">
        <v>37</v>
      </c>
      <c r="E38" s="193" t="s">
        <v>228</v>
      </c>
      <c r="F38">
        <v>0.98</v>
      </c>
      <c r="G38">
        <v>0.8</v>
      </c>
      <c r="H38">
        <v>0.8</v>
      </c>
      <c r="I38">
        <v>0.8</v>
      </c>
      <c r="J38" s="118">
        <v>0.25</v>
      </c>
      <c r="K38" s="118">
        <v>0.05</v>
      </c>
      <c r="Y38"/>
      <c r="AC38"/>
      <c r="AG38"/>
    </row>
    <row r="39" spans="4:33" ht="15" customHeight="1" x14ac:dyDescent="0.15">
      <c r="D39">
        <v>38</v>
      </c>
      <c r="E39" s="193" t="s">
        <v>229</v>
      </c>
      <c r="F39">
        <v>0.98</v>
      </c>
      <c r="G39">
        <v>0.8</v>
      </c>
      <c r="H39">
        <v>0.8</v>
      </c>
      <c r="I39">
        <v>0.8</v>
      </c>
      <c r="J39" s="118">
        <v>0.25</v>
      </c>
      <c r="K39" s="118">
        <v>0.05</v>
      </c>
    </row>
    <row r="40" spans="4:33" ht="15" customHeight="1" x14ac:dyDescent="0.15">
      <c r="D40">
        <v>39</v>
      </c>
      <c r="E40" s="193" t="s">
        <v>230</v>
      </c>
      <c r="F40">
        <v>0.98</v>
      </c>
      <c r="G40">
        <v>0.8</v>
      </c>
      <c r="H40">
        <v>0.8</v>
      </c>
      <c r="I40">
        <v>0.8</v>
      </c>
      <c r="J40" s="118">
        <v>0.25</v>
      </c>
      <c r="K40" s="118">
        <v>0.05</v>
      </c>
      <c r="Y40"/>
      <c r="AC40"/>
      <c r="AG40"/>
    </row>
    <row r="41" spans="4:33" ht="15" customHeight="1" x14ac:dyDescent="0.15">
      <c r="D41">
        <v>40</v>
      </c>
      <c r="E41" s="193" t="s">
        <v>231</v>
      </c>
      <c r="F41">
        <v>0.98</v>
      </c>
      <c r="G41">
        <v>0.8</v>
      </c>
      <c r="H41">
        <v>0.8</v>
      </c>
      <c r="I41">
        <v>0.8</v>
      </c>
      <c r="J41" s="118">
        <v>0.25</v>
      </c>
      <c r="K41" s="118">
        <v>0.05</v>
      </c>
      <c r="Y41"/>
      <c r="AC41"/>
      <c r="AG41"/>
    </row>
    <row r="42" spans="4:33" ht="15" customHeight="1" x14ac:dyDescent="0.15">
      <c r="D42">
        <v>41</v>
      </c>
      <c r="E42" s="193" t="s">
        <v>232</v>
      </c>
      <c r="F42">
        <v>0.98</v>
      </c>
      <c r="G42">
        <v>0.8</v>
      </c>
      <c r="H42">
        <v>0.8</v>
      </c>
      <c r="I42">
        <v>0.8</v>
      </c>
      <c r="J42" s="118">
        <v>0.25</v>
      </c>
      <c r="K42" s="118">
        <v>0.05</v>
      </c>
      <c r="Y42"/>
      <c r="AC42"/>
      <c r="AG42"/>
    </row>
    <row r="43" spans="4:33" ht="15" customHeight="1" x14ac:dyDescent="0.15">
      <c r="D43">
        <v>42</v>
      </c>
      <c r="E43" s="193" t="s">
        <v>233</v>
      </c>
      <c r="F43">
        <v>0.98</v>
      </c>
      <c r="G43">
        <v>0.8</v>
      </c>
      <c r="H43">
        <v>0.8</v>
      </c>
      <c r="I43">
        <v>0.8</v>
      </c>
      <c r="J43" s="118">
        <v>0.25</v>
      </c>
      <c r="K43" s="118">
        <v>0.05</v>
      </c>
      <c r="Y43"/>
      <c r="AC43"/>
      <c r="AG43"/>
    </row>
    <row r="44" spans="4:33" ht="15" customHeight="1" x14ac:dyDescent="0.15">
      <c r="D44">
        <v>43</v>
      </c>
      <c r="E44" s="193" t="s">
        <v>234</v>
      </c>
      <c r="F44">
        <v>0.98</v>
      </c>
      <c r="G44">
        <v>0.8</v>
      </c>
      <c r="H44">
        <v>0.8</v>
      </c>
      <c r="I44">
        <v>0.8</v>
      </c>
      <c r="J44" s="118">
        <v>0.25</v>
      </c>
      <c r="K44" s="118">
        <v>0.05</v>
      </c>
      <c r="Y44"/>
      <c r="AC44"/>
      <c r="AG44"/>
    </row>
    <row r="45" spans="4:33" ht="15" customHeight="1" x14ac:dyDescent="0.15">
      <c r="D45">
        <v>44</v>
      </c>
      <c r="E45" s="193" t="s">
        <v>235</v>
      </c>
      <c r="F45">
        <v>0.98</v>
      </c>
      <c r="G45">
        <v>0.8</v>
      </c>
      <c r="H45">
        <v>0.8</v>
      </c>
      <c r="I45">
        <v>0.8</v>
      </c>
      <c r="J45" s="118">
        <v>0.25</v>
      </c>
      <c r="K45" s="118">
        <v>0.05</v>
      </c>
      <c r="Y45"/>
      <c r="AC45"/>
      <c r="AG45"/>
    </row>
    <row r="46" spans="4:33" ht="15" customHeight="1" x14ac:dyDescent="0.15">
      <c r="D46">
        <v>45</v>
      </c>
      <c r="E46" s="193" t="s">
        <v>236</v>
      </c>
      <c r="F46">
        <v>0.98</v>
      </c>
      <c r="G46">
        <v>0.8</v>
      </c>
      <c r="H46">
        <v>0.8</v>
      </c>
      <c r="I46">
        <v>0.8</v>
      </c>
      <c r="J46" s="118">
        <v>0.25</v>
      </c>
      <c r="K46" s="118">
        <v>0.05</v>
      </c>
      <c r="Y46"/>
      <c r="AC46"/>
      <c r="AG46"/>
    </row>
    <row r="47" spans="4:33" ht="15" customHeight="1" x14ac:dyDescent="0.15">
      <c r="D47">
        <v>46</v>
      </c>
      <c r="E47" s="193" t="s">
        <v>237</v>
      </c>
      <c r="F47">
        <v>0.98</v>
      </c>
      <c r="G47">
        <v>0.8</v>
      </c>
      <c r="H47">
        <v>0.8</v>
      </c>
      <c r="I47">
        <v>0.8</v>
      </c>
      <c r="J47" s="118">
        <v>0.25</v>
      </c>
      <c r="K47" s="118">
        <v>0.05</v>
      </c>
      <c r="Y47"/>
      <c r="AC47"/>
      <c r="AG47"/>
    </row>
    <row r="48" spans="4:33" ht="15" customHeight="1" x14ac:dyDescent="0.15">
      <c r="D48">
        <v>47</v>
      </c>
      <c r="E48" s="193" t="s">
        <v>238</v>
      </c>
      <c r="F48">
        <v>0.98</v>
      </c>
      <c r="G48">
        <v>0.8</v>
      </c>
      <c r="H48">
        <v>0.8</v>
      </c>
      <c r="I48">
        <v>0.8</v>
      </c>
      <c r="J48" s="118">
        <v>0.25</v>
      </c>
      <c r="K48" s="118">
        <v>0.05</v>
      </c>
      <c r="Y48"/>
      <c r="AC48"/>
      <c r="AG48"/>
    </row>
    <row r="49" spans="4:33" ht="15" customHeight="1" x14ac:dyDescent="0.15">
      <c r="D49">
        <v>48</v>
      </c>
      <c r="E49" s="193" t="s">
        <v>239</v>
      </c>
      <c r="F49">
        <v>0.98</v>
      </c>
      <c r="G49">
        <v>0.8</v>
      </c>
      <c r="H49">
        <v>0.8</v>
      </c>
      <c r="I49">
        <v>0.8</v>
      </c>
      <c r="J49" s="118">
        <v>0.25</v>
      </c>
      <c r="K49" s="118">
        <v>0.05</v>
      </c>
      <c r="Y49"/>
      <c r="AC49"/>
      <c r="AG49"/>
    </row>
    <row r="50" spans="4:33" ht="15" customHeight="1" x14ac:dyDescent="0.15">
      <c r="D50">
        <v>49</v>
      </c>
      <c r="E50" s="193" t="s">
        <v>240</v>
      </c>
      <c r="F50">
        <v>0.98</v>
      </c>
      <c r="G50">
        <v>0.8</v>
      </c>
      <c r="H50">
        <v>0.8</v>
      </c>
      <c r="I50">
        <v>0</v>
      </c>
      <c r="J50" s="118">
        <v>0</v>
      </c>
      <c r="K50" s="118">
        <v>0</v>
      </c>
      <c r="Y50"/>
      <c r="AC50"/>
      <c r="AG50"/>
    </row>
    <row r="51" spans="4:33" ht="15" customHeight="1" x14ac:dyDescent="0.15">
      <c r="D51">
        <v>50</v>
      </c>
      <c r="E51" s="193" t="s">
        <v>241</v>
      </c>
      <c r="F51">
        <v>0.98</v>
      </c>
      <c r="G51">
        <v>0.8</v>
      </c>
      <c r="H51">
        <v>0</v>
      </c>
      <c r="I51">
        <v>0</v>
      </c>
      <c r="J51" s="118">
        <v>0</v>
      </c>
      <c r="K51" s="118">
        <v>0</v>
      </c>
      <c r="Y51"/>
      <c r="AC51"/>
      <c r="AG51"/>
    </row>
    <row r="52" spans="4:33" ht="15" customHeight="1" x14ac:dyDescent="0.15">
      <c r="D52">
        <v>51</v>
      </c>
      <c r="E52" s="193" t="s">
        <v>242</v>
      </c>
      <c r="F52">
        <v>0.98</v>
      </c>
      <c r="G52">
        <v>0.8</v>
      </c>
      <c r="H52">
        <v>0</v>
      </c>
      <c r="I52">
        <v>0</v>
      </c>
      <c r="J52" s="118">
        <v>0</v>
      </c>
      <c r="K52" s="118">
        <v>0</v>
      </c>
      <c r="Y52"/>
      <c r="AC52"/>
      <c r="AG52"/>
    </row>
    <row r="53" spans="4:33" ht="15" customHeight="1" x14ac:dyDescent="0.15">
      <c r="J53"/>
      <c r="K53"/>
      <c r="Y53"/>
      <c r="AC53"/>
      <c r="AG53"/>
    </row>
    <row r="54" spans="4:33" ht="15" customHeight="1" x14ac:dyDescent="0.15">
      <c r="J54"/>
      <c r="K54"/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Z53"/>
  <sheetViews>
    <sheetView workbookViewId="0">
      <selection activeCell="A3" sqref="A3"/>
    </sheetView>
  </sheetViews>
  <sheetFormatPr baseColWidth="10" defaultRowHeight="13" x14ac:dyDescent="0.15"/>
  <cols>
    <col min="1" max="1" width="26.6640625" style="116" bestFit="1" customWidth="1"/>
    <col min="2" max="49" width="3.83203125" style="116" customWidth="1"/>
    <col min="50" max="52" width="2.33203125" style="116" customWidth="1"/>
    <col min="53" max="16384" width="10.83203125" style="116"/>
  </cols>
  <sheetData>
    <row r="1" spans="1:52" x14ac:dyDescent="0.15">
      <c r="A1" s="63" t="s">
        <v>118</v>
      </c>
      <c r="B1" s="195" t="s">
        <v>192</v>
      </c>
      <c r="C1" s="195" t="s">
        <v>193</v>
      </c>
      <c r="D1" s="195" t="s">
        <v>194</v>
      </c>
      <c r="E1" s="195" t="s">
        <v>195</v>
      </c>
      <c r="F1" s="195" t="s">
        <v>196</v>
      </c>
      <c r="G1" s="195" t="s">
        <v>197</v>
      </c>
      <c r="H1" s="195" t="s">
        <v>198</v>
      </c>
      <c r="I1" s="195" t="s">
        <v>199</v>
      </c>
      <c r="J1" s="195" t="s">
        <v>200</v>
      </c>
      <c r="K1" s="195" t="s">
        <v>201</v>
      </c>
      <c r="L1" s="195" t="s">
        <v>202</v>
      </c>
      <c r="M1" s="195" t="s">
        <v>203</v>
      </c>
      <c r="N1" s="195" t="s">
        <v>204</v>
      </c>
      <c r="O1" s="195" t="s">
        <v>205</v>
      </c>
      <c r="P1" s="195" t="s">
        <v>206</v>
      </c>
      <c r="Q1" s="195" t="s">
        <v>207</v>
      </c>
      <c r="R1" s="195" t="s">
        <v>208</v>
      </c>
      <c r="S1" s="195" t="s">
        <v>209</v>
      </c>
      <c r="T1" s="195" t="s">
        <v>210</v>
      </c>
      <c r="U1" s="195" t="s">
        <v>211</v>
      </c>
      <c r="V1" s="195" t="s">
        <v>212</v>
      </c>
      <c r="W1" s="195" t="s">
        <v>213</v>
      </c>
      <c r="X1" s="195" t="s">
        <v>214</v>
      </c>
      <c r="Y1" s="195" t="s">
        <v>215</v>
      </c>
      <c r="Z1" s="195" t="s">
        <v>216</v>
      </c>
      <c r="AA1" s="195" t="s">
        <v>217</v>
      </c>
      <c r="AB1" s="195" t="s">
        <v>218</v>
      </c>
      <c r="AC1" s="195" t="s">
        <v>219</v>
      </c>
      <c r="AD1" s="195" t="s">
        <v>220</v>
      </c>
      <c r="AE1" s="195" t="s">
        <v>221</v>
      </c>
      <c r="AF1" s="195" t="s">
        <v>222</v>
      </c>
      <c r="AG1" s="195" t="s">
        <v>223</v>
      </c>
      <c r="AH1" s="195" t="s">
        <v>224</v>
      </c>
      <c r="AI1" s="195" t="s">
        <v>225</v>
      </c>
      <c r="AJ1" s="195" t="s">
        <v>226</v>
      </c>
      <c r="AK1" s="195" t="s">
        <v>227</v>
      </c>
      <c r="AL1" s="195" t="s">
        <v>228</v>
      </c>
      <c r="AM1" s="195" t="s">
        <v>229</v>
      </c>
      <c r="AN1" s="195" t="s">
        <v>230</v>
      </c>
      <c r="AO1" s="195" t="s">
        <v>231</v>
      </c>
      <c r="AP1" s="195" t="s">
        <v>232</v>
      </c>
      <c r="AQ1" s="195" t="s">
        <v>233</v>
      </c>
      <c r="AR1" s="195" t="s">
        <v>234</v>
      </c>
      <c r="AS1" s="195" t="s">
        <v>235</v>
      </c>
      <c r="AT1" s="195" t="s">
        <v>236</v>
      </c>
      <c r="AU1" s="195" t="s">
        <v>237</v>
      </c>
      <c r="AV1" s="195" t="s">
        <v>238</v>
      </c>
      <c r="AW1" s="195" t="s">
        <v>239</v>
      </c>
      <c r="AX1" s="195" t="s">
        <v>240</v>
      </c>
      <c r="AY1" s="195" t="s">
        <v>241</v>
      </c>
      <c r="AZ1" s="195" t="s">
        <v>242</v>
      </c>
    </row>
    <row r="2" spans="1:52" customFormat="1" x14ac:dyDescent="0.15">
      <c r="A2" s="194" t="s">
        <v>192</v>
      </c>
      <c r="B2" s="116">
        <v>0</v>
      </c>
      <c r="C2" s="116">
        <v>0</v>
      </c>
      <c r="D2" s="116">
        <v>0</v>
      </c>
      <c r="E2" s="116">
        <v>0</v>
      </c>
      <c r="F2" s="116">
        <v>0</v>
      </c>
      <c r="G2" s="116">
        <v>0</v>
      </c>
      <c r="H2" s="116">
        <v>0</v>
      </c>
      <c r="I2" s="116">
        <v>0</v>
      </c>
      <c r="J2" s="116">
        <v>0</v>
      </c>
      <c r="K2" s="116">
        <v>0</v>
      </c>
      <c r="L2" s="116">
        <v>0</v>
      </c>
      <c r="M2" s="116">
        <v>0</v>
      </c>
      <c r="N2" s="116">
        <v>0</v>
      </c>
      <c r="O2" s="116">
        <v>0</v>
      </c>
      <c r="P2" s="116">
        <v>0</v>
      </c>
      <c r="Q2" s="116">
        <v>0</v>
      </c>
      <c r="R2" s="116">
        <v>0</v>
      </c>
      <c r="S2" s="116">
        <v>0</v>
      </c>
      <c r="T2" s="116">
        <v>0</v>
      </c>
      <c r="U2" s="116">
        <v>0</v>
      </c>
      <c r="V2" s="116">
        <v>0</v>
      </c>
      <c r="W2" s="116">
        <v>0</v>
      </c>
      <c r="X2" s="116">
        <v>0</v>
      </c>
      <c r="Y2" s="116">
        <v>0</v>
      </c>
      <c r="Z2" s="116">
        <v>0</v>
      </c>
      <c r="AA2" s="116">
        <v>0</v>
      </c>
      <c r="AB2" s="116">
        <v>0</v>
      </c>
      <c r="AC2" s="116">
        <v>0</v>
      </c>
      <c r="AD2" s="116">
        <v>0</v>
      </c>
      <c r="AE2" s="116">
        <v>0</v>
      </c>
      <c r="AF2" s="116">
        <v>0</v>
      </c>
      <c r="AG2" s="116">
        <v>0</v>
      </c>
      <c r="AH2" s="116">
        <v>0</v>
      </c>
      <c r="AI2" s="116">
        <v>0</v>
      </c>
      <c r="AJ2" s="116">
        <v>0</v>
      </c>
      <c r="AK2" s="116">
        <v>0</v>
      </c>
      <c r="AL2" s="116">
        <v>0</v>
      </c>
      <c r="AM2" s="116">
        <v>0</v>
      </c>
      <c r="AN2" s="116">
        <v>0</v>
      </c>
      <c r="AO2" s="116">
        <v>0</v>
      </c>
      <c r="AP2" s="116">
        <v>0</v>
      </c>
      <c r="AQ2" s="116">
        <v>0</v>
      </c>
      <c r="AR2" s="116">
        <v>0</v>
      </c>
      <c r="AS2" s="116">
        <v>0</v>
      </c>
      <c r="AT2" s="116">
        <v>0</v>
      </c>
      <c r="AU2" s="116">
        <v>0</v>
      </c>
      <c r="AV2" s="116">
        <v>0</v>
      </c>
      <c r="AW2" s="116">
        <v>0</v>
      </c>
      <c r="AX2" s="116">
        <v>0</v>
      </c>
      <c r="AY2" s="116">
        <v>0</v>
      </c>
      <c r="AZ2" s="116">
        <v>0</v>
      </c>
    </row>
    <row r="3" spans="1:52" customFormat="1" x14ac:dyDescent="0.15">
      <c r="A3" s="194" t="s">
        <v>193</v>
      </c>
      <c r="B3" s="116">
        <v>0</v>
      </c>
      <c r="C3" s="116">
        <v>0</v>
      </c>
      <c r="D3" s="116">
        <v>0</v>
      </c>
      <c r="E3" s="116">
        <v>0</v>
      </c>
      <c r="F3" s="116">
        <v>0</v>
      </c>
      <c r="G3" s="116">
        <v>0</v>
      </c>
      <c r="H3" s="116">
        <v>0</v>
      </c>
      <c r="I3" s="116">
        <v>0</v>
      </c>
      <c r="J3" s="116">
        <v>0</v>
      </c>
      <c r="K3" s="116">
        <v>0</v>
      </c>
      <c r="L3" s="116">
        <v>0</v>
      </c>
      <c r="M3" s="116">
        <v>0</v>
      </c>
      <c r="N3" s="116">
        <v>0</v>
      </c>
      <c r="O3" s="116">
        <v>0</v>
      </c>
      <c r="P3" s="116">
        <v>0</v>
      </c>
      <c r="Q3" s="116">
        <v>0</v>
      </c>
      <c r="R3" s="116">
        <v>0</v>
      </c>
      <c r="S3" s="116">
        <v>0</v>
      </c>
      <c r="T3" s="116">
        <v>0</v>
      </c>
      <c r="U3" s="116">
        <v>0</v>
      </c>
      <c r="V3" s="116">
        <v>0</v>
      </c>
      <c r="W3" s="116">
        <v>0</v>
      </c>
      <c r="X3" s="116">
        <v>0</v>
      </c>
      <c r="Y3" s="116">
        <v>0</v>
      </c>
      <c r="Z3" s="116">
        <v>0</v>
      </c>
      <c r="AA3" s="116">
        <v>0</v>
      </c>
      <c r="AB3" s="116">
        <v>0</v>
      </c>
      <c r="AC3" s="116">
        <v>0</v>
      </c>
      <c r="AD3" s="116">
        <v>0</v>
      </c>
      <c r="AE3" s="116">
        <v>0</v>
      </c>
      <c r="AF3" s="116">
        <v>0</v>
      </c>
      <c r="AG3" s="116">
        <v>0</v>
      </c>
      <c r="AH3" s="116">
        <v>0</v>
      </c>
      <c r="AI3" s="116">
        <v>0</v>
      </c>
      <c r="AJ3" s="116">
        <v>0</v>
      </c>
      <c r="AK3" s="116">
        <v>0</v>
      </c>
      <c r="AL3" s="116">
        <v>0</v>
      </c>
      <c r="AM3" s="116">
        <v>0</v>
      </c>
      <c r="AN3" s="116">
        <v>0</v>
      </c>
      <c r="AO3" s="116">
        <v>0</v>
      </c>
      <c r="AP3" s="116">
        <v>0</v>
      </c>
      <c r="AQ3" s="116">
        <v>0</v>
      </c>
      <c r="AR3" s="116">
        <v>0</v>
      </c>
      <c r="AS3" s="116">
        <v>0</v>
      </c>
      <c r="AT3" s="116">
        <v>0</v>
      </c>
      <c r="AU3" s="116">
        <v>0</v>
      </c>
      <c r="AV3" s="116">
        <v>0</v>
      </c>
      <c r="AW3" s="116">
        <v>0</v>
      </c>
      <c r="AX3" s="116">
        <v>0</v>
      </c>
      <c r="AY3" s="116">
        <v>0</v>
      </c>
      <c r="AZ3" s="116">
        <v>0</v>
      </c>
    </row>
    <row r="4" spans="1:52" customFormat="1" x14ac:dyDescent="0.15">
      <c r="A4" s="194" t="s">
        <v>194</v>
      </c>
      <c r="B4" s="116">
        <v>0.8</v>
      </c>
      <c r="C4" s="116">
        <v>0</v>
      </c>
      <c r="D4" s="116">
        <v>0</v>
      </c>
      <c r="E4" s="116">
        <v>0</v>
      </c>
      <c r="F4" s="116">
        <v>0</v>
      </c>
      <c r="G4" s="116">
        <v>0</v>
      </c>
      <c r="H4" s="116">
        <v>0</v>
      </c>
      <c r="I4" s="116">
        <v>0</v>
      </c>
      <c r="J4" s="116">
        <v>0</v>
      </c>
      <c r="K4" s="116">
        <v>0</v>
      </c>
      <c r="L4" s="116">
        <v>0</v>
      </c>
      <c r="M4" s="116">
        <v>0</v>
      </c>
      <c r="N4" s="116">
        <v>0</v>
      </c>
      <c r="O4" s="116">
        <v>0</v>
      </c>
      <c r="P4" s="116">
        <v>0</v>
      </c>
      <c r="Q4" s="116">
        <v>0</v>
      </c>
      <c r="R4" s="116">
        <v>0</v>
      </c>
      <c r="S4" s="116">
        <v>0</v>
      </c>
      <c r="T4" s="116">
        <v>0</v>
      </c>
      <c r="U4" s="116">
        <v>0</v>
      </c>
      <c r="V4" s="116">
        <v>0</v>
      </c>
      <c r="W4" s="116">
        <v>0</v>
      </c>
      <c r="X4" s="116">
        <v>0</v>
      </c>
      <c r="Y4" s="116">
        <v>0</v>
      </c>
      <c r="Z4" s="116">
        <v>0</v>
      </c>
      <c r="AA4" s="116">
        <v>0</v>
      </c>
      <c r="AB4" s="116">
        <v>0</v>
      </c>
      <c r="AC4" s="116">
        <v>0</v>
      </c>
      <c r="AD4" s="116">
        <v>0</v>
      </c>
      <c r="AE4" s="116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116">
        <v>0</v>
      </c>
      <c r="AO4" s="116">
        <v>0</v>
      </c>
      <c r="AP4" s="116">
        <v>0</v>
      </c>
      <c r="AQ4" s="116">
        <v>0</v>
      </c>
      <c r="AR4" s="116">
        <v>0</v>
      </c>
      <c r="AS4" s="116">
        <v>0</v>
      </c>
      <c r="AT4" s="116">
        <v>0</v>
      </c>
      <c r="AU4" s="116">
        <v>0</v>
      </c>
      <c r="AV4" s="116">
        <v>0</v>
      </c>
      <c r="AW4" s="116">
        <v>0</v>
      </c>
      <c r="AX4" s="116">
        <v>0</v>
      </c>
      <c r="AY4" s="116">
        <v>0</v>
      </c>
      <c r="AZ4" s="116">
        <v>0</v>
      </c>
    </row>
    <row r="5" spans="1:52" customFormat="1" x14ac:dyDescent="0.15">
      <c r="A5" s="194" t="s">
        <v>195</v>
      </c>
      <c r="B5" s="116">
        <v>0.8</v>
      </c>
      <c r="C5" s="116">
        <v>0</v>
      </c>
      <c r="D5" s="116">
        <v>0</v>
      </c>
      <c r="E5" s="116">
        <v>0</v>
      </c>
      <c r="F5" s="116">
        <v>0</v>
      </c>
      <c r="G5" s="116">
        <v>0</v>
      </c>
      <c r="H5" s="116">
        <v>0</v>
      </c>
      <c r="I5" s="116">
        <v>0</v>
      </c>
      <c r="J5" s="116">
        <v>0</v>
      </c>
      <c r="K5" s="116">
        <v>0</v>
      </c>
      <c r="L5" s="116">
        <v>0</v>
      </c>
      <c r="M5" s="116">
        <v>0</v>
      </c>
      <c r="N5" s="116">
        <v>0</v>
      </c>
      <c r="O5" s="116">
        <v>0</v>
      </c>
      <c r="P5" s="116">
        <v>0</v>
      </c>
      <c r="Q5" s="116">
        <v>0</v>
      </c>
      <c r="R5" s="116">
        <v>0</v>
      </c>
      <c r="S5" s="116">
        <v>0</v>
      </c>
      <c r="T5" s="116">
        <v>0</v>
      </c>
      <c r="U5" s="116">
        <v>0</v>
      </c>
      <c r="V5" s="116">
        <v>0</v>
      </c>
      <c r="W5" s="116">
        <v>0</v>
      </c>
      <c r="X5" s="116">
        <v>0</v>
      </c>
      <c r="Y5" s="116">
        <v>0</v>
      </c>
      <c r="Z5" s="116">
        <v>0</v>
      </c>
      <c r="AA5" s="116">
        <v>0</v>
      </c>
      <c r="AB5" s="116">
        <v>0</v>
      </c>
      <c r="AC5" s="116">
        <v>0</v>
      </c>
      <c r="AD5" s="116">
        <v>0</v>
      </c>
      <c r="AE5" s="116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116">
        <v>0</v>
      </c>
      <c r="AO5" s="116">
        <v>0</v>
      </c>
      <c r="AP5" s="116">
        <v>0</v>
      </c>
      <c r="AQ5" s="116">
        <v>0</v>
      </c>
      <c r="AR5" s="116">
        <v>0</v>
      </c>
      <c r="AS5" s="116">
        <v>0</v>
      </c>
      <c r="AT5" s="116">
        <v>0</v>
      </c>
      <c r="AU5" s="116">
        <v>0</v>
      </c>
      <c r="AV5" s="116">
        <v>0</v>
      </c>
      <c r="AW5" s="116">
        <v>0</v>
      </c>
      <c r="AX5" s="116">
        <v>0</v>
      </c>
      <c r="AY5" s="116">
        <v>0</v>
      </c>
      <c r="AZ5" s="116">
        <v>0</v>
      </c>
    </row>
    <row r="6" spans="1:52" customFormat="1" x14ac:dyDescent="0.15">
      <c r="A6" s="194" t="s">
        <v>196</v>
      </c>
      <c r="B6" s="116">
        <v>0.8</v>
      </c>
      <c r="C6" s="116">
        <v>0</v>
      </c>
      <c r="D6" s="116">
        <v>0</v>
      </c>
      <c r="E6" s="116">
        <v>0</v>
      </c>
      <c r="F6" s="116">
        <v>0</v>
      </c>
      <c r="G6" s="116">
        <v>0</v>
      </c>
      <c r="H6" s="116">
        <v>0</v>
      </c>
      <c r="I6" s="116">
        <v>0</v>
      </c>
      <c r="J6" s="116">
        <v>0</v>
      </c>
      <c r="K6" s="116">
        <v>0</v>
      </c>
      <c r="L6" s="116">
        <v>0</v>
      </c>
      <c r="M6" s="116">
        <v>0</v>
      </c>
      <c r="N6" s="116">
        <v>0</v>
      </c>
      <c r="O6" s="116">
        <v>0</v>
      </c>
      <c r="P6" s="116">
        <v>0</v>
      </c>
      <c r="Q6" s="116">
        <v>0</v>
      </c>
      <c r="R6" s="116">
        <v>0</v>
      </c>
      <c r="S6" s="116">
        <v>0</v>
      </c>
      <c r="T6" s="116">
        <v>0</v>
      </c>
      <c r="U6" s="116">
        <v>0</v>
      </c>
      <c r="V6" s="116">
        <v>0</v>
      </c>
      <c r="W6" s="116">
        <v>0</v>
      </c>
      <c r="X6" s="116">
        <v>0</v>
      </c>
      <c r="Y6" s="116">
        <v>0</v>
      </c>
      <c r="Z6" s="116">
        <v>0</v>
      </c>
      <c r="AA6" s="116">
        <v>0</v>
      </c>
      <c r="AB6" s="116">
        <v>0</v>
      </c>
      <c r="AC6" s="116">
        <v>0</v>
      </c>
      <c r="AD6" s="116">
        <v>0</v>
      </c>
      <c r="AE6" s="116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116">
        <v>0</v>
      </c>
      <c r="AO6" s="116">
        <v>0</v>
      </c>
      <c r="AP6" s="116">
        <v>0</v>
      </c>
      <c r="AQ6" s="116">
        <v>0</v>
      </c>
      <c r="AR6" s="116">
        <v>0</v>
      </c>
      <c r="AS6" s="116">
        <v>0</v>
      </c>
      <c r="AT6" s="116">
        <v>0</v>
      </c>
      <c r="AU6" s="116">
        <v>0</v>
      </c>
      <c r="AV6" s="116">
        <v>0</v>
      </c>
      <c r="AW6" s="116">
        <v>0</v>
      </c>
      <c r="AX6" s="116">
        <v>0</v>
      </c>
      <c r="AY6" s="116">
        <v>0</v>
      </c>
      <c r="AZ6" s="116">
        <v>0</v>
      </c>
    </row>
    <row r="7" spans="1:52" customFormat="1" x14ac:dyDescent="0.15">
      <c r="A7" s="194" t="s">
        <v>197</v>
      </c>
      <c r="B7" s="116">
        <v>0</v>
      </c>
      <c r="C7" s="116">
        <v>0</v>
      </c>
      <c r="D7" s="116">
        <v>0</v>
      </c>
      <c r="E7" s="116">
        <v>0</v>
      </c>
      <c r="F7" s="116">
        <v>0</v>
      </c>
      <c r="G7" s="116">
        <v>0</v>
      </c>
      <c r="H7" s="116">
        <v>0</v>
      </c>
      <c r="I7" s="116">
        <v>0</v>
      </c>
      <c r="J7" s="116">
        <v>0</v>
      </c>
      <c r="K7" s="116">
        <v>0</v>
      </c>
      <c r="L7" s="116">
        <v>0</v>
      </c>
      <c r="M7" s="116">
        <v>0</v>
      </c>
      <c r="N7" s="116">
        <v>0</v>
      </c>
      <c r="O7" s="116">
        <v>0</v>
      </c>
      <c r="P7" s="116">
        <v>0</v>
      </c>
      <c r="Q7" s="116">
        <v>0</v>
      </c>
      <c r="R7" s="116">
        <v>0</v>
      </c>
      <c r="S7" s="116">
        <v>0</v>
      </c>
      <c r="T7" s="116">
        <v>0</v>
      </c>
      <c r="U7" s="116">
        <v>0</v>
      </c>
      <c r="V7" s="116">
        <v>0</v>
      </c>
      <c r="W7" s="116">
        <v>0</v>
      </c>
      <c r="X7" s="116">
        <v>0</v>
      </c>
      <c r="Y7" s="116">
        <v>0</v>
      </c>
      <c r="Z7" s="116">
        <v>0</v>
      </c>
      <c r="AA7" s="116">
        <v>0</v>
      </c>
      <c r="AB7" s="116">
        <v>0</v>
      </c>
      <c r="AC7" s="116">
        <v>0</v>
      </c>
      <c r="AD7" s="116">
        <v>0</v>
      </c>
      <c r="AE7" s="116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0</v>
      </c>
      <c r="AM7" s="116">
        <v>0</v>
      </c>
      <c r="AN7" s="116">
        <v>0</v>
      </c>
      <c r="AO7" s="116">
        <v>0</v>
      </c>
      <c r="AP7" s="116">
        <v>0</v>
      </c>
      <c r="AQ7" s="116">
        <v>0</v>
      </c>
      <c r="AR7" s="116">
        <v>0</v>
      </c>
      <c r="AS7" s="116">
        <v>0</v>
      </c>
      <c r="AT7" s="116">
        <v>0</v>
      </c>
      <c r="AU7" s="116">
        <v>0</v>
      </c>
      <c r="AV7" s="116">
        <v>0</v>
      </c>
      <c r="AW7" s="116">
        <v>0</v>
      </c>
      <c r="AX7" s="116">
        <v>0</v>
      </c>
      <c r="AY7" s="116">
        <v>0</v>
      </c>
      <c r="AZ7" s="116">
        <v>0</v>
      </c>
    </row>
    <row r="8" spans="1:52" customFormat="1" x14ac:dyDescent="0.15">
      <c r="A8" s="194" t="s">
        <v>198</v>
      </c>
      <c r="B8" s="116">
        <v>0</v>
      </c>
      <c r="C8" s="116">
        <v>0</v>
      </c>
      <c r="D8" s="116">
        <v>0</v>
      </c>
      <c r="E8" s="116">
        <v>0.8</v>
      </c>
      <c r="F8" s="116">
        <v>0</v>
      </c>
      <c r="G8" s="116">
        <v>0</v>
      </c>
      <c r="H8" s="116">
        <v>0</v>
      </c>
      <c r="I8" s="116">
        <v>0</v>
      </c>
      <c r="J8" s="116">
        <v>0</v>
      </c>
      <c r="K8" s="116">
        <v>0</v>
      </c>
      <c r="L8" s="116">
        <v>0</v>
      </c>
      <c r="M8" s="116">
        <v>0</v>
      </c>
      <c r="N8" s="116">
        <v>0</v>
      </c>
      <c r="O8" s="116">
        <v>0</v>
      </c>
      <c r="P8" s="116">
        <v>0</v>
      </c>
      <c r="Q8" s="116">
        <v>0</v>
      </c>
      <c r="R8" s="116">
        <v>0</v>
      </c>
      <c r="S8" s="116">
        <v>0</v>
      </c>
      <c r="T8" s="116">
        <v>0</v>
      </c>
      <c r="U8" s="116">
        <v>0</v>
      </c>
      <c r="V8" s="116">
        <v>0</v>
      </c>
      <c r="W8" s="116">
        <v>0</v>
      </c>
      <c r="X8" s="116">
        <v>0</v>
      </c>
      <c r="Y8" s="116">
        <v>0</v>
      </c>
      <c r="Z8" s="116">
        <v>0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16">
        <v>0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116">
        <v>0</v>
      </c>
      <c r="AO8" s="116">
        <v>0</v>
      </c>
      <c r="AP8" s="116">
        <v>0</v>
      </c>
      <c r="AQ8" s="116">
        <v>0</v>
      </c>
      <c r="AR8" s="116">
        <v>0</v>
      </c>
      <c r="AS8" s="116">
        <v>0</v>
      </c>
      <c r="AT8" s="116">
        <v>0</v>
      </c>
      <c r="AU8" s="116">
        <v>0</v>
      </c>
      <c r="AV8" s="116">
        <v>0</v>
      </c>
      <c r="AW8" s="116">
        <v>0</v>
      </c>
      <c r="AX8" s="116">
        <v>0</v>
      </c>
      <c r="AY8" s="116">
        <v>0</v>
      </c>
      <c r="AZ8" s="116">
        <v>0</v>
      </c>
    </row>
    <row r="9" spans="1:52" customFormat="1" x14ac:dyDescent="0.15">
      <c r="A9" s="194" t="s">
        <v>199</v>
      </c>
      <c r="B9" s="116">
        <v>0</v>
      </c>
      <c r="C9" s="116">
        <v>0</v>
      </c>
      <c r="D9" s="116">
        <v>0</v>
      </c>
      <c r="E9" s="116">
        <v>0</v>
      </c>
      <c r="F9" s="116">
        <v>0</v>
      </c>
      <c r="G9" s="116">
        <v>0</v>
      </c>
      <c r="H9" s="116">
        <v>0</v>
      </c>
      <c r="I9" s="116">
        <v>0</v>
      </c>
      <c r="J9" s="116">
        <v>0</v>
      </c>
      <c r="K9" s="116">
        <v>0</v>
      </c>
      <c r="L9" s="116">
        <v>0</v>
      </c>
      <c r="M9" s="116">
        <v>0</v>
      </c>
      <c r="N9" s="116">
        <v>0</v>
      </c>
      <c r="O9" s="116">
        <v>0</v>
      </c>
      <c r="P9" s="116">
        <v>0</v>
      </c>
      <c r="Q9" s="116">
        <v>0</v>
      </c>
      <c r="R9" s="116">
        <v>0</v>
      </c>
      <c r="S9" s="116">
        <v>0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  <c r="AO9" s="116">
        <v>0</v>
      </c>
      <c r="AP9" s="116">
        <v>0</v>
      </c>
      <c r="AQ9" s="116">
        <v>0</v>
      </c>
      <c r="AR9" s="116">
        <v>0</v>
      </c>
      <c r="AS9" s="116">
        <v>0</v>
      </c>
      <c r="AT9" s="116">
        <v>0</v>
      </c>
      <c r="AU9" s="116">
        <v>0</v>
      </c>
      <c r="AV9" s="116">
        <v>0</v>
      </c>
      <c r="AW9" s="116">
        <v>0</v>
      </c>
      <c r="AX9" s="116">
        <v>0</v>
      </c>
      <c r="AY9" s="116">
        <v>0</v>
      </c>
      <c r="AZ9" s="116">
        <v>0</v>
      </c>
    </row>
    <row r="10" spans="1:52" customFormat="1" x14ac:dyDescent="0.15">
      <c r="A10" s="194" t="s">
        <v>200</v>
      </c>
      <c r="B10" s="116">
        <v>0</v>
      </c>
      <c r="C10" s="116">
        <v>0</v>
      </c>
      <c r="D10" s="116">
        <v>0.8</v>
      </c>
      <c r="E10" s="116">
        <v>0.8</v>
      </c>
      <c r="F10" s="116">
        <v>0.8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  <c r="AO10" s="116">
        <v>0</v>
      </c>
      <c r="AP10" s="116">
        <v>0</v>
      </c>
      <c r="AQ10" s="116">
        <v>0</v>
      </c>
      <c r="AR10" s="116">
        <v>0</v>
      </c>
      <c r="AS10" s="116">
        <v>0</v>
      </c>
      <c r="AT10" s="116">
        <v>0</v>
      </c>
      <c r="AU10" s="116">
        <v>0</v>
      </c>
      <c r="AV10" s="116">
        <v>0</v>
      </c>
      <c r="AW10" s="116">
        <v>0</v>
      </c>
      <c r="AX10" s="116">
        <v>0</v>
      </c>
      <c r="AY10" s="116">
        <v>0</v>
      </c>
      <c r="AZ10" s="116">
        <v>0</v>
      </c>
    </row>
    <row r="11" spans="1:52" customFormat="1" x14ac:dyDescent="0.15">
      <c r="A11" s="194" t="s">
        <v>201</v>
      </c>
      <c r="B11" s="116">
        <v>0</v>
      </c>
      <c r="C11" s="116">
        <v>0.8</v>
      </c>
      <c r="D11" s="116">
        <v>0.8</v>
      </c>
      <c r="E11" s="116">
        <v>0.8</v>
      </c>
      <c r="F11" s="116">
        <v>0.8</v>
      </c>
      <c r="G11" s="116">
        <v>0</v>
      </c>
      <c r="H11" s="116">
        <v>0.8</v>
      </c>
      <c r="I11" s="116">
        <v>0</v>
      </c>
      <c r="J11" s="116">
        <v>0.8</v>
      </c>
      <c r="K11" s="116">
        <v>0.8</v>
      </c>
      <c r="L11" s="116">
        <v>0.8</v>
      </c>
      <c r="M11" s="116">
        <v>0.8</v>
      </c>
      <c r="N11" s="116">
        <v>0.8</v>
      </c>
      <c r="O11" s="116">
        <v>0.8</v>
      </c>
      <c r="P11" s="116">
        <v>0</v>
      </c>
      <c r="Q11" s="116">
        <v>0</v>
      </c>
      <c r="R11" s="116">
        <v>0</v>
      </c>
      <c r="S11" s="116">
        <v>0.8</v>
      </c>
      <c r="T11" s="116">
        <v>0.8</v>
      </c>
      <c r="U11" s="116">
        <v>0.8</v>
      </c>
      <c r="V11" s="116">
        <v>0</v>
      </c>
      <c r="W11" s="116">
        <v>0.8</v>
      </c>
      <c r="X11" s="116">
        <v>0.8</v>
      </c>
      <c r="Y11" s="116">
        <v>0.8</v>
      </c>
      <c r="Z11" s="116">
        <v>0.8</v>
      </c>
      <c r="AA11" s="116">
        <v>0</v>
      </c>
      <c r="AB11" s="116">
        <v>0</v>
      </c>
      <c r="AC11" s="116">
        <v>0</v>
      </c>
      <c r="AD11" s="116">
        <v>0.8</v>
      </c>
      <c r="AE11" s="116">
        <v>0</v>
      </c>
      <c r="AF11" s="116">
        <v>0</v>
      </c>
      <c r="AG11" s="116">
        <v>0</v>
      </c>
      <c r="AH11" s="116">
        <v>0</v>
      </c>
      <c r="AI11" s="116">
        <v>0.8</v>
      </c>
      <c r="AJ11" s="116">
        <v>0</v>
      </c>
      <c r="AK11" s="116">
        <v>0</v>
      </c>
      <c r="AL11" s="116">
        <v>0.8</v>
      </c>
      <c r="AM11" s="116">
        <v>0</v>
      </c>
      <c r="AN11" s="116">
        <v>0</v>
      </c>
      <c r="AO11" s="116">
        <v>0</v>
      </c>
      <c r="AP11" s="116">
        <v>0</v>
      </c>
      <c r="AQ11" s="116">
        <v>0</v>
      </c>
      <c r="AR11" s="116">
        <v>0</v>
      </c>
      <c r="AS11" s="116">
        <v>0</v>
      </c>
      <c r="AT11" s="116">
        <v>0</v>
      </c>
      <c r="AU11" s="116">
        <v>0</v>
      </c>
      <c r="AV11" s="116">
        <v>0</v>
      </c>
      <c r="AW11" s="116">
        <v>0</v>
      </c>
      <c r="AX11" s="116">
        <v>0</v>
      </c>
      <c r="AY11" s="116">
        <v>0</v>
      </c>
      <c r="AZ11" s="116">
        <v>0</v>
      </c>
    </row>
    <row r="12" spans="1:52" customFormat="1" x14ac:dyDescent="0.15">
      <c r="A12" s="194" t="s">
        <v>202</v>
      </c>
      <c r="B12" s="116">
        <v>0</v>
      </c>
      <c r="C12" s="116">
        <v>0</v>
      </c>
      <c r="D12" s="116">
        <v>0</v>
      </c>
      <c r="E12" s="116">
        <v>0.8</v>
      </c>
      <c r="F12" s="116">
        <v>0</v>
      </c>
      <c r="G12" s="116">
        <v>0</v>
      </c>
      <c r="H12" s="116">
        <v>0</v>
      </c>
      <c r="I12" s="116">
        <v>0</v>
      </c>
      <c r="J12" s="116">
        <v>0</v>
      </c>
      <c r="K12" s="116">
        <v>0</v>
      </c>
      <c r="L12" s="116">
        <v>0</v>
      </c>
      <c r="M12" s="116">
        <v>0</v>
      </c>
      <c r="N12" s="116">
        <v>0</v>
      </c>
      <c r="O12" s="116">
        <v>0</v>
      </c>
      <c r="P12" s="116">
        <v>0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  <c r="AO12" s="116">
        <v>0</v>
      </c>
      <c r="AP12" s="116">
        <v>0</v>
      </c>
      <c r="AQ12" s="116">
        <v>0</v>
      </c>
      <c r="AR12" s="116">
        <v>0</v>
      </c>
      <c r="AS12" s="116">
        <v>0</v>
      </c>
      <c r="AT12" s="116">
        <v>0</v>
      </c>
      <c r="AU12" s="116">
        <v>0</v>
      </c>
      <c r="AV12" s="116">
        <v>0</v>
      </c>
      <c r="AW12" s="116">
        <v>0</v>
      </c>
      <c r="AX12" s="116">
        <v>0</v>
      </c>
      <c r="AY12" s="116">
        <v>0</v>
      </c>
      <c r="AZ12" s="116">
        <v>0</v>
      </c>
    </row>
    <row r="13" spans="1:52" customFormat="1" x14ac:dyDescent="0.15">
      <c r="A13" s="194" t="s">
        <v>203</v>
      </c>
      <c r="B13" s="116">
        <v>0.8</v>
      </c>
      <c r="C13" s="116">
        <v>0</v>
      </c>
      <c r="D13" s="116">
        <v>0.8</v>
      </c>
      <c r="E13" s="116">
        <v>0.8</v>
      </c>
      <c r="F13" s="116">
        <v>0</v>
      </c>
      <c r="G13" s="116">
        <v>0</v>
      </c>
      <c r="H13" s="116">
        <v>0</v>
      </c>
      <c r="I13" s="116">
        <v>0</v>
      </c>
      <c r="J13" s="116">
        <v>0.8</v>
      </c>
      <c r="K13" s="116">
        <v>0.8</v>
      </c>
      <c r="L13" s="116">
        <v>0.8</v>
      </c>
      <c r="M13" s="116">
        <v>0.8</v>
      </c>
      <c r="N13" s="116">
        <v>0.8</v>
      </c>
      <c r="O13" s="116">
        <v>0</v>
      </c>
      <c r="P13" s="116">
        <v>0</v>
      </c>
      <c r="Q13" s="116">
        <v>0</v>
      </c>
      <c r="R13" s="116">
        <v>0</v>
      </c>
      <c r="S13" s="116">
        <v>0.8</v>
      </c>
      <c r="T13" s="116">
        <v>0</v>
      </c>
      <c r="U13" s="116">
        <v>0</v>
      </c>
      <c r="V13" s="116">
        <v>0</v>
      </c>
      <c r="W13" s="116">
        <v>0.8</v>
      </c>
      <c r="X13" s="116">
        <v>0.8</v>
      </c>
      <c r="Y13" s="116">
        <v>0.8</v>
      </c>
      <c r="Z13" s="116">
        <v>0.8</v>
      </c>
      <c r="AA13" s="116">
        <v>0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  <c r="AO13" s="116">
        <v>0</v>
      </c>
      <c r="AP13" s="116">
        <v>0</v>
      </c>
      <c r="AQ13" s="116">
        <v>0</v>
      </c>
      <c r="AR13" s="116">
        <v>0</v>
      </c>
      <c r="AS13" s="116">
        <v>0</v>
      </c>
      <c r="AT13" s="116">
        <v>0</v>
      </c>
      <c r="AU13" s="116">
        <v>0</v>
      </c>
      <c r="AV13" s="116">
        <v>0</v>
      </c>
      <c r="AW13" s="116">
        <v>0</v>
      </c>
      <c r="AX13" s="116">
        <v>0</v>
      </c>
      <c r="AY13" s="116">
        <v>0</v>
      </c>
      <c r="AZ13" s="116">
        <v>0</v>
      </c>
    </row>
    <row r="14" spans="1:52" customFormat="1" x14ac:dyDescent="0.15">
      <c r="A14" s="194" t="s">
        <v>204</v>
      </c>
      <c r="B14" s="116">
        <v>0</v>
      </c>
      <c r="C14" s="116">
        <v>0</v>
      </c>
      <c r="D14" s="116">
        <v>0</v>
      </c>
      <c r="E14" s="116">
        <v>0.8</v>
      </c>
      <c r="F14" s="116">
        <v>0.8</v>
      </c>
      <c r="G14" s="116">
        <v>0</v>
      </c>
      <c r="H14" s="116">
        <v>0</v>
      </c>
      <c r="I14" s="116">
        <v>0</v>
      </c>
      <c r="J14" s="116">
        <v>0</v>
      </c>
      <c r="K14" s="116">
        <v>0</v>
      </c>
      <c r="L14" s="116">
        <v>0</v>
      </c>
      <c r="M14" s="116">
        <v>0</v>
      </c>
      <c r="N14" s="116">
        <v>0</v>
      </c>
      <c r="O14" s="116">
        <v>0</v>
      </c>
      <c r="P14" s="116">
        <v>0</v>
      </c>
      <c r="Q14" s="116">
        <v>0</v>
      </c>
      <c r="R14" s="116">
        <v>0</v>
      </c>
      <c r="S14" s="116">
        <v>0</v>
      </c>
      <c r="T14" s="116">
        <v>0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v>0</v>
      </c>
      <c r="AA14" s="116">
        <v>0</v>
      </c>
      <c r="AB14" s="116">
        <v>0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  <c r="AO14" s="116">
        <v>0</v>
      </c>
      <c r="AP14" s="116">
        <v>0</v>
      </c>
      <c r="AQ14" s="116">
        <v>0</v>
      </c>
      <c r="AR14" s="116">
        <v>0</v>
      </c>
      <c r="AS14" s="116">
        <v>0</v>
      </c>
      <c r="AT14" s="116">
        <v>0</v>
      </c>
      <c r="AU14" s="116">
        <v>0</v>
      </c>
      <c r="AV14" s="116">
        <v>0</v>
      </c>
      <c r="AW14" s="116">
        <v>0</v>
      </c>
      <c r="AX14" s="116">
        <v>0</v>
      </c>
      <c r="AY14" s="116">
        <v>0</v>
      </c>
      <c r="AZ14" s="116">
        <v>0</v>
      </c>
    </row>
    <row r="15" spans="1:52" customFormat="1" x14ac:dyDescent="0.15">
      <c r="A15" s="194" t="s">
        <v>205</v>
      </c>
      <c r="B15" s="116">
        <v>0</v>
      </c>
      <c r="C15" s="116">
        <v>0</v>
      </c>
      <c r="D15" s="116">
        <v>0.8</v>
      </c>
      <c r="E15" s="116">
        <v>0.8</v>
      </c>
      <c r="F15" s="116">
        <v>0.8</v>
      </c>
      <c r="G15" s="116">
        <v>0</v>
      </c>
      <c r="H15" s="116">
        <v>0</v>
      </c>
      <c r="I15" s="116">
        <v>0</v>
      </c>
      <c r="J15" s="116">
        <v>0.8</v>
      </c>
      <c r="K15" s="116">
        <v>0.8</v>
      </c>
      <c r="L15" s="116">
        <v>0.8</v>
      </c>
      <c r="M15" s="116">
        <v>0.8</v>
      </c>
      <c r="N15" s="116">
        <v>0.8</v>
      </c>
      <c r="O15" s="116">
        <v>0.8</v>
      </c>
      <c r="P15" s="116">
        <v>0</v>
      </c>
      <c r="Q15" s="116">
        <v>0</v>
      </c>
      <c r="R15" s="116">
        <v>0</v>
      </c>
      <c r="S15" s="116">
        <v>0.8</v>
      </c>
      <c r="T15" s="116">
        <v>0.8</v>
      </c>
      <c r="U15" s="116">
        <v>0</v>
      </c>
      <c r="V15" s="116">
        <v>0</v>
      </c>
      <c r="W15" s="116">
        <v>0.8</v>
      </c>
      <c r="X15" s="116">
        <v>0.8</v>
      </c>
      <c r="Y15" s="116">
        <v>0</v>
      </c>
      <c r="Z15" s="116">
        <v>0</v>
      </c>
      <c r="AA15" s="116">
        <v>0</v>
      </c>
      <c r="AB15" s="116">
        <v>0</v>
      </c>
      <c r="AC15" s="116">
        <v>0</v>
      </c>
      <c r="AD15" s="116">
        <v>0.8</v>
      </c>
      <c r="AE15" s="116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0</v>
      </c>
      <c r="AL15" s="116">
        <v>0</v>
      </c>
      <c r="AM15" s="116">
        <v>0</v>
      </c>
      <c r="AN15" s="116">
        <v>0</v>
      </c>
      <c r="AO15" s="116">
        <v>0</v>
      </c>
      <c r="AP15" s="116">
        <v>0</v>
      </c>
      <c r="AQ15" s="116">
        <v>0</v>
      </c>
      <c r="AR15" s="116">
        <v>0</v>
      </c>
      <c r="AS15" s="116">
        <v>0</v>
      </c>
      <c r="AT15" s="116">
        <v>0</v>
      </c>
      <c r="AU15" s="116">
        <v>0</v>
      </c>
      <c r="AV15" s="116">
        <v>0</v>
      </c>
      <c r="AW15" s="116">
        <v>0</v>
      </c>
      <c r="AX15" s="116">
        <v>0</v>
      </c>
      <c r="AY15" s="116">
        <v>0</v>
      </c>
      <c r="AZ15" s="116">
        <v>0</v>
      </c>
    </row>
    <row r="16" spans="1:52" customFormat="1" x14ac:dyDescent="0.15">
      <c r="A16" s="194" t="s">
        <v>206</v>
      </c>
      <c r="B16" s="116">
        <v>0.8</v>
      </c>
      <c r="C16" s="116">
        <v>0</v>
      </c>
      <c r="D16" s="116">
        <v>0.8</v>
      </c>
      <c r="E16" s="116">
        <v>0</v>
      </c>
      <c r="F16" s="116">
        <v>0.8</v>
      </c>
      <c r="G16" s="116">
        <v>0</v>
      </c>
      <c r="H16" s="116">
        <v>0</v>
      </c>
      <c r="I16" s="116">
        <v>0</v>
      </c>
      <c r="J16" s="116">
        <v>0.8</v>
      </c>
      <c r="K16" s="116">
        <v>0</v>
      </c>
      <c r="L16" s="116">
        <v>0.8</v>
      </c>
      <c r="M16" s="116">
        <v>0.8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0.8</v>
      </c>
      <c r="X16" s="116">
        <v>0.8</v>
      </c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16">
        <v>0</v>
      </c>
    </row>
    <row r="17" spans="1:52" customFormat="1" x14ac:dyDescent="0.15">
      <c r="A17" s="194" t="s">
        <v>207</v>
      </c>
      <c r="B17" s="116">
        <v>0.8</v>
      </c>
      <c r="C17" s="116">
        <v>0</v>
      </c>
      <c r="D17" s="116">
        <v>0.8</v>
      </c>
      <c r="E17" s="116">
        <v>0.8</v>
      </c>
      <c r="F17" s="116">
        <v>0.8</v>
      </c>
      <c r="G17" s="116">
        <v>0</v>
      </c>
      <c r="H17" s="116">
        <v>0</v>
      </c>
      <c r="I17" s="116">
        <v>0</v>
      </c>
      <c r="J17" s="116">
        <v>0.8</v>
      </c>
      <c r="K17" s="116">
        <v>0</v>
      </c>
      <c r="L17" s="116">
        <v>0.8</v>
      </c>
      <c r="M17" s="116">
        <v>0</v>
      </c>
      <c r="N17" s="116">
        <v>0.8</v>
      </c>
      <c r="O17" s="116">
        <v>0</v>
      </c>
      <c r="P17" s="116">
        <v>0</v>
      </c>
      <c r="Q17" s="116">
        <v>0</v>
      </c>
      <c r="R17" s="116">
        <v>0</v>
      </c>
      <c r="S17" s="116">
        <v>0.8</v>
      </c>
      <c r="T17" s="116">
        <v>0</v>
      </c>
      <c r="U17" s="116">
        <v>0</v>
      </c>
      <c r="V17" s="116">
        <v>0</v>
      </c>
      <c r="W17" s="116">
        <v>0.8</v>
      </c>
      <c r="X17" s="116">
        <v>0.8</v>
      </c>
      <c r="Y17" s="116">
        <v>0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  <c r="AO17" s="116">
        <v>0</v>
      </c>
      <c r="AP17" s="116">
        <v>0</v>
      </c>
      <c r="AQ17" s="116">
        <v>0</v>
      </c>
      <c r="AR17" s="116">
        <v>0</v>
      </c>
      <c r="AS17" s="116">
        <v>0</v>
      </c>
      <c r="AT17" s="116">
        <v>0</v>
      </c>
      <c r="AU17" s="116">
        <v>0</v>
      </c>
      <c r="AV17" s="116">
        <v>0</v>
      </c>
      <c r="AW17" s="116">
        <v>0</v>
      </c>
      <c r="AX17" s="116">
        <v>0</v>
      </c>
      <c r="AY17" s="116">
        <v>0</v>
      </c>
      <c r="AZ17" s="116">
        <v>0</v>
      </c>
    </row>
    <row r="18" spans="1:52" customFormat="1" x14ac:dyDescent="0.15">
      <c r="A18" s="194" t="s">
        <v>208</v>
      </c>
      <c r="B18" s="116">
        <v>0.8</v>
      </c>
      <c r="C18" s="116">
        <v>0</v>
      </c>
      <c r="D18" s="116">
        <v>0.8</v>
      </c>
      <c r="E18" s="116">
        <v>0.8</v>
      </c>
      <c r="F18" s="116">
        <v>0.8</v>
      </c>
      <c r="G18" s="116">
        <v>0</v>
      </c>
      <c r="H18" s="116">
        <v>0</v>
      </c>
      <c r="I18" s="116">
        <v>0</v>
      </c>
      <c r="J18" s="116">
        <v>0</v>
      </c>
      <c r="K18" s="116">
        <v>0</v>
      </c>
      <c r="L18" s="116">
        <v>0</v>
      </c>
      <c r="M18" s="116">
        <v>0</v>
      </c>
      <c r="N18" s="116">
        <v>0</v>
      </c>
      <c r="O18" s="116">
        <v>0</v>
      </c>
      <c r="P18" s="116">
        <v>0</v>
      </c>
      <c r="Q18" s="116">
        <v>0</v>
      </c>
      <c r="R18" s="116">
        <v>0</v>
      </c>
      <c r="S18" s="116">
        <v>0</v>
      </c>
      <c r="T18" s="116">
        <v>0</v>
      </c>
      <c r="U18" s="116">
        <v>0</v>
      </c>
      <c r="V18" s="116">
        <v>0</v>
      </c>
      <c r="W18" s="116">
        <v>0</v>
      </c>
      <c r="X18" s="116">
        <v>0</v>
      </c>
      <c r="Y18" s="116">
        <v>0</v>
      </c>
      <c r="Z18" s="116">
        <v>0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116">
        <v>0</v>
      </c>
      <c r="AO18" s="116">
        <v>0</v>
      </c>
      <c r="AP18" s="116">
        <v>0</v>
      </c>
      <c r="AQ18" s="116">
        <v>0</v>
      </c>
      <c r="AR18" s="116">
        <v>0</v>
      </c>
      <c r="AS18" s="116">
        <v>0</v>
      </c>
      <c r="AT18" s="116">
        <v>0</v>
      </c>
      <c r="AU18" s="116">
        <v>0</v>
      </c>
      <c r="AV18" s="116">
        <v>0</v>
      </c>
      <c r="AW18" s="116">
        <v>0</v>
      </c>
      <c r="AX18" s="116">
        <v>0</v>
      </c>
      <c r="AY18" s="116">
        <v>0</v>
      </c>
      <c r="AZ18" s="116">
        <v>0</v>
      </c>
    </row>
    <row r="19" spans="1:52" customFormat="1" x14ac:dyDescent="0.15">
      <c r="A19" s="194" t="s">
        <v>209</v>
      </c>
      <c r="B19" s="116">
        <v>0</v>
      </c>
      <c r="C19" s="116">
        <v>0</v>
      </c>
      <c r="D19" s="116">
        <v>0.8</v>
      </c>
      <c r="E19" s="116">
        <v>0</v>
      </c>
      <c r="F19" s="116">
        <v>0</v>
      </c>
      <c r="G19" s="116">
        <v>0</v>
      </c>
      <c r="H19" s="116">
        <v>0</v>
      </c>
      <c r="I19" s="116">
        <v>0</v>
      </c>
      <c r="J19" s="116">
        <v>0.8</v>
      </c>
      <c r="K19" s="116">
        <v>0</v>
      </c>
      <c r="L19" s="116">
        <v>0</v>
      </c>
      <c r="M19" s="116">
        <v>0</v>
      </c>
      <c r="N19" s="116">
        <v>0.8</v>
      </c>
      <c r="O19" s="116">
        <v>0</v>
      </c>
      <c r="P19" s="116">
        <v>0</v>
      </c>
      <c r="Q19" s="116">
        <v>0</v>
      </c>
      <c r="R19" s="116">
        <v>0</v>
      </c>
      <c r="S19" s="116">
        <v>0</v>
      </c>
      <c r="T19" s="116">
        <v>0</v>
      </c>
      <c r="U19" s="116">
        <v>0</v>
      </c>
      <c r="V19" s="116">
        <v>0</v>
      </c>
      <c r="W19" s="116">
        <v>0.8</v>
      </c>
      <c r="X19" s="116">
        <v>0.8</v>
      </c>
      <c r="Y19" s="116">
        <v>0.8</v>
      </c>
      <c r="Z19" s="116">
        <v>0.8</v>
      </c>
      <c r="AA19" s="116">
        <v>0</v>
      </c>
      <c r="AB19" s="116">
        <v>0</v>
      </c>
      <c r="AC19" s="116">
        <v>0</v>
      </c>
      <c r="AD19" s="116">
        <v>0</v>
      </c>
      <c r="AE19" s="116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116">
        <v>0</v>
      </c>
      <c r="AO19" s="116">
        <v>0</v>
      </c>
      <c r="AP19" s="116">
        <v>0</v>
      </c>
      <c r="AQ19" s="116">
        <v>0</v>
      </c>
      <c r="AR19" s="116">
        <v>0</v>
      </c>
      <c r="AS19" s="116">
        <v>0</v>
      </c>
      <c r="AT19" s="116">
        <v>0</v>
      </c>
      <c r="AU19" s="116">
        <v>0</v>
      </c>
      <c r="AV19" s="116">
        <v>0</v>
      </c>
      <c r="AW19" s="116">
        <v>0</v>
      </c>
      <c r="AX19" s="116">
        <v>0</v>
      </c>
      <c r="AY19" s="116">
        <v>0</v>
      </c>
      <c r="AZ19" s="116">
        <v>0</v>
      </c>
    </row>
    <row r="20" spans="1:52" customFormat="1" x14ac:dyDescent="0.15">
      <c r="A20" s="194" t="s">
        <v>210</v>
      </c>
      <c r="B20" s="116">
        <v>0</v>
      </c>
      <c r="C20" s="116">
        <v>0.8</v>
      </c>
      <c r="D20" s="116">
        <v>0</v>
      </c>
      <c r="E20" s="116">
        <v>0</v>
      </c>
      <c r="F20" s="116">
        <v>0</v>
      </c>
      <c r="G20" s="116">
        <v>0</v>
      </c>
      <c r="H20" s="116">
        <v>0</v>
      </c>
      <c r="I20" s="116">
        <v>0</v>
      </c>
      <c r="J20" s="116">
        <v>0</v>
      </c>
      <c r="K20" s="116">
        <v>0</v>
      </c>
      <c r="L20" s="116">
        <v>0</v>
      </c>
      <c r="M20" s="116">
        <v>0</v>
      </c>
      <c r="N20" s="116">
        <v>0</v>
      </c>
      <c r="O20" s="116">
        <v>0</v>
      </c>
      <c r="P20" s="116">
        <v>0</v>
      </c>
      <c r="Q20" s="116">
        <v>0</v>
      </c>
      <c r="R20" s="116">
        <v>0</v>
      </c>
      <c r="S20" s="116">
        <v>0</v>
      </c>
      <c r="T20" s="116">
        <v>0</v>
      </c>
      <c r="U20" s="116">
        <v>0</v>
      </c>
      <c r="V20" s="116">
        <v>0</v>
      </c>
      <c r="W20" s="116">
        <v>0</v>
      </c>
      <c r="X20" s="116">
        <v>0</v>
      </c>
      <c r="Y20" s="116">
        <v>0</v>
      </c>
      <c r="Z20" s="116">
        <v>0</v>
      </c>
      <c r="AA20" s="116">
        <v>0</v>
      </c>
      <c r="AB20" s="116">
        <v>0</v>
      </c>
      <c r="AC20" s="116">
        <v>0</v>
      </c>
      <c r="AD20" s="116">
        <v>0</v>
      </c>
      <c r="AE20" s="116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116">
        <v>0</v>
      </c>
      <c r="AO20" s="116">
        <v>0</v>
      </c>
      <c r="AP20" s="116">
        <v>0</v>
      </c>
      <c r="AQ20" s="116">
        <v>0</v>
      </c>
      <c r="AR20" s="116">
        <v>0</v>
      </c>
      <c r="AS20" s="116">
        <v>0</v>
      </c>
      <c r="AT20" s="116">
        <v>0</v>
      </c>
      <c r="AU20" s="116">
        <v>0</v>
      </c>
      <c r="AV20" s="116">
        <v>0</v>
      </c>
      <c r="AW20" s="116">
        <v>0</v>
      </c>
      <c r="AX20" s="116">
        <v>0</v>
      </c>
      <c r="AY20" s="116">
        <v>0</v>
      </c>
      <c r="AZ20" s="116">
        <v>0</v>
      </c>
    </row>
    <row r="21" spans="1:52" customFormat="1" x14ac:dyDescent="0.15">
      <c r="A21" s="194" t="s">
        <v>211</v>
      </c>
      <c r="B21" s="116">
        <v>0</v>
      </c>
      <c r="C21" s="116">
        <v>0</v>
      </c>
      <c r="D21" s="116">
        <v>0.8</v>
      </c>
      <c r="E21" s="116">
        <v>0.8</v>
      </c>
      <c r="F21" s="116">
        <v>0.8</v>
      </c>
      <c r="G21" s="116">
        <v>0</v>
      </c>
      <c r="H21" s="116">
        <v>0</v>
      </c>
      <c r="I21" s="116">
        <v>0</v>
      </c>
      <c r="J21" s="116">
        <v>0.8</v>
      </c>
      <c r="K21" s="116">
        <v>0.8</v>
      </c>
      <c r="L21" s="116">
        <v>0</v>
      </c>
      <c r="M21" s="116">
        <v>0.8</v>
      </c>
      <c r="N21" s="116">
        <v>0.8</v>
      </c>
      <c r="O21" s="116">
        <v>0</v>
      </c>
      <c r="P21" s="116">
        <v>0</v>
      </c>
      <c r="Q21" s="116">
        <v>0</v>
      </c>
      <c r="R21" s="116">
        <v>0</v>
      </c>
      <c r="S21" s="116">
        <v>0.8</v>
      </c>
      <c r="T21" s="116">
        <v>0.8</v>
      </c>
      <c r="U21" s="116">
        <v>0.8</v>
      </c>
      <c r="V21" s="116">
        <v>0</v>
      </c>
      <c r="W21" s="116">
        <v>0.8</v>
      </c>
      <c r="X21" s="116">
        <v>0.8</v>
      </c>
      <c r="Y21" s="116">
        <v>0.8</v>
      </c>
      <c r="Z21" s="116">
        <v>0.8</v>
      </c>
      <c r="AA21" s="116">
        <v>0</v>
      </c>
      <c r="AB21" s="116">
        <v>0</v>
      </c>
      <c r="AC21" s="116">
        <v>0</v>
      </c>
      <c r="AD21" s="116">
        <v>0</v>
      </c>
      <c r="AE21" s="116">
        <v>0</v>
      </c>
      <c r="AF21" s="116">
        <v>0</v>
      </c>
      <c r="AG21" s="116">
        <v>0</v>
      </c>
      <c r="AH21" s="116">
        <v>0</v>
      </c>
      <c r="AI21" s="116">
        <v>0.8</v>
      </c>
      <c r="AJ21" s="116">
        <v>0</v>
      </c>
      <c r="AK21" s="116">
        <v>0</v>
      </c>
      <c r="AL21" s="116">
        <v>0</v>
      </c>
      <c r="AM21" s="116">
        <v>0</v>
      </c>
      <c r="AN21" s="116">
        <v>0</v>
      </c>
      <c r="AO21" s="116">
        <v>0</v>
      </c>
      <c r="AP21" s="116">
        <v>0</v>
      </c>
      <c r="AQ21" s="116">
        <v>0</v>
      </c>
      <c r="AR21" s="116">
        <v>0</v>
      </c>
      <c r="AS21" s="116">
        <v>0</v>
      </c>
      <c r="AT21" s="116">
        <v>0</v>
      </c>
      <c r="AU21" s="116">
        <v>0</v>
      </c>
      <c r="AV21" s="116">
        <v>0</v>
      </c>
      <c r="AW21" s="116">
        <v>0</v>
      </c>
      <c r="AX21" s="116">
        <v>0</v>
      </c>
      <c r="AY21" s="116">
        <v>0</v>
      </c>
      <c r="AZ21" s="116">
        <v>0</v>
      </c>
    </row>
    <row r="22" spans="1:52" customFormat="1" x14ac:dyDescent="0.15">
      <c r="A22" s="194" t="s">
        <v>212</v>
      </c>
      <c r="B22" s="116">
        <v>0</v>
      </c>
      <c r="C22" s="116">
        <v>0</v>
      </c>
      <c r="D22" s="116">
        <v>0.8</v>
      </c>
      <c r="E22" s="116">
        <v>0</v>
      </c>
      <c r="F22" s="116">
        <v>0</v>
      </c>
      <c r="G22" s="116">
        <v>0</v>
      </c>
      <c r="H22" s="116">
        <v>0.8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  <c r="AZ22" s="116">
        <v>0</v>
      </c>
    </row>
    <row r="23" spans="1:52" customFormat="1" x14ac:dyDescent="0.15">
      <c r="A23" s="194" t="s">
        <v>213</v>
      </c>
      <c r="B23" s="116">
        <v>0</v>
      </c>
      <c r="C23" s="116">
        <v>0.8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  <c r="AZ23" s="116">
        <v>0</v>
      </c>
    </row>
    <row r="24" spans="1:52" customFormat="1" x14ac:dyDescent="0.15">
      <c r="A24" s="194" t="s">
        <v>214</v>
      </c>
      <c r="B24" s="116">
        <v>0.8</v>
      </c>
      <c r="C24" s="116">
        <v>0.8</v>
      </c>
      <c r="D24" s="116">
        <v>0.8</v>
      </c>
      <c r="E24" s="116">
        <v>0</v>
      </c>
      <c r="F24" s="116">
        <v>0</v>
      </c>
      <c r="G24" s="116">
        <v>0</v>
      </c>
      <c r="H24" s="116">
        <v>0.8</v>
      </c>
      <c r="I24" s="116">
        <v>0</v>
      </c>
      <c r="J24" s="116">
        <v>0.8</v>
      </c>
      <c r="K24" s="116">
        <v>0.8</v>
      </c>
      <c r="L24" s="116">
        <v>0</v>
      </c>
      <c r="M24" s="116">
        <v>0</v>
      </c>
      <c r="N24" s="116">
        <v>0</v>
      </c>
      <c r="O24" s="116">
        <v>0</v>
      </c>
      <c r="P24" s="116">
        <v>0</v>
      </c>
      <c r="Q24" s="116">
        <v>0</v>
      </c>
      <c r="R24" s="116">
        <v>0</v>
      </c>
      <c r="S24" s="116">
        <v>0.8</v>
      </c>
      <c r="T24" s="116">
        <v>0.8</v>
      </c>
      <c r="U24" s="116">
        <v>0</v>
      </c>
      <c r="V24" s="116">
        <v>0</v>
      </c>
      <c r="W24" s="116">
        <v>0.8</v>
      </c>
      <c r="X24" s="116">
        <v>0.8</v>
      </c>
      <c r="Y24" s="116">
        <v>0.8</v>
      </c>
      <c r="Z24" s="116">
        <v>0.8</v>
      </c>
      <c r="AA24" s="116">
        <v>0</v>
      </c>
      <c r="AB24" s="116">
        <v>0</v>
      </c>
      <c r="AC24" s="116">
        <v>0</v>
      </c>
      <c r="AD24" s="116">
        <v>0</v>
      </c>
      <c r="AE24" s="116">
        <v>0</v>
      </c>
      <c r="AF24" s="116">
        <v>0</v>
      </c>
      <c r="AG24" s="116">
        <v>0</v>
      </c>
      <c r="AH24" s="116">
        <v>0</v>
      </c>
      <c r="AI24" s="116">
        <v>0.8</v>
      </c>
      <c r="AJ24" s="116">
        <v>0</v>
      </c>
      <c r="AK24" s="116">
        <v>0</v>
      </c>
      <c r="AL24" s="116">
        <v>0.8</v>
      </c>
      <c r="AM24" s="116">
        <v>0</v>
      </c>
      <c r="AN24" s="116">
        <v>0</v>
      </c>
      <c r="AO24" s="116">
        <v>0</v>
      </c>
      <c r="AP24" s="116">
        <v>0</v>
      </c>
      <c r="AQ24" s="116">
        <v>0</v>
      </c>
      <c r="AR24" s="116">
        <v>0</v>
      </c>
      <c r="AS24" s="116">
        <v>0</v>
      </c>
      <c r="AT24" s="116">
        <v>0</v>
      </c>
      <c r="AU24" s="116">
        <v>0</v>
      </c>
      <c r="AV24" s="116">
        <v>0</v>
      </c>
      <c r="AW24" s="116">
        <v>0</v>
      </c>
      <c r="AX24" s="116">
        <v>0</v>
      </c>
      <c r="AY24" s="116">
        <v>0</v>
      </c>
      <c r="AZ24" s="116">
        <v>0</v>
      </c>
    </row>
    <row r="25" spans="1:52" customFormat="1" x14ac:dyDescent="0.15">
      <c r="A25" s="194" t="s">
        <v>215</v>
      </c>
      <c r="B25" s="116">
        <v>0</v>
      </c>
      <c r="C25" s="116">
        <v>0.8</v>
      </c>
      <c r="D25" s="116">
        <v>0</v>
      </c>
      <c r="E25" s="116">
        <v>0.8</v>
      </c>
      <c r="F25" s="116">
        <v>0.8</v>
      </c>
      <c r="G25" s="116">
        <v>0</v>
      </c>
      <c r="H25" s="116">
        <v>0</v>
      </c>
      <c r="I25" s="116">
        <v>0</v>
      </c>
      <c r="J25" s="116">
        <v>0</v>
      </c>
      <c r="K25" s="116">
        <v>0</v>
      </c>
      <c r="L25" s="116">
        <v>0</v>
      </c>
      <c r="M25" s="116">
        <v>0</v>
      </c>
      <c r="N25" s="116">
        <v>0</v>
      </c>
      <c r="O25" s="116">
        <v>0</v>
      </c>
      <c r="P25" s="116">
        <v>0</v>
      </c>
      <c r="Q25" s="116">
        <v>0</v>
      </c>
      <c r="R25" s="116">
        <v>0</v>
      </c>
      <c r="S25" s="116">
        <v>0</v>
      </c>
      <c r="T25" s="116">
        <v>0</v>
      </c>
      <c r="U25" s="116">
        <v>0</v>
      </c>
      <c r="V25" s="116">
        <v>0</v>
      </c>
      <c r="W25" s="116">
        <v>0</v>
      </c>
      <c r="X25" s="116">
        <v>0</v>
      </c>
      <c r="Y25" s="116">
        <v>0</v>
      </c>
      <c r="Z25" s="116">
        <v>0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0</v>
      </c>
      <c r="AN25" s="116">
        <v>0</v>
      </c>
      <c r="AO25" s="116">
        <v>0</v>
      </c>
      <c r="AP25" s="116">
        <v>0</v>
      </c>
      <c r="AQ25" s="116">
        <v>0</v>
      </c>
      <c r="AR25" s="116">
        <v>0</v>
      </c>
      <c r="AS25" s="116">
        <v>0</v>
      </c>
      <c r="AT25" s="116">
        <v>0</v>
      </c>
      <c r="AU25" s="116">
        <v>0</v>
      </c>
      <c r="AV25" s="116">
        <v>0</v>
      </c>
      <c r="AW25" s="116">
        <v>0</v>
      </c>
      <c r="AX25" s="116">
        <v>0</v>
      </c>
      <c r="AY25" s="116">
        <v>0</v>
      </c>
      <c r="AZ25" s="116">
        <v>0</v>
      </c>
    </row>
    <row r="26" spans="1:52" customFormat="1" x14ac:dyDescent="0.15">
      <c r="A26" s="194" t="s">
        <v>216</v>
      </c>
      <c r="B26" s="116">
        <v>0.8</v>
      </c>
      <c r="C26" s="116">
        <v>0.8</v>
      </c>
      <c r="D26" s="116">
        <v>0.8</v>
      </c>
      <c r="E26" s="116">
        <v>0.8</v>
      </c>
      <c r="F26" s="116">
        <v>0.8</v>
      </c>
      <c r="G26" s="116">
        <v>0</v>
      </c>
      <c r="H26" s="116">
        <v>0.8</v>
      </c>
      <c r="I26" s="116">
        <v>0</v>
      </c>
      <c r="J26" s="116">
        <v>0.8</v>
      </c>
      <c r="K26" s="116">
        <v>0.8</v>
      </c>
      <c r="L26" s="116">
        <v>0.8</v>
      </c>
      <c r="M26" s="116">
        <v>0.8</v>
      </c>
      <c r="N26" s="116">
        <v>0.8</v>
      </c>
      <c r="O26" s="116">
        <v>0.8</v>
      </c>
      <c r="P26" s="116">
        <v>0</v>
      </c>
      <c r="Q26" s="116">
        <v>0</v>
      </c>
      <c r="R26" s="116">
        <v>0</v>
      </c>
      <c r="S26" s="116">
        <v>0.8</v>
      </c>
      <c r="T26" s="116">
        <v>0.8</v>
      </c>
      <c r="U26" s="116">
        <v>0.8</v>
      </c>
      <c r="V26" s="116">
        <v>0</v>
      </c>
      <c r="W26" s="116">
        <v>0.8</v>
      </c>
      <c r="X26" s="116">
        <v>0.8</v>
      </c>
      <c r="Y26" s="116">
        <v>0.8</v>
      </c>
      <c r="Z26" s="116">
        <v>0.8</v>
      </c>
      <c r="AA26" s="116">
        <v>0.8</v>
      </c>
      <c r="AB26" s="116">
        <v>0</v>
      </c>
      <c r="AC26" s="116">
        <v>0.8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0.8</v>
      </c>
      <c r="AJ26" s="116">
        <v>0</v>
      </c>
      <c r="AK26" s="116">
        <v>0</v>
      </c>
      <c r="AL26" s="116">
        <v>0.8</v>
      </c>
      <c r="AM26" s="116">
        <v>0</v>
      </c>
      <c r="AN26" s="116">
        <v>0</v>
      </c>
      <c r="AO26" s="116">
        <v>0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0</v>
      </c>
      <c r="AZ26" s="116">
        <v>0</v>
      </c>
    </row>
    <row r="27" spans="1:52" customFormat="1" x14ac:dyDescent="0.15">
      <c r="A27" s="194" t="s">
        <v>217</v>
      </c>
      <c r="B27" s="116">
        <v>0.8</v>
      </c>
      <c r="C27" s="116">
        <v>0</v>
      </c>
      <c r="D27" s="116">
        <v>0.8</v>
      </c>
      <c r="E27" s="116">
        <v>0.8</v>
      </c>
      <c r="F27" s="116">
        <v>0</v>
      </c>
      <c r="G27" s="116">
        <v>0</v>
      </c>
      <c r="H27" s="116">
        <v>0.8</v>
      </c>
      <c r="I27" s="116">
        <v>0</v>
      </c>
      <c r="J27" s="116">
        <v>0.8</v>
      </c>
      <c r="K27" s="116">
        <v>0.8</v>
      </c>
      <c r="L27" s="116">
        <v>0.8</v>
      </c>
      <c r="M27" s="116">
        <v>0.8</v>
      </c>
      <c r="N27" s="116">
        <v>0.8</v>
      </c>
      <c r="O27" s="116">
        <v>0.8</v>
      </c>
      <c r="P27" s="116">
        <v>0</v>
      </c>
      <c r="Q27" s="116">
        <v>0.8</v>
      </c>
      <c r="R27" s="116">
        <v>0.8</v>
      </c>
      <c r="S27" s="116">
        <v>0.8</v>
      </c>
      <c r="T27" s="116">
        <v>0.8</v>
      </c>
      <c r="U27" s="116">
        <v>0</v>
      </c>
      <c r="V27" s="116">
        <v>0</v>
      </c>
      <c r="W27" s="116">
        <v>0.8</v>
      </c>
      <c r="X27" s="116">
        <v>0.8</v>
      </c>
      <c r="Y27" s="116">
        <v>0.8</v>
      </c>
      <c r="Z27" s="116">
        <v>0.8</v>
      </c>
      <c r="AA27" s="116">
        <v>0.8</v>
      </c>
      <c r="AB27" s="116">
        <v>0</v>
      </c>
      <c r="AC27" s="116">
        <v>0.8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0.8</v>
      </c>
      <c r="AJ27" s="116">
        <v>0</v>
      </c>
      <c r="AK27" s="116">
        <v>0</v>
      </c>
      <c r="AL27" s="116">
        <v>0.8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  <c r="AZ27" s="116">
        <v>0</v>
      </c>
    </row>
    <row r="28" spans="1:52" customFormat="1" x14ac:dyDescent="0.15">
      <c r="A28" s="194" t="s">
        <v>218</v>
      </c>
      <c r="B28" s="116">
        <v>0</v>
      </c>
      <c r="C28" s="116">
        <v>0.8</v>
      </c>
      <c r="D28" s="116">
        <v>0.8</v>
      </c>
      <c r="E28" s="116">
        <v>0</v>
      </c>
      <c r="F28" s="116">
        <v>0</v>
      </c>
      <c r="G28" s="116">
        <v>0</v>
      </c>
      <c r="H28" s="116">
        <v>0.8</v>
      </c>
      <c r="I28" s="116">
        <v>0</v>
      </c>
      <c r="J28" s="116">
        <v>0.8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  <c r="AZ28" s="116">
        <v>0</v>
      </c>
    </row>
    <row r="29" spans="1:52" customFormat="1" x14ac:dyDescent="0.15">
      <c r="A29" s="194" t="s">
        <v>219</v>
      </c>
      <c r="B29" s="116">
        <v>0.8</v>
      </c>
      <c r="C29" s="116">
        <v>0.8</v>
      </c>
      <c r="D29" s="116">
        <v>0.8</v>
      </c>
      <c r="E29" s="116">
        <v>0.8</v>
      </c>
      <c r="F29" s="116">
        <v>0</v>
      </c>
      <c r="G29" s="116">
        <v>0</v>
      </c>
      <c r="H29" s="116">
        <v>0.8</v>
      </c>
      <c r="I29" s="116">
        <v>0</v>
      </c>
      <c r="J29" s="116">
        <v>0.8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0.8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  <c r="AZ29" s="116">
        <v>0</v>
      </c>
    </row>
    <row r="30" spans="1:52" customFormat="1" x14ac:dyDescent="0.15">
      <c r="A30" s="194" t="s">
        <v>220</v>
      </c>
      <c r="B30" s="116">
        <v>0</v>
      </c>
      <c r="C30" s="116">
        <v>0.8</v>
      </c>
      <c r="D30" s="116">
        <v>0.8</v>
      </c>
      <c r="E30" s="116">
        <v>0</v>
      </c>
      <c r="F30" s="116">
        <v>0</v>
      </c>
      <c r="G30" s="116">
        <v>0</v>
      </c>
      <c r="H30" s="116">
        <v>0.8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0.8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0.8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  <c r="AZ30" s="116">
        <v>0</v>
      </c>
    </row>
    <row r="31" spans="1:52" customFormat="1" x14ac:dyDescent="0.15">
      <c r="A31" s="194" t="s">
        <v>221</v>
      </c>
      <c r="B31" s="116">
        <v>0.8</v>
      </c>
      <c r="C31" s="116">
        <v>0.8</v>
      </c>
      <c r="D31" s="116">
        <v>0.8</v>
      </c>
      <c r="E31" s="116">
        <v>0.8</v>
      </c>
      <c r="F31" s="116">
        <v>0.8</v>
      </c>
      <c r="G31" s="116">
        <v>0</v>
      </c>
      <c r="H31" s="116">
        <v>0.8</v>
      </c>
      <c r="I31" s="116">
        <v>0</v>
      </c>
      <c r="J31" s="116">
        <v>0.8</v>
      </c>
      <c r="K31" s="116">
        <v>0.8</v>
      </c>
      <c r="L31" s="116">
        <v>0.8</v>
      </c>
      <c r="M31" s="116">
        <v>0.8</v>
      </c>
      <c r="N31" s="116">
        <v>0.8</v>
      </c>
      <c r="O31" s="116">
        <v>0.8</v>
      </c>
      <c r="P31" s="116">
        <v>0.8</v>
      </c>
      <c r="Q31" s="116">
        <v>0</v>
      </c>
      <c r="R31" s="116">
        <v>0</v>
      </c>
      <c r="S31" s="116">
        <v>0.8</v>
      </c>
      <c r="T31" s="116">
        <v>0.8</v>
      </c>
      <c r="U31" s="116">
        <v>0.8</v>
      </c>
      <c r="V31" s="116">
        <v>0.8</v>
      </c>
      <c r="W31" s="116">
        <v>0.8</v>
      </c>
      <c r="X31" s="116">
        <v>0.8</v>
      </c>
      <c r="Y31" s="116">
        <v>0.8</v>
      </c>
      <c r="Z31" s="116">
        <v>0.8</v>
      </c>
      <c r="AA31" s="116">
        <v>0.8</v>
      </c>
      <c r="AB31" s="116">
        <v>0.8</v>
      </c>
      <c r="AC31" s="116">
        <v>0.8</v>
      </c>
      <c r="AD31" s="116">
        <v>0.8</v>
      </c>
      <c r="AE31" s="116">
        <v>0.8</v>
      </c>
      <c r="AF31" s="116">
        <v>0</v>
      </c>
      <c r="AG31" s="116">
        <v>0.8</v>
      </c>
      <c r="AH31" s="116">
        <v>0</v>
      </c>
      <c r="AI31" s="116">
        <v>0.8</v>
      </c>
      <c r="AJ31" s="116">
        <v>0</v>
      </c>
      <c r="AK31" s="116">
        <v>0.8</v>
      </c>
      <c r="AL31" s="116">
        <v>0.8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  <c r="AZ31" s="116">
        <v>0</v>
      </c>
    </row>
    <row r="32" spans="1:52" customFormat="1" x14ac:dyDescent="0.15">
      <c r="A32" s="194" t="s">
        <v>222</v>
      </c>
      <c r="B32" s="116">
        <v>0</v>
      </c>
      <c r="C32" s="116">
        <v>0.8</v>
      </c>
      <c r="D32" s="116">
        <v>0.8</v>
      </c>
      <c r="E32" s="116">
        <v>0.8</v>
      </c>
      <c r="F32" s="116">
        <v>0</v>
      </c>
      <c r="G32" s="116">
        <v>0</v>
      </c>
      <c r="H32" s="116">
        <v>0.8</v>
      </c>
      <c r="I32" s="116">
        <v>0</v>
      </c>
      <c r="J32" s="116">
        <v>0.8</v>
      </c>
      <c r="K32" s="116">
        <v>0.8</v>
      </c>
      <c r="L32" s="116">
        <v>0.8</v>
      </c>
      <c r="M32" s="116">
        <v>0.8</v>
      </c>
      <c r="N32" s="116">
        <v>0</v>
      </c>
      <c r="O32" s="116">
        <v>0.8</v>
      </c>
      <c r="P32" s="116">
        <v>0.8</v>
      </c>
      <c r="Q32" s="116">
        <v>0</v>
      </c>
      <c r="R32" s="116">
        <v>0</v>
      </c>
      <c r="S32" s="116">
        <v>0.8</v>
      </c>
      <c r="T32" s="116">
        <v>0.8</v>
      </c>
      <c r="U32" s="116">
        <v>0.8</v>
      </c>
      <c r="V32" s="116">
        <v>0.8</v>
      </c>
      <c r="W32" s="116">
        <v>0.8</v>
      </c>
      <c r="X32" s="116">
        <v>0.8</v>
      </c>
      <c r="Y32" s="116">
        <v>0.8</v>
      </c>
      <c r="Z32" s="116">
        <v>0.8</v>
      </c>
      <c r="AA32" s="116">
        <v>0.8</v>
      </c>
      <c r="AB32" s="116">
        <v>0.8</v>
      </c>
      <c r="AC32" s="116">
        <v>0.8</v>
      </c>
      <c r="AD32" s="116">
        <v>0.8</v>
      </c>
      <c r="AE32" s="116">
        <v>0.8</v>
      </c>
      <c r="AF32" s="116">
        <v>0</v>
      </c>
      <c r="AG32" s="116">
        <v>0</v>
      </c>
      <c r="AH32" s="116">
        <v>0</v>
      </c>
      <c r="AI32" s="116">
        <v>0.8</v>
      </c>
      <c r="AJ32" s="116">
        <v>0</v>
      </c>
      <c r="AK32" s="116">
        <v>0</v>
      </c>
      <c r="AL32" s="116">
        <v>0.8</v>
      </c>
      <c r="AM32" s="116">
        <v>0</v>
      </c>
      <c r="AN32" s="116">
        <v>0</v>
      </c>
      <c r="AO32" s="116">
        <v>0</v>
      </c>
      <c r="AP32" s="116">
        <v>0</v>
      </c>
      <c r="AQ32" s="116">
        <v>0</v>
      </c>
      <c r="AR32" s="116">
        <v>0</v>
      </c>
      <c r="AS32" s="116">
        <v>0</v>
      </c>
      <c r="AT32" s="116">
        <v>0</v>
      </c>
      <c r="AU32" s="116">
        <v>0</v>
      </c>
      <c r="AV32" s="116">
        <v>0</v>
      </c>
      <c r="AW32" s="116">
        <v>0</v>
      </c>
      <c r="AX32" s="116">
        <v>0</v>
      </c>
      <c r="AY32" s="116">
        <v>0</v>
      </c>
      <c r="AZ32" s="116">
        <v>0</v>
      </c>
    </row>
    <row r="33" spans="1:52" x14ac:dyDescent="0.15">
      <c r="A33" s="194" t="s">
        <v>223</v>
      </c>
      <c r="B33" s="116">
        <v>0</v>
      </c>
      <c r="C33" s="116">
        <v>0</v>
      </c>
      <c r="D33" s="116">
        <v>0.8</v>
      </c>
      <c r="E33" s="116">
        <v>0.8</v>
      </c>
      <c r="F33" s="116">
        <v>0.8</v>
      </c>
      <c r="G33" s="116">
        <v>0</v>
      </c>
      <c r="H33" s="116">
        <v>0.8</v>
      </c>
      <c r="I33" s="116">
        <v>0</v>
      </c>
      <c r="J33" s="116">
        <v>0.8</v>
      </c>
      <c r="K33" s="116">
        <v>0.8</v>
      </c>
      <c r="L33" s="116">
        <v>0.8</v>
      </c>
      <c r="M33" s="116">
        <v>0.8</v>
      </c>
      <c r="N33" s="116">
        <v>0.8</v>
      </c>
      <c r="O33" s="116">
        <v>0.8</v>
      </c>
      <c r="P33" s="116">
        <v>0</v>
      </c>
      <c r="Q33" s="116">
        <v>0</v>
      </c>
      <c r="R33" s="116">
        <v>0</v>
      </c>
      <c r="S33" s="116">
        <v>0.8</v>
      </c>
      <c r="T33" s="116">
        <v>0.8</v>
      </c>
      <c r="U33" s="116">
        <v>0</v>
      </c>
      <c r="V33" s="116">
        <v>0.8</v>
      </c>
      <c r="W33" s="116">
        <v>0</v>
      </c>
      <c r="X33" s="116">
        <v>0</v>
      </c>
      <c r="Y33" s="116">
        <v>0</v>
      </c>
      <c r="Z33" s="116">
        <v>0</v>
      </c>
      <c r="AA33" s="116">
        <v>0.8</v>
      </c>
      <c r="AB33" s="116">
        <v>0.8</v>
      </c>
      <c r="AC33" s="116">
        <v>0.8</v>
      </c>
      <c r="AD33" s="116">
        <v>0</v>
      </c>
      <c r="AE33" s="116">
        <v>0</v>
      </c>
      <c r="AF33" s="116">
        <v>0</v>
      </c>
      <c r="AG33" s="116">
        <v>0.8</v>
      </c>
      <c r="AH33" s="116">
        <v>0</v>
      </c>
      <c r="AI33" s="116">
        <v>0</v>
      </c>
      <c r="AJ33" s="116">
        <v>0</v>
      </c>
      <c r="AK33" s="116">
        <v>0</v>
      </c>
      <c r="AL33" s="116">
        <v>0.8</v>
      </c>
      <c r="AM33" s="116">
        <v>0</v>
      </c>
      <c r="AN33" s="116">
        <v>0</v>
      </c>
      <c r="AO33" s="116">
        <v>0</v>
      </c>
      <c r="AP33" s="116">
        <v>0</v>
      </c>
      <c r="AQ33" s="116">
        <v>0</v>
      </c>
      <c r="AR33" s="116">
        <v>0</v>
      </c>
      <c r="AS33" s="116">
        <v>0</v>
      </c>
      <c r="AT33" s="116">
        <v>0</v>
      </c>
      <c r="AU33" s="116">
        <v>0</v>
      </c>
      <c r="AV33" s="116">
        <v>0</v>
      </c>
      <c r="AW33" s="116">
        <v>0</v>
      </c>
      <c r="AX33" s="116">
        <v>0</v>
      </c>
      <c r="AY33" s="116">
        <v>0</v>
      </c>
      <c r="AZ33" s="116">
        <v>0</v>
      </c>
    </row>
    <row r="34" spans="1:52" x14ac:dyDescent="0.15">
      <c r="A34" s="194" t="s">
        <v>224</v>
      </c>
      <c r="B34" s="116">
        <v>0</v>
      </c>
      <c r="C34" s="116">
        <v>0.8</v>
      </c>
      <c r="D34" s="116">
        <v>0.8</v>
      </c>
      <c r="E34" s="116">
        <v>0.8</v>
      </c>
      <c r="F34" s="116">
        <v>0.8</v>
      </c>
      <c r="G34" s="116">
        <v>0</v>
      </c>
      <c r="H34" s="116">
        <v>0.8</v>
      </c>
      <c r="I34" s="116">
        <v>0</v>
      </c>
      <c r="J34" s="116">
        <v>0.8</v>
      </c>
      <c r="K34" s="116">
        <v>0.8</v>
      </c>
      <c r="L34" s="116">
        <v>0</v>
      </c>
      <c r="M34" s="116">
        <v>0</v>
      </c>
      <c r="N34" s="116">
        <v>0</v>
      </c>
      <c r="O34" s="116">
        <v>0</v>
      </c>
      <c r="P34" s="116">
        <v>0</v>
      </c>
      <c r="Q34" s="116">
        <v>0</v>
      </c>
      <c r="R34" s="116">
        <v>0</v>
      </c>
      <c r="S34" s="116">
        <v>0</v>
      </c>
      <c r="T34" s="116">
        <v>0.8</v>
      </c>
      <c r="U34" s="116">
        <v>0</v>
      </c>
      <c r="V34" s="116">
        <v>0.8</v>
      </c>
      <c r="W34" s="116">
        <v>0</v>
      </c>
      <c r="X34" s="116">
        <v>0</v>
      </c>
      <c r="Y34" s="116">
        <v>0.8</v>
      </c>
      <c r="Z34" s="116">
        <v>0</v>
      </c>
      <c r="AA34" s="116">
        <v>0.8</v>
      </c>
      <c r="AB34" s="116">
        <v>0.8</v>
      </c>
      <c r="AC34" s="116">
        <v>0.8</v>
      </c>
      <c r="AD34" s="116">
        <v>0.8</v>
      </c>
      <c r="AE34" s="116">
        <v>0</v>
      </c>
      <c r="AF34" s="116">
        <v>0</v>
      </c>
      <c r="AG34" s="116">
        <v>0</v>
      </c>
      <c r="AH34" s="116">
        <v>0</v>
      </c>
      <c r="AI34" s="116">
        <v>0.8</v>
      </c>
      <c r="AJ34" s="116">
        <v>0</v>
      </c>
      <c r="AK34" s="116">
        <v>0</v>
      </c>
      <c r="AL34" s="116">
        <v>0.8</v>
      </c>
      <c r="AM34" s="116">
        <v>0</v>
      </c>
      <c r="AN34" s="116">
        <v>0</v>
      </c>
      <c r="AO34" s="116">
        <v>0</v>
      </c>
      <c r="AP34" s="116">
        <v>0</v>
      </c>
      <c r="AQ34" s="116">
        <v>0</v>
      </c>
      <c r="AR34" s="116">
        <v>0</v>
      </c>
      <c r="AS34" s="116">
        <v>0</v>
      </c>
      <c r="AT34" s="116">
        <v>0</v>
      </c>
      <c r="AU34" s="116">
        <v>0</v>
      </c>
      <c r="AV34" s="116">
        <v>0</v>
      </c>
      <c r="AW34" s="116">
        <v>0</v>
      </c>
      <c r="AX34" s="116">
        <v>0</v>
      </c>
      <c r="AY34" s="116">
        <v>0</v>
      </c>
      <c r="AZ34" s="116">
        <v>0</v>
      </c>
    </row>
    <row r="35" spans="1:52" x14ac:dyDescent="0.15">
      <c r="A35" s="194" t="s">
        <v>225</v>
      </c>
      <c r="B35" s="116">
        <v>0</v>
      </c>
      <c r="C35" s="116">
        <v>0</v>
      </c>
      <c r="D35" s="116">
        <v>0.8</v>
      </c>
      <c r="E35" s="116">
        <v>0</v>
      </c>
      <c r="F35" s="116">
        <v>0.8</v>
      </c>
      <c r="G35" s="116">
        <v>0</v>
      </c>
      <c r="H35" s="116">
        <v>0.8</v>
      </c>
      <c r="I35" s="116">
        <v>0</v>
      </c>
      <c r="J35" s="116">
        <v>0</v>
      </c>
      <c r="K35" s="116">
        <v>0</v>
      </c>
      <c r="L35" s="116">
        <v>0</v>
      </c>
      <c r="M35" s="116">
        <v>0</v>
      </c>
      <c r="N35" s="116">
        <v>0.8</v>
      </c>
      <c r="O35" s="116">
        <v>0</v>
      </c>
      <c r="P35" s="116">
        <v>0</v>
      </c>
      <c r="Q35" s="116">
        <v>0</v>
      </c>
      <c r="R35" s="116">
        <v>0</v>
      </c>
      <c r="S35" s="116">
        <v>0</v>
      </c>
      <c r="T35" s="116">
        <v>0</v>
      </c>
      <c r="U35" s="116">
        <v>0</v>
      </c>
      <c r="V35" s="116">
        <v>0</v>
      </c>
      <c r="W35" s="116">
        <v>0</v>
      </c>
      <c r="X35" s="116">
        <v>0</v>
      </c>
      <c r="Y35" s="116">
        <v>0</v>
      </c>
      <c r="Z35" s="116">
        <v>0</v>
      </c>
      <c r="AA35" s="116">
        <v>0</v>
      </c>
      <c r="AB35" s="116">
        <v>0</v>
      </c>
      <c r="AC35" s="116">
        <v>0</v>
      </c>
      <c r="AD35" s="116">
        <v>0</v>
      </c>
      <c r="AE35" s="116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116">
        <v>0</v>
      </c>
      <c r="AO35" s="116">
        <v>0</v>
      </c>
      <c r="AP35" s="116">
        <v>0</v>
      </c>
      <c r="AQ35" s="116">
        <v>0</v>
      </c>
      <c r="AR35" s="116">
        <v>0</v>
      </c>
      <c r="AS35" s="116">
        <v>0</v>
      </c>
      <c r="AT35" s="116">
        <v>0</v>
      </c>
      <c r="AU35" s="116">
        <v>0</v>
      </c>
      <c r="AV35" s="116">
        <v>0</v>
      </c>
      <c r="AW35" s="116">
        <v>0</v>
      </c>
      <c r="AX35" s="116">
        <v>0</v>
      </c>
      <c r="AY35" s="116">
        <v>0</v>
      </c>
      <c r="AZ35" s="116">
        <v>0</v>
      </c>
    </row>
    <row r="36" spans="1:52" x14ac:dyDescent="0.15">
      <c r="A36" s="194" t="s">
        <v>226</v>
      </c>
      <c r="B36" s="116">
        <v>0</v>
      </c>
      <c r="C36" s="116">
        <v>0.8</v>
      </c>
      <c r="D36" s="116">
        <v>0.8</v>
      </c>
      <c r="E36" s="116">
        <v>0</v>
      </c>
      <c r="F36" s="116">
        <v>0.8</v>
      </c>
      <c r="G36" s="116">
        <v>0</v>
      </c>
      <c r="H36" s="116">
        <v>0.8</v>
      </c>
      <c r="I36" s="116">
        <v>0</v>
      </c>
      <c r="J36" s="116">
        <v>0</v>
      </c>
      <c r="K36" s="116">
        <v>0</v>
      </c>
      <c r="L36" s="116">
        <v>0</v>
      </c>
      <c r="M36" s="116">
        <v>0</v>
      </c>
      <c r="N36" s="116">
        <v>0</v>
      </c>
      <c r="O36" s="116">
        <v>0</v>
      </c>
      <c r="P36" s="116">
        <v>0</v>
      </c>
      <c r="Q36" s="116">
        <v>0</v>
      </c>
      <c r="R36" s="116">
        <v>0</v>
      </c>
      <c r="S36" s="116">
        <v>0</v>
      </c>
      <c r="T36" s="116">
        <v>0.8</v>
      </c>
      <c r="U36" s="116">
        <v>0</v>
      </c>
      <c r="V36" s="116">
        <v>0</v>
      </c>
      <c r="W36" s="116">
        <v>0.8</v>
      </c>
      <c r="X36" s="116">
        <v>0.8</v>
      </c>
      <c r="Y36" s="116">
        <v>0.8</v>
      </c>
      <c r="Z36" s="116">
        <v>0.8</v>
      </c>
      <c r="AA36" s="116">
        <v>0.8</v>
      </c>
      <c r="AB36" s="116">
        <v>0.8</v>
      </c>
      <c r="AC36" s="116">
        <v>0</v>
      </c>
      <c r="AD36" s="116">
        <v>0</v>
      </c>
      <c r="AE36" s="116">
        <v>0</v>
      </c>
      <c r="AF36" s="116">
        <v>0</v>
      </c>
      <c r="AG36" s="116">
        <v>0</v>
      </c>
      <c r="AH36" s="116">
        <v>0</v>
      </c>
      <c r="AI36" s="116">
        <v>0.8</v>
      </c>
      <c r="AJ36" s="116">
        <v>0</v>
      </c>
      <c r="AK36" s="116">
        <v>0</v>
      </c>
      <c r="AL36" s="116">
        <v>0</v>
      </c>
      <c r="AM36" s="116">
        <v>0</v>
      </c>
      <c r="AN36" s="116">
        <v>0</v>
      </c>
      <c r="AO36" s="116">
        <v>0</v>
      </c>
      <c r="AP36" s="116">
        <v>0</v>
      </c>
      <c r="AQ36" s="116">
        <v>0</v>
      </c>
      <c r="AR36" s="116">
        <v>0</v>
      </c>
      <c r="AS36" s="116">
        <v>0</v>
      </c>
      <c r="AT36" s="116">
        <v>0</v>
      </c>
      <c r="AU36" s="116">
        <v>0</v>
      </c>
      <c r="AV36" s="116">
        <v>0</v>
      </c>
      <c r="AW36" s="116">
        <v>0</v>
      </c>
      <c r="AX36" s="116">
        <v>0</v>
      </c>
      <c r="AY36" s="116">
        <v>0</v>
      </c>
      <c r="AZ36" s="116">
        <v>0</v>
      </c>
    </row>
    <row r="37" spans="1:52" x14ac:dyDescent="0.15">
      <c r="A37" s="194" t="s">
        <v>227</v>
      </c>
      <c r="B37" s="116">
        <v>0</v>
      </c>
      <c r="C37" s="116">
        <v>0.8</v>
      </c>
      <c r="D37" s="116">
        <v>0.8</v>
      </c>
      <c r="E37" s="116">
        <v>0.8</v>
      </c>
      <c r="F37" s="116">
        <v>0</v>
      </c>
      <c r="G37" s="116">
        <v>0</v>
      </c>
      <c r="H37" s="116">
        <v>0.8</v>
      </c>
      <c r="I37" s="116">
        <v>0</v>
      </c>
      <c r="J37" s="116">
        <v>0.8</v>
      </c>
      <c r="K37" s="116">
        <v>0.8</v>
      </c>
      <c r="L37" s="116">
        <v>0</v>
      </c>
      <c r="M37" s="116">
        <v>0</v>
      </c>
      <c r="N37" s="116">
        <v>0.8</v>
      </c>
      <c r="O37" s="116">
        <v>0.8</v>
      </c>
      <c r="P37" s="116">
        <v>0</v>
      </c>
      <c r="Q37" s="116">
        <v>0</v>
      </c>
      <c r="R37" s="116">
        <v>0</v>
      </c>
      <c r="S37" s="116">
        <v>0.8</v>
      </c>
      <c r="T37" s="116">
        <v>0.8</v>
      </c>
      <c r="U37" s="116">
        <v>0.8</v>
      </c>
      <c r="V37" s="116">
        <v>0</v>
      </c>
      <c r="W37" s="116">
        <v>0.8</v>
      </c>
      <c r="X37" s="116">
        <v>0.8</v>
      </c>
      <c r="Y37" s="116">
        <v>0.8</v>
      </c>
      <c r="Z37" s="116">
        <v>0.8</v>
      </c>
      <c r="AA37" s="116">
        <v>0</v>
      </c>
      <c r="AB37" s="116">
        <v>0</v>
      </c>
      <c r="AC37" s="116">
        <v>0</v>
      </c>
      <c r="AD37" s="116">
        <v>0.8</v>
      </c>
      <c r="AE37" s="116">
        <v>0</v>
      </c>
      <c r="AF37" s="116">
        <v>0</v>
      </c>
      <c r="AG37" s="116">
        <v>0</v>
      </c>
      <c r="AH37" s="116">
        <v>0</v>
      </c>
      <c r="AI37" s="116">
        <v>0.8</v>
      </c>
      <c r="AJ37" s="116">
        <v>0</v>
      </c>
      <c r="AK37" s="116">
        <v>0.8</v>
      </c>
      <c r="AL37" s="116">
        <v>0.8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  <c r="AZ37" s="116">
        <v>0</v>
      </c>
    </row>
    <row r="38" spans="1:52" x14ac:dyDescent="0.15">
      <c r="A38" s="194" t="s">
        <v>228</v>
      </c>
      <c r="B38" s="116">
        <v>0</v>
      </c>
      <c r="C38" s="116">
        <v>0</v>
      </c>
      <c r="D38" s="116">
        <v>0.8</v>
      </c>
      <c r="E38" s="116">
        <v>0.8</v>
      </c>
      <c r="F38" s="116">
        <v>0.8</v>
      </c>
      <c r="G38" s="116">
        <v>0</v>
      </c>
      <c r="H38" s="116">
        <v>0.8</v>
      </c>
      <c r="I38" s="116">
        <v>0</v>
      </c>
      <c r="J38" s="116">
        <v>0.8</v>
      </c>
      <c r="K38" s="116">
        <v>0</v>
      </c>
      <c r="L38" s="116">
        <v>0</v>
      </c>
      <c r="M38" s="116">
        <v>0</v>
      </c>
      <c r="N38" s="116">
        <v>0.8</v>
      </c>
      <c r="O38" s="116">
        <v>0</v>
      </c>
      <c r="P38" s="116">
        <v>0</v>
      </c>
      <c r="Q38" s="116">
        <v>0</v>
      </c>
      <c r="R38" s="116">
        <v>0</v>
      </c>
      <c r="S38" s="116">
        <v>0.8</v>
      </c>
      <c r="T38" s="116">
        <v>0.8</v>
      </c>
      <c r="U38" s="116">
        <v>0</v>
      </c>
      <c r="V38" s="116">
        <v>0</v>
      </c>
      <c r="W38" s="116">
        <v>0.8</v>
      </c>
      <c r="X38" s="116">
        <v>0.8</v>
      </c>
      <c r="Y38" s="116">
        <v>0.8</v>
      </c>
      <c r="Z38" s="116">
        <v>0.8</v>
      </c>
      <c r="AA38" s="116">
        <v>0</v>
      </c>
      <c r="AB38" s="116">
        <v>0</v>
      </c>
      <c r="AC38" s="116">
        <v>0.8</v>
      </c>
      <c r="AD38" s="116">
        <v>0</v>
      </c>
      <c r="AE38" s="116">
        <v>0</v>
      </c>
      <c r="AF38" s="116">
        <v>0</v>
      </c>
      <c r="AG38" s="116">
        <v>0</v>
      </c>
      <c r="AH38" s="116">
        <v>0</v>
      </c>
      <c r="AI38" s="116">
        <v>0.8</v>
      </c>
      <c r="AJ38" s="116">
        <v>0</v>
      </c>
      <c r="AK38" s="116">
        <v>0</v>
      </c>
      <c r="AL38" s="116">
        <v>0</v>
      </c>
      <c r="AM38" s="116">
        <v>0</v>
      </c>
      <c r="AN38" s="116">
        <v>0</v>
      </c>
      <c r="AO38" s="116">
        <v>0</v>
      </c>
      <c r="AP38" s="116">
        <v>0</v>
      </c>
      <c r="AQ38" s="116">
        <v>0</v>
      </c>
      <c r="AR38" s="116">
        <v>0</v>
      </c>
      <c r="AS38" s="116">
        <v>0</v>
      </c>
      <c r="AT38" s="116">
        <v>0</v>
      </c>
      <c r="AU38" s="116">
        <v>0</v>
      </c>
      <c r="AV38" s="116">
        <v>0</v>
      </c>
      <c r="AW38" s="116">
        <v>0</v>
      </c>
      <c r="AX38" s="116">
        <v>0</v>
      </c>
      <c r="AY38" s="116">
        <v>0</v>
      </c>
      <c r="AZ38" s="116">
        <v>0</v>
      </c>
    </row>
    <row r="39" spans="1:52" x14ac:dyDescent="0.15">
      <c r="A39" s="194" t="s">
        <v>229</v>
      </c>
      <c r="B39" s="116">
        <v>0</v>
      </c>
      <c r="C39" s="116">
        <v>0.8</v>
      </c>
      <c r="D39" s="116">
        <v>0</v>
      </c>
      <c r="E39" s="116">
        <v>0.8</v>
      </c>
      <c r="F39" s="116">
        <v>0.8</v>
      </c>
      <c r="G39" s="116">
        <v>0</v>
      </c>
      <c r="H39" s="116">
        <v>0.8</v>
      </c>
      <c r="I39" s="116">
        <v>0</v>
      </c>
      <c r="J39" s="116">
        <v>0.8</v>
      </c>
      <c r="K39" s="116">
        <v>0.8</v>
      </c>
      <c r="L39" s="116">
        <v>0.8</v>
      </c>
      <c r="M39" s="116">
        <v>0.8</v>
      </c>
      <c r="N39" s="116">
        <v>0.8</v>
      </c>
      <c r="O39" s="116">
        <v>0.8</v>
      </c>
      <c r="P39" s="116">
        <v>0</v>
      </c>
      <c r="Q39" s="116">
        <v>0</v>
      </c>
      <c r="R39" s="116">
        <v>0</v>
      </c>
      <c r="S39" s="116">
        <v>0.8</v>
      </c>
      <c r="T39" s="116">
        <v>0.8</v>
      </c>
      <c r="U39" s="116">
        <v>0.8</v>
      </c>
      <c r="V39" s="116">
        <v>0</v>
      </c>
      <c r="W39" s="116">
        <v>0</v>
      </c>
      <c r="X39" s="116">
        <v>0</v>
      </c>
      <c r="Y39" s="116">
        <v>0.8</v>
      </c>
      <c r="Z39" s="116">
        <v>0.8</v>
      </c>
      <c r="AA39" s="116">
        <v>0</v>
      </c>
      <c r="AB39" s="116">
        <v>0.8</v>
      </c>
      <c r="AC39" s="116">
        <v>0.8</v>
      </c>
      <c r="AD39" s="116">
        <v>0.8</v>
      </c>
      <c r="AE39" s="116">
        <v>0</v>
      </c>
      <c r="AF39" s="116">
        <v>0</v>
      </c>
      <c r="AG39" s="116">
        <v>0</v>
      </c>
      <c r="AH39" s="116">
        <v>0</v>
      </c>
      <c r="AI39" s="116">
        <v>0.8</v>
      </c>
      <c r="AJ39" s="116">
        <v>0</v>
      </c>
      <c r="AK39" s="116">
        <v>0.8</v>
      </c>
      <c r="AL39" s="116">
        <v>0.8</v>
      </c>
      <c r="AM39" s="116">
        <v>0</v>
      </c>
      <c r="AN39" s="116">
        <v>0</v>
      </c>
      <c r="AO39" s="116">
        <v>0</v>
      </c>
      <c r="AP39" s="116">
        <v>0</v>
      </c>
      <c r="AQ39" s="116">
        <v>0</v>
      </c>
      <c r="AR39" s="116">
        <v>0</v>
      </c>
      <c r="AS39" s="116">
        <v>0</v>
      </c>
      <c r="AT39" s="116">
        <v>0</v>
      </c>
      <c r="AU39" s="116">
        <v>0</v>
      </c>
      <c r="AV39" s="116">
        <v>0</v>
      </c>
      <c r="AW39" s="116">
        <v>0</v>
      </c>
      <c r="AX39" s="116">
        <v>0</v>
      </c>
      <c r="AY39" s="116">
        <v>0</v>
      </c>
      <c r="AZ39" s="116">
        <v>0</v>
      </c>
    </row>
    <row r="40" spans="1:52" x14ac:dyDescent="0.15">
      <c r="A40" s="194" t="s">
        <v>230</v>
      </c>
      <c r="B40" s="116">
        <v>0</v>
      </c>
      <c r="C40" s="116">
        <v>0</v>
      </c>
      <c r="D40" s="116">
        <v>0.8</v>
      </c>
      <c r="E40" s="116">
        <v>0.8</v>
      </c>
      <c r="F40" s="116">
        <v>0.8</v>
      </c>
      <c r="G40" s="116">
        <v>0</v>
      </c>
      <c r="H40" s="116">
        <v>0</v>
      </c>
      <c r="I40" s="116">
        <v>0</v>
      </c>
      <c r="J40" s="116">
        <v>0.8</v>
      </c>
      <c r="K40" s="116">
        <v>0</v>
      </c>
      <c r="L40" s="116">
        <v>0</v>
      </c>
      <c r="M40" s="116">
        <v>0</v>
      </c>
      <c r="N40" s="116">
        <v>0</v>
      </c>
      <c r="O40" s="116">
        <v>0</v>
      </c>
      <c r="P40" s="116">
        <v>0</v>
      </c>
      <c r="Q40" s="116">
        <v>0</v>
      </c>
      <c r="R40" s="116">
        <v>0</v>
      </c>
      <c r="S40" s="116">
        <v>0</v>
      </c>
      <c r="T40" s="116">
        <v>0</v>
      </c>
      <c r="U40" s="116">
        <v>0</v>
      </c>
      <c r="V40" s="116">
        <v>0</v>
      </c>
      <c r="W40" s="116">
        <v>0</v>
      </c>
      <c r="X40" s="116">
        <v>0</v>
      </c>
      <c r="Y40" s="116">
        <v>0</v>
      </c>
      <c r="Z40" s="116">
        <v>0</v>
      </c>
      <c r="AA40" s="116">
        <v>0</v>
      </c>
      <c r="AB40" s="116">
        <v>0</v>
      </c>
      <c r="AC40" s="116">
        <v>0</v>
      </c>
      <c r="AD40" s="116">
        <v>0</v>
      </c>
      <c r="AE40" s="116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116">
        <v>0</v>
      </c>
      <c r="AO40" s="116">
        <v>0</v>
      </c>
      <c r="AP40" s="116">
        <v>0</v>
      </c>
      <c r="AQ40" s="116">
        <v>0</v>
      </c>
      <c r="AR40" s="116">
        <v>0</v>
      </c>
      <c r="AS40" s="116">
        <v>0</v>
      </c>
      <c r="AT40" s="116">
        <v>0</v>
      </c>
      <c r="AU40" s="116">
        <v>0</v>
      </c>
      <c r="AV40" s="116">
        <v>0</v>
      </c>
      <c r="AW40" s="116">
        <v>0</v>
      </c>
      <c r="AX40" s="116">
        <v>0</v>
      </c>
      <c r="AY40" s="116">
        <v>0</v>
      </c>
      <c r="AZ40" s="116">
        <v>0</v>
      </c>
    </row>
    <row r="41" spans="1:52" x14ac:dyDescent="0.15">
      <c r="A41" s="194" t="s">
        <v>231</v>
      </c>
      <c r="B41" s="116">
        <v>0.8</v>
      </c>
      <c r="C41" s="116">
        <v>0</v>
      </c>
      <c r="D41" s="116">
        <v>0</v>
      </c>
      <c r="E41" s="116">
        <v>0.8</v>
      </c>
      <c r="F41" s="116">
        <v>0</v>
      </c>
      <c r="G41" s="116">
        <v>0</v>
      </c>
      <c r="H41" s="116">
        <v>0</v>
      </c>
      <c r="I41" s="116">
        <v>0</v>
      </c>
      <c r="J41" s="116">
        <v>0.8</v>
      </c>
      <c r="K41" s="116">
        <v>0.8</v>
      </c>
      <c r="L41" s="116">
        <v>0.8</v>
      </c>
      <c r="M41" s="116">
        <v>0.8</v>
      </c>
      <c r="N41" s="116">
        <v>0</v>
      </c>
      <c r="O41" s="116">
        <v>0</v>
      </c>
      <c r="P41" s="116">
        <v>0</v>
      </c>
      <c r="Q41" s="116">
        <v>0.8</v>
      </c>
      <c r="R41" s="116">
        <v>0.8</v>
      </c>
      <c r="S41" s="116">
        <v>0.8</v>
      </c>
      <c r="T41" s="116">
        <v>0</v>
      </c>
      <c r="U41" s="116">
        <v>0</v>
      </c>
      <c r="V41" s="116">
        <v>0</v>
      </c>
      <c r="W41" s="116">
        <v>0.8</v>
      </c>
      <c r="X41" s="116">
        <v>0.8</v>
      </c>
      <c r="Y41" s="116">
        <v>0.8</v>
      </c>
      <c r="Z41" s="116">
        <v>0.8</v>
      </c>
      <c r="AA41" s="116">
        <v>0.8</v>
      </c>
      <c r="AB41" s="116">
        <v>0</v>
      </c>
      <c r="AC41" s="116">
        <v>0.8</v>
      </c>
      <c r="AD41" s="116">
        <v>0</v>
      </c>
      <c r="AE41" s="116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116">
        <v>0.8</v>
      </c>
      <c r="AO41" s="116">
        <v>0</v>
      </c>
      <c r="AP41" s="116">
        <v>0.8</v>
      </c>
      <c r="AQ41" s="116">
        <v>0</v>
      </c>
      <c r="AR41" s="116">
        <v>0</v>
      </c>
      <c r="AS41" s="116">
        <v>0</v>
      </c>
      <c r="AT41" s="116">
        <v>0</v>
      </c>
      <c r="AU41" s="116">
        <v>0</v>
      </c>
      <c r="AV41" s="116">
        <v>0</v>
      </c>
      <c r="AW41" s="116">
        <v>0</v>
      </c>
      <c r="AX41" s="116">
        <v>0</v>
      </c>
      <c r="AY41" s="116">
        <v>0</v>
      </c>
      <c r="AZ41" s="116">
        <v>0</v>
      </c>
    </row>
    <row r="42" spans="1:52" x14ac:dyDescent="0.15">
      <c r="A42" s="194" t="s">
        <v>232</v>
      </c>
      <c r="B42" s="116">
        <v>0.8</v>
      </c>
      <c r="C42" s="116">
        <v>0</v>
      </c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0.8</v>
      </c>
      <c r="T42" s="116">
        <v>0</v>
      </c>
      <c r="U42" s="116">
        <v>0</v>
      </c>
      <c r="V42" s="116">
        <v>0</v>
      </c>
      <c r="W42" s="116">
        <v>0.8</v>
      </c>
      <c r="X42" s="116">
        <v>0</v>
      </c>
      <c r="Y42" s="116">
        <v>0.8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16">
        <v>0</v>
      </c>
    </row>
    <row r="43" spans="1:52" x14ac:dyDescent="0.15">
      <c r="A43" s="194" t="s">
        <v>233</v>
      </c>
      <c r="B43" s="116">
        <v>0.8</v>
      </c>
      <c r="C43" s="116">
        <v>0</v>
      </c>
      <c r="D43" s="116">
        <v>0</v>
      </c>
      <c r="E43" s="116">
        <v>0.8</v>
      </c>
      <c r="F43" s="116">
        <v>0</v>
      </c>
      <c r="G43" s="116">
        <v>0</v>
      </c>
      <c r="H43" s="116">
        <v>0.8</v>
      </c>
      <c r="I43" s="116">
        <v>0</v>
      </c>
      <c r="J43" s="116">
        <v>0.8</v>
      </c>
      <c r="K43" s="116">
        <v>0.8</v>
      </c>
      <c r="L43" s="116">
        <v>0.8</v>
      </c>
      <c r="M43" s="116">
        <v>0.8</v>
      </c>
      <c r="N43" s="116">
        <v>0.8</v>
      </c>
      <c r="O43" s="116">
        <v>0.8</v>
      </c>
      <c r="P43" s="116">
        <v>0</v>
      </c>
      <c r="Q43" s="116">
        <v>0.8</v>
      </c>
      <c r="R43" s="116">
        <v>0</v>
      </c>
      <c r="S43" s="116">
        <v>0.8</v>
      </c>
      <c r="T43" s="116">
        <v>0.8</v>
      </c>
      <c r="U43" s="116">
        <v>0.8</v>
      </c>
      <c r="V43" s="116">
        <v>0</v>
      </c>
      <c r="W43" s="116">
        <v>0.8</v>
      </c>
      <c r="X43" s="116">
        <v>0.8</v>
      </c>
      <c r="Y43" s="116">
        <v>0.8</v>
      </c>
      <c r="Z43" s="116">
        <v>0.8</v>
      </c>
      <c r="AA43" s="116">
        <v>0.8</v>
      </c>
      <c r="AB43" s="116">
        <v>0.8</v>
      </c>
      <c r="AC43" s="116">
        <v>0.8</v>
      </c>
      <c r="AD43" s="116">
        <v>0.8</v>
      </c>
      <c r="AE43" s="116">
        <v>0</v>
      </c>
      <c r="AF43" s="116">
        <v>0</v>
      </c>
      <c r="AG43" s="116">
        <v>0</v>
      </c>
      <c r="AH43" s="116">
        <v>0</v>
      </c>
      <c r="AI43" s="116">
        <v>0.8</v>
      </c>
      <c r="AJ43" s="116">
        <v>0</v>
      </c>
      <c r="AK43" s="116">
        <v>0</v>
      </c>
      <c r="AL43" s="116">
        <v>0</v>
      </c>
      <c r="AM43" s="116">
        <v>0</v>
      </c>
      <c r="AN43" s="116">
        <v>0.8</v>
      </c>
      <c r="AO43" s="116">
        <v>0.8</v>
      </c>
      <c r="AP43" s="116">
        <v>0.8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16">
        <v>0</v>
      </c>
    </row>
    <row r="44" spans="1:52" x14ac:dyDescent="0.15">
      <c r="A44" s="194" t="s">
        <v>234</v>
      </c>
      <c r="B44" s="116">
        <v>0.8</v>
      </c>
      <c r="C44" s="116">
        <v>0</v>
      </c>
      <c r="D44" s="116">
        <v>0</v>
      </c>
      <c r="E44" s="116">
        <v>0</v>
      </c>
      <c r="F44" s="116">
        <v>0</v>
      </c>
      <c r="G44" s="116">
        <v>0</v>
      </c>
      <c r="H44" s="116">
        <v>0</v>
      </c>
      <c r="I44" s="116">
        <v>0</v>
      </c>
      <c r="J44" s="116">
        <v>0.8</v>
      </c>
      <c r="K44" s="116">
        <v>0.8</v>
      </c>
      <c r="L44" s="116">
        <v>0.8</v>
      </c>
      <c r="M44" s="116">
        <v>0.8</v>
      </c>
      <c r="N44" s="116">
        <v>0</v>
      </c>
      <c r="O44" s="116">
        <v>0.8</v>
      </c>
      <c r="P44" s="116">
        <v>0.8</v>
      </c>
      <c r="Q44" s="116">
        <v>0.8</v>
      </c>
      <c r="R44" s="116">
        <v>0.8</v>
      </c>
      <c r="S44" s="116">
        <v>0.8</v>
      </c>
      <c r="T44" s="116">
        <v>0</v>
      </c>
      <c r="U44" s="116">
        <v>0</v>
      </c>
      <c r="V44" s="116">
        <v>0</v>
      </c>
      <c r="W44" s="116">
        <v>0.8</v>
      </c>
      <c r="X44" s="116">
        <v>0.8</v>
      </c>
      <c r="Y44" s="116">
        <v>0.8</v>
      </c>
      <c r="Z44" s="116">
        <v>0.8</v>
      </c>
      <c r="AA44" s="116">
        <v>0.8</v>
      </c>
      <c r="AB44" s="116">
        <v>0.8</v>
      </c>
      <c r="AC44" s="116">
        <v>0.8</v>
      </c>
      <c r="AD44" s="116">
        <v>0</v>
      </c>
      <c r="AE44" s="116">
        <v>0</v>
      </c>
      <c r="AF44" s="116">
        <v>0</v>
      </c>
      <c r="AG44" s="116">
        <v>0</v>
      </c>
      <c r="AH44" s="116">
        <v>0</v>
      </c>
      <c r="AI44" s="116">
        <v>0</v>
      </c>
      <c r="AJ44" s="116">
        <v>0</v>
      </c>
      <c r="AK44" s="116">
        <v>0</v>
      </c>
      <c r="AL44" s="116">
        <v>0</v>
      </c>
      <c r="AM44" s="116">
        <v>0</v>
      </c>
      <c r="AN44" s="116">
        <v>0.8</v>
      </c>
      <c r="AO44" s="116">
        <v>0.8</v>
      </c>
      <c r="AP44" s="116">
        <v>0.8</v>
      </c>
      <c r="AQ44" s="116">
        <v>0</v>
      </c>
      <c r="AR44" s="116">
        <v>0</v>
      </c>
      <c r="AS44" s="116">
        <v>0</v>
      </c>
      <c r="AT44" s="116">
        <v>0</v>
      </c>
      <c r="AU44" s="116">
        <v>0</v>
      </c>
      <c r="AV44" s="116">
        <v>0</v>
      </c>
      <c r="AW44" s="116">
        <v>0</v>
      </c>
      <c r="AX44" s="116">
        <v>0</v>
      </c>
      <c r="AY44" s="116">
        <v>0</v>
      </c>
      <c r="AZ44" s="116">
        <v>0</v>
      </c>
    </row>
    <row r="45" spans="1:52" x14ac:dyDescent="0.15">
      <c r="A45" s="194" t="s">
        <v>235</v>
      </c>
      <c r="B45" s="116">
        <v>0.8</v>
      </c>
      <c r="C45" s="116">
        <v>0</v>
      </c>
      <c r="D45" s="116">
        <v>0</v>
      </c>
      <c r="E45" s="116">
        <v>0</v>
      </c>
      <c r="F45" s="116">
        <v>0</v>
      </c>
      <c r="G45" s="116">
        <v>0</v>
      </c>
      <c r="H45" s="116">
        <v>0</v>
      </c>
      <c r="I45" s="116">
        <v>0</v>
      </c>
      <c r="J45" s="116">
        <v>0.8</v>
      </c>
      <c r="K45" s="116">
        <v>0.8</v>
      </c>
      <c r="L45" s="116">
        <v>0.8</v>
      </c>
      <c r="M45" s="116">
        <v>0.8</v>
      </c>
      <c r="N45" s="116">
        <v>0</v>
      </c>
      <c r="O45" s="116">
        <v>0</v>
      </c>
      <c r="P45" s="116">
        <v>0.8</v>
      </c>
      <c r="Q45" s="116">
        <v>0.8</v>
      </c>
      <c r="R45" s="116">
        <v>0.8</v>
      </c>
      <c r="S45" s="116">
        <v>0.8</v>
      </c>
      <c r="T45" s="116">
        <v>0.8</v>
      </c>
      <c r="U45" s="116">
        <v>0</v>
      </c>
      <c r="V45" s="116">
        <v>0</v>
      </c>
      <c r="W45" s="116">
        <v>0.8</v>
      </c>
      <c r="X45" s="116">
        <v>0.8</v>
      </c>
      <c r="Y45" s="116">
        <v>0.8</v>
      </c>
      <c r="Z45" s="116">
        <v>0.8</v>
      </c>
      <c r="AA45" s="116">
        <v>0.8</v>
      </c>
      <c r="AB45" s="116">
        <v>0.8</v>
      </c>
      <c r="AC45" s="116">
        <v>0.8</v>
      </c>
      <c r="AD45" s="116">
        <v>0</v>
      </c>
      <c r="AE45" s="116">
        <v>0</v>
      </c>
      <c r="AF45" s="116">
        <v>0</v>
      </c>
      <c r="AG45" s="116">
        <v>0</v>
      </c>
      <c r="AH45" s="116">
        <v>0</v>
      </c>
      <c r="AI45" s="116">
        <v>0.8</v>
      </c>
      <c r="AJ45" s="116">
        <v>0</v>
      </c>
      <c r="AK45" s="116">
        <v>0</v>
      </c>
      <c r="AL45" s="116">
        <v>0</v>
      </c>
      <c r="AM45" s="116">
        <v>0</v>
      </c>
      <c r="AN45" s="116">
        <v>0.8</v>
      </c>
      <c r="AO45" s="116">
        <v>0.8</v>
      </c>
      <c r="AP45" s="116">
        <v>0.8</v>
      </c>
      <c r="AQ45" s="116">
        <v>0.8</v>
      </c>
      <c r="AR45" s="116">
        <v>0</v>
      </c>
      <c r="AS45" s="116">
        <v>0</v>
      </c>
      <c r="AT45" s="116">
        <v>0</v>
      </c>
      <c r="AU45" s="116">
        <v>0</v>
      </c>
      <c r="AV45" s="116">
        <v>0</v>
      </c>
      <c r="AW45" s="116">
        <v>0</v>
      </c>
      <c r="AX45" s="116">
        <v>0</v>
      </c>
      <c r="AY45" s="116">
        <v>0</v>
      </c>
      <c r="AZ45" s="116">
        <v>0</v>
      </c>
    </row>
    <row r="46" spans="1:52" x14ac:dyDescent="0.15">
      <c r="A46" s="194" t="s">
        <v>236</v>
      </c>
      <c r="B46" s="116">
        <v>0.8</v>
      </c>
      <c r="C46" s="116">
        <v>0</v>
      </c>
      <c r="D46" s="116">
        <v>0</v>
      </c>
      <c r="E46" s="116">
        <v>0</v>
      </c>
      <c r="F46" s="116">
        <v>0</v>
      </c>
      <c r="G46" s="116">
        <v>0.8</v>
      </c>
      <c r="H46" s="116">
        <v>0</v>
      </c>
      <c r="I46" s="116">
        <v>0</v>
      </c>
      <c r="J46" s="116">
        <v>0.8</v>
      </c>
      <c r="K46" s="116">
        <v>0.8</v>
      </c>
      <c r="L46" s="116">
        <v>0.8</v>
      </c>
      <c r="M46" s="116">
        <v>0.8</v>
      </c>
      <c r="N46" s="116">
        <v>0</v>
      </c>
      <c r="O46" s="116">
        <v>0</v>
      </c>
      <c r="P46" s="116">
        <v>0.8</v>
      </c>
      <c r="Q46" s="116">
        <v>0.8</v>
      </c>
      <c r="R46" s="116">
        <v>0.8</v>
      </c>
      <c r="S46" s="116">
        <v>0.8</v>
      </c>
      <c r="T46" s="116">
        <v>0</v>
      </c>
      <c r="U46" s="116">
        <v>0</v>
      </c>
      <c r="V46" s="116">
        <v>0</v>
      </c>
      <c r="W46" s="116">
        <v>0</v>
      </c>
      <c r="X46" s="116">
        <v>0</v>
      </c>
      <c r="Y46" s="116">
        <v>0.8</v>
      </c>
      <c r="Z46" s="116">
        <v>0.8</v>
      </c>
      <c r="AA46" s="116">
        <v>0.8</v>
      </c>
      <c r="AB46" s="116">
        <v>0</v>
      </c>
      <c r="AC46" s="116">
        <v>0.8</v>
      </c>
      <c r="AD46" s="116">
        <v>0</v>
      </c>
      <c r="AE46" s="116">
        <v>0</v>
      </c>
      <c r="AF46" s="116">
        <v>0</v>
      </c>
      <c r="AG46" s="116">
        <v>0</v>
      </c>
      <c r="AH46" s="116">
        <v>0</v>
      </c>
      <c r="AI46" s="116">
        <v>0</v>
      </c>
      <c r="AJ46" s="116">
        <v>0</v>
      </c>
      <c r="AK46" s="116">
        <v>0</v>
      </c>
      <c r="AL46" s="116">
        <v>0</v>
      </c>
      <c r="AM46" s="116">
        <v>0</v>
      </c>
      <c r="AN46" s="116">
        <v>0.8</v>
      </c>
      <c r="AO46" s="116">
        <v>0.8</v>
      </c>
      <c r="AP46" s="116">
        <v>0.8</v>
      </c>
      <c r="AQ46" s="116">
        <v>0</v>
      </c>
      <c r="AR46" s="116">
        <v>0</v>
      </c>
      <c r="AS46" s="116">
        <v>0</v>
      </c>
      <c r="AT46" s="116">
        <v>0</v>
      </c>
      <c r="AU46" s="116">
        <v>0</v>
      </c>
      <c r="AV46" s="116">
        <v>0</v>
      </c>
      <c r="AW46" s="116">
        <v>0</v>
      </c>
      <c r="AX46" s="116">
        <v>0</v>
      </c>
      <c r="AY46" s="116">
        <v>0</v>
      </c>
      <c r="AZ46" s="116">
        <v>0</v>
      </c>
    </row>
    <row r="47" spans="1:52" x14ac:dyDescent="0.15">
      <c r="A47" s="194" t="s">
        <v>237</v>
      </c>
      <c r="B47" s="116">
        <v>0.8</v>
      </c>
      <c r="C47" s="116">
        <v>0</v>
      </c>
      <c r="D47" s="116">
        <v>0</v>
      </c>
      <c r="E47" s="116">
        <v>0</v>
      </c>
      <c r="F47" s="116">
        <v>0</v>
      </c>
      <c r="G47" s="116">
        <v>0.8</v>
      </c>
      <c r="H47" s="116">
        <v>0</v>
      </c>
      <c r="I47" s="116">
        <v>0</v>
      </c>
      <c r="J47" s="116">
        <v>0.8</v>
      </c>
      <c r="K47" s="116">
        <v>0.8</v>
      </c>
      <c r="L47" s="116">
        <v>0.8</v>
      </c>
      <c r="M47" s="116">
        <v>0.8</v>
      </c>
      <c r="N47" s="116">
        <v>0.8</v>
      </c>
      <c r="O47" s="116">
        <v>0.8</v>
      </c>
      <c r="P47" s="116">
        <v>0.8</v>
      </c>
      <c r="Q47" s="116">
        <v>0.8</v>
      </c>
      <c r="R47" s="116">
        <v>0.8</v>
      </c>
      <c r="S47" s="116">
        <v>0.8</v>
      </c>
      <c r="T47" s="116">
        <v>0.8</v>
      </c>
      <c r="U47" s="116">
        <v>0</v>
      </c>
      <c r="V47" s="116">
        <v>0.8</v>
      </c>
      <c r="W47" s="116">
        <v>0.8</v>
      </c>
      <c r="X47" s="116">
        <v>0.8</v>
      </c>
      <c r="Y47" s="116">
        <v>0.8</v>
      </c>
      <c r="Z47" s="116">
        <v>0.8</v>
      </c>
      <c r="AA47" s="116">
        <v>0.8</v>
      </c>
      <c r="AB47" s="116">
        <v>0.8</v>
      </c>
      <c r="AC47" s="116">
        <v>0.8</v>
      </c>
      <c r="AD47" s="116">
        <v>0</v>
      </c>
      <c r="AE47" s="116">
        <v>0</v>
      </c>
      <c r="AF47" s="116">
        <v>0.8</v>
      </c>
      <c r="AG47" s="116">
        <v>0</v>
      </c>
      <c r="AH47" s="116">
        <v>0.8</v>
      </c>
      <c r="AI47" s="116">
        <v>0.8</v>
      </c>
      <c r="AJ47" s="116">
        <v>0</v>
      </c>
      <c r="AK47" s="116">
        <v>0</v>
      </c>
      <c r="AL47" s="116">
        <v>0</v>
      </c>
      <c r="AM47" s="116">
        <v>0</v>
      </c>
      <c r="AN47" s="116">
        <v>0.8</v>
      </c>
      <c r="AO47" s="116">
        <v>0.8</v>
      </c>
      <c r="AP47" s="116">
        <v>0.8</v>
      </c>
      <c r="AQ47" s="116">
        <v>0.8</v>
      </c>
      <c r="AR47" s="116">
        <v>0</v>
      </c>
      <c r="AS47" s="116">
        <v>0</v>
      </c>
      <c r="AT47" s="116">
        <v>0</v>
      </c>
      <c r="AU47" s="116">
        <v>0</v>
      </c>
      <c r="AV47" s="116">
        <v>0</v>
      </c>
      <c r="AW47" s="116">
        <v>0</v>
      </c>
      <c r="AX47" s="116">
        <v>0</v>
      </c>
      <c r="AY47" s="116">
        <v>0</v>
      </c>
      <c r="AZ47" s="116">
        <v>0</v>
      </c>
    </row>
    <row r="48" spans="1:52" x14ac:dyDescent="0.15">
      <c r="A48" s="194" t="s">
        <v>238</v>
      </c>
      <c r="B48" s="116">
        <v>0</v>
      </c>
      <c r="C48" s="116">
        <v>0.8</v>
      </c>
      <c r="D48" s="116">
        <v>0</v>
      </c>
      <c r="E48" s="116">
        <v>0.8</v>
      </c>
      <c r="F48" s="116">
        <v>0</v>
      </c>
      <c r="G48" s="116">
        <v>0</v>
      </c>
      <c r="H48" s="116">
        <v>0</v>
      </c>
      <c r="I48" s="116">
        <v>0.8</v>
      </c>
      <c r="J48" s="116">
        <v>0.8</v>
      </c>
      <c r="K48" s="116">
        <v>0.8</v>
      </c>
      <c r="L48" s="116">
        <v>0.8</v>
      </c>
      <c r="M48" s="116">
        <v>0.8</v>
      </c>
      <c r="N48" s="116">
        <v>0.8</v>
      </c>
      <c r="O48" s="116">
        <v>0.8</v>
      </c>
      <c r="P48" s="116">
        <v>0.8</v>
      </c>
      <c r="Q48" s="116">
        <v>0.8</v>
      </c>
      <c r="R48" s="116">
        <v>0</v>
      </c>
      <c r="S48" s="116">
        <v>0.8</v>
      </c>
      <c r="T48" s="116">
        <v>0.8</v>
      </c>
      <c r="U48" s="116">
        <v>0.8</v>
      </c>
      <c r="V48" s="116">
        <v>0.8</v>
      </c>
      <c r="W48" s="116">
        <v>0.8</v>
      </c>
      <c r="X48" s="116">
        <v>0.8</v>
      </c>
      <c r="Y48" s="116">
        <v>0.8</v>
      </c>
      <c r="Z48" s="116">
        <v>0.8</v>
      </c>
      <c r="AA48" s="116">
        <v>0.8</v>
      </c>
      <c r="AB48" s="116">
        <v>0.8</v>
      </c>
      <c r="AC48" s="116">
        <v>0.8</v>
      </c>
      <c r="AD48" s="116">
        <v>0.8</v>
      </c>
      <c r="AE48" s="116">
        <v>0.8</v>
      </c>
      <c r="AF48" s="116">
        <v>0.8</v>
      </c>
      <c r="AG48" s="116">
        <v>0.8</v>
      </c>
      <c r="AH48" s="116">
        <v>0.8</v>
      </c>
      <c r="AI48" s="116">
        <v>0.8</v>
      </c>
      <c r="AJ48" s="116">
        <v>0.8</v>
      </c>
      <c r="AK48" s="116">
        <v>0.8</v>
      </c>
      <c r="AL48" s="116">
        <v>0.8</v>
      </c>
      <c r="AM48" s="116">
        <v>0.8</v>
      </c>
      <c r="AN48" s="116">
        <v>0.8</v>
      </c>
      <c r="AO48" s="116">
        <v>0.8</v>
      </c>
      <c r="AP48" s="116">
        <v>0.8</v>
      </c>
      <c r="AQ48" s="116">
        <v>0.8</v>
      </c>
      <c r="AR48" s="116">
        <v>0</v>
      </c>
      <c r="AS48" s="116">
        <v>0</v>
      </c>
      <c r="AT48" s="116">
        <v>0</v>
      </c>
      <c r="AU48" s="116">
        <v>0</v>
      </c>
      <c r="AV48" s="116">
        <v>0.8</v>
      </c>
      <c r="AW48" s="116">
        <v>0</v>
      </c>
      <c r="AX48" s="116">
        <v>0</v>
      </c>
      <c r="AY48" s="116">
        <v>0</v>
      </c>
      <c r="AZ48" s="116">
        <v>0</v>
      </c>
    </row>
    <row r="49" spans="1:52" x14ac:dyDescent="0.15">
      <c r="A49" s="194" t="s">
        <v>239</v>
      </c>
      <c r="B49" s="116">
        <v>0.8</v>
      </c>
      <c r="C49" s="116">
        <v>0.8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0.8</v>
      </c>
      <c r="J49" s="116">
        <v>0</v>
      </c>
      <c r="K49" s="116">
        <v>0.8</v>
      </c>
      <c r="L49" s="116">
        <v>0</v>
      </c>
      <c r="M49" s="116">
        <v>0.8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0.8</v>
      </c>
      <c r="T49" s="116">
        <v>0</v>
      </c>
      <c r="U49" s="116">
        <v>0.8</v>
      </c>
      <c r="V49" s="116">
        <v>0</v>
      </c>
      <c r="W49" s="116">
        <v>0.8</v>
      </c>
      <c r="X49" s="116">
        <v>0.8</v>
      </c>
      <c r="Y49" s="116">
        <v>0.8</v>
      </c>
      <c r="Z49" s="116">
        <v>0.8</v>
      </c>
      <c r="AA49" s="116">
        <v>0.8</v>
      </c>
      <c r="AB49" s="116">
        <v>0.8</v>
      </c>
      <c r="AC49" s="116">
        <v>0</v>
      </c>
      <c r="AD49" s="116">
        <v>0</v>
      </c>
      <c r="AE49" s="116">
        <v>0.8</v>
      </c>
      <c r="AF49" s="116">
        <v>0.8</v>
      </c>
      <c r="AG49" s="116">
        <v>0.8</v>
      </c>
      <c r="AH49" s="116">
        <v>0.8</v>
      </c>
      <c r="AI49" s="116">
        <v>0.8</v>
      </c>
      <c r="AJ49" s="116">
        <v>0.8</v>
      </c>
      <c r="AK49" s="116">
        <v>0.8</v>
      </c>
      <c r="AL49" s="116">
        <v>0</v>
      </c>
      <c r="AM49" s="116">
        <v>0.8</v>
      </c>
      <c r="AN49" s="116">
        <v>0.8</v>
      </c>
      <c r="AO49" s="116">
        <v>0.8</v>
      </c>
      <c r="AP49" s="116">
        <v>0.8</v>
      </c>
      <c r="AQ49" s="116">
        <v>0.8</v>
      </c>
      <c r="AR49" s="116">
        <v>0</v>
      </c>
      <c r="AS49" s="116">
        <v>0</v>
      </c>
      <c r="AT49" s="116">
        <v>0</v>
      </c>
      <c r="AU49" s="116">
        <v>0</v>
      </c>
      <c r="AV49" s="116">
        <v>0.8</v>
      </c>
      <c r="AW49" s="116">
        <v>0</v>
      </c>
      <c r="AX49" s="116">
        <v>0</v>
      </c>
      <c r="AY49" s="116">
        <v>0</v>
      </c>
      <c r="AZ49" s="116">
        <v>0</v>
      </c>
    </row>
    <row r="50" spans="1:52" x14ac:dyDescent="0.15">
      <c r="A50" s="194" t="s">
        <v>240</v>
      </c>
      <c r="B50" s="116">
        <v>0</v>
      </c>
      <c r="C50" s="116">
        <v>0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0.8</v>
      </c>
      <c r="AR50" s="116">
        <v>0</v>
      </c>
      <c r="AS50" s="116">
        <v>0</v>
      </c>
      <c r="AT50" s="116">
        <v>0</v>
      </c>
      <c r="AU50" s="116">
        <v>0</v>
      </c>
      <c r="AV50" s="116">
        <v>0.8</v>
      </c>
      <c r="AW50" s="116">
        <v>0.8</v>
      </c>
      <c r="AX50" s="116">
        <v>0</v>
      </c>
      <c r="AY50" s="116">
        <v>0</v>
      </c>
      <c r="AZ50" s="116">
        <v>0</v>
      </c>
    </row>
    <row r="51" spans="1:52" x14ac:dyDescent="0.15">
      <c r="A51" s="194" t="s">
        <v>241</v>
      </c>
      <c r="B51" s="116">
        <v>0</v>
      </c>
      <c r="C51" s="116">
        <v>0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0.8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0.8</v>
      </c>
      <c r="AO51" s="116">
        <v>0.8</v>
      </c>
      <c r="AP51" s="116">
        <v>0.8</v>
      </c>
      <c r="AQ51" s="116">
        <v>0.8</v>
      </c>
      <c r="AR51" s="116">
        <v>0.8</v>
      </c>
      <c r="AS51" s="116">
        <v>0.8</v>
      </c>
      <c r="AT51" s="116">
        <v>0.8</v>
      </c>
      <c r="AU51" s="116">
        <v>0.8</v>
      </c>
      <c r="AV51" s="116">
        <v>0.8</v>
      </c>
      <c r="AW51" s="116">
        <v>0</v>
      </c>
      <c r="AX51" s="116">
        <v>0</v>
      </c>
      <c r="AY51" s="116">
        <v>0</v>
      </c>
      <c r="AZ51" s="116">
        <v>0</v>
      </c>
    </row>
    <row r="52" spans="1:52" x14ac:dyDescent="0.15">
      <c r="A52" s="194" t="s">
        <v>242</v>
      </c>
      <c r="B52" s="116">
        <v>0</v>
      </c>
      <c r="C52" s="116">
        <v>0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  <c r="AZ52" s="116">
        <v>0</v>
      </c>
    </row>
    <row r="53" spans="1:52" x14ac:dyDescent="0.15">
      <c r="A53" s="194" t="s">
        <v>254</v>
      </c>
      <c r="B53" s="116">
        <v>0</v>
      </c>
      <c r="C53" s="116">
        <v>0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1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Z53"/>
  <sheetViews>
    <sheetView workbookViewId="0">
      <selection activeCell="A3" sqref="A3"/>
    </sheetView>
  </sheetViews>
  <sheetFormatPr baseColWidth="10" defaultRowHeight="13" x14ac:dyDescent="0.15"/>
  <cols>
    <col min="1" max="1" width="26.6640625" style="116" bestFit="1" customWidth="1"/>
    <col min="2" max="52" width="2.33203125" style="116" customWidth="1"/>
    <col min="53" max="16384" width="10.83203125" style="116"/>
  </cols>
  <sheetData>
    <row r="1" spans="1:52" x14ac:dyDescent="0.15">
      <c r="A1" s="63" t="s">
        <v>139</v>
      </c>
      <c r="B1" s="197" t="s">
        <v>192</v>
      </c>
      <c r="C1" s="197" t="s">
        <v>193</v>
      </c>
      <c r="D1" s="197" t="s">
        <v>194</v>
      </c>
      <c r="E1" s="197" t="s">
        <v>195</v>
      </c>
      <c r="F1" s="197" t="s">
        <v>196</v>
      </c>
      <c r="G1" s="197" t="s">
        <v>197</v>
      </c>
      <c r="H1" s="197" t="s">
        <v>198</v>
      </c>
      <c r="I1" s="197" t="s">
        <v>199</v>
      </c>
      <c r="J1" s="197" t="s">
        <v>200</v>
      </c>
      <c r="K1" s="197" t="s">
        <v>201</v>
      </c>
      <c r="L1" s="197" t="s">
        <v>202</v>
      </c>
      <c r="M1" s="197" t="s">
        <v>203</v>
      </c>
      <c r="N1" s="197" t="s">
        <v>204</v>
      </c>
      <c r="O1" s="197" t="s">
        <v>205</v>
      </c>
      <c r="P1" s="197" t="s">
        <v>206</v>
      </c>
      <c r="Q1" s="197" t="s">
        <v>207</v>
      </c>
      <c r="R1" s="197" t="s">
        <v>208</v>
      </c>
      <c r="S1" s="197" t="s">
        <v>209</v>
      </c>
      <c r="T1" s="197" t="s">
        <v>210</v>
      </c>
      <c r="U1" s="197" t="s">
        <v>211</v>
      </c>
      <c r="V1" s="197" t="s">
        <v>212</v>
      </c>
      <c r="W1" s="197" t="s">
        <v>213</v>
      </c>
      <c r="X1" s="197" t="s">
        <v>214</v>
      </c>
      <c r="Y1" s="197" t="s">
        <v>215</v>
      </c>
      <c r="Z1" s="197" t="s">
        <v>216</v>
      </c>
      <c r="AA1" s="197" t="s">
        <v>217</v>
      </c>
      <c r="AB1" s="197" t="s">
        <v>218</v>
      </c>
      <c r="AC1" s="197" t="s">
        <v>219</v>
      </c>
      <c r="AD1" s="197" t="s">
        <v>220</v>
      </c>
      <c r="AE1" s="197" t="s">
        <v>221</v>
      </c>
      <c r="AF1" s="197" t="s">
        <v>222</v>
      </c>
      <c r="AG1" s="197" t="s">
        <v>223</v>
      </c>
      <c r="AH1" s="197" t="s">
        <v>224</v>
      </c>
      <c r="AI1" s="197" t="s">
        <v>225</v>
      </c>
      <c r="AJ1" s="197" t="s">
        <v>226</v>
      </c>
      <c r="AK1" s="197" t="s">
        <v>227</v>
      </c>
      <c r="AL1" s="197" t="s">
        <v>228</v>
      </c>
      <c r="AM1" s="197" t="s">
        <v>229</v>
      </c>
      <c r="AN1" s="197" t="s">
        <v>230</v>
      </c>
      <c r="AO1" s="197" t="s">
        <v>231</v>
      </c>
      <c r="AP1" s="197" t="s">
        <v>232</v>
      </c>
      <c r="AQ1" s="197" t="s">
        <v>233</v>
      </c>
      <c r="AR1" s="197" t="s">
        <v>234</v>
      </c>
      <c r="AS1" s="197" t="s">
        <v>235</v>
      </c>
      <c r="AT1" s="197" t="s">
        <v>236</v>
      </c>
      <c r="AU1" s="197" t="s">
        <v>237</v>
      </c>
      <c r="AV1" s="197" t="s">
        <v>238</v>
      </c>
      <c r="AW1" s="197" t="s">
        <v>239</v>
      </c>
      <c r="AX1" s="197" t="s">
        <v>240</v>
      </c>
      <c r="AY1" s="197" t="s">
        <v>241</v>
      </c>
      <c r="AZ1" s="197" t="s">
        <v>242</v>
      </c>
    </row>
    <row r="2" spans="1:52" customFormat="1" x14ac:dyDescent="0.15">
      <c r="A2" s="196" t="s">
        <v>192</v>
      </c>
      <c r="B2" s="116">
        <v>0</v>
      </c>
      <c r="C2" s="116">
        <v>0</v>
      </c>
      <c r="D2" s="116">
        <v>0</v>
      </c>
      <c r="E2" s="116">
        <v>0</v>
      </c>
      <c r="F2" s="116">
        <v>0</v>
      </c>
      <c r="G2" s="116">
        <v>0</v>
      </c>
      <c r="H2" s="116">
        <v>0</v>
      </c>
      <c r="I2" s="116">
        <v>0</v>
      </c>
      <c r="J2" s="116">
        <v>0</v>
      </c>
      <c r="K2" s="116">
        <v>0</v>
      </c>
      <c r="L2" s="116">
        <v>0</v>
      </c>
      <c r="M2" s="116">
        <v>0</v>
      </c>
      <c r="N2" s="116">
        <v>0</v>
      </c>
      <c r="O2" s="116">
        <v>0</v>
      </c>
      <c r="P2" s="116">
        <v>0</v>
      </c>
      <c r="Q2" s="116">
        <v>0</v>
      </c>
      <c r="R2" s="116">
        <v>0</v>
      </c>
      <c r="S2" s="116">
        <v>0</v>
      </c>
      <c r="T2" s="116">
        <v>0</v>
      </c>
      <c r="U2" s="116">
        <v>0</v>
      </c>
      <c r="V2" s="116">
        <v>0</v>
      </c>
      <c r="W2" s="116">
        <v>0</v>
      </c>
      <c r="X2" s="116">
        <v>0</v>
      </c>
      <c r="Y2" s="116">
        <v>0</v>
      </c>
      <c r="Z2" s="116">
        <v>0</v>
      </c>
      <c r="AA2" s="116">
        <v>0</v>
      </c>
      <c r="AB2" s="116">
        <v>0</v>
      </c>
      <c r="AC2" s="116">
        <v>0</v>
      </c>
      <c r="AD2" s="116">
        <v>0</v>
      </c>
      <c r="AE2" s="116">
        <v>0</v>
      </c>
      <c r="AF2" s="116">
        <v>0</v>
      </c>
      <c r="AG2" s="116">
        <v>0</v>
      </c>
      <c r="AH2" s="116">
        <v>0</v>
      </c>
      <c r="AI2" s="116">
        <v>0</v>
      </c>
      <c r="AJ2" s="116">
        <v>0</v>
      </c>
      <c r="AK2" s="116">
        <v>0</v>
      </c>
      <c r="AL2" s="116">
        <v>0</v>
      </c>
      <c r="AM2" s="116">
        <v>0</v>
      </c>
      <c r="AN2" s="116">
        <v>0</v>
      </c>
      <c r="AO2" s="116">
        <v>0</v>
      </c>
      <c r="AP2" s="116">
        <v>0</v>
      </c>
      <c r="AQ2" s="116">
        <v>0</v>
      </c>
      <c r="AR2" s="116">
        <v>0</v>
      </c>
      <c r="AS2" s="116">
        <v>0</v>
      </c>
      <c r="AT2" s="116">
        <v>0</v>
      </c>
      <c r="AU2" s="116">
        <v>0</v>
      </c>
      <c r="AV2" s="116">
        <v>0</v>
      </c>
      <c r="AW2" s="116">
        <v>0</v>
      </c>
      <c r="AX2" s="116">
        <v>0</v>
      </c>
      <c r="AY2" s="116">
        <v>0</v>
      </c>
      <c r="AZ2" s="116">
        <v>0</v>
      </c>
    </row>
    <row r="3" spans="1:52" customFormat="1" x14ac:dyDescent="0.15">
      <c r="A3" s="196" t="s">
        <v>193</v>
      </c>
      <c r="B3" s="116">
        <v>0</v>
      </c>
      <c r="C3" s="116">
        <v>0</v>
      </c>
      <c r="D3" s="116">
        <v>0</v>
      </c>
      <c r="E3" s="116">
        <v>0</v>
      </c>
      <c r="F3" s="116">
        <v>0</v>
      </c>
      <c r="G3" s="116">
        <v>0</v>
      </c>
      <c r="H3" s="116">
        <v>0</v>
      </c>
      <c r="I3" s="116">
        <v>0</v>
      </c>
      <c r="J3" s="116">
        <v>0</v>
      </c>
      <c r="K3" s="116">
        <v>0</v>
      </c>
      <c r="L3" s="116">
        <v>0</v>
      </c>
      <c r="M3" s="116">
        <v>0</v>
      </c>
      <c r="N3" s="116">
        <v>0</v>
      </c>
      <c r="O3" s="116">
        <v>0</v>
      </c>
      <c r="P3" s="116">
        <v>0</v>
      </c>
      <c r="Q3" s="116">
        <v>0</v>
      </c>
      <c r="R3" s="116">
        <v>0</v>
      </c>
      <c r="S3" s="116">
        <v>0</v>
      </c>
      <c r="T3" s="116">
        <v>0</v>
      </c>
      <c r="U3" s="116">
        <v>0</v>
      </c>
      <c r="V3" s="116">
        <v>0</v>
      </c>
      <c r="W3" s="116">
        <v>0</v>
      </c>
      <c r="X3" s="116">
        <v>0</v>
      </c>
      <c r="Y3" s="116">
        <v>0</v>
      </c>
      <c r="Z3" s="116">
        <v>0</v>
      </c>
      <c r="AA3" s="116">
        <v>0</v>
      </c>
      <c r="AB3" s="116">
        <v>0</v>
      </c>
      <c r="AC3" s="116">
        <v>0</v>
      </c>
      <c r="AD3" s="116">
        <v>0</v>
      </c>
      <c r="AE3" s="116">
        <v>0</v>
      </c>
      <c r="AF3" s="116">
        <v>0</v>
      </c>
      <c r="AG3" s="116">
        <v>0</v>
      </c>
      <c r="AH3" s="116">
        <v>0</v>
      </c>
      <c r="AI3" s="116">
        <v>0</v>
      </c>
      <c r="AJ3" s="116">
        <v>0</v>
      </c>
      <c r="AK3" s="116">
        <v>0</v>
      </c>
      <c r="AL3" s="116">
        <v>0</v>
      </c>
      <c r="AM3" s="116">
        <v>0</v>
      </c>
      <c r="AN3" s="116">
        <v>0</v>
      </c>
      <c r="AO3" s="116">
        <v>0</v>
      </c>
      <c r="AP3" s="116">
        <v>0</v>
      </c>
      <c r="AQ3" s="116">
        <v>0</v>
      </c>
      <c r="AR3" s="116">
        <v>0</v>
      </c>
      <c r="AS3" s="116">
        <v>0</v>
      </c>
      <c r="AT3" s="116">
        <v>0</v>
      </c>
      <c r="AU3" s="116">
        <v>0</v>
      </c>
      <c r="AV3" s="116">
        <v>0</v>
      </c>
      <c r="AW3" s="116">
        <v>0</v>
      </c>
      <c r="AX3" s="116">
        <v>0</v>
      </c>
      <c r="AY3" s="116">
        <v>0</v>
      </c>
      <c r="AZ3" s="116">
        <v>0</v>
      </c>
    </row>
    <row r="4" spans="1:52" customFormat="1" x14ac:dyDescent="0.15">
      <c r="A4" s="196" t="s">
        <v>194</v>
      </c>
      <c r="B4" s="116">
        <v>1</v>
      </c>
      <c r="C4" s="116">
        <v>0</v>
      </c>
      <c r="D4" s="116">
        <v>0</v>
      </c>
      <c r="E4" s="116">
        <v>0</v>
      </c>
      <c r="F4" s="116">
        <v>0</v>
      </c>
      <c r="G4" s="116">
        <v>0</v>
      </c>
      <c r="H4" s="116">
        <v>0</v>
      </c>
      <c r="I4" s="116">
        <v>0</v>
      </c>
      <c r="J4" s="116">
        <v>0</v>
      </c>
      <c r="K4" s="116">
        <v>0</v>
      </c>
      <c r="L4" s="116">
        <v>0</v>
      </c>
      <c r="M4" s="116">
        <v>0</v>
      </c>
      <c r="N4" s="116">
        <v>0</v>
      </c>
      <c r="O4" s="116">
        <v>0</v>
      </c>
      <c r="P4" s="116">
        <v>0</v>
      </c>
      <c r="Q4" s="116">
        <v>0</v>
      </c>
      <c r="R4" s="116">
        <v>0</v>
      </c>
      <c r="S4" s="116">
        <v>0</v>
      </c>
      <c r="T4" s="116">
        <v>0</v>
      </c>
      <c r="U4" s="116">
        <v>0</v>
      </c>
      <c r="V4" s="116">
        <v>0</v>
      </c>
      <c r="W4" s="116">
        <v>0</v>
      </c>
      <c r="X4" s="116">
        <v>0</v>
      </c>
      <c r="Y4" s="116">
        <v>0</v>
      </c>
      <c r="Z4" s="116">
        <v>0</v>
      </c>
      <c r="AA4" s="116">
        <v>0</v>
      </c>
      <c r="AB4" s="116">
        <v>0</v>
      </c>
      <c r="AC4" s="116">
        <v>0</v>
      </c>
      <c r="AD4" s="116">
        <v>0</v>
      </c>
      <c r="AE4" s="116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116">
        <v>0</v>
      </c>
      <c r="AO4" s="116">
        <v>0</v>
      </c>
      <c r="AP4" s="116">
        <v>0</v>
      </c>
      <c r="AQ4" s="116">
        <v>0</v>
      </c>
      <c r="AR4" s="116">
        <v>0</v>
      </c>
      <c r="AS4" s="116">
        <v>0</v>
      </c>
      <c r="AT4" s="116">
        <v>0</v>
      </c>
      <c r="AU4" s="116">
        <v>0</v>
      </c>
      <c r="AV4" s="116">
        <v>0</v>
      </c>
      <c r="AW4" s="116">
        <v>0</v>
      </c>
      <c r="AX4" s="116">
        <v>0</v>
      </c>
      <c r="AY4" s="116">
        <v>0</v>
      </c>
      <c r="AZ4" s="116">
        <v>0</v>
      </c>
    </row>
    <row r="5" spans="1:52" customFormat="1" x14ac:dyDescent="0.15">
      <c r="A5" s="196" t="s">
        <v>195</v>
      </c>
      <c r="B5" s="116">
        <v>1</v>
      </c>
      <c r="C5" s="116">
        <v>0</v>
      </c>
      <c r="D5" s="116">
        <v>0</v>
      </c>
      <c r="E5" s="116">
        <v>0</v>
      </c>
      <c r="F5" s="116">
        <v>0</v>
      </c>
      <c r="G5" s="116">
        <v>0</v>
      </c>
      <c r="H5" s="116">
        <v>0</v>
      </c>
      <c r="I5" s="116">
        <v>0</v>
      </c>
      <c r="J5" s="116">
        <v>0</v>
      </c>
      <c r="K5" s="116">
        <v>0</v>
      </c>
      <c r="L5" s="116">
        <v>0</v>
      </c>
      <c r="M5" s="116">
        <v>0</v>
      </c>
      <c r="N5" s="116">
        <v>0</v>
      </c>
      <c r="O5" s="116">
        <v>0</v>
      </c>
      <c r="P5" s="116">
        <v>0</v>
      </c>
      <c r="Q5" s="116">
        <v>0</v>
      </c>
      <c r="R5" s="116">
        <v>0</v>
      </c>
      <c r="S5" s="116">
        <v>0</v>
      </c>
      <c r="T5" s="116">
        <v>0</v>
      </c>
      <c r="U5" s="116">
        <v>0</v>
      </c>
      <c r="V5" s="116">
        <v>0</v>
      </c>
      <c r="W5" s="116">
        <v>0</v>
      </c>
      <c r="X5" s="116">
        <v>0</v>
      </c>
      <c r="Y5" s="116">
        <v>0</v>
      </c>
      <c r="Z5" s="116">
        <v>0</v>
      </c>
      <c r="AA5" s="116">
        <v>0</v>
      </c>
      <c r="AB5" s="116">
        <v>0</v>
      </c>
      <c r="AC5" s="116">
        <v>0</v>
      </c>
      <c r="AD5" s="116">
        <v>0</v>
      </c>
      <c r="AE5" s="116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116">
        <v>0</v>
      </c>
      <c r="AO5" s="116">
        <v>0</v>
      </c>
      <c r="AP5" s="116">
        <v>0</v>
      </c>
      <c r="AQ5" s="116">
        <v>0</v>
      </c>
      <c r="AR5" s="116">
        <v>0</v>
      </c>
      <c r="AS5" s="116">
        <v>0</v>
      </c>
      <c r="AT5" s="116">
        <v>0</v>
      </c>
      <c r="AU5" s="116">
        <v>0</v>
      </c>
      <c r="AV5" s="116">
        <v>0</v>
      </c>
      <c r="AW5" s="116">
        <v>0</v>
      </c>
      <c r="AX5" s="116">
        <v>0</v>
      </c>
      <c r="AY5" s="116">
        <v>0</v>
      </c>
      <c r="AZ5" s="116">
        <v>0</v>
      </c>
    </row>
    <row r="6" spans="1:52" customFormat="1" x14ac:dyDescent="0.15">
      <c r="A6" s="196" t="s">
        <v>196</v>
      </c>
      <c r="B6" s="116">
        <v>1</v>
      </c>
      <c r="C6" s="116">
        <v>0</v>
      </c>
      <c r="D6" s="116">
        <v>0</v>
      </c>
      <c r="E6" s="116">
        <v>0</v>
      </c>
      <c r="F6" s="116">
        <v>0</v>
      </c>
      <c r="G6" s="116">
        <v>0</v>
      </c>
      <c r="H6" s="116">
        <v>0</v>
      </c>
      <c r="I6" s="116">
        <v>0</v>
      </c>
      <c r="J6" s="116">
        <v>0</v>
      </c>
      <c r="K6" s="116">
        <v>0</v>
      </c>
      <c r="L6" s="116">
        <v>0</v>
      </c>
      <c r="M6" s="116">
        <v>0</v>
      </c>
      <c r="N6" s="116">
        <v>0</v>
      </c>
      <c r="O6" s="116">
        <v>0</v>
      </c>
      <c r="P6" s="116">
        <v>0</v>
      </c>
      <c r="Q6" s="116">
        <v>0</v>
      </c>
      <c r="R6" s="116">
        <v>0</v>
      </c>
      <c r="S6" s="116">
        <v>0</v>
      </c>
      <c r="T6" s="116">
        <v>0</v>
      </c>
      <c r="U6" s="116">
        <v>0</v>
      </c>
      <c r="V6" s="116">
        <v>0</v>
      </c>
      <c r="W6" s="116">
        <v>0</v>
      </c>
      <c r="X6" s="116">
        <v>0</v>
      </c>
      <c r="Y6" s="116">
        <v>0</v>
      </c>
      <c r="Z6" s="116">
        <v>0</v>
      </c>
      <c r="AA6" s="116">
        <v>0</v>
      </c>
      <c r="AB6" s="116">
        <v>0</v>
      </c>
      <c r="AC6" s="116">
        <v>0</v>
      </c>
      <c r="AD6" s="116">
        <v>0</v>
      </c>
      <c r="AE6" s="116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116">
        <v>0</v>
      </c>
      <c r="AO6" s="116">
        <v>0</v>
      </c>
      <c r="AP6" s="116">
        <v>0</v>
      </c>
      <c r="AQ6" s="116">
        <v>0</v>
      </c>
      <c r="AR6" s="116">
        <v>0</v>
      </c>
      <c r="AS6" s="116">
        <v>0</v>
      </c>
      <c r="AT6" s="116">
        <v>0</v>
      </c>
      <c r="AU6" s="116">
        <v>0</v>
      </c>
      <c r="AV6" s="116">
        <v>0</v>
      </c>
      <c r="AW6" s="116">
        <v>0</v>
      </c>
      <c r="AX6" s="116">
        <v>0</v>
      </c>
      <c r="AY6" s="116">
        <v>0</v>
      </c>
      <c r="AZ6" s="116">
        <v>0</v>
      </c>
    </row>
    <row r="7" spans="1:52" customFormat="1" x14ac:dyDescent="0.15">
      <c r="A7" s="196" t="s">
        <v>197</v>
      </c>
      <c r="B7" s="116">
        <v>0</v>
      </c>
      <c r="C7" s="116">
        <v>0</v>
      </c>
      <c r="D7" s="116">
        <v>0</v>
      </c>
      <c r="E7" s="116">
        <v>0</v>
      </c>
      <c r="F7" s="116">
        <v>0</v>
      </c>
      <c r="G7" s="116">
        <v>0</v>
      </c>
      <c r="H7" s="116">
        <v>0</v>
      </c>
      <c r="I7" s="116">
        <v>0</v>
      </c>
      <c r="J7" s="116">
        <v>0</v>
      </c>
      <c r="K7" s="116">
        <v>0</v>
      </c>
      <c r="L7" s="116">
        <v>0</v>
      </c>
      <c r="M7" s="116">
        <v>0</v>
      </c>
      <c r="N7" s="116">
        <v>0</v>
      </c>
      <c r="O7" s="116">
        <v>0</v>
      </c>
      <c r="P7" s="116">
        <v>0</v>
      </c>
      <c r="Q7" s="116">
        <v>0</v>
      </c>
      <c r="R7" s="116">
        <v>0</v>
      </c>
      <c r="S7" s="116">
        <v>0</v>
      </c>
      <c r="T7" s="116">
        <v>0</v>
      </c>
      <c r="U7" s="116">
        <v>0</v>
      </c>
      <c r="V7" s="116">
        <v>0</v>
      </c>
      <c r="W7" s="116">
        <v>0</v>
      </c>
      <c r="X7" s="116">
        <v>0</v>
      </c>
      <c r="Y7" s="116">
        <v>0</v>
      </c>
      <c r="Z7" s="116">
        <v>0</v>
      </c>
      <c r="AA7" s="116">
        <v>0</v>
      </c>
      <c r="AB7" s="116">
        <v>0</v>
      </c>
      <c r="AC7" s="116">
        <v>0</v>
      </c>
      <c r="AD7" s="116">
        <v>0</v>
      </c>
      <c r="AE7" s="116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0</v>
      </c>
      <c r="AM7" s="116">
        <v>0</v>
      </c>
      <c r="AN7" s="116">
        <v>0</v>
      </c>
      <c r="AO7" s="116">
        <v>0</v>
      </c>
      <c r="AP7" s="116">
        <v>0</v>
      </c>
      <c r="AQ7" s="116">
        <v>0</v>
      </c>
      <c r="AR7" s="116">
        <v>0</v>
      </c>
      <c r="AS7" s="116">
        <v>0</v>
      </c>
      <c r="AT7" s="116">
        <v>0</v>
      </c>
      <c r="AU7" s="116">
        <v>0</v>
      </c>
      <c r="AV7" s="116">
        <v>0</v>
      </c>
      <c r="AW7" s="116">
        <v>0</v>
      </c>
      <c r="AX7" s="116">
        <v>0</v>
      </c>
      <c r="AY7" s="116">
        <v>0</v>
      </c>
      <c r="AZ7" s="116">
        <v>0</v>
      </c>
    </row>
    <row r="8" spans="1:52" customFormat="1" x14ac:dyDescent="0.15">
      <c r="A8" s="196" t="s">
        <v>198</v>
      </c>
      <c r="B8" s="116">
        <v>0</v>
      </c>
      <c r="C8" s="116">
        <v>0</v>
      </c>
      <c r="D8" s="116">
        <v>0</v>
      </c>
      <c r="E8" s="116">
        <v>1</v>
      </c>
      <c r="F8" s="116">
        <v>0</v>
      </c>
      <c r="G8" s="116">
        <v>0</v>
      </c>
      <c r="H8" s="116">
        <v>0</v>
      </c>
      <c r="I8" s="116">
        <v>0</v>
      </c>
      <c r="J8" s="116">
        <v>0</v>
      </c>
      <c r="K8" s="116">
        <v>0</v>
      </c>
      <c r="L8" s="116">
        <v>0</v>
      </c>
      <c r="M8" s="116">
        <v>0</v>
      </c>
      <c r="N8" s="116">
        <v>0</v>
      </c>
      <c r="O8" s="116">
        <v>0</v>
      </c>
      <c r="P8" s="116">
        <v>0</v>
      </c>
      <c r="Q8" s="116">
        <v>0</v>
      </c>
      <c r="R8" s="116">
        <v>0</v>
      </c>
      <c r="S8" s="116">
        <v>0</v>
      </c>
      <c r="T8" s="116">
        <v>0</v>
      </c>
      <c r="U8" s="116">
        <v>0</v>
      </c>
      <c r="V8" s="116">
        <v>0</v>
      </c>
      <c r="W8" s="116">
        <v>0</v>
      </c>
      <c r="X8" s="116">
        <v>0</v>
      </c>
      <c r="Y8" s="116">
        <v>0</v>
      </c>
      <c r="Z8" s="116">
        <v>0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16">
        <v>0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116">
        <v>0</v>
      </c>
      <c r="AO8" s="116">
        <v>0</v>
      </c>
      <c r="AP8" s="116">
        <v>0</v>
      </c>
      <c r="AQ8" s="116">
        <v>0</v>
      </c>
      <c r="AR8" s="116">
        <v>0</v>
      </c>
      <c r="AS8" s="116">
        <v>0</v>
      </c>
      <c r="AT8" s="116">
        <v>0</v>
      </c>
      <c r="AU8" s="116">
        <v>0</v>
      </c>
      <c r="AV8" s="116">
        <v>0</v>
      </c>
      <c r="AW8" s="116">
        <v>0</v>
      </c>
      <c r="AX8" s="116">
        <v>0</v>
      </c>
      <c r="AY8" s="116">
        <v>0</v>
      </c>
      <c r="AZ8" s="116">
        <v>0</v>
      </c>
    </row>
    <row r="9" spans="1:52" customFormat="1" x14ac:dyDescent="0.15">
      <c r="A9" s="196" t="s">
        <v>199</v>
      </c>
      <c r="B9" s="116">
        <v>0</v>
      </c>
      <c r="C9" s="116">
        <v>0</v>
      </c>
      <c r="D9" s="116">
        <v>0</v>
      </c>
      <c r="E9" s="116">
        <v>0</v>
      </c>
      <c r="F9" s="116">
        <v>0</v>
      </c>
      <c r="G9" s="116">
        <v>0</v>
      </c>
      <c r="H9" s="116">
        <v>0</v>
      </c>
      <c r="I9" s="116">
        <v>0</v>
      </c>
      <c r="J9" s="116">
        <v>0</v>
      </c>
      <c r="K9" s="116">
        <v>0</v>
      </c>
      <c r="L9" s="116">
        <v>0</v>
      </c>
      <c r="M9" s="116">
        <v>0</v>
      </c>
      <c r="N9" s="116">
        <v>0</v>
      </c>
      <c r="O9" s="116">
        <v>0</v>
      </c>
      <c r="P9" s="116">
        <v>0</v>
      </c>
      <c r="Q9" s="116">
        <v>0</v>
      </c>
      <c r="R9" s="116">
        <v>0</v>
      </c>
      <c r="S9" s="116">
        <v>0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  <c r="AO9" s="116">
        <v>0</v>
      </c>
      <c r="AP9" s="116">
        <v>0</v>
      </c>
      <c r="AQ9" s="116">
        <v>0</v>
      </c>
      <c r="AR9" s="116">
        <v>0</v>
      </c>
      <c r="AS9" s="116">
        <v>0</v>
      </c>
      <c r="AT9" s="116">
        <v>0</v>
      </c>
      <c r="AU9" s="116">
        <v>0</v>
      </c>
      <c r="AV9" s="116">
        <v>0</v>
      </c>
      <c r="AW9" s="116">
        <v>0</v>
      </c>
      <c r="AX9" s="116">
        <v>0</v>
      </c>
      <c r="AY9" s="116">
        <v>0</v>
      </c>
      <c r="AZ9" s="116">
        <v>0</v>
      </c>
    </row>
    <row r="10" spans="1:52" customFormat="1" x14ac:dyDescent="0.15">
      <c r="A10" s="196" t="s">
        <v>200</v>
      </c>
      <c r="B10" s="116">
        <v>0</v>
      </c>
      <c r="C10" s="116">
        <v>0</v>
      </c>
      <c r="D10" s="116">
        <v>1</v>
      </c>
      <c r="E10" s="116">
        <v>1</v>
      </c>
      <c r="F10" s="116">
        <v>1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  <c r="AO10" s="116">
        <v>0</v>
      </c>
      <c r="AP10" s="116">
        <v>0</v>
      </c>
      <c r="AQ10" s="116">
        <v>0</v>
      </c>
      <c r="AR10" s="116">
        <v>0</v>
      </c>
      <c r="AS10" s="116">
        <v>0</v>
      </c>
      <c r="AT10" s="116">
        <v>0</v>
      </c>
      <c r="AU10" s="116">
        <v>0</v>
      </c>
      <c r="AV10" s="116">
        <v>0</v>
      </c>
      <c r="AW10" s="116">
        <v>0</v>
      </c>
      <c r="AX10" s="116">
        <v>0</v>
      </c>
      <c r="AY10" s="116">
        <v>0</v>
      </c>
      <c r="AZ10" s="116">
        <v>0</v>
      </c>
    </row>
    <row r="11" spans="1:52" customFormat="1" x14ac:dyDescent="0.15">
      <c r="A11" s="196" t="s">
        <v>201</v>
      </c>
      <c r="B11" s="116">
        <v>0</v>
      </c>
      <c r="C11" s="116">
        <v>1</v>
      </c>
      <c r="D11" s="116">
        <v>1</v>
      </c>
      <c r="E11" s="116">
        <v>1</v>
      </c>
      <c r="F11" s="116">
        <v>1</v>
      </c>
      <c r="G11" s="116">
        <v>0</v>
      </c>
      <c r="H11" s="116">
        <v>1</v>
      </c>
      <c r="I11" s="116">
        <v>0</v>
      </c>
      <c r="J11" s="116">
        <v>1</v>
      </c>
      <c r="K11" s="116">
        <v>1</v>
      </c>
      <c r="L11" s="116">
        <v>1</v>
      </c>
      <c r="M11" s="116">
        <v>1</v>
      </c>
      <c r="N11" s="116">
        <v>1</v>
      </c>
      <c r="O11" s="116">
        <v>1</v>
      </c>
      <c r="P11" s="116">
        <v>0</v>
      </c>
      <c r="Q11" s="116">
        <v>0</v>
      </c>
      <c r="R11" s="116">
        <v>0</v>
      </c>
      <c r="S11" s="116">
        <v>1</v>
      </c>
      <c r="T11" s="116">
        <v>1</v>
      </c>
      <c r="U11" s="116">
        <v>1</v>
      </c>
      <c r="V11" s="116">
        <v>0</v>
      </c>
      <c r="W11" s="116">
        <v>1</v>
      </c>
      <c r="X11" s="116">
        <v>1</v>
      </c>
      <c r="Y11" s="116">
        <v>1</v>
      </c>
      <c r="Z11" s="116">
        <v>1</v>
      </c>
      <c r="AA11" s="116">
        <v>0</v>
      </c>
      <c r="AB11" s="116">
        <v>0</v>
      </c>
      <c r="AC11" s="116">
        <v>0</v>
      </c>
      <c r="AD11" s="116">
        <v>1</v>
      </c>
      <c r="AE11" s="116">
        <v>0</v>
      </c>
      <c r="AF11" s="116">
        <v>0</v>
      </c>
      <c r="AG11" s="116">
        <v>0</v>
      </c>
      <c r="AH11" s="116">
        <v>0</v>
      </c>
      <c r="AI11" s="116">
        <v>1</v>
      </c>
      <c r="AJ11" s="116">
        <v>0</v>
      </c>
      <c r="AK11" s="116">
        <v>0</v>
      </c>
      <c r="AL11" s="116">
        <v>1</v>
      </c>
      <c r="AM11" s="116">
        <v>0</v>
      </c>
      <c r="AN11" s="116">
        <v>0</v>
      </c>
      <c r="AO11" s="116">
        <v>0</v>
      </c>
      <c r="AP11" s="116">
        <v>0</v>
      </c>
      <c r="AQ11" s="116">
        <v>0</v>
      </c>
      <c r="AR11" s="116">
        <v>0</v>
      </c>
      <c r="AS11" s="116">
        <v>0</v>
      </c>
      <c r="AT11" s="116">
        <v>0</v>
      </c>
      <c r="AU11" s="116">
        <v>0</v>
      </c>
      <c r="AV11" s="116">
        <v>0</v>
      </c>
      <c r="AW11" s="116">
        <v>0</v>
      </c>
      <c r="AX11" s="116">
        <v>0</v>
      </c>
      <c r="AY11" s="116">
        <v>0</v>
      </c>
      <c r="AZ11" s="116">
        <v>0</v>
      </c>
    </row>
    <row r="12" spans="1:52" customFormat="1" x14ac:dyDescent="0.15">
      <c r="A12" s="196" t="s">
        <v>202</v>
      </c>
      <c r="B12" s="116">
        <v>0</v>
      </c>
      <c r="C12" s="116">
        <v>0</v>
      </c>
      <c r="D12" s="116">
        <v>0</v>
      </c>
      <c r="E12" s="116">
        <v>1</v>
      </c>
      <c r="F12" s="116">
        <v>0</v>
      </c>
      <c r="G12" s="116">
        <v>0</v>
      </c>
      <c r="H12" s="116">
        <v>0</v>
      </c>
      <c r="I12" s="116">
        <v>0</v>
      </c>
      <c r="J12" s="116">
        <v>0</v>
      </c>
      <c r="K12" s="116">
        <v>0</v>
      </c>
      <c r="L12" s="116">
        <v>0</v>
      </c>
      <c r="M12" s="116">
        <v>0</v>
      </c>
      <c r="N12" s="116">
        <v>0</v>
      </c>
      <c r="O12" s="116">
        <v>0</v>
      </c>
      <c r="P12" s="116">
        <v>0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  <c r="AO12" s="116">
        <v>0</v>
      </c>
      <c r="AP12" s="116">
        <v>0</v>
      </c>
      <c r="AQ12" s="116">
        <v>0</v>
      </c>
      <c r="AR12" s="116">
        <v>0</v>
      </c>
      <c r="AS12" s="116">
        <v>0</v>
      </c>
      <c r="AT12" s="116">
        <v>0</v>
      </c>
      <c r="AU12" s="116">
        <v>0</v>
      </c>
      <c r="AV12" s="116">
        <v>0</v>
      </c>
      <c r="AW12" s="116">
        <v>0</v>
      </c>
      <c r="AX12" s="116">
        <v>0</v>
      </c>
      <c r="AY12" s="116">
        <v>0</v>
      </c>
      <c r="AZ12" s="116">
        <v>0</v>
      </c>
    </row>
    <row r="13" spans="1:52" customFormat="1" x14ac:dyDescent="0.15">
      <c r="A13" s="196" t="s">
        <v>203</v>
      </c>
      <c r="B13" s="116">
        <v>1</v>
      </c>
      <c r="C13" s="116">
        <v>0</v>
      </c>
      <c r="D13" s="116">
        <v>1</v>
      </c>
      <c r="E13" s="116">
        <v>1</v>
      </c>
      <c r="F13" s="116">
        <v>0</v>
      </c>
      <c r="G13" s="116">
        <v>0</v>
      </c>
      <c r="H13" s="116">
        <v>0</v>
      </c>
      <c r="I13" s="116">
        <v>0</v>
      </c>
      <c r="J13" s="116">
        <v>1</v>
      </c>
      <c r="K13" s="116">
        <v>1</v>
      </c>
      <c r="L13" s="116">
        <v>1</v>
      </c>
      <c r="M13" s="116">
        <v>1</v>
      </c>
      <c r="N13" s="116">
        <v>1</v>
      </c>
      <c r="O13" s="116">
        <v>0</v>
      </c>
      <c r="P13" s="116">
        <v>0</v>
      </c>
      <c r="Q13" s="116">
        <v>0</v>
      </c>
      <c r="R13" s="116">
        <v>0</v>
      </c>
      <c r="S13" s="116">
        <v>1</v>
      </c>
      <c r="T13" s="116">
        <v>0</v>
      </c>
      <c r="U13" s="116">
        <v>0</v>
      </c>
      <c r="V13" s="116">
        <v>0</v>
      </c>
      <c r="W13" s="116">
        <v>1</v>
      </c>
      <c r="X13" s="116">
        <v>1</v>
      </c>
      <c r="Y13" s="116">
        <v>1</v>
      </c>
      <c r="Z13" s="116">
        <v>1</v>
      </c>
      <c r="AA13" s="116">
        <v>0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  <c r="AO13" s="116">
        <v>0</v>
      </c>
      <c r="AP13" s="116">
        <v>0</v>
      </c>
      <c r="AQ13" s="116">
        <v>0</v>
      </c>
      <c r="AR13" s="116">
        <v>0</v>
      </c>
      <c r="AS13" s="116">
        <v>0</v>
      </c>
      <c r="AT13" s="116">
        <v>0</v>
      </c>
      <c r="AU13" s="116">
        <v>0</v>
      </c>
      <c r="AV13" s="116">
        <v>0</v>
      </c>
      <c r="AW13" s="116">
        <v>0</v>
      </c>
      <c r="AX13" s="116">
        <v>0</v>
      </c>
      <c r="AY13" s="116">
        <v>0</v>
      </c>
      <c r="AZ13" s="116">
        <v>0</v>
      </c>
    </row>
    <row r="14" spans="1:52" customFormat="1" x14ac:dyDescent="0.15">
      <c r="A14" s="196" t="s">
        <v>204</v>
      </c>
      <c r="B14" s="116">
        <v>0</v>
      </c>
      <c r="C14" s="116">
        <v>0</v>
      </c>
      <c r="D14" s="116">
        <v>0</v>
      </c>
      <c r="E14" s="116">
        <v>1</v>
      </c>
      <c r="F14" s="116">
        <v>1</v>
      </c>
      <c r="G14" s="116">
        <v>0</v>
      </c>
      <c r="H14" s="116">
        <v>0</v>
      </c>
      <c r="I14" s="116">
        <v>0</v>
      </c>
      <c r="J14" s="116">
        <v>0</v>
      </c>
      <c r="K14" s="116">
        <v>0</v>
      </c>
      <c r="L14" s="116">
        <v>0</v>
      </c>
      <c r="M14" s="116">
        <v>0</v>
      </c>
      <c r="N14" s="116">
        <v>0</v>
      </c>
      <c r="O14" s="116">
        <v>0</v>
      </c>
      <c r="P14" s="116">
        <v>0</v>
      </c>
      <c r="Q14" s="116">
        <v>0</v>
      </c>
      <c r="R14" s="116">
        <v>0</v>
      </c>
      <c r="S14" s="116">
        <v>0</v>
      </c>
      <c r="T14" s="116">
        <v>0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v>0</v>
      </c>
      <c r="AA14" s="116">
        <v>0</v>
      </c>
      <c r="AB14" s="116">
        <v>0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  <c r="AO14" s="116">
        <v>0</v>
      </c>
      <c r="AP14" s="116">
        <v>0</v>
      </c>
      <c r="AQ14" s="116">
        <v>0</v>
      </c>
      <c r="AR14" s="116">
        <v>0</v>
      </c>
      <c r="AS14" s="116">
        <v>0</v>
      </c>
      <c r="AT14" s="116">
        <v>0</v>
      </c>
      <c r="AU14" s="116">
        <v>0</v>
      </c>
      <c r="AV14" s="116">
        <v>0</v>
      </c>
      <c r="AW14" s="116">
        <v>0</v>
      </c>
      <c r="AX14" s="116">
        <v>0</v>
      </c>
      <c r="AY14" s="116">
        <v>0</v>
      </c>
      <c r="AZ14" s="116">
        <v>0</v>
      </c>
    </row>
    <row r="15" spans="1:52" customFormat="1" x14ac:dyDescent="0.15">
      <c r="A15" s="196" t="s">
        <v>205</v>
      </c>
      <c r="B15" s="116">
        <v>0</v>
      </c>
      <c r="C15" s="116">
        <v>0</v>
      </c>
      <c r="D15" s="116">
        <v>1</v>
      </c>
      <c r="E15" s="116">
        <v>1</v>
      </c>
      <c r="F15" s="116">
        <v>1</v>
      </c>
      <c r="G15" s="116">
        <v>0</v>
      </c>
      <c r="H15" s="116">
        <v>0</v>
      </c>
      <c r="I15" s="116">
        <v>0</v>
      </c>
      <c r="J15" s="116">
        <v>1</v>
      </c>
      <c r="K15" s="116">
        <v>1</v>
      </c>
      <c r="L15" s="116">
        <v>1</v>
      </c>
      <c r="M15" s="116">
        <v>1</v>
      </c>
      <c r="N15" s="116">
        <v>1</v>
      </c>
      <c r="O15" s="116">
        <v>1</v>
      </c>
      <c r="P15" s="116">
        <v>0</v>
      </c>
      <c r="Q15" s="116">
        <v>0</v>
      </c>
      <c r="R15" s="116">
        <v>0</v>
      </c>
      <c r="S15" s="116">
        <v>1</v>
      </c>
      <c r="T15" s="116">
        <v>1</v>
      </c>
      <c r="U15" s="116">
        <v>0</v>
      </c>
      <c r="V15" s="116">
        <v>0</v>
      </c>
      <c r="W15" s="116">
        <v>1</v>
      </c>
      <c r="X15" s="116">
        <v>1</v>
      </c>
      <c r="Y15" s="116">
        <v>0</v>
      </c>
      <c r="Z15" s="116">
        <v>0</v>
      </c>
      <c r="AA15" s="116">
        <v>0</v>
      </c>
      <c r="AB15" s="116">
        <v>0</v>
      </c>
      <c r="AC15" s="116">
        <v>0</v>
      </c>
      <c r="AD15" s="116">
        <v>1</v>
      </c>
      <c r="AE15" s="116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0</v>
      </c>
      <c r="AL15" s="116">
        <v>0</v>
      </c>
      <c r="AM15" s="116">
        <v>0</v>
      </c>
      <c r="AN15" s="116">
        <v>0</v>
      </c>
      <c r="AO15" s="116">
        <v>0</v>
      </c>
      <c r="AP15" s="116">
        <v>0</v>
      </c>
      <c r="AQ15" s="116">
        <v>0</v>
      </c>
      <c r="AR15" s="116">
        <v>0</v>
      </c>
      <c r="AS15" s="116">
        <v>0</v>
      </c>
      <c r="AT15" s="116">
        <v>0</v>
      </c>
      <c r="AU15" s="116">
        <v>0</v>
      </c>
      <c r="AV15" s="116">
        <v>0</v>
      </c>
      <c r="AW15" s="116">
        <v>0</v>
      </c>
      <c r="AX15" s="116">
        <v>0</v>
      </c>
      <c r="AY15" s="116">
        <v>0</v>
      </c>
      <c r="AZ15" s="116">
        <v>0</v>
      </c>
    </row>
    <row r="16" spans="1:52" customFormat="1" x14ac:dyDescent="0.15">
      <c r="A16" s="196" t="s">
        <v>206</v>
      </c>
      <c r="B16" s="116">
        <v>1</v>
      </c>
      <c r="C16" s="116">
        <v>0</v>
      </c>
      <c r="D16" s="116">
        <v>1</v>
      </c>
      <c r="E16" s="116">
        <v>0</v>
      </c>
      <c r="F16" s="116">
        <v>1</v>
      </c>
      <c r="G16" s="116">
        <v>0</v>
      </c>
      <c r="H16" s="116">
        <v>0</v>
      </c>
      <c r="I16" s="116">
        <v>0</v>
      </c>
      <c r="J16" s="116">
        <v>1</v>
      </c>
      <c r="K16" s="116">
        <v>0</v>
      </c>
      <c r="L16" s="116">
        <v>1</v>
      </c>
      <c r="M16" s="116">
        <v>1</v>
      </c>
      <c r="N16" s="116">
        <v>0</v>
      </c>
      <c r="O16" s="116">
        <v>0</v>
      </c>
      <c r="P16" s="116">
        <v>0</v>
      </c>
      <c r="Q16" s="116">
        <v>0</v>
      </c>
      <c r="R16" s="116">
        <v>0</v>
      </c>
      <c r="S16" s="116">
        <v>0</v>
      </c>
      <c r="T16" s="116">
        <v>0</v>
      </c>
      <c r="U16" s="116">
        <v>0</v>
      </c>
      <c r="V16" s="116">
        <v>0</v>
      </c>
      <c r="W16" s="116">
        <v>1</v>
      </c>
      <c r="X16" s="116">
        <v>1</v>
      </c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>
        <v>0</v>
      </c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>
        <v>0</v>
      </c>
      <c r="AV16" s="116">
        <v>0</v>
      </c>
      <c r="AW16" s="116">
        <v>0</v>
      </c>
      <c r="AX16" s="116">
        <v>0</v>
      </c>
      <c r="AY16" s="116">
        <v>0</v>
      </c>
      <c r="AZ16" s="116">
        <v>0</v>
      </c>
    </row>
    <row r="17" spans="1:52" customFormat="1" x14ac:dyDescent="0.15">
      <c r="A17" s="196" t="s">
        <v>207</v>
      </c>
      <c r="B17" s="116">
        <v>1</v>
      </c>
      <c r="C17" s="116">
        <v>0</v>
      </c>
      <c r="D17" s="116">
        <v>1</v>
      </c>
      <c r="E17" s="116">
        <v>1</v>
      </c>
      <c r="F17" s="116">
        <v>1</v>
      </c>
      <c r="G17" s="116">
        <v>0</v>
      </c>
      <c r="H17" s="116">
        <v>0</v>
      </c>
      <c r="I17" s="116">
        <v>0</v>
      </c>
      <c r="J17" s="116">
        <v>1</v>
      </c>
      <c r="K17" s="116">
        <v>0</v>
      </c>
      <c r="L17" s="116">
        <v>1</v>
      </c>
      <c r="M17" s="116">
        <v>0</v>
      </c>
      <c r="N17" s="116">
        <v>1</v>
      </c>
      <c r="O17" s="116">
        <v>0</v>
      </c>
      <c r="P17" s="116">
        <v>0</v>
      </c>
      <c r="Q17" s="116">
        <v>0</v>
      </c>
      <c r="R17" s="116">
        <v>0</v>
      </c>
      <c r="S17" s="116">
        <v>1</v>
      </c>
      <c r="T17" s="116">
        <v>0</v>
      </c>
      <c r="U17" s="116">
        <v>0</v>
      </c>
      <c r="V17" s="116">
        <v>0</v>
      </c>
      <c r="W17" s="116">
        <v>1</v>
      </c>
      <c r="X17" s="116">
        <v>1</v>
      </c>
      <c r="Y17" s="116">
        <v>0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  <c r="AO17" s="116">
        <v>0</v>
      </c>
      <c r="AP17" s="116">
        <v>0</v>
      </c>
      <c r="AQ17" s="116">
        <v>0</v>
      </c>
      <c r="AR17" s="116">
        <v>0</v>
      </c>
      <c r="AS17" s="116">
        <v>0</v>
      </c>
      <c r="AT17" s="116">
        <v>0</v>
      </c>
      <c r="AU17" s="116">
        <v>0</v>
      </c>
      <c r="AV17" s="116">
        <v>0</v>
      </c>
      <c r="AW17" s="116">
        <v>0</v>
      </c>
      <c r="AX17" s="116">
        <v>0</v>
      </c>
      <c r="AY17" s="116">
        <v>0</v>
      </c>
      <c r="AZ17" s="116">
        <v>0</v>
      </c>
    </row>
    <row r="18" spans="1:52" customFormat="1" x14ac:dyDescent="0.15">
      <c r="A18" s="196" t="s">
        <v>208</v>
      </c>
      <c r="B18" s="116">
        <v>1</v>
      </c>
      <c r="C18" s="116">
        <v>0</v>
      </c>
      <c r="D18" s="116">
        <v>1</v>
      </c>
      <c r="E18" s="116">
        <v>1</v>
      </c>
      <c r="F18" s="116">
        <v>1</v>
      </c>
      <c r="G18" s="116">
        <v>0</v>
      </c>
      <c r="H18" s="116">
        <v>0</v>
      </c>
      <c r="I18" s="116">
        <v>0</v>
      </c>
      <c r="J18" s="116">
        <v>0</v>
      </c>
      <c r="K18" s="116">
        <v>0</v>
      </c>
      <c r="L18" s="116">
        <v>0</v>
      </c>
      <c r="M18" s="116">
        <v>0</v>
      </c>
      <c r="N18" s="116">
        <v>0</v>
      </c>
      <c r="O18" s="116">
        <v>0</v>
      </c>
      <c r="P18" s="116">
        <v>0</v>
      </c>
      <c r="Q18" s="116">
        <v>0</v>
      </c>
      <c r="R18" s="116">
        <v>0</v>
      </c>
      <c r="S18" s="116">
        <v>0</v>
      </c>
      <c r="T18" s="116">
        <v>0</v>
      </c>
      <c r="U18" s="116">
        <v>0</v>
      </c>
      <c r="V18" s="116">
        <v>0</v>
      </c>
      <c r="W18" s="116">
        <v>0</v>
      </c>
      <c r="X18" s="116">
        <v>0</v>
      </c>
      <c r="Y18" s="116">
        <v>0</v>
      </c>
      <c r="Z18" s="116">
        <v>0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116">
        <v>0</v>
      </c>
      <c r="AO18" s="116">
        <v>0</v>
      </c>
      <c r="AP18" s="116">
        <v>0</v>
      </c>
      <c r="AQ18" s="116">
        <v>0</v>
      </c>
      <c r="AR18" s="116">
        <v>0</v>
      </c>
      <c r="AS18" s="116">
        <v>0</v>
      </c>
      <c r="AT18" s="116">
        <v>0</v>
      </c>
      <c r="AU18" s="116">
        <v>0</v>
      </c>
      <c r="AV18" s="116">
        <v>0</v>
      </c>
      <c r="AW18" s="116">
        <v>0</v>
      </c>
      <c r="AX18" s="116">
        <v>0</v>
      </c>
      <c r="AY18" s="116">
        <v>0</v>
      </c>
      <c r="AZ18" s="116">
        <v>0</v>
      </c>
    </row>
    <row r="19" spans="1:52" customFormat="1" x14ac:dyDescent="0.15">
      <c r="A19" s="196" t="s">
        <v>209</v>
      </c>
      <c r="B19" s="116">
        <v>0</v>
      </c>
      <c r="C19" s="116">
        <v>0</v>
      </c>
      <c r="D19" s="116">
        <v>1</v>
      </c>
      <c r="E19" s="116">
        <v>0</v>
      </c>
      <c r="F19" s="116">
        <v>0</v>
      </c>
      <c r="G19" s="116">
        <v>0</v>
      </c>
      <c r="H19" s="116">
        <v>0</v>
      </c>
      <c r="I19" s="116">
        <v>0</v>
      </c>
      <c r="J19" s="116">
        <v>1</v>
      </c>
      <c r="K19" s="116">
        <v>0</v>
      </c>
      <c r="L19" s="116">
        <v>0</v>
      </c>
      <c r="M19" s="116">
        <v>0</v>
      </c>
      <c r="N19" s="116">
        <v>1</v>
      </c>
      <c r="O19" s="116">
        <v>0</v>
      </c>
      <c r="P19" s="116">
        <v>0</v>
      </c>
      <c r="Q19" s="116">
        <v>0</v>
      </c>
      <c r="R19" s="116">
        <v>0</v>
      </c>
      <c r="S19" s="116">
        <v>0</v>
      </c>
      <c r="T19" s="116">
        <v>0</v>
      </c>
      <c r="U19" s="116">
        <v>0</v>
      </c>
      <c r="V19" s="116">
        <v>0</v>
      </c>
      <c r="W19" s="116">
        <v>1</v>
      </c>
      <c r="X19" s="116">
        <v>1</v>
      </c>
      <c r="Y19" s="116">
        <v>1</v>
      </c>
      <c r="Z19" s="116">
        <v>1</v>
      </c>
      <c r="AA19" s="116">
        <v>0</v>
      </c>
      <c r="AB19" s="116">
        <v>0</v>
      </c>
      <c r="AC19" s="116">
        <v>0</v>
      </c>
      <c r="AD19" s="116">
        <v>0</v>
      </c>
      <c r="AE19" s="116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116">
        <v>0</v>
      </c>
      <c r="AO19" s="116">
        <v>0</v>
      </c>
      <c r="AP19" s="116">
        <v>0</v>
      </c>
      <c r="AQ19" s="116">
        <v>0</v>
      </c>
      <c r="AR19" s="116">
        <v>0</v>
      </c>
      <c r="AS19" s="116">
        <v>0</v>
      </c>
      <c r="AT19" s="116">
        <v>0</v>
      </c>
      <c r="AU19" s="116">
        <v>0</v>
      </c>
      <c r="AV19" s="116">
        <v>0</v>
      </c>
      <c r="AW19" s="116">
        <v>0</v>
      </c>
      <c r="AX19" s="116">
        <v>0</v>
      </c>
      <c r="AY19" s="116">
        <v>0</v>
      </c>
      <c r="AZ19" s="116">
        <v>0</v>
      </c>
    </row>
    <row r="20" spans="1:52" customFormat="1" x14ac:dyDescent="0.15">
      <c r="A20" s="196" t="s">
        <v>210</v>
      </c>
      <c r="B20" s="116">
        <v>0</v>
      </c>
      <c r="C20" s="116">
        <v>1</v>
      </c>
      <c r="D20" s="116">
        <v>0</v>
      </c>
      <c r="E20" s="116">
        <v>0</v>
      </c>
      <c r="F20" s="116">
        <v>0</v>
      </c>
      <c r="G20" s="116">
        <v>0</v>
      </c>
      <c r="H20" s="116">
        <v>0</v>
      </c>
      <c r="I20" s="116">
        <v>0</v>
      </c>
      <c r="J20" s="116">
        <v>0</v>
      </c>
      <c r="K20" s="116">
        <v>0</v>
      </c>
      <c r="L20" s="116">
        <v>0</v>
      </c>
      <c r="M20" s="116">
        <v>0</v>
      </c>
      <c r="N20" s="116">
        <v>0</v>
      </c>
      <c r="O20" s="116">
        <v>0</v>
      </c>
      <c r="P20" s="116">
        <v>0</v>
      </c>
      <c r="Q20" s="116">
        <v>0</v>
      </c>
      <c r="R20" s="116">
        <v>0</v>
      </c>
      <c r="S20" s="116">
        <v>0</v>
      </c>
      <c r="T20" s="116">
        <v>0</v>
      </c>
      <c r="U20" s="116">
        <v>0</v>
      </c>
      <c r="V20" s="116">
        <v>0</v>
      </c>
      <c r="W20" s="116">
        <v>0</v>
      </c>
      <c r="X20" s="116">
        <v>0</v>
      </c>
      <c r="Y20" s="116">
        <v>0</v>
      </c>
      <c r="Z20" s="116">
        <v>0</v>
      </c>
      <c r="AA20" s="116">
        <v>0</v>
      </c>
      <c r="AB20" s="116">
        <v>0</v>
      </c>
      <c r="AC20" s="116">
        <v>0</v>
      </c>
      <c r="AD20" s="116">
        <v>0</v>
      </c>
      <c r="AE20" s="116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116">
        <v>0</v>
      </c>
      <c r="AO20" s="116">
        <v>0</v>
      </c>
      <c r="AP20" s="116">
        <v>0</v>
      </c>
      <c r="AQ20" s="116">
        <v>0</v>
      </c>
      <c r="AR20" s="116">
        <v>0</v>
      </c>
      <c r="AS20" s="116">
        <v>0</v>
      </c>
      <c r="AT20" s="116">
        <v>0</v>
      </c>
      <c r="AU20" s="116">
        <v>0</v>
      </c>
      <c r="AV20" s="116">
        <v>0</v>
      </c>
      <c r="AW20" s="116">
        <v>0</v>
      </c>
      <c r="AX20" s="116">
        <v>0</v>
      </c>
      <c r="AY20" s="116">
        <v>0</v>
      </c>
      <c r="AZ20" s="116">
        <v>0</v>
      </c>
    </row>
    <row r="21" spans="1:52" customFormat="1" x14ac:dyDescent="0.15">
      <c r="A21" s="196" t="s">
        <v>211</v>
      </c>
      <c r="B21" s="116">
        <v>0</v>
      </c>
      <c r="C21" s="116">
        <v>0</v>
      </c>
      <c r="D21" s="116">
        <v>1</v>
      </c>
      <c r="E21" s="116">
        <v>1</v>
      </c>
      <c r="F21" s="116">
        <v>1</v>
      </c>
      <c r="G21" s="116">
        <v>0</v>
      </c>
      <c r="H21" s="116">
        <v>0</v>
      </c>
      <c r="I21" s="116">
        <v>0</v>
      </c>
      <c r="J21" s="116">
        <v>1</v>
      </c>
      <c r="K21" s="116">
        <v>1</v>
      </c>
      <c r="L21" s="116">
        <v>0</v>
      </c>
      <c r="M21" s="116">
        <v>1</v>
      </c>
      <c r="N21" s="116">
        <v>1</v>
      </c>
      <c r="O21" s="116">
        <v>0</v>
      </c>
      <c r="P21" s="116">
        <v>0</v>
      </c>
      <c r="Q21" s="116">
        <v>0</v>
      </c>
      <c r="R21" s="116">
        <v>0</v>
      </c>
      <c r="S21" s="116">
        <v>1</v>
      </c>
      <c r="T21" s="116">
        <v>1</v>
      </c>
      <c r="U21" s="116">
        <v>1</v>
      </c>
      <c r="V21" s="116">
        <v>0</v>
      </c>
      <c r="W21" s="116">
        <v>1</v>
      </c>
      <c r="X21" s="116">
        <v>1</v>
      </c>
      <c r="Y21" s="116">
        <v>1</v>
      </c>
      <c r="Z21" s="116">
        <v>1</v>
      </c>
      <c r="AA21" s="116">
        <v>0</v>
      </c>
      <c r="AB21" s="116">
        <v>0</v>
      </c>
      <c r="AC21" s="116">
        <v>0</v>
      </c>
      <c r="AD21" s="116">
        <v>0</v>
      </c>
      <c r="AE21" s="116">
        <v>0</v>
      </c>
      <c r="AF21" s="116">
        <v>0</v>
      </c>
      <c r="AG21" s="116">
        <v>0</v>
      </c>
      <c r="AH21" s="116">
        <v>0</v>
      </c>
      <c r="AI21" s="116">
        <v>1</v>
      </c>
      <c r="AJ21" s="116">
        <v>0</v>
      </c>
      <c r="AK21" s="116">
        <v>0</v>
      </c>
      <c r="AL21" s="116">
        <v>0</v>
      </c>
      <c r="AM21" s="116">
        <v>0</v>
      </c>
      <c r="AN21" s="116">
        <v>0</v>
      </c>
      <c r="AO21" s="116">
        <v>0</v>
      </c>
      <c r="AP21" s="116">
        <v>0</v>
      </c>
      <c r="AQ21" s="116">
        <v>0</v>
      </c>
      <c r="AR21" s="116">
        <v>0</v>
      </c>
      <c r="AS21" s="116">
        <v>0</v>
      </c>
      <c r="AT21" s="116">
        <v>0</v>
      </c>
      <c r="AU21" s="116">
        <v>0</v>
      </c>
      <c r="AV21" s="116">
        <v>0</v>
      </c>
      <c r="AW21" s="116">
        <v>0</v>
      </c>
      <c r="AX21" s="116">
        <v>0</v>
      </c>
      <c r="AY21" s="116">
        <v>0</v>
      </c>
      <c r="AZ21" s="116">
        <v>0</v>
      </c>
    </row>
    <row r="22" spans="1:52" customFormat="1" x14ac:dyDescent="0.15">
      <c r="A22" s="196" t="s">
        <v>212</v>
      </c>
      <c r="B22" s="116">
        <v>0</v>
      </c>
      <c r="C22" s="116">
        <v>0</v>
      </c>
      <c r="D22" s="116">
        <v>1</v>
      </c>
      <c r="E22" s="116">
        <v>0</v>
      </c>
      <c r="F22" s="116">
        <v>0</v>
      </c>
      <c r="G22" s="116">
        <v>0</v>
      </c>
      <c r="H22" s="116">
        <v>1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  <c r="AZ22" s="116">
        <v>0</v>
      </c>
    </row>
    <row r="23" spans="1:52" customFormat="1" x14ac:dyDescent="0.15">
      <c r="A23" s="196" t="s">
        <v>213</v>
      </c>
      <c r="B23" s="116">
        <v>0</v>
      </c>
      <c r="C23" s="116">
        <v>1</v>
      </c>
      <c r="D23" s="116">
        <v>0</v>
      </c>
      <c r="E23" s="116">
        <v>0</v>
      </c>
      <c r="F23" s="116">
        <v>0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  <c r="AZ23" s="116">
        <v>0</v>
      </c>
    </row>
    <row r="24" spans="1:52" customFormat="1" x14ac:dyDescent="0.15">
      <c r="A24" s="196" t="s">
        <v>214</v>
      </c>
      <c r="B24" s="116">
        <v>1</v>
      </c>
      <c r="C24" s="116">
        <v>1</v>
      </c>
      <c r="D24" s="116">
        <v>1</v>
      </c>
      <c r="E24" s="116">
        <v>0</v>
      </c>
      <c r="F24" s="116">
        <v>0</v>
      </c>
      <c r="G24" s="116">
        <v>0</v>
      </c>
      <c r="H24" s="116">
        <v>1</v>
      </c>
      <c r="I24" s="116">
        <v>0</v>
      </c>
      <c r="J24" s="116">
        <v>1</v>
      </c>
      <c r="K24" s="116">
        <v>1</v>
      </c>
      <c r="L24" s="116">
        <v>0</v>
      </c>
      <c r="M24" s="116">
        <v>0</v>
      </c>
      <c r="N24" s="116">
        <v>0</v>
      </c>
      <c r="O24" s="116">
        <v>0</v>
      </c>
      <c r="P24" s="116">
        <v>0</v>
      </c>
      <c r="Q24" s="116">
        <v>0</v>
      </c>
      <c r="R24" s="116">
        <v>0</v>
      </c>
      <c r="S24" s="116">
        <v>1</v>
      </c>
      <c r="T24" s="116">
        <v>1</v>
      </c>
      <c r="U24" s="116">
        <v>0</v>
      </c>
      <c r="V24" s="116">
        <v>0</v>
      </c>
      <c r="W24" s="116">
        <v>1</v>
      </c>
      <c r="X24" s="116">
        <v>1</v>
      </c>
      <c r="Y24" s="116">
        <v>1</v>
      </c>
      <c r="Z24" s="116">
        <v>1</v>
      </c>
      <c r="AA24" s="116">
        <v>0</v>
      </c>
      <c r="AB24" s="116">
        <v>0</v>
      </c>
      <c r="AC24" s="116">
        <v>0</v>
      </c>
      <c r="AD24" s="116">
        <v>0</v>
      </c>
      <c r="AE24" s="116">
        <v>0</v>
      </c>
      <c r="AF24" s="116">
        <v>0</v>
      </c>
      <c r="AG24" s="116">
        <v>0</v>
      </c>
      <c r="AH24" s="116">
        <v>0</v>
      </c>
      <c r="AI24" s="116">
        <v>1</v>
      </c>
      <c r="AJ24" s="116">
        <v>0</v>
      </c>
      <c r="AK24" s="116">
        <v>0</v>
      </c>
      <c r="AL24" s="116">
        <v>1</v>
      </c>
      <c r="AM24" s="116">
        <v>0</v>
      </c>
      <c r="AN24" s="116">
        <v>0</v>
      </c>
      <c r="AO24" s="116">
        <v>0</v>
      </c>
      <c r="AP24" s="116">
        <v>0</v>
      </c>
      <c r="AQ24" s="116">
        <v>0</v>
      </c>
      <c r="AR24" s="116">
        <v>0</v>
      </c>
      <c r="AS24" s="116">
        <v>0</v>
      </c>
      <c r="AT24" s="116">
        <v>0</v>
      </c>
      <c r="AU24" s="116">
        <v>0</v>
      </c>
      <c r="AV24" s="116">
        <v>0</v>
      </c>
      <c r="AW24" s="116">
        <v>0</v>
      </c>
      <c r="AX24" s="116">
        <v>0</v>
      </c>
      <c r="AY24" s="116">
        <v>0</v>
      </c>
      <c r="AZ24" s="116">
        <v>0</v>
      </c>
    </row>
    <row r="25" spans="1:52" customFormat="1" x14ac:dyDescent="0.15">
      <c r="A25" s="196" t="s">
        <v>215</v>
      </c>
      <c r="B25" s="116">
        <v>0</v>
      </c>
      <c r="C25" s="116">
        <v>1</v>
      </c>
      <c r="D25" s="116">
        <v>0</v>
      </c>
      <c r="E25" s="116">
        <v>1</v>
      </c>
      <c r="F25" s="116">
        <v>1</v>
      </c>
      <c r="G25" s="116">
        <v>0</v>
      </c>
      <c r="H25" s="116">
        <v>0</v>
      </c>
      <c r="I25" s="116">
        <v>0</v>
      </c>
      <c r="J25" s="116">
        <v>0</v>
      </c>
      <c r="K25" s="116">
        <v>0</v>
      </c>
      <c r="L25" s="116">
        <v>0</v>
      </c>
      <c r="M25" s="116">
        <v>0</v>
      </c>
      <c r="N25" s="116">
        <v>0</v>
      </c>
      <c r="O25" s="116">
        <v>0</v>
      </c>
      <c r="P25" s="116">
        <v>0</v>
      </c>
      <c r="Q25" s="116">
        <v>0</v>
      </c>
      <c r="R25" s="116">
        <v>0</v>
      </c>
      <c r="S25" s="116">
        <v>0</v>
      </c>
      <c r="T25" s="116">
        <v>0</v>
      </c>
      <c r="U25" s="116">
        <v>0</v>
      </c>
      <c r="V25" s="116">
        <v>0</v>
      </c>
      <c r="W25" s="116">
        <v>0</v>
      </c>
      <c r="X25" s="116">
        <v>0</v>
      </c>
      <c r="Y25" s="116">
        <v>0</v>
      </c>
      <c r="Z25" s="116">
        <v>0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0</v>
      </c>
      <c r="AN25" s="116">
        <v>0</v>
      </c>
      <c r="AO25" s="116">
        <v>0</v>
      </c>
      <c r="AP25" s="116">
        <v>0</v>
      </c>
      <c r="AQ25" s="116">
        <v>0</v>
      </c>
      <c r="AR25" s="116">
        <v>0</v>
      </c>
      <c r="AS25" s="116">
        <v>0</v>
      </c>
      <c r="AT25" s="116">
        <v>0</v>
      </c>
      <c r="AU25" s="116">
        <v>0</v>
      </c>
      <c r="AV25" s="116">
        <v>0</v>
      </c>
      <c r="AW25" s="116">
        <v>0</v>
      </c>
      <c r="AX25" s="116">
        <v>0</v>
      </c>
      <c r="AY25" s="116">
        <v>0</v>
      </c>
      <c r="AZ25" s="116">
        <v>0</v>
      </c>
    </row>
    <row r="26" spans="1:52" customFormat="1" x14ac:dyDescent="0.15">
      <c r="A26" s="196" t="s">
        <v>216</v>
      </c>
      <c r="B26" s="116">
        <v>1</v>
      </c>
      <c r="C26" s="116">
        <v>1</v>
      </c>
      <c r="D26" s="116">
        <v>1</v>
      </c>
      <c r="E26" s="116">
        <v>1</v>
      </c>
      <c r="F26" s="116">
        <v>1</v>
      </c>
      <c r="G26" s="116">
        <v>0</v>
      </c>
      <c r="H26" s="116">
        <v>1</v>
      </c>
      <c r="I26" s="116">
        <v>0</v>
      </c>
      <c r="J26" s="116">
        <v>1</v>
      </c>
      <c r="K26" s="116">
        <v>1</v>
      </c>
      <c r="L26" s="116">
        <v>1</v>
      </c>
      <c r="M26" s="116">
        <v>1</v>
      </c>
      <c r="N26" s="116">
        <v>1</v>
      </c>
      <c r="O26" s="116">
        <v>1</v>
      </c>
      <c r="P26" s="116">
        <v>0</v>
      </c>
      <c r="Q26" s="116">
        <v>0</v>
      </c>
      <c r="R26" s="116">
        <v>0</v>
      </c>
      <c r="S26" s="116">
        <v>1</v>
      </c>
      <c r="T26" s="116">
        <v>1</v>
      </c>
      <c r="U26" s="116">
        <v>1</v>
      </c>
      <c r="V26" s="116">
        <v>0</v>
      </c>
      <c r="W26" s="116">
        <v>1</v>
      </c>
      <c r="X26" s="116">
        <v>1</v>
      </c>
      <c r="Y26" s="116">
        <v>1</v>
      </c>
      <c r="Z26" s="116">
        <v>1</v>
      </c>
      <c r="AA26" s="116">
        <v>1</v>
      </c>
      <c r="AB26" s="116">
        <v>0</v>
      </c>
      <c r="AC26" s="116">
        <v>1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1</v>
      </c>
      <c r="AJ26" s="116">
        <v>0</v>
      </c>
      <c r="AK26" s="116">
        <v>0</v>
      </c>
      <c r="AL26" s="116">
        <v>1</v>
      </c>
      <c r="AM26" s="116">
        <v>0</v>
      </c>
      <c r="AN26" s="116">
        <v>0</v>
      </c>
      <c r="AO26" s="116">
        <v>0</v>
      </c>
      <c r="AP26" s="116">
        <v>0</v>
      </c>
      <c r="AQ26" s="116">
        <v>0</v>
      </c>
      <c r="AR26" s="116">
        <v>0</v>
      </c>
      <c r="AS26" s="116">
        <v>0</v>
      </c>
      <c r="AT26" s="116">
        <v>0</v>
      </c>
      <c r="AU26" s="116">
        <v>0</v>
      </c>
      <c r="AV26" s="116">
        <v>0</v>
      </c>
      <c r="AW26" s="116">
        <v>0</v>
      </c>
      <c r="AX26" s="116">
        <v>0</v>
      </c>
      <c r="AY26" s="116">
        <v>0</v>
      </c>
      <c r="AZ26" s="116">
        <v>0</v>
      </c>
    </row>
    <row r="27" spans="1:52" customFormat="1" x14ac:dyDescent="0.15">
      <c r="A27" s="196" t="s">
        <v>217</v>
      </c>
      <c r="B27" s="116">
        <v>1</v>
      </c>
      <c r="C27" s="116">
        <v>0</v>
      </c>
      <c r="D27" s="116">
        <v>1</v>
      </c>
      <c r="E27" s="116">
        <v>1</v>
      </c>
      <c r="F27" s="116">
        <v>0</v>
      </c>
      <c r="G27" s="116">
        <v>0</v>
      </c>
      <c r="H27" s="116">
        <v>1</v>
      </c>
      <c r="I27" s="116">
        <v>0</v>
      </c>
      <c r="J27" s="116">
        <v>1</v>
      </c>
      <c r="K27" s="116">
        <v>1</v>
      </c>
      <c r="L27" s="116">
        <v>1</v>
      </c>
      <c r="M27" s="116">
        <v>1</v>
      </c>
      <c r="N27" s="116">
        <v>1</v>
      </c>
      <c r="O27" s="116">
        <v>1</v>
      </c>
      <c r="P27" s="116">
        <v>0</v>
      </c>
      <c r="Q27" s="116">
        <v>1</v>
      </c>
      <c r="R27" s="116">
        <v>1</v>
      </c>
      <c r="S27" s="116">
        <v>1</v>
      </c>
      <c r="T27" s="116">
        <v>1</v>
      </c>
      <c r="U27" s="116">
        <v>0</v>
      </c>
      <c r="V27" s="116">
        <v>0</v>
      </c>
      <c r="W27" s="116">
        <v>1</v>
      </c>
      <c r="X27" s="116">
        <v>1</v>
      </c>
      <c r="Y27" s="116">
        <v>1</v>
      </c>
      <c r="Z27" s="116">
        <v>1</v>
      </c>
      <c r="AA27" s="116">
        <v>1</v>
      </c>
      <c r="AB27" s="116">
        <v>0</v>
      </c>
      <c r="AC27" s="116">
        <v>1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1</v>
      </c>
      <c r="AJ27" s="116">
        <v>0</v>
      </c>
      <c r="AK27" s="116">
        <v>0</v>
      </c>
      <c r="AL27" s="116">
        <v>1</v>
      </c>
      <c r="AM27" s="116">
        <v>0</v>
      </c>
      <c r="AN27" s="116">
        <v>0</v>
      </c>
      <c r="AO27" s="116">
        <v>0</v>
      </c>
      <c r="AP27" s="116">
        <v>0</v>
      </c>
      <c r="AQ27" s="116">
        <v>0</v>
      </c>
      <c r="AR27" s="116">
        <v>0</v>
      </c>
      <c r="AS27" s="116">
        <v>0</v>
      </c>
      <c r="AT27" s="116">
        <v>0</v>
      </c>
      <c r="AU27" s="116">
        <v>0</v>
      </c>
      <c r="AV27" s="116">
        <v>0</v>
      </c>
      <c r="AW27" s="116">
        <v>0</v>
      </c>
      <c r="AX27" s="116">
        <v>0</v>
      </c>
      <c r="AY27" s="116">
        <v>0</v>
      </c>
      <c r="AZ27" s="116">
        <v>0</v>
      </c>
    </row>
    <row r="28" spans="1:52" customFormat="1" x14ac:dyDescent="0.15">
      <c r="A28" s="196" t="s">
        <v>218</v>
      </c>
      <c r="B28" s="116">
        <v>0</v>
      </c>
      <c r="C28" s="116">
        <v>1</v>
      </c>
      <c r="D28" s="116">
        <v>1</v>
      </c>
      <c r="E28" s="116">
        <v>0</v>
      </c>
      <c r="F28" s="116">
        <v>0</v>
      </c>
      <c r="G28" s="116">
        <v>0</v>
      </c>
      <c r="H28" s="116">
        <v>1</v>
      </c>
      <c r="I28" s="116">
        <v>0</v>
      </c>
      <c r="J28" s="116">
        <v>1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0</v>
      </c>
      <c r="AZ28" s="116">
        <v>0</v>
      </c>
    </row>
    <row r="29" spans="1:52" customFormat="1" x14ac:dyDescent="0.15">
      <c r="A29" s="196" t="s">
        <v>219</v>
      </c>
      <c r="B29" s="116">
        <v>1</v>
      </c>
      <c r="C29" s="116">
        <v>1</v>
      </c>
      <c r="D29" s="116">
        <v>1</v>
      </c>
      <c r="E29" s="116">
        <v>1</v>
      </c>
      <c r="F29" s="116">
        <v>0</v>
      </c>
      <c r="G29" s="116">
        <v>0</v>
      </c>
      <c r="H29" s="116">
        <v>1</v>
      </c>
      <c r="I29" s="116">
        <v>0</v>
      </c>
      <c r="J29" s="116">
        <v>1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1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  <c r="AZ29" s="116">
        <v>0</v>
      </c>
    </row>
    <row r="30" spans="1:52" customFormat="1" x14ac:dyDescent="0.15">
      <c r="A30" s="196" t="s">
        <v>220</v>
      </c>
      <c r="B30" s="116">
        <v>0</v>
      </c>
      <c r="C30" s="116">
        <v>1</v>
      </c>
      <c r="D30" s="116">
        <v>1</v>
      </c>
      <c r="E30" s="116">
        <v>0</v>
      </c>
      <c r="F30" s="116">
        <v>0</v>
      </c>
      <c r="G30" s="116">
        <v>0</v>
      </c>
      <c r="H30" s="116">
        <v>1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1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1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  <c r="AZ30" s="116">
        <v>0</v>
      </c>
    </row>
    <row r="31" spans="1:52" customFormat="1" x14ac:dyDescent="0.15">
      <c r="A31" s="196" t="s">
        <v>221</v>
      </c>
      <c r="B31" s="116">
        <v>1</v>
      </c>
      <c r="C31" s="116">
        <v>1</v>
      </c>
      <c r="D31" s="116">
        <v>1</v>
      </c>
      <c r="E31" s="116">
        <v>1</v>
      </c>
      <c r="F31" s="116">
        <v>1</v>
      </c>
      <c r="G31" s="116">
        <v>0</v>
      </c>
      <c r="H31" s="116">
        <v>1</v>
      </c>
      <c r="I31" s="116">
        <v>0</v>
      </c>
      <c r="J31" s="116">
        <v>1</v>
      </c>
      <c r="K31" s="116">
        <v>1</v>
      </c>
      <c r="L31" s="116">
        <v>1</v>
      </c>
      <c r="M31" s="116">
        <v>1</v>
      </c>
      <c r="N31" s="116">
        <v>1</v>
      </c>
      <c r="O31" s="116">
        <v>1</v>
      </c>
      <c r="P31" s="116">
        <v>1</v>
      </c>
      <c r="Q31" s="116">
        <v>0</v>
      </c>
      <c r="R31" s="116">
        <v>0</v>
      </c>
      <c r="S31" s="116">
        <v>1</v>
      </c>
      <c r="T31" s="116">
        <v>1</v>
      </c>
      <c r="U31" s="116">
        <v>1</v>
      </c>
      <c r="V31" s="116">
        <v>1</v>
      </c>
      <c r="W31" s="116">
        <v>1</v>
      </c>
      <c r="X31" s="116">
        <v>1</v>
      </c>
      <c r="Y31" s="116">
        <v>1</v>
      </c>
      <c r="Z31" s="116">
        <v>1</v>
      </c>
      <c r="AA31" s="116">
        <v>1</v>
      </c>
      <c r="AB31" s="116">
        <v>1</v>
      </c>
      <c r="AC31" s="116">
        <v>1</v>
      </c>
      <c r="AD31" s="116">
        <v>1</v>
      </c>
      <c r="AE31" s="116">
        <v>1</v>
      </c>
      <c r="AF31" s="116">
        <v>0</v>
      </c>
      <c r="AG31" s="116">
        <v>1</v>
      </c>
      <c r="AH31" s="116">
        <v>0</v>
      </c>
      <c r="AI31" s="116">
        <v>1</v>
      </c>
      <c r="AJ31" s="116">
        <v>0</v>
      </c>
      <c r="AK31" s="116">
        <v>1</v>
      </c>
      <c r="AL31" s="116">
        <v>1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  <c r="AZ31" s="116">
        <v>0</v>
      </c>
    </row>
    <row r="32" spans="1:52" x14ac:dyDescent="0.15">
      <c r="A32" s="196" t="s">
        <v>222</v>
      </c>
      <c r="B32" s="116">
        <v>0</v>
      </c>
      <c r="C32" s="116">
        <v>1</v>
      </c>
      <c r="D32" s="116">
        <v>1</v>
      </c>
      <c r="E32" s="116">
        <v>1</v>
      </c>
      <c r="F32" s="116">
        <v>0</v>
      </c>
      <c r="G32" s="116">
        <v>0</v>
      </c>
      <c r="H32" s="116">
        <v>1</v>
      </c>
      <c r="I32" s="116">
        <v>0</v>
      </c>
      <c r="J32" s="116">
        <v>1</v>
      </c>
      <c r="K32" s="116">
        <v>1</v>
      </c>
      <c r="L32" s="116">
        <v>1</v>
      </c>
      <c r="M32" s="116">
        <v>1</v>
      </c>
      <c r="N32" s="116">
        <v>0</v>
      </c>
      <c r="O32" s="116">
        <v>1</v>
      </c>
      <c r="P32" s="116">
        <v>1</v>
      </c>
      <c r="Q32" s="116">
        <v>0</v>
      </c>
      <c r="R32" s="116">
        <v>0</v>
      </c>
      <c r="S32" s="116">
        <v>1</v>
      </c>
      <c r="T32" s="116">
        <v>1</v>
      </c>
      <c r="U32" s="116">
        <v>1</v>
      </c>
      <c r="V32" s="116">
        <v>1</v>
      </c>
      <c r="W32" s="116">
        <v>1</v>
      </c>
      <c r="X32" s="116">
        <v>1</v>
      </c>
      <c r="Y32" s="116">
        <v>1</v>
      </c>
      <c r="Z32" s="116">
        <v>1</v>
      </c>
      <c r="AA32" s="116">
        <v>1</v>
      </c>
      <c r="AB32" s="116">
        <v>1</v>
      </c>
      <c r="AC32" s="116">
        <v>1</v>
      </c>
      <c r="AD32" s="116">
        <v>1</v>
      </c>
      <c r="AE32" s="116">
        <v>1</v>
      </c>
      <c r="AF32" s="116">
        <v>0</v>
      </c>
      <c r="AG32" s="116">
        <v>0</v>
      </c>
      <c r="AH32" s="116">
        <v>0</v>
      </c>
      <c r="AI32" s="116">
        <v>1</v>
      </c>
      <c r="AJ32" s="116">
        <v>0</v>
      </c>
      <c r="AK32" s="116">
        <v>0</v>
      </c>
      <c r="AL32" s="116">
        <v>1</v>
      </c>
      <c r="AM32" s="116">
        <v>0</v>
      </c>
      <c r="AN32" s="116">
        <v>0</v>
      </c>
      <c r="AO32" s="116">
        <v>0</v>
      </c>
      <c r="AP32" s="116">
        <v>0</v>
      </c>
      <c r="AQ32" s="116">
        <v>0</v>
      </c>
      <c r="AR32" s="116">
        <v>0</v>
      </c>
      <c r="AS32" s="116">
        <v>0</v>
      </c>
      <c r="AT32" s="116">
        <v>0</v>
      </c>
      <c r="AU32" s="116">
        <v>0</v>
      </c>
      <c r="AV32" s="116">
        <v>0</v>
      </c>
      <c r="AW32" s="116">
        <v>0</v>
      </c>
      <c r="AX32" s="116">
        <v>0</v>
      </c>
      <c r="AY32" s="116">
        <v>0</v>
      </c>
      <c r="AZ32" s="116">
        <v>0</v>
      </c>
    </row>
    <row r="33" spans="1:52" x14ac:dyDescent="0.15">
      <c r="A33" s="196" t="s">
        <v>223</v>
      </c>
      <c r="B33" s="116">
        <v>0</v>
      </c>
      <c r="C33" s="116">
        <v>0</v>
      </c>
      <c r="D33" s="116">
        <v>1</v>
      </c>
      <c r="E33" s="116">
        <v>1</v>
      </c>
      <c r="F33" s="116">
        <v>1</v>
      </c>
      <c r="G33" s="116">
        <v>0</v>
      </c>
      <c r="H33" s="116">
        <v>1</v>
      </c>
      <c r="I33" s="116">
        <v>0</v>
      </c>
      <c r="J33" s="116">
        <v>1</v>
      </c>
      <c r="K33" s="116">
        <v>1</v>
      </c>
      <c r="L33" s="116">
        <v>1</v>
      </c>
      <c r="M33" s="116">
        <v>1</v>
      </c>
      <c r="N33" s="116">
        <v>1</v>
      </c>
      <c r="O33" s="116">
        <v>1</v>
      </c>
      <c r="P33" s="116">
        <v>0</v>
      </c>
      <c r="Q33" s="116">
        <v>0</v>
      </c>
      <c r="R33" s="116">
        <v>0</v>
      </c>
      <c r="S33" s="116">
        <v>1</v>
      </c>
      <c r="T33" s="116">
        <v>1</v>
      </c>
      <c r="U33" s="116">
        <v>0</v>
      </c>
      <c r="V33" s="116">
        <v>1</v>
      </c>
      <c r="W33" s="116">
        <v>0</v>
      </c>
      <c r="X33" s="116">
        <v>0</v>
      </c>
      <c r="Y33" s="116">
        <v>0</v>
      </c>
      <c r="Z33" s="116">
        <v>0</v>
      </c>
      <c r="AA33" s="116">
        <v>1</v>
      </c>
      <c r="AB33" s="116">
        <v>1</v>
      </c>
      <c r="AC33" s="116">
        <v>1</v>
      </c>
      <c r="AD33" s="116">
        <v>0</v>
      </c>
      <c r="AE33" s="116">
        <v>0</v>
      </c>
      <c r="AF33" s="116">
        <v>0</v>
      </c>
      <c r="AG33" s="116">
        <v>1</v>
      </c>
      <c r="AH33" s="116">
        <v>0</v>
      </c>
      <c r="AI33" s="116">
        <v>0</v>
      </c>
      <c r="AJ33" s="116">
        <v>0</v>
      </c>
      <c r="AK33" s="116">
        <v>0</v>
      </c>
      <c r="AL33" s="116">
        <v>1</v>
      </c>
      <c r="AM33" s="116">
        <v>0</v>
      </c>
      <c r="AN33" s="116">
        <v>0</v>
      </c>
      <c r="AO33" s="116">
        <v>0</v>
      </c>
      <c r="AP33" s="116">
        <v>0</v>
      </c>
      <c r="AQ33" s="116">
        <v>0</v>
      </c>
      <c r="AR33" s="116">
        <v>0</v>
      </c>
      <c r="AS33" s="116">
        <v>0</v>
      </c>
      <c r="AT33" s="116">
        <v>0</v>
      </c>
      <c r="AU33" s="116">
        <v>0</v>
      </c>
      <c r="AV33" s="116">
        <v>0</v>
      </c>
      <c r="AW33" s="116">
        <v>0</v>
      </c>
      <c r="AX33" s="116">
        <v>0</v>
      </c>
      <c r="AY33" s="116">
        <v>0</v>
      </c>
      <c r="AZ33" s="116">
        <v>0</v>
      </c>
    </row>
    <row r="34" spans="1:52" x14ac:dyDescent="0.15">
      <c r="A34" s="196" t="s">
        <v>224</v>
      </c>
      <c r="B34" s="116">
        <v>0</v>
      </c>
      <c r="C34" s="116">
        <v>1</v>
      </c>
      <c r="D34" s="116">
        <v>1</v>
      </c>
      <c r="E34" s="116">
        <v>1</v>
      </c>
      <c r="F34" s="116">
        <v>1</v>
      </c>
      <c r="G34" s="116">
        <v>0</v>
      </c>
      <c r="H34" s="116">
        <v>1</v>
      </c>
      <c r="I34" s="116">
        <v>0</v>
      </c>
      <c r="J34" s="116">
        <v>1</v>
      </c>
      <c r="K34" s="116">
        <v>1</v>
      </c>
      <c r="L34" s="116">
        <v>0</v>
      </c>
      <c r="M34" s="116">
        <v>0</v>
      </c>
      <c r="N34" s="116">
        <v>0</v>
      </c>
      <c r="O34" s="116">
        <v>0</v>
      </c>
      <c r="P34" s="116">
        <v>0</v>
      </c>
      <c r="Q34" s="116">
        <v>0</v>
      </c>
      <c r="R34" s="116">
        <v>0</v>
      </c>
      <c r="S34" s="116">
        <v>0</v>
      </c>
      <c r="T34" s="116">
        <v>1</v>
      </c>
      <c r="U34" s="116">
        <v>0</v>
      </c>
      <c r="V34" s="116">
        <v>1</v>
      </c>
      <c r="W34" s="116">
        <v>0</v>
      </c>
      <c r="X34" s="116">
        <v>0</v>
      </c>
      <c r="Y34" s="116">
        <v>1</v>
      </c>
      <c r="Z34" s="116">
        <v>0</v>
      </c>
      <c r="AA34" s="116">
        <v>1</v>
      </c>
      <c r="AB34" s="116">
        <v>1</v>
      </c>
      <c r="AC34" s="116">
        <v>1</v>
      </c>
      <c r="AD34" s="116">
        <v>1</v>
      </c>
      <c r="AE34" s="116">
        <v>0</v>
      </c>
      <c r="AF34" s="116">
        <v>0</v>
      </c>
      <c r="AG34" s="116">
        <v>0</v>
      </c>
      <c r="AH34" s="116">
        <v>0</v>
      </c>
      <c r="AI34" s="116">
        <v>1</v>
      </c>
      <c r="AJ34" s="116">
        <v>0</v>
      </c>
      <c r="AK34" s="116">
        <v>0</v>
      </c>
      <c r="AL34" s="116">
        <v>1</v>
      </c>
      <c r="AM34" s="116">
        <v>0</v>
      </c>
      <c r="AN34" s="116">
        <v>0</v>
      </c>
      <c r="AO34" s="116">
        <v>0</v>
      </c>
      <c r="AP34" s="116">
        <v>0</v>
      </c>
      <c r="AQ34" s="116">
        <v>0</v>
      </c>
      <c r="AR34" s="116">
        <v>0</v>
      </c>
      <c r="AS34" s="116">
        <v>0</v>
      </c>
      <c r="AT34" s="116">
        <v>0</v>
      </c>
      <c r="AU34" s="116">
        <v>0</v>
      </c>
      <c r="AV34" s="116">
        <v>0</v>
      </c>
      <c r="AW34" s="116">
        <v>0</v>
      </c>
      <c r="AX34" s="116">
        <v>0</v>
      </c>
      <c r="AY34" s="116">
        <v>0</v>
      </c>
      <c r="AZ34" s="116">
        <v>0</v>
      </c>
    </row>
    <row r="35" spans="1:52" x14ac:dyDescent="0.15">
      <c r="A35" s="196" t="s">
        <v>225</v>
      </c>
      <c r="B35" s="116">
        <v>0</v>
      </c>
      <c r="C35" s="116">
        <v>0</v>
      </c>
      <c r="D35" s="116">
        <v>1</v>
      </c>
      <c r="E35" s="116">
        <v>0</v>
      </c>
      <c r="F35" s="116">
        <v>1</v>
      </c>
      <c r="G35" s="116">
        <v>0</v>
      </c>
      <c r="H35" s="116">
        <v>1</v>
      </c>
      <c r="I35" s="116">
        <v>0</v>
      </c>
      <c r="J35" s="116">
        <v>0</v>
      </c>
      <c r="K35" s="116">
        <v>0</v>
      </c>
      <c r="L35" s="116">
        <v>0</v>
      </c>
      <c r="M35" s="116">
        <v>0</v>
      </c>
      <c r="N35" s="116">
        <v>1</v>
      </c>
      <c r="O35" s="116">
        <v>0</v>
      </c>
      <c r="P35" s="116">
        <v>0</v>
      </c>
      <c r="Q35" s="116">
        <v>0</v>
      </c>
      <c r="R35" s="116">
        <v>0</v>
      </c>
      <c r="S35" s="116">
        <v>0</v>
      </c>
      <c r="T35" s="116">
        <v>0</v>
      </c>
      <c r="U35" s="116">
        <v>0</v>
      </c>
      <c r="V35" s="116">
        <v>0</v>
      </c>
      <c r="W35" s="116">
        <v>0</v>
      </c>
      <c r="X35" s="116">
        <v>0</v>
      </c>
      <c r="Y35" s="116">
        <v>0</v>
      </c>
      <c r="Z35" s="116">
        <v>0</v>
      </c>
      <c r="AA35" s="116">
        <v>0</v>
      </c>
      <c r="AB35" s="116">
        <v>0</v>
      </c>
      <c r="AC35" s="116">
        <v>0</v>
      </c>
      <c r="AD35" s="116">
        <v>0</v>
      </c>
      <c r="AE35" s="116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116">
        <v>0</v>
      </c>
      <c r="AO35" s="116">
        <v>0</v>
      </c>
      <c r="AP35" s="116">
        <v>0</v>
      </c>
      <c r="AQ35" s="116">
        <v>0</v>
      </c>
      <c r="AR35" s="116">
        <v>0</v>
      </c>
      <c r="AS35" s="116">
        <v>0</v>
      </c>
      <c r="AT35" s="116">
        <v>0</v>
      </c>
      <c r="AU35" s="116">
        <v>0</v>
      </c>
      <c r="AV35" s="116">
        <v>0</v>
      </c>
      <c r="AW35" s="116">
        <v>0</v>
      </c>
      <c r="AX35" s="116">
        <v>0</v>
      </c>
      <c r="AY35" s="116">
        <v>0</v>
      </c>
      <c r="AZ35" s="116">
        <v>0</v>
      </c>
    </row>
    <row r="36" spans="1:52" x14ac:dyDescent="0.15">
      <c r="A36" s="196" t="s">
        <v>226</v>
      </c>
      <c r="B36" s="116">
        <v>0</v>
      </c>
      <c r="C36" s="116">
        <v>1</v>
      </c>
      <c r="D36" s="116">
        <v>1</v>
      </c>
      <c r="E36" s="116">
        <v>0</v>
      </c>
      <c r="F36" s="116">
        <v>1</v>
      </c>
      <c r="G36" s="116">
        <v>0</v>
      </c>
      <c r="H36" s="116">
        <v>1</v>
      </c>
      <c r="I36" s="116">
        <v>0</v>
      </c>
      <c r="J36" s="116">
        <v>0</v>
      </c>
      <c r="K36" s="116">
        <v>0</v>
      </c>
      <c r="L36" s="116">
        <v>0</v>
      </c>
      <c r="M36" s="116">
        <v>0</v>
      </c>
      <c r="N36" s="116">
        <v>0</v>
      </c>
      <c r="O36" s="116">
        <v>0</v>
      </c>
      <c r="P36" s="116">
        <v>0</v>
      </c>
      <c r="Q36" s="116">
        <v>0</v>
      </c>
      <c r="R36" s="116">
        <v>0</v>
      </c>
      <c r="S36" s="116">
        <v>0</v>
      </c>
      <c r="T36" s="116">
        <v>1</v>
      </c>
      <c r="U36" s="116">
        <v>0</v>
      </c>
      <c r="V36" s="116">
        <v>0</v>
      </c>
      <c r="W36" s="116">
        <v>1</v>
      </c>
      <c r="X36" s="116">
        <v>1</v>
      </c>
      <c r="Y36" s="116">
        <v>1</v>
      </c>
      <c r="Z36" s="116">
        <v>1</v>
      </c>
      <c r="AA36" s="116">
        <v>1</v>
      </c>
      <c r="AB36" s="116">
        <v>1</v>
      </c>
      <c r="AC36" s="116">
        <v>0</v>
      </c>
      <c r="AD36" s="116">
        <v>0</v>
      </c>
      <c r="AE36" s="116">
        <v>0</v>
      </c>
      <c r="AF36" s="116">
        <v>0</v>
      </c>
      <c r="AG36" s="116">
        <v>0</v>
      </c>
      <c r="AH36" s="116">
        <v>0</v>
      </c>
      <c r="AI36" s="116">
        <v>1</v>
      </c>
      <c r="AJ36" s="116">
        <v>0</v>
      </c>
      <c r="AK36" s="116">
        <v>0</v>
      </c>
      <c r="AL36" s="116">
        <v>0</v>
      </c>
      <c r="AM36" s="116">
        <v>0</v>
      </c>
      <c r="AN36" s="116">
        <v>0</v>
      </c>
      <c r="AO36" s="116">
        <v>0</v>
      </c>
      <c r="AP36" s="116">
        <v>0</v>
      </c>
      <c r="AQ36" s="116">
        <v>0</v>
      </c>
      <c r="AR36" s="116">
        <v>0</v>
      </c>
      <c r="AS36" s="116">
        <v>0</v>
      </c>
      <c r="AT36" s="116">
        <v>0</v>
      </c>
      <c r="AU36" s="116">
        <v>0</v>
      </c>
      <c r="AV36" s="116">
        <v>0</v>
      </c>
      <c r="AW36" s="116">
        <v>0</v>
      </c>
      <c r="AX36" s="116">
        <v>0</v>
      </c>
      <c r="AY36" s="116">
        <v>0</v>
      </c>
      <c r="AZ36" s="116">
        <v>0</v>
      </c>
    </row>
    <row r="37" spans="1:52" x14ac:dyDescent="0.15">
      <c r="A37" s="196" t="s">
        <v>227</v>
      </c>
      <c r="B37" s="116">
        <v>0</v>
      </c>
      <c r="C37" s="116">
        <v>1</v>
      </c>
      <c r="D37" s="116">
        <v>1</v>
      </c>
      <c r="E37" s="116">
        <v>1</v>
      </c>
      <c r="F37" s="116">
        <v>0</v>
      </c>
      <c r="G37" s="116">
        <v>0</v>
      </c>
      <c r="H37" s="116">
        <v>1</v>
      </c>
      <c r="I37" s="116">
        <v>0</v>
      </c>
      <c r="J37" s="116">
        <v>1</v>
      </c>
      <c r="K37" s="116">
        <v>1</v>
      </c>
      <c r="L37" s="116">
        <v>0</v>
      </c>
      <c r="M37" s="116">
        <v>0</v>
      </c>
      <c r="N37" s="116">
        <v>1</v>
      </c>
      <c r="O37" s="116">
        <v>1</v>
      </c>
      <c r="P37" s="116">
        <v>0</v>
      </c>
      <c r="Q37" s="116">
        <v>0</v>
      </c>
      <c r="R37" s="116">
        <v>0</v>
      </c>
      <c r="S37" s="116">
        <v>1</v>
      </c>
      <c r="T37" s="116">
        <v>1</v>
      </c>
      <c r="U37" s="116">
        <v>1</v>
      </c>
      <c r="V37" s="116">
        <v>0</v>
      </c>
      <c r="W37" s="116">
        <v>1</v>
      </c>
      <c r="X37" s="116">
        <v>1</v>
      </c>
      <c r="Y37" s="116">
        <v>1</v>
      </c>
      <c r="Z37" s="116">
        <v>1</v>
      </c>
      <c r="AA37" s="116">
        <v>0</v>
      </c>
      <c r="AB37" s="116">
        <v>0</v>
      </c>
      <c r="AC37" s="116">
        <v>0</v>
      </c>
      <c r="AD37" s="116">
        <v>1</v>
      </c>
      <c r="AE37" s="116">
        <v>0</v>
      </c>
      <c r="AF37" s="116">
        <v>0</v>
      </c>
      <c r="AG37" s="116">
        <v>0</v>
      </c>
      <c r="AH37" s="116">
        <v>0</v>
      </c>
      <c r="AI37" s="116">
        <v>1</v>
      </c>
      <c r="AJ37" s="116">
        <v>0</v>
      </c>
      <c r="AK37" s="116">
        <v>1</v>
      </c>
      <c r="AL37" s="116">
        <v>1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>
        <v>0</v>
      </c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  <c r="AZ37" s="116">
        <v>0</v>
      </c>
    </row>
    <row r="38" spans="1:52" x14ac:dyDescent="0.15">
      <c r="A38" s="196" t="s">
        <v>228</v>
      </c>
      <c r="B38" s="116">
        <v>0</v>
      </c>
      <c r="C38" s="116">
        <v>0</v>
      </c>
      <c r="D38" s="116">
        <v>1</v>
      </c>
      <c r="E38" s="116">
        <v>1</v>
      </c>
      <c r="F38" s="116">
        <v>1</v>
      </c>
      <c r="G38" s="116">
        <v>0</v>
      </c>
      <c r="H38" s="116">
        <v>1</v>
      </c>
      <c r="I38" s="116">
        <v>0</v>
      </c>
      <c r="J38" s="116">
        <v>1</v>
      </c>
      <c r="K38" s="116">
        <v>0</v>
      </c>
      <c r="L38" s="116">
        <v>0</v>
      </c>
      <c r="M38" s="116">
        <v>0</v>
      </c>
      <c r="N38" s="116">
        <v>1</v>
      </c>
      <c r="O38" s="116">
        <v>0</v>
      </c>
      <c r="P38" s="116">
        <v>0</v>
      </c>
      <c r="Q38" s="116">
        <v>0</v>
      </c>
      <c r="R38" s="116">
        <v>0</v>
      </c>
      <c r="S38" s="116">
        <v>1</v>
      </c>
      <c r="T38" s="116">
        <v>1</v>
      </c>
      <c r="U38" s="116">
        <v>0</v>
      </c>
      <c r="V38" s="116">
        <v>0</v>
      </c>
      <c r="W38" s="116">
        <v>1</v>
      </c>
      <c r="X38" s="116">
        <v>1</v>
      </c>
      <c r="Y38" s="116">
        <v>1</v>
      </c>
      <c r="Z38" s="116">
        <v>1</v>
      </c>
      <c r="AA38" s="116">
        <v>0</v>
      </c>
      <c r="AB38" s="116">
        <v>0</v>
      </c>
      <c r="AC38" s="116">
        <v>1</v>
      </c>
      <c r="AD38" s="116">
        <v>0</v>
      </c>
      <c r="AE38" s="116">
        <v>0</v>
      </c>
      <c r="AF38" s="116">
        <v>0</v>
      </c>
      <c r="AG38" s="116">
        <v>0</v>
      </c>
      <c r="AH38" s="116">
        <v>0</v>
      </c>
      <c r="AI38" s="116">
        <v>1</v>
      </c>
      <c r="AJ38" s="116">
        <v>0</v>
      </c>
      <c r="AK38" s="116">
        <v>0</v>
      </c>
      <c r="AL38" s="116">
        <v>0</v>
      </c>
      <c r="AM38" s="116">
        <v>0</v>
      </c>
      <c r="AN38" s="116">
        <v>0</v>
      </c>
      <c r="AO38" s="116">
        <v>0</v>
      </c>
      <c r="AP38" s="116">
        <v>0</v>
      </c>
      <c r="AQ38" s="116">
        <v>0</v>
      </c>
      <c r="AR38" s="116">
        <v>0</v>
      </c>
      <c r="AS38" s="116">
        <v>0</v>
      </c>
      <c r="AT38" s="116">
        <v>0</v>
      </c>
      <c r="AU38" s="116">
        <v>0</v>
      </c>
      <c r="AV38" s="116">
        <v>0</v>
      </c>
      <c r="AW38" s="116">
        <v>0</v>
      </c>
      <c r="AX38" s="116">
        <v>0</v>
      </c>
      <c r="AY38" s="116">
        <v>0</v>
      </c>
      <c r="AZ38" s="116">
        <v>0</v>
      </c>
    </row>
    <row r="39" spans="1:52" x14ac:dyDescent="0.15">
      <c r="A39" s="196" t="s">
        <v>229</v>
      </c>
      <c r="B39" s="116">
        <v>0</v>
      </c>
      <c r="C39" s="116">
        <v>1</v>
      </c>
      <c r="D39" s="116">
        <v>0</v>
      </c>
      <c r="E39" s="116">
        <v>1</v>
      </c>
      <c r="F39" s="116">
        <v>1</v>
      </c>
      <c r="G39" s="116">
        <v>0</v>
      </c>
      <c r="H39" s="116">
        <v>1</v>
      </c>
      <c r="I39" s="116">
        <v>0</v>
      </c>
      <c r="J39" s="116">
        <v>1</v>
      </c>
      <c r="K39" s="116">
        <v>1</v>
      </c>
      <c r="L39" s="116">
        <v>1</v>
      </c>
      <c r="M39" s="116">
        <v>1</v>
      </c>
      <c r="N39" s="116">
        <v>1</v>
      </c>
      <c r="O39" s="116">
        <v>1</v>
      </c>
      <c r="P39" s="116">
        <v>0</v>
      </c>
      <c r="Q39" s="116">
        <v>0</v>
      </c>
      <c r="R39" s="116">
        <v>0</v>
      </c>
      <c r="S39" s="116">
        <v>1</v>
      </c>
      <c r="T39" s="116">
        <v>1</v>
      </c>
      <c r="U39" s="116">
        <v>1</v>
      </c>
      <c r="V39" s="116">
        <v>0</v>
      </c>
      <c r="W39" s="116">
        <v>0</v>
      </c>
      <c r="X39" s="116">
        <v>0</v>
      </c>
      <c r="Y39" s="116">
        <v>1</v>
      </c>
      <c r="Z39" s="116">
        <v>1</v>
      </c>
      <c r="AA39" s="116">
        <v>0</v>
      </c>
      <c r="AB39" s="116">
        <v>1</v>
      </c>
      <c r="AC39" s="116">
        <v>1</v>
      </c>
      <c r="AD39" s="116">
        <v>1</v>
      </c>
      <c r="AE39" s="116">
        <v>0</v>
      </c>
      <c r="AF39" s="116">
        <v>0</v>
      </c>
      <c r="AG39" s="116">
        <v>0</v>
      </c>
      <c r="AH39" s="116">
        <v>0</v>
      </c>
      <c r="AI39" s="116">
        <v>1</v>
      </c>
      <c r="AJ39" s="116">
        <v>0</v>
      </c>
      <c r="AK39" s="116">
        <v>1</v>
      </c>
      <c r="AL39" s="116">
        <v>1</v>
      </c>
      <c r="AM39" s="116">
        <v>0</v>
      </c>
      <c r="AN39" s="116">
        <v>0</v>
      </c>
      <c r="AO39" s="116">
        <v>0</v>
      </c>
      <c r="AP39" s="116">
        <v>0</v>
      </c>
      <c r="AQ39" s="116">
        <v>0</v>
      </c>
      <c r="AR39" s="116">
        <v>0</v>
      </c>
      <c r="AS39" s="116">
        <v>0</v>
      </c>
      <c r="AT39" s="116">
        <v>0</v>
      </c>
      <c r="AU39" s="116">
        <v>0</v>
      </c>
      <c r="AV39" s="116">
        <v>0</v>
      </c>
      <c r="AW39" s="116">
        <v>0</v>
      </c>
      <c r="AX39" s="116">
        <v>0</v>
      </c>
      <c r="AY39" s="116">
        <v>0</v>
      </c>
      <c r="AZ39" s="116">
        <v>0</v>
      </c>
    </row>
    <row r="40" spans="1:52" x14ac:dyDescent="0.15">
      <c r="A40" s="196" t="s">
        <v>230</v>
      </c>
      <c r="B40" s="116">
        <v>0</v>
      </c>
      <c r="C40" s="116">
        <v>0</v>
      </c>
      <c r="D40" s="116">
        <v>1</v>
      </c>
      <c r="E40" s="116">
        <v>1</v>
      </c>
      <c r="F40" s="116">
        <v>1</v>
      </c>
      <c r="G40" s="116">
        <v>0</v>
      </c>
      <c r="H40" s="116">
        <v>0</v>
      </c>
      <c r="I40" s="116">
        <v>0</v>
      </c>
      <c r="J40" s="116">
        <v>1</v>
      </c>
      <c r="K40" s="116">
        <v>0</v>
      </c>
      <c r="L40" s="116">
        <v>0</v>
      </c>
      <c r="M40" s="116">
        <v>0</v>
      </c>
      <c r="N40" s="116">
        <v>0</v>
      </c>
      <c r="O40" s="116">
        <v>0</v>
      </c>
      <c r="P40" s="116">
        <v>0</v>
      </c>
      <c r="Q40" s="116">
        <v>0</v>
      </c>
      <c r="R40" s="116">
        <v>0</v>
      </c>
      <c r="S40" s="116">
        <v>0</v>
      </c>
      <c r="T40" s="116">
        <v>0</v>
      </c>
      <c r="U40" s="116">
        <v>0</v>
      </c>
      <c r="V40" s="116">
        <v>0</v>
      </c>
      <c r="W40" s="116">
        <v>0</v>
      </c>
      <c r="X40" s="116">
        <v>0</v>
      </c>
      <c r="Y40" s="116">
        <v>0</v>
      </c>
      <c r="Z40" s="116">
        <v>0</v>
      </c>
      <c r="AA40" s="116">
        <v>0</v>
      </c>
      <c r="AB40" s="116">
        <v>0</v>
      </c>
      <c r="AC40" s="116">
        <v>0</v>
      </c>
      <c r="AD40" s="116">
        <v>0</v>
      </c>
      <c r="AE40" s="116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116">
        <v>0</v>
      </c>
      <c r="AO40" s="116">
        <v>0</v>
      </c>
      <c r="AP40" s="116">
        <v>0</v>
      </c>
      <c r="AQ40" s="116">
        <v>0</v>
      </c>
      <c r="AR40" s="116">
        <v>0</v>
      </c>
      <c r="AS40" s="116">
        <v>0</v>
      </c>
      <c r="AT40" s="116">
        <v>0</v>
      </c>
      <c r="AU40" s="116">
        <v>0</v>
      </c>
      <c r="AV40" s="116">
        <v>0</v>
      </c>
      <c r="AW40" s="116">
        <v>0</v>
      </c>
      <c r="AX40" s="116">
        <v>0</v>
      </c>
      <c r="AY40" s="116">
        <v>0</v>
      </c>
      <c r="AZ40" s="116">
        <v>0</v>
      </c>
    </row>
    <row r="41" spans="1:52" x14ac:dyDescent="0.15">
      <c r="A41" s="196" t="s">
        <v>231</v>
      </c>
      <c r="B41" s="116">
        <v>1</v>
      </c>
      <c r="C41" s="116">
        <v>0</v>
      </c>
      <c r="D41" s="116">
        <v>0</v>
      </c>
      <c r="E41" s="116">
        <v>1</v>
      </c>
      <c r="F41" s="116">
        <v>0</v>
      </c>
      <c r="G41" s="116">
        <v>0</v>
      </c>
      <c r="H41" s="116">
        <v>0</v>
      </c>
      <c r="I41" s="116">
        <v>0</v>
      </c>
      <c r="J41" s="116">
        <v>1</v>
      </c>
      <c r="K41" s="116">
        <v>1</v>
      </c>
      <c r="L41" s="116">
        <v>1</v>
      </c>
      <c r="M41" s="116">
        <v>1</v>
      </c>
      <c r="N41" s="116">
        <v>0</v>
      </c>
      <c r="O41" s="116">
        <v>0</v>
      </c>
      <c r="P41" s="116">
        <v>0</v>
      </c>
      <c r="Q41" s="116">
        <v>1</v>
      </c>
      <c r="R41" s="116">
        <v>1</v>
      </c>
      <c r="S41" s="116">
        <v>1</v>
      </c>
      <c r="T41" s="116">
        <v>0</v>
      </c>
      <c r="U41" s="116">
        <v>0</v>
      </c>
      <c r="V41" s="116">
        <v>0</v>
      </c>
      <c r="W41" s="116">
        <v>1</v>
      </c>
      <c r="X41" s="116">
        <v>1</v>
      </c>
      <c r="Y41" s="116">
        <v>1</v>
      </c>
      <c r="Z41" s="116">
        <v>1</v>
      </c>
      <c r="AA41" s="116">
        <v>1</v>
      </c>
      <c r="AB41" s="116">
        <v>0</v>
      </c>
      <c r="AC41" s="116">
        <v>1</v>
      </c>
      <c r="AD41" s="116">
        <v>0</v>
      </c>
      <c r="AE41" s="116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116">
        <v>1</v>
      </c>
      <c r="AO41" s="116">
        <v>0</v>
      </c>
      <c r="AP41" s="116">
        <v>1</v>
      </c>
      <c r="AQ41" s="116">
        <v>0</v>
      </c>
      <c r="AR41" s="116">
        <v>0</v>
      </c>
      <c r="AS41" s="116">
        <v>0</v>
      </c>
      <c r="AT41" s="116">
        <v>0</v>
      </c>
      <c r="AU41" s="116">
        <v>0</v>
      </c>
      <c r="AV41" s="116">
        <v>0</v>
      </c>
      <c r="AW41" s="116">
        <v>0</v>
      </c>
      <c r="AX41" s="116">
        <v>0</v>
      </c>
      <c r="AY41" s="116">
        <v>0</v>
      </c>
      <c r="AZ41" s="116">
        <v>0</v>
      </c>
    </row>
    <row r="42" spans="1:52" x14ac:dyDescent="0.15">
      <c r="A42" s="196" t="s">
        <v>232</v>
      </c>
      <c r="B42" s="116">
        <v>1</v>
      </c>
      <c r="C42" s="116">
        <v>0</v>
      </c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1</v>
      </c>
      <c r="T42" s="116">
        <v>0</v>
      </c>
      <c r="U42" s="116">
        <v>0</v>
      </c>
      <c r="V42" s="116">
        <v>0</v>
      </c>
      <c r="W42" s="116">
        <v>1</v>
      </c>
      <c r="X42" s="116">
        <v>0</v>
      </c>
      <c r="Y42" s="116">
        <v>1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16">
        <v>0</v>
      </c>
    </row>
    <row r="43" spans="1:52" x14ac:dyDescent="0.15">
      <c r="A43" s="196" t="s">
        <v>233</v>
      </c>
      <c r="B43" s="116">
        <v>1</v>
      </c>
      <c r="C43" s="116">
        <v>0</v>
      </c>
      <c r="D43" s="116">
        <v>0</v>
      </c>
      <c r="E43" s="116">
        <v>1</v>
      </c>
      <c r="F43" s="116">
        <v>0</v>
      </c>
      <c r="G43" s="116">
        <v>0</v>
      </c>
      <c r="H43" s="116">
        <v>1</v>
      </c>
      <c r="I43" s="116">
        <v>0</v>
      </c>
      <c r="J43" s="116">
        <v>1</v>
      </c>
      <c r="K43" s="116">
        <v>1</v>
      </c>
      <c r="L43" s="116">
        <v>1</v>
      </c>
      <c r="M43" s="116">
        <v>1</v>
      </c>
      <c r="N43" s="116">
        <v>1</v>
      </c>
      <c r="O43" s="116">
        <v>1</v>
      </c>
      <c r="P43" s="116">
        <v>0</v>
      </c>
      <c r="Q43" s="116">
        <v>1</v>
      </c>
      <c r="R43" s="116">
        <v>0</v>
      </c>
      <c r="S43" s="116">
        <v>1</v>
      </c>
      <c r="T43" s="116">
        <v>1</v>
      </c>
      <c r="U43" s="116">
        <v>1</v>
      </c>
      <c r="V43" s="116">
        <v>0</v>
      </c>
      <c r="W43" s="116">
        <v>1</v>
      </c>
      <c r="X43" s="116">
        <v>1</v>
      </c>
      <c r="Y43" s="116">
        <v>1</v>
      </c>
      <c r="Z43" s="116">
        <v>1</v>
      </c>
      <c r="AA43" s="116">
        <v>1</v>
      </c>
      <c r="AB43" s="116">
        <v>1</v>
      </c>
      <c r="AC43" s="116">
        <v>1</v>
      </c>
      <c r="AD43" s="116">
        <v>1</v>
      </c>
      <c r="AE43" s="116">
        <v>0</v>
      </c>
      <c r="AF43" s="116">
        <v>0</v>
      </c>
      <c r="AG43" s="116">
        <v>0</v>
      </c>
      <c r="AH43" s="116">
        <v>0</v>
      </c>
      <c r="AI43" s="116">
        <v>1</v>
      </c>
      <c r="AJ43" s="116">
        <v>0</v>
      </c>
      <c r="AK43" s="116">
        <v>0</v>
      </c>
      <c r="AL43" s="116">
        <v>0</v>
      </c>
      <c r="AM43" s="116">
        <v>0</v>
      </c>
      <c r="AN43" s="116">
        <v>1</v>
      </c>
      <c r="AO43" s="116">
        <v>1</v>
      </c>
      <c r="AP43" s="116">
        <v>1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16">
        <v>0</v>
      </c>
    </row>
    <row r="44" spans="1:52" x14ac:dyDescent="0.15">
      <c r="A44" s="196" t="s">
        <v>234</v>
      </c>
      <c r="B44" s="116">
        <v>1</v>
      </c>
      <c r="C44" s="116">
        <v>0</v>
      </c>
      <c r="D44" s="116">
        <v>0</v>
      </c>
      <c r="E44" s="116">
        <v>0</v>
      </c>
      <c r="F44" s="116">
        <v>0</v>
      </c>
      <c r="G44" s="116">
        <v>0</v>
      </c>
      <c r="H44" s="116">
        <v>0</v>
      </c>
      <c r="I44" s="116">
        <v>0</v>
      </c>
      <c r="J44" s="116">
        <v>1</v>
      </c>
      <c r="K44" s="116">
        <v>1</v>
      </c>
      <c r="L44" s="116">
        <v>1</v>
      </c>
      <c r="M44" s="116">
        <v>1</v>
      </c>
      <c r="N44" s="116">
        <v>0</v>
      </c>
      <c r="O44" s="116">
        <v>1</v>
      </c>
      <c r="P44" s="116">
        <v>1</v>
      </c>
      <c r="Q44" s="116">
        <v>1</v>
      </c>
      <c r="R44" s="116">
        <v>1</v>
      </c>
      <c r="S44" s="116">
        <v>1</v>
      </c>
      <c r="T44" s="116">
        <v>0</v>
      </c>
      <c r="U44" s="116">
        <v>0</v>
      </c>
      <c r="V44" s="116">
        <v>0</v>
      </c>
      <c r="W44" s="116">
        <v>1</v>
      </c>
      <c r="X44" s="116">
        <v>1</v>
      </c>
      <c r="Y44" s="116">
        <v>1</v>
      </c>
      <c r="Z44" s="116">
        <v>1</v>
      </c>
      <c r="AA44" s="116">
        <v>1</v>
      </c>
      <c r="AB44" s="116">
        <v>1</v>
      </c>
      <c r="AC44" s="116">
        <v>1</v>
      </c>
      <c r="AD44" s="116">
        <v>0</v>
      </c>
      <c r="AE44" s="116">
        <v>0</v>
      </c>
      <c r="AF44" s="116">
        <v>0</v>
      </c>
      <c r="AG44" s="116">
        <v>0</v>
      </c>
      <c r="AH44" s="116">
        <v>0</v>
      </c>
      <c r="AI44" s="116">
        <v>0</v>
      </c>
      <c r="AJ44" s="116">
        <v>0</v>
      </c>
      <c r="AK44" s="116">
        <v>0</v>
      </c>
      <c r="AL44" s="116">
        <v>0</v>
      </c>
      <c r="AM44" s="116">
        <v>0</v>
      </c>
      <c r="AN44" s="116">
        <v>1</v>
      </c>
      <c r="AO44" s="116">
        <v>1</v>
      </c>
      <c r="AP44" s="116">
        <v>1</v>
      </c>
      <c r="AQ44" s="116">
        <v>0</v>
      </c>
      <c r="AR44" s="116">
        <v>0</v>
      </c>
      <c r="AS44" s="116">
        <v>0</v>
      </c>
      <c r="AT44" s="116">
        <v>0</v>
      </c>
      <c r="AU44" s="116">
        <v>0</v>
      </c>
      <c r="AV44" s="116">
        <v>0</v>
      </c>
      <c r="AW44" s="116">
        <v>0</v>
      </c>
      <c r="AX44" s="116">
        <v>0</v>
      </c>
      <c r="AY44" s="116">
        <v>0</v>
      </c>
      <c r="AZ44" s="116">
        <v>0</v>
      </c>
    </row>
    <row r="45" spans="1:52" x14ac:dyDescent="0.15">
      <c r="A45" s="196" t="s">
        <v>235</v>
      </c>
      <c r="B45" s="116">
        <v>1</v>
      </c>
      <c r="C45" s="116">
        <v>0</v>
      </c>
      <c r="D45" s="116">
        <v>0</v>
      </c>
      <c r="E45" s="116">
        <v>0</v>
      </c>
      <c r="F45" s="116">
        <v>0</v>
      </c>
      <c r="G45" s="116">
        <v>0</v>
      </c>
      <c r="H45" s="116">
        <v>0</v>
      </c>
      <c r="I45" s="116">
        <v>0</v>
      </c>
      <c r="J45" s="116">
        <v>1</v>
      </c>
      <c r="K45" s="116">
        <v>1</v>
      </c>
      <c r="L45" s="116">
        <v>1</v>
      </c>
      <c r="M45" s="116">
        <v>1</v>
      </c>
      <c r="N45" s="116">
        <v>0</v>
      </c>
      <c r="O45" s="116">
        <v>0</v>
      </c>
      <c r="P45" s="116">
        <v>1</v>
      </c>
      <c r="Q45" s="116">
        <v>1</v>
      </c>
      <c r="R45" s="116">
        <v>1</v>
      </c>
      <c r="S45" s="116">
        <v>1</v>
      </c>
      <c r="T45" s="116">
        <v>1</v>
      </c>
      <c r="U45" s="116">
        <v>0</v>
      </c>
      <c r="V45" s="116">
        <v>0</v>
      </c>
      <c r="W45" s="116">
        <v>1</v>
      </c>
      <c r="X45" s="116">
        <v>1</v>
      </c>
      <c r="Y45" s="116">
        <v>1</v>
      </c>
      <c r="Z45" s="116">
        <v>1</v>
      </c>
      <c r="AA45" s="116">
        <v>1</v>
      </c>
      <c r="AB45" s="116">
        <v>1</v>
      </c>
      <c r="AC45" s="116">
        <v>1</v>
      </c>
      <c r="AD45" s="116">
        <v>0</v>
      </c>
      <c r="AE45" s="116">
        <v>0</v>
      </c>
      <c r="AF45" s="116">
        <v>0</v>
      </c>
      <c r="AG45" s="116">
        <v>0</v>
      </c>
      <c r="AH45" s="116">
        <v>0</v>
      </c>
      <c r="AI45" s="116">
        <v>1</v>
      </c>
      <c r="AJ45" s="116">
        <v>0</v>
      </c>
      <c r="AK45" s="116">
        <v>0</v>
      </c>
      <c r="AL45" s="116">
        <v>0</v>
      </c>
      <c r="AM45" s="116">
        <v>0</v>
      </c>
      <c r="AN45" s="116">
        <v>1</v>
      </c>
      <c r="AO45" s="116">
        <v>1</v>
      </c>
      <c r="AP45" s="116">
        <v>1</v>
      </c>
      <c r="AQ45" s="116">
        <v>1</v>
      </c>
      <c r="AR45" s="116">
        <v>0</v>
      </c>
      <c r="AS45" s="116">
        <v>0</v>
      </c>
      <c r="AT45" s="116">
        <v>0</v>
      </c>
      <c r="AU45" s="116">
        <v>0</v>
      </c>
      <c r="AV45" s="116">
        <v>0</v>
      </c>
      <c r="AW45" s="116">
        <v>0</v>
      </c>
      <c r="AX45" s="116">
        <v>0</v>
      </c>
      <c r="AY45" s="116">
        <v>0</v>
      </c>
      <c r="AZ45" s="116">
        <v>0</v>
      </c>
    </row>
    <row r="46" spans="1:52" x14ac:dyDescent="0.15">
      <c r="A46" s="196" t="s">
        <v>236</v>
      </c>
      <c r="B46" s="116">
        <v>1</v>
      </c>
      <c r="C46" s="116">
        <v>0</v>
      </c>
      <c r="D46" s="116">
        <v>0</v>
      </c>
      <c r="E46" s="116">
        <v>0</v>
      </c>
      <c r="F46" s="116">
        <v>0</v>
      </c>
      <c r="G46" s="116">
        <v>1</v>
      </c>
      <c r="H46" s="116">
        <v>0</v>
      </c>
      <c r="I46" s="116">
        <v>0</v>
      </c>
      <c r="J46" s="116">
        <v>1</v>
      </c>
      <c r="K46" s="116">
        <v>1</v>
      </c>
      <c r="L46" s="116">
        <v>1</v>
      </c>
      <c r="M46" s="116">
        <v>1</v>
      </c>
      <c r="N46" s="116">
        <v>0</v>
      </c>
      <c r="O46" s="116">
        <v>0</v>
      </c>
      <c r="P46" s="116">
        <v>1</v>
      </c>
      <c r="Q46" s="116">
        <v>1</v>
      </c>
      <c r="R46" s="116">
        <v>1</v>
      </c>
      <c r="S46" s="116">
        <v>1</v>
      </c>
      <c r="T46" s="116">
        <v>0</v>
      </c>
      <c r="U46" s="116">
        <v>0</v>
      </c>
      <c r="V46" s="116">
        <v>0</v>
      </c>
      <c r="W46" s="116">
        <v>0</v>
      </c>
      <c r="X46" s="116">
        <v>0</v>
      </c>
      <c r="Y46" s="116">
        <v>1</v>
      </c>
      <c r="Z46" s="116">
        <v>1</v>
      </c>
      <c r="AA46" s="116">
        <v>1</v>
      </c>
      <c r="AB46" s="116">
        <v>0</v>
      </c>
      <c r="AC46" s="116">
        <v>1</v>
      </c>
      <c r="AD46" s="116">
        <v>0</v>
      </c>
      <c r="AE46" s="116">
        <v>0</v>
      </c>
      <c r="AF46" s="116">
        <v>0</v>
      </c>
      <c r="AG46" s="116">
        <v>0</v>
      </c>
      <c r="AH46" s="116">
        <v>0</v>
      </c>
      <c r="AI46" s="116">
        <v>0</v>
      </c>
      <c r="AJ46" s="116">
        <v>0</v>
      </c>
      <c r="AK46" s="116">
        <v>0</v>
      </c>
      <c r="AL46" s="116">
        <v>0</v>
      </c>
      <c r="AM46" s="116">
        <v>0</v>
      </c>
      <c r="AN46" s="116">
        <v>1</v>
      </c>
      <c r="AO46" s="116">
        <v>1</v>
      </c>
      <c r="AP46" s="116">
        <v>1</v>
      </c>
      <c r="AQ46" s="116">
        <v>0</v>
      </c>
      <c r="AR46" s="116">
        <v>0</v>
      </c>
      <c r="AS46" s="116">
        <v>0</v>
      </c>
      <c r="AT46" s="116">
        <v>0</v>
      </c>
      <c r="AU46" s="116">
        <v>0</v>
      </c>
      <c r="AV46" s="116">
        <v>0</v>
      </c>
      <c r="AW46" s="116">
        <v>0</v>
      </c>
      <c r="AX46" s="116">
        <v>0</v>
      </c>
      <c r="AY46" s="116">
        <v>0</v>
      </c>
      <c r="AZ46" s="116">
        <v>0</v>
      </c>
    </row>
    <row r="47" spans="1:52" x14ac:dyDescent="0.15">
      <c r="A47" s="196" t="s">
        <v>237</v>
      </c>
      <c r="B47" s="116">
        <v>1</v>
      </c>
      <c r="C47" s="116">
        <v>0</v>
      </c>
      <c r="D47" s="116">
        <v>0</v>
      </c>
      <c r="E47" s="116">
        <v>0</v>
      </c>
      <c r="F47" s="116">
        <v>0</v>
      </c>
      <c r="G47" s="116">
        <v>1</v>
      </c>
      <c r="H47" s="116">
        <v>0</v>
      </c>
      <c r="I47" s="116">
        <v>0</v>
      </c>
      <c r="J47" s="116">
        <v>1</v>
      </c>
      <c r="K47" s="116">
        <v>1</v>
      </c>
      <c r="L47" s="116">
        <v>1</v>
      </c>
      <c r="M47" s="116">
        <v>1</v>
      </c>
      <c r="N47" s="116">
        <v>1</v>
      </c>
      <c r="O47" s="116">
        <v>1</v>
      </c>
      <c r="P47" s="116">
        <v>1</v>
      </c>
      <c r="Q47" s="116">
        <v>1</v>
      </c>
      <c r="R47" s="116">
        <v>1</v>
      </c>
      <c r="S47" s="116">
        <v>1</v>
      </c>
      <c r="T47" s="116">
        <v>1</v>
      </c>
      <c r="U47" s="116">
        <v>0</v>
      </c>
      <c r="V47" s="116">
        <v>1</v>
      </c>
      <c r="W47" s="116">
        <v>1</v>
      </c>
      <c r="X47" s="116">
        <v>1</v>
      </c>
      <c r="Y47" s="116">
        <v>1</v>
      </c>
      <c r="Z47" s="116">
        <v>1</v>
      </c>
      <c r="AA47" s="116">
        <v>1</v>
      </c>
      <c r="AB47" s="116">
        <v>1</v>
      </c>
      <c r="AC47" s="116">
        <v>1</v>
      </c>
      <c r="AD47" s="116">
        <v>0</v>
      </c>
      <c r="AE47" s="116">
        <v>0</v>
      </c>
      <c r="AF47" s="116">
        <v>1</v>
      </c>
      <c r="AG47" s="116">
        <v>0</v>
      </c>
      <c r="AH47" s="116">
        <v>1</v>
      </c>
      <c r="AI47" s="116">
        <v>1</v>
      </c>
      <c r="AJ47" s="116">
        <v>0</v>
      </c>
      <c r="AK47" s="116">
        <v>0</v>
      </c>
      <c r="AL47" s="116">
        <v>0</v>
      </c>
      <c r="AM47" s="116">
        <v>0</v>
      </c>
      <c r="AN47" s="116">
        <v>1</v>
      </c>
      <c r="AO47" s="116">
        <v>1</v>
      </c>
      <c r="AP47" s="116">
        <v>1</v>
      </c>
      <c r="AQ47" s="116">
        <v>1</v>
      </c>
      <c r="AR47" s="116">
        <v>0</v>
      </c>
      <c r="AS47" s="116">
        <v>0</v>
      </c>
      <c r="AT47" s="116">
        <v>0</v>
      </c>
      <c r="AU47" s="116">
        <v>0</v>
      </c>
      <c r="AV47" s="116">
        <v>0</v>
      </c>
      <c r="AW47" s="116">
        <v>0</v>
      </c>
      <c r="AX47" s="116">
        <v>0</v>
      </c>
      <c r="AY47" s="116">
        <v>0</v>
      </c>
      <c r="AZ47" s="116">
        <v>0</v>
      </c>
    </row>
    <row r="48" spans="1:52" x14ac:dyDescent="0.15">
      <c r="A48" s="196" t="s">
        <v>238</v>
      </c>
      <c r="B48" s="116">
        <v>0</v>
      </c>
      <c r="C48" s="116">
        <v>1</v>
      </c>
      <c r="D48" s="116">
        <v>0</v>
      </c>
      <c r="E48" s="116">
        <v>1</v>
      </c>
      <c r="F48" s="116">
        <v>0</v>
      </c>
      <c r="G48" s="116">
        <v>0</v>
      </c>
      <c r="H48" s="116">
        <v>0</v>
      </c>
      <c r="I48" s="116">
        <v>1</v>
      </c>
      <c r="J48" s="116">
        <v>1</v>
      </c>
      <c r="K48" s="116">
        <v>1</v>
      </c>
      <c r="L48" s="116">
        <v>1</v>
      </c>
      <c r="M48" s="116">
        <v>1</v>
      </c>
      <c r="N48" s="116">
        <v>1</v>
      </c>
      <c r="O48" s="116">
        <v>1</v>
      </c>
      <c r="P48" s="116">
        <v>1</v>
      </c>
      <c r="Q48" s="116">
        <v>1</v>
      </c>
      <c r="R48" s="116">
        <v>0</v>
      </c>
      <c r="S48" s="116">
        <v>1</v>
      </c>
      <c r="T48" s="116">
        <v>1</v>
      </c>
      <c r="U48" s="116">
        <v>1</v>
      </c>
      <c r="V48" s="116">
        <v>1</v>
      </c>
      <c r="W48" s="116">
        <v>1</v>
      </c>
      <c r="X48" s="116">
        <v>1</v>
      </c>
      <c r="Y48" s="116">
        <v>1</v>
      </c>
      <c r="Z48" s="116">
        <v>1</v>
      </c>
      <c r="AA48" s="116">
        <v>1</v>
      </c>
      <c r="AB48" s="116">
        <v>1</v>
      </c>
      <c r="AC48" s="116">
        <v>1</v>
      </c>
      <c r="AD48" s="116">
        <v>1</v>
      </c>
      <c r="AE48" s="116">
        <v>1</v>
      </c>
      <c r="AF48" s="116">
        <v>1</v>
      </c>
      <c r="AG48" s="116">
        <v>1</v>
      </c>
      <c r="AH48" s="116">
        <v>1</v>
      </c>
      <c r="AI48" s="116">
        <v>1</v>
      </c>
      <c r="AJ48" s="116">
        <v>1</v>
      </c>
      <c r="AK48" s="116">
        <v>1</v>
      </c>
      <c r="AL48" s="116">
        <v>1</v>
      </c>
      <c r="AM48" s="116">
        <v>1</v>
      </c>
      <c r="AN48" s="116">
        <v>1</v>
      </c>
      <c r="AO48" s="116">
        <v>1</v>
      </c>
      <c r="AP48" s="116">
        <v>1</v>
      </c>
      <c r="AQ48" s="116">
        <v>1</v>
      </c>
      <c r="AR48" s="116">
        <v>0</v>
      </c>
      <c r="AS48" s="116">
        <v>0</v>
      </c>
      <c r="AT48" s="116">
        <v>0</v>
      </c>
      <c r="AU48" s="116">
        <v>0</v>
      </c>
      <c r="AV48" s="116">
        <v>1</v>
      </c>
      <c r="AW48" s="116">
        <v>0</v>
      </c>
      <c r="AX48" s="116">
        <v>0</v>
      </c>
      <c r="AY48" s="116">
        <v>0</v>
      </c>
      <c r="AZ48" s="116">
        <v>0</v>
      </c>
    </row>
    <row r="49" spans="1:52" x14ac:dyDescent="0.15">
      <c r="A49" s="196" t="s">
        <v>239</v>
      </c>
      <c r="B49" s="116">
        <v>1</v>
      </c>
      <c r="C49" s="116">
        <v>1</v>
      </c>
      <c r="D49" s="116">
        <v>0</v>
      </c>
      <c r="E49" s="116">
        <v>0</v>
      </c>
      <c r="F49" s="116">
        <v>0</v>
      </c>
      <c r="G49" s="116">
        <v>0</v>
      </c>
      <c r="H49" s="116">
        <v>0</v>
      </c>
      <c r="I49" s="116">
        <v>1</v>
      </c>
      <c r="J49" s="116">
        <v>0</v>
      </c>
      <c r="K49" s="116">
        <v>1</v>
      </c>
      <c r="L49" s="116">
        <v>0</v>
      </c>
      <c r="M49" s="116">
        <v>1</v>
      </c>
      <c r="N49" s="116">
        <v>0</v>
      </c>
      <c r="O49" s="116">
        <v>0</v>
      </c>
      <c r="P49" s="116">
        <v>0</v>
      </c>
      <c r="Q49" s="116">
        <v>0</v>
      </c>
      <c r="R49" s="116">
        <v>0</v>
      </c>
      <c r="S49" s="116">
        <v>1</v>
      </c>
      <c r="T49" s="116">
        <v>0</v>
      </c>
      <c r="U49" s="116">
        <v>1</v>
      </c>
      <c r="V49" s="116">
        <v>0</v>
      </c>
      <c r="W49" s="116">
        <v>1</v>
      </c>
      <c r="X49" s="116">
        <v>1</v>
      </c>
      <c r="Y49" s="116">
        <v>1</v>
      </c>
      <c r="Z49" s="116">
        <v>1</v>
      </c>
      <c r="AA49" s="116">
        <v>1</v>
      </c>
      <c r="AB49" s="116">
        <v>1</v>
      </c>
      <c r="AC49" s="116">
        <v>0</v>
      </c>
      <c r="AD49" s="116">
        <v>0</v>
      </c>
      <c r="AE49" s="116">
        <v>1</v>
      </c>
      <c r="AF49" s="116">
        <v>1</v>
      </c>
      <c r="AG49" s="116">
        <v>1</v>
      </c>
      <c r="AH49" s="116">
        <v>1</v>
      </c>
      <c r="AI49" s="116">
        <v>1</v>
      </c>
      <c r="AJ49" s="116">
        <v>1</v>
      </c>
      <c r="AK49" s="116">
        <v>1</v>
      </c>
      <c r="AL49" s="116">
        <v>0</v>
      </c>
      <c r="AM49" s="116">
        <v>1</v>
      </c>
      <c r="AN49" s="116">
        <v>1</v>
      </c>
      <c r="AO49" s="116">
        <v>1</v>
      </c>
      <c r="AP49" s="116">
        <v>1</v>
      </c>
      <c r="AQ49" s="116">
        <v>1</v>
      </c>
      <c r="AR49" s="116">
        <v>0</v>
      </c>
      <c r="AS49" s="116">
        <v>0</v>
      </c>
      <c r="AT49" s="116">
        <v>0</v>
      </c>
      <c r="AU49" s="116">
        <v>0</v>
      </c>
      <c r="AV49" s="116">
        <v>1</v>
      </c>
      <c r="AW49" s="116">
        <v>0</v>
      </c>
      <c r="AX49" s="116">
        <v>0</v>
      </c>
      <c r="AY49" s="116">
        <v>0</v>
      </c>
      <c r="AZ49" s="116">
        <v>0</v>
      </c>
    </row>
    <row r="50" spans="1:52" x14ac:dyDescent="0.15">
      <c r="A50" s="196" t="s">
        <v>240</v>
      </c>
      <c r="B50" s="116">
        <v>0</v>
      </c>
      <c r="C50" s="116">
        <v>0</v>
      </c>
      <c r="D50" s="116">
        <v>0</v>
      </c>
      <c r="E50" s="116">
        <v>0</v>
      </c>
      <c r="F50" s="116">
        <v>0</v>
      </c>
      <c r="G50" s="116">
        <v>0</v>
      </c>
      <c r="H50" s="116">
        <v>0</v>
      </c>
      <c r="I50" s="116">
        <v>0</v>
      </c>
      <c r="J50" s="116">
        <v>0</v>
      </c>
      <c r="K50" s="116">
        <v>0</v>
      </c>
      <c r="L50" s="116">
        <v>0</v>
      </c>
      <c r="M50" s="116">
        <v>0</v>
      </c>
      <c r="N50" s="116">
        <v>0</v>
      </c>
      <c r="O50" s="116">
        <v>0</v>
      </c>
      <c r="P50" s="116">
        <v>0</v>
      </c>
      <c r="Q50" s="116">
        <v>0</v>
      </c>
      <c r="R50" s="116">
        <v>0</v>
      </c>
      <c r="S50" s="116">
        <v>0</v>
      </c>
      <c r="T50" s="116">
        <v>0</v>
      </c>
      <c r="U50" s="116">
        <v>0</v>
      </c>
      <c r="V50" s="116">
        <v>0</v>
      </c>
      <c r="W50" s="116">
        <v>0</v>
      </c>
      <c r="X50" s="116">
        <v>0</v>
      </c>
      <c r="Y50" s="116">
        <v>0</v>
      </c>
      <c r="Z50" s="116">
        <v>0</v>
      </c>
      <c r="AA50" s="116">
        <v>0</v>
      </c>
      <c r="AB50" s="116">
        <v>0</v>
      </c>
      <c r="AC50" s="116">
        <v>0</v>
      </c>
      <c r="AD50" s="116">
        <v>0</v>
      </c>
      <c r="AE50" s="116">
        <v>0</v>
      </c>
      <c r="AF50" s="116">
        <v>0</v>
      </c>
      <c r="AG50" s="116">
        <v>0</v>
      </c>
      <c r="AH50" s="116">
        <v>0</v>
      </c>
      <c r="AI50" s="116">
        <v>0</v>
      </c>
      <c r="AJ50" s="116">
        <v>0</v>
      </c>
      <c r="AK50" s="116">
        <v>0</v>
      </c>
      <c r="AL50" s="116">
        <v>0</v>
      </c>
      <c r="AM50" s="116">
        <v>0</v>
      </c>
      <c r="AN50" s="116">
        <v>0</v>
      </c>
      <c r="AO50" s="116">
        <v>0</v>
      </c>
      <c r="AP50" s="116">
        <v>0</v>
      </c>
      <c r="AQ50" s="116">
        <v>1</v>
      </c>
      <c r="AR50" s="116">
        <v>0</v>
      </c>
      <c r="AS50" s="116">
        <v>0</v>
      </c>
      <c r="AT50" s="116">
        <v>0</v>
      </c>
      <c r="AU50" s="116">
        <v>0</v>
      </c>
      <c r="AV50" s="116">
        <v>1</v>
      </c>
      <c r="AW50" s="116">
        <v>1</v>
      </c>
      <c r="AX50" s="116">
        <v>0</v>
      </c>
      <c r="AY50" s="116">
        <v>0</v>
      </c>
      <c r="AZ50" s="116">
        <v>0</v>
      </c>
    </row>
    <row r="51" spans="1:52" x14ac:dyDescent="0.15">
      <c r="A51" s="196" t="s">
        <v>241</v>
      </c>
      <c r="B51" s="116">
        <v>0</v>
      </c>
      <c r="C51" s="116">
        <v>0</v>
      </c>
      <c r="D51" s="116">
        <v>0</v>
      </c>
      <c r="E51" s="116">
        <v>0</v>
      </c>
      <c r="F51" s="116">
        <v>0</v>
      </c>
      <c r="G51" s="116">
        <v>0</v>
      </c>
      <c r="H51" s="116">
        <v>0</v>
      </c>
      <c r="I51" s="116">
        <v>0</v>
      </c>
      <c r="J51" s="116">
        <v>0</v>
      </c>
      <c r="K51" s="116">
        <v>0</v>
      </c>
      <c r="L51" s="116">
        <v>0</v>
      </c>
      <c r="M51" s="116">
        <v>0</v>
      </c>
      <c r="N51" s="116">
        <v>0</v>
      </c>
      <c r="O51" s="116">
        <v>0</v>
      </c>
      <c r="P51" s="116">
        <v>0</v>
      </c>
      <c r="Q51" s="116">
        <v>0</v>
      </c>
      <c r="R51" s="116">
        <v>0</v>
      </c>
      <c r="S51" s="116">
        <v>0</v>
      </c>
      <c r="T51" s="116">
        <v>0</v>
      </c>
      <c r="U51" s="116">
        <v>0</v>
      </c>
      <c r="V51" s="116">
        <v>0</v>
      </c>
      <c r="W51" s="116">
        <v>0</v>
      </c>
      <c r="X51" s="116">
        <v>0</v>
      </c>
      <c r="Y51" s="116">
        <v>0</v>
      </c>
      <c r="Z51" s="116">
        <v>0</v>
      </c>
      <c r="AA51" s="116">
        <v>0</v>
      </c>
      <c r="AB51" s="116">
        <v>0</v>
      </c>
      <c r="AC51" s="116">
        <v>0</v>
      </c>
      <c r="AD51" s="116">
        <v>0</v>
      </c>
      <c r="AE51" s="116">
        <v>0</v>
      </c>
      <c r="AF51" s="116">
        <v>1</v>
      </c>
      <c r="AG51" s="116">
        <v>0</v>
      </c>
      <c r="AH51" s="116">
        <v>0</v>
      </c>
      <c r="AI51" s="116">
        <v>0</v>
      </c>
      <c r="AJ51" s="116">
        <v>0</v>
      </c>
      <c r="AK51" s="116">
        <v>0</v>
      </c>
      <c r="AL51" s="116">
        <v>0</v>
      </c>
      <c r="AM51" s="116">
        <v>0</v>
      </c>
      <c r="AN51" s="116">
        <v>1</v>
      </c>
      <c r="AO51" s="116">
        <v>1</v>
      </c>
      <c r="AP51" s="116">
        <v>1</v>
      </c>
      <c r="AQ51" s="116">
        <v>1</v>
      </c>
      <c r="AR51" s="116">
        <v>1</v>
      </c>
      <c r="AS51" s="116">
        <v>1</v>
      </c>
      <c r="AT51" s="116">
        <v>1</v>
      </c>
      <c r="AU51" s="116">
        <v>1</v>
      </c>
      <c r="AV51" s="116">
        <v>1</v>
      </c>
      <c r="AW51" s="116">
        <v>0</v>
      </c>
      <c r="AX51" s="116">
        <v>0</v>
      </c>
      <c r="AY51" s="116">
        <v>0</v>
      </c>
      <c r="AZ51" s="116">
        <v>0</v>
      </c>
    </row>
    <row r="52" spans="1:52" x14ac:dyDescent="0.15">
      <c r="A52" s="196" t="s">
        <v>242</v>
      </c>
      <c r="B52" s="116">
        <v>0</v>
      </c>
      <c r="C52" s="116">
        <v>0</v>
      </c>
      <c r="D52" s="116">
        <v>0</v>
      </c>
      <c r="E52" s="116">
        <v>0</v>
      </c>
      <c r="F52" s="116">
        <v>0</v>
      </c>
      <c r="G52" s="116">
        <v>0</v>
      </c>
      <c r="H52" s="116">
        <v>0</v>
      </c>
      <c r="I52" s="116">
        <v>0</v>
      </c>
      <c r="J52" s="116">
        <v>0</v>
      </c>
      <c r="K52" s="116">
        <v>0</v>
      </c>
      <c r="L52" s="116">
        <v>0</v>
      </c>
      <c r="M52" s="116">
        <v>0</v>
      </c>
      <c r="N52" s="116">
        <v>0</v>
      </c>
      <c r="O52" s="116">
        <v>0</v>
      </c>
      <c r="P52" s="116">
        <v>0</v>
      </c>
      <c r="Q52" s="116">
        <v>0</v>
      </c>
      <c r="R52" s="116">
        <v>0</v>
      </c>
      <c r="S52" s="116">
        <v>0</v>
      </c>
      <c r="T52" s="116">
        <v>0</v>
      </c>
      <c r="U52" s="116">
        <v>0</v>
      </c>
      <c r="V52" s="116">
        <v>0</v>
      </c>
      <c r="W52" s="116">
        <v>0</v>
      </c>
      <c r="X52" s="116">
        <v>0</v>
      </c>
      <c r="Y52" s="116">
        <v>0</v>
      </c>
      <c r="Z52" s="116">
        <v>0</v>
      </c>
      <c r="AA52" s="116">
        <v>0</v>
      </c>
      <c r="AB52" s="116">
        <v>0</v>
      </c>
      <c r="AC52" s="116">
        <v>0</v>
      </c>
      <c r="AD52" s="116">
        <v>0</v>
      </c>
      <c r="AE52" s="116">
        <v>0</v>
      </c>
      <c r="AF52" s="116">
        <v>0</v>
      </c>
      <c r="AG52" s="116">
        <v>0</v>
      </c>
      <c r="AH52" s="116">
        <v>0</v>
      </c>
      <c r="AI52" s="116">
        <v>0</v>
      </c>
      <c r="AJ52" s="116">
        <v>0</v>
      </c>
      <c r="AK52" s="116">
        <v>0</v>
      </c>
      <c r="AL52" s="116">
        <v>0</v>
      </c>
      <c r="AM52" s="116">
        <v>0</v>
      </c>
      <c r="AN52" s="116">
        <v>0</v>
      </c>
      <c r="AO52" s="116">
        <v>0</v>
      </c>
      <c r="AP52" s="116">
        <v>0</v>
      </c>
      <c r="AQ52" s="116">
        <v>0</v>
      </c>
      <c r="AR52" s="116">
        <v>0</v>
      </c>
      <c r="AS52" s="116">
        <v>0</v>
      </c>
      <c r="AT52" s="116">
        <v>0</v>
      </c>
      <c r="AU52" s="116">
        <v>0</v>
      </c>
      <c r="AV52" s="116">
        <v>0</v>
      </c>
      <c r="AW52" s="116">
        <v>0</v>
      </c>
      <c r="AX52" s="116">
        <v>0</v>
      </c>
      <c r="AY52" s="116">
        <v>0</v>
      </c>
      <c r="AZ52" s="116">
        <v>0</v>
      </c>
    </row>
    <row r="53" spans="1:52" x14ac:dyDescent="0.15">
      <c r="A53" s="196" t="s">
        <v>254</v>
      </c>
      <c r="B53" s="116">
        <v>0</v>
      </c>
      <c r="C53" s="116">
        <v>0</v>
      </c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1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M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6640625" bestFit="1" customWidth="1"/>
    <col min="3" max="4" width="3.83203125" bestFit="1" customWidth="1"/>
    <col min="5" max="11" width="3.83203125" customWidth="1"/>
    <col min="12" max="12" width="2.33203125" customWidth="1"/>
    <col min="13" max="13" width="3.83203125" customWidth="1"/>
  </cols>
  <sheetData>
    <row r="1" spans="1:13" ht="112" x14ac:dyDescent="0.15">
      <c r="A1" s="5" t="s">
        <v>83</v>
      </c>
      <c r="B1" s="3" t="s">
        <v>0</v>
      </c>
      <c r="C1" s="199" t="s">
        <v>243</v>
      </c>
      <c r="D1" s="199" t="s">
        <v>244</v>
      </c>
      <c r="E1" s="199" t="s">
        <v>245</v>
      </c>
      <c r="F1" s="199" t="s">
        <v>246</v>
      </c>
      <c r="G1" s="199" t="s">
        <v>247</v>
      </c>
      <c r="H1" s="199" t="s">
        <v>248</v>
      </c>
      <c r="I1" s="199" t="s">
        <v>249</v>
      </c>
      <c r="J1" s="199" t="s">
        <v>250</v>
      </c>
      <c r="K1" s="199" t="s">
        <v>251</v>
      </c>
      <c r="L1" s="199" t="s">
        <v>252</v>
      </c>
      <c r="M1" s="199" t="s">
        <v>253</v>
      </c>
    </row>
    <row r="2" spans="1:13" x14ac:dyDescent="0.15">
      <c r="A2">
        <v>1</v>
      </c>
      <c r="B2" s="19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19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19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198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0.8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15">
      <c r="A6">
        <v>5</v>
      </c>
      <c r="B6" s="198" t="s">
        <v>196</v>
      </c>
      <c r="C6">
        <v>0.8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6</v>
      </c>
      <c r="B7" s="198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15">
      <c r="A8">
        <v>7</v>
      </c>
      <c r="B8" s="198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198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198" t="s">
        <v>200</v>
      </c>
      <c r="C10">
        <v>0</v>
      </c>
      <c r="D10">
        <v>0.8</v>
      </c>
      <c r="E10">
        <v>0.8</v>
      </c>
      <c r="F10">
        <v>0.8</v>
      </c>
      <c r="G10">
        <v>0</v>
      </c>
      <c r="H10">
        <v>0.8</v>
      </c>
      <c r="I10">
        <v>0.8</v>
      </c>
      <c r="J10">
        <v>0.8</v>
      </c>
      <c r="K10">
        <v>0</v>
      </c>
      <c r="L10">
        <v>0</v>
      </c>
      <c r="M10">
        <v>0.8</v>
      </c>
    </row>
    <row r="11" spans="1:13" x14ac:dyDescent="0.15">
      <c r="A11">
        <v>10</v>
      </c>
      <c r="B11" s="19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198" t="s">
        <v>202</v>
      </c>
      <c r="C12">
        <v>0</v>
      </c>
      <c r="D12">
        <v>0.8</v>
      </c>
      <c r="E12">
        <v>0.8</v>
      </c>
      <c r="F12">
        <v>0.8</v>
      </c>
      <c r="G12">
        <v>0</v>
      </c>
      <c r="H12">
        <v>0.8</v>
      </c>
      <c r="I12">
        <v>0.8</v>
      </c>
      <c r="J12">
        <v>0.8</v>
      </c>
      <c r="K12">
        <v>0.8</v>
      </c>
      <c r="L12">
        <v>0</v>
      </c>
      <c r="M12">
        <v>0.8</v>
      </c>
    </row>
    <row r="13" spans="1:13" x14ac:dyDescent="0.15">
      <c r="A13">
        <v>12</v>
      </c>
      <c r="B13" s="198" t="s">
        <v>203</v>
      </c>
      <c r="C13">
        <v>0</v>
      </c>
      <c r="D13">
        <v>0.8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198" t="s">
        <v>204</v>
      </c>
      <c r="C14">
        <v>0</v>
      </c>
      <c r="D14">
        <v>0.8</v>
      </c>
      <c r="E14">
        <v>0.8</v>
      </c>
      <c r="F14">
        <v>0</v>
      </c>
      <c r="G14">
        <v>0</v>
      </c>
      <c r="H14">
        <v>0.8</v>
      </c>
      <c r="I14">
        <v>0.8</v>
      </c>
      <c r="J14">
        <v>0.8</v>
      </c>
      <c r="K14">
        <v>0</v>
      </c>
      <c r="L14">
        <v>0</v>
      </c>
      <c r="M14">
        <v>0.8</v>
      </c>
    </row>
    <row r="15" spans="1:13" x14ac:dyDescent="0.15">
      <c r="A15">
        <v>14</v>
      </c>
      <c r="B15" s="198" t="s">
        <v>205</v>
      </c>
      <c r="C15">
        <v>0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198" t="s">
        <v>206</v>
      </c>
      <c r="C16">
        <v>0</v>
      </c>
      <c r="D16">
        <v>0.8</v>
      </c>
      <c r="E16">
        <v>0.8</v>
      </c>
      <c r="F16">
        <v>0.8</v>
      </c>
      <c r="G16">
        <v>0</v>
      </c>
      <c r="H16">
        <v>0</v>
      </c>
      <c r="I16">
        <v>0.8</v>
      </c>
      <c r="J16">
        <v>0</v>
      </c>
      <c r="K16">
        <v>0</v>
      </c>
      <c r="L16">
        <v>0</v>
      </c>
      <c r="M16">
        <v>0.8</v>
      </c>
    </row>
    <row r="17" spans="1:13" x14ac:dyDescent="0.15">
      <c r="A17">
        <v>16</v>
      </c>
      <c r="B17" s="198" t="s">
        <v>207</v>
      </c>
      <c r="C17">
        <v>0</v>
      </c>
      <c r="D17">
        <v>0.8</v>
      </c>
      <c r="E17">
        <v>0.8</v>
      </c>
      <c r="F17">
        <v>0.8</v>
      </c>
      <c r="G17">
        <v>0</v>
      </c>
      <c r="H17">
        <v>0.8</v>
      </c>
      <c r="I17">
        <v>0.8</v>
      </c>
      <c r="J17">
        <v>0.8</v>
      </c>
      <c r="K17">
        <v>0</v>
      </c>
      <c r="L17">
        <v>0</v>
      </c>
      <c r="M17">
        <v>0.8</v>
      </c>
    </row>
    <row r="18" spans="1:13" x14ac:dyDescent="0.15">
      <c r="A18">
        <v>17</v>
      </c>
      <c r="B18" s="198" t="s">
        <v>208</v>
      </c>
      <c r="C18">
        <v>0</v>
      </c>
      <c r="D18">
        <v>0.8</v>
      </c>
      <c r="E18">
        <v>0</v>
      </c>
      <c r="F18">
        <v>0</v>
      </c>
      <c r="G18">
        <v>0</v>
      </c>
      <c r="H18">
        <v>0.8</v>
      </c>
      <c r="I18">
        <v>0.8</v>
      </c>
      <c r="J18">
        <v>0.8</v>
      </c>
      <c r="K18">
        <v>0</v>
      </c>
      <c r="L18">
        <v>0</v>
      </c>
      <c r="M18">
        <v>0</v>
      </c>
    </row>
    <row r="19" spans="1:13" x14ac:dyDescent="0.15">
      <c r="A19">
        <v>18</v>
      </c>
      <c r="B19" s="198" t="s">
        <v>209</v>
      </c>
      <c r="C19">
        <v>0</v>
      </c>
      <c r="D19">
        <v>0.8</v>
      </c>
      <c r="E19">
        <v>0.8</v>
      </c>
      <c r="F19">
        <v>0</v>
      </c>
      <c r="G19">
        <v>0</v>
      </c>
      <c r="H19">
        <v>0.8</v>
      </c>
      <c r="I19">
        <v>0.8</v>
      </c>
      <c r="J19">
        <v>0.8</v>
      </c>
      <c r="K19">
        <v>0</v>
      </c>
      <c r="L19">
        <v>0</v>
      </c>
      <c r="M19">
        <v>0</v>
      </c>
    </row>
    <row r="20" spans="1:13" x14ac:dyDescent="0.15">
      <c r="A20">
        <v>19</v>
      </c>
      <c r="B20" s="198" t="s">
        <v>210</v>
      </c>
      <c r="C20">
        <v>0</v>
      </c>
      <c r="D20">
        <v>0.8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198" t="s">
        <v>211</v>
      </c>
      <c r="C21">
        <v>0</v>
      </c>
      <c r="D21">
        <v>0.8</v>
      </c>
      <c r="E21">
        <v>0.8</v>
      </c>
      <c r="F21">
        <v>0</v>
      </c>
      <c r="G21">
        <v>0</v>
      </c>
      <c r="H21">
        <v>0.8</v>
      </c>
      <c r="I21">
        <v>0.8</v>
      </c>
      <c r="J21">
        <v>0.8</v>
      </c>
      <c r="K21">
        <v>0</v>
      </c>
      <c r="L21">
        <v>0</v>
      </c>
      <c r="M21">
        <v>0.8</v>
      </c>
    </row>
    <row r="22" spans="1:13" x14ac:dyDescent="0.15">
      <c r="A22">
        <v>21</v>
      </c>
      <c r="B22" s="198" t="s">
        <v>212</v>
      </c>
      <c r="C22">
        <v>0</v>
      </c>
      <c r="D22">
        <v>0</v>
      </c>
      <c r="E22">
        <v>0.8</v>
      </c>
      <c r="F22">
        <v>0</v>
      </c>
      <c r="G22">
        <v>0.8</v>
      </c>
      <c r="H22">
        <v>0.8</v>
      </c>
      <c r="I22">
        <v>0.8</v>
      </c>
      <c r="J22">
        <v>0.8</v>
      </c>
      <c r="K22">
        <v>0</v>
      </c>
      <c r="L22">
        <v>0</v>
      </c>
      <c r="M22">
        <v>0.8</v>
      </c>
    </row>
    <row r="23" spans="1:13" x14ac:dyDescent="0.15">
      <c r="A23">
        <v>22</v>
      </c>
      <c r="B23" s="198" t="s">
        <v>213</v>
      </c>
      <c r="C23">
        <v>0</v>
      </c>
      <c r="D23">
        <v>0.8</v>
      </c>
      <c r="E23">
        <v>0.8</v>
      </c>
      <c r="F23">
        <v>0.8</v>
      </c>
      <c r="G23">
        <v>0</v>
      </c>
      <c r="H23">
        <v>0.8</v>
      </c>
      <c r="I23">
        <v>0.8</v>
      </c>
      <c r="J23">
        <v>0.8</v>
      </c>
      <c r="K23">
        <v>0</v>
      </c>
      <c r="L23">
        <v>0</v>
      </c>
      <c r="M23">
        <v>0.8</v>
      </c>
    </row>
    <row r="24" spans="1:13" x14ac:dyDescent="0.15">
      <c r="A24">
        <v>23</v>
      </c>
      <c r="B24" s="19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15">
      <c r="A25">
        <v>24</v>
      </c>
      <c r="B25" s="198" t="s">
        <v>215</v>
      </c>
      <c r="C25">
        <v>0</v>
      </c>
      <c r="D25">
        <v>0.8</v>
      </c>
      <c r="E25">
        <v>0.8</v>
      </c>
      <c r="F25">
        <v>0.8</v>
      </c>
      <c r="G25">
        <v>0</v>
      </c>
      <c r="H25">
        <v>0.8</v>
      </c>
      <c r="I25">
        <v>0.8</v>
      </c>
      <c r="J25">
        <v>0.8</v>
      </c>
      <c r="K25">
        <v>0</v>
      </c>
      <c r="L25">
        <v>0</v>
      </c>
      <c r="M25">
        <v>0.8</v>
      </c>
    </row>
    <row r="26" spans="1:13" x14ac:dyDescent="0.15">
      <c r="A26">
        <v>25</v>
      </c>
      <c r="B26" s="19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198" t="s">
        <v>217</v>
      </c>
      <c r="C27">
        <v>0</v>
      </c>
      <c r="D27">
        <v>0.8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19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19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0.8</v>
      </c>
      <c r="J29">
        <v>0.8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19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0.8</v>
      </c>
      <c r="I30">
        <v>0.8</v>
      </c>
      <c r="J30">
        <v>0.8</v>
      </c>
      <c r="K30">
        <v>0</v>
      </c>
      <c r="L30">
        <v>0</v>
      </c>
      <c r="M30">
        <v>0.8</v>
      </c>
    </row>
    <row r="31" spans="1:13" x14ac:dyDescent="0.15">
      <c r="A31">
        <v>30</v>
      </c>
      <c r="B31" s="198" t="s">
        <v>221</v>
      </c>
      <c r="C31">
        <v>0</v>
      </c>
      <c r="D31">
        <v>0.8</v>
      </c>
      <c r="E31">
        <v>0.8</v>
      </c>
      <c r="F31">
        <v>0</v>
      </c>
      <c r="G31">
        <v>0.8</v>
      </c>
      <c r="H31">
        <v>0.8</v>
      </c>
      <c r="I31">
        <v>0</v>
      </c>
      <c r="J31">
        <v>0.8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198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19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198" t="s">
        <v>224</v>
      </c>
      <c r="C34">
        <v>0</v>
      </c>
      <c r="D34">
        <v>0.8</v>
      </c>
      <c r="E34">
        <v>0</v>
      </c>
      <c r="F34">
        <v>0</v>
      </c>
      <c r="G34">
        <v>0.8</v>
      </c>
      <c r="H34">
        <v>0.8</v>
      </c>
      <c r="I34">
        <v>0.8</v>
      </c>
      <c r="J34">
        <v>0.8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19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0.8</v>
      </c>
      <c r="J35">
        <v>0</v>
      </c>
      <c r="K35">
        <v>0</v>
      </c>
      <c r="L35">
        <v>0</v>
      </c>
      <c r="M35">
        <v>0.8</v>
      </c>
    </row>
    <row r="36" spans="1:13" x14ac:dyDescent="0.15">
      <c r="A36">
        <v>35</v>
      </c>
      <c r="B36" s="198" t="s">
        <v>226</v>
      </c>
      <c r="C36">
        <v>0</v>
      </c>
      <c r="D36">
        <v>0.8</v>
      </c>
      <c r="E36">
        <v>0.8</v>
      </c>
      <c r="F36">
        <v>0</v>
      </c>
      <c r="G36">
        <v>0</v>
      </c>
      <c r="H36">
        <v>0.8</v>
      </c>
      <c r="I36">
        <v>0.8</v>
      </c>
      <c r="J36">
        <v>0.8</v>
      </c>
      <c r="K36">
        <v>0</v>
      </c>
      <c r="L36">
        <v>0</v>
      </c>
      <c r="M36">
        <v>0.8</v>
      </c>
    </row>
    <row r="37" spans="1:13" x14ac:dyDescent="0.15">
      <c r="A37">
        <v>36</v>
      </c>
      <c r="B37" s="19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15">
      <c r="A38">
        <v>37</v>
      </c>
      <c r="B38" s="198" t="s">
        <v>228</v>
      </c>
      <c r="C38">
        <v>0</v>
      </c>
      <c r="D38">
        <v>0.8</v>
      </c>
      <c r="E38">
        <v>0.8</v>
      </c>
      <c r="F38">
        <v>0</v>
      </c>
      <c r="G38">
        <v>0</v>
      </c>
      <c r="H38">
        <v>0</v>
      </c>
      <c r="I38">
        <v>0.8</v>
      </c>
      <c r="J38">
        <v>0.8</v>
      </c>
      <c r="K38">
        <v>0</v>
      </c>
      <c r="L38">
        <v>0</v>
      </c>
      <c r="M38">
        <v>0</v>
      </c>
    </row>
    <row r="39" spans="1:13" x14ac:dyDescent="0.15">
      <c r="A39">
        <v>38</v>
      </c>
      <c r="B39" s="19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15">
      <c r="A40">
        <v>39</v>
      </c>
      <c r="B40" s="198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0.8</v>
      </c>
      <c r="I40">
        <v>0</v>
      </c>
      <c r="J40">
        <v>0.8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198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15">
      <c r="A42">
        <v>41</v>
      </c>
      <c r="B42" s="19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0.8</v>
      </c>
      <c r="K42">
        <v>0</v>
      </c>
      <c r="L42">
        <v>0</v>
      </c>
      <c r="M42">
        <v>0</v>
      </c>
    </row>
    <row r="43" spans="1:13" x14ac:dyDescent="0.15">
      <c r="A43">
        <v>42</v>
      </c>
      <c r="B43" s="198" t="s">
        <v>233</v>
      </c>
      <c r="C43">
        <v>0</v>
      </c>
      <c r="D43">
        <v>0.8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15">
      <c r="A44">
        <v>43</v>
      </c>
      <c r="B44" s="198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15">
      <c r="A45">
        <v>44</v>
      </c>
      <c r="B45" s="19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15">
      <c r="A46">
        <v>45</v>
      </c>
      <c r="B46" s="19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0.8</v>
      </c>
      <c r="L46">
        <v>0</v>
      </c>
      <c r="M46">
        <v>0</v>
      </c>
    </row>
    <row r="47" spans="1:13" x14ac:dyDescent="0.15">
      <c r="A47">
        <v>46</v>
      </c>
      <c r="B47" s="19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15">
      <c r="A48">
        <v>47</v>
      </c>
      <c r="B48" s="19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15">
      <c r="A49">
        <v>48</v>
      </c>
      <c r="B49" s="19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15">
      <c r="A50">
        <v>49</v>
      </c>
      <c r="B50" s="198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15">
      <c r="A51">
        <v>50</v>
      </c>
      <c r="B51" s="19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15">
      <c r="A52">
        <v>51</v>
      </c>
      <c r="B52" s="19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M5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6640625" bestFit="1" customWidth="1"/>
    <col min="3" max="4" width="3.83203125" bestFit="1" customWidth="1"/>
    <col min="5" max="11" width="3.83203125" customWidth="1"/>
    <col min="12" max="12" width="2.33203125" customWidth="1"/>
    <col min="13" max="13" width="3.83203125" customWidth="1"/>
  </cols>
  <sheetData>
    <row r="1" spans="1:13" ht="112" x14ac:dyDescent="0.15">
      <c r="A1" s="5" t="s">
        <v>82</v>
      </c>
      <c r="B1" s="3" t="s">
        <v>0</v>
      </c>
      <c r="C1" s="201" t="s">
        <v>243</v>
      </c>
      <c r="D1" s="201" t="s">
        <v>244</v>
      </c>
      <c r="E1" s="201" t="s">
        <v>245</v>
      </c>
      <c r="F1" s="201" t="s">
        <v>246</v>
      </c>
      <c r="G1" s="201" t="s">
        <v>247</v>
      </c>
      <c r="H1" s="201" t="s">
        <v>248</v>
      </c>
      <c r="I1" s="201" t="s">
        <v>249</v>
      </c>
      <c r="J1" s="201" t="s">
        <v>250</v>
      </c>
      <c r="K1" s="201" t="s">
        <v>251</v>
      </c>
      <c r="L1" s="201" t="s">
        <v>252</v>
      </c>
      <c r="M1" s="201" t="s">
        <v>253</v>
      </c>
    </row>
    <row r="2" spans="1:13" x14ac:dyDescent="0.15">
      <c r="A2">
        <v>1</v>
      </c>
      <c r="B2" s="200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15">
      <c r="A3">
        <v>2</v>
      </c>
      <c r="B3" s="200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15">
      <c r="A4">
        <v>3</v>
      </c>
      <c r="B4" s="20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</v>
      </c>
      <c r="B5" s="200" t="s">
        <v>195</v>
      </c>
      <c r="C5">
        <v>0.8</v>
      </c>
      <c r="D5">
        <v>0</v>
      </c>
      <c r="E5">
        <v>0</v>
      </c>
      <c r="F5">
        <v>0</v>
      </c>
      <c r="G5">
        <v>0</v>
      </c>
      <c r="H5">
        <v>0.8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15">
      <c r="A6">
        <v>5</v>
      </c>
      <c r="B6" s="200" t="s">
        <v>196</v>
      </c>
      <c r="C6">
        <v>0.8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6</v>
      </c>
      <c r="B7" s="200" t="s">
        <v>197</v>
      </c>
      <c r="C7">
        <v>0.8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15">
      <c r="A8">
        <v>7</v>
      </c>
      <c r="B8" s="200" t="s">
        <v>198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15">
      <c r="A9">
        <v>8</v>
      </c>
      <c r="B9" s="200" t="s">
        <v>199</v>
      </c>
      <c r="C9">
        <v>0.8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15">
      <c r="A10">
        <v>9</v>
      </c>
      <c r="B10" s="200" t="s">
        <v>200</v>
      </c>
      <c r="C10">
        <v>0</v>
      </c>
      <c r="D10">
        <v>0.8</v>
      </c>
      <c r="E10">
        <v>0.8</v>
      </c>
      <c r="F10">
        <v>0.8</v>
      </c>
      <c r="G10">
        <v>0</v>
      </c>
      <c r="H10">
        <v>0.8</v>
      </c>
      <c r="I10">
        <v>0.8</v>
      </c>
      <c r="J10">
        <v>0.8</v>
      </c>
      <c r="K10">
        <v>0</v>
      </c>
      <c r="L10">
        <v>0</v>
      </c>
      <c r="M10">
        <v>0.8</v>
      </c>
    </row>
    <row r="11" spans="1:13" x14ac:dyDescent="0.15">
      <c r="A11">
        <v>10</v>
      </c>
      <c r="B11" s="200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15">
      <c r="A12">
        <v>11</v>
      </c>
      <c r="B12" s="200" t="s">
        <v>202</v>
      </c>
      <c r="C12">
        <v>0</v>
      </c>
      <c r="D12">
        <v>0.8</v>
      </c>
      <c r="E12">
        <v>0.8</v>
      </c>
      <c r="F12">
        <v>0.8</v>
      </c>
      <c r="G12">
        <v>0</v>
      </c>
      <c r="H12">
        <v>0.8</v>
      </c>
      <c r="I12">
        <v>0.8</v>
      </c>
      <c r="J12">
        <v>0.8</v>
      </c>
      <c r="K12">
        <v>0.8</v>
      </c>
      <c r="L12">
        <v>0</v>
      </c>
      <c r="M12">
        <v>0.8</v>
      </c>
    </row>
    <row r="13" spans="1:13" x14ac:dyDescent="0.15">
      <c r="A13">
        <v>12</v>
      </c>
      <c r="B13" s="200" t="s">
        <v>203</v>
      </c>
      <c r="C13">
        <v>0</v>
      </c>
      <c r="D13">
        <v>0.8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15">
      <c r="A14">
        <v>13</v>
      </c>
      <c r="B14" s="200" t="s">
        <v>204</v>
      </c>
      <c r="C14">
        <v>0</v>
      </c>
      <c r="D14">
        <v>0.8</v>
      </c>
      <c r="E14">
        <v>0.8</v>
      </c>
      <c r="F14">
        <v>0</v>
      </c>
      <c r="G14">
        <v>0</v>
      </c>
      <c r="H14">
        <v>0.8</v>
      </c>
      <c r="I14">
        <v>0.8</v>
      </c>
      <c r="J14">
        <v>0.8</v>
      </c>
      <c r="K14">
        <v>0</v>
      </c>
      <c r="L14">
        <v>0</v>
      </c>
      <c r="M14">
        <v>0.8</v>
      </c>
    </row>
    <row r="15" spans="1:13" x14ac:dyDescent="0.15">
      <c r="A15">
        <v>14</v>
      </c>
      <c r="B15" s="200" t="s">
        <v>205</v>
      </c>
      <c r="C15">
        <v>0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15">
      <c r="A16">
        <v>15</v>
      </c>
      <c r="B16" s="200" t="s">
        <v>206</v>
      </c>
      <c r="C16">
        <v>0</v>
      </c>
      <c r="D16">
        <v>0.8</v>
      </c>
      <c r="E16">
        <v>0.8</v>
      </c>
      <c r="F16">
        <v>0.8</v>
      </c>
      <c r="G16">
        <v>0</v>
      </c>
      <c r="H16">
        <v>0</v>
      </c>
      <c r="I16">
        <v>0.8</v>
      </c>
      <c r="J16">
        <v>0</v>
      </c>
      <c r="K16">
        <v>0</v>
      </c>
      <c r="L16">
        <v>0</v>
      </c>
      <c r="M16">
        <v>0.8</v>
      </c>
    </row>
    <row r="17" spans="1:13" x14ac:dyDescent="0.15">
      <c r="A17">
        <v>16</v>
      </c>
      <c r="B17" s="200" t="s">
        <v>207</v>
      </c>
      <c r="C17">
        <v>0</v>
      </c>
      <c r="D17">
        <v>0.8</v>
      </c>
      <c r="E17">
        <v>0.8</v>
      </c>
      <c r="F17">
        <v>0.8</v>
      </c>
      <c r="G17">
        <v>0</v>
      </c>
      <c r="H17">
        <v>0.8</v>
      </c>
      <c r="I17">
        <v>0.8</v>
      </c>
      <c r="J17">
        <v>0.8</v>
      </c>
      <c r="K17">
        <v>0</v>
      </c>
      <c r="L17">
        <v>0</v>
      </c>
      <c r="M17">
        <v>0.8</v>
      </c>
    </row>
    <row r="18" spans="1:13" x14ac:dyDescent="0.15">
      <c r="A18">
        <v>17</v>
      </c>
      <c r="B18" s="200" t="s">
        <v>208</v>
      </c>
      <c r="C18">
        <v>0</v>
      </c>
      <c r="D18">
        <v>0.8</v>
      </c>
      <c r="E18">
        <v>0</v>
      </c>
      <c r="F18">
        <v>0</v>
      </c>
      <c r="G18">
        <v>0</v>
      </c>
      <c r="H18">
        <v>0.8</v>
      </c>
      <c r="I18">
        <v>0.8</v>
      </c>
      <c r="J18">
        <v>0.8</v>
      </c>
      <c r="K18">
        <v>0</v>
      </c>
      <c r="L18">
        <v>0</v>
      </c>
      <c r="M18">
        <v>0</v>
      </c>
    </row>
    <row r="19" spans="1:13" x14ac:dyDescent="0.15">
      <c r="A19">
        <v>18</v>
      </c>
      <c r="B19" s="200" t="s">
        <v>209</v>
      </c>
      <c r="C19">
        <v>0</v>
      </c>
      <c r="D19">
        <v>0.8</v>
      </c>
      <c r="E19">
        <v>0.8</v>
      </c>
      <c r="F19">
        <v>0</v>
      </c>
      <c r="G19">
        <v>0</v>
      </c>
      <c r="H19">
        <v>0.8</v>
      </c>
      <c r="I19">
        <v>0.8</v>
      </c>
      <c r="J19">
        <v>0.8</v>
      </c>
      <c r="K19">
        <v>0</v>
      </c>
      <c r="L19">
        <v>0</v>
      </c>
      <c r="M19">
        <v>0</v>
      </c>
    </row>
    <row r="20" spans="1:13" x14ac:dyDescent="0.15">
      <c r="A20">
        <v>19</v>
      </c>
      <c r="B20" s="200" t="s">
        <v>210</v>
      </c>
      <c r="C20">
        <v>0</v>
      </c>
      <c r="D20">
        <v>0.8</v>
      </c>
      <c r="E20">
        <v>0.8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15">
      <c r="A21">
        <v>20</v>
      </c>
      <c r="B21" s="200" t="s">
        <v>211</v>
      </c>
      <c r="C21">
        <v>0</v>
      </c>
      <c r="D21">
        <v>0.8</v>
      </c>
      <c r="E21">
        <v>0.8</v>
      </c>
      <c r="F21">
        <v>0</v>
      </c>
      <c r="G21">
        <v>0</v>
      </c>
      <c r="H21">
        <v>0.8</v>
      </c>
      <c r="I21">
        <v>0.8</v>
      </c>
      <c r="J21">
        <v>0.8</v>
      </c>
      <c r="K21">
        <v>0</v>
      </c>
      <c r="L21">
        <v>0</v>
      </c>
      <c r="M21">
        <v>0.8</v>
      </c>
    </row>
    <row r="22" spans="1:13" x14ac:dyDescent="0.15">
      <c r="A22">
        <v>21</v>
      </c>
      <c r="B22" s="200" t="s">
        <v>212</v>
      </c>
      <c r="C22">
        <v>0</v>
      </c>
      <c r="D22">
        <v>0</v>
      </c>
      <c r="E22">
        <v>0.8</v>
      </c>
      <c r="F22">
        <v>0</v>
      </c>
      <c r="G22">
        <v>0.8</v>
      </c>
      <c r="H22">
        <v>0.8</v>
      </c>
      <c r="I22">
        <v>0.8</v>
      </c>
      <c r="J22">
        <v>0.8</v>
      </c>
      <c r="K22">
        <v>0</v>
      </c>
      <c r="L22">
        <v>0</v>
      </c>
      <c r="M22">
        <v>0.8</v>
      </c>
    </row>
    <row r="23" spans="1:13" x14ac:dyDescent="0.15">
      <c r="A23">
        <v>22</v>
      </c>
      <c r="B23" s="200" t="s">
        <v>213</v>
      </c>
      <c r="C23">
        <v>0</v>
      </c>
      <c r="D23">
        <v>0.8</v>
      </c>
      <c r="E23">
        <v>0.8</v>
      </c>
      <c r="F23">
        <v>0.8</v>
      </c>
      <c r="G23">
        <v>0</v>
      </c>
      <c r="H23">
        <v>0.8</v>
      </c>
      <c r="I23">
        <v>0.8</v>
      </c>
      <c r="J23">
        <v>0.8</v>
      </c>
      <c r="K23">
        <v>0</v>
      </c>
      <c r="L23">
        <v>0</v>
      </c>
      <c r="M23">
        <v>0.8</v>
      </c>
    </row>
    <row r="24" spans="1:13" x14ac:dyDescent="0.15">
      <c r="A24">
        <v>23</v>
      </c>
      <c r="B24" s="200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15">
      <c r="A25">
        <v>24</v>
      </c>
      <c r="B25" s="200" t="s">
        <v>215</v>
      </c>
      <c r="C25">
        <v>0</v>
      </c>
      <c r="D25">
        <v>0.8</v>
      </c>
      <c r="E25">
        <v>0.8</v>
      </c>
      <c r="F25">
        <v>0.8</v>
      </c>
      <c r="G25">
        <v>0</v>
      </c>
      <c r="H25">
        <v>0.8</v>
      </c>
      <c r="I25">
        <v>0.8</v>
      </c>
      <c r="J25">
        <v>0.8</v>
      </c>
      <c r="K25">
        <v>0</v>
      </c>
      <c r="L25">
        <v>0</v>
      </c>
      <c r="M25">
        <v>0.8</v>
      </c>
    </row>
    <row r="26" spans="1:13" x14ac:dyDescent="0.15">
      <c r="A26">
        <v>25</v>
      </c>
      <c r="B26" s="20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15">
      <c r="A27">
        <v>26</v>
      </c>
      <c r="B27" s="200" t="s">
        <v>217</v>
      </c>
      <c r="C27">
        <v>0</v>
      </c>
      <c r="D27">
        <v>0.8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15">
      <c r="A28">
        <v>27</v>
      </c>
      <c r="B28" s="200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15">
      <c r="A29">
        <v>28</v>
      </c>
      <c r="B29" s="20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0.8</v>
      </c>
      <c r="I29">
        <v>0.8</v>
      </c>
      <c r="J29">
        <v>0.8</v>
      </c>
      <c r="K29">
        <v>0</v>
      </c>
      <c r="L29">
        <v>0</v>
      </c>
      <c r="M29">
        <v>0</v>
      </c>
    </row>
    <row r="30" spans="1:13" x14ac:dyDescent="0.15">
      <c r="A30">
        <v>29</v>
      </c>
      <c r="B30" s="20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0.8</v>
      </c>
      <c r="I30">
        <v>0.8</v>
      </c>
      <c r="J30">
        <v>0.8</v>
      </c>
      <c r="K30">
        <v>0</v>
      </c>
      <c r="L30">
        <v>0</v>
      </c>
      <c r="M30">
        <v>0.8</v>
      </c>
    </row>
    <row r="31" spans="1:13" x14ac:dyDescent="0.15">
      <c r="A31">
        <v>30</v>
      </c>
      <c r="B31" s="200" t="s">
        <v>221</v>
      </c>
      <c r="C31">
        <v>0</v>
      </c>
      <c r="D31">
        <v>0.8</v>
      </c>
      <c r="E31">
        <v>0.8</v>
      </c>
      <c r="F31">
        <v>0</v>
      </c>
      <c r="G31">
        <v>0.8</v>
      </c>
      <c r="H31">
        <v>0.8</v>
      </c>
      <c r="I31">
        <v>0</v>
      </c>
      <c r="J31">
        <v>0.8</v>
      </c>
      <c r="K31">
        <v>0</v>
      </c>
      <c r="L31">
        <v>0</v>
      </c>
      <c r="M31">
        <v>0</v>
      </c>
    </row>
    <row r="32" spans="1:13" x14ac:dyDescent="0.15">
      <c r="A32">
        <v>31</v>
      </c>
      <c r="B32" s="200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15">
      <c r="A33">
        <v>32</v>
      </c>
      <c r="B33" s="20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15">
      <c r="A34">
        <v>33</v>
      </c>
      <c r="B34" s="200" t="s">
        <v>224</v>
      </c>
      <c r="C34">
        <v>0</v>
      </c>
      <c r="D34">
        <v>0.8</v>
      </c>
      <c r="E34">
        <v>0</v>
      </c>
      <c r="F34">
        <v>0</v>
      </c>
      <c r="G34">
        <v>0.8</v>
      </c>
      <c r="H34">
        <v>0.8</v>
      </c>
      <c r="I34">
        <v>0.8</v>
      </c>
      <c r="J34">
        <v>0.8</v>
      </c>
      <c r="K34">
        <v>0</v>
      </c>
      <c r="L34">
        <v>0</v>
      </c>
      <c r="M34">
        <v>0</v>
      </c>
    </row>
    <row r="35" spans="1:13" x14ac:dyDescent="0.15">
      <c r="A35">
        <v>34</v>
      </c>
      <c r="B35" s="20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0.8</v>
      </c>
      <c r="J35">
        <v>0</v>
      </c>
      <c r="K35">
        <v>0</v>
      </c>
      <c r="L35">
        <v>0</v>
      </c>
      <c r="M35">
        <v>0.8</v>
      </c>
    </row>
    <row r="36" spans="1:13" x14ac:dyDescent="0.15">
      <c r="A36">
        <v>35</v>
      </c>
      <c r="B36" s="200" t="s">
        <v>226</v>
      </c>
      <c r="C36">
        <v>0</v>
      </c>
      <c r="D36">
        <v>0.8</v>
      </c>
      <c r="E36">
        <v>0.8</v>
      </c>
      <c r="F36">
        <v>0</v>
      </c>
      <c r="G36">
        <v>0</v>
      </c>
      <c r="H36">
        <v>0.8</v>
      </c>
      <c r="I36">
        <v>0.8</v>
      </c>
      <c r="J36">
        <v>0.8</v>
      </c>
      <c r="K36">
        <v>0</v>
      </c>
      <c r="L36">
        <v>0</v>
      </c>
      <c r="M36">
        <v>0.8</v>
      </c>
    </row>
    <row r="37" spans="1:13" x14ac:dyDescent="0.15">
      <c r="A37">
        <v>36</v>
      </c>
      <c r="B37" s="200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15">
      <c r="A38">
        <v>37</v>
      </c>
      <c r="B38" s="200" t="s">
        <v>228</v>
      </c>
      <c r="C38">
        <v>0</v>
      </c>
      <c r="D38">
        <v>0.8</v>
      </c>
      <c r="E38">
        <v>0.8</v>
      </c>
      <c r="F38">
        <v>0</v>
      </c>
      <c r="G38">
        <v>0</v>
      </c>
      <c r="H38">
        <v>0</v>
      </c>
      <c r="I38">
        <v>0.8</v>
      </c>
      <c r="J38">
        <v>0.8</v>
      </c>
      <c r="K38">
        <v>0</v>
      </c>
      <c r="L38">
        <v>0</v>
      </c>
      <c r="M38">
        <v>0</v>
      </c>
    </row>
    <row r="39" spans="1:13" x14ac:dyDescent="0.15">
      <c r="A39">
        <v>38</v>
      </c>
      <c r="B39" s="200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15">
      <c r="A40">
        <v>39</v>
      </c>
      <c r="B40" s="200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0.8</v>
      </c>
      <c r="I40">
        <v>0</v>
      </c>
      <c r="J40">
        <v>0.8</v>
      </c>
      <c r="K40">
        <v>0</v>
      </c>
      <c r="L40">
        <v>0</v>
      </c>
      <c r="M40">
        <v>0</v>
      </c>
    </row>
    <row r="41" spans="1:13" x14ac:dyDescent="0.15">
      <c r="A41">
        <v>40</v>
      </c>
      <c r="B41" s="200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15">
      <c r="A42">
        <v>41</v>
      </c>
      <c r="B42" s="200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0.8</v>
      </c>
      <c r="K42">
        <v>0</v>
      </c>
      <c r="L42">
        <v>0</v>
      </c>
      <c r="M42">
        <v>0</v>
      </c>
    </row>
    <row r="43" spans="1:13" x14ac:dyDescent="0.15">
      <c r="A43">
        <v>42</v>
      </c>
      <c r="B43" s="200" t="s">
        <v>233</v>
      </c>
      <c r="C43">
        <v>0</v>
      </c>
      <c r="D43">
        <v>0.8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15">
      <c r="A44">
        <v>43</v>
      </c>
      <c r="B44" s="200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15">
      <c r="A45">
        <v>44</v>
      </c>
      <c r="B45" s="200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15">
      <c r="A46">
        <v>45</v>
      </c>
      <c r="B46" s="200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0.8</v>
      </c>
      <c r="L46">
        <v>0</v>
      </c>
      <c r="M46">
        <v>0</v>
      </c>
    </row>
    <row r="47" spans="1:13" x14ac:dyDescent="0.15">
      <c r="A47">
        <v>46</v>
      </c>
      <c r="B47" s="200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15">
      <c r="A48">
        <v>47</v>
      </c>
      <c r="B48" s="200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15">
      <c r="A49">
        <v>48</v>
      </c>
      <c r="B49" s="200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15">
      <c r="A50">
        <v>49</v>
      </c>
      <c r="B50" s="200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15">
      <c r="A51">
        <v>50</v>
      </c>
      <c r="B51" s="200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15">
      <c r="A52">
        <v>51</v>
      </c>
      <c r="B52" s="200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3">
        <v>1</v>
      </c>
      <c r="B2" s="153" t="s">
        <v>192</v>
      </c>
      <c r="C2" s="8">
        <v>3.3154392242431641</v>
      </c>
      <c r="D2" s="9">
        <v>9.9999999747524271E-7</v>
      </c>
      <c r="E2" s="9">
        <v>5.9999998658895493E-2</v>
      </c>
      <c r="F2" s="9">
        <v>16.846200942993164</v>
      </c>
      <c r="G2" s="7">
        <v>0</v>
      </c>
      <c r="H2" s="9">
        <v>3.5616338718682528E-3</v>
      </c>
      <c r="I2">
        <v>0</v>
      </c>
      <c r="J2"/>
    </row>
    <row r="3" spans="1:10" ht="15" customHeight="1" x14ac:dyDescent="0.15">
      <c r="A3" s="154">
        <v>2</v>
      </c>
      <c r="B3" s="154" t="s">
        <v>193</v>
      </c>
      <c r="C3" s="8">
        <v>4.1363964080810547</v>
      </c>
      <c r="D3" s="9">
        <v>0.25099998712539673</v>
      </c>
      <c r="E3" s="9">
        <v>0.10000000149011612</v>
      </c>
      <c r="F3" s="9">
        <v>11.793999671936035</v>
      </c>
      <c r="G3" s="7">
        <v>0</v>
      </c>
      <c r="H3" s="9">
        <v>8.4788883104920387E-3</v>
      </c>
      <c r="I3">
        <v>0</v>
      </c>
      <c r="J3"/>
    </row>
    <row r="4" spans="1:10" ht="15" customHeight="1" x14ac:dyDescent="0.15">
      <c r="A4" s="155">
        <v>3</v>
      </c>
      <c r="B4" s="155" t="s">
        <v>194</v>
      </c>
      <c r="C4" s="8">
        <v>4.4011220932006836</v>
      </c>
      <c r="D4" s="9">
        <v>9.9999999747524271E-7</v>
      </c>
      <c r="E4" s="9">
        <v>0.11999999731779099</v>
      </c>
      <c r="F4" s="9">
        <v>11.800000190734863</v>
      </c>
      <c r="G4" s="9">
        <v>0.14038501679897308</v>
      </c>
      <c r="H4" s="9">
        <v>1.0169491171836853E-2</v>
      </c>
      <c r="I4">
        <v>0</v>
      </c>
      <c r="J4"/>
    </row>
    <row r="5" spans="1:10" ht="15" customHeight="1" x14ac:dyDescent="0.15">
      <c r="A5" s="156">
        <v>4</v>
      </c>
      <c r="B5" s="156" t="s">
        <v>195</v>
      </c>
      <c r="C5" s="8">
        <v>4.2373170852661133</v>
      </c>
      <c r="D5" s="9">
        <v>0.18400000035762787</v>
      </c>
      <c r="E5" s="9">
        <v>0.10199999809265137</v>
      </c>
      <c r="F5" s="9">
        <v>17.41200065612793</v>
      </c>
      <c r="G5" s="9">
        <v>0.16144590079784393</v>
      </c>
      <c r="H5" s="9">
        <v>5.8580287732183933E-3</v>
      </c>
      <c r="I5">
        <v>3.0299997888505459E-3</v>
      </c>
      <c r="J5"/>
    </row>
    <row r="6" spans="1:10" ht="15" customHeight="1" x14ac:dyDescent="0.15">
      <c r="A6" s="157">
        <v>5</v>
      </c>
      <c r="B6" s="157" t="s">
        <v>196</v>
      </c>
      <c r="C6" s="8">
        <v>4.7860636711120605</v>
      </c>
      <c r="D6" s="9">
        <v>3.4000001847743988E-2</v>
      </c>
      <c r="E6" s="9">
        <v>0.10899999737739563</v>
      </c>
      <c r="F6" s="9">
        <v>13.100000381469727</v>
      </c>
      <c r="G6" s="9">
        <v>4.8304595053195953E-2</v>
      </c>
      <c r="H6" s="9">
        <v>8.3206100389361382E-3</v>
      </c>
      <c r="I6">
        <v>1.7899999511428177E-4</v>
      </c>
      <c r="J6"/>
    </row>
    <row r="7" spans="1:10" ht="15" customHeight="1" x14ac:dyDescent="0.15">
      <c r="A7" s="158">
        <v>6</v>
      </c>
      <c r="B7" s="158" t="s">
        <v>197</v>
      </c>
      <c r="C7" s="8">
        <v>3</v>
      </c>
      <c r="D7" s="9">
        <v>1.6799999866634607E-4</v>
      </c>
      <c r="E7" s="9">
        <v>0.25</v>
      </c>
      <c r="F7" s="9">
        <v>54.75</v>
      </c>
      <c r="G7" s="9">
        <v>0.3333333432674408</v>
      </c>
      <c r="H7" s="9">
        <v>4.5662098564207554E-3</v>
      </c>
      <c r="I7">
        <v>1.4000000192027073E-5</v>
      </c>
      <c r="J7"/>
    </row>
    <row r="8" spans="1:10" ht="15" customHeight="1" x14ac:dyDescent="0.15">
      <c r="A8" s="159">
        <v>7</v>
      </c>
      <c r="B8" s="159" t="s">
        <v>198</v>
      </c>
      <c r="C8" s="8">
        <v>4.2891597747802734</v>
      </c>
      <c r="D8" s="9">
        <v>9.9889999255537987E-3</v>
      </c>
      <c r="E8" s="9">
        <v>0.25</v>
      </c>
      <c r="F8" s="9">
        <v>54.75</v>
      </c>
      <c r="G8" s="9">
        <v>0.45263740420341492</v>
      </c>
      <c r="H8" s="9">
        <v>4.5662098564207554E-3</v>
      </c>
      <c r="I8">
        <v>8.0999999772757292E-4</v>
      </c>
      <c r="J8"/>
    </row>
    <row r="9" spans="1:10" ht="15" customHeight="1" x14ac:dyDescent="0.15">
      <c r="A9" s="160">
        <v>8</v>
      </c>
      <c r="B9" s="160" t="s">
        <v>199</v>
      </c>
      <c r="C9" s="8">
        <v>3.5338497161865234</v>
      </c>
      <c r="D9" s="9">
        <v>2.1689999848604202E-3</v>
      </c>
      <c r="E9" s="9">
        <v>0.25</v>
      </c>
      <c r="F9" s="9">
        <v>54.75</v>
      </c>
      <c r="G9" s="9">
        <v>0.32457354664802551</v>
      </c>
      <c r="H9" s="9">
        <v>4.5662098564207554E-3</v>
      </c>
      <c r="I9">
        <v>1.7600000137463212E-4</v>
      </c>
      <c r="J9"/>
    </row>
    <row r="10" spans="1:10" ht="15" customHeight="1" x14ac:dyDescent="0.15">
      <c r="A10" s="161">
        <v>9</v>
      </c>
      <c r="B10" s="161" t="s">
        <v>200</v>
      </c>
      <c r="C10" s="8">
        <v>4.1569347381591797</v>
      </c>
      <c r="D10" s="9">
        <v>2.0399999618530273</v>
      </c>
      <c r="E10" s="9">
        <v>0.64999997615814209</v>
      </c>
      <c r="F10" s="9">
        <v>2.5999999046325684</v>
      </c>
      <c r="G10" s="9">
        <v>0.46738448739051819</v>
      </c>
      <c r="H10" s="9">
        <v>0.25</v>
      </c>
      <c r="I10">
        <v>0.60321992635726929</v>
      </c>
      <c r="J10"/>
    </row>
    <row r="11" spans="1:10" ht="15" customHeight="1" x14ac:dyDescent="0.15">
      <c r="A11" s="162">
        <v>10</v>
      </c>
      <c r="B11" s="162" t="s">
        <v>201</v>
      </c>
      <c r="C11" s="8">
        <v>3.8655931949615479</v>
      </c>
      <c r="D11" s="9">
        <v>0.37740001082420349</v>
      </c>
      <c r="E11" s="9">
        <v>1.6000000238418579</v>
      </c>
      <c r="F11" s="9">
        <v>6.0900001525878906</v>
      </c>
      <c r="G11" s="9">
        <v>0.96672701835632324</v>
      </c>
      <c r="H11" s="9">
        <v>0.26272577047348022</v>
      </c>
      <c r="I11">
        <v>0</v>
      </c>
      <c r="J11"/>
    </row>
    <row r="12" spans="1:10" ht="15" customHeight="1" x14ac:dyDescent="0.15">
      <c r="A12" s="163">
        <v>11</v>
      </c>
      <c r="B12" s="163" t="s">
        <v>202</v>
      </c>
      <c r="C12" s="8">
        <v>3.6433475017547607</v>
      </c>
      <c r="D12" s="9">
        <v>0.97000002861022949</v>
      </c>
      <c r="E12" s="9">
        <v>0.54000002145767212</v>
      </c>
      <c r="F12" s="9">
        <v>2</v>
      </c>
      <c r="G12" s="9">
        <v>0.26095199584960938</v>
      </c>
      <c r="H12" s="9">
        <v>0.27000001072883606</v>
      </c>
      <c r="I12">
        <v>0.10208899527788162</v>
      </c>
      <c r="J12"/>
    </row>
    <row r="13" spans="1:10" ht="15" customHeight="1" x14ac:dyDescent="0.15">
      <c r="A13" s="164">
        <v>12</v>
      </c>
      <c r="B13" s="164" t="s">
        <v>203</v>
      </c>
      <c r="C13" s="8">
        <v>3.6973099708557129</v>
      </c>
      <c r="D13" s="9">
        <v>0.77999997138977051</v>
      </c>
      <c r="E13" s="9">
        <v>0.62999999523162842</v>
      </c>
      <c r="F13" s="9">
        <v>3.7360000610351562</v>
      </c>
      <c r="G13" s="9">
        <v>0.86723583936691284</v>
      </c>
      <c r="H13" s="9">
        <v>0.16862954199314117</v>
      </c>
      <c r="I13">
        <v>2.500000037252903E-2</v>
      </c>
      <c r="J13"/>
    </row>
    <row r="14" spans="1:10" ht="15" customHeight="1" x14ac:dyDescent="0.15">
      <c r="A14" s="165">
        <v>13</v>
      </c>
      <c r="B14" s="165" t="s">
        <v>204</v>
      </c>
      <c r="C14" s="8">
        <v>4.5356535911560059</v>
      </c>
      <c r="D14" s="9">
        <v>0.34999999403953552</v>
      </c>
      <c r="E14" s="9">
        <v>0.30000001192092896</v>
      </c>
      <c r="F14" s="9">
        <v>1.4800000190734863</v>
      </c>
      <c r="G14" s="9">
        <v>0.96317118406295776</v>
      </c>
      <c r="H14" s="9">
        <v>0.20270270109176636</v>
      </c>
      <c r="I14">
        <v>3.5083997994661331E-2</v>
      </c>
      <c r="J14"/>
    </row>
    <row r="15" spans="1:10" ht="15" customHeight="1" x14ac:dyDescent="0.15">
      <c r="A15" s="166">
        <v>14</v>
      </c>
      <c r="B15" s="166" t="s">
        <v>205</v>
      </c>
      <c r="C15" s="8">
        <v>4.2520732879638672</v>
      </c>
      <c r="D15" s="9">
        <v>0.36239999532699585</v>
      </c>
      <c r="E15" s="9">
        <v>0.87000000476837158</v>
      </c>
      <c r="F15" s="9">
        <v>3.4010000228881836</v>
      </c>
      <c r="G15" s="9">
        <v>0.95001918077468872</v>
      </c>
      <c r="H15" s="9">
        <v>0.25580710172653198</v>
      </c>
      <c r="I15">
        <v>2.0000000949949026E-3</v>
      </c>
      <c r="J15"/>
    </row>
    <row r="16" spans="1:10" ht="15" customHeight="1" x14ac:dyDescent="0.15">
      <c r="A16" s="167">
        <v>15</v>
      </c>
      <c r="B16" s="167" t="s">
        <v>206</v>
      </c>
      <c r="C16" s="8">
        <v>3.1176614761352539</v>
      </c>
      <c r="D16" s="9">
        <v>0.21453136205673218</v>
      </c>
      <c r="E16" s="9">
        <v>0.53366899490356445</v>
      </c>
      <c r="F16" s="9">
        <v>3.5999999046325684</v>
      </c>
      <c r="G16" s="9">
        <v>0.94999939203262329</v>
      </c>
      <c r="H16" s="9">
        <v>0.14824138581752777</v>
      </c>
      <c r="I16">
        <v>5.1853001117706299E-2</v>
      </c>
      <c r="J16"/>
    </row>
    <row r="17" spans="1:10" ht="15" customHeight="1" x14ac:dyDescent="0.15">
      <c r="A17" s="168">
        <v>16</v>
      </c>
      <c r="B17" s="168" t="s">
        <v>207</v>
      </c>
      <c r="C17" s="8">
        <v>3.0211775302886963</v>
      </c>
      <c r="D17" s="9">
        <v>0.55031126737594604</v>
      </c>
      <c r="E17" s="9">
        <v>0.5878639817237854</v>
      </c>
      <c r="F17" s="9">
        <v>2.3044829368591309</v>
      </c>
      <c r="G17" s="9">
        <v>0.94999980926513672</v>
      </c>
      <c r="H17" s="9">
        <v>0.25509583950042725</v>
      </c>
      <c r="I17">
        <v>2.4882001802325249E-2</v>
      </c>
      <c r="J17"/>
    </row>
    <row r="18" spans="1:10" ht="15" customHeight="1" x14ac:dyDescent="0.15">
      <c r="A18" s="169">
        <v>17</v>
      </c>
      <c r="B18" s="169" t="s">
        <v>208</v>
      </c>
      <c r="C18" s="8">
        <v>3.0804812908172607</v>
      </c>
      <c r="D18" s="9">
        <v>4.8071786761283875E-2</v>
      </c>
      <c r="E18" s="9">
        <v>0.26736700534820557</v>
      </c>
      <c r="F18" s="9">
        <v>1.6435710191726685</v>
      </c>
      <c r="G18" s="9">
        <v>0.95000004768371582</v>
      </c>
      <c r="H18" s="9">
        <v>0.1626744419336319</v>
      </c>
      <c r="I18">
        <v>2.6259999722242355E-3</v>
      </c>
      <c r="J18"/>
    </row>
    <row r="19" spans="1:10" ht="15" customHeight="1" x14ac:dyDescent="0.15">
      <c r="A19" s="170">
        <v>18</v>
      </c>
      <c r="B19" s="170" t="s">
        <v>209</v>
      </c>
      <c r="C19" s="8">
        <v>4.0148310661315918</v>
      </c>
      <c r="D19" s="9">
        <v>0.51999998092651367</v>
      </c>
      <c r="E19" s="9">
        <v>0.28999999165534973</v>
      </c>
      <c r="F19" s="9">
        <v>2.878000020980835</v>
      </c>
      <c r="G19" s="9">
        <v>0.30828019976615906</v>
      </c>
      <c r="H19" s="9">
        <v>0.10076441615819931</v>
      </c>
      <c r="I19">
        <v>3.706200048327446E-2</v>
      </c>
      <c r="J19"/>
    </row>
    <row r="20" spans="1:10" ht="15" customHeight="1" x14ac:dyDescent="0.15">
      <c r="A20" s="171">
        <v>19</v>
      </c>
      <c r="B20" s="171" t="s">
        <v>210</v>
      </c>
      <c r="C20" s="8">
        <v>4.0072298049926758</v>
      </c>
      <c r="D20" s="9">
        <v>2.0740371197462082E-2</v>
      </c>
      <c r="E20" s="9">
        <v>0.19298000633716583</v>
      </c>
      <c r="F20" s="9">
        <v>1.9298000335693359</v>
      </c>
      <c r="G20" s="9">
        <v>0.94999992847442627</v>
      </c>
      <c r="H20" s="9">
        <v>0.10000000149011612</v>
      </c>
      <c r="I20">
        <v>2.4999998277053237E-4</v>
      </c>
      <c r="J20"/>
    </row>
    <row r="21" spans="1:10" ht="15" customHeight="1" x14ac:dyDescent="0.15">
      <c r="A21" s="172">
        <v>20</v>
      </c>
      <c r="B21" s="172" t="s">
        <v>211</v>
      </c>
      <c r="C21" s="8">
        <v>3.6840248107910156</v>
      </c>
      <c r="D21" s="9">
        <v>2.0104999542236328</v>
      </c>
      <c r="E21" s="9">
        <v>0.33000001311302185</v>
      </c>
      <c r="F21" s="9">
        <v>2</v>
      </c>
      <c r="G21" s="9">
        <v>0.94987338781356812</v>
      </c>
      <c r="H21" s="9">
        <v>0.16500000655651093</v>
      </c>
      <c r="I21">
        <v>0.17768999934196472</v>
      </c>
      <c r="J21"/>
    </row>
    <row r="22" spans="1:10" ht="15" customHeight="1" x14ac:dyDescent="0.15">
      <c r="A22" s="173">
        <v>21</v>
      </c>
      <c r="B22" s="173" t="s">
        <v>212</v>
      </c>
      <c r="C22" s="8">
        <v>3.8562076091766357</v>
      </c>
      <c r="D22" s="9">
        <v>0.37254700064659119</v>
      </c>
      <c r="E22" s="9">
        <v>0.28999999165534973</v>
      </c>
      <c r="F22" s="9">
        <v>1.933333158493042</v>
      </c>
      <c r="G22" s="9">
        <v>0.17127963900566101</v>
      </c>
      <c r="H22" s="9">
        <v>0.15000000596046448</v>
      </c>
      <c r="I22">
        <v>1.8285999074578285E-2</v>
      </c>
      <c r="J22"/>
    </row>
    <row r="23" spans="1:10" ht="15" customHeight="1" x14ac:dyDescent="0.15">
      <c r="A23" s="174">
        <v>22</v>
      </c>
      <c r="B23" s="174" t="s">
        <v>213</v>
      </c>
      <c r="C23" s="8">
        <v>4.3182334899902344</v>
      </c>
      <c r="D23" s="9">
        <v>0.23155580461025238</v>
      </c>
      <c r="E23" s="9">
        <v>0.30000001192092896</v>
      </c>
      <c r="F23" s="9">
        <v>2</v>
      </c>
      <c r="G23" s="9">
        <v>0.94999992847442627</v>
      </c>
      <c r="H23" s="9">
        <v>0.15000000596046448</v>
      </c>
      <c r="I23">
        <v>2.1588997915387154E-2</v>
      </c>
      <c r="J23"/>
    </row>
    <row r="24" spans="1:10" ht="15" customHeight="1" x14ac:dyDescent="0.15">
      <c r="A24" s="175">
        <v>23</v>
      </c>
      <c r="B24" s="175" t="s">
        <v>214</v>
      </c>
      <c r="C24" s="8">
        <v>3.9657554626464844</v>
      </c>
      <c r="D24" s="9">
        <v>0.63128131628036499</v>
      </c>
      <c r="E24" s="9">
        <v>0.56400001049041748</v>
      </c>
      <c r="F24" s="9">
        <v>4</v>
      </c>
      <c r="G24" s="9">
        <v>0.9499974250793457</v>
      </c>
      <c r="H24" s="9">
        <v>0.14100000262260437</v>
      </c>
      <c r="I24">
        <v>0</v>
      </c>
      <c r="J24"/>
    </row>
    <row r="25" spans="1:10" ht="15" customHeight="1" x14ac:dyDescent="0.15">
      <c r="A25" s="176">
        <v>24</v>
      </c>
      <c r="B25" s="176" t="s">
        <v>215</v>
      </c>
      <c r="C25" s="8">
        <v>3.3536868095397949</v>
      </c>
      <c r="D25" s="9">
        <v>0.39388623833656311</v>
      </c>
      <c r="E25" s="9">
        <v>0.27173799276351929</v>
      </c>
      <c r="F25" s="9">
        <v>1.746999979019165</v>
      </c>
      <c r="G25" s="9">
        <v>0.94999992847442627</v>
      </c>
      <c r="H25" s="9">
        <v>0.15554550290107727</v>
      </c>
      <c r="I25">
        <v>3.0709998682141304E-2</v>
      </c>
      <c r="J25"/>
    </row>
    <row r="26" spans="1:10" ht="15" customHeight="1" x14ac:dyDescent="0.15">
      <c r="A26" s="177">
        <v>25</v>
      </c>
      <c r="B26" s="177" t="s">
        <v>216</v>
      </c>
      <c r="C26" s="8">
        <v>3.2316999435424805</v>
      </c>
      <c r="D26" s="9">
        <v>1.35888671875</v>
      </c>
      <c r="E26" s="9">
        <v>0.56400001049041748</v>
      </c>
      <c r="F26" s="9">
        <v>4</v>
      </c>
      <c r="G26" s="9">
        <v>0.94999861717224121</v>
      </c>
      <c r="H26" s="9">
        <v>0.14100000262260437</v>
      </c>
      <c r="I26">
        <v>0</v>
      </c>
      <c r="J26"/>
    </row>
    <row r="27" spans="1:10" ht="15" customHeight="1" x14ac:dyDescent="0.15">
      <c r="A27" s="178">
        <v>26</v>
      </c>
      <c r="B27" s="178" t="s">
        <v>217</v>
      </c>
      <c r="C27" s="8">
        <v>3.1063985824584961</v>
      </c>
      <c r="D27" s="9">
        <v>0.99319154024124146</v>
      </c>
      <c r="E27" s="9">
        <v>0.56400001049041748</v>
      </c>
      <c r="F27" s="9">
        <v>4.5</v>
      </c>
      <c r="G27" s="9">
        <v>0.94999867677688599</v>
      </c>
      <c r="H27" s="9">
        <v>0.12533333897590637</v>
      </c>
      <c r="I27">
        <v>8.9000001025851816E-5</v>
      </c>
      <c r="J27"/>
    </row>
    <row r="28" spans="1:10" ht="15" customHeight="1" x14ac:dyDescent="0.15">
      <c r="A28" s="179">
        <v>27</v>
      </c>
      <c r="B28" s="179" t="s">
        <v>218</v>
      </c>
      <c r="C28" s="8">
        <v>3.5912535190582275</v>
      </c>
      <c r="D28" s="9">
        <v>0.1088675856590271</v>
      </c>
      <c r="E28" s="9">
        <v>0.20614500343799591</v>
      </c>
      <c r="F28" s="9">
        <v>1.3743000030517578</v>
      </c>
      <c r="G28" s="9">
        <v>0.94999992847442627</v>
      </c>
      <c r="H28" s="9">
        <v>0.15000000596046448</v>
      </c>
      <c r="I28">
        <v>0</v>
      </c>
      <c r="J28"/>
    </row>
    <row r="29" spans="1:10" ht="15" customHeight="1" x14ac:dyDescent="0.15">
      <c r="A29" s="180">
        <v>28</v>
      </c>
      <c r="B29" s="180" t="s">
        <v>219</v>
      </c>
      <c r="C29" s="8">
        <v>4.0426774024963379</v>
      </c>
      <c r="D29" s="9">
        <v>8.283715695142746E-2</v>
      </c>
      <c r="E29" s="9">
        <v>0.16600899398326874</v>
      </c>
      <c r="F29" s="9">
        <v>1.2999999523162842</v>
      </c>
      <c r="G29" s="9">
        <v>0.94999992847442627</v>
      </c>
      <c r="H29" s="9">
        <v>0.12769922614097595</v>
      </c>
      <c r="I29">
        <v>1.9999999494757503E-5</v>
      </c>
      <c r="J29"/>
    </row>
    <row r="30" spans="1:10" ht="15" customHeight="1" x14ac:dyDescent="0.15">
      <c r="A30" s="181">
        <v>29</v>
      </c>
      <c r="B30" s="181" t="s">
        <v>220</v>
      </c>
      <c r="C30" s="8">
        <v>4.2516698837280273</v>
      </c>
      <c r="D30" s="9">
        <v>1.4171034097671509E-2</v>
      </c>
      <c r="E30" s="9">
        <v>0.61391472816467285</v>
      </c>
      <c r="F30" s="9">
        <v>4.0927648544311523</v>
      </c>
      <c r="G30" s="9">
        <v>0.94999998807907104</v>
      </c>
      <c r="H30" s="9">
        <v>0.15000000596046448</v>
      </c>
      <c r="I30">
        <v>3.5480000078678131E-3</v>
      </c>
      <c r="J30"/>
    </row>
    <row r="31" spans="1:10" ht="15" customHeight="1" x14ac:dyDescent="0.15">
      <c r="A31" s="182">
        <v>30</v>
      </c>
      <c r="B31" s="182" t="s">
        <v>221</v>
      </c>
      <c r="C31" s="8">
        <v>3.2794966697692871</v>
      </c>
      <c r="D31" s="9">
        <v>13.288999557495117</v>
      </c>
      <c r="E31" s="9">
        <v>1.1499999761581421</v>
      </c>
      <c r="F31" s="9">
        <v>6.4000000953674316</v>
      </c>
      <c r="G31" s="9">
        <v>0.95639580488204956</v>
      </c>
      <c r="H31" s="9">
        <v>0.1796875</v>
      </c>
      <c r="I31">
        <v>0.12598399817943573</v>
      </c>
      <c r="J31"/>
    </row>
    <row r="32" spans="1:10" ht="15" customHeight="1" x14ac:dyDescent="0.15">
      <c r="A32" s="210">
        <v>31</v>
      </c>
      <c r="B32" s="210" t="s">
        <v>222</v>
      </c>
      <c r="C32" s="8">
        <v>3.0766000747680664</v>
      </c>
      <c r="D32" s="9">
        <v>2.9340000152587891</v>
      </c>
      <c r="E32" s="9">
        <v>1.1499999761581421</v>
      </c>
      <c r="F32" s="9">
        <v>7.6669998168945312</v>
      </c>
      <c r="G32" s="9">
        <v>0.95000547170639038</v>
      </c>
      <c r="H32" s="9">
        <v>0.14999347925186157</v>
      </c>
      <c r="I32">
        <v>8.2999998994637281E-5</v>
      </c>
      <c r="J32"/>
    </row>
    <row r="33" spans="1:10" ht="15" customHeight="1" x14ac:dyDescent="0.15">
      <c r="A33" s="211">
        <v>32</v>
      </c>
      <c r="B33" s="211" t="s">
        <v>223</v>
      </c>
      <c r="C33" s="8">
        <v>3.4084904193878174</v>
      </c>
      <c r="D33" s="9">
        <v>2.7290000915527344</v>
      </c>
      <c r="E33" s="9">
        <v>0.40000000596046448</v>
      </c>
      <c r="F33" s="9">
        <v>2.6329998970031738</v>
      </c>
      <c r="G33" s="9">
        <v>0.73326444625854492</v>
      </c>
      <c r="H33" s="9">
        <v>0.15191797912120819</v>
      </c>
      <c r="I33">
        <v>0</v>
      </c>
      <c r="J33"/>
    </row>
    <row r="34" spans="1:10" ht="15" customHeight="1" x14ac:dyDescent="0.15">
      <c r="A34" s="212">
        <v>33</v>
      </c>
      <c r="B34" s="212" t="s">
        <v>224</v>
      </c>
      <c r="C34" s="8">
        <v>3.2862000465393066</v>
      </c>
      <c r="D34" s="9">
        <v>0.92384374141693115</v>
      </c>
      <c r="E34" s="9">
        <v>0.54396897554397583</v>
      </c>
      <c r="F34" s="9">
        <v>4.0999999046325684</v>
      </c>
      <c r="G34" s="9">
        <v>0.94999998807907104</v>
      </c>
      <c r="H34" s="9">
        <v>0.13267536461353302</v>
      </c>
      <c r="I34">
        <v>1.8182000145316124E-2</v>
      </c>
      <c r="J34"/>
    </row>
    <row r="35" spans="1:10" ht="15" customHeight="1" x14ac:dyDescent="0.15">
      <c r="A35" s="213">
        <v>34</v>
      </c>
      <c r="B35" s="213" t="s">
        <v>225</v>
      </c>
      <c r="C35" s="8">
        <v>4.0837879180908203</v>
      </c>
      <c r="D35" s="9">
        <v>1.237858459353447E-2</v>
      </c>
      <c r="E35" s="9">
        <v>0.40000000596046448</v>
      </c>
      <c r="F35" s="9">
        <v>3.3299999237060547</v>
      </c>
      <c r="G35" s="9">
        <v>0.94999998807907104</v>
      </c>
      <c r="H35" s="9">
        <v>0.12012012302875519</v>
      </c>
      <c r="I35">
        <v>7.1499997284263372E-4</v>
      </c>
      <c r="J35"/>
    </row>
    <row r="36" spans="1:10" ht="15" customHeight="1" x14ac:dyDescent="0.15">
      <c r="A36" s="214">
        <v>35</v>
      </c>
      <c r="B36" s="214" t="s">
        <v>226</v>
      </c>
      <c r="C36" s="8">
        <v>3.4184212684631348</v>
      </c>
      <c r="D36" s="9">
        <v>0.95795238018035889</v>
      </c>
      <c r="E36" s="9">
        <v>0.2800000011920929</v>
      </c>
      <c r="F36" s="9">
        <v>1.7669999599456787</v>
      </c>
      <c r="G36" s="9">
        <v>0.94999933242797852</v>
      </c>
      <c r="H36" s="9">
        <v>0.15846067667007446</v>
      </c>
      <c r="I36">
        <v>1.6749999485909939E-3</v>
      </c>
      <c r="J36"/>
    </row>
    <row r="37" spans="1:10" ht="15" customHeight="1" x14ac:dyDescent="0.15">
      <c r="A37" s="215">
        <v>36</v>
      </c>
      <c r="B37" s="215" t="s">
        <v>227</v>
      </c>
      <c r="C37" s="8">
        <v>3.38421630859375</v>
      </c>
      <c r="D37" s="9">
        <v>1.288425087928772</v>
      </c>
      <c r="E37" s="9">
        <v>1.4220420122146606</v>
      </c>
      <c r="F37" s="9">
        <v>4.7893819808959961</v>
      </c>
      <c r="G37" s="9">
        <v>0.94999986886978149</v>
      </c>
      <c r="H37" s="9">
        <v>0.29691556096076965</v>
      </c>
      <c r="I37">
        <v>0</v>
      </c>
      <c r="J37"/>
    </row>
    <row r="38" spans="1:10" ht="15" customHeight="1" x14ac:dyDescent="0.15">
      <c r="A38" s="216">
        <v>37</v>
      </c>
      <c r="B38" s="216" t="s">
        <v>228</v>
      </c>
      <c r="C38" s="8">
        <v>4.1896438598632812</v>
      </c>
      <c r="D38" s="9">
        <v>0.45326817035675049</v>
      </c>
      <c r="E38" s="9">
        <v>0.60000002384185791</v>
      </c>
      <c r="F38" s="9">
        <v>4</v>
      </c>
      <c r="G38" s="9">
        <v>0.94999957084655762</v>
      </c>
      <c r="H38" s="9">
        <v>0.15000000596046448</v>
      </c>
      <c r="I38">
        <v>1.1620000004768372E-3</v>
      </c>
      <c r="J38"/>
    </row>
    <row r="39" spans="1:10" ht="15" customHeight="1" x14ac:dyDescent="0.15">
      <c r="A39" s="217">
        <v>38</v>
      </c>
      <c r="B39" s="217" t="s">
        <v>229</v>
      </c>
      <c r="C39" s="8">
        <v>3.2789473533630371</v>
      </c>
      <c r="D39" s="9">
        <v>1.6680102348327637</v>
      </c>
      <c r="E39" s="9">
        <v>0.5</v>
      </c>
      <c r="F39" s="9">
        <v>3.3333332538604736</v>
      </c>
      <c r="G39" s="9">
        <v>0.94999992847442627</v>
      </c>
      <c r="H39" s="9">
        <v>0.15000000596046448</v>
      </c>
      <c r="I39">
        <v>0</v>
      </c>
      <c r="J39"/>
    </row>
    <row r="40" spans="1:10" ht="15" customHeight="1" x14ac:dyDescent="0.15">
      <c r="A40" s="218">
        <v>39</v>
      </c>
      <c r="B40" s="218" t="s">
        <v>230</v>
      </c>
      <c r="C40" s="8">
        <v>2.918363094329834</v>
      </c>
      <c r="D40" s="9">
        <v>0.17443400621414185</v>
      </c>
      <c r="E40" s="9">
        <v>0.15999999642372131</v>
      </c>
      <c r="F40" s="9">
        <v>1.2000000476837158</v>
      </c>
      <c r="G40" s="9">
        <v>0.73127293586730957</v>
      </c>
      <c r="H40" s="9">
        <v>0.13333332538604736</v>
      </c>
      <c r="I40">
        <v>1.4345000497996807E-2</v>
      </c>
      <c r="J40"/>
    </row>
    <row r="41" spans="1:10" ht="15" customHeight="1" x14ac:dyDescent="0.15">
      <c r="A41" s="219">
        <v>40</v>
      </c>
      <c r="B41" s="219" t="s">
        <v>231</v>
      </c>
      <c r="C41" s="8">
        <v>3.0661485195159912</v>
      </c>
      <c r="D41" s="9">
        <v>3.369999885559082</v>
      </c>
      <c r="E41" s="9">
        <v>0.37999999523162842</v>
      </c>
      <c r="F41" s="9">
        <v>1.5</v>
      </c>
      <c r="G41" s="9">
        <v>0.97428333759307861</v>
      </c>
      <c r="H41" s="9">
        <v>0.25333333015441895</v>
      </c>
      <c r="I41">
        <v>0</v>
      </c>
      <c r="J41"/>
    </row>
    <row r="42" spans="1:10" ht="15" customHeight="1" x14ac:dyDescent="0.15">
      <c r="A42" s="220">
        <v>41</v>
      </c>
      <c r="B42" s="220" t="s">
        <v>232</v>
      </c>
      <c r="C42" s="8">
        <v>2.9309582710266113</v>
      </c>
      <c r="D42" s="9">
        <v>4.4789998792111874E-3</v>
      </c>
      <c r="E42" s="9">
        <v>0.37999999523162842</v>
      </c>
      <c r="F42" s="9">
        <v>4.4200000762939453</v>
      </c>
      <c r="G42" s="9">
        <v>0.98752480745315552</v>
      </c>
      <c r="H42" s="9">
        <v>8.5972845554351807E-2</v>
      </c>
      <c r="I42">
        <v>1.4159999554976821E-3</v>
      </c>
      <c r="J42"/>
    </row>
    <row r="43" spans="1:10" ht="15" customHeight="1" x14ac:dyDescent="0.15">
      <c r="A43" s="221">
        <v>42</v>
      </c>
      <c r="B43" s="221" t="s">
        <v>233</v>
      </c>
      <c r="C43" s="8">
        <v>2.4569473266601562</v>
      </c>
      <c r="D43" s="9">
        <v>1.1479061841964722</v>
      </c>
      <c r="E43" s="9">
        <v>1.7000000476837158</v>
      </c>
      <c r="F43" s="9">
        <v>9.6669998168945312</v>
      </c>
      <c r="G43" s="9">
        <v>0.94999974966049194</v>
      </c>
      <c r="H43" s="9">
        <v>0.17585600912570953</v>
      </c>
      <c r="I43">
        <v>3.0930000357329845E-3</v>
      </c>
      <c r="J43"/>
    </row>
    <row r="44" spans="1:10" ht="15" customHeight="1" x14ac:dyDescent="0.15">
      <c r="A44" s="222">
        <v>43</v>
      </c>
      <c r="B44" s="222" t="s">
        <v>234</v>
      </c>
      <c r="C44" s="8">
        <v>2</v>
      </c>
      <c r="D44" s="9">
        <v>112.30000305175781</v>
      </c>
      <c r="E44" s="9">
        <v>0.60000002384185791</v>
      </c>
      <c r="F44" s="9">
        <v>6.6669998168945312</v>
      </c>
      <c r="G44" s="9">
        <v>6.1946626752614975E-2</v>
      </c>
      <c r="H44" s="9">
        <v>8.9995503425598145E-2</v>
      </c>
      <c r="I44">
        <v>0</v>
      </c>
      <c r="J44"/>
    </row>
    <row r="45" spans="1:10" ht="15" customHeight="1" x14ac:dyDescent="0.15">
      <c r="A45" s="223">
        <v>44</v>
      </c>
      <c r="B45" s="223" t="s">
        <v>235</v>
      </c>
      <c r="C45" s="8">
        <v>2</v>
      </c>
      <c r="D45" s="9">
        <v>10.5</v>
      </c>
      <c r="E45" s="9">
        <v>2</v>
      </c>
      <c r="F45" s="9">
        <v>22.222000122070312</v>
      </c>
      <c r="G45" s="9">
        <v>0.18679431080818176</v>
      </c>
      <c r="H45" s="9">
        <v>9.0000897645950317E-2</v>
      </c>
      <c r="I45">
        <v>0</v>
      </c>
      <c r="J45"/>
    </row>
    <row r="46" spans="1:10" ht="15" customHeight="1" x14ac:dyDescent="0.15">
      <c r="A46" s="224">
        <v>45</v>
      </c>
      <c r="B46" s="224" t="s">
        <v>236</v>
      </c>
      <c r="C46" s="8">
        <v>2</v>
      </c>
      <c r="D46" s="9">
        <v>42.099998474121094</v>
      </c>
      <c r="E46" s="9">
        <v>0.56999999284744263</v>
      </c>
      <c r="F46" s="9">
        <v>6.3330001831054688</v>
      </c>
      <c r="G46" s="9">
        <v>9.7036570310592651E-2</v>
      </c>
      <c r="H46" s="9">
        <v>9.0004734694957733E-2</v>
      </c>
      <c r="I46">
        <v>2.4399999529123306E-4</v>
      </c>
      <c r="J46"/>
    </row>
    <row r="47" spans="1:10" ht="15" customHeight="1" x14ac:dyDescent="0.15">
      <c r="A47" s="225">
        <v>46</v>
      </c>
      <c r="B47" s="225" t="s">
        <v>237</v>
      </c>
      <c r="C47" s="8">
        <v>2</v>
      </c>
      <c r="D47" s="9">
        <v>7.8000001907348633</v>
      </c>
      <c r="E47" s="9">
        <v>2.5</v>
      </c>
      <c r="F47" s="9">
        <v>12.5</v>
      </c>
      <c r="G47" s="9">
        <v>0.394814133644104</v>
      </c>
      <c r="H47" s="9">
        <v>0.20000000298023224</v>
      </c>
      <c r="I47">
        <v>0</v>
      </c>
      <c r="J47"/>
    </row>
    <row r="48" spans="1:10" ht="15" customHeight="1" x14ac:dyDescent="0.15">
      <c r="A48" s="226">
        <v>47</v>
      </c>
      <c r="B48" s="226" t="s">
        <v>238</v>
      </c>
      <c r="C48" s="8">
        <v>2.5578949451446533</v>
      </c>
      <c r="D48" s="9">
        <v>27.480039596557617</v>
      </c>
      <c r="E48" s="9">
        <v>3.4330000877380371</v>
      </c>
      <c r="F48" s="9">
        <v>19.5</v>
      </c>
      <c r="G48" s="9">
        <v>0.95000004768371582</v>
      </c>
      <c r="H48" s="9">
        <v>0.17605128884315491</v>
      </c>
      <c r="I48">
        <v>0</v>
      </c>
      <c r="J48"/>
    </row>
    <row r="49" spans="1:10" ht="15" customHeight="1" x14ac:dyDescent="0.15">
      <c r="A49" s="227">
        <v>48</v>
      </c>
      <c r="B49" s="227" t="s">
        <v>239</v>
      </c>
      <c r="C49" s="8">
        <v>2</v>
      </c>
      <c r="D49" s="9">
        <v>41.754703521728516</v>
      </c>
      <c r="E49" s="9">
        <v>8.3999996185302734</v>
      </c>
      <c r="F49" s="9">
        <v>27.999998092651367</v>
      </c>
      <c r="G49" s="9">
        <v>0.94999998807907104</v>
      </c>
      <c r="H49" s="9">
        <v>0.30000001192092896</v>
      </c>
      <c r="I49">
        <v>0</v>
      </c>
      <c r="J49"/>
    </row>
    <row r="50" spans="1:10" ht="15" customHeight="1" x14ac:dyDescent="0.15">
      <c r="A50" s="228">
        <v>49</v>
      </c>
      <c r="B50" s="228" t="s">
        <v>240</v>
      </c>
      <c r="C50" s="8">
        <v>1</v>
      </c>
      <c r="D50" s="9">
        <v>26.860000610351562</v>
      </c>
      <c r="E50" s="9">
        <v>93.099998474121094</v>
      </c>
      <c r="F50" s="10"/>
      <c r="G50" s="9">
        <v>0.5471915602684021</v>
      </c>
      <c r="H50" s="10"/>
      <c r="I50">
        <v>0</v>
      </c>
      <c r="J50"/>
    </row>
    <row r="51" spans="1:10" ht="15" customHeight="1" x14ac:dyDescent="0.15">
      <c r="A51" s="229">
        <v>50</v>
      </c>
      <c r="B51" s="229" t="s">
        <v>241</v>
      </c>
      <c r="C51" s="8">
        <v>1</v>
      </c>
      <c r="D51" s="9">
        <v>389</v>
      </c>
      <c r="E51" s="10"/>
      <c r="F51" s="10"/>
      <c r="G51" s="9">
        <v>0.73252928256988525</v>
      </c>
      <c r="H51" s="10"/>
      <c r="I51">
        <v>0</v>
      </c>
      <c r="J51"/>
    </row>
    <row r="52" spans="1:10" ht="15" customHeight="1" x14ac:dyDescent="0.15">
      <c r="A52" s="230">
        <v>51</v>
      </c>
      <c r="B52" s="230" t="s">
        <v>242</v>
      </c>
      <c r="C52" s="8">
        <v>1</v>
      </c>
      <c r="D52" s="9">
        <v>5</v>
      </c>
      <c r="E52" s="10"/>
      <c r="F52" s="10"/>
      <c r="G52" s="7">
        <v>0</v>
      </c>
      <c r="H52" s="10"/>
      <c r="I52">
        <v>0</v>
      </c>
      <c r="J52"/>
    </row>
    <row r="53" spans="1:10" ht="15" customHeight="1" x14ac:dyDescent="0.15">
      <c r="A53" s="231">
        <v>52</v>
      </c>
      <c r="B53" s="231" t="s">
        <v>243</v>
      </c>
      <c r="C53" s="8">
        <v>5.2368769645690918</v>
      </c>
      <c r="D53" s="10"/>
      <c r="E53" s="10"/>
      <c r="F53" s="10"/>
      <c r="G53" s="10"/>
      <c r="H53" s="10"/>
      <c r="I53">
        <v>2.0789999980479479E-3</v>
      </c>
      <c r="J53"/>
    </row>
    <row r="54" spans="1:10" ht="15" customHeight="1" x14ac:dyDescent="0.15">
      <c r="A54" s="232">
        <v>53</v>
      </c>
      <c r="B54" s="232" t="s">
        <v>244</v>
      </c>
      <c r="C54" s="8">
        <v>4.8872823715209961</v>
      </c>
      <c r="D54" s="10"/>
      <c r="E54" s="10"/>
      <c r="F54" s="10"/>
      <c r="G54" s="10"/>
      <c r="H54" s="10"/>
      <c r="I54">
        <v>0.86842387914657593</v>
      </c>
      <c r="J54"/>
    </row>
    <row r="55" spans="1:10" ht="15" customHeight="1" x14ac:dyDescent="0.15">
      <c r="A55" s="233">
        <v>54</v>
      </c>
      <c r="B55" s="233" t="s">
        <v>245</v>
      </c>
      <c r="C55" s="8">
        <v>4.4604625701904297</v>
      </c>
      <c r="D55" s="10"/>
      <c r="E55" s="10"/>
      <c r="F55" s="10"/>
      <c r="G55" s="10"/>
      <c r="H55" s="10"/>
      <c r="I55">
        <v>9.6400000154972076E-2</v>
      </c>
      <c r="J55"/>
    </row>
    <row r="56" spans="1:10" ht="15" customHeight="1" x14ac:dyDescent="0.15">
      <c r="A56" s="234">
        <v>55</v>
      </c>
      <c r="B56" s="234" t="s">
        <v>246</v>
      </c>
      <c r="C56" s="8">
        <v>4.8823447227478027</v>
      </c>
      <c r="D56" s="10"/>
      <c r="E56" s="10"/>
      <c r="F56" s="10"/>
      <c r="G56" s="10"/>
      <c r="H56" s="10"/>
      <c r="I56">
        <v>9.6199993276968598E-4</v>
      </c>
      <c r="J56"/>
    </row>
    <row r="57" spans="1:10" ht="15" customHeight="1" x14ac:dyDescent="0.15">
      <c r="A57" s="235">
        <v>56</v>
      </c>
      <c r="B57" s="235" t="s">
        <v>247</v>
      </c>
      <c r="C57" s="8">
        <v>4.4565095901489258</v>
      </c>
      <c r="D57" s="10"/>
      <c r="E57" s="10"/>
      <c r="F57" s="10"/>
      <c r="G57" s="10"/>
      <c r="H57" s="10"/>
      <c r="I57">
        <v>5.2236996591091156E-2</v>
      </c>
      <c r="J57"/>
    </row>
    <row r="58" spans="1:10" ht="15" customHeight="1" x14ac:dyDescent="0.15">
      <c r="A58" s="236">
        <v>57</v>
      </c>
      <c r="B58" s="236" t="s">
        <v>248</v>
      </c>
      <c r="C58" s="8">
        <v>5.1138124465942383</v>
      </c>
      <c r="D58" s="10"/>
      <c r="E58" s="10"/>
      <c r="F58" s="10"/>
      <c r="G58" s="10"/>
      <c r="H58" s="10"/>
      <c r="I58">
        <v>9.9718004465103149E-2</v>
      </c>
      <c r="J58"/>
    </row>
    <row r="59" spans="1:10" ht="15" customHeight="1" x14ac:dyDescent="0.15">
      <c r="A59" s="237">
        <v>58</v>
      </c>
      <c r="B59" s="237" t="s">
        <v>249</v>
      </c>
      <c r="C59" s="8">
        <v>5.1682929992675781</v>
      </c>
      <c r="D59" s="10"/>
      <c r="E59" s="10"/>
      <c r="F59" s="10"/>
      <c r="G59" s="10"/>
      <c r="H59" s="10"/>
      <c r="I59">
        <v>4.5981999486684799E-2</v>
      </c>
      <c r="J59"/>
    </row>
    <row r="60" spans="1:10" ht="15" customHeight="1" x14ac:dyDescent="0.15">
      <c r="A60" s="238">
        <v>59</v>
      </c>
      <c r="B60" s="238" t="s">
        <v>250</v>
      </c>
      <c r="C60" s="8">
        <v>4.6872291564941406</v>
      </c>
      <c r="D60" s="10"/>
      <c r="E60" s="10"/>
      <c r="F60" s="10"/>
      <c r="G60" s="10"/>
      <c r="H60" s="10"/>
      <c r="I60">
        <v>0.128727987408638</v>
      </c>
      <c r="J60"/>
    </row>
    <row r="61" spans="1:10" ht="15" customHeight="1" x14ac:dyDescent="0.15">
      <c r="A61" s="239">
        <v>60</v>
      </c>
      <c r="B61" s="239" t="s">
        <v>251</v>
      </c>
      <c r="C61" s="8">
        <v>3.0133605003356934</v>
      </c>
      <c r="D61" s="10"/>
      <c r="E61" s="10"/>
      <c r="F61" s="10"/>
      <c r="G61" s="10"/>
      <c r="H61" s="10"/>
      <c r="I61">
        <v>2.4599998141638935E-4</v>
      </c>
      <c r="J61"/>
    </row>
    <row r="62" spans="1:10" ht="15" customHeight="1" x14ac:dyDescent="0.15">
      <c r="A62" s="240">
        <v>61</v>
      </c>
      <c r="B62" s="240" t="s">
        <v>252</v>
      </c>
      <c r="C62" s="8">
        <v>1</v>
      </c>
      <c r="D62" s="10"/>
      <c r="E62" s="10"/>
      <c r="F62" s="10"/>
      <c r="G62" s="10"/>
      <c r="H62" s="10"/>
      <c r="I62">
        <v>0</v>
      </c>
      <c r="J62"/>
    </row>
    <row r="63" spans="1:10" ht="15" customHeight="1" x14ac:dyDescent="0.15">
      <c r="A63" s="241">
        <v>62</v>
      </c>
      <c r="B63" s="241" t="s">
        <v>253</v>
      </c>
      <c r="C63" s="8">
        <v>5.067802906036377</v>
      </c>
      <c r="D63" s="10"/>
      <c r="E63" s="10"/>
      <c r="F63" s="10"/>
      <c r="G63" s="10"/>
      <c r="H63" s="10"/>
      <c r="I63">
        <v>1.2329998426139355E-2</v>
      </c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267</v>
      </c>
      <c r="N1" t="s">
        <v>268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  <c r="AH1" t="s">
        <v>211</v>
      </c>
      <c r="AI1" t="s">
        <v>212</v>
      </c>
      <c r="AJ1" t="s">
        <v>213</v>
      </c>
      <c r="AK1" t="s">
        <v>214</v>
      </c>
      <c r="AL1" t="s">
        <v>215</v>
      </c>
      <c r="AM1" t="s">
        <v>216</v>
      </c>
      <c r="AN1" t="s">
        <v>217</v>
      </c>
      <c r="AO1" t="s">
        <v>218</v>
      </c>
      <c r="AP1" t="s">
        <v>219</v>
      </c>
      <c r="AQ1" t="s">
        <v>220</v>
      </c>
      <c r="AR1" t="s">
        <v>221</v>
      </c>
      <c r="AS1" t="s">
        <v>222</v>
      </c>
      <c r="AT1" t="s">
        <v>223</v>
      </c>
      <c r="AU1" t="s">
        <v>224</v>
      </c>
      <c r="AV1" t="s">
        <v>225</v>
      </c>
      <c r="AW1" t="s">
        <v>226</v>
      </c>
      <c r="AX1" t="s">
        <v>227</v>
      </c>
      <c r="AY1" t="s">
        <v>228</v>
      </c>
      <c r="AZ1" t="s">
        <v>229</v>
      </c>
      <c r="BA1" t="s">
        <v>230</v>
      </c>
      <c r="BB1" t="s">
        <v>231</v>
      </c>
      <c r="BC1" t="s">
        <v>232</v>
      </c>
      <c r="BD1" t="s">
        <v>233</v>
      </c>
      <c r="BE1" t="s">
        <v>234</v>
      </c>
      <c r="BF1" t="s">
        <v>235</v>
      </c>
      <c r="BG1" t="s">
        <v>236</v>
      </c>
      <c r="BH1" t="s">
        <v>237</v>
      </c>
      <c r="BI1" t="s">
        <v>238</v>
      </c>
      <c r="BJ1" t="s">
        <v>239</v>
      </c>
      <c r="BK1" t="s">
        <v>240</v>
      </c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5.9999998658895493E-2</v>
      </c>
      <c r="C2">
        <v>5.9999998658895493E-2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0.10000000149011612</v>
      </c>
      <c r="C3">
        <v>0.10000000149011612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0.11999999731779099</v>
      </c>
      <c r="C4">
        <v>0.10315379500389099</v>
      </c>
      <c r="D4"/>
      <c r="E4"/>
      <c r="F4"/>
      <c r="G4"/>
      <c r="H4"/>
      <c r="I4"/>
      <c r="J4"/>
      <c r="K4"/>
      <c r="L4"/>
      <c r="M4"/>
      <c r="N4"/>
      <c r="O4" s="79">
        <v>1.6846200451254845E-2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0.10199999809265137</v>
      </c>
      <c r="C5">
        <v>8.5532516241073608E-2</v>
      </c>
      <c r="D5" s="29">
        <v>4.8913042992353439E-3</v>
      </c>
      <c r="E5"/>
      <c r="F5"/>
      <c r="G5"/>
      <c r="H5"/>
      <c r="I5" s="255">
        <v>1.1576086282730103E-2</v>
      </c>
      <c r="J5"/>
      <c r="K5"/>
      <c r="L5"/>
      <c r="M5"/>
      <c r="N5"/>
      <c r="O5" s="11">
        <v>9.155544233863111E-8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0.10899999737739563</v>
      </c>
      <c r="C6">
        <v>0.10373479872941971</v>
      </c>
      <c r="D6" s="242">
        <v>5.2647055126726627E-3</v>
      </c>
      <c r="E6"/>
      <c r="F6"/>
      <c r="G6"/>
      <c r="H6"/>
      <c r="I6"/>
      <c r="J6"/>
      <c r="K6"/>
      <c r="L6"/>
      <c r="M6"/>
      <c r="N6"/>
      <c r="O6" s="11">
        <v>4.9547645630809711E-7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0.25</v>
      </c>
      <c r="C7">
        <v>0.1666666567325592</v>
      </c>
      <c r="D7" s="243">
        <v>8.3333335816860199E-2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0.25</v>
      </c>
      <c r="C8">
        <v>0.13684064149856567</v>
      </c>
      <c r="D8" s="244">
        <v>8.1089198589324951E-2</v>
      </c>
      <c r="E8"/>
      <c r="F8"/>
      <c r="G8"/>
      <c r="H8"/>
      <c r="I8"/>
      <c r="J8"/>
      <c r="K8"/>
      <c r="L8"/>
      <c r="M8"/>
      <c r="N8"/>
      <c r="O8"/>
      <c r="P8"/>
      <c r="Q8"/>
      <c r="R8" s="264">
        <v>3.2070156186819077E-2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0.25</v>
      </c>
      <c r="C9">
        <v>0.16885662078857422</v>
      </c>
      <c r="D9" s="245">
        <v>8.1143386662006378E-2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0.64999997615814209</v>
      </c>
      <c r="C10">
        <v>0.34620007872581482</v>
      </c>
      <c r="D10"/>
      <c r="E10" s="244">
        <v>0.21075832843780518</v>
      </c>
      <c r="F10" s="11">
        <v>3.5931373713538051E-4</v>
      </c>
      <c r="G10" s="11">
        <v>2.8676469810307026E-4</v>
      </c>
      <c r="H10"/>
      <c r="I10" s="256">
        <v>2.8755882754921913E-2</v>
      </c>
      <c r="J10" s="151">
        <v>1.9062256440520287E-2</v>
      </c>
      <c r="K10" s="242">
        <v>3.2200489193201065E-2</v>
      </c>
      <c r="L10"/>
      <c r="M10"/>
      <c r="N10" s="23">
        <v>4.2730392888188362E-3</v>
      </c>
      <c r="O10"/>
      <c r="P10"/>
      <c r="Q10" s="11">
        <v>5.7779521966949687E-7</v>
      </c>
      <c r="R10" s="22">
        <v>5.025079008191824E-3</v>
      </c>
      <c r="S10" s="12">
        <v>3.0781927052885294E-3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1.6000000238418579</v>
      </c>
      <c r="C11">
        <v>5.3236771374940872E-2</v>
      </c>
      <c r="D11"/>
      <c r="E11"/>
      <c r="F11"/>
      <c r="G11"/>
      <c r="H11"/>
      <c r="I11"/>
      <c r="J11"/>
      <c r="K11"/>
      <c r="L11"/>
      <c r="M11"/>
      <c r="N11"/>
      <c r="O11"/>
      <c r="P11" s="242">
        <v>7.8439153730869293E-2</v>
      </c>
      <c r="Q11" s="11">
        <v>2.8418464808055433E-6</v>
      </c>
      <c r="R11" s="25">
        <v>5.0929848104715347E-2</v>
      </c>
      <c r="S11" s="25">
        <v>5.0034638494253159E-2</v>
      </c>
      <c r="T11"/>
      <c r="U11" s="23">
        <v>8.2599818706512451E-3</v>
      </c>
      <c r="V11"/>
      <c r="W11" s="292">
        <v>0.24850822985172272</v>
      </c>
      <c r="X11" s="26">
        <v>3.9585001766681671E-2</v>
      </c>
      <c r="Y11" s="11">
        <v>5.1409483421593904E-4</v>
      </c>
      <c r="Z11" s="65">
        <v>3.3198971301317215E-2</v>
      </c>
      <c r="AA11" s="78">
        <v>0.10486273467540741</v>
      </c>
      <c r="AB11" s="19">
        <v>2.8409833088517189E-2</v>
      </c>
      <c r="AC11"/>
      <c r="AD11"/>
      <c r="AE11"/>
      <c r="AF11" s="287">
        <v>0.1364113986492157</v>
      </c>
      <c r="AG11" s="14">
        <v>2.1210794802755117E-3</v>
      </c>
      <c r="AH11" s="17">
        <v>2.1308956667780876E-2</v>
      </c>
      <c r="AI11"/>
      <c r="AJ11" s="66">
        <v>6.5951630473136902E-2</v>
      </c>
      <c r="AK11" s="255">
        <v>0.18130376935005188</v>
      </c>
      <c r="AL11" s="14">
        <v>3.0999463051557541E-3</v>
      </c>
      <c r="AM11" s="22">
        <v>1.2962352484464645E-2</v>
      </c>
      <c r="AN11"/>
      <c r="AO11"/>
      <c r="AP11"/>
      <c r="AQ11" s="11">
        <v>3.3809526939876378E-4</v>
      </c>
      <c r="AR11"/>
      <c r="AS11"/>
      <c r="AT11"/>
      <c r="AU11"/>
      <c r="AV11" s="11">
        <v>1.0911368735833094E-4</v>
      </c>
      <c r="AW11"/>
      <c r="AX11"/>
      <c r="AY11" s="303">
        <v>0.48041141033172607</v>
      </c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0.54000002145767212</v>
      </c>
      <c r="C12">
        <v>0.39908593893051147</v>
      </c>
      <c r="D12"/>
      <c r="E12" s="114">
        <v>9.8545357584953308E-2</v>
      </c>
      <c r="F12" s="11">
        <v>8.8659791799727827E-5</v>
      </c>
      <c r="G12" s="11">
        <v>1.1546391760930419E-4</v>
      </c>
      <c r="H12"/>
      <c r="I12" s="18">
        <v>6.0515464283525944E-3</v>
      </c>
      <c r="J12" s="11">
        <v>2.8453607228584588E-4</v>
      </c>
      <c r="K12" s="11">
        <v>1.5154638094827533E-4</v>
      </c>
      <c r="L12" s="11">
        <v>2.061855639112764E-6</v>
      </c>
      <c r="M12"/>
      <c r="N12" s="11">
        <v>7.2164948505815119E-6</v>
      </c>
      <c r="O12"/>
      <c r="P12"/>
      <c r="Q12"/>
      <c r="R12" s="111">
        <v>3.5667698830366135E-2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0.62999999523162842</v>
      </c>
      <c r="C13">
        <v>8.3641417324542999E-2</v>
      </c>
      <c r="D13"/>
      <c r="E13" s="70">
        <v>3.2051283866167068E-2</v>
      </c>
      <c r="F13"/>
      <c r="G13"/>
      <c r="H13"/>
      <c r="I13"/>
      <c r="J13"/>
      <c r="K13"/>
      <c r="L13"/>
      <c r="M13"/>
      <c r="N13"/>
      <c r="O13" s="11">
        <v>2.1597693944386265E-7</v>
      </c>
      <c r="P13"/>
      <c r="Q13" s="11">
        <v>1.0588686905066425E-7</v>
      </c>
      <c r="R13" s="152">
        <v>0.15894228219985962</v>
      </c>
      <c r="S13"/>
      <c r="T13"/>
      <c r="U13"/>
      <c r="V13"/>
      <c r="W13" s="291">
        <v>0.11616384238004684</v>
      </c>
      <c r="X13" s="14">
        <v>8.8398699881508946E-4</v>
      </c>
      <c r="Y13" s="12">
        <v>2.2386857308447361E-3</v>
      </c>
      <c r="Z13" s="109">
        <v>7.807459682226181E-2</v>
      </c>
      <c r="AA13" s="14">
        <v>6.641026702709496E-4</v>
      </c>
      <c r="AB13"/>
      <c r="AC13"/>
      <c r="AD13"/>
      <c r="AE13"/>
      <c r="AF13" s="12">
        <v>2.8779997956007719E-3</v>
      </c>
      <c r="AG13"/>
      <c r="AH13"/>
      <c r="AI13"/>
      <c r="AJ13" s="68">
        <v>4.0036339312791824E-2</v>
      </c>
      <c r="AK13" s="257">
        <v>0.11005856096744537</v>
      </c>
      <c r="AL13" s="14">
        <v>8.822924573905766E-4</v>
      </c>
      <c r="AM13" s="23">
        <v>3.4843252506107092E-3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0.30000001192092896</v>
      </c>
      <c r="C14">
        <v>1.1048644781112671E-2</v>
      </c>
      <c r="D14"/>
      <c r="E14" s="110">
        <v>4.732571542263031E-2</v>
      </c>
      <c r="F14" s="11">
        <v>3.7142857763683423E-5</v>
      </c>
      <c r="G14"/>
      <c r="H14"/>
      <c r="I14" s="257">
        <v>5.2597146481275558E-2</v>
      </c>
      <c r="J14" s="11">
        <v>1.6285714809782803E-4</v>
      </c>
      <c r="K14" s="11">
        <v>1.1428571451688185E-4</v>
      </c>
      <c r="L14"/>
      <c r="M14"/>
      <c r="N14" s="11">
        <v>2.8571428174473112E-6</v>
      </c>
      <c r="O14"/>
      <c r="P14"/>
      <c r="Q14"/>
      <c r="R14" s="279">
        <v>7.1392014622688293E-2</v>
      </c>
      <c r="S14" s="282">
        <v>0.11731936782598495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0.87000000476837158</v>
      </c>
      <c r="C15">
        <v>4.3483313173055649E-2</v>
      </c>
      <c r="D15"/>
      <c r="E15" s="23">
        <v>5.5187642574310303E-3</v>
      </c>
      <c r="F15"/>
      <c r="G15"/>
      <c r="H15"/>
      <c r="I15"/>
      <c r="J15"/>
      <c r="K15"/>
      <c r="L15"/>
      <c r="M15"/>
      <c r="N15"/>
      <c r="O15"/>
      <c r="P15"/>
      <c r="Q15" s="11">
        <v>3.2557458951032459E-8</v>
      </c>
      <c r="R15" s="112">
        <v>0.14939002692699432</v>
      </c>
      <c r="S15" s="282">
        <v>0.33966955542564392</v>
      </c>
      <c r="T15"/>
      <c r="U15"/>
      <c r="V15"/>
      <c r="W15" s="280">
        <v>8.334050327539444E-2</v>
      </c>
      <c r="X15" s="19">
        <v>1.4586761593818665E-2</v>
      </c>
      <c r="Y15" s="23">
        <v>5.3537366911768913E-3</v>
      </c>
      <c r="Z15" s="19">
        <v>1.5276485122740269E-2</v>
      </c>
      <c r="AA15" s="289">
        <v>0.1815287172794342</v>
      </c>
      <c r="AB15" s="65">
        <v>1.8703628331422806E-2</v>
      </c>
      <c r="AC15"/>
      <c r="AD15"/>
      <c r="AE15"/>
      <c r="AF15" s="12">
        <v>3.3036638051271439E-3</v>
      </c>
      <c r="AG15" s="11">
        <v>2.7610905817709863E-4</v>
      </c>
      <c r="AH15"/>
      <c r="AI15"/>
      <c r="AJ15" s="14">
        <v>2.4255518801510334E-3</v>
      </c>
      <c r="AK15" s="22">
        <v>6.9670882076025009E-3</v>
      </c>
      <c r="AL15"/>
      <c r="AM15"/>
      <c r="AN15"/>
      <c r="AO15"/>
      <c r="AP15"/>
      <c r="AQ15" s="11">
        <v>1.7604464665055275E-4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0.53366899490356445</v>
      </c>
      <c r="C16">
        <v>2.6683773845434189E-2</v>
      </c>
      <c r="D16"/>
      <c r="E16" s="246">
        <v>0.24081793427467346</v>
      </c>
      <c r="F16" s="11">
        <v>5.5935877753654495E-5</v>
      </c>
      <c r="G16" s="14">
        <v>7.1784370811656117E-4</v>
      </c>
      <c r="H16"/>
      <c r="I16"/>
      <c r="J16" s="11">
        <v>1.0254910739604384E-4</v>
      </c>
      <c r="K16"/>
      <c r="L16"/>
      <c r="M16"/>
      <c r="N16" s="11">
        <v>9.3226462922757491E-6</v>
      </c>
      <c r="O16" s="11">
        <v>3.3766002616175683E-7</v>
      </c>
      <c r="P16"/>
      <c r="Q16" s="11">
        <v>3.8498686194543552E-7</v>
      </c>
      <c r="R16"/>
      <c r="S16" s="273">
        <v>4.3179679661989212E-2</v>
      </c>
      <c r="T16"/>
      <c r="U16"/>
      <c r="V16"/>
      <c r="W16" s="66">
        <v>2.2229062393307686E-2</v>
      </c>
      <c r="X16"/>
      <c r="Y16" s="14">
        <v>9.0438715415075421E-4</v>
      </c>
      <c r="Z16" s="278">
        <v>0.10729866474866867</v>
      </c>
      <c r="AA16"/>
      <c r="AB16"/>
      <c r="AC16"/>
      <c r="AD16"/>
      <c r="AE16"/>
      <c r="AF16"/>
      <c r="AG16"/>
      <c r="AH16"/>
      <c r="AI16"/>
      <c r="AJ16" s="256">
        <v>2.4584377184510231E-2</v>
      </c>
      <c r="AK16" s="275">
        <v>6.7084714770317078E-2</v>
      </c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0.5878639817237854</v>
      </c>
      <c r="C17">
        <v>2.9393311589956284E-2</v>
      </c>
      <c r="D17"/>
      <c r="E17" s="247">
        <v>4.2982947081327438E-2</v>
      </c>
      <c r="F17" s="11">
        <v>4.2521391878835857E-4</v>
      </c>
      <c r="G17" s="11">
        <v>3.089160964009352E-5</v>
      </c>
      <c r="H17"/>
      <c r="I17" s="12">
        <v>1.7571874195709825E-3</v>
      </c>
      <c r="J17" s="11">
        <v>1.0902920621447265E-5</v>
      </c>
      <c r="K17" s="11">
        <v>3.6343067222333048E-6</v>
      </c>
      <c r="L17"/>
      <c r="M17"/>
      <c r="N17" s="11">
        <v>3.6343067222333048E-6</v>
      </c>
      <c r="O17" s="11">
        <v>1.3163217715828068E-7</v>
      </c>
      <c r="P17"/>
      <c r="Q17" s="11">
        <v>6.4320801129724714E-7</v>
      </c>
      <c r="R17" s="269">
        <v>0.4226212203502655</v>
      </c>
      <c r="S17" s="281">
        <v>6.2638215720653534E-2</v>
      </c>
      <c r="T17"/>
      <c r="U17"/>
      <c r="V17"/>
      <c r="W17" s="14">
        <v>9.6285523613914847E-4</v>
      </c>
      <c r="X17"/>
      <c r="Y17" s="11">
        <v>3.5256301634944975E-4</v>
      </c>
      <c r="Z17"/>
      <c r="AA17" s="12">
        <v>2.2590851876884699E-3</v>
      </c>
      <c r="AB17"/>
      <c r="AC17"/>
      <c r="AD17"/>
      <c r="AE17"/>
      <c r="AF17" s="65">
        <v>1.250960398465395E-2</v>
      </c>
      <c r="AG17"/>
      <c r="AH17"/>
      <c r="AI17"/>
      <c r="AJ17" s="23">
        <v>3.1946285162121058E-3</v>
      </c>
      <c r="AK17" s="16">
        <v>8.717353455722332E-3</v>
      </c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0.26736700534820557</v>
      </c>
      <c r="C18">
        <v>1.3368337415158749E-2</v>
      </c>
      <c r="D18"/>
      <c r="E18" s="16">
        <v>4.3476647697389126E-3</v>
      </c>
      <c r="F18"/>
      <c r="G18"/>
      <c r="H18"/>
      <c r="I18" s="258">
        <v>4.7761902213096619E-2</v>
      </c>
      <c r="J18" s="12">
        <v>8.7369332322850823E-4</v>
      </c>
      <c r="K18" s="23">
        <v>1.6433754935860634E-3</v>
      </c>
      <c r="L18"/>
      <c r="M18"/>
      <c r="N18"/>
      <c r="O18" s="11">
        <v>1.5068852690092172E-6</v>
      </c>
      <c r="P18"/>
      <c r="Q18" s="11">
        <v>7.3632509156595916E-6</v>
      </c>
      <c r="R18" s="26">
        <v>6.6639664582908154E-3</v>
      </c>
      <c r="S18" s="274">
        <v>0.19269920885562897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0.28999999165534973</v>
      </c>
      <c r="C19">
        <v>0.20059873163700104</v>
      </c>
      <c r="D19"/>
      <c r="E19" s="248">
        <v>6.5511539578437805E-2</v>
      </c>
      <c r="F19" s="19">
        <v>5.1173078827559948E-3</v>
      </c>
      <c r="G19"/>
      <c r="H19"/>
      <c r="I19" s="14">
        <v>5.8269232977181673E-4</v>
      </c>
      <c r="J19" s="11">
        <v>5.3846157243242487E-5</v>
      </c>
      <c r="K19" s="11">
        <v>7.6923079177504405E-6</v>
      </c>
      <c r="L19"/>
      <c r="M19"/>
      <c r="N19"/>
      <c r="O19"/>
      <c r="P19"/>
      <c r="Q19" s="11">
        <v>9.0760174487058976E-8</v>
      </c>
      <c r="R19"/>
      <c r="S19"/>
      <c r="T19"/>
      <c r="U19"/>
      <c r="V19"/>
      <c r="W19" s="22">
        <v>2.0379622001200914E-3</v>
      </c>
      <c r="X19"/>
      <c r="Y19"/>
      <c r="Z19"/>
      <c r="AA19" s="12">
        <v>9.9615391809493303E-4</v>
      </c>
      <c r="AB19"/>
      <c r="AC19"/>
      <c r="AD19"/>
      <c r="AE19"/>
      <c r="AF19"/>
      <c r="AG19"/>
      <c r="AH19"/>
      <c r="AI19"/>
      <c r="AJ19" s="18">
        <v>3.3808464650064707E-3</v>
      </c>
      <c r="AK19" s="25">
        <v>9.2254960909485817E-3</v>
      </c>
      <c r="AL19" s="14">
        <v>3.9703163201920688E-4</v>
      </c>
      <c r="AM19" s="22">
        <v>2.0905949641019106E-3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0.19298000633716583</v>
      </c>
      <c r="C20">
        <v>9.6490141004323959E-3</v>
      </c>
      <c r="D20"/>
      <c r="E20" s="249">
        <v>6.4126141369342804E-3</v>
      </c>
      <c r="F20" s="151">
        <v>5.6411721743643284E-3</v>
      </c>
      <c r="G20"/>
      <c r="H20"/>
      <c r="I20"/>
      <c r="J20"/>
      <c r="K20"/>
      <c r="L20"/>
      <c r="M20"/>
      <c r="N20"/>
      <c r="O20"/>
      <c r="P20" s="268">
        <v>0.17127721011638641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0.33000001311302185</v>
      </c>
      <c r="C21">
        <v>1.6541782766580582E-2</v>
      </c>
      <c r="D21"/>
      <c r="E21" s="250">
        <v>7.0462070405483246E-2</v>
      </c>
      <c r="F21" s="253">
        <v>1.7680676653981209E-2</v>
      </c>
      <c r="G21"/>
      <c r="H21"/>
      <c r="I21" s="11">
        <v>2.3675702686887234E-4</v>
      </c>
      <c r="J21" s="11">
        <v>4.9738872576199356E-7</v>
      </c>
      <c r="K21" s="11">
        <v>4.9738872576199356E-7</v>
      </c>
      <c r="L21"/>
      <c r="M21"/>
      <c r="N21" s="11">
        <v>4.9738872576199356E-7</v>
      </c>
      <c r="O21"/>
      <c r="P21"/>
      <c r="Q21" s="11">
        <v>3.5211602522622343E-8</v>
      </c>
      <c r="R21" s="17">
        <v>4.7801360487937927E-3</v>
      </c>
      <c r="S21" s="273">
        <v>2.6448866352438927E-2</v>
      </c>
      <c r="T21"/>
      <c r="U21"/>
      <c r="V21"/>
      <c r="W21" s="286">
        <v>2.2665424272418022E-2</v>
      </c>
      <c r="X21" s="11">
        <v>1.1431813618401065E-4</v>
      </c>
      <c r="Y21"/>
      <c r="Z21" s="12">
        <v>1.1594282696023583E-3</v>
      </c>
      <c r="AA21" s="297">
        <v>6.6086553037166595E-2</v>
      </c>
      <c r="AB21"/>
      <c r="AC21"/>
      <c r="AD21"/>
      <c r="AE21"/>
      <c r="AF21" s="255">
        <v>3.7218600511550903E-2</v>
      </c>
      <c r="AG21" s="12">
        <v>1.0551169980317354E-3</v>
      </c>
      <c r="AH21" s="20">
        <v>1.4000000432133675E-2</v>
      </c>
      <c r="AI21"/>
      <c r="AJ21" s="16">
        <v>5.3386208601295948E-3</v>
      </c>
      <c r="AK21" s="256">
        <v>1.46933663636446E-2</v>
      </c>
      <c r="AL21" s="21">
        <v>6.33249431848526E-3</v>
      </c>
      <c r="AM21" s="27">
        <v>2.5143291801214218E-2</v>
      </c>
      <c r="AN21"/>
      <c r="AO21"/>
      <c r="AP21"/>
      <c r="AQ21"/>
      <c r="AR21"/>
      <c r="AS21"/>
      <c r="AT21"/>
      <c r="AU21"/>
      <c r="AV21" s="11">
        <v>4.0964445361169055E-5</v>
      </c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0.28999999165534973</v>
      </c>
      <c r="C22">
        <v>0.24032889306545258</v>
      </c>
      <c r="D22"/>
      <c r="E22"/>
      <c r="F22" s="11">
        <v>1.0736900003394112E-4</v>
      </c>
      <c r="G22"/>
      <c r="H22" s="254">
        <v>4.2641598731279373E-2</v>
      </c>
      <c r="I22" s="17">
        <v>3.7176515907049179E-3</v>
      </c>
      <c r="J22" s="11">
        <v>1.8789576643030159E-5</v>
      </c>
      <c r="K22" s="23">
        <v>1.7071671318262815E-3</v>
      </c>
      <c r="L22"/>
      <c r="M22"/>
      <c r="N22" s="12">
        <v>8.911627228371799E-4</v>
      </c>
      <c r="O22"/>
      <c r="P22"/>
      <c r="Q22" s="11">
        <v>1.5835345834602776E-7</v>
      </c>
      <c r="R22"/>
      <c r="S22"/>
      <c r="T22"/>
      <c r="U22" s="14">
        <v>5.8719865046441555E-4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0.30000001192092896</v>
      </c>
      <c r="C23">
        <v>1.5000022016465664E-2</v>
      </c>
      <c r="D23"/>
      <c r="E23" s="251">
        <v>5.9419799596071243E-2</v>
      </c>
      <c r="F23" s="23">
        <v>1.4985587913542986E-3</v>
      </c>
      <c r="G23" s="11">
        <v>2.1593066048808396E-4</v>
      </c>
      <c r="H23"/>
      <c r="I23" s="151">
        <v>8.7667852640151978E-3</v>
      </c>
      <c r="J23" s="76">
        <v>2.3277327418327332E-2</v>
      </c>
      <c r="K23" s="11">
        <v>1.7274453057325445E-5</v>
      </c>
      <c r="L23"/>
      <c r="M23"/>
      <c r="N23" s="11">
        <v>3.8867521652719006E-5</v>
      </c>
      <c r="O23"/>
      <c r="P23" s="285">
        <v>0.1917654424905777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0.56400001049041748</v>
      </c>
      <c r="C24">
        <v>2.8201453387737274E-2</v>
      </c>
      <c r="D24"/>
      <c r="E24"/>
      <c r="F24"/>
      <c r="G24"/>
      <c r="H24"/>
      <c r="I24"/>
      <c r="J24"/>
      <c r="K24"/>
      <c r="L24"/>
      <c r="M24"/>
      <c r="N24"/>
      <c r="O24" s="11">
        <v>5.3371454811212971E-8</v>
      </c>
      <c r="P24" s="275">
        <v>7.0340119302272797E-2</v>
      </c>
      <c r="Q24" s="11">
        <v>7.6630124112853082E-7</v>
      </c>
      <c r="R24"/>
      <c r="S24"/>
      <c r="T24"/>
      <c r="U24" s="23">
        <v>3.1187867280095816E-3</v>
      </c>
      <c r="V24"/>
      <c r="W24" s="14">
        <v>8.393565658479929E-4</v>
      </c>
      <c r="X24" s="11">
        <v>3.6407951847650111E-4</v>
      </c>
      <c r="Y24"/>
      <c r="Z24"/>
      <c r="AA24"/>
      <c r="AB24"/>
      <c r="AC24"/>
      <c r="AD24"/>
      <c r="AE24"/>
      <c r="AF24" s="257">
        <v>9.8856955766677856E-2</v>
      </c>
      <c r="AG24" s="14">
        <v>7.925303652882576E-4</v>
      </c>
      <c r="AH24"/>
      <c r="AI24"/>
      <c r="AJ24" s="80">
        <v>9.5418639481067657E-2</v>
      </c>
      <c r="AK24" s="301">
        <v>0.26237377524375916</v>
      </c>
      <c r="AL24" s="11">
        <v>3.2704349723644555E-4</v>
      </c>
      <c r="AM24" s="12">
        <v>1.7220679437741637E-3</v>
      </c>
      <c r="AN24"/>
      <c r="AO24"/>
      <c r="AP24"/>
      <c r="AQ24"/>
      <c r="AR24"/>
      <c r="AS24"/>
      <c r="AT24"/>
      <c r="AU24"/>
      <c r="AV24" s="14">
        <v>7.8277947613969445E-4</v>
      </c>
      <c r="AW24"/>
      <c r="AX24"/>
      <c r="AY24" s="14">
        <v>8.6161558283492923E-4</v>
      </c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0.27173799276351929</v>
      </c>
      <c r="C25">
        <v>1.3586918823421001E-2</v>
      </c>
      <c r="D25"/>
      <c r="E25" s="252">
        <v>7.6367229223251343E-2</v>
      </c>
      <c r="F25" s="11">
        <v>8.6319341789931059E-5</v>
      </c>
      <c r="G25" s="11">
        <v>1.1170738434884697E-4</v>
      </c>
      <c r="H25"/>
      <c r="I25" s="12">
        <v>1.0205992730334401E-3</v>
      </c>
      <c r="J25" s="14">
        <v>2.9957888182252645E-4</v>
      </c>
      <c r="K25" s="11">
        <v>7.1086513344198465E-5</v>
      </c>
      <c r="L25"/>
      <c r="M25"/>
      <c r="N25" s="11">
        <v>1.0155216841667425E-5</v>
      </c>
      <c r="O25"/>
      <c r="P25" s="284">
        <v>0.11273407936096191</v>
      </c>
      <c r="Q25"/>
      <c r="R25" s="115">
        <v>5.2864681929349899E-2</v>
      </c>
      <c r="S25" s="253">
        <v>1.4585648663341999E-2</v>
      </c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0.56400001049041748</v>
      </c>
      <c r="C26">
        <v>2.8200780972838402E-2</v>
      </c>
      <c r="D26"/>
      <c r="E26"/>
      <c r="F26"/>
      <c r="G26"/>
      <c r="H26"/>
      <c r="I26"/>
      <c r="J26"/>
      <c r="K26"/>
      <c r="L26"/>
      <c r="M26"/>
      <c r="N26"/>
      <c r="O26" s="11">
        <v>1.2397060800140025E-7</v>
      </c>
      <c r="P26" s="67">
        <v>3.2677043229341507E-2</v>
      </c>
      <c r="Q26" s="11">
        <v>2.2575049740680697E-7</v>
      </c>
      <c r="R26" s="26">
        <v>1.4144612476229668E-2</v>
      </c>
      <c r="S26" s="65">
        <v>1.2650593183934689E-2</v>
      </c>
      <c r="T26"/>
      <c r="U26" s="14">
        <v>1.448856433853507E-3</v>
      </c>
      <c r="V26"/>
      <c r="W26" s="296">
        <v>9.6312612295150757E-2</v>
      </c>
      <c r="X26" s="16">
        <v>8.4567982703447342E-3</v>
      </c>
      <c r="Y26" s="18">
        <v>6.2822410836815834E-3</v>
      </c>
      <c r="Z26" s="65">
        <v>1.2222208082675934E-2</v>
      </c>
      <c r="AA26" s="29">
        <v>2.6531130075454712E-2</v>
      </c>
      <c r="AB26" s="11">
        <v>3.627672849688679E-4</v>
      </c>
      <c r="AC26"/>
      <c r="AD26"/>
      <c r="AE26"/>
      <c r="AF26" s="302">
        <v>0.12334708124399185</v>
      </c>
      <c r="AG26" s="14">
        <v>1.0308930650353432E-3</v>
      </c>
      <c r="AH26" s="23">
        <v>2.959039993584156E-3</v>
      </c>
      <c r="AI26"/>
      <c r="AJ26" s="263">
        <v>5.018332228064537E-2</v>
      </c>
      <c r="AK26" s="304">
        <v>0.13805274665355682</v>
      </c>
      <c r="AL26" s="11">
        <v>2.0257408323232085E-4</v>
      </c>
      <c r="AM26" s="14">
        <v>7.9999997979030013E-4</v>
      </c>
      <c r="AN26" s="18">
        <v>6.5779760479927063E-3</v>
      </c>
      <c r="AO26"/>
      <c r="AP26" s="14">
        <v>7.9247448593378067E-4</v>
      </c>
      <c r="AQ26"/>
      <c r="AR26"/>
      <c r="AS26"/>
      <c r="AT26"/>
      <c r="AU26"/>
      <c r="AV26" s="11">
        <v>3.6364624975249171E-4</v>
      </c>
      <c r="AW26"/>
      <c r="AX26"/>
      <c r="AY26" s="11">
        <v>4.0027018985711038E-4</v>
      </c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0.56400001049041748</v>
      </c>
      <c r="C27">
        <v>2.8200747445225716E-2</v>
      </c>
      <c r="D27"/>
      <c r="E27" s="11">
        <v>8.9610104623716325E-5</v>
      </c>
      <c r="F27"/>
      <c r="G27"/>
      <c r="H27"/>
      <c r="I27"/>
      <c r="J27"/>
      <c r="K27"/>
      <c r="L27"/>
      <c r="M27"/>
      <c r="N27"/>
      <c r="O27" s="11">
        <v>2.7138693781125767E-7</v>
      </c>
      <c r="P27"/>
      <c r="Q27" s="11">
        <v>3.5639107665019765E-8</v>
      </c>
      <c r="R27" s="283">
        <v>4.1608285158872604E-2</v>
      </c>
      <c r="S27"/>
      <c r="T27"/>
      <c r="U27" s="12">
        <v>1.9823282491415739E-3</v>
      </c>
      <c r="V27"/>
      <c r="W27" s="290">
        <v>7.7357858419418335E-2</v>
      </c>
      <c r="X27" s="27">
        <v>4.3505486100912094E-2</v>
      </c>
      <c r="Y27" s="19">
        <v>9.5721231773495674E-3</v>
      </c>
      <c r="Z27" s="27">
        <v>4.3126311153173447E-2</v>
      </c>
      <c r="AA27" s="17">
        <v>8.240504190325737E-3</v>
      </c>
      <c r="AB27" s="16">
        <v>8.9341010898351669E-3</v>
      </c>
      <c r="AC27"/>
      <c r="AD27" s="21">
        <v>1.1491888202726841E-2</v>
      </c>
      <c r="AE27" s="15">
        <v>5.6486870162189007E-3</v>
      </c>
      <c r="AF27" s="283">
        <v>4.188956692814827E-2</v>
      </c>
      <c r="AG27" s="11">
        <v>4.029914562124759E-4</v>
      </c>
      <c r="AH27"/>
      <c r="AI27"/>
      <c r="AJ27" s="287">
        <v>4.7606151551008224E-2</v>
      </c>
      <c r="AK27" s="295">
        <v>0.13092231750488281</v>
      </c>
      <c r="AL27" s="14">
        <v>9.0077746426686645E-4</v>
      </c>
      <c r="AM27" s="23">
        <v>3.8309658411890268E-3</v>
      </c>
      <c r="AN27" s="78">
        <v>3.6000002175569534E-2</v>
      </c>
      <c r="AO27"/>
      <c r="AP27" s="277">
        <v>2.168530598282814E-2</v>
      </c>
      <c r="AQ27"/>
      <c r="AR27"/>
      <c r="AS27"/>
      <c r="AT27"/>
      <c r="AU27"/>
      <c r="AV27" s="11">
        <v>4.5607975334860384E-4</v>
      </c>
      <c r="AW27"/>
      <c r="AX27"/>
      <c r="AY27" s="11">
        <v>5.4765050299465656E-4</v>
      </c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0.20614500343799591</v>
      </c>
      <c r="C28">
        <v>1.0307264514267445E-2</v>
      </c>
      <c r="D28"/>
      <c r="E28"/>
      <c r="F28"/>
      <c r="G28"/>
      <c r="H28"/>
      <c r="I28"/>
      <c r="J28"/>
      <c r="K28"/>
      <c r="L28"/>
      <c r="M28"/>
      <c r="N28"/>
      <c r="O28"/>
      <c r="P28" s="276">
        <v>0.1631501317024231</v>
      </c>
      <c r="Q28" s="11">
        <v>1.6256658454949502E-6</v>
      </c>
      <c r="R28"/>
      <c r="S28"/>
      <c r="T28"/>
      <c r="U28" s="263">
        <v>1.808464527130127E-2</v>
      </c>
      <c r="V28"/>
      <c r="W28" s="72">
        <v>1.4601320028305054E-2</v>
      </c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0.16600899398326874</v>
      </c>
      <c r="C29">
        <v>8.3004618063569069E-3</v>
      </c>
      <c r="D29"/>
      <c r="E29"/>
      <c r="F29"/>
      <c r="G29"/>
      <c r="H29"/>
      <c r="I29" s="11">
        <v>6.0359383496688679E-5</v>
      </c>
      <c r="J29" s="11">
        <v>1.5693440218456089E-4</v>
      </c>
      <c r="K29" s="11">
        <v>2.4143753762473352E-5</v>
      </c>
      <c r="L29"/>
      <c r="M29"/>
      <c r="N29"/>
      <c r="O29" s="11">
        <v>4.0673054968465294E-7</v>
      </c>
      <c r="P29" s="271">
        <v>7.1472615003585815E-2</v>
      </c>
      <c r="Q29" s="11">
        <v>5.6973573236973607E-7</v>
      </c>
      <c r="R29" s="267">
        <v>4.2539320886135101E-2</v>
      </c>
      <c r="S29"/>
      <c r="T29"/>
      <c r="U29" s="260">
        <v>2.3767495527863503E-2</v>
      </c>
      <c r="V29"/>
      <c r="W29" s="265">
        <v>1.9189583137631416E-2</v>
      </c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12">
        <v>4.9711397150531411E-4</v>
      </c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0.61391472816467285</v>
      </c>
      <c r="C30">
        <v>3.069574385881424E-2</v>
      </c>
      <c r="D30"/>
      <c r="E30"/>
      <c r="F30"/>
      <c r="G30"/>
      <c r="H30"/>
      <c r="I30" s="259">
        <v>0.12680795788764954</v>
      </c>
      <c r="J30" s="14">
        <v>1.3407630613073707E-3</v>
      </c>
      <c r="K30" s="12">
        <v>2.8226592112332582E-3</v>
      </c>
      <c r="L30"/>
      <c r="M30"/>
      <c r="N30" s="115">
        <v>0.11939848214387894</v>
      </c>
      <c r="O30"/>
      <c r="P30" s="266">
        <v>0.20889753103256226</v>
      </c>
      <c r="Q30" s="11">
        <v>1.6652027170493966E-6</v>
      </c>
      <c r="R30"/>
      <c r="S30"/>
      <c r="T30"/>
      <c r="U30" s="26">
        <v>1.5437059104442596E-2</v>
      </c>
      <c r="V30"/>
      <c r="W30"/>
      <c r="X30"/>
      <c r="Y30"/>
      <c r="Z30"/>
      <c r="AA30"/>
      <c r="AB30"/>
      <c r="AC30"/>
      <c r="AD30"/>
      <c r="AE30"/>
      <c r="AF30" s="112">
        <v>0.10560697317123413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12">
        <v>2.9058929067105055E-3</v>
      </c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1.1499999761581421</v>
      </c>
      <c r="C31">
        <v>5.0144825130701065E-2</v>
      </c>
      <c r="D31"/>
      <c r="E31" s="11">
        <v>2.3327563667407958E-6</v>
      </c>
      <c r="F31" s="12">
        <v>4.2528407648205757E-3</v>
      </c>
      <c r="G31"/>
      <c r="H31" s="14">
        <v>1.7814735183492303E-3</v>
      </c>
      <c r="I31" s="11">
        <v>7.5250210329613765E-7</v>
      </c>
      <c r="J31"/>
      <c r="K31" s="12">
        <v>3.4429226070642471E-3</v>
      </c>
      <c r="L31"/>
      <c r="M31"/>
      <c r="N31"/>
      <c r="O31" s="11">
        <v>5.5777928054112635E-8</v>
      </c>
      <c r="P31" s="75">
        <v>0.10879731178283691</v>
      </c>
      <c r="Q31" s="11">
        <v>1.0654364501760938E-8</v>
      </c>
      <c r="R31" s="280">
        <v>0.10946676880121231</v>
      </c>
      <c r="S31" s="11">
        <v>2.0107856835238636E-4</v>
      </c>
      <c r="T31"/>
      <c r="U31" s="24">
        <v>3.2631140202283859E-2</v>
      </c>
      <c r="V31"/>
      <c r="W31" s="289">
        <v>0.23828005790710449</v>
      </c>
      <c r="X31" s="78">
        <v>7.4317701160907745E-2</v>
      </c>
      <c r="Y31" s="13">
        <v>4.3405801057815552E-2</v>
      </c>
      <c r="Z31" s="78">
        <v>7.3606662452220917E-2</v>
      </c>
      <c r="AA31" s="17">
        <v>1.4925292693078518E-2</v>
      </c>
      <c r="AB31" s="111">
        <v>7.7325187623500824E-2</v>
      </c>
      <c r="AC31" s="14">
        <v>2.2895692382007837E-3</v>
      </c>
      <c r="AD31"/>
      <c r="AE31"/>
      <c r="AF31" s="18">
        <v>1.408831775188446E-2</v>
      </c>
      <c r="AG31" s="11">
        <v>4.5479266555048525E-4</v>
      </c>
      <c r="AH31" s="14">
        <v>2.1180678158998489E-3</v>
      </c>
      <c r="AI31" s="272">
        <v>2.7099762111902237E-2</v>
      </c>
      <c r="AJ31" s="12">
        <v>4.2333723977208138E-3</v>
      </c>
      <c r="AK31" s="15">
        <v>1.164682675153017E-2</v>
      </c>
      <c r="AL31" s="14">
        <v>1.5846607275307178E-3</v>
      </c>
      <c r="AM31" s="23">
        <v>6.2990011647343636E-3</v>
      </c>
      <c r="AN31" s="23">
        <v>6.726408377289772E-3</v>
      </c>
      <c r="AO31" s="11">
        <v>1.1258689919486642E-3</v>
      </c>
      <c r="AP31" s="14">
        <v>3.2414270099252462E-3</v>
      </c>
      <c r="AQ31" s="14">
        <v>2.1071396768093109E-3</v>
      </c>
      <c r="AR31" s="309">
        <v>0.16000001132488251</v>
      </c>
      <c r="AS31"/>
      <c r="AT31" s="19">
        <v>2.0546870306134224E-2</v>
      </c>
      <c r="AU31"/>
      <c r="AV31" s="11">
        <v>2.3240747395902872E-4</v>
      </c>
      <c r="AW31"/>
      <c r="AX31" s="12">
        <v>4.6435096301138401E-3</v>
      </c>
      <c r="AY31" s="20">
        <v>4.897984117269516E-2</v>
      </c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1.1499999761581421</v>
      </c>
      <c r="C32">
        <v>5.7493705302476883E-2</v>
      </c>
      <c r="D32"/>
      <c r="E32" s="11">
        <v>2.8289025067351758E-5</v>
      </c>
      <c r="F32"/>
      <c r="G32"/>
      <c r="H32"/>
      <c r="I32"/>
      <c r="J32"/>
      <c r="K32"/>
      <c r="L32"/>
      <c r="M32"/>
      <c r="N32"/>
      <c r="O32"/>
      <c r="P32" s="256">
        <v>5.2365109324455261E-2</v>
      </c>
      <c r="Q32" s="11">
        <v>1.8112436919182073E-6</v>
      </c>
      <c r="R32" s="309">
        <v>0.15930090844631195</v>
      </c>
      <c r="S32"/>
      <c r="T32"/>
      <c r="U32" s="15">
        <v>1.0550242848694324E-2</v>
      </c>
      <c r="V32"/>
      <c r="W32" s="310">
        <v>0.18926514685153961</v>
      </c>
      <c r="X32" s="65">
        <v>2.4205697700381279E-2</v>
      </c>
      <c r="Y32" s="280">
        <v>0.11155785620212555</v>
      </c>
      <c r="Z32" s="76">
        <v>8.9876562356948853E-2</v>
      </c>
      <c r="AA32"/>
      <c r="AB32" s="11">
        <v>8.4008119301870465E-5</v>
      </c>
      <c r="AC32" s="15">
        <v>1.0633373633027077E-2</v>
      </c>
      <c r="AD32"/>
      <c r="AE32"/>
      <c r="AF32" s="64">
        <v>6.3810378313064575E-2</v>
      </c>
      <c r="AG32" s="11">
        <v>6.8208540324121714E-4</v>
      </c>
      <c r="AH32" s="12">
        <v>5.4819360375404358E-3</v>
      </c>
      <c r="AI32" s="15">
        <v>1.2274325825273991E-2</v>
      </c>
      <c r="AJ32" s="272">
        <v>2.7626072987914085E-2</v>
      </c>
      <c r="AK32" s="111">
        <v>7.59010910987854E-2</v>
      </c>
      <c r="AL32" s="14">
        <v>2.8146752156317234E-3</v>
      </c>
      <c r="AM32" s="15">
        <v>1.1300898157060146E-2</v>
      </c>
      <c r="AN32" s="17">
        <v>1.5232998877763748E-2</v>
      </c>
      <c r="AO32" s="11">
        <v>5.099411282571964E-5</v>
      </c>
      <c r="AP32" s="14">
        <v>1.8351790495216846E-3</v>
      </c>
      <c r="AQ32" s="12">
        <v>3.6194832064211369E-3</v>
      </c>
      <c r="AR32" s="275">
        <v>0.14493796229362488</v>
      </c>
      <c r="AS32"/>
      <c r="AT32"/>
      <c r="AU32"/>
      <c r="AV32" s="14">
        <v>1.207033870741725E-3</v>
      </c>
      <c r="AW32"/>
      <c r="AX32"/>
      <c r="AY32" s="286">
        <v>7.786201685667038E-2</v>
      </c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0.40000000596046448</v>
      </c>
      <c r="C33">
        <v>0.10669422149658203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11">
        <v>8.6469933435751045E-9</v>
      </c>
      <c r="R33" s="307">
        <v>0.13065159320831299</v>
      </c>
      <c r="S33" s="151">
        <v>1.1815221048891544E-2</v>
      </c>
      <c r="T33"/>
      <c r="U33" s="249">
        <v>1.3627353124320507E-2</v>
      </c>
      <c r="V33"/>
      <c r="W33" s="281">
        <v>4.2327474802732468E-2</v>
      </c>
      <c r="X33" s="286">
        <v>2.7118867263197899E-2</v>
      </c>
      <c r="Y33" s="14">
        <v>4.2657254380173981E-4</v>
      </c>
      <c r="Z33" s="15">
        <v>3.9505376480519772E-3</v>
      </c>
      <c r="AA33" s="18">
        <v>5.0680097192525864E-3</v>
      </c>
      <c r="AB33" s="288">
        <v>2.2489363327622414E-2</v>
      </c>
      <c r="AC33"/>
      <c r="AD33"/>
      <c r="AE33"/>
      <c r="AF33" s="14">
        <v>4.3871297384612262E-4</v>
      </c>
      <c r="AG33" s="11">
        <v>1.466645971959224E-5</v>
      </c>
      <c r="AH33"/>
      <c r="AI33" s="249">
        <v>1.3196362182497978E-2</v>
      </c>
      <c r="AJ33"/>
      <c r="AK33"/>
      <c r="AL33"/>
      <c r="AM33"/>
      <c r="AN33" s="21">
        <v>8.1886434927582741E-3</v>
      </c>
      <c r="AO33" s="11">
        <v>1.0964948160108179E-4</v>
      </c>
      <c r="AP33" s="23">
        <v>1.973035978153348E-3</v>
      </c>
      <c r="AQ33"/>
      <c r="AR33"/>
      <c r="AS33"/>
      <c r="AT33" s="17">
        <v>5.2660000510513783E-3</v>
      </c>
      <c r="AU33"/>
      <c r="AV33"/>
      <c r="AW33"/>
      <c r="AX33"/>
      <c r="AY33" s="16">
        <v>6.6437255591154099E-3</v>
      </c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0.54396897554397583</v>
      </c>
      <c r="C34">
        <v>2.7198454365134239E-2</v>
      </c>
      <c r="D34"/>
      <c r="E34" s="11">
        <v>1.2989210517844185E-5</v>
      </c>
      <c r="F34"/>
      <c r="G34"/>
      <c r="H34" s="26">
        <v>1.3722017407417297E-2</v>
      </c>
      <c r="I34" s="15">
        <v>5.3407298400998116E-3</v>
      </c>
      <c r="J34" s="11">
        <v>2.1648681922670221E-6</v>
      </c>
      <c r="K34" s="14">
        <v>6.0291582485660911E-4</v>
      </c>
      <c r="L34"/>
      <c r="M34"/>
      <c r="N34"/>
      <c r="O34"/>
      <c r="P34" s="299">
        <v>0.17271299660205841</v>
      </c>
      <c r="Q34" s="11">
        <v>9.5658140253362944E-7</v>
      </c>
      <c r="R34" s="78">
        <v>3.5369157791137695E-2</v>
      </c>
      <c r="S34" s="68">
        <v>3.3696550875902176E-2</v>
      </c>
      <c r="T34"/>
      <c r="U34" s="18">
        <v>6.4525906927883625E-3</v>
      </c>
      <c r="V34"/>
      <c r="W34" s="253">
        <v>2.8677476570010185E-2</v>
      </c>
      <c r="X34" s="247">
        <v>3.9556499570608139E-2</v>
      </c>
      <c r="Y34"/>
      <c r="Z34"/>
      <c r="AA34"/>
      <c r="AB34"/>
      <c r="AC34"/>
      <c r="AD34"/>
      <c r="AE34"/>
      <c r="AF34"/>
      <c r="AG34" s="23">
        <v>3.0326922424137592E-3</v>
      </c>
      <c r="AH34"/>
      <c r="AI34" s="247">
        <v>3.8981564342975616E-2</v>
      </c>
      <c r="AJ34"/>
      <c r="AK34"/>
      <c r="AL34" s="11">
        <v>7.4491828854661435E-5</v>
      </c>
      <c r="AM34"/>
      <c r="AN34" s="19">
        <v>9.6755800768733025E-3</v>
      </c>
      <c r="AO34" s="11">
        <v>3.239004872739315E-4</v>
      </c>
      <c r="AP34" s="12">
        <v>2.3313099518418312E-3</v>
      </c>
      <c r="AQ34" s="17">
        <v>7.2510647587478161E-3</v>
      </c>
      <c r="AR34"/>
      <c r="AS34"/>
      <c r="AT34"/>
      <c r="AU34"/>
      <c r="AV34" s="15">
        <v>5.1260222680866718E-3</v>
      </c>
      <c r="AW34"/>
      <c r="AX34"/>
      <c r="AY34" s="294">
        <v>0.11382683366537094</v>
      </c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0.40000000596046448</v>
      </c>
      <c r="C35">
        <v>2.0000005140900612E-2</v>
      </c>
      <c r="D35"/>
      <c r="E35"/>
      <c r="F35"/>
      <c r="G35"/>
      <c r="H35"/>
      <c r="I35"/>
      <c r="J35" s="260">
        <v>5.7195551693439484E-2</v>
      </c>
      <c r="K35"/>
      <c r="L35"/>
      <c r="M35"/>
      <c r="N35" s="14">
        <v>5.654927808791399E-4</v>
      </c>
      <c r="O35"/>
      <c r="P35"/>
      <c r="Q35" s="11">
        <v>4.765819994645426E-6</v>
      </c>
      <c r="R35"/>
      <c r="S35" s="269">
        <v>0.28782323002815247</v>
      </c>
      <c r="T35"/>
      <c r="U35" s="256">
        <v>1.7672382295131683E-2</v>
      </c>
      <c r="V35"/>
      <c r="W35"/>
      <c r="X35"/>
      <c r="Y35"/>
      <c r="Z35"/>
      <c r="AA35" s="66">
        <v>1.6738584265112877E-2</v>
      </c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0.2800000011920929</v>
      </c>
      <c r="C36">
        <v>1.4000186696648598E-2</v>
      </c>
      <c r="D36"/>
      <c r="E36" s="11">
        <v>2.6097330191987567E-5</v>
      </c>
      <c r="F36" s="11">
        <v>6.1589700635522604E-5</v>
      </c>
      <c r="G36"/>
      <c r="H36"/>
      <c r="I36" s="11">
        <v>1.8790078684105538E-5</v>
      </c>
      <c r="J36" s="11">
        <v>1.4614505744248163E-5</v>
      </c>
      <c r="K36" s="11">
        <v>3.1316797048930312E-6</v>
      </c>
      <c r="L36"/>
      <c r="M36"/>
      <c r="N36" s="23">
        <v>1.6242978163063526E-3</v>
      </c>
      <c r="O36"/>
      <c r="P36" s="300">
        <v>0.16965365409851074</v>
      </c>
      <c r="Q36" s="11">
        <v>5.2961854635213967E-7</v>
      </c>
      <c r="R36"/>
      <c r="S36" s="242">
        <v>1.3482202775776386E-2</v>
      </c>
      <c r="T36"/>
      <c r="U36" s="18">
        <v>3.4254170022904873E-3</v>
      </c>
      <c r="V36"/>
      <c r="W36"/>
      <c r="X36"/>
      <c r="Y36"/>
      <c r="Z36"/>
      <c r="AA36"/>
      <c r="AB36"/>
      <c r="AC36"/>
      <c r="AD36"/>
      <c r="AE36"/>
      <c r="AF36"/>
      <c r="AG36" s="12">
        <v>8.3563168300315738E-4</v>
      </c>
      <c r="AH36"/>
      <c r="AI36"/>
      <c r="AJ36" s="13">
        <v>1.0286812670528889E-2</v>
      </c>
      <c r="AK36" s="148">
        <v>2.8201963752508163E-2</v>
      </c>
      <c r="AL36" s="21">
        <v>5.7471590116620064E-3</v>
      </c>
      <c r="AM36" s="273">
        <v>2.2696524858474731E-2</v>
      </c>
      <c r="AN36" s="16">
        <v>4.6655368059873581E-3</v>
      </c>
      <c r="AO36" s="14">
        <v>3.1236777431331575E-4</v>
      </c>
      <c r="AP36"/>
      <c r="AQ36"/>
      <c r="AR36"/>
      <c r="AS36"/>
      <c r="AT36"/>
      <c r="AU36"/>
      <c r="AV36" s="19">
        <v>4.9435063265264034E-3</v>
      </c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1.4220420122146606</v>
      </c>
      <c r="C37">
        <v>7.1102283895015717E-2</v>
      </c>
      <c r="D37"/>
      <c r="E37"/>
      <c r="F37"/>
      <c r="G37"/>
      <c r="H37"/>
      <c r="I37"/>
      <c r="J37"/>
      <c r="K37"/>
      <c r="L37"/>
      <c r="M37"/>
      <c r="N37"/>
      <c r="O37"/>
      <c r="P37" s="242">
        <v>6.892818957567215E-2</v>
      </c>
      <c r="Q37" s="11">
        <v>9.1575536487198406E-8</v>
      </c>
      <c r="R37" s="11">
        <v>9.945437777787447E-4</v>
      </c>
      <c r="S37"/>
      <c r="T37"/>
      <c r="U37" s="23">
        <v>7.2159897536039352E-3</v>
      </c>
      <c r="V37"/>
      <c r="W37" s="12">
        <v>6.5800664015114307E-3</v>
      </c>
      <c r="X37" s="11">
        <v>8.9192856103181839E-4</v>
      </c>
      <c r="Y37"/>
      <c r="Z37"/>
      <c r="AA37" s="14">
        <v>3.5781669430434704E-3</v>
      </c>
      <c r="AB37" s="23">
        <v>8.1303855404257774E-3</v>
      </c>
      <c r="AC37"/>
      <c r="AD37"/>
      <c r="AE37"/>
      <c r="AF37" s="23">
        <v>8.9438734576106071E-3</v>
      </c>
      <c r="AG37" s="14">
        <v>1.5532439574599266E-3</v>
      </c>
      <c r="AH37" s="147">
        <v>0.72716140747070312</v>
      </c>
      <c r="AI37"/>
      <c r="AJ37" s="15">
        <v>1.3357615098357201E-2</v>
      </c>
      <c r="AK37" s="26">
        <v>3.6841575056314468E-2</v>
      </c>
      <c r="AL37" s="21">
        <v>2.900332398712635E-2</v>
      </c>
      <c r="AM37" s="273">
        <v>0.11559382826089859</v>
      </c>
      <c r="AN37"/>
      <c r="AO37"/>
      <c r="AP37"/>
      <c r="AQ37" s="23">
        <v>8.6609236896038055E-3</v>
      </c>
      <c r="AR37"/>
      <c r="AS37"/>
      <c r="AT37"/>
      <c r="AU37"/>
      <c r="AV37" s="14">
        <v>3.6755288019776344E-3</v>
      </c>
      <c r="AW37"/>
      <c r="AX37" s="80">
        <v>0.23946909606456757</v>
      </c>
      <c r="AY37" s="242">
        <v>7.0360034704208374E-2</v>
      </c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0.60000002384185791</v>
      </c>
      <c r="C38">
        <v>3.0000258237123489E-2</v>
      </c>
      <c r="D38"/>
      <c r="E38" s="14">
        <v>1.683330163359642E-3</v>
      </c>
      <c r="F38" s="11">
        <v>2.2061994968680665E-6</v>
      </c>
      <c r="G38"/>
      <c r="H38"/>
      <c r="I38"/>
      <c r="J38" s="14">
        <v>8.6483015911653638E-4</v>
      </c>
      <c r="K38" s="11">
        <v>1.3237196981208399E-5</v>
      </c>
      <c r="L38"/>
      <c r="M38"/>
      <c r="N38"/>
      <c r="O38"/>
      <c r="P38"/>
      <c r="Q38" s="11">
        <v>7.8091659361234633E-7</v>
      </c>
      <c r="R38" s="263">
        <v>5.3006496280431747E-2</v>
      </c>
      <c r="S38" s="273">
        <v>4.8537630587816238E-2</v>
      </c>
      <c r="T38"/>
      <c r="U38" s="18">
        <v>7.2393929585814476E-3</v>
      </c>
      <c r="V38"/>
      <c r="W38" s="272">
        <v>1.4027991332113743E-2</v>
      </c>
      <c r="X38"/>
      <c r="Y38"/>
      <c r="Z38"/>
      <c r="AA38" s="14">
        <v>6.8568682763725519E-4</v>
      </c>
      <c r="AB38"/>
      <c r="AC38"/>
      <c r="AD38"/>
      <c r="AE38"/>
      <c r="AF38" s="245">
        <v>0.19513103365898132</v>
      </c>
      <c r="AG38" s="12">
        <v>2.2075655870139599E-3</v>
      </c>
      <c r="AH38"/>
      <c r="AI38"/>
      <c r="AJ38" s="17">
        <v>7.7571738511323929E-3</v>
      </c>
      <c r="AK38" s="293">
        <v>0.23117047548294067</v>
      </c>
      <c r="AL38" s="11">
        <v>1.5182801871560514E-4</v>
      </c>
      <c r="AM38" s="14">
        <v>1.1991900391876698E-3</v>
      </c>
      <c r="AN38"/>
      <c r="AO38"/>
      <c r="AP38" s="14">
        <v>1.1879093945026398E-3</v>
      </c>
      <c r="AQ38"/>
      <c r="AR38"/>
      <c r="AS38"/>
      <c r="AT38"/>
      <c r="AU38"/>
      <c r="AV38" s="22">
        <v>5.1330365240573883E-3</v>
      </c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0.5</v>
      </c>
      <c r="C39">
        <v>2.5000035762786865E-2</v>
      </c>
      <c r="D39"/>
      <c r="E39"/>
      <c r="F39"/>
      <c r="G39"/>
      <c r="H39"/>
      <c r="I39"/>
      <c r="J39"/>
      <c r="K39"/>
      <c r="L39"/>
      <c r="M39"/>
      <c r="N39"/>
      <c r="O39"/>
      <c r="P39" s="298">
        <v>9.5658771693706512E-2</v>
      </c>
      <c r="Q39"/>
      <c r="R39" s="14">
        <v>7.6821778202429414E-4</v>
      </c>
      <c r="S39" s="26">
        <v>1.3189705088734627E-2</v>
      </c>
      <c r="T39"/>
      <c r="U39" s="22">
        <v>3.5738302394747734E-3</v>
      </c>
      <c r="V39"/>
      <c r="W39" s="16">
        <v>8.2593159750103951E-3</v>
      </c>
      <c r="X39" s="23">
        <v>2.6180269196629524E-3</v>
      </c>
      <c r="Y39" s="14">
        <v>6.9790729321539402E-4</v>
      </c>
      <c r="Z39" s="11">
        <v>1.7468647274654359E-4</v>
      </c>
      <c r="AA39" s="22">
        <v>3.8818707689642906E-3</v>
      </c>
      <c r="AB39" s="256">
        <v>2.2978043183684349E-2</v>
      </c>
      <c r="AC39"/>
      <c r="AD39"/>
      <c r="AE39"/>
      <c r="AF39" s="14">
        <v>7.1777001721784472E-4</v>
      </c>
      <c r="AG39" s="12">
        <v>2.3995519150048494E-3</v>
      </c>
      <c r="AH39" s="67">
        <v>2.89278794080019E-2</v>
      </c>
      <c r="AI39"/>
      <c r="AJ39"/>
      <c r="AK39"/>
      <c r="AL39" s="12">
        <v>1.5678050694987178E-3</v>
      </c>
      <c r="AM39" s="24">
        <v>1.3360675424337387E-2</v>
      </c>
      <c r="AN39"/>
      <c r="AO39" s="11">
        <v>1.7939545796252787E-4</v>
      </c>
      <c r="AP39" s="11">
        <v>3.2280469895340502E-4</v>
      </c>
      <c r="AQ39" s="11">
        <v>1.5299326332751662E-4</v>
      </c>
      <c r="AR39"/>
      <c r="AS39"/>
      <c r="AT39"/>
      <c r="AU39"/>
      <c r="AV39" s="14">
        <v>1.39486079569906E-3</v>
      </c>
      <c r="AW39"/>
      <c r="AX39" s="113">
        <v>0.14797894656658173</v>
      </c>
      <c r="AY39" s="152">
        <v>0.12619690597057343</v>
      </c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0.15999999642372131</v>
      </c>
      <c r="C40">
        <v>4.2996328324079514E-2</v>
      </c>
      <c r="D40"/>
      <c r="E40"/>
      <c r="F40"/>
      <c r="G40"/>
      <c r="H40"/>
      <c r="I40" s="11">
        <v>1.3758784916717559E-4</v>
      </c>
      <c r="J40"/>
      <c r="K40" s="261">
        <v>8.209981769323349E-2</v>
      </c>
      <c r="L40"/>
      <c r="M40"/>
      <c r="N40"/>
      <c r="O40"/>
      <c r="P40"/>
      <c r="Q40" s="11">
        <v>6.7640606005170412E-8</v>
      </c>
      <c r="R40" s="18">
        <v>1.8365040887147188E-3</v>
      </c>
      <c r="S40" s="16">
        <v>2.5531460996717215E-3</v>
      </c>
      <c r="T40"/>
      <c r="U40"/>
      <c r="V40"/>
      <c r="W40" s="270">
        <v>3.0376540496945381E-2</v>
      </c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0.37999999523162842</v>
      </c>
      <c r="C41">
        <v>9.7723314538598061E-3</v>
      </c>
      <c r="D41"/>
      <c r="E41"/>
      <c r="F41"/>
      <c r="G41"/>
      <c r="H41"/>
      <c r="I41"/>
      <c r="J41"/>
      <c r="K41"/>
      <c r="L41"/>
      <c r="M41"/>
      <c r="N41"/>
      <c r="O41" s="11">
        <v>5.9986473388562445E-7</v>
      </c>
      <c r="P41"/>
      <c r="Q41"/>
      <c r="R41" s="11">
        <v>1.9011797849088907E-4</v>
      </c>
      <c r="S41"/>
      <c r="T41"/>
      <c r="U41"/>
      <c r="V41"/>
      <c r="W41" s="259">
        <v>7.7986828982830048E-2</v>
      </c>
      <c r="X41" s="20">
        <v>1.609538309276104E-2</v>
      </c>
      <c r="Y41" s="283">
        <v>2.7980247512459755E-2</v>
      </c>
      <c r="Z41" s="288">
        <v>2.1529179066419601E-2</v>
      </c>
      <c r="AA41"/>
      <c r="AB41"/>
      <c r="AC41"/>
      <c r="AD41" s="14">
        <v>3.7631543818861246E-4</v>
      </c>
      <c r="AE41" s="11">
        <v>4.2205090721836314E-5</v>
      </c>
      <c r="AF41" s="257">
        <v>6.6612467169761658E-2</v>
      </c>
      <c r="AG41"/>
      <c r="AH41"/>
      <c r="AI41"/>
      <c r="AJ41" s="12">
        <v>1.4703918714076281E-3</v>
      </c>
      <c r="AK41" s="265">
        <v>4.4129077345132828E-2</v>
      </c>
      <c r="AL41" s="29">
        <v>1.7868384718894958E-2</v>
      </c>
      <c r="AM41" s="305">
        <v>8.0646105110645294E-2</v>
      </c>
      <c r="AN41" s="28">
        <v>1.3262202031910419E-2</v>
      </c>
      <c r="AO41"/>
      <c r="AP41" s="23">
        <v>1.9172992324456573E-3</v>
      </c>
      <c r="AQ41"/>
      <c r="AR41"/>
      <c r="AS41"/>
      <c r="AT41"/>
      <c r="AU41"/>
      <c r="AV41"/>
      <c r="AW41"/>
      <c r="AX41"/>
      <c r="AY41"/>
      <c r="AZ41"/>
      <c r="BA41" s="11">
        <v>6.2113009335007519E-5</v>
      </c>
      <c r="BB41"/>
      <c r="BC41" s="11">
        <v>5.8745339629240334E-5</v>
      </c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0.37999999523162842</v>
      </c>
      <c r="C42">
        <v>4.7405730001628399E-3</v>
      </c>
      <c r="D42"/>
      <c r="E42"/>
      <c r="F42"/>
      <c r="G42"/>
      <c r="H42"/>
      <c r="I42"/>
      <c r="J42"/>
      <c r="K42" s="262">
        <v>0.31614199280738831</v>
      </c>
      <c r="L42"/>
      <c r="M42"/>
      <c r="N42"/>
      <c r="O42" s="11">
        <v>3.760776223771245E-7</v>
      </c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 s="263">
        <v>3.3412810415029526E-2</v>
      </c>
      <c r="AG42"/>
      <c r="AH42"/>
      <c r="AI42"/>
      <c r="AJ42" s="24">
        <v>1.0339467786252499E-2</v>
      </c>
      <c r="AK42"/>
      <c r="AL42" s="66">
        <v>1.5364770777523518E-2</v>
      </c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1.7000000476837158</v>
      </c>
      <c r="C43">
        <v>8.5000425577163696E-2</v>
      </c>
      <c r="D43"/>
      <c r="E43" s="14">
        <v>2.6944710407406092E-3</v>
      </c>
      <c r="F43"/>
      <c r="G43"/>
      <c r="H43"/>
      <c r="I43"/>
      <c r="J43"/>
      <c r="K43"/>
      <c r="L43"/>
      <c r="M43"/>
      <c r="N43"/>
      <c r="O43" s="11">
        <v>1.7610708482607151E-6</v>
      </c>
      <c r="P43"/>
      <c r="Q43"/>
      <c r="R43" s="255">
        <v>0.1925598531961441</v>
      </c>
      <c r="S43"/>
      <c r="T43"/>
      <c r="U43" s="14">
        <v>3.2397285103797913E-3</v>
      </c>
      <c r="V43"/>
      <c r="W43" s="148">
        <v>0.1707909107208252</v>
      </c>
      <c r="X43" s="69">
        <v>0.1575750857591629</v>
      </c>
      <c r="Y43" s="14">
        <v>4.901587963104248E-3</v>
      </c>
      <c r="Z43" s="21">
        <v>3.2237052917480469E-2</v>
      </c>
      <c r="AA43" s="12">
        <v>6.0017099604010582E-3</v>
      </c>
      <c r="AB43" s="17">
        <v>2.3834053426980972E-2</v>
      </c>
      <c r="AC43"/>
      <c r="AD43" s="17">
        <v>2.3200364783406258E-2</v>
      </c>
      <c r="AE43"/>
      <c r="AF43" s="15">
        <v>1.7730729654431343E-2</v>
      </c>
      <c r="AG43" s="12">
        <v>6.1018355190753937E-3</v>
      </c>
      <c r="AH43" s="247">
        <v>0.12260147929191589</v>
      </c>
      <c r="AI43"/>
      <c r="AJ43" s="23">
        <v>8.6248693987727165E-3</v>
      </c>
      <c r="AK43" s="306">
        <v>0.25800672173500061</v>
      </c>
      <c r="AL43" s="24">
        <v>4.7002047300338745E-2</v>
      </c>
      <c r="AM43" s="308">
        <v>0.39870250225067139</v>
      </c>
      <c r="AN43" s="256">
        <v>7.7869810163974762E-2</v>
      </c>
      <c r="AO43" s="11">
        <v>1.3033880386501551E-3</v>
      </c>
      <c r="AP43" s="23">
        <v>1.1257536709308624E-2</v>
      </c>
      <c r="AQ43" s="11">
        <v>3.0315390904434025E-4</v>
      </c>
      <c r="AR43"/>
      <c r="AS43"/>
      <c r="AT43"/>
      <c r="AU43"/>
      <c r="AV43" s="11">
        <v>4.3048296356573701E-4</v>
      </c>
      <c r="AW43"/>
      <c r="AX43"/>
      <c r="AY43"/>
      <c r="AZ43"/>
      <c r="BA43" s="14">
        <v>3.647001925855875E-3</v>
      </c>
      <c r="BB43" s="26">
        <v>4.4036697596311569E-2</v>
      </c>
      <c r="BC43" s="11">
        <v>3.4492678241804242E-4</v>
      </c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0.60000002384185791</v>
      </c>
      <c r="C44">
        <v>0.5628320574760437</v>
      </c>
      <c r="D44"/>
      <c r="E44"/>
      <c r="F44"/>
      <c r="G44"/>
      <c r="H44"/>
      <c r="I44"/>
      <c r="J44"/>
      <c r="K44"/>
      <c r="L44"/>
      <c r="M44"/>
      <c r="N44"/>
      <c r="O44" s="11">
        <v>7.5005344157830223E-9</v>
      </c>
      <c r="P44"/>
      <c r="Q44"/>
      <c r="R44"/>
      <c r="S44"/>
      <c r="T44"/>
      <c r="U44"/>
      <c r="V44"/>
      <c r="W44" s="11">
        <v>2.0288884115871042E-4</v>
      </c>
      <c r="X44" s="11">
        <v>4.0932609408628196E-6</v>
      </c>
      <c r="Y44" s="22">
        <v>5.1416000351309776E-3</v>
      </c>
      <c r="Z44" s="12">
        <v>2.9008148703724146E-3</v>
      </c>
      <c r="AA44"/>
      <c r="AB44" s="11">
        <v>1.0974167707900051E-6</v>
      </c>
      <c r="AC44" s="11">
        <v>5.047381273470819E-4</v>
      </c>
      <c r="AD44" s="11">
        <v>6.7756882344838232E-5</v>
      </c>
      <c r="AE44" s="11">
        <v>7.1981034125201404E-5</v>
      </c>
      <c r="AF44" s="14">
        <v>6.6632224479690194E-4</v>
      </c>
      <c r="AG44"/>
      <c r="AH44"/>
      <c r="AI44"/>
      <c r="AJ44" s="11">
        <v>1.6495270756422542E-5</v>
      </c>
      <c r="AK44" s="11">
        <v>3.8671249058097601E-4</v>
      </c>
      <c r="AL44" s="12">
        <v>1.9542579539120197E-3</v>
      </c>
      <c r="AM44" s="24">
        <v>1.6568010672926903E-2</v>
      </c>
      <c r="AN44" s="23">
        <v>3.9798412472009659E-3</v>
      </c>
      <c r="AO44" s="11">
        <v>1.3322948689165059E-5</v>
      </c>
      <c r="AP44" s="11">
        <v>1.9178682123310864E-5</v>
      </c>
      <c r="AQ44"/>
      <c r="AR44"/>
      <c r="AS44"/>
      <c r="AT44"/>
      <c r="AU44"/>
      <c r="AV44"/>
      <c r="AW44"/>
      <c r="AX44"/>
      <c r="AY44"/>
      <c r="AZ44"/>
      <c r="BA44" s="11">
        <v>5.6477473117411137E-4</v>
      </c>
      <c r="BB44" s="23">
        <v>4.0512019768357277E-3</v>
      </c>
      <c r="BC44" s="11">
        <v>5.2886498451698571E-5</v>
      </c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</v>
      </c>
      <c r="C45">
        <v>1.6264114379882812</v>
      </c>
      <c r="D45"/>
      <c r="E45"/>
      <c r="F45"/>
      <c r="G45"/>
      <c r="H45"/>
      <c r="I45"/>
      <c r="J45"/>
      <c r="K45"/>
      <c r="L45"/>
      <c r="M45"/>
      <c r="N45"/>
      <c r="O45" s="11">
        <v>1.6044000972215144E-7</v>
      </c>
      <c r="P45"/>
      <c r="Q45"/>
      <c r="R45"/>
      <c r="S45"/>
      <c r="T45"/>
      <c r="U45"/>
      <c r="V45"/>
      <c r="W45" s="14">
        <v>2.9773658607155085E-3</v>
      </c>
      <c r="X45" s="14">
        <v>3.7211645394563675E-3</v>
      </c>
      <c r="Y45" s="14">
        <v>3.0488765332847834E-3</v>
      </c>
      <c r="Z45" s="16">
        <v>3.0691901221871376E-2</v>
      </c>
      <c r="AA45"/>
      <c r="AB45"/>
      <c r="AC45" s="16">
        <v>2.9734751209616661E-2</v>
      </c>
      <c r="AD45" s="277">
        <v>7.9714357852935791E-2</v>
      </c>
      <c r="AE45" s="11">
        <v>9.9185528233647346E-4</v>
      </c>
      <c r="AF45" s="12">
        <v>7.9959053546190262E-3</v>
      </c>
      <c r="AG45" s="11">
        <v>9.5297073130495846E-5</v>
      </c>
      <c r="AH45"/>
      <c r="AI45"/>
      <c r="AJ45" s="11">
        <v>1.4099568943493068E-4</v>
      </c>
      <c r="AK45" s="14">
        <v>4.2081214487552643E-3</v>
      </c>
      <c r="AL45" s="14">
        <v>5.7217930443584919E-3</v>
      </c>
      <c r="AM45" s="272">
        <v>4.8505783081054688E-2</v>
      </c>
      <c r="AN45" s="20">
        <v>8.5130706429481506E-2</v>
      </c>
      <c r="AO45" s="11">
        <v>1.4249210653360933E-4</v>
      </c>
      <c r="AP45" s="11">
        <v>1.5384043217636645E-4</v>
      </c>
      <c r="AQ45"/>
      <c r="AR45"/>
      <c r="AS45"/>
      <c r="AT45"/>
      <c r="AU45"/>
      <c r="AV45" s="11">
        <v>1.176557270810008E-5</v>
      </c>
      <c r="AW45"/>
      <c r="AX45"/>
      <c r="AY45"/>
      <c r="AZ45"/>
      <c r="BA45" s="12">
        <v>6.0404008254408836E-3</v>
      </c>
      <c r="BB45" s="272">
        <v>4.8142857849597931E-2</v>
      </c>
      <c r="BC45" s="11">
        <v>5.656337016262114E-4</v>
      </c>
      <c r="BD45" s="22">
        <v>1.5852583572268486E-2</v>
      </c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0.56999999284744263</v>
      </c>
      <c r="C46">
        <v>0.51468914747238159</v>
      </c>
      <c r="D46"/>
      <c r="E46"/>
      <c r="F46"/>
      <c r="G46"/>
      <c r="H46"/>
      <c r="I46"/>
      <c r="J46"/>
      <c r="K46"/>
      <c r="L46" s="11">
        <v>5.7957245189754758E-6</v>
      </c>
      <c r="M46"/>
      <c r="N46"/>
      <c r="O46" s="11">
        <v>1.200442056870088E-7</v>
      </c>
      <c r="P46"/>
      <c r="Q46"/>
      <c r="R46"/>
      <c r="S46"/>
      <c r="T46" s="11">
        <v>1.9663182320073247E-4</v>
      </c>
      <c r="U46"/>
      <c r="V46"/>
      <c r="W46" s="12">
        <v>2.4920259602367878E-3</v>
      </c>
      <c r="X46" s="11">
        <v>2.5658719823695719E-4</v>
      </c>
      <c r="Y46" s="12">
        <v>2.7605139184743166E-3</v>
      </c>
      <c r="Z46" s="14">
        <v>1.501881517469883E-3</v>
      </c>
      <c r="AA46"/>
      <c r="AB46"/>
      <c r="AC46" s="11">
        <v>5.466181319206953E-4</v>
      </c>
      <c r="AD46" s="11">
        <v>3.3135421108454466E-4</v>
      </c>
      <c r="AE46" s="11">
        <v>1.0566922719590366E-4</v>
      </c>
      <c r="AF46" s="14">
        <v>1.2797187082469463E-3</v>
      </c>
      <c r="AG46"/>
      <c r="AH46"/>
      <c r="AI46"/>
      <c r="AJ46"/>
      <c r="AK46"/>
      <c r="AL46" s="11">
        <v>4.429904802236706E-4</v>
      </c>
      <c r="AM46" s="16">
        <v>9.3992361798882484E-3</v>
      </c>
      <c r="AN46" s="15">
        <v>5.3080311045050621E-3</v>
      </c>
      <c r="AO46"/>
      <c r="AP46" s="11">
        <v>1.2789585525752045E-5</v>
      </c>
      <c r="AQ46"/>
      <c r="AR46"/>
      <c r="AS46"/>
      <c r="AT46"/>
      <c r="AU46"/>
      <c r="AV46"/>
      <c r="AW46"/>
      <c r="AX46"/>
      <c r="AY46"/>
      <c r="AZ46"/>
      <c r="BA46" s="14">
        <v>5.9663888532668352E-4</v>
      </c>
      <c r="BB46" s="253">
        <v>3.001781553030014E-2</v>
      </c>
      <c r="BC46" s="11">
        <v>5.6429020332871005E-5</v>
      </c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2.5</v>
      </c>
      <c r="C47">
        <v>1.5129647254943848</v>
      </c>
      <c r="D47"/>
      <c r="E47"/>
      <c r="F47"/>
      <c r="G47"/>
      <c r="H47"/>
      <c r="I47"/>
      <c r="J47"/>
      <c r="K47"/>
      <c r="L47"/>
      <c r="M47"/>
      <c r="N47"/>
      <c r="O47" s="11">
        <v>4.3195385046601587E-7</v>
      </c>
      <c r="P47"/>
      <c r="Q47"/>
      <c r="R47"/>
      <c r="S47"/>
      <c r="T47" s="11">
        <v>1.1792307486757636E-4</v>
      </c>
      <c r="U47"/>
      <c r="V47"/>
      <c r="W47" s="12">
        <v>8.1518469378352165E-3</v>
      </c>
      <c r="X47" s="16">
        <v>4.0958061814308167E-2</v>
      </c>
      <c r="Y47" s="22">
        <v>1.868058554828167E-2</v>
      </c>
      <c r="Z47" s="65">
        <v>5.2224054932594299E-2</v>
      </c>
      <c r="AA47" s="11">
        <v>1.2617949687410146E-4</v>
      </c>
      <c r="AB47" s="11">
        <v>5.5299955420196056E-4</v>
      </c>
      <c r="AC47" s="17">
        <v>3.6651492118835449E-2</v>
      </c>
      <c r="AD47" s="21">
        <v>4.7312978655099869E-2</v>
      </c>
      <c r="AE47" s="14">
        <v>6.4500398002564907E-3</v>
      </c>
      <c r="AF47" s="22">
        <v>1.8841302022337914E-2</v>
      </c>
      <c r="AG47" s="11">
        <v>1.282845187233761E-4</v>
      </c>
      <c r="AH47"/>
      <c r="AI47" s="18">
        <v>2.770221047103405E-2</v>
      </c>
      <c r="AJ47" s="11">
        <v>6.1685609398409724E-4</v>
      </c>
      <c r="AK47" s="22">
        <v>1.8418619409203529E-2</v>
      </c>
      <c r="AL47" s="23">
        <v>1.6454752534627914E-2</v>
      </c>
      <c r="AM47" s="64">
        <v>0.13951237499713898</v>
      </c>
      <c r="AN47" s="311">
        <v>0.27045369148254395</v>
      </c>
      <c r="AO47" s="11">
        <v>1.9181630341336131E-4</v>
      </c>
      <c r="AP47" s="11">
        <v>2.7612384292297065E-4</v>
      </c>
      <c r="AQ47"/>
      <c r="AR47"/>
      <c r="AS47" s="256">
        <v>0.11247488856315613</v>
      </c>
      <c r="AT47"/>
      <c r="AU47" s="21">
        <v>4.8561014235019684E-2</v>
      </c>
      <c r="AV47" s="11">
        <v>1.0030904377344996E-4</v>
      </c>
      <c r="AW47"/>
      <c r="AX47"/>
      <c r="AY47"/>
      <c r="AZ47"/>
      <c r="BA47" s="14">
        <v>3.2203199807554483E-3</v>
      </c>
      <c r="BB47" s="277">
        <v>9.7211532294750214E-2</v>
      </c>
      <c r="BC47" s="11">
        <v>3.045719931833446E-4</v>
      </c>
      <c r="BD47" s="22">
        <v>2.1340016275644302E-2</v>
      </c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3.4330000877380371</v>
      </c>
      <c r="C48">
        <v>0.17164984345436096</v>
      </c>
      <c r="D48"/>
      <c r="E48"/>
      <c r="F48"/>
      <c r="G48"/>
      <c r="H48"/>
      <c r="I48"/>
      <c r="J48"/>
      <c r="K48"/>
      <c r="L48"/>
      <c r="M48"/>
      <c r="N48"/>
      <c r="O48"/>
      <c r="P48" s="12">
        <v>1.1192651465535164E-2</v>
      </c>
      <c r="Q48"/>
      <c r="R48" s="11">
        <v>1.783598680049181E-3</v>
      </c>
      <c r="S48"/>
      <c r="T48"/>
      <c r="U48"/>
      <c r="V48" s="14">
        <v>4.1351653635501862E-3</v>
      </c>
      <c r="W48" s="14">
        <v>8.9854113757610321E-3</v>
      </c>
      <c r="X48" s="12">
        <v>1.6091885045170784E-2</v>
      </c>
      <c r="Y48" s="11">
        <v>1.4544375007972121E-3</v>
      </c>
      <c r="Z48" s="14">
        <v>9.7868377342820168E-3</v>
      </c>
      <c r="AA48" s="11">
        <v>5.8435140090296045E-5</v>
      </c>
      <c r="AB48" s="11">
        <v>1.3050496345385909E-3</v>
      </c>
      <c r="AC48" s="11">
        <v>1.1971320491284132E-3</v>
      </c>
      <c r="AD48" s="11">
        <v>4.6149241825332865E-5</v>
      </c>
      <c r="AE48"/>
      <c r="AF48" s="11">
        <v>1.2525774945970625E-4</v>
      </c>
      <c r="AG48" s="11">
        <v>2.5488808751106262E-4</v>
      </c>
      <c r="AH48" s="272">
        <v>7.87225142121315E-2</v>
      </c>
      <c r="AI48" s="11">
        <v>1.3105102116242051E-3</v>
      </c>
      <c r="AJ48" s="11">
        <v>6.8184052361175418E-4</v>
      </c>
      <c r="AK48" s="23">
        <v>2.0452540367841721E-2</v>
      </c>
      <c r="AL48" s="11">
        <v>1.8632139544934034E-3</v>
      </c>
      <c r="AM48" s="12">
        <v>1.580420508980751E-2</v>
      </c>
      <c r="AN48" s="14">
        <v>8.1320153549313545E-3</v>
      </c>
      <c r="AO48" s="14">
        <v>4.3610925786197186E-3</v>
      </c>
      <c r="AP48" s="11">
        <v>7.8375654993578792E-5</v>
      </c>
      <c r="AQ48" s="11">
        <v>2.6382198484498076E-5</v>
      </c>
      <c r="AR48" s="313">
        <v>1.3432122468948364</v>
      </c>
      <c r="AS48" s="242">
        <v>0.17108601331710815</v>
      </c>
      <c r="AT48" s="242">
        <v>0.16734664142131805</v>
      </c>
      <c r="AU48" s="65">
        <v>7.0710256695747375E-2</v>
      </c>
      <c r="AV48" s="11">
        <v>4.4206462916918099E-4</v>
      </c>
      <c r="AW48" s="17">
        <v>4.6198125928640366E-2</v>
      </c>
      <c r="AX48" s="151">
        <v>0.10104941576719284</v>
      </c>
      <c r="AY48" s="12">
        <v>1.1876005679368973E-2</v>
      </c>
      <c r="AZ48" s="151">
        <v>0.10116495192050934</v>
      </c>
      <c r="BA48" s="11">
        <v>1.5234388411045074E-4</v>
      </c>
      <c r="BB48" s="15">
        <v>3.6790341138839722E-2</v>
      </c>
      <c r="BC48" s="11">
        <v>1.4408406968868803E-5</v>
      </c>
      <c r="BD48" s="17">
        <v>4.8457607626914978E-2</v>
      </c>
      <c r="BE48"/>
      <c r="BF48"/>
      <c r="BG48"/>
      <c r="BH48"/>
      <c r="BI48" s="312">
        <v>0.97500002384185791</v>
      </c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8.3999996185302734</v>
      </c>
      <c r="C49">
        <v>0.42000007629394531</v>
      </c>
      <c r="D49"/>
      <c r="E49"/>
      <c r="F49"/>
      <c r="G49"/>
      <c r="H49"/>
      <c r="I49"/>
      <c r="J49"/>
      <c r="K49"/>
      <c r="L49"/>
      <c r="M49"/>
      <c r="N49"/>
      <c r="O49" s="9">
        <v>4.0345637941641144E-9</v>
      </c>
      <c r="P49" s="11">
        <v>5.8773821219801903E-3</v>
      </c>
      <c r="Q49"/>
      <c r="R49"/>
      <c r="S49"/>
      <c r="T49"/>
      <c r="U49"/>
      <c r="V49" s="11">
        <v>1.2257884372957051E-4</v>
      </c>
      <c r="W49"/>
      <c r="X49" s="11">
        <v>1.100889676308725E-5</v>
      </c>
      <c r="Y49"/>
      <c r="Z49" s="11">
        <v>6.9783473009010777E-6</v>
      </c>
      <c r="AA49"/>
      <c r="AB49"/>
      <c r="AC49"/>
      <c r="AD49"/>
      <c r="AE49"/>
      <c r="AF49" s="11">
        <v>4.6594224841101095E-5</v>
      </c>
      <c r="AG49"/>
      <c r="AH49" s="14">
        <v>1.5504385344684124E-2</v>
      </c>
      <c r="AI49"/>
      <c r="AJ49" s="11">
        <v>2.8807999115088023E-5</v>
      </c>
      <c r="AK49" s="11">
        <v>8.7680306751281023E-4</v>
      </c>
      <c r="AL49" s="11">
        <v>1.2031634105369449E-4</v>
      </c>
      <c r="AM49" s="11">
        <v>1.0153889888897538E-3</v>
      </c>
      <c r="AN49" s="11">
        <v>5.3519262000918388E-3</v>
      </c>
      <c r="AO49" s="11">
        <v>1.7916152137331665E-4</v>
      </c>
      <c r="AP49"/>
      <c r="AQ49"/>
      <c r="AR49" s="146">
        <v>1.0917712450027466</v>
      </c>
      <c r="AS49" s="256">
        <v>0.38358372449874878</v>
      </c>
      <c r="AT49" s="23">
        <v>5.5067956447601318E-2</v>
      </c>
      <c r="AU49" s="12">
        <v>3.5106528550386429E-2</v>
      </c>
      <c r="AV49" s="11">
        <v>1.2820918527722824E-5</v>
      </c>
      <c r="AW49" s="14">
        <v>1.0134797543287277E-2</v>
      </c>
      <c r="AX49" s="22">
        <v>6.650368869304657E-2</v>
      </c>
      <c r="AY49"/>
      <c r="AZ49" s="22">
        <v>6.6579729318618774E-2</v>
      </c>
      <c r="BA49" s="11">
        <v>5.0131071475334466E-5</v>
      </c>
      <c r="BB49" s="14">
        <v>1.8159631639719009E-2</v>
      </c>
      <c r="BC49" s="11">
        <v>4.7413050197064877E-6</v>
      </c>
      <c r="BD49" s="22">
        <v>6.3782848417758942E-2</v>
      </c>
      <c r="BE49"/>
      <c r="BF49"/>
      <c r="BG49"/>
      <c r="BH49"/>
      <c r="BI49" s="314">
        <v>6.1601004600524902</v>
      </c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93.099998474121094</v>
      </c>
      <c r="C50">
        <v>42.156463623046875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11">
        <v>3.5116482526063919E-2</v>
      </c>
      <c r="BE50"/>
      <c r="BF50"/>
      <c r="BG50"/>
      <c r="BH50"/>
      <c r="BI50" s="76">
        <v>7.3815522193908691</v>
      </c>
      <c r="BJ50" s="315">
        <v>43.526863098144531</v>
      </c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/>
      <c r="C51">
        <v>0.73252928256988525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 s="9">
        <v>0.89979910850524902</v>
      </c>
      <c r="AT51"/>
      <c r="AU51"/>
      <c r="AV51"/>
      <c r="AW51"/>
      <c r="AX51"/>
      <c r="AY51"/>
      <c r="AZ51"/>
      <c r="BA51" s="9">
        <v>2.1560043096542358E-2</v>
      </c>
      <c r="BB51" s="9">
        <v>0.25275000929832458</v>
      </c>
      <c r="BC51" s="9">
        <v>1.9797179847955704E-3</v>
      </c>
      <c r="BD51" s="9">
        <v>5.8258242607116699</v>
      </c>
      <c r="BE51" s="9">
        <v>748.7041015625</v>
      </c>
      <c r="BF51" s="9">
        <v>233.33099365234375</v>
      </c>
      <c r="BG51" s="9">
        <v>266.61929321289062</v>
      </c>
      <c r="BH51" s="9">
        <v>97.5</v>
      </c>
      <c r="BI51" s="9">
        <v>53.586078643798828</v>
      </c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/>
      <c r="C52">
        <v>0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5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6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6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2" t="s">
        <v>192</v>
      </c>
      <c r="E5">
        <v>4</v>
      </c>
      <c r="F5">
        <v>3.13</v>
      </c>
      <c r="G5">
        <v>4</v>
      </c>
      <c r="H5" s="203" t="s">
        <v>192</v>
      </c>
      <c r="J5" s="57"/>
      <c r="K5" s="58"/>
    </row>
    <row r="6" spans="1:12" ht="14" thickBot="1" x14ac:dyDescent="0.2">
      <c r="A6" s="41" t="s">
        <v>121</v>
      </c>
      <c r="D6" s="202" t="s">
        <v>193</v>
      </c>
      <c r="E6">
        <v>5</v>
      </c>
      <c r="F6">
        <v>3.13</v>
      </c>
      <c r="G6">
        <v>5</v>
      </c>
      <c r="H6" s="203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2" t="s">
        <v>194</v>
      </c>
      <c r="E7">
        <v>6</v>
      </c>
      <c r="F7">
        <v>3.13</v>
      </c>
      <c r="G7">
        <v>6</v>
      </c>
      <c r="H7" s="203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2" t="s">
        <v>195</v>
      </c>
      <c r="E8">
        <v>7</v>
      </c>
      <c r="F8">
        <v>3.13</v>
      </c>
      <c r="G8">
        <v>7</v>
      </c>
      <c r="H8" s="203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2" t="s">
        <v>196</v>
      </c>
      <c r="E9">
        <v>8</v>
      </c>
      <c r="F9">
        <v>3.13</v>
      </c>
      <c r="G9">
        <v>8</v>
      </c>
      <c r="H9" s="203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2" t="s">
        <v>197</v>
      </c>
      <c r="E10">
        <v>9</v>
      </c>
      <c r="F10">
        <v>3.13</v>
      </c>
      <c r="G10">
        <v>9</v>
      </c>
      <c r="H10" s="203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2" t="s">
        <v>198</v>
      </c>
      <c r="E11">
        <v>10</v>
      </c>
      <c r="F11">
        <v>3.13</v>
      </c>
      <c r="G11">
        <v>10</v>
      </c>
      <c r="H11" s="203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2" t="s">
        <v>199</v>
      </c>
      <c r="E12">
        <v>11</v>
      </c>
      <c r="F12">
        <v>3.13</v>
      </c>
      <c r="G12">
        <v>11</v>
      </c>
      <c r="H12" s="203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2" t="s">
        <v>200</v>
      </c>
      <c r="E13">
        <v>12</v>
      </c>
      <c r="F13">
        <v>3.22</v>
      </c>
      <c r="G13">
        <v>12</v>
      </c>
      <c r="H13" s="203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2" t="s">
        <v>201</v>
      </c>
      <c r="E14">
        <v>13</v>
      </c>
      <c r="F14">
        <v>3.22</v>
      </c>
      <c r="G14">
        <v>13</v>
      </c>
      <c r="H14" s="203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2" t="s">
        <v>202</v>
      </c>
      <c r="E15">
        <v>14</v>
      </c>
      <c r="F15">
        <v>3.22</v>
      </c>
      <c r="G15">
        <v>14</v>
      </c>
      <c r="H15" s="203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2" t="s">
        <v>203</v>
      </c>
      <c r="E16">
        <v>15</v>
      </c>
      <c r="F16">
        <v>3.22</v>
      </c>
      <c r="G16">
        <v>15</v>
      </c>
      <c r="H16" s="203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2" t="s">
        <v>204</v>
      </c>
      <c r="E17">
        <v>16</v>
      </c>
      <c r="F17">
        <v>3.22</v>
      </c>
      <c r="G17">
        <v>16</v>
      </c>
      <c r="H17" s="203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2" t="s">
        <v>205</v>
      </c>
      <c r="E18">
        <v>17</v>
      </c>
      <c r="F18">
        <v>3.22</v>
      </c>
      <c r="G18">
        <v>17</v>
      </c>
      <c r="H18" s="203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2" t="s">
        <v>206</v>
      </c>
      <c r="E19">
        <v>18</v>
      </c>
      <c r="F19">
        <v>3.22</v>
      </c>
      <c r="G19">
        <v>18</v>
      </c>
      <c r="H19" s="203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2" t="s">
        <v>207</v>
      </c>
      <c r="E20">
        <v>19</v>
      </c>
      <c r="F20">
        <v>3.22</v>
      </c>
      <c r="G20">
        <v>19</v>
      </c>
      <c r="H20" s="203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2" t="s">
        <v>208</v>
      </c>
      <c r="E21">
        <v>20</v>
      </c>
      <c r="F21">
        <v>3.22</v>
      </c>
      <c r="G21">
        <v>20</v>
      </c>
      <c r="H21" s="203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2" t="s">
        <v>209</v>
      </c>
      <c r="E22">
        <v>21</v>
      </c>
      <c r="F22">
        <v>3.22</v>
      </c>
      <c r="G22">
        <v>21</v>
      </c>
      <c r="H22" s="203" t="s">
        <v>209</v>
      </c>
    </row>
    <row r="23" spans="1:12" x14ac:dyDescent="0.15">
      <c r="A23" s="36" t="s">
        <v>129</v>
      </c>
      <c r="B23" s="44">
        <v>4</v>
      </c>
      <c r="C23" s="38"/>
      <c r="D23" s="202" t="s">
        <v>210</v>
      </c>
      <c r="E23">
        <v>22</v>
      </c>
      <c r="F23">
        <v>3.22</v>
      </c>
      <c r="G23">
        <v>22</v>
      </c>
      <c r="H23" s="203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2" t="s">
        <v>211</v>
      </c>
      <c r="E24">
        <v>23</v>
      </c>
      <c r="F24">
        <v>3</v>
      </c>
      <c r="G24">
        <v>23</v>
      </c>
      <c r="H24" s="203" t="s">
        <v>211</v>
      </c>
    </row>
    <row r="25" spans="1:12" x14ac:dyDescent="0.15">
      <c r="A25" s="36" t="s">
        <v>70</v>
      </c>
      <c r="B25" s="44">
        <v>4.2</v>
      </c>
      <c r="C25" s="38"/>
      <c r="D25" s="202" t="s">
        <v>212</v>
      </c>
      <c r="E25">
        <v>24</v>
      </c>
      <c r="F25">
        <v>3.12</v>
      </c>
      <c r="G25">
        <v>24</v>
      </c>
      <c r="H25" s="203" t="s">
        <v>212</v>
      </c>
    </row>
    <row r="26" spans="1:12" x14ac:dyDescent="0.15">
      <c r="A26" s="36" t="s">
        <v>123</v>
      </c>
      <c r="B26" s="44">
        <v>4.3</v>
      </c>
      <c r="C26" s="38"/>
      <c r="D26" s="202" t="s">
        <v>213</v>
      </c>
      <c r="E26">
        <v>25</v>
      </c>
      <c r="F26">
        <v>3.2</v>
      </c>
      <c r="G26">
        <v>25</v>
      </c>
      <c r="H26" s="203" t="s">
        <v>213</v>
      </c>
    </row>
    <row r="27" spans="1:12" x14ac:dyDescent="0.15">
      <c r="A27" s="36" t="s">
        <v>125</v>
      </c>
      <c r="B27" s="44">
        <v>6.1</v>
      </c>
      <c r="D27" s="202" t="s">
        <v>214</v>
      </c>
      <c r="E27">
        <v>26</v>
      </c>
      <c r="F27">
        <v>3.2</v>
      </c>
      <c r="G27">
        <v>26</v>
      </c>
      <c r="H27" s="203" t="s">
        <v>214</v>
      </c>
    </row>
    <row r="28" spans="1:12" x14ac:dyDescent="0.15">
      <c r="A28" s="36" t="s">
        <v>124</v>
      </c>
      <c r="B28" s="44">
        <v>6.2</v>
      </c>
      <c r="D28" s="202" t="s">
        <v>215</v>
      </c>
      <c r="E28">
        <v>27</v>
      </c>
      <c r="F28">
        <v>3.2</v>
      </c>
      <c r="G28">
        <v>27</v>
      </c>
      <c r="H28" s="203" t="s">
        <v>215</v>
      </c>
    </row>
    <row r="29" spans="1:12" x14ac:dyDescent="0.15">
      <c r="A29" s="36" t="s">
        <v>44</v>
      </c>
      <c r="B29" s="44">
        <v>5</v>
      </c>
      <c r="D29" s="202" t="s">
        <v>216</v>
      </c>
      <c r="E29">
        <v>28</v>
      </c>
      <c r="F29">
        <v>3.2</v>
      </c>
      <c r="G29">
        <v>28</v>
      </c>
      <c r="H29" s="203" t="s">
        <v>216</v>
      </c>
    </row>
    <row r="30" spans="1:12" x14ac:dyDescent="0.15">
      <c r="A30" s="36" t="s">
        <v>73</v>
      </c>
      <c r="B30" s="44">
        <v>7</v>
      </c>
      <c r="D30" s="202" t="s">
        <v>217</v>
      </c>
      <c r="E30">
        <v>29</v>
      </c>
      <c r="F30">
        <v>3</v>
      </c>
      <c r="G30">
        <v>29</v>
      </c>
      <c r="H30" s="203" t="s">
        <v>217</v>
      </c>
    </row>
    <row r="31" spans="1:12" x14ac:dyDescent="0.15">
      <c r="A31" s="36" t="s">
        <v>169</v>
      </c>
      <c r="B31" s="44">
        <v>3.14</v>
      </c>
      <c r="D31" s="202" t="s">
        <v>218</v>
      </c>
      <c r="E31">
        <v>30</v>
      </c>
      <c r="F31">
        <v>3.12</v>
      </c>
      <c r="G31">
        <v>30</v>
      </c>
      <c r="H31" s="203" t="s">
        <v>218</v>
      </c>
    </row>
    <row r="32" spans="1:12" ht="12" customHeight="1" thickBot="1" x14ac:dyDescent="0.2">
      <c r="A32" s="42" t="s">
        <v>170</v>
      </c>
      <c r="B32" s="45">
        <v>9</v>
      </c>
      <c r="D32" s="202" t="s">
        <v>219</v>
      </c>
      <c r="E32">
        <v>31</v>
      </c>
      <c r="F32">
        <v>3.22</v>
      </c>
      <c r="G32">
        <v>31</v>
      </c>
      <c r="H32" s="203" t="s">
        <v>219</v>
      </c>
    </row>
    <row r="33" spans="4:8" customFormat="1" ht="12" customHeight="1" x14ac:dyDescent="0.15">
      <c r="D33" s="202" t="s">
        <v>220</v>
      </c>
      <c r="E33">
        <v>32</v>
      </c>
      <c r="F33">
        <v>3.12</v>
      </c>
      <c r="G33">
        <v>32</v>
      </c>
      <c r="H33" s="203" t="s">
        <v>220</v>
      </c>
    </row>
    <row r="34" spans="4:8" customFormat="1" ht="12" customHeight="1" x14ac:dyDescent="0.15">
      <c r="D34" s="202" t="s">
        <v>221</v>
      </c>
      <c r="E34">
        <v>33</v>
      </c>
      <c r="F34">
        <v>3.12</v>
      </c>
      <c r="G34">
        <v>33</v>
      </c>
      <c r="H34" s="203" t="s">
        <v>221</v>
      </c>
    </row>
    <row r="35" spans="4:8" customFormat="1" x14ac:dyDescent="0.15">
      <c r="D35" s="202" t="s">
        <v>222</v>
      </c>
      <c r="E35">
        <v>34</v>
      </c>
      <c r="F35">
        <v>3.12</v>
      </c>
      <c r="G35">
        <v>34</v>
      </c>
      <c r="H35" s="203" t="s">
        <v>222</v>
      </c>
    </row>
    <row r="36" spans="4:8" customFormat="1" x14ac:dyDescent="0.15">
      <c r="D36" s="202" t="s">
        <v>223</v>
      </c>
      <c r="E36">
        <v>35</v>
      </c>
      <c r="F36">
        <v>3.22</v>
      </c>
      <c r="G36">
        <v>35</v>
      </c>
      <c r="H36" s="203" t="s">
        <v>223</v>
      </c>
    </row>
    <row r="37" spans="4:8" customFormat="1" ht="12" customHeight="1" x14ac:dyDescent="0.15">
      <c r="D37" s="202" t="s">
        <v>224</v>
      </c>
      <c r="E37">
        <v>36</v>
      </c>
      <c r="F37">
        <v>3.12</v>
      </c>
      <c r="G37">
        <v>36</v>
      </c>
      <c r="H37" s="203" t="s">
        <v>224</v>
      </c>
    </row>
    <row r="38" spans="4:8" customFormat="1" x14ac:dyDescent="0.15">
      <c r="D38" s="202" t="s">
        <v>225</v>
      </c>
      <c r="E38">
        <v>37</v>
      </c>
      <c r="F38">
        <v>3.1</v>
      </c>
      <c r="G38">
        <v>37</v>
      </c>
      <c r="H38" s="203" t="s">
        <v>225</v>
      </c>
    </row>
    <row r="39" spans="4:8" customFormat="1" x14ac:dyDescent="0.15">
      <c r="D39" s="202" t="s">
        <v>226</v>
      </c>
      <c r="E39">
        <v>38</v>
      </c>
      <c r="F39">
        <v>3.12</v>
      </c>
      <c r="G39">
        <v>38</v>
      </c>
      <c r="H39" s="203" t="s">
        <v>226</v>
      </c>
    </row>
    <row r="40" spans="4:8" customFormat="1" x14ac:dyDescent="0.15">
      <c r="D40" s="202" t="s">
        <v>227</v>
      </c>
      <c r="E40">
        <v>39</v>
      </c>
      <c r="F40">
        <v>3.12</v>
      </c>
      <c r="G40">
        <v>39</v>
      </c>
      <c r="H40" s="203" t="s">
        <v>227</v>
      </c>
    </row>
    <row r="41" spans="4:8" customFormat="1" x14ac:dyDescent="0.15">
      <c r="D41" s="202" t="s">
        <v>228</v>
      </c>
      <c r="E41">
        <v>40</v>
      </c>
      <c r="F41">
        <v>3.12</v>
      </c>
      <c r="G41">
        <v>40</v>
      </c>
      <c r="H41" s="203" t="s">
        <v>228</v>
      </c>
    </row>
    <row r="42" spans="4:8" customFormat="1" x14ac:dyDescent="0.15">
      <c r="D42" s="202" t="s">
        <v>229</v>
      </c>
      <c r="E42">
        <v>41</v>
      </c>
      <c r="F42">
        <v>3.12</v>
      </c>
      <c r="G42">
        <v>41</v>
      </c>
      <c r="H42" s="203" t="s">
        <v>229</v>
      </c>
    </row>
    <row r="43" spans="4:8" customFormat="1" x14ac:dyDescent="0.15">
      <c r="D43" s="202" t="s">
        <v>230</v>
      </c>
      <c r="E43">
        <v>42</v>
      </c>
      <c r="F43">
        <v>3.21</v>
      </c>
      <c r="G43">
        <v>42</v>
      </c>
      <c r="H43" s="203" t="s">
        <v>230</v>
      </c>
    </row>
    <row r="44" spans="4:8" customFormat="1" x14ac:dyDescent="0.15">
      <c r="D44" s="202" t="s">
        <v>231</v>
      </c>
      <c r="E44">
        <v>43</v>
      </c>
      <c r="F44">
        <v>3.21</v>
      </c>
      <c r="G44">
        <v>43</v>
      </c>
      <c r="H44" s="203" t="s">
        <v>231</v>
      </c>
    </row>
    <row r="45" spans="4:8" customFormat="1" x14ac:dyDescent="0.15">
      <c r="D45" s="202" t="s">
        <v>232</v>
      </c>
      <c r="E45">
        <v>44</v>
      </c>
      <c r="F45">
        <v>3.21</v>
      </c>
      <c r="G45">
        <v>44</v>
      </c>
      <c r="H45" s="203" t="s">
        <v>232</v>
      </c>
    </row>
    <row r="46" spans="4:8" customFormat="1" x14ac:dyDescent="0.15">
      <c r="D46" s="202" t="s">
        <v>233</v>
      </c>
      <c r="E46">
        <v>45</v>
      </c>
      <c r="F46">
        <v>3</v>
      </c>
      <c r="G46">
        <v>45</v>
      </c>
      <c r="H46" s="203" t="s">
        <v>233</v>
      </c>
    </row>
    <row r="47" spans="4:8" customFormat="1" x14ac:dyDescent="0.15">
      <c r="D47" s="202" t="s">
        <v>234</v>
      </c>
      <c r="E47">
        <v>46</v>
      </c>
      <c r="F47">
        <v>3.21</v>
      </c>
      <c r="G47">
        <v>46</v>
      </c>
      <c r="H47" s="203" t="s">
        <v>234</v>
      </c>
    </row>
    <row r="48" spans="4:8" customFormat="1" x14ac:dyDescent="0.15">
      <c r="D48" s="202" t="s">
        <v>235</v>
      </c>
      <c r="E48">
        <v>47</v>
      </c>
      <c r="F48">
        <v>3.21</v>
      </c>
      <c r="G48">
        <v>47</v>
      </c>
      <c r="H48" s="203" t="s">
        <v>235</v>
      </c>
    </row>
    <row r="49" spans="4:8" customFormat="1" x14ac:dyDescent="0.15">
      <c r="D49" s="202" t="s">
        <v>236</v>
      </c>
      <c r="E49">
        <v>48</v>
      </c>
      <c r="F49">
        <v>3.21</v>
      </c>
      <c r="G49">
        <v>48</v>
      </c>
      <c r="H49" s="203" t="s">
        <v>236</v>
      </c>
    </row>
    <row r="50" spans="4:8" customFormat="1" ht="12" customHeight="1" x14ac:dyDescent="0.15">
      <c r="D50" s="202" t="s">
        <v>237</v>
      </c>
      <c r="E50">
        <v>49</v>
      </c>
      <c r="F50">
        <v>3.21</v>
      </c>
      <c r="G50">
        <v>49</v>
      </c>
      <c r="H50" s="203" t="s">
        <v>237</v>
      </c>
    </row>
    <row r="51" spans="4:8" customFormat="1" x14ac:dyDescent="0.15">
      <c r="D51" s="202" t="s">
        <v>238</v>
      </c>
      <c r="E51">
        <v>50</v>
      </c>
      <c r="F51">
        <v>3.11</v>
      </c>
      <c r="G51">
        <v>50</v>
      </c>
      <c r="H51" s="203" t="s">
        <v>238</v>
      </c>
    </row>
    <row r="52" spans="4:8" customFormat="1" ht="12" customHeight="1" x14ac:dyDescent="0.15">
      <c r="D52" s="202" t="s">
        <v>239</v>
      </c>
      <c r="E52">
        <v>51</v>
      </c>
      <c r="F52">
        <v>3.11</v>
      </c>
      <c r="G52">
        <v>51</v>
      </c>
      <c r="H52" s="203" t="s">
        <v>239</v>
      </c>
    </row>
    <row r="53" spans="4:8" customFormat="1" x14ac:dyDescent="0.15">
      <c r="D53" s="202" t="s">
        <v>240</v>
      </c>
      <c r="E53">
        <v>52</v>
      </c>
      <c r="F53">
        <v>2</v>
      </c>
      <c r="G53">
        <v>52</v>
      </c>
      <c r="H53" s="203" t="s">
        <v>240</v>
      </c>
    </row>
    <row r="54" spans="4:8" customFormat="1" ht="12" customHeight="1" x14ac:dyDescent="0.15">
      <c r="D54" s="202" t="s">
        <v>241</v>
      </c>
      <c r="E54">
        <v>53</v>
      </c>
      <c r="F54">
        <v>4.0999999999999996</v>
      </c>
      <c r="G54">
        <v>53</v>
      </c>
      <c r="H54" s="203" t="s">
        <v>241</v>
      </c>
    </row>
    <row r="55" spans="4:8" customFormat="1" ht="12" customHeight="1" x14ac:dyDescent="0.15">
      <c r="D55" s="202" t="s">
        <v>242</v>
      </c>
      <c r="E55">
        <v>54</v>
      </c>
      <c r="F55">
        <v>4.3</v>
      </c>
      <c r="G55">
        <v>54</v>
      </c>
      <c r="H55" s="203" t="s">
        <v>242</v>
      </c>
    </row>
    <row r="56" spans="4:8" customFormat="1" x14ac:dyDescent="0.15">
      <c r="D56" s="202" t="s">
        <v>243</v>
      </c>
      <c r="E56">
        <v>55</v>
      </c>
      <c r="F56">
        <v>5</v>
      </c>
      <c r="G56">
        <v>55</v>
      </c>
      <c r="H56" s="203" t="s">
        <v>243</v>
      </c>
    </row>
    <row r="57" spans="4:8" customFormat="1" x14ac:dyDescent="0.15">
      <c r="D57" s="202" t="s">
        <v>244</v>
      </c>
      <c r="E57">
        <v>56</v>
      </c>
      <c r="F57">
        <v>5</v>
      </c>
      <c r="G57">
        <v>56</v>
      </c>
      <c r="H57" s="203" t="s">
        <v>244</v>
      </c>
    </row>
    <row r="58" spans="4:8" customFormat="1" x14ac:dyDescent="0.15">
      <c r="D58" s="202" t="s">
        <v>245</v>
      </c>
      <c r="E58">
        <v>57</v>
      </c>
      <c r="F58">
        <v>5</v>
      </c>
      <c r="G58">
        <v>57</v>
      </c>
      <c r="H58" s="203" t="s">
        <v>245</v>
      </c>
    </row>
    <row r="59" spans="4:8" customFormat="1" x14ac:dyDescent="0.15">
      <c r="D59" s="202" t="s">
        <v>246</v>
      </c>
      <c r="E59">
        <v>58</v>
      </c>
      <c r="F59">
        <v>5</v>
      </c>
      <c r="G59">
        <v>58</v>
      </c>
      <c r="H59" s="203" t="s">
        <v>246</v>
      </c>
    </row>
    <row r="60" spans="4:8" customFormat="1" x14ac:dyDescent="0.15">
      <c r="D60" s="202" t="s">
        <v>247</v>
      </c>
      <c r="E60">
        <v>59</v>
      </c>
      <c r="F60">
        <v>5</v>
      </c>
      <c r="G60">
        <v>59</v>
      </c>
      <c r="H60" s="203" t="s">
        <v>247</v>
      </c>
    </row>
    <row r="61" spans="4:8" customFormat="1" x14ac:dyDescent="0.15">
      <c r="D61" s="202" t="s">
        <v>248</v>
      </c>
      <c r="E61">
        <v>60</v>
      </c>
      <c r="F61">
        <v>5</v>
      </c>
      <c r="G61">
        <v>60</v>
      </c>
      <c r="H61" s="203" t="s">
        <v>248</v>
      </c>
    </row>
    <row r="62" spans="4:8" customFormat="1" x14ac:dyDescent="0.15">
      <c r="D62" s="202" t="s">
        <v>249</v>
      </c>
      <c r="E62">
        <v>61</v>
      </c>
      <c r="F62">
        <v>5</v>
      </c>
      <c r="G62">
        <v>61</v>
      </c>
      <c r="H62" s="203" t="s">
        <v>249</v>
      </c>
    </row>
    <row r="63" spans="4:8" customFormat="1" x14ac:dyDescent="0.15">
      <c r="D63" s="202" t="s">
        <v>250</v>
      </c>
      <c r="E63">
        <v>62</v>
      </c>
      <c r="F63">
        <v>5</v>
      </c>
      <c r="G63">
        <v>62</v>
      </c>
      <c r="H63" s="203" t="s">
        <v>250</v>
      </c>
    </row>
    <row r="64" spans="4:8" customFormat="1" x14ac:dyDescent="0.15">
      <c r="D64" s="202" t="s">
        <v>251</v>
      </c>
      <c r="E64">
        <v>63</v>
      </c>
      <c r="F64">
        <v>5</v>
      </c>
      <c r="G64">
        <v>63</v>
      </c>
      <c r="H64" s="203" t="s">
        <v>251</v>
      </c>
    </row>
    <row r="65" spans="4:8" customFormat="1" x14ac:dyDescent="0.15">
      <c r="D65" s="202" t="s">
        <v>252</v>
      </c>
      <c r="E65">
        <v>64</v>
      </c>
      <c r="F65">
        <v>5</v>
      </c>
      <c r="G65">
        <v>64</v>
      </c>
      <c r="H65" s="203" t="s">
        <v>252</v>
      </c>
    </row>
    <row r="66" spans="4:8" customFormat="1" x14ac:dyDescent="0.15">
      <c r="D66" s="202" t="s">
        <v>253</v>
      </c>
      <c r="E66">
        <v>65</v>
      </c>
      <c r="F66">
        <v>5</v>
      </c>
      <c r="G66">
        <v>65</v>
      </c>
      <c r="H66" s="203" t="s">
        <v>253</v>
      </c>
    </row>
    <row r="67" spans="4:8" customFormat="1" x14ac:dyDescent="0.15">
      <c r="D67" s="202" t="s">
        <v>138</v>
      </c>
      <c r="E67">
        <v>66</v>
      </c>
      <c r="F67">
        <v>6.1</v>
      </c>
      <c r="G67">
        <v>66</v>
      </c>
      <c r="H67" s="203" t="s">
        <v>138</v>
      </c>
    </row>
    <row r="68" spans="4:8" customFormat="1" x14ac:dyDescent="0.15">
      <c r="D68" s="202" t="s">
        <v>45</v>
      </c>
      <c r="E68">
        <v>67</v>
      </c>
      <c r="F68">
        <v>6.2</v>
      </c>
      <c r="G68">
        <v>67</v>
      </c>
      <c r="H68" s="203" t="s">
        <v>45</v>
      </c>
    </row>
    <row r="69" spans="4:8" customFormat="1" x14ac:dyDescent="0.15"/>
    <row r="70" spans="4:8" customFormat="1" x14ac:dyDescent="0.15"/>
    <row r="71" spans="4:8" customFormat="1" x14ac:dyDescent="0.15"/>
    <row r="72" spans="4:8" customFormat="1" x14ac:dyDescent="0.15"/>
    <row r="73" spans="4:8" customFormat="1" x14ac:dyDescent="0.15"/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6" bestFit="1" customWidth="1"/>
    <col min="2" max="2" width="5.83203125" style="85" customWidth="1"/>
    <col min="3" max="3" width="13.1640625" style="85" customWidth="1"/>
    <col min="4" max="4" width="39.6640625" style="85" customWidth="1"/>
    <col min="5" max="5" width="8.1640625" style="85" customWidth="1"/>
    <col min="6" max="6" width="26.664062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7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5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5">
        <v>0</v>
      </c>
      <c r="R4" s="117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5">
        <v>0</v>
      </c>
      <c r="R5" s="117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204" t="s">
        <v>192</v>
      </c>
      <c r="G6" s="85">
        <v>0</v>
      </c>
      <c r="H6" s="85">
        <v>0</v>
      </c>
      <c r="I6" s="85">
        <v>0</v>
      </c>
      <c r="J6" s="85">
        <v>0</v>
      </c>
      <c r="K6" s="85">
        <v>1</v>
      </c>
      <c r="L6" s="85">
        <v>0</v>
      </c>
      <c r="M6" s="85">
        <v>1</v>
      </c>
      <c r="N6" s="85">
        <v>0</v>
      </c>
      <c r="O6" s="85">
        <v>1</v>
      </c>
      <c r="P6" s="73">
        <v>0</v>
      </c>
      <c r="Q6" s="85">
        <v>0</v>
      </c>
      <c r="R6" s="74">
        <v>1</v>
      </c>
      <c r="S6"/>
      <c r="T6"/>
    </row>
    <row r="7" spans="1:23" ht="15" customHeight="1" thickBot="1" x14ac:dyDescent="0.2">
      <c r="F7" s="204" t="s">
        <v>193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3">
        <v>0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1</v>
      </c>
      <c r="C8" s="205" t="s">
        <v>240</v>
      </c>
      <c r="D8" s="89" t="s">
        <v>160</v>
      </c>
      <c r="F8" s="204" t="s">
        <v>194</v>
      </c>
      <c r="G8" s="85">
        <v>0</v>
      </c>
      <c r="H8" s="85">
        <v>0</v>
      </c>
      <c r="I8" s="85">
        <v>0</v>
      </c>
      <c r="J8" s="85">
        <v>0</v>
      </c>
      <c r="K8" s="85">
        <v>1</v>
      </c>
      <c r="L8" s="85">
        <v>0</v>
      </c>
      <c r="M8" s="85">
        <v>1</v>
      </c>
      <c r="N8" s="85">
        <v>0</v>
      </c>
      <c r="O8" s="85">
        <v>1</v>
      </c>
      <c r="P8" s="73">
        <v>0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31" t="s">
        <v>168</v>
      </c>
      <c r="B9" s="96"/>
      <c r="C9" s="84"/>
      <c r="D9" s="89" t="s">
        <v>160</v>
      </c>
      <c r="F9" s="204" t="s">
        <v>195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3">
        <v>0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/>
      <c r="C10" s="84"/>
      <c r="D10" s="89" t="s">
        <v>160</v>
      </c>
      <c r="F10" s="204" t="s">
        <v>196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3">
        <v>0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204" t="s">
        <v>197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3">
        <v>0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204" t="s">
        <v>198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3">
        <v>0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204" t="s">
        <v>199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3">
        <v>0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204" t="s">
        <v>200</v>
      </c>
      <c r="G14" s="85">
        <v>0</v>
      </c>
      <c r="H14" s="85">
        <v>0</v>
      </c>
      <c r="I14" s="85">
        <v>0</v>
      </c>
      <c r="J14" s="85">
        <v>0</v>
      </c>
      <c r="K14" s="85">
        <v>1</v>
      </c>
      <c r="L14" s="85">
        <v>0</v>
      </c>
      <c r="M14" s="85">
        <v>1</v>
      </c>
      <c r="N14" s="85">
        <v>0</v>
      </c>
      <c r="O14" s="85">
        <v>1</v>
      </c>
      <c r="P14" s="73">
        <v>0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204" t="s">
        <v>201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3">
        <v>0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204" t="s">
        <v>202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3">
        <v>0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204" t="s">
        <v>203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3">
        <v>0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204" t="s">
        <v>204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3">
        <v>0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1</v>
      </c>
      <c r="C19" s="206" t="s">
        <v>240</v>
      </c>
      <c r="D19" s="89" t="s">
        <v>160</v>
      </c>
      <c r="F19" s="204" t="s">
        <v>205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3">
        <v>0</v>
      </c>
      <c r="Q19" s="85">
        <v>0</v>
      </c>
      <c r="R19" s="74">
        <v>1</v>
      </c>
      <c r="S19"/>
      <c r="T19"/>
    </row>
    <row r="20" spans="1:20" ht="15" customHeight="1" x14ac:dyDescent="0.15">
      <c r="A20" s="131" t="s">
        <v>168</v>
      </c>
      <c r="B20" s="96"/>
      <c r="C20" s="84"/>
      <c r="D20" s="89" t="s">
        <v>160</v>
      </c>
      <c r="F20" s="204" t="s">
        <v>206</v>
      </c>
      <c r="G20" s="85">
        <v>0</v>
      </c>
      <c r="H20" s="85">
        <v>0</v>
      </c>
      <c r="I20" s="85">
        <v>0</v>
      </c>
      <c r="J20" s="85">
        <v>0</v>
      </c>
      <c r="K20" s="85">
        <v>1</v>
      </c>
      <c r="L20" s="85">
        <v>0</v>
      </c>
      <c r="M20" s="85">
        <v>1</v>
      </c>
      <c r="N20" s="85">
        <v>0</v>
      </c>
      <c r="O20" s="85">
        <v>1</v>
      </c>
      <c r="P20" s="73">
        <v>0</v>
      </c>
      <c r="Q20" s="85">
        <v>0</v>
      </c>
      <c r="R20" s="74">
        <v>1</v>
      </c>
      <c r="S20"/>
      <c r="T20"/>
    </row>
    <row r="21" spans="1:20" ht="15" customHeight="1" x14ac:dyDescent="0.15">
      <c r="B21" s="96"/>
      <c r="C21" s="84"/>
      <c r="D21" s="89" t="s">
        <v>160</v>
      </c>
      <c r="F21" s="204" t="s">
        <v>207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3">
        <v>0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204" t="s">
        <v>208</v>
      </c>
      <c r="G22" s="85">
        <v>0</v>
      </c>
      <c r="H22" s="85">
        <v>0</v>
      </c>
      <c r="I22" s="85">
        <v>0</v>
      </c>
      <c r="J22" s="85">
        <v>0</v>
      </c>
      <c r="K22" s="85">
        <v>1</v>
      </c>
      <c r="L22" s="85">
        <v>0</v>
      </c>
      <c r="M22" s="85">
        <v>1</v>
      </c>
      <c r="N22" s="85">
        <v>0</v>
      </c>
      <c r="O22" s="85">
        <v>1</v>
      </c>
      <c r="P22" s="73">
        <v>0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204" t="s">
        <v>209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3">
        <v>0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204" t="s">
        <v>210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3">
        <v>0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204" t="s">
        <v>211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3">
        <v>0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204" t="s">
        <v>212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3">
        <v>0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204" t="s">
        <v>213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3">
        <v>0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204" t="s">
        <v>214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3">
        <v>0</v>
      </c>
      <c r="Q28" s="85">
        <v>0</v>
      </c>
      <c r="R28" s="74">
        <v>1</v>
      </c>
      <c r="S28"/>
      <c r="T28"/>
    </row>
    <row r="29" spans="1:20" ht="15" customHeight="1" x14ac:dyDescent="0.15">
      <c r="F29" s="204" t="s">
        <v>215</v>
      </c>
      <c r="G29" s="85">
        <v>0</v>
      </c>
      <c r="H29" s="85">
        <v>0</v>
      </c>
      <c r="I29" s="85">
        <v>0</v>
      </c>
      <c r="J29" s="85">
        <v>0</v>
      </c>
      <c r="K29" s="85">
        <v>1</v>
      </c>
      <c r="L29" s="85">
        <v>0</v>
      </c>
      <c r="M29" s="85">
        <v>1</v>
      </c>
      <c r="N29" s="85">
        <v>0</v>
      </c>
      <c r="O29" s="85">
        <v>1</v>
      </c>
      <c r="P29" s="73">
        <v>0</v>
      </c>
      <c r="Q29" s="85">
        <v>0</v>
      </c>
      <c r="R29" s="74">
        <v>1</v>
      </c>
      <c r="S29"/>
      <c r="T29"/>
    </row>
    <row r="30" spans="1:20" ht="15" customHeight="1" x14ac:dyDescent="0.15">
      <c r="F30" s="204" t="s">
        <v>216</v>
      </c>
      <c r="G30" s="85">
        <v>0</v>
      </c>
      <c r="H30" s="85">
        <v>0</v>
      </c>
      <c r="I30" s="85">
        <v>0</v>
      </c>
      <c r="J30" s="85">
        <v>0</v>
      </c>
      <c r="K30" s="85">
        <v>1</v>
      </c>
      <c r="L30" s="85">
        <v>0</v>
      </c>
      <c r="M30" s="85">
        <v>1</v>
      </c>
      <c r="N30" s="85">
        <v>0</v>
      </c>
      <c r="O30" s="85">
        <v>1</v>
      </c>
      <c r="P30" s="73">
        <v>0</v>
      </c>
      <c r="Q30" s="85">
        <v>0</v>
      </c>
      <c r="R30" s="74">
        <v>1</v>
      </c>
      <c r="S30"/>
      <c r="T30"/>
    </row>
    <row r="31" spans="1:20" ht="15" customHeight="1" x14ac:dyDescent="0.15">
      <c r="A31" s="132"/>
      <c r="B31" s="143" t="s">
        <v>17</v>
      </c>
      <c r="C31" s="143" t="s">
        <v>1</v>
      </c>
      <c r="D31" s="143" t="s">
        <v>161</v>
      </c>
      <c r="E31" s="144" t="s">
        <v>163</v>
      </c>
      <c r="F31" s="204" t="s">
        <v>217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3">
        <v>0</v>
      </c>
      <c r="Q31" s="85">
        <v>0</v>
      </c>
      <c r="R31" s="74">
        <v>1</v>
      </c>
      <c r="S31"/>
      <c r="T31"/>
    </row>
    <row r="32" spans="1:20" ht="15" customHeight="1" x14ac:dyDescent="0.15">
      <c r="A32" s="207" t="s">
        <v>240</v>
      </c>
      <c r="B32" s="97">
        <v>26.86</v>
      </c>
      <c r="C32" s="97">
        <v>93.1</v>
      </c>
      <c r="D32" s="97">
        <v>2500.6659999999997</v>
      </c>
      <c r="E32" s="134">
        <v>1</v>
      </c>
      <c r="F32" s="204" t="s">
        <v>218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3">
        <v>0</v>
      </c>
      <c r="Q32" s="85">
        <v>0</v>
      </c>
      <c r="R32" s="74">
        <v>1</v>
      </c>
      <c r="S32"/>
      <c r="T32"/>
    </row>
    <row r="33" spans="1:20" ht="15" customHeight="1" x14ac:dyDescent="0.15">
      <c r="A33" s="133"/>
      <c r="B33" s="97"/>
      <c r="C33" s="97"/>
      <c r="D33" s="97"/>
      <c r="E33" s="134"/>
      <c r="F33" s="204" t="s">
        <v>219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3">
        <v>0</v>
      </c>
      <c r="Q33" s="85">
        <v>0</v>
      </c>
      <c r="R33" s="74">
        <v>1</v>
      </c>
      <c r="S33"/>
      <c r="T33"/>
    </row>
    <row r="34" spans="1:20" ht="15" customHeight="1" x14ac:dyDescent="0.15">
      <c r="A34" s="135"/>
      <c r="B34" s="97"/>
      <c r="C34" s="97"/>
      <c r="D34" s="97"/>
      <c r="E34" s="134"/>
      <c r="F34" s="204" t="s">
        <v>220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3">
        <v>0</v>
      </c>
      <c r="Q34" s="85">
        <v>0</v>
      </c>
      <c r="R34" s="74">
        <v>1</v>
      </c>
      <c r="S34"/>
      <c r="T34"/>
    </row>
    <row r="35" spans="1:20" ht="15" customHeight="1" x14ac:dyDescent="0.15">
      <c r="A35" s="136"/>
      <c r="B35" s="97"/>
      <c r="C35" s="97"/>
      <c r="D35" s="97"/>
      <c r="E35" s="134"/>
      <c r="F35" s="204" t="s">
        <v>221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3">
        <v>0</v>
      </c>
      <c r="Q35" s="85">
        <v>0</v>
      </c>
      <c r="R35" s="74">
        <v>1</v>
      </c>
      <c r="S35"/>
      <c r="T35"/>
    </row>
    <row r="36" spans="1:20" ht="15" customHeight="1" x14ac:dyDescent="0.15">
      <c r="A36" s="137"/>
      <c r="B36" s="97"/>
      <c r="C36" s="97"/>
      <c r="D36" s="97"/>
      <c r="E36" s="134"/>
      <c r="F36" s="204" t="s">
        <v>222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3">
        <v>0</v>
      </c>
      <c r="Q36" s="85">
        <v>0</v>
      </c>
      <c r="R36" s="74">
        <v>1</v>
      </c>
      <c r="S36"/>
      <c r="T36"/>
    </row>
    <row r="37" spans="1:20" ht="15" customHeight="1" x14ac:dyDescent="0.15">
      <c r="A37" s="137"/>
      <c r="B37" s="97"/>
      <c r="C37" s="97"/>
      <c r="D37" s="97"/>
      <c r="E37" s="134"/>
      <c r="F37" s="204" t="s">
        <v>223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3">
        <v>0</v>
      </c>
      <c r="Q37" s="85">
        <v>0</v>
      </c>
      <c r="R37" s="74">
        <v>1</v>
      </c>
      <c r="S37"/>
      <c r="T37"/>
    </row>
    <row r="38" spans="1:20" ht="15" customHeight="1" x14ac:dyDescent="0.15">
      <c r="A38" s="138"/>
      <c r="B38" s="97"/>
      <c r="C38" s="97"/>
      <c r="D38" s="97"/>
      <c r="E38" s="134"/>
      <c r="F38" s="204" t="s">
        <v>224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3">
        <v>0</v>
      </c>
      <c r="Q38" s="85">
        <v>0</v>
      </c>
      <c r="R38" s="74">
        <v>1</v>
      </c>
      <c r="S38"/>
      <c r="T38"/>
    </row>
    <row r="39" spans="1:20" ht="15" customHeight="1" x14ac:dyDescent="0.15">
      <c r="A39" s="138"/>
      <c r="B39" s="97"/>
      <c r="C39" s="97"/>
      <c r="D39" s="97"/>
      <c r="E39" s="134"/>
      <c r="F39" s="204" t="s">
        <v>225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3">
        <v>0</v>
      </c>
      <c r="Q39" s="85">
        <v>0</v>
      </c>
      <c r="R39" s="74">
        <v>1</v>
      </c>
      <c r="S39"/>
      <c r="T39"/>
    </row>
    <row r="40" spans="1:20" ht="15" customHeight="1" x14ac:dyDescent="0.15">
      <c r="A40" s="138"/>
      <c r="B40" s="97"/>
      <c r="C40" s="97"/>
      <c r="D40" s="97"/>
      <c r="E40" s="134"/>
      <c r="F40" s="204" t="s">
        <v>226</v>
      </c>
      <c r="G40" s="85">
        <v>0</v>
      </c>
      <c r="H40" s="85">
        <v>0</v>
      </c>
      <c r="I40" s="85">
        <v>0</v>
      </c>
      <c r="J40" s="85">
        <v>0</v>
      </c>
      <c r="K40" s="85">
        <v>1</v>
      </c>
      <c r="L40" s="85">
        <v>0</v>
      </c>
      <c r="M40" s="85">
        <v>1</v>
      </c>
      <c r="N40" s="85">
        <v>0</v>
      </c>
      <c r="O40" s="85">
        <v>1</v>
      </c>
      <c r="P40" s="73">
        <v>0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8"/>
      <c r="B41" s="97"/>
      <c r="C41" s="97"/>
      <c r="D41" s="98"/>
      <c r="E41" s="139"/>
      <c r="F41" s="204" t="s">
        <v>227</v>
      </c>
      <c r="G41" s="85">
        <v>0</v>
      </c>
      <c r="H41" s="85">
        <v>0</v>
      </c>
      <c r="I41" s="85">
        <v>0</v>
      </c>
      <c r="J41" s="85">
        <v>0</v>
      </c>
      <c r="K41" s="85">
        <v>1</v>
      </c>
      <c r="L41" s="85">
        <v>0</v>
      </c>
      <c r="M41" s="85">
        <v>1</v>
      </c>
      <c r="N41" s="85">
        <v>0</v>
      </c>
      <c r="O41" s="85">
        <v>1</v>
      </c>
      <c r="P41" s="73">
        <v>0</v>
      </c>
      <c r="Q41" s="85">
        <v>0</v>
      </c>
      <c r="R41" s="74">
        <v>1</v>
      </c>
      <c r="S41"/>
      <c r="T41"/>
    </row>
    <row r="42" spans="1:20" ht="15" customHeight="1" x14ac:dyDescent="0.15">
      <c r="A42" s="140"/>
      <c r="B42" s="141"/>
      <c r="C42" s="141" t="s">
        <v>162</v>
      </c>
      <c r="D42" s="141">
        <f>SUM(D32:D41)</f>
        <v>2500.6659999999997</v>
      </c>
      <c r="E42" s="142">
        <f>SUM(E32:E41)</f>
        <v>1</v>
      </c>
      <c r="F42" s="204" t="s">
        <v>228</v>
      </c>
      <c r="G42" s="85">
        <v>0</v>
      </c>
      <c r="H42" s="85">
        <v>0</v>
      </c>
      <c r="I42" s="85">
        <v>0</v>
      </c>
      <c r="J42" s="85">
        <v>0</v>
      </c>
      <c r="K42" s="85">
        <v>1</v>
      </c>
      <c r="L42" s="85">
        <v>0</v>
      </c>
      <c r="M42" s="85">
        <v>1</v>
      </c>
      <c r="N42" s="85">
        <v>0</v>
      </c>
      <c r="O42" s="85">
        <v>1</v>
      </c>
      <c r="P42" s="73">
        <v>0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204" t="s">
        <v>229</v>
      </c>
      <c r="G43" s="85">
        <v>0</v>
      </c>
      <c r="H43" s="85">
        <v>0</v>
      </c>
      <c r="I43" s="85">
        <v>0</v>
      </c>
      <c r="J43" s="85">
        <v>0</v>
      </c>
      <c r="K43" s="85">
        <v>1</v>
      </c>
      <c r="L43" s="85">
        <v>0</v>
      </c>
      <c r="M43" s="85">
        <v>1</v>
      </c>
      <c r="N43" s="85">
        <v>0</v>
      </c>
      <c r="O43" s="85">
        <v>1</v>
      </c>
      <c r="P43" s="73">
        <v>0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204" t="s">
        <v>230</v>
      </c>
      <c r="G44" s="85">
        <v>0</v>
      </c>
      <c r="H44" s="85">
        <v>0</v>
      </c>
      <c r="I44" s="85">
        <v>0</v>
      </c>
      <c r="J44" s="85">
        <v>0</v>
      </c>
      <c r="K44" s="85">
        <v>1</v>
      </c>
      <c r="L44" s="85">
        <v>0</v>
      </c>
      <c r="M44" s="85">
        <v>1</v>
      </c>
      <c r="N44" s="85">
        <v>0</v>
      </c>
      <c r="O44" s="85">
        <v>1</v>
      </c>
      <c r="P44" s="73">
        <v>0</v>
      </c>
      <c r="Q44" s="85">
        <v>0</v>
      </c>
      <c r="R44" s="74">
        <v>1</v>
      </c>
    </row>
    <row r="45" spans="1:20" ht="15" customHeight="1" x14ac:dyDescent="0.15">
      <c r="A45" s="85"/>
      <c r="F45" s="204" t="s">
        <v>231</v>
      </c>
      <c r="G45" s="85">
        <v>0</v>
      </c>
      <c r="H45" s="85">
        <v>0</v>
      </c>
      <c r="I45" s="85">
        <v>0</v>
      </c>
      <c r="J45" s="85">
        <v>0</v>
      </c>
      <c r="K45" s="85">
        <v>1</v>
      </c>
      <c r="L45" s="85">
        <v>0</v>
      </c>
      <c r="M45" s="85">
        <v>1</v>
      </c>
      <c r="N45" s="85">
        <v>0</v>
      </c>
      <c r="O45" s="85">
        <v>1</v>
      </c>
      <c r="P45" s="73">
        <v>0</v>
      </c>
      <c r="Q45" s="85">
        <v>0</v>
      </c>
      <c r="R45" s="74">
        <v>1</v>
      </c>
    </row>
    <row r="46" spans="1:20" ht="15" customHeight="1" x14ac:dyDescent="0.15">
      <c r="A46" s="85"/>
      <c r="F46" s="204" t="s">
        <v>232</v>
      </c>
      <c r="G46" s="85">
        <v>0</v>
      </c>
      <c r="H46" s="85">
        <v>0</v>
      </c>
      <c r="I46" s="85">
        <v>0</v>
      </c>
      <c r="J46" s="85">
        <v>0</v>
      </c>
      <c r="K46" s="85">
        <v>1</v>
      </c>
      <c r="L46" s="85">
        <v>0</v>
      </c>
      <c r="M46" s="85">
        <v>1</v>
      </c>
      <c r="N46" s="85">
        <v>0</v>
      </c>
      <c r="O46" s="85">
        <v>1</v>
      </c>
      <c r="P46" s="73">
        <v>0</v>
      </c>
      <c r="Q46" s="85">
        <v>0</v>
      </c>
      <c r="R46" s="74">
        <v>1</v>
      </c>
    </row>
    <row r="47" spans="1:20" ht="15" customHeight="1" x14ac:dyDescent="0.15">
      <c r="A47" s="85"/>
      <c r="F47" s="204" t="s">
        <v>233</v>
      </c>
      <c r="G47" s="85">
        <v>0</v>
      </c>
      <c r="H47" s="85">
        <v>0</v>
      </c>
      <c r="I47" s="85">
        <v>0</v>
      </c>
      <c r="J47" s="85">
        <v>0</v>
      </c>
      <c r="K47" s="85">
        <v>1</v>
      </c>
      <c r="L47" s="85">
        <v>0</v>
      </c>
      <c r="M47" s="85">
        <v>1</v>
      </c>
      <c r="N47" s="85">
        <v>0</v>
      </c>
      <c r="O47" s="85">
        <v>1</v>
      </c>
      <c r="P47" s="73">
        <v>0</v>
      </c>
      <c r="Q47" s="85">
        <v>0</v>
      </c>
      <c r="R47" s="74">
        <v>1</v>
      </c>
    </row>
    <row r="48" spans="1:20" ht="15" customHeight="1" x14ac:dyDescent="0.15">
      <c r="A48" s="85"/>
      <c r="F48" s="204" t="s">
        <v>234</v>
      </c>
      <c r="G48" s="85">
        <v>0</v>
      </c>
      <c r="H48" s="85">
        <v>0</v>
      </c>
      <c r="I48" s="85">
        <v>0</v>
      </c>
      <c r="J48" s="85">
        <v>0</v>
      </c>
      <c r="K48" s="85">
        <v>1</v>
      </c>
      <c r="L48" s="85">
        <v>0</v>
      </c>
      <c r="M48" s="85">
        <v>1</v>
      </c>
      <c r="N48" s="85">
        <v>0</v>
      </c>
      <c r="O48" s="85">
        <v>1</v>
      </c>
      <c r="P48" s="73">
        <v>0</v>
      </c>
      <c r="Q48" s="85">
        <v>0</v>
      </c>
      <c r="R48" s="74">
        <v>1</v>
      </c>
    </row>
    <row r="49" spans="6:18" s="85" customFormat="1" ht="15" customHeight="1" x14ac:dyDescent="0.15">
      <c r="F49" s="204" t="s">
        <v>235</v>
      </c>
      <c r="G49" s="85">
        <v>0</v>
      </c>
      <c r="H49" s="85">
        <v>0</v>
      </c>
      <c r="I49" s="85">
        <v>0</v>
      </c>
      <c r="J49" s="85">
        <v>0</v>
      </c>
      <c r="K49" s="85">
        <v>1</v>
      </c>
      <c r="L49" s="85">
        <v>0</v>
      </c>
      <c r="M49" s="85">
        <v>1</v>
      </c>
      <c r="N49" s="85">
        <v>0</v>
      </c>
      <c r="O49" s="85">
        <v>1</v>
      </c>
      <c r="P49" s="73">
        <v>0</v>
      </c>
      <c r="Q49" s="85">
        <v>0</v>
      </c>
      <c r="R49" s="74">
        <v>1</v>
      </c>
    </row>
    <row r="50" spans="6:18" s="85" customFormat="1" ht="15" customHeight="1" x14ac:dyDescent="0.15">
      <c r="F50" s="204" t="s">
        <v>236</v>
      </c>
      <c r="G50" s="85">
        <v>0</v>
      </c>
      <c r="H50" s="85">
        <v>0</v>
      </c>
      <c r="I50" s="85">
        <v>0</v>
      </c>
      <c r="J50" s="85">
        <v>0</v>
      </c>
      <c r="K50" s="85">
        <v>1</v>
      </c>
      <c r="L50" s="85">
        <v>0</v>
      </c>
      <c r="M50" s="85">
        <v>1</v>
      </c>
      <c r="N50" s="85">
        <v>0</v>
      </c>
      <c r="O50" s="85">
        <v>1</v>
      </c>
      <c r="P50" s="73">
        <v>0</v>
      </c>
      <c r="Q50" s="85">
        <v>0</v>
      </c>
      <c r="R50" s="74">
        <v>1</v>
      </c>
    </row>
    <row r="51" spans="6:18" s="85" customFormat="1" ht="15" customHeight="1" x14ac:dyDescent="0.15">
      <c r="F51" s="204" t="s">
        <v>237</v>
      </c>
      <c r="G51" s="85">
        <v>0</v>
      </c>
      <c r="H51" s="85">
        <v>0</v>
      </c>
      <c r="I51" s="85">
        <v>0</v>
      </c>
      <c r="J51" s="85">
        <v>0</v>
      </c>
      <c r="K51" s="85">
        <v>1</v>
      </c>
      <c r="L51" s="85">
        <v>0</v>
      </c>
      <c r="M51" s="85">
        <v>1</v>
      </c>
      <c r="N51" s="85">
        <v>0</v>
      </c>
      <c r="O51" s="85">
        <v>1</v>
      </c>
      <c r="P51" s="73">
        <v>0</v>
      </c>
      <c r="Q51" s="85">
        <v>0</v>
      </c>
      <c r="R51" s="74">
        <v>1</v>
      </c>
    </row>
    <row r="52" spans="6:18" s="85" customFormat="1" ht="15" customHeight="1" x14ac:dyDescent="0.15">
      <c r="F52" s="204" t="s">
        <v>238</v>
      </c>
      <c r="G52" s="85">
        <v>0</v>
      </c>
      <c r="H52" s="85">
        <v>0</v>
      </c>
      <c r="I52" s="85">
        <v>0</v>
      </c>
      <c r="J52" s="85">
        <v>0</v>
      </c>
      <c r="K52" s="85">
        <v>1</v>
      </c>
      <c r="L52" s="85">
        <v>0</v>
      </c>
      <c r="M52" s="85">
        <v>1</v>
      </c>
      <c r="N52" s="85">
        <v>0</v>
      </c>
      <c r="O52" s="85">
        <v>1</v>
      </c>
      <c r="P52" s="73">
        <v>0</v>
      </c>
      <c r="Q52" s="85">
        <v>0</v>
      </c>
      <c r="R52" s="74">
        <v>1</v>
      </c>
    </row>
    <row r="53" spans="6:18" s="85" customFormat="1" ht="15" customHeight="1" x14ac:dyDescent="0.15">
      <c r="F53" s="204" t="s">
        <v>239</v>
      </c>
      <c r="G53" s="85">
        <v>0</v>
      </c>
      <c r="H53" s="85">
        <v>0</v>
      </c>
      <c r="I53" s="85">
        <v>0</v>
      </c>
      <c r="J53" s="85">
        <v>0</v>
      </c>
      <c r="K53" s="85">
        <v>1</v>
      </c>
      <c r="L53" s="85">
        <v>0</v>
      </c>
      <c r="M53" s="85">
        <v>1</v>
      </c>
      <c r="N53" s="85">
        <v>0</v>
      </c>
      <c r="O53" s="85">
        <v>1</v>
      </c>
      <c r="P53" s="73">
        <v>0</v>
      </c>
      <c r="Q53" s="85">
        <v>0</v>
      </c>
      <c r="R53" s="74">
        <v>1</v>
      </c>
    </row>
    <row r="54" spans="6:18" s="85" customFormat="1" ht="15" customHeight="1" x14ac:dyDescent="0.15">
      <c r="F54" s="204" t="s">
        <v>240</v>
      </c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1</v>
      </c>
      <c r="N54" s="85">
        <v>0</v>
      </c>
      <c r="O54" s="85">
        <v>0</v>
      </c>
      <c r="P54" s="73">
        <v>0</v>
      </c>
      <c r="Q54" s="85">
        <v>0</v>
      </c>
      <c r="R54" s="74">
        <v>1</v>
      </c>
    </row>
    <row r="55" spans="6:18" s="85" customFormat="1" ht="15" customHeight="1" x14ac:dyDescent="0.15">
      <c r="F55" s="204" t="s">
        <v>241</v>
      </c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1</v>
      </c>
      <c r="M55" s="85">
        <v>0</v>
      </c>
      <c r="N55" s="85">
        <v>1</v>
      </c>
      <c r="O55" s="85">
        <v>0</v>
      </c>
      <c r="P55" s="73">
        <v>1</v>
      </c>
      <c r="Q55" s="85">
        <v>0</v>
      </c>
      <c r="R55" s="74">
        <v>1</v>
      </c>
    </row>
    <row r="56" spans="6:18" s="85" customFormat="1" ht="15" customHeight="1" x14ac:dyDescent="0.15">
      <c r="F56" s="204" t="s">
        <v>242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1</v>
      </c>
      <c r="M56" s="85">
        <v>0</v>
      </c>
      <c r="N56" s="85">
        <v>1</v>
      </c>
      <c r="O56" s="85">
        <v>0</v>
      </c>
      <c r="P56" s="73">
        <v>1</v>
      </c>
      <c r="Q56" s="85">
        <v>0</v>
      </c>
      <c r="R56" s="74">
        <v>1</v>
      </c>
    </row>
    <row r="57" spans="6:18" s="85" customFormat="1" ht="15" customHeight="1" x14ac:dyDescent="0.15">
      <c r="F57" s="204" t="s">
        <v>243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1</v>
      </c>
      <c r="M57" s="85">
        <v>0</v>
      </c>
      <c r="N57" s="85">
        <v>0</v>
      </c>
      <c r="O57" s="85">
        <v>0</v>
      </c>
      <c r="P57" s="73">
        <v>0</v>
      </c>
      <c r="Q57" s="85">
        <v>0</v>
      </c>
      <c r="R57" s="74">
        <v>1</v>
      </c>
    </row>
    <row r="58" spans="6:18" s="85" customFormat="1" ht="15" customHeight="1" x14ac:dyDescent="0.15">
      <c r="F58" s="204" t="s">
        <v>244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1</v>
      </c>
      <c r="M58" s="85">
        <v>0</v>
      </c>
      <c r="N58" s="85">
        <v>0</v>
      </c>
      <c r="O58" s="85">
        <v>0</v>
      </c>
      <c r="P58" s="73">
        <v>0</v>
      </c>
      <c r="Q58" s="85">
        <v>0</v>
      </c>
      <c r="R58" s="74">
        <v>1</v>
      </c>
    </row>
    <row r="59" spans="6:18" s="85" customFormat="1" ht="15" customHeight="1" x14ac:dyDescent="0.15">
      <c r="F59" s="204" t="s">
        <v>245</v>
      </c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1</v>
      </c>
      <c r="M59" s="85">
        <v>0</v>
      </c>
      <c r="N59" s="85">
        <v>0</v>
      </c>
      <c r="O59" s="85">
        <v>0</v>
      </c>
      <c r="P59" s="73">
        <v>0</v>
      </c>
      <c r="Q59" s="85">
        <v>0</v>
      </c>
      <c r="R59" s="74">
        <v>1</v>
      </c>
    </row>
    <row r="60" spans="6:18" s="85" customFormat="1" ht="15" customHeight="1" x14ac:dyDescent="0.15">
      <c r="F60" s="204" t="s">
        <v>246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1</v>
      </c>
      <c r="M60" s="85">
        <v>0</v>
      </c>
      <c r="N60" s="85">
        <v>0</v>
      </c>
      <c r="O60" s="85">
        <v>0</v>
      </c>
      <c r="P60" s="73">
        <v>0</v>
      </c>
      <c r="Q60" s="85">
        <v>0</v>
      </c>
      <c r="R60" s="74">
        <v>1</v>
      </c>
    </row>
    <row r="61" spans="6:18" s="85" customFormat="1" ht="15" customHeight="1" x14ac:dyDescent="0.15">
      <c r="F61" s="204" t="s">
        <v>247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1</v>
      </c>
      <c r="M61" s="85">
        <v>0</v>
      </c>
      <c r="N61" s="85">
        <v>0</v>
      </c>
      <c r="O61" s="85">
        <v>0</v>
      </c>
      <c r="P61" s="73">
        <v>0</v>
      </c>
      <c r="Q61" s="85">
        <v>0</v>
      </c>
      <c r="R61" s="74">
        <v>1</v>
      </c>
    </row>
    <row r="62" spans="6:18" s="85" customFormat="1" ht="15" customHeight="1" x14ac:dyDescent="0.15">
      <c r="F62" s="204" t="s">
        <v>248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1</v>
      </c>
      <c r="M62" s="85">
        <v>0</v>
      </c>
      <c r="N62" s="85">
        <v>0</v>
      </c>
      <c r="O62" s="85">
        <v>0</v>
      </c>
      <c r="P62" s="73">
        <v>0</v>
      </c>
      <c r="Q62" s="85">
        <v>0</v>
      </c>
      <c r="R62" s="74">
        <v>1</v>
      </c>
    </row>
    <row r="63" spans="6:18" s="85" customFormat="1" ht="15" customHeight="1" x14ac:dyDescent="0.15">
      <c r="F63" s="204" t="s">
        <v>249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1</v>
      </c>
      <c r="M63" s="85">
        <v>0</v>
      </c>
      <c r="N63" s="85">
        <v>0</v>
      </c>
      <c r="O63" s="85">
        <v>0</v>
      </c>
      <c r="P63" s="73">
        <v>0</v>
      </c>
      <c r="Q63" s="85">
        <v>0</v>
      </c>
      <c r="R63" s="74">
        <v>1</v>
      </c>
    </row>
    <row r="64" spans="6:18" s="85" customFormat="1" ht="15" customHeight="1" x14ac:dyDescent="0.15">
      <c r="F64" s="204" t="s">
        <v>250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  <c r="L64" s="85">
        <v>1</v>
      </c>
      <c r="M64" s="85">
        <v>0</v>
      </c>
      <c r="N64" s="85">
        <v>0</v>
      </c>
      <c r="O64" s="85">
        <v>0</v>
      </c>
      <c r="P64" s="73">
        <v>0</v>
      </c>
      <c r="Q64" s="85">
        <v>0</v>
      </c>
      <c r="R64" s="74">
        <v>1</v>
      </c>
    </row>
    <row r="65" spans="1:18" ht="15" customHeight="1" x14ac:dyDescent="0.15">
      <c r="F65" s="204" t="s">
        <v>251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1</v>
      </c>
      <c r="M65" s="85">
        <v>0</v>
      </c>
      <c r="N65" s="85">
        <v>0</v>
      </c>
      <c r="O65" s="85">
        <v>0</v>
      </c>
      <c r="P65" s="73">
        <v>0</v>
      </c>
      <c r="Q65" s="85">
        <v>0</v>
      </c>
      <c r="R65" s="74">
        <v>1</v>
      </c>
    </row>
    <row r="66" spans="1:18" ht="15" customHeight="1" x14ac:dyDescent="0.15">
      <c r="F66" s="204" t="s">
        <v>252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1</v>
      </c>
      <c r="M66" s="85">
        <v>0</v>
      </c>
      <c r="N66" s="85">
        <v>0</v>
      </c>
      <c r="O66" s="85">
        <v>0</v>
      </c>
      <c r="P66" s="73">
        <v>0</v>
      </c>
      <c r="Q66" s="85">
        <v>0</v>
      </c>
      <c r="R66" s="74">
        <v>1</v>
      </c>
    </row>
    <row r="67" spans="1:18" ht="15" customHeight="1" x14ac:dyDescent="0.15">
      <c r="F67" s="204" t="s">
        <v>253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1</v>
      </c>
      <c r="M67" s="85">
        <v>0</v>
      </c>
      <c r="N67" s="85">
        <v>0</v>
      </c>
      <c r="O67" s="85">
        <v>0</v>
      </c>
      <c r="P67" s="73">
        <v>0</v>
      </c>
      <c r="Q67" s="85">
        <v>0</v>
      </c>
      <c r="R67" s="74">
        <v>1</v>
      </c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R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6.6640625" bestFit="1" customWidth="1"/>
    <col min="2" max="2" width="2.33203125" style="117" customWidth="1"/>
    <col min="3" max="5" width="7.83203125" style="117" customWidth="1"/>
    <col min="6" max="8" width="8.83203125" style="6"/>
    <col min="9" max="10" width="10.1640625" style="6" customWidth="1"/>
    <col min="11" max="11" width="10.33203125" style="6" customWidth="1"/>
    <col min="12" max="12" width="10.5" style="6" customWidth="1"/>
    <col min="13" max="13" width="12.83203125" style="6" customWidth="1"/>
    <col min="14" max="14" width="6.5" style="6" customWidth="1"/>
    <col min="15" max="15" width="15.5" style="6" customWidth="1"/>
    <col min="16" max="16" width="17.1640625" style="6" customWidth="1"/>
    <col min="17" max="17" width="11.5" style="6" customWidth="1"/>
    <col min="18" max="19" width="13.6640625" style="6" customWidth="1"/>
    <col min="20" max="20" width="16" style="6" customWidth="1"/>
    <col min="21" max="21" width="15.83203125" style="6" customWidth="1"/>
    <col min="22" max="22" width="13.33203125" style="6" customWidth="1"/>
    <col min="23" max="23" width="16.1640625" style="6" customWidth="1"/>
    <col min="24" max="24" width="13.1640625" style="6" customWidth="1"/>
    <col min="25" max="25" width="13.6640625" style="6" customWidth="1"/>
    <col min="26" max="26" width="7.1640625" style="6" customWidth="1"/>
    <col min="27" max="28" width="7.5" style="6" customWidth="1"/>
    <col min="29" max="29" width="25" style="6" customWidth="1"/>
    <col min="30" max="30" width="20.1640625" style="6" customWidth="1"/>
    <col min="31" max="31" width="21.1640625" style="6" customWidth="1"/>
    <col min="32" max="32" width="25.83203125" style="6" customWidth="1"/>
    <col min="33" max="33" width="26.6640625" style="6" customWidth="1"/>
    <col min="34" max="34" width="14" style="6" customWidth="1"/>
    <col min="35" max="35" width="8.6640625" style="6" customWidth="1"/>
    <col min="36" max="36" width="13.33203125" style="6" customWidth="1"/>
    <col min="37" max="38" width="7.5" style="6" customWidth="1"/>
    <col min="39" max="39" width="10" customWidth="1"/>
    <col min="40" max="40" width="9.6640625" customWidth="1"/>
    <col min="41" max="41" width="7.1640625" customWidth="1"/>
    <col min="42" max="42" width="16.5" customWidth="1"/>
    <col min="43" max="43" width="13.6640625" customWidth="1"/>
    <col min="44" max="44" width="18" customWidth="1"/>
    <col min="45" max="45" width="16.1640625" customWidth="1"/>
    <col min="46" max="46" width="11.1640625" customWidth="1"/>
    <col min="47" max="47" width="18.6640625" customWidth="1"/>
    <col min="48" max="48" width="18.83203125" customWidth="1"/>
    <col min="49" max="49" width="7.5" customWidth="1"/>
    <col min="50" max="50" width="7.1640625" customWidth="1"/>
    <col min="51" max="51" width="12.1640625" customWidth="1"/>
    <col min="52" max="52" width="11.5" customWidth="1"/>
    <col min="53" max="53" width="7.83203125" customWidth="1"/>
    <col min="54" max="54" width="13.83203125" customWidth="1"/>
    <col min="55" max="55" width="12.83203125" customWidth="1"/>
    <col min="56" max="57" width="13.1640625" customWidth="1"/>
    <col min="58" max="58" width="7.6640625" customWidth="1"/>
    <col min="59" max="59" width="21.6640625" customWidth="1"/>
    <col min="60" max="60" width="9.1640625" customWidth="1"/>
    <col min="61" max="61" width="11.6640625" customWidth="1"/>
    <col min="62" max="62" width="13.1640625" customWidth="1"/>
    <col min="63" max="63" width="12" customWidth="1"/>
    <col min="64" max="64" width="11.83203125" customWidth="1"/>
    <col min="65" max="65" width="16.83203125" customWidth="1"/>
    <col min="66" max="66" width="13.1640625" customWidth="1"/>
    <col min="67" max="67" width="16" customWidth="1"/>
    <col min="68" max="68" width="8.1640625" customWidth="1"/>
    <col min="69" max="69" width="9.1640625" customWidth="1"/>
    <col min="70" max="70" width="10" customWidth="1"/>
    <col min="81" max="81" width="22.1640625" bestFit="1" customWidth="1"/>
  </cols>
  <sheetData>
    <row r="1" spans="1:7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9" t="s">
        <v>192</v>
      </c>
      <c r="J1" s="209" t="s">
        <v>193</v>
      </c>
      <c r="K1" s="209" t="s">
        <v>194</v>
      </c>
      <c r="L1" s="209" t="s">
        <v>195</v>
      </c>
      <c r="M1" s="209" t="s">
        <v>196</v>
      </c>
      <c r="N1" s="209" t="s">
        <v>197</v>
      </c>
      <c r="O1" s="209" t="s">
        <v>198</v>
      </c>
      <c r="P1" s="209" t="s">
        <v>199</v>
      </c>
      <c r="Q1" s="209" t="s">
        <v>200</v>
      </c>
      <c r="R1" s="209" t="s">
        <v>201</v>
      </c>
      <c r="S1" s="209" t="s">
        <v>202</v>
      </c>
      <c r="T1" s="209" t="s">
        <v>203</v>
      </c>
      <c r="U1" s="209" t="s">
        <v>204</v>
      </c>
      <c r="V1" s="209" t="s">
        <v>205</v>
      </c>
      <c r="W1" s="209" t="s">
        <v>206</v>
      </c>
      <c r="X1" s="209" t="s">
        <v>207</v>
      </c>
      <c r="Y1" s="209" t="s">
        <v>208</v>
      </c>
      <c r="Z1" s="209" t="s">
        <v>209</v>
      </c>
      <c r="AA1" s="209" t="s">
        <v>210</v>
      </c>
      <c r="AB1" s="209" t="s">
        <v>211</v>
      </c>
      <c r="AC1" s="209" t="s">
        <v>212</v>
      </c>
      <c r="AD1" s="209" t="s">
        <v>213</v>
      </c>
      <c r="AE1" s="209" t="s">
        <v>214</v>
      </c>
      <c r="AF1" s="209" t="s">
        <v>215</v>
      </c>
      <c r="AG1" s="209" t="s">
        <v>216</v>
      </c>
      <c r="AH1" s="209" t="s">
        <v>217</v>
      </c>
      <c r="AI1" s="209" t="s">
        <v>218</v>
      </c>
      <c r="AJ1" s="209" t="s">
        <v>219</v>
      </c>
      <c r="AK1" s="209" t="s">
        <v>220</v>
      </c>
      <c r="AL1" s="209" t="s">
        <v>221</v>
      </c>
      <c r="AM1" s="209" t="s">
        <v>222</v>
      </c>
      <c r="AN1" s="209" t="s">
        <v>223</v>
      </c>
      <c r="AO1" s="209" t="s">
        <v>224</v>
      </c>
      <c r="AP1" s="209" t="s">
        <v>225</v>
      </c>
      <c r="AQ1" s="209" t="s">
        <v>226</v>
      </c>
      <c r="AR1" s="209" t="s">
        <v>227</v>
      </c>
      <c r="AS1" s="209" t="s">
        <v>228</v>
      </c>
      <c r="AT1" s="209" t="s">
        <v>229</v>
      </c>
      <c r="AU1" s="209" t="s">
        <v>230</v>
      </c>
      <c r="AV1" s="209" t="s">
        <v>231</v>
      </c>
      <c r="AW1" s="209" t="s">
        <v>232</v>
      </c>
      <c r="AX1" s="209" t="s">
        <v>233</v>
      </c>
      <c r="AY1" s="209" t="s">
        <v>234</v>
      </c>
      <c r="AZ1" s="209" t="s">
        <v>235</v>
      </c>
      <c r="BA1" s="209" t="s">
        <v>236</v>
      </c>
      <c r="BB1" s="209" t="s">
        <v>237</v>
      </c>
      <c r="BC1" s="209" t="s">
        <v>238</v>
      </c>
      <c r="BD1" s="209" t="s">
        <v>239</v>
      </c>
      <c r="BE1" s="209" t="s">
        <v>240</v>
      </c>
      <c r="BF1" s="209" t="s">
        <v>241</v>
      </c>
      <c r="BG1" s="209" t="s">
        <v>242</v>
      </c>
      <c r="BH1" s="209" t="s">
        <v>243</v>
      </c>
      <c r="BI1" s="209" t="s">
        <v>244</v>
      </c>
      <c r="BJ1" s="209" t="s">
        <v>245</v>
      </c>
      <c r="BK1" s="209" t="s">
        <v>246</v>
      </c>
      <c r="BL1" s="209" t="s">
        <v>247</v>
      </c>
      <c r="BM1" s="209" t="s">
        <v>248</v>
      </c>
      <c r="BN1" s="209" t="s">
        <v>249</v>
      </c>
      <c r="BO1" s="209" t="s">
        <v>250</v>
      </c>
      <c r="BP1" s="209" t="s">
        <v>251</v>
      </c>
      <c r="BQ1" s="209" t="s">
        <v>252</v>
      </c>
      <c r="BR1" s="209" t="s">
        <v>253</v>
      </c>
    </row>
    <row r="2" spans="1:70" x14ac:dyDescent="0.15">
      <c r="A2" t="s">
        <v>38</v>
      </c>
      <c r="B2" s="11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0" x14ac:dyDescent="0.15">
      <c r="A3" t="s">
        <v>40</v>
      </c>
      <c r="B3" s="11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0" x14ac:dyDescent="0.15">
      <c r="A4" t="s">
        <v>41</v>
      </c>
      <c r="B4" s="11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0" x14ac:dyDescent="0.15">
      <c r="A5" s="208" t="s">
        <v>192</v>
      </c>
      <c r="B5" s="11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0" x14ac:dyDescent="0.15">
      <c r="A6" s="208" t="s">
        <v>193</v>
      </c>
      <c r="B6" s="11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0" x14ac:dyDescent="0.15">
      <c r="A7" s="208" t="s">
        <v>194</v>
      </c>
      <c r="B7" s="11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0" x14ac:dyDescent="0.15">
      <c r="A8" s="208" t="s">
        <v>195</v>
      </c>
      <c r="B8" s="11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0" x14ac:dyDescent="0.15">
      <c r="A9" s="208" t="s">
        <v>196</v>
      </c>
      <c r="B9" s="11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0" x14ac:dyDescent="0.15">
      <c r="A10" s="208" t="s">
        <v>197</v>
      </c>
      <c r="B10" s="11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0" x14ac:dyDescent="0.15">
      <c r="A11" s="208" t="s">
        <v>198</v>
      </c>
      <c r="B11" s="11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0" x14ac:dyDescent="0.15">
      <c r="A12" s="208" t="s">
        <v>199</v>
      </c>
      <c r="B12" s="11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0" x14ac:dyDescent="0.15">
      <c r="A13" s="208" t="s">
        <v>200</v>
      </c>
      <c r="B13" s="11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0" x14ac:dyDescent="0.15">
      <c r="A14" s="208" t="s">
        <v>201</v>
      </c>
      <c r="B14" s="11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0" x14ac:dyDescent="0.15">
      <c r="A15" s="208" t="s">
        <v>202</v>
      </c>
      <c r="B15" s="11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0" x14ac:dyDescent="0.15">
      <c r="A16" s="208" t="s">
        <v>203</v>
      </c>
      <c r="B16" s="11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8" t="s">
        <v>204</v>
      </c>
      <c r="B17" s="11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8" t="s">
        <v>205</v>
      </c>
      <c r="B18" s="11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8" t="s">
        <v>206</v>
      </c>
      <c r="B19" s="11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8" t="s">
        <v>207</v>
      </c>
      <c r="B20" s="11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8" t="s">
        <v>208</v>
      </c>
      <c r="B21" s="11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8" t="s">
        <v>209</v>
      </c>
      <c r="B22" s="11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8" t="s">
        <v>210</v>
      </c>
      <c r="B23" s="11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8" t="s">
        <v>211</v>
      </c>
      <c r="B24" s="11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8" t="s">
        <v>212</v>
      </c>
      <c r="B25" s="11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8" t="s">
        <v>213</v>
      </c>
      <c r="B26" s="11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8" t="s">
        <v>214</v>
      </c>
      <c r="B27" s="11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8" t="s">
        <v>215</v>
      </c>
      <c r="B28" s="11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8" t="s">
        <v>216</v>
      </c>
      <c r="B29" s="11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8" t="s">
        <v>217</v>
      </c>
      <c r="B30" s="11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8" t="s">
        <v>218</v>
      </c>
      <c r="B31" s="11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8" t="s">
        <v>219</v>
      </c>
      <c r="B32" s="11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8" t="s">
        <v>220</v>
      </c>
      <c r="B33" s="11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8" t="s">
        <v>221</v>
      </c>
      <c r="B34" s="11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8" t="s">
        <v>222</v>
      </c>
      <c r="B35" s="11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8" t="s">
        <v>223</v>
      </c>
      <c r="B36" s="117">
        <v>0</v>
      </c>
      <c r="C36"/>
      <c r="D36"/>
    </row>
    <row r="37" spans="1:38" ht="15" customHeight="1" x14ac:dyDescent="0.15">
      <c r="A37" s="208" t="s">
        <v>224</v>
      </c>
      <c r="B37" s="117">
        <v>0</v>
      </c>
      <c r="C37"/>
      <c r="D37"/>
    </row>
    <row r="38" spans="1:38" ht="15" customHeight="1" x14ac:dyDescent="0.15">
      <c r="A38" s="208" t="s">
        <v>225</v>
      </c>
      <c r="B38" s="11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8" t="s">
        <v>226</v>
      </c>
      <c r="B39" s="117">
        <v>0</v>
      </c>
      <c r="C39"/>
      <c r="D39"/>
    </row>
    <row r="40" spans="1:38" ht="15" customHeight="1" x14ac:dyDescent="0.15">
      <c r="A40" s="208" t="s">
        <v>227</v>
      </c>
      <c r="B40" s="117">
        <v>0</v>
      </c>
      <c r="C40"/>
      <c r="D40"/>
    </row>
    <row r="41" spans="1:38" ht="15" customHeight="1" x14ac:dyDescent="0.15">
      <c r="A41" s="208" t="s">
        <v>228</v>
      </c>
      <c r="B41" s="117">
        <v>0</v>
      </c>
      <c r="C41"/>
      <c r="D41"/>
    </row>
    <row r="42" spans="1:38" ht="15" customHeight="1" x14ac:dyDescent="0.15">
      <c r="A42" s="208" t="s">
        <v>229</v>
      </c>
      <c r="B42" s="117">
        <v>0</v>
      </c>
    </row>
    <row r="43" spans="1:38" ht="15" customHeight="1" x14ac:dyDescent="0.15">
      <c r="A43" s="208" t="s">
        <v>230</v>
      </c>
      <c r="B43" s="117">
        <v>0</v>
      </c>
    </row>
    <row r="44" spans="1:38" ht="15" customHeight="1" x14ac:dyDescent="0.15">
      <c r="A44" s="208" t="s">
        <v>231</v>
      </c>
      <c r="B44" s="117">
        <v>0</v>
      </c>
    </row>
    <row r="45" spans="1:38" ht="15" customHeight="1" x14ac:dyDescent="0.15">
      <c r="A45" s="208" t="s">
        <v>232</v>
      </c>
      <c r="B45" s="117">
        <v>0</v>
      </c>
    </row>
    <row r="46" spans="1:38" ht="15" customHeight="1" x14ac:dyDescent="0.15">
      <c r="A46" s="208" t="s">
        <v>233</v>
      </c>
      <c r="B46" s="117">
        <v>0</v>
      </c>
    </row>
    <row r="47" spans="1:38" ht="15" customHeight="1" x14ac:dyDescent="0.15">
      <c r="A47" s="208" t="s">
        <v>234</v>
      </c>
      <c r="B47" s="117">
        <v>0</v>
      </c>
    </row>
    <row r="48" spans="1:38" ht="15" customHeight="1" x14ac:dyDescent="0.15">
      <c r="A48" s="208" t="s">
        <v>235</v>
      </c>
      <c r="B48" s="117">
        <v>0</v>
      </c>
    </row>
    <row r="49" spans="1:38" ht="15" customHeight="1" x14ac:dyDescent="0.15">
      <c r="A49" s="208" t="s">
        <v>236</v>
      </c>
      <c r="B49" s="117">
        <v>0</v>
      </c>
    </row>
    <row r="50" spans="1:38" ht="15" customHeight="1" x14ac:dyDescent="0.15">
      <c r="A50" s="208" t="s">
        <v>237</v>
      </c>
      <c r="B50" s="117">
        <v>0</v>
      </c>
    </row>
    <row r="51" spans="1:38" ht="15" customHeight="1" x14ac:dyDescent="0.15">
      <c r="A51" s="208" t="s">
        <v>238</v>
      </c>
      <c r="B51" s="117">
        <v>0</v>
      </c>
    </row>
    <row r="52" spans="1:38" ht="15" customHeight="1" x14ac:dyDescent="0.15">
      <c r="A52" s="208" t="s">
        <v>239</v>
      </c>
      <c r="B52" s="117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8" t="s">
        <v>240</v>
      </c>
      <c r="B53" s="117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8" t="s">
        <v>241</v>
      </c>
      <c r="B54" s="117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8" t="s">
        <v>242</v>
      </c>
      <c r="B55" s="117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8" t="s">
        <v>243</v>
      </c>
      <c r="B56" s="117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8" t="s">
        <v>244</v>
      </c>
      <c r="B57" s="117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8" t="s">
        <v>245</v>
      </c>
      <c r="B58" s="117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8" t="s">
        <v>246</v>
      </c>
      <c r="B59" s="117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8" t="s">
        <v>247</v>
      </c>
      <c r="B60" s="117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8" t="s">
        <v>248</v>
      </c>
      <c r="B61" s="117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8" t="s">
        <v>249</v>
      </c>
      <c r="B62" s="117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8" t="s">
        <v>250</v>
      </c>
      <c r="B63" s="117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8" t="s">
        <v>251</v>
      </c>
      <c r="B64" s="117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8" t="s">
        <v>252</v>
      </c>
      <c r="B65" s="117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8" t="s">
        <v>253</v>
      </c>
      <c r="B66" s="117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2022-10-24T04:15:23Z</dcterms:modified>
</cp:coreProperties>
</file>