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Atlantic/Atlantic_ECOTRAN_K-path_versions/"/>
    </mc:Choice>
  </mc:AlternateContent>
  <xr:revisionPtr revIDLastSave="0" documentId="13_ncr:1_{1A80004C-DBCE-CF43-999A-A0D5C4400DB1}" xr6:coauthVersionLast="45" xr6:coauthVersionMax="45" xr10:uidLastSave="{00000000-0000-0000-0000-000000000000}"/>
  <bookViews>
    <workbookView xWindow="0" yWindow="460" windowWidth="25600" windowHeight="14240" tabRatio="728" firstSheet="1" activeTab="3"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Main!$C$2:$N$31</definedName>
    <definedName name="matDetritus">Detritus!$C$2:$E$31</definedName>
    <definedName name="matDiet">Diets!$B$2:$AA$30</definedName>
    <definedName name="matDiscards">Discards!$C$2:$D$29</definedName>
    <definedName name="matFishery">Fishing!$C$2:$D$29</definedName>
    <definedName name="matFishing">Fishing!#REF!</definedName>
    <definedName name="matMort">Mortalities!$A$1:$AG$29</definedName>
    <definedName name="matOut">MainOutputs!$A$2:$I$31</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<sst xmlns="http://schemas.openxmlformats.org/spreadsheetml/2006/main" count="906" uniqueCount="228">
  <si>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</si>
  <si>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</si>
  <si>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</si>
  <si>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</si>
  <si>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</si>
  <si>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</si>
  <si>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</si>
  <si>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</si>
  <si>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</si>
  <si>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</si>
  <si>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</si>
  <si>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</si>
  <si>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</si>
  <si>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</si>
  <si>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</si>
  <si>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</si>
  <si>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</si>
  <si>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</si>
  <si>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</si>
  <si>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</si>
  <si>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</si>
  <si>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</si>
  <si>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</si>
  <si>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</si>
  <si>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</si>
  <si>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</si>
  <si>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</si>
  <si>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</si>
  <si>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</si>
  <si>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</si>
  <si>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</si>
  <si>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</si>
  <si>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</si>
  <si>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</si>
  <si>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</si>
  <si>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</si>
  <si>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</si>
  <si>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</si>
  <si>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</si>
  <si>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</si>
  <si>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</si>
  <si>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</si>
  <si>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</si>
  <si>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</si>
  <si>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</si>
  <si>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</si>
  <si>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</si>
  <si>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</si>
  <si>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</si>
  <si>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</si>
  <si>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</si>
  <si>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</si>
  <si>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</si>
  <si>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</si>
  <si>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</si>
  <si>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</si>
  <si>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</si>
  <si>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</si>
  <si>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</si>
  <si>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</si>
  <si>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</si>
  <si>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</si>
  <si>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</si>
  <si>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</si>
  <si>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</si>
  <si>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</si>
  <si>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</si>
  <si>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</si>
  <si>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</si>
  <si>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</si>
  <si>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</si>
  <si>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</si>
  <si>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</si>
  <si>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</si>
  <si>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</si>
  <si>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</si>
  <si>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</si>
  <si>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</si>
  <si>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</si>
  <si>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</si>
  <si>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</si>
  <si>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</si>
  <si>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</si>
  <si>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</si>
  <si>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</si>
  <si>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</si>
  <si>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</si>
  <si>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</si>
  <si>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</si>
  <si>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</si>
  <si>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</si>
  <si>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</si>
  <si>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</si>
  <si>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</si>
  <si>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</si>
  <si>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</si>
  <si>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</si>
  <si>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</si>
  <si>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</si>
  <si>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</si>
  <si>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</si>
  <si>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</si>
  <si>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</si>
  <si>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</si>
  <si>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</si>
  <si>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</si>
  <si>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</si>
  <si>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</si>
  <si>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</si>
  <si>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</si>
  <si>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</si>
  <si>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</si>
  <si>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</si>
  <si>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</si>
  <si>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</si>
  <si>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</si>
  <si>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</si>
  <si>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</si>
  <si>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</si>
  <si>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</si>
  <si>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</si>
  <si>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</si>
  <si>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</si>
  <si>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</si>
  <si>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</si>
  <si>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</si>
  <si>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</si>
  <si>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</si>
  <si>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</si>
  <si>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</si>
  <si>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</si>
  <si>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</si>
  <si>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</si>
  <si>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</si>
  <si>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</si>
  <si>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</si>
  <si>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</si>
  <si>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</si>
  <si>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</si>
  <si>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</si>
  <si>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</si>
  <si>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</si>
  <si>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</si>
  <si>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</si>
  <si>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</si>
  <si>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</si>
  <si>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</si>
  <si>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</si>
  <si>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</si>
  <si>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</si>
  <si>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</si>
  <si>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</si>
  <si>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</si>
  <si>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</si>
  <si>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</si>
  <si>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</si>
  <si>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</si>
  <si>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</si>
  <si>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</si>
  <si>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</si>
  <si>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</si>
  <si>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</si>
  <si>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</si>
  <si>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</si>
  <si>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</si>
  <si>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</si>
  <si>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</si>
  <si>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</si>
  <si>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</si>
  <si>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</si>
  <si>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</si>
  <si>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</si>
  <si>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</si>
  <si>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</si>
  <si>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</si>
  <si>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</si>
  <si>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</si>
  <si>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</si>
  <si>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</si>
  <si>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</si>
  <si>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</si>
  <si>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</si>
  <si>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</si>
  <si>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</si>
  <si>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</si>
  <si>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Northwest Africa</t>
  </si>
  <si>
    <t>Not affiliated</t>
  </si>
  <si>
    <t>BOX(-24.7568958072121 8.51221926574749,-5.84155099971101 36.0184436905047)</t>
  </si>
  <si>
    <t>open ocean</t>
  </si>
  <si>
    <t>WetWeight</t>
  </si>
  <si>
    <t>; 23/01/2009 7:50:22 PM; 12/05/2009 9:12:29 PM; 12/05/2009 9:13:29 PM; 01/11/2010 8:39:53 PM</t>
  </si>
  <si>
    <t>Morissette L.,Melgo J.L.,Kaschner K.,Gerber L.,Bamy I.L.(2009). Food web model and data for studying the interactions between marine mammals and fisheries in the Northwest African ecosystem Modelling the trophic role of marine mammals in tropical areas: data requirements, uncertainty, and validation. pp 6-52. In Morissette L.,Melgo J.L.,Kaschner K.,Gerber L.,Morissette L.,Melgo J.L.,Kaschner K.,Gerber L.,Morissette L.,Melgo J.L.,Kaschner K.,Gerber L.,Morissette L.,Melgo J.L.,Kaschner K.,Gerber L.,Morissette L.,Melgo J.L.,Kaschner K.,Gerber L.</t>
  </si>
  <si>
    <t>Minke whales</t>
  </si>
  <si>
    <t>Fin whales</t>
  </si>
  <si>
    <t>Humpback whales</t>
  </si>
  <si>
    <t>Brydes whales</t>
  </si>
  <si>
    <t>Sei whales</t>
  </si>
  <si>
    <t>Baleen whales</t>
  </si>
  <si>
    <t>Beaked whales</t>
  </si>
  <si>
    <t>Sperm whales</t>
  </si>
  <si>
    <t>Killer whales</t>
  </si>
  <si>
    <t>Dolphins</t>
  </si>
  <si>
    <t>Seabirds</t>
  </si>
  <si>
    <t>Large pelagics</t>
  </si>
  <si>
    <t>Mesopelagic predators</t>
  </si>
  <si>
    <t>Bathydeersal predators</t>
  </si>
  <si>
    <t>Sharks</t>
  </si>
  <si>
    <t>Rays</t>
  </si>
  <si>
    <t>Coastal tunas</t>
  </si>
  <si>
    <t>Coastal demersal</t>
  </si>
  <si>
    <t>Clupeids</t>
  </si>
  <si>
    <t>Other coastal pelagics</t>
  </si>
  <si>
    <t>Cephalopods</t>
  </si>
  <si>
    <t>Crustaceans</t>
  </si>
  <si>
    <t>Benthos</t>
  </si>
  <si>
    <t>Benthic producers</t>
  </si>
  <si>
    <t>Zooplankton</t>
  </si>
  <si>
    <t>Phytoplankton</t>
  </si>
  <si>
    <t>Detritus</t>
  </si>
  <si>
    <t>detritus_TerminalBenthic</t>
  </si>
  <si>
    <t>Local fleets</t>
  </si>
  <si>
    <t>Foreign fleets</t>
  </si>
  <si>
    <t>Import</t>
  </si>
  <si>
    <t>export</t>
  </si>
  <si>
    <t>sum</t>
  </si>
  <si>
    <t>TOTAL</t>
  </si>
  <si>
    <t>F Local fleets</t>
  </si>
  <si>
    <t>F Foreign fleets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</si>
</sst>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80">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10FF00"/>
        <bgColor indexed="64"/>
      </patternFill>
    </fill>
    <fill>
      <patternFill patternType="solid">
        <fgColor rgb="FF0DFF00"/>
        <bgColor indexed="64"/>
      </patternFill>
    </fill>
    <fill>
      <patternFill patternType="solid">
        <fgColor rgb="FF12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0BFF00"/>
        <bgColor indexed="64"/>
      </patternFill>
    </fill>
    <fill>
      <patternFill patternType="solid">
        <fgColor rgb="FF1EFF00"/>
        <bgColor indexed="64"/>
      </patternFill>
    </fill>
    <fill>
      <patternFill patternType="solid">
        <fgColor rgb="FF2FFF00"/>
        <bgColor indexed="64"/>
      </patternFill>
    </fill>
    <fill>
      <patternFill patternType="solid">
        <fgColor theme="9"/>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FF8500"/>
        <bgColor indexed="64"/>
      </patternFill>
    </fill>
    <fill>
      <patternFill patternType="solid">
        <fgColor rgb="FF3BFF00"/>
        <bgColor indexed="64"/>
      </patternFill>
    </fill>
    <fill>
      <patternFill patternType="solid">
        <fgColor rgb="FF14FF00"/>
        <bgColor indexed="64"/>
      </patternFill>
    </fill>
    <fill>
      <patternFill patternType="solid">
        <fgColor rgb="FFFF2000"/>
        <bgColor indexed="64"/>
      </patternFill>
    </fill>
    <fill>
      <patternFill patternType="solid">
        <fgColor rgb="FF11FF00"/>
        <bgColor indexed="64"/>
      </patternFill>
    </fill>
    <fill>
      <patternFill patternType="solid">
        <fgColor rgb="FF0CFF00"/>
        <bgColor indexed="64"/>
      </patternFill>
    </fill>
    <fill>
      <patternFill patternType="solid">
        <fgColor rgb="FF46FF00"/>
        <bgColor indexed="64"/>
      </patternFill>
    </fill>
    <fill>
      <patternFill patternType="solid">
        <fgColor rgb="FFF4FF00"/>
        <bgColor indexed="64"/>
      </patternFill>
    </fill>
    <fill>
      <patternFill patternType="solid">
        <fgColor rgb="FF19FF00"/>
        <bgColor indexed="64"/>
      </patternFill>
    </fill>
    <fill>
      <patternFill patternType="solid">
        <fgColor rgb="FF1BFF00"/>
        <bgColor indexed="64"/>
      </patternFill>
    </fill>
    <fill>
      <patternFill patternType="solid">
        <fgColor rgb="FF45FF00"/>
        <bgColor indexed="64"/>
      </patternFill>
    </fill>
    <fill>
      <patternFill patternType="solid">
        <fgColor rgb="FF23FF00"/>
        <bgColor indexed="64"/>
      </patternFill>
    </fill>
    <fill>
      <patternFill patternType="solid">
        <fgColor rgb="FFFFF200"/>
        <bgColor indexed="64"/>
      </patternFill>
    </fill>
    <fill>
      <patternFill patternType="solid">
        <fgColor rgb="FF64FF00"/>
        <bgColor indexed="64"/>
      </patternFill>
    </fill>
    <fill>
      <patternFill patternType="solid">
        <fgColor rgb="FFFF0000"/>
        <bgColor indexed="64"/>
      </patternFill>
    </fill>
    <fill>
      <patternFill patternType="solid">
        <fgColor rgb="FF1DFF00"/>
        <bgColor indexed="64"/>
      </patternFill>
    </fill>
    <fill>
      <patternFill patternType="solid">
        <fgColor rgb="FF55FF00"/>
        <bgColor indexed="64"/>
      </patternFill>
    </fill>
    <fill>
      <patternFill patternType="solid">
        <fgColor rgb="FF25FF00"/>
        <bgColor indexed="64"/>
      </patternFill>
    </fill>
    <fill>
      <patternFill patternType="solid">
        <fgColor rgb="FF26FF00"/>
        <bgColor indexed="64"/>
      </patternFill>
    </fill>
    <fill>
      <patternFill patternType="solid">
        <fgColor rgb="FF5CFF00"/>
        <bgColor indexed="64"/>
      </patternFill>
    </fill>
    <fill>
      <patternFill patternType="solid">
        <fgColor rgb="FF77FF00"/>
        <bgColor indexed="64"/>
      </patternFill>
    </fill>
    <fill>
      <patternFill patternType="solid">
        <fgColor rgb="FFFFFF00"/>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202">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18" borderId="2" xfId="0" applyFont="1" applyFill="1" applyBorder="1" applyAlignment="1">
      <alignment horizontal="center"/>
    </xf>
    <xf numFmtId="0" fontId="1" fillId="18" borderId="4" xfId="0" applyFont="1" applyFill="1" applyBorder="1" applyAlignment="1">
      <alignment horizontal="center"/>
    </xf>
    <xf numFmtId="0" fontId="1" fillId="18"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18" borderId="5" xfId="0" applyFill="1" applyBorder="1"/>
    <xf numFmtId="0" fontId="0" fillId="18" borderId="6" xfId="0" applyFill="1" applyBorder="1"/>
    <xf numFmtId="0" fontId="0" fillId="18" borderId="7" xfId="0" applyFill="1" applyBorder="1"/>
    <xf numFmtId="0" fontId="0" fillId="18" borderId="8" xfId="0" applyFill="1" applyBorder="1"/>
    <xf numFmtId="0" fontId="0" fillId="18" borderId="9" xfId="0" applyFill="1" applyBorder="1"/>
    <xf numFmtId="0" fontId="0" fillId="18" borderId="11" xfId="0" applyFill="1" applyBorder="1"/>
    <xf numFmtId="0" fontId="8" fillId="0" borderId="0" xfId="0" applyFont="1"/>
    <xf numFmtId="0" fontId="9" fillId="0" borderId="0" xfId="0" applyFont="1"/>
    <xf numFmtId="0" fontId="1" fillId="2" borderId="0" xfId="0" applyFont="1" applyFill="1" applyBorder="1"/>
    <xf numFmtId="0" fontId="0" fillId="24" borderId="0" xfId="0" applyFill="1"/>
    <xf numFmtId="0" fontId="0" fillId="25" borderId="0" xfId="0" applyFill="1"/>
    <xf numFmtId="0" fontId="0" fillId="26" borderId="0" xfId="0" applyFill="1"/>
    <xf numFmtId="0" fontId="1" fillId="0" borderId="0" xfId="0" applyFont="1" applyAlignment="1">
      <alignment horizontal="center"/>
    </xf>
    <xf numFmtId="0" fontId="0" fillId="0" borderId="0" xfId="0" applyFont="1" applyFill="1"/>
    <xf numFmtId="0" fontId="0" fillId="0" borderId="0" xfId="0" applyFont="1" applyAlignment="1">
      <alignment horizontal="center"/>
    </xf>
    <xf numFmtId="0" fontId="0" fillId="0" borderId="0" xfId="0" applyFont="1" applyFill="1" applyAlignment="1">
      <alignment horizontal="center"/>
    </xf>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27"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27" borderId="3" xfId="0" applyNumberFormat="1" applyFont="1" applyFill="1" applyBorder="1"/>
    <xf numFmtId="0" fontId="0" fillId="27" borderId="2" xfId="0" applyFont="1" applyFill="1" applyBorder="1"/>
    <xf numFmtId="0" fontId="0" fillId="27" borderId="3" xfId="0" applyFont="1" applyFill="1" applyBorder="1"/>
    <xf numFmtId="0" fontId="0" fillId="27"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23" borderId="0" xfId="0" applyFont="1" applyFill="1" applyAlignment="1">
      <alignment horizontal="center"/>
    </xf>
    <xf numFmtId="0" fontId="12" fillId="21" borderId="0" xfId="0" applyFont="1" applyFill="1" applyAlignment="1">
      <alignment horizontal="center"/>
    </xf>
    <xf numFmtId="0" fontId="12" fillId="22" borderId="0" xfId="0" applyFont="1" applyFill="1" applyAlignment="1">
      <alignment horizontal="center"/>
    </xf>
    <xf numFmtId="0" fontId="12" fillId="19" borderId="0" xfId="0" applyFont="1" applyFill="1" applyAlignment="1">
      <alignment horizontal="center"/>
    </xf>
    <xf numFmtId="0" fontId="12" fillId="20" borderId="0" xfId="0" applyFont="1" applyFill="1" applyAlignment="1">
      <alignment horizontal="center"/>
    </xf>
    <xf numFmtId="0" fontId="12" fillId="0" borderId="0" xfId="0" applyFont="1" applyFill="1" applyAlignment="1">
      <alignment horizontal="right"/>
    </xf>
    <xf numFmtId="0" fontId="0" fillId="18" borderId="2" xfId="0" applyFill="1" applyBorder="1" applyAlignment="1">
      <alignment horizontal="center"/>
    </xf>
    <xf numFmtId="0" fontId="0" fillId="18" borderId="4" xfId="0" applyFill="1" applyBorder="1" applyAlignment="1">
      <alignment horizontal="center"/>
    </xf>
    <xf numFmtId="0" fontId="0" fillId="18" borderId="3" xfId="0" applyFill="1" applyBorder="1"/>
    <xf numFmtId="0" fontId="9" fillId="0" borderId="0" xfId="0" applyFont="1" applyAlignment="1">
      <alignment horizontal="left"/>
    </xf>
    <xf numFmtId="0" fontId="0" fillId="0" borderId="17" xfId="0" applyFont="1" applyBorder="1"/>
    <xf numFmtId="0" fontId="0" fillId="0" borderId="19" xfId="0" applyFont="1" applyBorder="1"/>
    <xf numFmtId="0" fontId="0" fillId="0" borderId="18" xfId="0"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1" fillId="2" borderId="0" xfId="0" applyNumberFormat="1" applyFont="1" applyFill="1"/>
    <xf numFmtId="0" fontId="0" fillId="0" borderId="0" xfId="0" applyNumberFormat="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462.1640625" customWidth="1"/>
  </cols>
  <sheetData>
    <row r="2" spans="2:4" x14ac:dyDescent="0.15">
      <c r="B2" t="s">
        <v>145</v>
      </c>
    </row>
    <row r="3" spans="2:4" x14ac:dyDescent="0.15">
      <c r="B3" t="s">
        <v>146</v>
      </c>
    </row>
    <row r="4" spans="2:4" x14ac:dyDescent="0.15">
      <c r="B4" s="55" t="s">
        <v>164</v>
      </c>
    </row>
    <row r="6" spans="2:4" ht="14" thickBot="1" x14ac:dyDescent="0.2">
      <c r="B6" s="39" t="s">
        <v>141</v>
      </c>
    </row>
    <row r="7" spans="2:4" x14ac:dyDescent="0.15">
      <c r="B7" s="55" t="s">
        <v>143</v>
      </c>
    </row>
    <row r="8" spans="2:4" x14ac:dyDescent="0.15">
      <c r="B8" s="55" t="s">
        <v>142</v>
      </c>
    </row>
    <row r="9" spans="2:4" x14ac:dyDescent="0.15">
      <c r="B9" s="55" t="s">
        <v>144</v>
      </c>
    </row>
    <row r="10" spans="2:4" x14ac:dyDescent="0.15">
      <c r="B10" s="55" t="s">
        <v>147</v>
      </c>
    </row>
    <row r="11" spans="2:4" x14ac:dyDescent="0.15">
      <c r="B11" s="55" t="s">
        <v>151</v>
      </c>
    </row>
    <row r="12" spans="2:4" x14ac:dyDescent="0.15">
      <c r="B12" s="55" t="s">
        <v>153</v>
      </c>
    </row>
    <row r="13" spans="2:4" x14ac:dyDescent="0.15">
      <c r="B13" s="55" t="s">
        <v>165</v>
      </c>
    </row>
    <row r="15" spans="2:4" ht="14" thickBot="1" x14ac:dyDescent="0.2"/>
    <row r="16" spans="2:4" ht="14" thickBot="1" x14ac:dyDescent="0.2">
      <c r="B16" s="40" t="s">
        <v>137</v>
      </c>
      <c r="C16" s="41"/>
      <c r="D16" s="23">
        <v>41373</v>
      </c>
    </row>
    <row r="17" spans="2:4" x14ac:dyDescent="0.15">
      <c r="B17" s="42" t="s">
        <v>58</v>
      </c>
      <c r="C17" s="26">
        <v>0</v>
      </c>
    </row>
    <row r="18" spans="2:4" x14ac:dyDescent="0.15">
      <c r="B18" s="42" t="s">
        <v>59</v>
      </c>
      <c r="C18" s="26">
        <v>1</v>
      </c>
    </row>
    <row r="19" spans="2:4" x14ac:dyDescent="0.15">
      <c r="B19" s="42" t="s">
        <v>60</v>
      </c>
      <c r="C19" s="26">
        <v>2</v>
      </c>
    </row>
    <row r="20" spans="2:4" ht="14" thickBot="1" x14ac:dyDescent="0.2">
      <c r="B20" s="43" t="s">
        <v>44</v>
      </c>
      <c r="C20" s="27">
        <v>3</v>
      </c>
    </row>
    <row r="21" spans="2:4" x14ac:dyDescent="0.15">
      <c r="B21" s="44" t="s">
        <v>140</v>
      </c>
    </row>
    <row r="22" spans="2:4" ht="14" thickBot="1" x14ac:dyDescent="0.2"/>
    <row r="23" spans="2:4" ht="14" thickBot="1" x14ac:dyDescent="0.2">
      <c r="B23" s="40" t="s">
        <v>65</v>
      </c>
      <c r="C23" s="41"/>
      <c r="D23" s="23" t="s">
        <v>148</v>
      </c>
    </row>
    <row r="24" spans="2:4" x14ac:dyDescent="0.15">
      <c r="B24" s="46" t="s">
        <v>38</v>
      </c>
      <c r="C24" s="24">
        <v>1</v>
      </c>
    </row>
    <row r="25" spans="2:4" x14ac:dyDescent="0.15">
      <c r="B25" s="42" t="s">
        <v>40</v>
      </c>
      <c r="C25" s="26">
        <v>1.1000000000000001</v>
      </c>
    </row>
    <row r="26" spans="2:4" x14ac:dyDescent="0.15">
      <c r="B26" s="42" t="s">
        <v>41</v>
      </c>
      <c r="C26" s="26">
        <v>1.2</v>
      </c>
    </row>
    <row r="27" spans="2:4" x14ac:dyDescent="0.15">
      <c r="B27" s="42"/>
      <c r="C27" s="26"/>
    </row>
    <row r="28" spans="2:4" x14ac:dyDescent="0.15">
      <c r="B28" s="42" t="s">
        <v>42</v>
      </c>
      <c r="C28" s="26">
        <v>2.1</v>
      </c>
    </row>
    <row r="29" spans="2:4" x14ac:dyDescent="0.15">
      <c r="B29" s="42" t="s">
        <v>43</v>
      </c>
      <c r="C29" s="26">
        <v>2.2000000000000002</v>
      </c>
    </row>
    <row r="30" spans="2:4" x14ac:dyDescent="0.15">
      <c r="B30" s="42" t="s">
        <v>67</v>
      </c>
      <c r="C30" s="26">
        <v>2.2999999999999998</v>
      </c>
    </row>
    <row r="31" spans="2:4" x14ac:dyDescent="0.15">
      <c r="B31" s="42"/>
      <c r="C31" s="26"/>
    </row>
    <row r="32" spans="2:4" x14ac:dyDescent="0.15">
      <c r="B32" s="42" t="s">
        <v>62</v>
      </c>
      <c r="C32" s="26">
        <v>3.11</v>
      </c>
    </row>
    <row r="33" spans="2:3" x14ac:dyDescent="0.15">
      <c r="B33" s="42" t="s">
        <v>61</v>
      </c>
      <c r="C33" s="26">
        <v>3.12</v>
      </c>
    </row>
    <row r="34" spans="2:3" x14ac:dyDescent="0.15">
      <c r="B34" s="42" t="s">
        <v>68</v>
      </c>
      <c r="C34" s="26">
        <v>3.13</v>
      </c>
    </row>
    <row r="35" spans="2:3" x14ac:dyDescent="0.15">
      <c r="B35" s="42"/>
      <c r="C35" s="26"/>
    </row>
    <row r="36" spans="2:3" x14ac:dyDescent="0.15">
      <c r="B36" s="42" t="s">
        <v>66</v>
      </c>
      <c r="C36" s="26">
        <v>3.21</v>
      </c>
    </row>
    <row r="37" spans="2:3" x14ac:dyDescent="0.15">
      <c r="B37" s="42" t="s">
        <v>63</v>
      </c>
      <c r="C37" s="26">
        <v>3.22</v>
      </c>
    </row>
    <row r="38" spans="2:3" x14ac:dyDescent="0.15">
      <c r="B38" s="42" t="s">
        <v>69</v>
      </c>
      <c r="C38" s="26">
        <v>3.23</v>
      </c>
    </row>
    <row r="39" spans="2:3" x14ac:dyDescent="0.15">
      <c r="B39" s="42"/>
      <c r="C39" s="26"/>
    </row>
    <row r="40" spans="2:3" x14ac:dyDescent="0.15">
      <c r="B40" s="42" t="s">
        <v>64</v>
      </c>
      <c r="C40" s="26">
        <v>8</v>
      </c>
    </row>
    <row r="41" spans="2:3" x14ac:dyDescent="0.15">
      <c r="B41" s="42"/>
      <c r="C41" s="26"/>
    </row>
    <row r="42" spans="2:3" x14ac:dyDescent="0.15">
      <c r="B42" s="42" t="s">
        <v>71</v>
      </c>
      <c r="C42" s="26">
        <v>4.0999999999999996</v>
      </c>
    </row>
    <row r="43" spans="2:3" x14ac:dyDescent="0.15">
      <c r="B43" s="42" t="s">
        <v>70</v>
      </c>
      <c r="C43" s="26">
        <v>4.2</v>
      </c>
    </row>
    <row r="44" spans="2:3" x14ac:dyDescent="0.15">
      <c r="B44" s="42" t="s">
        <v>72</v>
      </c>
      <c r="C44" s="26">
        <v>4.3</v>
      </c>
    </row>
    <row r="45" spans="2:3" x14ac:dyDescent="0.15">
      <c r="B45" s="25"/>
      <c r="C45" s="26"/>
    </row>
    <row r="46" spans="2:3" x14ac:dyDescent="0.15">
      <c r="B46" s="42" t="s">
        <v>138</v>
      </c>
      <c r="C46" s="26">
        <v>6.1</v>
      </c>
    </row>
    <row r="47" spans="2:3" x14ac:dyDescent="0.15">
      <c r="B47" s="42" t="s">
        <v>45</v>
      </c>
      <c r="C47" s="26">
        <v>6.2</v>
      </c>
    </row>
    <row r="48" spans="2:3" x14ac:dyDescent="0.15">
      <c r="B48" s="42"/>
      <c r="C48" s="26"/>
    </row>
    <row r="49" spans="2:4" x14ac:dyDescent="0.15">
      <c r="B49" s="42" t="s">
        <v>44</v>
      </c>
      <c r="C49" s="26">
        <v>5</v>
      </c>
    </row>
    <row r="50" spans="2:4" x14ac:dyDescent="0.15">
      <c r="B50" s="42"/>
      <c r="C50" s="26"/>
    </row>
    <row r="51" spans="2:4" ht="14" thickBot="1" x14ac:dyDescent="0.2">
      <c r="B51" s="43" t="s">
        <v>73</v>
      </c>
      <c r="C51" s="27">
        <v>7</v>
      </c>
    </row>
    <row r="53" spans="2:4" x14ac:dyDescent="0.15">
      <c r="B53" s="153" t="s">
        <v>171</v>
      </c>
      <c r="C53" s="92">
        <v>118</v>
      </c>
      <c r="D53" s="92"/>
    </row>
    <row r="54" spans="2:4" x14ac:dyDescent="0.15">
      <c r="B54" s="153" t="s">
        <v>172</v>
      </c>
      <c r="C54" s="153" t="s">
        <v>185</v>
      </c>
      <c r="D54" s="92"/>
    </row>
    <row r="55" spans="2:4" x14ac:dyDescent="0.15">
      <c r="B55" s="153" t="s">
        <v>173</v>
      </c>
      <c r="C55" s="153" t="s">
        <v>186</v>
      </c>
      <c r="D55" s="92"/>
    </row>
    <row r="56" spans="2:4" x14ac:dyDescent="0.15">
      <c r="B56" s="153" t="s">
        <v>174</v>
      </c>
      <c r="C56" s="92">
        <v>3561029</v>
      </c>
      <c r="D56" s="92"/>
    </row>
    <row r="57" spans="2:4" x14ac:dyDescent="0.15">
      <c r="B57" s="153" t="s">
        <v>175</v>
      </c>
      <c r="C57" s="153" t="s">
        <v>187</v>
      </c>
      <c r="D57" s="92"/>
    </row>
    <row r="58" spans="2:4" x14ac:dyDescent="0.15">
      <c r="B58" s="153" t="s">
        <v>176</v>
      </c>
      <c r="C58" s="153" t="s">
        <v>188</v>
      </c>
      <c r="D58" s="92"/>
    </row>
    <row r="59" spans="2:4" x14ac:dyDescent="0.15">
      <c r="B59" s="153" t="s">
        <v>177</v>
      </c>
      <c r="C59" s="153" t="s">
        <v>189</v>
      </c>
      <c r="D59" s="92"/>
    </row>
    <row r="60" spans="2:4" x14ac:dyDescent="0.15">
      <c r="B60" s="153" t="s">
        <v>178</v>
      </c>
      <c r="C60" s="153" t="s">
        <v>190</v>
      </c>
      <c r="D60" s="92"/>
    </row>
    <row r="61" spans="2:4" x14ac:dyDescent="0.15">
      <c r="B61" s="153" t="s">
        <v>179</v>
      </c>
      <c r="C61" s="92">
        <v>27</v>
      </c>
      <c r="D61" s="92"/>
    </row>
    <row r="62" spans="2:4" x14ac:dyDescent="0.15">
      <c r="B62" s="153" t="s">
        <v>180</v>
      </c>
      <c r="C62" s="92">
        <v>2</v>
      </c>
      <c r="D62" s="92"/>
    </row>
    <row r="63" spans="2:4" x14ac:dyDescent="0.15">
      <c r="B63" s="153" t="s">
        <v>181</v>
      </c>
      <c r="C63" s="92">
        <v>1987</v>
      </c>
      <c r="D63" s="92"/>
    </row>
    <row r="64" spans="2:4" x14ac:dyDescent="0.15">
      <c r="B64" s="153" t="s">
        <v>182</v>
      </c>
      <c r="C64" s="92">
        <v>0</v>
      </c>
      <c r="D64" s="92"/>
    </row>
    <row r="65" spans="2:4" x14ac:dyDescent="0.15">
      <c r="B65" s="153" t="s">
        <v>183</v>
      </c>
      <c r="C65" s="153" t="s">
        <v>191</v>
      </c>
      <c r="D65" s="92"/>
    </row>
    <row r="66" spans="2:4" x14ac:dyDescent="0.15">
      <c r="B66" s="153" t="s">
        <v>184</v>
      </c>
      <c r="D66" s="92"/>
    </row>
    <row r="67" spans="2:4" x14ac:dyDescent="0.15">
      <c r="B67" s="92"/>
      <c r="C67" s="92"/>
      <c r="D67" s="92"/>
    </row>
    <row r="68" spans="2:4" x14ac:dyDescent="0.15">
      <c r="B68" s="92"/>
      <c r="C68" s="92"/>
      <c r="D68" s="92"/>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Q3" sqref="Q3"/>
    </sheetView>
  </sheetViews>
  <sheetFormatPr baseColWidth="10" defaultColWidth="8.83203125" defaultRowHeight="15" customHeight="1" x14ac:dyDescent="0.15"/>
  <cols>
    <col min="1" max="1" width="22.5" style="68" customWidth="1"/>
    <col min="2" max="3" width="3.33203125" style="68" customWidth="1"/>
    <col min="4" max="4" width="14.33203125" style="68" customWidth="1"/>
    <col min="5" max="5" width="21.6640625" style="68" bestFit="1" customWidth="1"/>
    <col min="6" max="6" width="2.33203125" style="68" bestFit="1" customWidth="1"/>
    <col min="7" max="7" width="11.83203125" style="68" bestFit="1" customWidth="1"/>
    <col min="8" max="8" width="7.83203125" style="68" customWidth="1"/>
    <col min="9" max="9" width="10.83203125" style="68" customWidth="1"/>
    <col min="10" max="11" width="13.83203125" style="68" customWidth="1"/>
    <col min="12" max="12" width="8.83203125" style="68" customWidth="1"/>
    <col min="13" max="13" width="3.83203125" style="68" customWidth="1"/>
    <col min="14" max="14" width="2.33203125" style="68" customWidth="1"/>
    <col min="16" max="25" width="8.83203125" style="68"/>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68"/>
  </cols>
  <sheetData>
    <row r="1" spans="1:46" s="85" customFormat="1" ht="15" customHeight="1" x14ac:dyDescent="0.15">
      <c r="A1" s="64" t="s">
        <v>18</v>
      </c>
      <c r="C1" s="65" t="s">
        <v>8</v>
      </c>
      <c r="D1" s="64" t="s">
        <v>23</v>
      </c>
      <c r="E1" s="64" t="s">
        <v>0</v>
      </c>
      <c r="F1" s="64" t="s">
        <v>7</v>
      </c>
      <c r="G1" s="66" t="s">
        <v>13</v>
      </c>
      <c r="H1" s="64" t="s">
        <v>1</v>
      </c>
      <c r="I1" s="64" t="s">
        <v>2</v>
      </c>
      <c r="J1" s="64" t="s">
        <v>14</v>
      </c>
      <c r="K1" s="64" t="s">
        <v>3</v>
      </c>
      <c r="L1" s="64" t="s">
        <v>4</v>
      </c>
      <c r="M1" s="64" t="s">
        <v>5</v>
      </c>
      <c r="N1" s="64" t="s">
        <v>6</v>
      </c>
      <c r="O1"/>
      <c r="Z1"/>
      <c r="AA1"/>
      <c r="AB1"/>
      <c r="AC1"/>
      <c r="AD1"/>
      <c r="AE1"/>
      <c r="AF1"/>
      <c r="AG1"/>
      <c r="AH1"/>
      <c r="AI1"/>
      <c r="AJ1"/>
      <c r="AK1"/>
      <c r="AL1"/>
      <c r="AM1"/>
      <c r="AN1"/>
      <c r="AO1"/>
      <c r="AP1"/>
      <c r="AQ1"/>
      <c r="AR1"/>
      <c r="AS1"/>
      <c r="AT1"/>
    </row>
    <row r="2" spans="1:46" ht="15" customHeight="1" x14ac:dyDescent="0.15">
      <c r="C2" s="85">
        <v>1</v>
      </c>
      <c r="D2"/>
      <c r="E2" s="154" t="s">
        <v>192</v>
      </c>
      <c r="F2" s="68">
        <v>0</v>
      </c>
      <c r="G2" s="68">
        <v>8.4399999999999996E-3</v>
      </c>
      <c r="H2" s="68">
        <v>9.9000000000000005E-2</v>
      </c>
      <c r="I2" s="6">
        <v>8.4212000000000007</v>
      </c>
      <c r="J2" s="6">
        <v>0</v>
      </c>
      <c r="K2" s="6">
        <v>1.17560448E-2</v>
      </c>
      <c r="L2" s="6">
        <v>0</v>
      </c>
      <c r="M2" s="68">
        <v>0.2</v>
      </c>
      <c r="N2" s="68">
        <v>0</v>
      </c>
    </row>
    <row r="3" spans="1:46" ht="15" customHeight="1" x14ac:dyDescent="0.15">
      <c r="A3" s="1" t="s">
        <v>9</v>
      </c>
      <c r="B3" s="4">
        <v>26</v>
      </c>
      <c r="C3" s="68">
        <v>2</v>
      </c>
      <c r="D3"/>
      <c r="E3" s="154" t="s">
        <v>193</v>
      </c>
      <c r="F3" s="68">
        <v>0</v>
      </c>
      <c r="G3" s="68">
        <v>1.2200000000000001E-2</v>
      </c>
      <c r="H3" s="68">
        <v>9.9000000000000005E-2</v>
      </c>
      <c r="I3" s="68">
        <v>4.1608000000000001</v>
      </c>
      <c r="J3" s="68">
        <v>0</v>
      </c>
      <c r="K3" s="68">
        <v>2.3793501799999998E-2</v>
      </c>
      <c r="L3" s="68">
        <v>0</v>
      </c>
      <c r="M3" s="68">
        <v>0.2</v>
      </c>
      <c r="N3" s="68">
        <v>0</v>
      </c>
    </row>
    <row r="4" spans="1:46" ht="15" customHeight="1" x14ac:dyDescent="0.15">
      <c r="A4" s="1" t="s">
        <v>10</v>
      </c>
      <c r="B4" s="4">
        <v>2</v>
      </c>
      <c r="C4" s="68">
        <v>3</v>
      </c>
      <c r="D4"/>
      <c r="E4" s="154" t="s">
        <v>194</v>
      </c>
      <c r="F4" s="68">
        <v>0</v>
      </c>
      <c r="G4" s="68">
        <v>3.0200000000000001E-3</v>
      </c>
      <c r="H4" s="68">
        <v>9.9000000000000005E-2</v>
      </c>
      <c r="I4" s="68">
        <v>5.0781000000000001</v>
      </c>
      <c r="J4" s="68">
        <v>0</v>
      </c>
      <c r="K4" s="68">
        <v>1.9495479999999999E-2</v>
      </c>
      <c r="L4" s="68">
        <v>0</v>
      </c>
      <c r="M4" s="68">
        <v>0.2</v>
      </c>
      <c r="N4" s="68">
        <v>0</v>
      </c>
      <c r="V4" s="1" t="s">
        <v>29</v>
      </c>
    </row>
    <row r="5" spans="1:46" ht="15" customHeight="1" thickBot="1" x14ac:dyDescent="0.2">
      <c r="A5" s="1" t="s">
        <v>11</v>
      </c>
      <c r="B5" s="4">
        <v>2</v>
      </c>
      <c r="C5" s="68">
        <v>4</v>
      </c>
      <c r="D5"/>
      <c r="E5" s="154" t="s">
        <v>195</v>
      </c>
      <c r="F5" s="68">
        <v>0</v>
      </c>
      <c r="G5" s="68">
        <v>7.8499999999999993E-3</v>
      </c>
      <c r="H5" s="68">
        <v>9.9000000000000005E-2</v>
      </c>
      <c r="I5" s="68">
        <v>6.26</v>
      </c>
      <c r="J5" s="68">
        <v>0</v>
      </c>
      <c r="K5" s="68">
        <v>1.58146955E-2</v>
      </c>
      <c r="L5" s="68">
        <v>0</v>
      </c>
      <c r="M5" s="68">
        <v>0.2</v>
      </c>
      <c r="N5" s="68">
        <v>0</v>
      </c>
      <c r="P5" s="61"/>
      <c r="Q5" s="61"/>
      <c r="R5" s="61"/>
    </row>
    <row r="6" spans="1:46" ht="15" customHeight="1" thickBot="1" x14ac:dyDescent="0.2">
      <c r="B6" s="1"/>
      <c r="C6" s="68">
        <v>5</v>
      </c>
      <c r="D6"/>
      <c r="E6" s="154" t="s">
        <v>196</v>
      </c>
      <c r="F6" s="68">
        <v>0</v>
      </c>
      <c r="G6" s="68">
        <v>1.6000000000000001E-3</v>
      </c>
      <c r="H6" s="68">
        <v>0.02</v>
      </c>
      <c r="I6" s="68">
        <v>6.1776</v>
      </c>
      <c r="J6" s="68">
        <v>0</v>
      </c>
      <c r="K6" s="68">
        <v>3.2375030000000001E-3</v>
      </c>
      <c r="L6" s="68">
        <v>0</v>
      </c>
      <c r="M6" s="68">
        <v>0.2</v>
      </c>
      <c r="N6" s="68">
        <v>0</v>
      </c>
      <c r="P6" s="61"/>
      <c r="Q6" s="61"/>
      <c r="R6" s="61"/>
      <c r="W6" s="29" t="s">
        <v>31</v>
      </c>
      <c r="X6" s="45">
        <f>MAX(MainOutputs!G:G)</f>
        <v>0.95000004768371582</v>
      </c>
    </row>
    <row r="7" spans="1:46" ht="15" customHeight="1" x14ac:dyDescent="0.15">
      <c r="A7" s="2" t="s">
        <v>27</v>
      </c>
      <c r="B7" s="68">
        <f ca="1">COUNTIF(OFFSET(cornerDiets,1,1,NumLiving+NumDead+1,NumLiving+NumDead),"&gt;0")+NumLiving+NumDead+1</f>
        <v>138</v>
      </c>
      <c r="C7" s="68">
        <v>6</v>
      </c>
      <c r="D7"/>
      <c r="E7" s="154" t="s">
        <v>197</v>
      </c>
      <c r="F7" s="68">
        <v>0</v>
      </c>
      <c r="G7" s="68">
        <v>2.7599999999999999E-3</v>
      </c>
      <c r="H7" s="68">
        <v>0.04</v>
      </c>
      <c r="I7" s="68">
        <v>3.3978000000000002</v>
      </c>
      <c r="J7" s="68">
        <v>0</v>
      </c>
      <c r="K7" s="68">
        <v>1.17723234E-2</v>
      </c>
      <c r="L7" s="68">
        <v>0</v>
      </c>
      <c r="M7" s="68">
        <v>0.2</v>
      </c>
      <c r="N7" s="68">
        <v>0</v>
      </c>
      <c r="P7" s="61"/>
      <c r="Q7" s="61"/>
      <c r="R7" s="61"/>
    </row>
    <row r="8" spans="1:46" ht="15" customHeight="1" x14ac:dyDescent="0.15">
      <c r="A8" s="2" t="s">
        <v>28</v>
      </c>
      <c r="B8" s="68">
        <f ca="1">COUNTIF(OFFSET(cornerFishing,1,2,NumLiving+NumDead,NumGears),"&gt;0")+NumDead*COUNTIF(OFFSET(cornerDiscards,1,2,NumLiving+NumDead,NumGears),"&gt;0")+NumLiving+NumDead+1</f>
        <v>51</v>
      </c>
      <c r="C8" s="68">
        <v>7</v>
      </c>
      <c r="D8"/>
      <c r="E8" s="154" t="s">
        <v>198</v>
      </c>
      <c r="F8" s="68">
        <v>0</v>
      </c>
      <c r="G8" s="68">
        <v>1.25E-4</v>
      </c>
      <c r="H8" s="68">
        <v>3.5999999999999997E-2</v>
      </c>
      <c r="I8" s="68">
        <v>9.9234000000000009</v>
      </c>
      <c r="J8" s="68">
        <v>0</v>
      </c>
      <c r="K8" s="68">
        <v>3.6277887399999999E-3</v>
      </c>
      <c r="L8" s="68">
        <v>0</v>
      </c>
      <c r="M8" s="68">
        <v>0.2</v>
      </c>
      <c r="N8" s="68">
        <v>0</v>
      </c>
      <c r="P8" s="61"/>
      <c r="Q8" s="61"/>
      <c r="R8" s="61"/>
    </row>
    <row r="9" spans="1:46" ht="15" customHeight="1" x14ac:dyDescent="0.15">
      <c r="B9" s="1"/>
      <c r="C9" s="68">
        <v>8</v>
      </c>
      <c r="D9"/>
      <c r="E9" s="154" t="s">
        <v>199</v>
      </c>
      <c r="F9" s="68">
        <v>0</v>
      </c>
      <c r="G9" s="68">
        <v>2.0199999999999999E-2</v>
      </c>
      <c r="H9" s="68">
        <v>0.05</v>
      </c>
      <c r="I9" s="68">
        <v>5.0251000000000001</v>
      </c>
      <c r="J9" s="68">
        <v>0</v>
      </c>
      <c r="K9" s="68">
        <v>9.9500500000000002E-3</v>
      </c>
      <c r="L9" s="68">
        <v>0</v>
      </c>
      <c r="M9" s="68">
        <v>0.2</v>
      </c>
      <c r="N9" s="68">
        <v>0</v>
      </c>
      <c r="P9" s="61"/>
      <c r="Q9" s="61"/>
      <c r="R9" s="61"/>
    </row>
    <row r="10" spans="1:46" ht="15" customHeight="1" x14ac:dyDescent="0.15">
      <c r="B10" s="1"/>
      <c r="C10" s="68">
        <v>9</v>
      </c>
      <c r="D10"/>
      <c r="E10" s="154" t="s">
        <v>200</v>
      </c>
      <c r="F10" s="68">
        <v>0</v>
      </c>
      <c r="G10" s="68">
        <v>2.6200000000000003E-4</v>
      </c>
      <c r="H10" s="68">
        <v>0.02</v>
      </c>
      <c r="I10" s="68">
        <v>7.7633999999999999</v>
      </c>
      <c r="J10" s="68">
        <v>0</v>
      </c>
      <c r="K10" s="68">
        <v>2.5761907499999999E-3</v>
      </c>
      <c r="L10" s="68">
        <v>0</v>
      </c>
      <c r="M10" s="68">
        <v>0.2</v>
      </c>
      <c r="N10" s="68">
        <v>0</v>
      </c>
    </row>
    <row r="11" spans="1:46" ht="15" customHeight="1" x14ac:dyDescent="0.15">
      <c r="C11" s="68">
        <v>10</v>
      </c>
      <c r="D11"/>
      <c r="E11" s="154" t="s">
        <v>201</v>
      </c>
      <c r="F11" s="68">
        <v>0</v>
      </c>
      <c r="G11" s="68">
        <v>2.2499999999999999E-2</v>
      </c>
      <c r="H11" s="68">
        <v>4.7E-2</v>
      </c>
      <c r="I11" s="68">
        <v>13.739000000000001</v>
      </c>
      <c r="J11" s="68">
        <v>0.73859113499999995</v>
      </c>
      <c r="K11" s="68">
        <v>3.4209182500000001E-3</v>
      </c>
      <c r="L11" s="68">
        <v>0</v>
      </c>
      <c r="M11" s="68">
        <v>0.2</v>
      </c>
      <c r="N11" s="68">
        <v>0</v>
      </c>
    </row>
    <row r="12" spans="1:46" ht="15" customHeight="1" x14ac:dyDescent="0.15">
      <c r="C12" s="68">
        <v>11</v>
      </c>
      <c r="D12"/>
      <c r="E12" s="154" t="s">
        <v>202</v>
      </c>
      <c r="F12" s="68">
        <v>0</v>
      </c>
      <c r="G12" s="68">
        <v>0.11799999999999999</v>
      </c>
      <c r="H12" s="68">
        <v>0.12</v>
      </c>
      <c r="I12" s="68">
        <v>118</v>
      </c>
      <c r="J12" s="68">
        <v>0</v>
      </c>
      <c r="K12" s="68">
        <v>1.01694919E-3</v>
      </c>
      <c r="L12" s="68">
        <v>0</v>
      </c>
      <c r="M12" s="68">
        <v>0.2</v>
      </c>
      <c r="N12" s="68">
        <v>0</v>
      </c>
    </row>
    <row r="13" spans="1:46" ht="15" customHeight="1" x14ac:dyDescent="0.15">
      <c r="C13" s="68">
        <v>12</v>
      </c>
      <c r="D13"/>
      <c r="E13" s="154" t="s">
        <v>203</v>
      </c>
      <c r="F13" s="68">
        <v>0</v>
      </c>
      <c r="G13" s="68">
        <v>2.54</v>
      </c>
      <c r="H13" s="68">
        <v>1.9079999999999999</v>
      </c>
      <c r="I13" s="68">
        <v>11.698</v>
      </c>
      <c r="J13" s="68">
        <v>0.50448020000000005</v>
      </c>
      <c r="K13" s="68">
        <v>0.16310479999999999</v>
      </c>
      <c r="L13" s="68">
        <v>0</v>
      </c>
      <c r="M13" s="68">
        <v>0.2</v>
      </c>
      <c r="N13" s="68">
        <v>0</v>
      </c>
    </row>
    <row r="14" spans="1:46" ht="15" customHeight="1" x14ac:dyDescent="0.15">
      <c r="C14" s="68">
        <v>13</v>
      </c>
      <c r="D14"/>
      <c r="E14" s="154" t="s">
        <v>204</v>
      </c>
      <c r="F14" s="68">
        <v>0</v>
      </c>
      <c r="G14" s="68">
        <v>0.73499999999999999</v>
      </c>
      <c r="H14" s="68">
        <v>4.3620000000000001</v>
      </c>
      <c r="I14" s="68">
        <v>31.609000000000002</v>
      </c>
      <c r="J14" s="68">
        <v>0.11702953300000001</v>
      </c>
      <c r="K14" s="68">
        <v>0.13799866999999999</v>
      </c>
      <c r="L14" s="68">
        <v>0</v>
      </c>
      <c r="M14" s="68">
        <v>0.2</v>
      </c>
      <c r="N14" s="68">
        <v>0</v>
      </c>
    </row>
    <row r="15" spans="1:46" ht="15" customHeight="1" x14ac:dyDescent="0.15">
      <c r="C15" s="68">
        <v>14</v>
      </c>
      <c r="D15"/>
      <c r="E15" s="154" t="s">
        <v>205</v>
      </c>
      <c r="F15" s="68">
        <v>0</v>
      </c>
      <c r="G15" s="68">
        <v>0.29275438199999998</v>
      </c>
      <c r="H15" s="68">
        <v>2.71</v>
      </c>
      <c r="I15" s="68">
        <v>9.0333330000000007</v>
      </c>
      <c r="J15" s="68">
        <v>0.95</v>
      </c>
      <c r="K15" s="68">
        <v>0.3</v>
      </c>
      <c r="L15" s="68">
        <v>0</v>
      </c>
      <c r="M15" s="68">
        <v>0.2</v>
      </c>
      <c r="N15" s="68">
        <v>0</v>
      </c>
    </row>
    <row r="16" spans="1:46" ht="15" customHeight="1" x14ac:dyDescent="0.15">
      <c r="C16" s="68">
        <v>15</v>
      </c>
      <c r="D16"/>
      <c r="E16" s="154" t="s">
        <v>206</v>
      </c>
      <c r="F16" s="68">
        <v>0</v>
      </c>
      <c r="G16" s="68">
        <v>0.28999999999999998</v>
      </c>
      <c r="H16" s="68">
        <v>1.3380000000000001</v>
      </c>
      <c r="I16" s="68">
        <v>7.4969999999999999</v>
      </c>
      <c r="J16" s="68">
        <v>1.1647526199999999E-2</v>
      </c>
      <c r="K16" s="68">
        <v>0.17847138600000001</v>
      </c>
      <c r="L16" s="68">
        <v>0</v>
      </c>
      <c r="M16" s="68">
        <v>0.2</v>
      </c>
      <c r="N16" s="68">
        <v>0</v>
      </c>
    </row>
    <row r="17" spans="1:22" ht="15" customHeight="1" x14ac:dyDescent="0.15">
      <c r="C17" s="68">
        <v>16</v>
      </c>
      <c r="D17"/>
      <c r="E17" s="154" t="s">
        <v>207</v>
      </c>
      <c r="F17" s="68">
        <v>0</v>
      </c>
      <c r="G17" s="68">
        <v>0.112</v>
      </c>
      <c r="H17" s="68">
        <v>1</v>
      </c>
      <c r="I17" s="68">
        <v>6</v>
      </c>
      <c r="J17" s="68">
        <v>3.1789135199999999E-2</v>
      </c>
      <c r="K17" s="68">
        <v>0.16666667199999999</v>
      </c>
      <c r="L17" s="68">
        <v>0</v>
      </c>
      <c r="M17" s="68">
        <v>0.2</v>
      </c>
      <c r="N17" s="68">
        <v>0</v>
      </c>
      <c r="V17" s="1" t="s">
        <v>30</v>
      </c>
    </row>
    <row r="18" spans="1:22" ht="15" customHeight="1" x14ac:dyDescent="0.15">
      <c r="C18" s="68">
        <v>17</v>
      </c>
      <c r="D18"/>
      <c r="E18" s="154" t="s">
        <v>208</v>
      </c>
      <c r="F18" s="68">
        <v>0</v>
      </c>
      <c r="G18" s="68">
        <v>2.89</v>
      </c>
      <c r="H18" s="68">
        <v>0.82</v>
      </c>
      <c r="I18" s="68">
        <v>3.774</v>
      </c>
      <c r="J18" s="68">
        <v>2.5647778499999999E-3</v>
      </c>
      <c r="K18" s="68">
        <v>0.2172761</v>
      </c>
      <c r="L18" s="68">
        <v>0</v>
      </c>
      <c r="M18" s="68">
        <v>0.2</v>
      </c>
      <c r="N18" s="68">
        <v>0</v>
      </c>
      <c r="V18" s="1"/>
    </row>
    <row r="19" spans="1:22" ht="15" customHeight="1" x14ac:dyDescent="0.15">
      <c r="C19" s="68">
        <v>18</v>
      </c>
      <c r="D19"/>
      <c r="E19" s="154" t="s">
        <v>209</v>
      </c>
      <c r="F19" s="68">
        <v>0</v>
      </c>
      <c r="G19" s="68">
        <v>4.6959999999999997</v>
      </c>
      <c r="H19" s="68">
        <v>13.94</v>
      </c>
      <c r="I19" s="68">
        <v>46.466663400000002</v>
      </c>
      <c r="J19" s="68">
        <v>4.9165180000000003E-2</v>
      </c>
      <c r="K19" s="68">
        <v>0.3</v>
      </c>
      <c r="L19" s="68">
        <v>0</v>
      </c>
      <c r="M19" s="68">
        <v>0.2</v>
      </c>
      <c r="N19" s="68">
        <v>0</v>
      </c>
    </row>
    <row r="20" spans="1:22" ht="15" customHeight="1" thickBot="1" x14ac:dyDescent="0.2">
      <c r="C20" s="68">
        <v>19</v>
      </c>
      <c r="D20"/>
      <c r="E20" s="154" t="s">
        <v>210</v>
      </c>
      <c r="F20" s="68">
        <v>0</v>
      </c>
      <c r="G20" s="68">
        <v>22.13</v>
      </c>
      <c r="H20" s="68">
        <v>3.1</v>
      </c>
      <c r="I20" s="68">
        <v>16.346599999999999</v>
      </c>
      <c r="J20" s="68">
        <v>0.52173069999999999</v>
      </c>
      <c r="K20" s="68">
        <v>0.18964187800000001</v>
      </c>
      <c r="L20" s="68">
        <v>0</v>
      </c>
      <c r="M20" s="68">
        <v>0.2</v>
      </c>
      <c r="N20" s="68">
        <v>0</v>
      </c>
    </row>
    <row r="21" spans="1:22" ht="15" customHeight="1" thickBot="1" x14ac:dyDescent="0.2">
      <c r="A21" s="40" t="s">
        <v>137</v>
      </c>
      <c r="B21" s="86"/>
      <c r="C21" s="68">
        <v>20</v>
      </c>
      <c r="D21"/>
      <c r="E21" s="154" t="s">
        <v>211</v>
      </c>
      <c r="F21" s="68">
        <v>0</v>
      </c>
      <c r="G21" s="68">
        <v>13.116</v>
      </c>
      <c r="H21" s="68">
        <v>2.6120000000000001</v>
      </c>
      <c r="I21" s="68">
        <v>10.635</v>
      </c>
      <c r="J21" s="68">
        <v>0.411191523</v>
      </c>
      <c r="K21" s="68">
        <v>0.245604128</v>
      </c>
      <c r="L21" s="68">
        <v>0</v>
      </c>
      <c r="M21" s="68">
        <v>0.2</v>
      </c>
      <c r="N21" s="68">
        <v>0</v>
      </c>
    </row>
    <row r="22" spans="1:22" ht="15" customHeight="1" x14ac:dyDescent="0.15">
      <c r="A22" s="87" t="s">
        <v>58</v>
      </c>
      <c r="B22" s="88">
        <v>0</v>
      </c>
      <c r="C22" s="68">
        <v>21</v>
      </c>
      <c r="D22"/>
      <c r="E22" s="154" t="s">
        <v>212</v>
      </c>
      <c r="F22" s="68">
        <v>0</v>
      </c>
      <c r="G22" s="68">
        <v>2.4091999999999998</v>
      </c>
      <c r="H22" s="68">
        <v>4.7</v>
      </c>
      <c r="I22" s="68">
        <v>16.734999999999999</v>
      </c>
      <c r="J22" s="68">
        <v>0.74453599999999998</v>
      </c>
      <c r="K22" s="68">
        <v>0.2808485</v>
      </c>
      <c r="L22" s="68">
        <v>0</v>
      </c>
      <c r="M22" s="68">
        <v>0.2</v>
      </c>
      <c r="N22" s="68">
        <v>0</v>
      </c>
    </row>
    <row r="23" spans="1:22" ht="15" customHeight="1" x14ac:dyDescent="0.15">
      <c r="A23" s="87" t="s">
        <v>59</v>
      </c>
      <c r="B23" s="88">
        <v>1</v>
      </c>
      <c r="C23" s="68">
        <v>22</v>
      </c>
      <c r="D23"/>
      <c r="E23" s="154" t="s">
        <v>213</v>
      </c>
      <c r="F23" s="68">
        <v>0</v>
      </c>
      <c r="G23" s="68">
        <v>13.048</v>
      </c>
      <c r="H23" s="68">
        <v>6.4429999999999996</v>
      </c>
      <c r="I23" s="68">
        <v>31.963000000000001</v>
      </c>
      <c r="J23" s="68">
        <v>1.40412543E-2</v>
      </c>
      <c r="K23" s="68">
        <v>0.20157682900000001</v>
      </c>
      <c r="L23" s="68">
        <v>0</v>
      </c>
      <c r="M23" s="68">
        <v>0.2</v>
      </c>
      <c r="N23" s="68">
        <v>0</v>
      </c>
    </row>
    <row r="24" spans="1:22" ht="15" customHeight="1" x14ac:dyDescent="0.15">
      <c r="A24" s="87" t="s">
        <v>60</v>
      </c>
      <c r="B24" s="88">
        <v>2</v>
      </c>
      <c r="C24" s="68">
        <v>23</v>
      </c>
      <c r="D24"/>
      <c r="E24" s="154" t="s">
        <v>214</v>
      </c>
      <c r="F24" s="68">
        <v>0</v>
      </c>
      <c r="G24" s="68">
        <v>112.6</v>
      </c>
      <c r="H24" s="68">
        <v>4.3339999999999996</v>
      </c>
      <c r="I24" s="68">
        <v>32.729999999999997</v>
      </c>
      <c r="J24" s="68">
        <v>0.722203135</v>
      </c>
      <c r="K24" s="68">
        <v>0.132416755</v>
      </c>
      <c r="L24" s="68">
        <v>0</v>
      </c>
      <c r="M24" s="68">
        <v>0.2</v>
      </c>
      <c r="N24" s="68">
        <v>0</v>
      </c>
    </row>
    <row r="25" spans="1:22" ht="15" customHeight="1" thickBot="1" x14ac:dyDescent="0.2">
      <c r="A25" s="89" t="s">
        <v>44</v>
      </c>
      <c r="B25" s="90">
        <v>3</v>
      </c>
      <c r="C25" s="68">
        <v>24</v>
      </c>
      <c r="D25"/>
      <c r="E25" s="154" t="s">
        <v>215</v>
      </c>
      <c r="F25" s="68">
        <v>1</v>
      </c>
      <c r="G25" s="68">
        <v>10.5</v>
      </c>
      <c r="H25" s="68">
        <v>107.36</v>
      </c>
      <c r="I25" s="68">
        <v>0</v>
      </c>
      <c r="J25" s="68">
        <v>0.32663059999999999</v>
      </c>
      <c r="K25" s="68">
        <v>0</v>
      </c>
      <c r="L25" s="68">
        <v>0</v>
      </c>
      <c r="M25" s="68">
        <v>0</v>
      </c>
      <c r="N25" s="68">
        <v>0</v>
      </c>
    </row>
    <row r="26" spans="1:22" ht="15" customHeight="1" x14ac:dyDescent="0.15">
      <c r="A26" s="91" t="s">
        <v>140</v>
      </c>
      <c r="C26" s="68">
        <v>25</v>
      </c>
      <c r="D26"/>
      <c r="E26" s="154" t="s">
        <v>216</v>
      </c>
      <c r="F26" s="68">
        <v>0</v>
      </c>
      <c r="G26" s="68">
        <v>20.635999999999999</v>
      </c>
      <c r="H26" s="68">
        <v>58.356000000000002</v>
      </c>
      <c r="I26" s="68">
        <v>274.80500000000001</v>
      </c>
      <c r="J26" s="68">
        <v>0.42658084600000001</v>
      </c>
      <c r="K26" s="68">
        <v>0.21235421299999999</v>
      </c>
      <c r="L26" s="68">
        <v>0</v>
      </c>
      <c r="M26" s="68">
        <v>0.2</v>
      </c>
      <c r="N26" s="68">
        <v>0</v>
      </c>
    </row>
    <row r="27" spans="1:22" ht="15" customHeight="1" x14ac:dyDescent="0.15">
      <c r="C27" s="68">
        <v>26</v>
      </c>
      <c r="D27"/>
      <c r="E27" s="154" t="s">
        <v>217</v>
      </c>
      <c r="F27" s="68">
        <v>1</v>
      </c>
      <c r="G27" s="68">
        <v>82.013999999999996</v>
      </c>
      <c r="H27" s="68">
        <v>138.18899999999999</v>
      </c>
      <c r="I27" s="68">
        <v>0</v>
      </c>
      <c r="J27" s="68">
        <v>0.51513589999999998</v>
      </c>
      <c r="K27" s="68">
        <v>0</v>
      </c>
      <c r="L27" s="68">
        <v>0</v>
      </c>
      <c r="M27" s="68">
        <v>0</v>
      </c>
      <c r="N27" s="68">
        <v>0</v>
      </c>
    </row>
    <row r="28" spans="1:22" ht="15" customHeight="1" x14ac:dyDescent="0.15">
      <c r="C28" s="68">
        <v>27</v>
      </c>
      <c r="D28"/>
      <c r="E28" s="154" t="s">
        <v>218</v>
      </c>
      <c r="F28" s="68">
        <v>2</v>
      </c>
      <c r="G28" s="68">
        <v>10</v>
      </c>
      <c r="H28" s="68">
        <v>0.5</v>
      </c>
      <c r="I28" s="68">
        <v>0</v>
      </c>
      <c r="J28" s="68">
        <v>0</v>
      </c>
      <c r="K28" s="68">
        <v>0</v>
      </c>
      <c r="L28" s="68">
        <v>593.47979999999995</v>
      </c>
      <c r="M28" s="68">
        <v>0</v>
      </c>
      <c r="N28" s="68">
        <v>0</v>
      </c>
    </row>
    <row r="29" spans="1:22" customFormat="1" ht="15" customHeight="1" x14ac:dyDescent="0.15">
      <c r="C29" s="68">
        <v>28</v>
      </c>
      <c r="E29" s="154" t="s">
        <v>219</v>
      </c>
      <c r="F29" s="68">
        <v>2</v>
      </c>
      <c r="G29" s="68">
        <v>5</v>
      </c>
      <c r="H29" s="68">
        <v>0</v>
      </c>
      <c r="I29" s="68">
        <v>0</v>
      </c>
      <c r="J29" s="68">
        <v>0</v>
      </c>
      <c r="K29" s="68">
        <v>0</v>
      </c>
      <c r="L29" s="68">
        <v>0</v>
      </c>
      <c r="M29" s="68">
        <v>0</v>
      </c>
      <c r="N29" s="68">
        <v>0</v>
      </c>
    </row>
    <row r="30" spans="1:22" customFormat="1" ht="15" customHeight="1" x14ac:dyDescent="0.15">
      <c r="C30" s="68">
        <v>29</v>
      </c>
      <c r="E30" s="154" t="s">
        <v>220</v>
      </c>
      <c r="F30" s="68">
        <v>3</v>
      </c>
      <c r="G30" s="68">
        <v>0</v>
      </c>
      <c r="H30" s="68">
        <v>0</v>
      </c>
      <c r="I30" s="68">
        <v>0</v>
      </c>
      <c r="J30" s="68">
        <v>0</v>
      </c>
      <c r="K30" s="68">
        <v>0</v>
      </c>
      <c r="L30" s="68">
        <v>0</v>
      </c>
      <c r="M30" s="68">
        <v>0</v>
      </c>
      <c r="N30" s="68">
        <v>0</v>
      </c>
    </row>
    <row r="31" spans="1:22" customFormat="1" ht="15" customHeight="1" x14ac:dyDescent="0.15">
      <c r="C31" s="68">
        <v>30</v>
      </c>
      <c r="E31" s="154" t="s">
        <v>221</v>
      </c>
      <c r="F31" s="68">
        <v>3</v>
      </c>
      <c r="G31" s="68">
        <v>0</v>
      </c>
      <c r="H31" s="68">
        <v>0</v>
      </c>
      <c r="I31" s="68">
        <v>0</v>
      </c>
      <c r="J31" s="68">
        <v>0</v>
      </c>
      <c r="K31" s="68">
        <v>0</v>
      </c>
      <c r="L31" s="68">
        <v>0</v>
      </c>
      <c r="M31" s="68">
        <v>0</v>
      </c>
      <c r="N31" s="68">
        <v>0</v>
      </c>
    </row>
    <row r="32" spans="1:22" customFormat="1" ht="15" customHeight="1" x14ac:dyDescent="0.15"/>
    <row r="33" customFormat="1" ht="15" customHeight="1" x14ac:dyDescent="0.15"/>
    <row r="34" customFormat="1" ht="15" customHeight="1" x14ac:dyDescent="0.15"/>
    <row r="35" customFormat="1" ht="15" customHeight="1" x14ac:dyDescent="0.15"/>
    <row r="36" customFormat="1" ht="15" customHeight="1" x14ac:dyDescent="0.15"/>
    <row r="37" customFormat="1" ht="15" customHeight="1" x14ac:dyDescent="0.15"/>
    <row r="38" customFormat="1" ht="15" customHeight="1" x14ac:dyDescent="0.15"/>
    <row r="39" customFormat="1" ht="15" customHeight="1" x14ac:dyDescent="0.15"/>
    <row r="40" customFormat="1" ht="15" customHeight="1" x14ac:dyDescent="0.15"/>
    <row r="41" customFormat="1" ht="15" customHeight="1" x14ac:dyDescent="0.15"/>
    <row r="42" customFormat="1" ht="15" customHeight="1" x14ac:dyDescent="0.15"/>
    <row r="43" customFormat="1" ht="15" customHeight="1" x14ac:dyDescent="0.15"/>
    <row r="44" customFormat="1" ht="15" customHeight="1" x14ac:dyDescent="0.15"/>
    <row r="45" customFormat="1" ht="15" customHeight="1" x14ac:dyDescent="0.15"/>
    <row r="46" customFormat="1" ht="15" customHeight="1" x14ac:dyDescent="0.15"/>
    <row r="47" customFormat="1" ht="15" customHeight="1" x14ac:dyDescent="0.15"/>
    <row r="48" customFormat="1" ht="15" customHeight="1" x14ac:dyDescent="0.15"/>
    <row r="49" customFormat="1" ht="15" customHeight="1" x14ac:dyDescent="0.15"/>
    <row r="50" customFormat="1" ht="15" customHeight="1" x14ac:dyDescent="0.15"/>
    <row r="51" customFormat="1" ht="15" customHeight="1" x14ac:dyDescent="0.15"/>
    <row r="52" customFormat="1" ht="15" customHeight="1" x14ac:dyDescent="0.15"/>
    <row r="53" customFormat="1" ht="15" customHeight="1" x14ac:dyDescent="0.15"/>
    <row r="54" customFormat="1" ht="15" customHeight="1" x14ac:dyDescent="0.15"/>
    <row r="55" customFormat="1" ht="15" customHeight="1" x14ac:dyDescent="0.15"/>
    <row r="56" customFormat="1" ht="15" customHeight="1" x14ac:dyDescent="0.15"/>
    <row r="57" customFormat="1" ht="15" customHeight="1" x14ac:dyDescent="0.15"/>
    <row r="58" customFormat="1" ht="15" customHeight="1" x14ac:dyDescent="0.15"/>
    <row r="59" customFormat="1" ht="15" customHeight="1" x14ac:dyDescent="0.15"/>
    <row r="60" customFormat="1" ht="15" customHeight="1" x14ac:dyDescent="0.15"/>
    <row r="61" customFormat="1" ht="15" customHeight="1" x14ac:dyDescent="0.15"/>
    <row r="62" customFormat="1" ht="15" customHeight="1" x14ac:dyDescent="0.15"/>
    <row r="63" customFormat="1" ht="15" customHeight="1" x14ac:dyDescent="0.15"/>
    <row r="6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H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21.6640625" style="122" bestFit="1" customWidth="1"/>
    <col min="2" max="2" width="6.83203125" style="122" bestFit="1" customWidth="1"/>
    <col min="3" max="3" width="14.83203125" style="122" bestFit="1" customWidth="1"/>
    <col min="4" max="4" width="6.83203125" style="122" bestFit="1" customWidth="1"/>
    <col min="5" max="5" width="5.83203125" style="122" bestFit="1" customWidth="1"/>
    <col min="6" max="6" width="14.83203125" style="122" bestFit="1" customWidth="1"/>
    <col min="7" max="7" width="3.83203125" style="122" bestFit="1" customWidth="1"/>
    <col min="8" max="8" width="5.83203125" style="122" bestFit="1" customWidth="1"/>
    <col min="9" max="9" width="14.83203125" style="122" bestFit="1" customWidth="1"/>
    <col min="10" max="10" width="5.83203125" style="122" bestFit="1" customWidth="1"/>
    <col min="11" max="12" width="6.83203125" style="122" bestFit="1" customWidth="1"/>
    <col min="13" max="13" width="15.5" style="122" bestFit="1" customWidth="1"/>
    <col min="14" max="16" width="5.83203125" style="122" bestFit="1" customWidth="1"/>
    <col min="17" max="17" width="4.83203125" style="122" bestFit="1" customWidth="1"/>
    <col min="18" max="19" width="15.5" style="122" bestFit="1" customWidth="1"/>
    <col min="20" max="20" width="5.83203125" style="122" bestFit="1" customWidth="1"/>
    <col min="21" max="21" width="3.83203125" style="122" bestFit="1" customWidth="1"/>
    <col min="22" max="23" width="5.83203125" style="122" bestFit="1" customWidth="1"/>
    <col min="24" max="24" width="13.83203125" style="122" bestFit="1" customWidth="1"/>
    <col min="25" max="29" width="2.33203125" style="122" bestFit="1" customWidth="1"/>
    <col min="30" max="16384" width="8.83203125" style="122"/>
  </cols>
  <sheetData>
    <row r="1" spans="1:34" x14ac:dyDescent="0.15">
      <c r="A1" s="121" t="s">
        <v>19</v>
      </c>
      <c r="B1" s="156" t="s">
        <v>192</v>
      </c>
      <c r="C1" s="156" t="s">
        <v>193</v>
      </c>
      <c r="D1" s="156" t="s">
        <v>194</v>
      </c>
      <c r="E1" s="156" t="s">
        <v>195</v>
      </c>
      <c r="F1" s="156" t="s">
        <v>196</v>
      </c>
      <c r="G1" s="156" t="s">
        <v>197</v>
      </c>
      <c r="H1" s="156" t="s">
        <v>198</v>
      </c>
      <c r="I1" s="156" t="s">
        <v>199</v>
      </c>
      <c r="J1" s="156" t="s">
        <v>200</v>
      </c>
      <c r="K1" s="156" t="s">
        <v>201</v>
      </c>
      <c r="L1" s="156" t="s">
        <v>202</v>
      </c>
      <c r="M1" s="156" t="s">
        <v>203</v>
      </c>
      <c r="N1" s="156" t="s">
        <v>204</v>
      </c>
      <c r="O1" s="156" t="s">
        <v>205</v>
      </c>
      <c r="P1" s="156" t="s">
        <v>206</v>
      </c>
      <c r="Q1" s="156" t="s">
        <v>207</v>
      </c>
      <c r="R1" s="156" t="s">
        <v>208</v>
      </c>
      <c r="S1" s="156" t="s">
        <v>209</v>
      </c>
      <c r="T1" s="156" t="s">
        <v>210</v>
      </c>
      <c r="U1" s="156" t="s">
        <v>211</v>
      </c>
      <c r="V1" s="156" t="s">
        <v>212</v>
      </c>
      <c r="W1" s="156" t="s">
        <v>213</v>
      </c>
      <c r="X1" s="156" t="s">
        <v>214</v>
      </c>
      <c r="Y1" s="156" t="s">
        <v>215</v>
      </c>
      <c r="Z1" s="156" t="s">
        <v>216</v>
      </c>
      <c r="AA1" s="156" t="s">
        <v>217</v>
      </c>
      <c r="AB1" s="156" t="s">
        <v>218</v>
      </c>
      <c r="AC1" s="156" t="s">
        <v>219</v>
      </c>
      <c r="AD1"/>
      <c r="AE1"/>
      <c r="AF1"/>
      <c r="AG1"/>
      <c r="AH1"/>
    </row>
    <row r="2" spans="1:34" customFormat="1" x14ac:dyDescent="0.15">
      <c r="A2" s="155" t="s">
        <v>192</v>
      </c>
      <c r="B2" s="122">
        <v>0</v>
      </c>
      <c r="C2" s="122">
        <v>0</v>
      </c>
      <c r="D2" s="122">
        <v>0</v>
      </c>
      <c r="E2" s="122">
        <v>0</v>
      </c>
      <c r="F2" s="122">
        <v>0</v>
      </c>
      <c r="G2" s="122">
        <v>0</v>
      </c>
      <c r="H2" s="122">
        <v>0</v>
      </c>
      <c r="I2" s="122">
        <v>0</v>
      </c>
      <c r="J2" s="122">
        <v>0</v>
      </c>
      <c r="K2" s="122">
        <v>0</v>
      </c>
      <c r="L2" s="122">
        <v>0</v>
      </c>
      <c r="M2" s="122">
        <v>0</v>
      </c>
      <c r="N2" s="122">
        <v>0</v>
      </c>
      <c r="O2" s="122">
        <v>0</v>
      </c>
      <c r="P2" s="122">
        <v>0</v>
      </c>
      <c r="Q2" s="122">
        <v>0</v>
      </c>
      <c r="R2" s="122">
        <v>0</v>
      </c>
      <c r="S2" s="122">
        <v>0</v>
      </c>
      <c r="T2" s="122">
        <v>0</v>
      </c>
      <c r="U2" s="122">
        <v>0</v>
      </c>
      <c r="V2" s="122">
        <v>0</v>
      </c>
      <c r="W2" s="122">
        <v>0</v>
      </c>
      <c r="X2" s="122">
        <v>0</v>
      </c>
      <c r="Y2" s="122">
        <v>0</v>
      </c>
      <c r="Z2" s="122">
        <v>0</v>
      </c>
      <c r="AA2" s="122">
        <v>0</v>
      </c>
      <c r="AB2" s="122">
        <v>0</v>
      </c>
      <c r="AC2" s="122">
        <v>0</v>
      </c>
    </row>
    <row r="3" spans="1:34" customFormat="1" x14ac:dyDescent="0.15">
      <c r="A3" s="155" t="s">
        <v>193</v>
      </c>
      <c r="B3" s="122">
        <v>0</v>
      </c>
      <c r="C3" s="122">
        <v>0</v>
      </c>
      <c r="D3" s="122">
        <v>0</v>
      </c>
      <c r="E3" s="122">
        <v>0</v>
      </c>
      <c r="F3" s="122">
        <v>0</v>
      </c>
      <c r="G3" s="122">
        <v>0</v>
      </c>
      <c r="H3" s="122">
        <v>0</v>
      </c>
      <c r="I3" s="122">
        <v>0</v>
      </c>
      <c r="J3" s="122">
        <v>0</v>
      </c>
      <c r="K3" s="122">
        <v>0</v>
      </c>
      <c r="L3" s="122">
        <v>0</v>
      </c>
      <c r="M3" s="122">
        <v>0</v>
      </c>
      <c r="N3" s="122">
        <v>0</v>
      </c>
      <c r="O3" s="122">
        <v>0</v>
      </c>
      <c r="P3" s="122">
        <v>0</v>
      </c>
      <c r="Q3" s="122">
        <v>0</v>
      </c>
      <c r="R3" s="122">
        <v>0</v>
      </c>
      <c r="S3" s="122">
        <v>0</v>
      </c>
      <c r="T3" s="122">
        <v>0</v>
      </c>
      <c r="U3" s="122">
        <v>0</v>
      </c>
      <c r="V3" s="122">
        <v>0</v>
      </c>
      <c r="W3" s="122">
        <v>0</v>
      </c>
      <c r="X3" s="122">
        <v>0</v>
      </c>
      <c r="Y3" s="122">
        <v>0</v>
      </c>
      <c r="Z3" s="122">
        <v>0</v>
      </c>
      <c r="AA3" s="122">
        <v>0</v>
      </c>
      <c r="AB3" s="122">
        <v>0</v>
      </c>
      <c r="AC3" s="122">
        <v>0</v>
      </c>
    </row>
    <row r="4" spans="1:34" customFormat="1" x14ac:dyDescent="0.15">
      <c r="A4" s="155" t="s">
        <v>194</v>
      </c>
      <c r="B4" s="122">
        <v>0</v>
      </c>
      <c r="C4" s="122">
        <v>0</v>
      </c>
      <c r="D4" s="122">
        <v>0</v>
      </c>
      <c r="E4" s="122">
        <v>0</v>
      </c>
      <c r="F4" s="122">
        <v>0</v>
      </c>
      <c r="G4" s="122">
        <v>0</v>
      </c>
      <c r="H4" s="122">
        <v>0</v>
      </c>
      <c r="I4" s="122">
        <v>0</v>
      </c>
      <c r="J4" s="122">
        <v>0</v>
      </c>
      <c r="K4" s="122">
        <v>0</v>
      </c>
      <c r="L4" s="122">
        <v>0</v>
      </c>
      <c r="M4" s="122">
        <v>0</v>
      </c>
      <c r="N4" s="122">
        <v>0</v>
      </c>
      <c r="O4" s="122">
        <v>0</v>
      </c>
      <c r="P4" s="122">
        <v>0</v>
      </c>
      <c r="Q4" s="122">
        <v>0</v>
      </c>
      <c r="R4" s="122">
        <v>0</v>
      </c>
      <c r="S4" s="122">
        <v>0</v>
      </c>
      <c r="T4" s="122">
        <v>0</v>
      </c>
      <c r="U4" s="122">
        <v>0</v>
      </c>
      <c r="V4" s="122">
        <v>0</v>
      </c>
      <c r="W4" s="122">
        <v>0</v>
      </c>
      <c r="X4" s="122">
        <v>0</v>
      </c>
      <c r="Y4" s="122">
        <v>0</v>
      </c>
      <c r="Z4" s="122">
        <v>0</v>
      </c>
      <c r="AA4" s="122">
        <v>0</v>
      </c>
      <c r="AB4" s="122">
        <v>0</v>
      </c>
      <c r="AC4" s="122">
        <v>0</v>
      </c>
    </row>
    <row r="5" spans="1:34" customFormat="1" x14ac:dyDescent="0.15">
      <c r="A5" s="155" t="s">
        <v>195</v>
      </c>
      <c r="B5" s="122">
        <v>0</v>
      </c>
      <c r="C5" s="122">
        <v>0</v>
      </c>
      <c r="D5" s="122">
        <v>0</v>
      </c>
      <c r="E5" s="122">
        <v>0</v>
      </c>
      <c r="F5" s="122">
        <v>0</v>
      </c>
      <c r="G5" s="122">
        <v>0</v>
      </c>
      <c r="H5" s="122">
        <v>0</v>
      </c>
      <c r="I5" s="122">
        <v>0</v>
      </c>
      <c r="J5" s="122">
        <v>0</v>
      </c>
      <c r="K5" s="122">
        <v>0</v>
      </c>
      <c r="L5" s="122">
        <v>0</v>
      </c>
      <c r="M5" s="122">
        <v>0</v>
      </c>
      <c r="N5" s="122">
        <v>0</v>
      </c>
      <c r="O5" s="122">
        <v>0</v>
      </c>
      <c r="P5" s="122">
        <v>0</v>
      </c>
      <c r="Q5" s="122">
        <v>0</v>
      </c>
      <c r="R5" s="122">
        <v>0</v>
      </c>
      <c r="S5" s="122">
        <v>0</v>
      </c>
      <c r="T5" s="122">
        <v>0</v>
      </c>
      <c r="U5" s="122">
        <v>0</v>
      </c>
      <c r="V5" s="122">
        <v>0</v>
      </c>
      <c r="W5" s="122">
        <v>0</v>
      </c>
      <c r="X5" s="122">
        <v>0</v>
      </c>
      <c r="Y5" s="122">
        <v>0</v>
      </c>
      <c r="Z5" s="122">
        <v>0</v>
      </c>
      <c r="AA5" s="122">
        <v>0</v>
      </c>
      <c r="AB5" s="122">
        <v>0</v>
      </c>
      <c r="AC5" s="122">
        <v>0</v>
      </c>
    </row>
    <row r="6" spans="1:34" customFormat="1" x14ac:dyDescent="0.15">
      <c r="A6" s="155" t="s">
        <v>196</v>
      </c>
      <c r="B6" s="122">
        <v>0</v>
      </c>
      <c r="C6" s="122">
        <v>0</v>
      </c>
      <c r="D6" s="122">
        <v>0</v>
      </c>
      <c r="E6" s="122">
        <v>0</v>
      </c>
      <c r="F6" s="122">
        <v>0</v>
      </c>
      <c r="G6" s="122">
        <v>0</v>
      </c>
      <c r="H6" s="122">
        <v>0</v>
      </c>
      <c r="I6" s="122">
        <v>0</v>
      </c>
      <c r="J6" s="122">
        <v>0</v>
      </c>
      <c r="K6" s="122">
        <v>0</v>
      </c>
      <c r="L6" s="122">
        <v>0</v>
      </c>
      <c r="M6" s="122">
        <v>0</v>
      </c>
      <c r="N6" s="122">
        <v>0</v>
      </c>
      <c r="O6" s="122">
        <v>0</v>
      </c>
      <c r="P6" s="122">
        <v>0</v>
      </c>
      <c r="Q6" s="122">
        <v>0</v>
      </c>
      <c r="R6" s="122">
        <v>0</v>
      </c>
      <c r="S6" s="122">
        <v>0</v>
      </c>
      <c r="T6" s="122">
        <v>0</v>
      </c>
      <c r="U6" s="122">
        <v>0</v>
      </c>
      <c r="V6" s="122">
        <v>0</v>
      </c>
      <c r="W6" s="122">
        <v>0</v>
      </c>
      <c r="X6" s="122">
        <v>0</v>
      </c>
      <c r="Y6" s="122">
        <v>0</v>
      </c>
      <c r="Z6" s="122">
        <v>0</v>
      </c>
      <c r="AA6" s="122">
        <v>0</v>
      </c>
      <c r="AB6" s="122">
        <v>0</v>
      </c>
      <c r="AC6" s="122">
        <v>0</v>
      </c>
    </row>
    <row r="7" spans="1:34" customFormat="1" x14ac:dyDescent="0.15">
      <c r="A7" s="155" t="s">
        <v>197</v>
      </c>
      <c r="B7" s="122">
        <v>0</v>
      </c>
      <c r="C7" s="122">
        <v>0</v>
      </c>
      <c r="D7" s="122">
        <v>0</v>
      </c>
      <c r="E7" s="122">
        <v>0</v>
      </c>
      <c r="F7" s="122">
        <v>0</v>
      </c>
      <c r="G7" s="122">
        <v>0</v>
      </c>
      <c r="H7" s="122">
        <v>0</v>
      </c>
      <c r="I7" s="122">
        <v>0</v>
      </c>
      <c r="J7" s="122">
        <v>0</v>
      </c>
      <c r="K7" s="122">
        <v>0</v>
      </c>
      <c r="L7" s="122">
        <v>0</v>
      </c>
      <c r="M7" s="122">
        <v>0</v>
      </c>
      <c r="N7" s="122">
        <v>0</v>
      </c>
      <c r="O7" s="122">
        <v>0</v>
      </c>
      <c r="P7" s="122">
        <v>0</v>
      </c>
      <c r="Q7" s="122">
        <v>0</v>
      </c>
      <c r="R7" s="122">
        <v>0</v>
      </c>
      <c r="S7" s="122">
        <v>0</v>
      </c>
      <c r="T7" s="122">
        <v>0</v>
      </c>
      <c r="U7" s="122">
        <v>0</v>
      </c>
      <c r="V7" s="122">
        <v>0</v>
      </c>
      <c r="W7" s="122">
        <v>0</v>
      </c>
      <c r="X7" s="122">
        <v>0</v>
      </c>
      <c r="Y7" s="122">
        <v>0</v>
      </c>
      <c r="Z7" s="122">
        <v>0</v>
      </c>
      <c r="AA7" s="122">
        <v>0</v>
      </c>
      <c r="AB7" s="122">
        <v>0</v>
      </c>
      <c r="AC7" s="122">
        <v>0</v>
      </c>
    </row>
    <row r="8" spans="1:34" customFormat="1" x14ac:dyDescent="0.15">
      <c r="A8" s="155" t="s">
        <v>198</v>
      </c>
      <c r="B8" s="122">
        <v>0</v>
      </c>
      <c r="C8" s="122">
        <v>0</v>
      </c>
      <c r="D8" s="122">
        <v>0</v>
      </c>
      <c r="E8" s="122">
        <v>0</v>
      </c>
      <c r="F8" s="122">
        <v>0</v>
      </c>
      <c r="G8" s="122">
        <v>0</v>
      </c>
      <c r="H8" s="122">
        <v>0</v>
      </c>
      <c r="I8" s="122">
        <v>0</v>
      </c>
      <c r="J8" s="122">
        <v>0</v>
      </c>
      <c r="K8" s="122">
        <v>0</v>
      </c>
      <c r="L8" s="122">
        <v>0</v>
      </c>
      <c r="M8" s="122">
        <v>0</v>
      </c>
      <c r="N8" s="122">
        <v>0</v>
      </c>
      <c r="O8" s="122">
        <v>0</v>
      </c>
      <c r="P8" s="122">
        <v>0</v>
      </c>
      <c r="Q8" s="122">
        <v>0</v>
      </c>
      <c r="R8" s="122">
        <v>0</v>
      </c>
      <c r="S8" s="122">
        <v>0</v>
      </c>
      <c r="T8" s="122">
        <v>0</v>
      </c>
      <c r="U8" s="122">
        <v>0</v>
      </c>
      <c r="V8" s="122">
        <v>0</v>
      </c>
      <c r="W8" s="122">
        <v>0</v>
      </c>
      <c r="X8" s="122">
        <v>0</v>
      </c>
      <c r="Y8" s="122">
        <v>0</v>
      </c>
      <c r="Z8" s="122">
        <v>0</v>
      </c>
      <c r="AA8" s="122">
        <v>0</v>
      </c>
      <c r="AB8" s="122">
        <v>0</v>
      </c>
      <c r="AC8" s="122">
        <v>0</v>
      </c>
    </row>
    <row r="9" spans="1:34" customFormat="1" x14ac:dyDescent="0.15">
      <c r="A9" s="155" t="s">
        <v>199</v>
      </c>
      <c r="B9" s="122">
        <v>0</v>
      </c>
      <c r="C9" s="122">
        <v>0</v>
      </c>
      <c r="D9" s="122">
        <v>0</v>
      </c>
      <c r="E9" s="122">
        <v>0</v>
      </c>
      <c r="F9" s="122">
        <v>0</v>
      </c>
      <c r="G9" s="122">
        <v>0</v>
      </c>
      <c r="H9" s="122">
        <v>0</v>
      </c>
      <c r="I9" s="122">
        <v>0</v>
      </c>
      <c r="J9" s="122">
        <v>0</v>
      </c>
      <c r="K9" s="122">
        <v>0</v>
      </c>
      <c r="L9" s="122">
        <v>0</v>
      </c>
      <c r="M9" s="122">
        <v>0</v>
      </c>
      <c r="N9" s="122">
        <v>0</v>
      </c>
      <c r="O9" s="122">
        <v>0</v>
      </c>
      <c r="P9" s="122">
        <v>0</v>
      </c>
      <c r="Q9" s="122">
        <v>0</v>
      </c>
      <c r="R9" s="122">
        <v>0</v>
      </c>
      <c r="S9" s="122">
        <v>0</v>
      </c>
      <c r="T9" s="122">
        <v>0</v>
      </c>
      <c r="U9" s="122">
        <v>0</v>
      </c>
      <c r="V9" s="122">
        <v>0</v>
      </c>
      <c r="W9" s="122">
        <v>0</v>
      </c>
      <c r="X9" s="122">
        <v>0</v>
      </c>
      <c r="Y9" s="122">
        <v>0</v>
      </c>
      <c r="Z9" s="122">
        <v>0</v>
      </c>
      <c r="AA9" s="122">
        <v>0</v>
      </c>
      <c r="AB9" s="122">
        <v>0</v>
      </c>
      <c r="AC9" s="122">
        <v>0</v>
      </c>
    </row>
    <row r="10" spans="1:34" customFormat="1" x14ac:dyDescent="0.15">
      <c r="A10" s="155" t="s">
        <v>200</v>
      </c>
      <c r="B10" s="122">
        <v>0</v>
      </c>
      <c r="C10" s="122">
        <v>0</v>
      </c>
      <c r="D10" s="122">
        <v>0</v>
      </c>
      <c r="E10" s="122">
        <v>0</v>
      </c>
      <c r="F10" s="122">
        <v>0</v>
      </c>
      <c r="G10" s="122">
        <v>0</v>
      </c>
      <c r="H10" s="122">
        <v>0</v>
      </c>
      <c r="I10" s="122">
        <v>0</v>
      </c>
      <c r="J10" s="122">
        <v>0</v>
      </c>
      <c r="K10" s="122">
        <v>0</v>
      </c>
      <c r="L10" s="122">
        <v>0</v>
      </c>
      <c r="M10" s="122">
        <v>0</v>
      </c>
      <c r="N10" s="122">
        <v>0</v>
      </c>
      <c r="O10" s="122">
        <v>0</v>
      </c>
      <c r="P10" s="122">
        <v>0</v>
      </c>
      <c r="Q10" s="122">
        <v>0</v>
      </c>
      <c r="R10" s="122">
        <v>0</v>
      </c>
      <c r="S10" s="122">
        <v>0</v>
      </c>
      <c r="T10" s="122">
        <v>0</v>
      </c>
      <c r="U10" s="122">
        <v>0</v>
      </c>
      <c r="V10" s="122">
        <v>0</v>
      </c>
      <c r="W10" s="122">
        <v>0</v>
      </c>
      <c r="X10" s="122">
        <v>0</v>
      </c>
      <c r="Y10" s="122">
        <v>0</v>
      </c>
      <c r="Z10" s="122">
        <v>0</v>
      </c>
      <c r="AA10" s="122">
        <v>0</v>
      </c>
      <c r="AB10" s="122">
        <v>0</v>
      </c>
      <c r="AC10" s="122">
        <v>0</v>
      </c>
    </row>
    <row r="11" spans="1:34" customFormat="1" x14ac:dyDescent="0.15">
      <c r="A11" s="155" t="s">
        <v>201</v>
      </c>
      <c r="B11" s="122">
        <v>0</v>
      </c>
      <c r="C11" s="122">
        <v>0</v>
      </c>
      <c r="D11" s="122">
        <v>0</v>
      </c>
      <c r="E11" s="122">
        <v>0</v>
      </c>
      <c r="F11" s="122">
        <v>0</v>
      </c>
      <c r="G11" s="122">
        <v>0</v>
      </c>
      <c r="H11" s="122">
        <v>0</v>
      </c>
      <c r="I11" s="122">
        <v>0</v>
      </c>
      <c r="J11" s="122">
        <v>0.38400000000000001</v>
      </c>
      <c r="K11" s="122">
        <v>0</v>
      </c>
      <c r="L11" s="122">
        <v>0</v>
      </c>
      <c r="M11" s="122">
        <v>0</v>
      </c>
      <c r="N11" s="122">
        <v>0</v>
      </c>
      <c r="O11" s="122">
        <v>0</v>
      </c>
      <c r="P11" s="122">
        <v>0</v>
      </c>
      <c r="Q11" s="122">
        <v>0</v>
      </c>
      <c r="R11" s="122">
        <v>0</v>
      </c>
      <c r="S11" s="122">
        <v>0</v>
      </c>
      <c r="T11" s="122">
        <v>0</v>
      </c>
      <c r="U11" s="122">
        <v>0</v>
      </c>
      <c r="V11" s="122">
        <v>0</v>
      </c>
      <c r="W11" s="122">
        <v>0</v>
      </c>
      <c r="X11" s="122">
        <v>0</v>
      </c>
      <c r="Y11" s="122">
        <v>0</v>
      </c>
      <c r="Z11" s="122">
        <v>0</v>
      </c>
      <c r="AA11" s="122">
        <v>0</v>
      </c>
      <c r="AB11" s="122">
        <v>0</v>
      </c>
      <c r="AC11" s="122">
        <v>0</v>
      </c>
    </row>
    <row r="12" spans="1:34" customFormat="1" x14ac:dyDescent="0.15">
      <c r="A12" s="155" t="s">
        <v>202</v>
      </c>
      <c r="B12" s="122">
        <v>0</v>
      </c>
      <c r="C12" s="122">
        <v>0</v>
      </c>
      <c r="D12" s="122">
        <v>0</v>
      </c>
      <c r="E12" s="122">
        <v>0</v>
      </c>
      <c r="F12" s="122">
        <v>0</v>
      </c>
      <c r="G12" s="122">
        <v>0</v>
      </c>
      <c r="H12" s="122">
        <v>0</v>
      </c>
      <c r="I12" s="122">
        <v>0</v>
      </c>
      <c r="J12" s="122">
        <v>0</v>
      </c>
      <c r="K12" s="122">
        <v>0</v>
      </c>
      <c r="L12" s="122">
        <v>0</v>
      </c>
      <c r="M12" s="122">
        <v>0</v>
      </c>
      <c r="N12" s="122">
        <v>0</v>
      </c>
      <c r="O12" s="122">
        <v>0</v>
      </c>
      <c r="P12" s="122">
        <v>0</v>
      </c>
      <c r="Q12" s="122">
        <v>0</v>
      </c>
      <c r="R12" s="122">
        <v>0</v>
      </c>
      <c r="S12" s="122">
        <v>0</v>
      </c>
      <c r="T12" s="122">
        <v>0</v>
      </c>
      <c r="U12" s="122">
        <v>0</v>
      </c>
      <c r="V12" s="122">
        <v>0</v>
      </c>
      <c r="W12" s="122">
        <v>0</v>
      </c>
      <c r="X12" s="122">
        <v>0</v>
      </c>
      <c r="Y12" s="122">
        <v>0</v>
      </c>
      <c r="Z12" s="122">
        <v>0</v>
      </c>
      <c r="AA12" s="122">
        <v>0</v>
      </c>
      <c r="AB12" s="122">
        <v>0</v>
      </c>
      <c r="AC12" s="122">
        <v>0</v>
      </c>
    </row>
    <row r="13" spans="1:34" customFormat="1" x14ac:dyDescent="0.15">
      <c r="A13" s="155" t="s">
        <v>203</v>
      </c>
      <c r="B13" s="122">
        <v>0</v>
      </c>
      <c r="C13" s="122">
        <v>0</v>
      </c>
      <c r="D13" s="122">
        <v>0</v>
      </c>
      <c r="E13" s="122">
        <v>0</v>
      </c>
      <c r="F13" s="122">
        <v>0</v>
      </c>
      <c r="G13" s="122">
        <v>0</v>
      </c>
      <c r="H13" s="122">
        <v>0</v>
      </c>
      <c r="I13" s="122">
        <v>2.3006902070621185E-3</v>
      </c>
      <c r="J13" s="122">
        <v>0.01</v>
      </c>
      <c r="K13" s="122">
        <v>0</v>
      </c>
      <c r="L13" s="122">
        <v>0</v>
      </c>
      <c r="M13" s="122">
        <v>0</v>
      </c>
      <c r="N13" s="122">
        <v>0.1</v>
      </c>
      <c r="O13" s="122">
        <v>0</v>
      </c>
      <c r="P13" s="122">
        <v>0.05</v>
      </c>
      <c r="Q13" s="122">
        <v>0</v>
      </c>
      <c r="R13" s="122">
        <v>0</v>
      </c>
      <c r="S13" s="122">
        <v>0</v>
      </c>
      <c r="T13" s="122">
        <v>0</v>
      </c>
      <c r="U13" s="122">
        <v>0</v>
      </c>
      <c r="V13" s="122">
        <v>0</v>
      </c>
      <c r="W13" s="122">
        <v>0</v>
      </c>
      <c r="X13" s="122">
        <v>0</v>
      </c>
      <c r="Y13" s="122">
        <v>0</v>
      </c>
      <c r="Z13" s="122">
        <v>0</v>
      </c>
      <c r="AA13" s="122">
        <v>0</v>
      </c>
      <c r="AB13" s="122">
        <v>0</v>
      </c>
      <c r="AC13" s="122">
        <v>0</v>
      </c>
    </row>
    <row r="14" spans="1:34" customFormat="1" x14ac:dyDescent="0.15">
      <c r="A14" s="155" t="s">
        <v>204</v>
      </c>
      <c r="B14" s="122">
        <v>0</v>
      </c>
      <c r="C14" s="122">
        <v>0</v>
      </c>
      <c r="D14" s="122">
        <v>0</v>
      </c>
      <c r="E14" s="122">
        <v>0.05</v>
      </c>
      <c r="F14" s="122">
        <v>0</v>
      </c>
      <c r="G14" s="122">
        <v>0</v>
      </c>
      <c r="H14" s="122">
        <v>2.9000000000000001E-2</v>
      </c>
      <c r="I14" s="122">
        <v>2.3006902070621185E-3</v>
      </c>
      <c r="J14" s="122">
        <v>0</v>
      </c>
      <c r="K14" s="122">
        <v>0</v>
      </c>
      <c r="L14" s="122">
        <v>0</v>
      </c>
      <c r="M14" s="122">
        <v>0</v>
      </c>
      <c r="N14" s="122">
        <v>1.6E-2</v>
      </c>
      <c r="O14" s="122">
        <v>0</v>
      </c>
      <c r="P14" s="122">
        <v>0</v>
      </c>
      <c r="Q14" s="122">
        <v>0</v>
      </c>
      <c r="R14" s="122">
        <v>0</v>
      </c>
      <c r="S14" s="122">
        <v>0</v>
      </c>
      <c r="T14" s="122">
        <v>0</v>
      </c>
      <c r="U14" s="122">
        <v>0</v>
      </c>
      <c r="V14" s="122">
        <v>0</v>
      </c>
      <c r="W14" s="122">
        <v>0</v>
      </c>
      <c r="X14" s="122">
        <v>0</v>
      </c>
      <c r="Y14" s="122">
        <v>0</v>
      </c>
      <c r="Z14" s="122">
        <v>0</v>
      </c>
      <c r="AA14" s="122">
        <v>0</v>
      </c>
      <c r="AB14" s="122">
        <v>0</v>
      </c>
      <c r="AC14" s="122">
        <v>0</v>
      </c>
    </row>
    <row r="15" spans="1:34" customFormat="1" x14ac:dyDescent="0.15">
      <c r="A15" s="155" t="s">
        <v>205</v>
      </c>
      <c r="B15" s="122">
        <v>5.4000000000000003E-3</v>
      </c>
      <c r="C15" s="122">
        <v>0</v>
      </c>
      <c r="D15" s="122">
        <v>8.6E-3</v>
      </c>
      <c r="E15" s="122">
        <v>2.7E-2</v>
      </c>
      <c r="F15" s="122">
        <v>6.9993000699930009E-4</v>
      </c>
      <c r="G15" s="122">
        <v>0</v>
      </c>
      <c r="H15" s="122">
        <v>0.20699999999999999</v>
      </c>
      <c r="I15" s="122">
        <v>2.3006902070621185E-3</v>
      </c>
      <c r="J15" s="122">
        <v>0.01</v>
      </c>
      <c r="K15" s="122">
        <v>0</v>
      </c>
      <c r="L15" s="122">
        <v>0</v>
      </c>
      <c r="M15" s="122">
        <v>0</v>
      </c>
      <c r="N15" s="122">
        <v>3.2000000000000001E-2</v>
      </c>
      <c r="O15" s="122">
        <v>0</v>
      </c>
      <c r="P15" s="122">
        <v>0</v>
      </c>
      <c r="Q15" s="122">
        <v>0</v>
      </c>
      <c r="R15" s="122">
        <v>0</v>
      </c>
      <c r="S15" s="122">
        <v>0</v>
      </c>
      <c r="T15" s="122">
        <v>0</v>
      </c>
      <c r="U15" s="122">
        <v>0</v>
      </c>
      <c r="V15" s="122">
        <v>0</v>
      </c>
      <c r="W15" s="122">
        <v>0</v>
      </c>
      <c r="X15" s="122">
        <v>0</v>
      </c>
      <c r="Y15" s="122">
        <v>0</v>
      </c>
      <c r="Z15" s="122">
        <v>0</v>
      </c>
      <c r="AA15" s="122">
        <v>0</v>
      </c>
      <c r="AB15" s="122">
        <v>0</v>
      </c>
      <c r="AC15" s="122">
        <v>0</v>
      </c>
    </row>
    <row r="16" spans="1:34" customFormat="1" x14ac:dyDescent="0.15">
      <c r="A16" s="155" t="s">
        <v>206</v>
      </c>
      <c r="B16" s="122">
        <v>0</v>
      </c>
      <c r="C16" s="122">
        <v>0</v>
      </c>
      <c r="D16" s="122">
        <v>0</v>
      </c>
      <c r="E16" s="122">
        <v>0</v>
      </c>
      <c r="F16" s="122">
        <v>0</v>
      </c>
      <c r="G16" s="122">
        <v>0</v>
      </c>
      <c r="H16" s="122">
        <v>0</v>
      </c>
      <c r="I16" s="122">
        <v>0</v>
      </c>
      <c r="J16" s="122">
        <v>0</v>
      </c>
      <c r="K16" s="122">
        <v>0</v>
      </c>
      <c r="L16" s="122">
        <v>0</v>
      </c>
      <c r="M16" s="122">
        <v>9.9998000039999203E-6</v>
      </c>
      <c r="N16" s="122">
        <v>0</v>
      </c>
      <c r="O16" s="122">
        <v>0</v>
      </c>
      <c r="P16" s="122">
        <v>0</v>
      </c>
      <c r="Q16" s="122">
        <v>0</v>
      </c>
      <c r="R16" s="122">
        <v>9.9998000039999203E-6</v>
      </c>
      <c r="S16" s="122">
        <v>9.9998000039999203E-6</v>
      </c>
      <c r="T16" s="122">
        <v>0</v>
      </c>
      <c r="U16" s="122">
        <v>0</v>
      </c>
      <c r="V16" s="122">
        <v>0</v>
      </c>
      <c r="W16" s="122">
        <v>0</v>
      </c>
      <c r="X16" s="122">
        <v>0</v>
      </c>
      <c r="Y16" s="122">
        <v>0</v>
      </c>
      <c r="Z16" s="122">
        <v>0</v>
      </c>
      <c r="AA16" s="122">
        <v>0</v>
      </c>
      <c r="AB16" s="122">
        <v>0</v>
      </c>
      <c r="AC16" s="122">
        <v>0</v>
      </c>
    </row>
    <row r="17" spans="1:29" customFormat="1" x14ac:dyDescent="0.15">
      <c r="A17" s="155" t="s">
        <v>207</v>
      </c>
      <c r="B17" s="122">
        <v>0</v>
      </c>
      <c r="C17" s="122">
        <v>0</v>
      </c>
      <c r="D17" s="122">
        <v>0</v>
      </c>
      <c r="E17" s="122">
        <v>0</v>
      </c>
      <c r="F17" s="122">
        <v>0</v>
      </c>
      <c r="G17" s="122">
        <v>0</v>
      </c>
      <c r="H17" s="122">
        <v>0</v>
      </c>
      <c r="I17" s="122">
        <v>0</v>
      </c>
      <c r="J17" s="122">
        <v>0</v>
      </c>
      <c r="K17" s="122">
        <v>0</v>
      </c>
      <c r="L17" s="122">
        <v>0</v>
      </c>
      <c r="M17" s="122">
        <v>9.9998000039999203E-6</v>
      </c>
      <c r="N17" s="122">
        <v>0</v>
      </c>
      <c r="O17" s="122">
        <v>0</v>
      </c>
      <c r="P17" s="122">
        <v>0</v>
      </c>
      <c r="Q17" s="122">
        <v>0</v>
      </c>
      <c r="R17" s="122">
        <v>9.9998000039999203E-6</v>
      </c>
      <c r="S17" s="122">
        <v>9.9998000039999203E-6</v>
      </c>
      <c r="T17" s="122">
        <v>0</v>
      </c>
      <c r="U17" s="122">
        <v>0</v>
      </c>
      <c r="V17" s="122">
        <v>0</v>
      </c>
      <c r="W17" s="122">
        <v>0</v>
      </c>
      <c r="X17" s="122">
        <v>0</v>
      </c>
      <c r="Y17" s="122">
        <v>0</v>
      </c>
      <c r="Z17" s="122">
        <v>0</v>
      </c>
      <c r="AA17" s="122">
        <v>0</v>
      </c>
      <c r="AB17" s="122">
        <v>0</v>
      </c>
      <c r="AC17" s="122">
        <v>0</v>
      </c>
    </row>
    <row r="18" spans="1:29" customFormat="1" x14ac:dyDescent="0.15">
      <c r="A18" s="155" t="s">
        <v>208</v>
      </c>
      <c r="B18" s="122">
        <v>0</v>
      </c>
      <c r="C18" s="122">
        <v>0</v>
      </c>
      <c r="D18" s="122">
        <v>0</v>
      </c>
      <c r="E18" s="122">
        <v>0</v>
      </c>
      <c r="F18" s="122">
        <v>0</v>
      </c>
      <c r="G18" s="122">
        <v>0</v>
      </c>
      <c r="H18" s="122">
        <v>0</v>
      </c>
      <c r="I18" s="122">
        <v>0</v>
      </c>
      <c r="J18" s="122">
        <v>0</v>
      </c>
      <c r="K18" s="122">
        <v>0</v>
      </c>
      <c r="L18" s="122">
        <v>0</v>
      </c>
      <c r="M18" s="122">
        <v>0</v>
      </c>
      <c r="N18" s="122">
        <v>0</v>
      </c>
      <c r="O18" s="122">
        <v>0</v>
      </c>
      <c r="P18" s="122">
        <v>0</v>
      </c>
      <c r="Q18" s="122">
        <v>0</v>
      </c>
      <c r="R18" s="122">
        <v>0</v>
      </c>
      <c r="S18" s="122">
        <v>0</v>
      </c>
      <c r="T18" s="122">
        <v>0</v>
      </c>
      <c r="U18" s="122">
        <v>0</v>
      </c>
      <c r="V18" s="122">
        <v>0</v>
      </c>
      <c r="W18" s="122">
        <v>0</v>
      </c>
      <c r="X18" s="122">
        <v>0</v>
      </c>
      <c r="Y18" s="122">
        <v>0</v>
      </c>
      <c r="Z18" s="122">
        <v>0</v>
      </c>
      <c r="AA18" s="122">
        <v>0</v>
      </c>
      <c r="AB18" s="122">
        <v>0</v>
      </c>
      <c r="AC18" s="122">
        <v>0</v>
      </c>
    </row>
    <row r="19" spans="1:29" customFormat="1" x14ac:dyDescent="0.15">
      <c r="A19" s="155" t="s">
        <v>209</v>
      </c>
      <c r="B19" s="122">
        <v>1.5900000000000001E-2</v>
      </c>
      <c r="C19" s="122">
        <v>2.0008003201280514E-4</v>
      </c>
      <c r="D19" s="122">
        <v>1.7100000000000001E-2</v>
      </c>
      <c r="E19" s="122">
        <v>0</v>
      </c>
      <c r="F19" s="122">
        <v>6.9993000699930009E-4</v>
      </c>
      <c r="G19" s="122">
        <v>0</v>
      </c>
      <c r="H19" s="122">
        <v>0</v>
      </c>
      <c r="I19" s="122">
        <v>0</v>
      </c>
      <c r="J19" s="122">
        <v>0.379</v>
      </c>
      <c r="K19" s="122">
        <v>7.9500000000000001E-2</v>
      </c>
      <c r="L19" s="122">
        <v>0</v>
      </c>
      <c r="M19" s="122">
        <v>0</v>
      </c>
      <c r="N19" s="122">
        <v>1.6E-2</v>
      </c>
      <c r="O19" s="122">
        <v>0.36699999999999999</v>
      </c>
      <c r="P19" s="122">
        <v>0.1</v>
      </c>
      <c r="Q19" s="122">
        <v>0.14000000000000001</v>
      </c>
      <c r="R19" s="122">
        <v>0</v>
      </c>
      <c r="S19" s="122">
        <v>0</v>
      </c>
      <c r="T19" s="122">
        <v>0</v>
      </c>
      <c r="U19" s="122">
        <v>0</v>
      </c>
      <c r="V19" s="122">
        <v>3.6999999999999998E-2</v>
      </c>
      <c r="W19" s="122">
        <v>0</v>
      </c>
      <c r="X19" s="122">
        <v>0</v>
      </c>
      <c r="Y19" s="122">
        <v>0</v>
      </c>
      <c r="Z19" s="122">
        <v>0</v>
      </c>
      <c r="AA19" s="122">
        <v>0</v>
      </c>
      <c r="AB19" s="122">
        <v>0</v>
      </c>
      <c r="AC19" s="122">
        <v>0</v>
      </c>
    </row>
    <row r="20" spans="1:29" customFormat="1" x14ac:dyDescent="0.15">
      <c r="A20" s="155" t="s">
        <v>210</v>
      </c>
      <c r="B20" s="122">
        <v>4.3900000000000002E-2</v>
      </c>
      <c r="C20" s="122">
        <v>0</v>
      </c>
      <c r="D20" s="122">
        <v>8.6E-3</v>
      </c>
      <c r="E20" s="122">
        <v>3.2000000000000001E-2</v>
      </c>
      <c r="F20" s="122">
        <v>0</v>
      </c>
      <c r="G20" s="122">
        <v>0</v>
      </c>
      <c r="H20" s="122">
        <v>0</v>
      </c>
      <c r="I20" s="122">
        <v>0</v>
      </c>
      <c r="J20" s="122">
        <v>4.8000000000000001E-2</v>
      </c>
      <c r="K20" s="122">
        <v>0.29049999999999998</v>
      </c>
      <c r="L20" s="122">
        <v>0.66669999999999996</v>
      </c>
      <c r="M20" s="122">
        <v>0.15789684206315874</v>
      </c>
      <c r="N20" s="122">
        <v>0.57999999999999996</v>
      </c>
      <c r="O20" s="122">
        <v>0</v>
      </c>
      <c r="P20" s="122">
        <v>0.27500000000000002</v>
      </c>
      <c r="Q20" s="122">
        <v>0</v>
      </c>
      <c r="R20" s="122">
        <v>0.30769384612307749</v>
      </c>
      <c r="S20" s="122">
        <v>1.9999600007999836E-3</v>
      </c>
      <c r="T20" s="122">
        <v>0</v>
      </c>
      <c r="U20" s="122">
        <v>0</v>
      </c>
      <c r="V20" s="122">
        <v>0.09</v>
      </c>
      <c r="W20" s="122">
        <v>0</v>
      </c>
      <c r="X20" s="122">
        <v>0</v>
      </c>
      <c r="Y20" s="122">
        <v>0</v>
      </c>
      <c r="Z20" s="122">
        <v>0</v>
      </c>
      <c r="AA20" s="122">
        <v>0</v>
      </c>
      <c r="AB20" s="122">
        <v>0</v>
      </c>
      <c r="AC20" s="122">
        <v>0</v>
      </c>
    </row>
    <row r="21" spans="1:29" customFormat="1" x14ac:dyDescent="0.15">
      <c r="A21" s="155" t="s">
        <v>211</v>
      </c>
      <c r="B21" s="122">
        <v>1.03E-2</v>
      </c>
      <c r="C21" s="122">
        <v>1.4005602240896359E-3</v>
      </c>
      <c r="D21" s="122">
        <v>2.47E-2</v>
      </c>
      <c r="E21" s="122">
        <v>0.28799999999999998</v>
      </c>
      <c r="F21" s="122">
        <v>6.9993000699930009E-4</v>
      </c>
      <c r="G21" s="122">
        <v>0</v>
      </c>
      <c r="H21" s="122">
        <v>0</v>
      </c>
      <c r="I21" s="122">
        <v>0</v>
      </c>
      <c r="J21" s="122">
        <v>3.7999999999999999E-2</v>
      </c>
      <c r="K21" s="122">
        <v>9.7900000000000001E-2</v>
      </c>
      <c r="L21" s="122">
        <v>0.33329999999999999</v>
      </c>
      <c r="M21" s="122">
        <v>0.15789684206315874</v>
      </c>
      <c r="N21" s="122">
        <v>0</v>
      </c>
      <c r="O21" s="122">
        <v>0</v>
      </c>
      <c r="P21" s="122">
        <v>0.15</v>
      </c>
      <c r="Q21" s="122">
        <v>0</v>
      </c>
      <c r="R21" s="122">
        <v>0.10259794804103917</v>
      </c>
      <c r="S21" s="122">
        <v>4.9999000019999591E-3</v>
      </c>
      <c r="T21" s="122">
        <v>0</v>
      </c>
      <c r="U21" s="122">
        <v>0</v>
      </c>
      <c r="V21" s="122">
        <v>0.05</v>
      </c>
      <c r="W21" s="122">
        <v>0</v>
      </c>
      <c r="X21" s="122">
        <v>0</v>
      </c>
      <c r="Y21" s="122">
        <v>0</v>
      </c>
      <c r="Z21" s="122">
        <v>0</v>
      </c>
      <c r="AA21" s="122">
        <v>0</v>
      </c>
      <c r="AB21" s="122">
        <v>0</v>
      </c>
      <c r="AC21" s="122">
        <v>0</v>
      </c>
    </row>
    <row r="22" spans="1:29" customFormat="1" x14ac:dyDescent="0.15">
      <c r="A22" s="155" t="s">
        <v>212</v>
      </c>
      <c r="B22" s="122">
        <v>0</v>
      </c>
      <c r="C22" s="122">
        <v>0</v>
      </c>
      <c r="D22" s="122">
        <v>0</v>
      </c>
      <c r="E22" s="122">
        <v>0</v>
      </c>
      <c r="F22" s="122">
        <v>0</v>
      </c>
      <c r="G22" s="122">
        <v>0</v>
      </c>
      <c r="H22" s="122">
        <v>0.76400000000000001</v>
      </c>
      <c r="I22" s="122">
        <v>0.97929378813644086</v>
      </c>
      <c r="J22" s="122">
        <v>0.13100000000000001</v>
      </c>
      <c r="K22" s="122">
        <v>0.19270000000000001</v>
      </c>
      <c r="L22" s="122">
        <v>0</v>
      </c>
      <c r="M22" s="122">
        <v>5.2598948021039572E-2</v>
      </c>
      <c r="N22" s="122">
        <v>0.25600000000000001</v>
      </c>
      <c r="O22" s="122">
        <v>0</v>
      </c>
      <c r="P22" s="122">
        <v>0</v>
      </c>
      <c r="Q22" s="122">
        <v>0</v>
      </c>
      <c r="R22" s="122">
        <v>2.5599488010239792E-2</v>
      </c>
      <c r="S22" s="122">
        <v>1.9999600007999836E-3</v>
      </c>
      <c r="T22" s="122">
        <v>0</v>
      </c>
      <c r="U22" s="122">
        <v>0</v>
      </c>
      <c r="V22" s="122">
        <v>0</v>
      </c>
      <c r="W22" s="122">
        <v>0</v>
      </c>
      <c r="X22" s="122">
        <v>0</v>
      </c>
      <c r="Y22" s="122">
        <v>0</v>
      </c>
      <c r="Z22" s="122">
        <v>0</v>
      </c>
      <c r="AA22" s="122">
        <v>0</v>
      </c>
      <c r="AB22" s="122">
        <v>0</v>
      </c>
      <c r="AC22" s="122">
        <v>0</v>
      </c>
    </row>
    <row r="23" spans="1:29" customFormat="1" x14ac:dyDescent="0.15">
      <c r="A23" s="155" t="s">
        <v>213</v>
      </c>
      <c r="B23" s="122">
        <v>0</v>
      </c>
      <c r="C23" s="122">
        <v>0</v>
      </c>
      <c r="D23" s="122">
        <v>0</v>
      </c>
      <c r="E23" s="122">
        <v>0</v>
      </c>
      <c r="F23" s="122">
        <v>0</v>
      </c>
      <c r="G23" s="122">
        <v>0</v>
      </c>
      <c r="H23" s="122">
        <v>0</v>
      </c>
      <c r="I23" s="122">
        <v>6.8020406121836541E-3</v>
      </c>
      <c r="J23" s="122">
        <v>0</v>
      </c>
      <c r="K23" s="122">
        <v>0</v>
      </c>
      <c r="L23" s="122">
        <v>0</v>
      </c>
      <c r="M23" s="122">
        <v>0</v>
      </c>
      <c r="N23" s="122">
        <v>0</v>
      </c>
      <c r="O23" s="122">
        <v>0.443</v>
      </c>
      <c r="P23" s="122">
        <v>0</v>
      </c>
      <c r="Q23" s="122">
        <v>0</v>
      </c>
      <c r="R23" s="122">
        <v>0</v>
      </c>
      <c r="S23" s="122">
        <v>0</v>
      </c>
      <c r="T23" s="122">
        <v>0</v>
      </c>
      <c r="U23" s="122">
        <v>0</v>
      </c>
      <c r="V23" s="122">
        <v>0</v>
      </c>
      <c r="W23" s="122">
        <v>0</v>
      </c>
      <c r="X23" s="122">
        <v>0</v>
      </c>
      <c r="Y23" s="122">
        <v>0</v>
      </c>
      <c r="Z23" s="122">
        <v>0</v>
      </c>
      <c r="AA23" s="122">
        <v>0</v>
      </c>
      <c r="AB23" s="122">
        <v>0</v>
      </c>
      <c r="AC23" s="122">
        <v>0</v>
      </c>
    </row>
    <row r="24" spans="1:29" customFormat="1" x14ac:dyDescent="0.15">
      <c r="A24" s="155" t="s">
        <v>214</v>
      </c>
      <c r="B24" s="122">
        <v>0</v>
      </c>
      <c r="C24" s="122">
        <v>0</v>
      </c>
      <c r="D24" s="122">
        <v>0</v>
      </c>
      <c r="E24" s="122">
        <v>0</v>
      </c>
      <c r="F24" s="122">
        <v>0</v>
      </c>
      <c r="G24" s="122">
        <v>0</v>
      </c>
      <c r="H24" s="122">
        <v>0</v>
      </c>
      <c r="I24" s="122">
        <v>7.002100630189057E-3</v>
      </c>
      <c r="J24" s="122">
        <v>0</v>
      </c>
      <c r="K24" s="122">
        <v>0</v>
      </c>
      <c r="L24" s="122">
        <v>0</v>
      </c>
      <c r="M24" s="122">
        <v>0</v>
      </c>
      <c r="N24" s="122">
        <v>0</v>
      </c>
      <c r="O24" s="122">
        <v>5.5E-2</v>
      </c>
      <c r="P24" s="122">
        <v>0</v>
      </c>
      <c r="Q24" s="122">
        <v>0.46</v>
      </c>
      <c r="R24" s="122">
        <v>0</v>
      </c>
      <c r="S24" s="122">
        <v>0.12499750004999899</v>
      </c>
      <c r="T24" s="122">
        <v>0</v>
      </c>
      <c r="U24" s="122">
        <v>0</v>
      </c>
      <c r="V24" s="122">
        <v>0.25</v>
      </c>
      <c r="W24" s="122">
        <v>0.56000000000000005</v>
      </c>
      <c r="X24" s="122">
        <v>2.2002200220022E-2</v>
      </c>
      <c r="Y24" s="122">
        <v>0</v>
      </c>
      <c r="Z24" s="122">
        <v>0</v>
      </c>
      <c r="AA24" s="122">
        <v>0</v>
      </c>
      <c r="AB24" s="122">
        <v>0</v>
      </c>
      <c r="AC24" s="122">
        <v>0</v>
      </c>
    </row>
    <row r="25" spans="1:29" customFormat="1" x14ac:dyDescent="0.15">
      <c r="A25" s="155" t="s">
        <v>215</v>
      </c>
      <c r="B25" s="122">
        <v>0</v>
      </c>
      <c r="C25" s="122">
        <v>0</v>
      </c>
      <c r="D25" s="122">
        <v>0</v>
      </c>
      <c r="E25" s="122">
        <v>0</v>
      </c>
      <c r="F25" s="122">
        <v>0</v>
      </c>
      <c r="G25" s="122">
        <v>0</v>
      </c>
      <c r="H25" s="122">
        <v>0</v>
      </c>
      <c r="I25" s="122">
        <v>0</v>
      </c>
      <c r="J25" s="122">
        <v>0</v>
      </c>
      <c r="K25" s="122">
        <v>0</v>
      </c>
      <c r="L25" s="122">
        <v>0</v>
      </c>
      <c r="M25" s="122">
        <v>0</v>
      </c>
      <c r="N25" s="122">
        <v>0</v>
      </c>
      <c r="O25" s="122">
        <v>0</v>
      </c>
      <c r="P25" s="122">
        <v>0</v>
      </c>
      <c r="Q25" s="122">
        <v>0.4</v>
      </c>
      <c r="R25" s="122">
        <v>0</v>
      </c>
      <c r="S25" s="122">
        <v>0.37499250014999697</v>
      </c>
      <c r="T25" s="122">
        <v>0</v>
      </c>
      <c r="U25" s="122">
        <v>0</v>
      </c>
      <c r="V25" s="122">
        <v>0</v>
      </c>
      <c r="W25" s="122">
        <v>0.2</v>
      </c>
      <c r="X25" s="122">
        <v>5.5005500550055007E-2</v>
      </c>
      <c r="Y25" s="122">
        <v>0</v>
      </c>
      <c r="Z25" s="122">
        <v>0</v>
      </c>
      <c r="AA25" s="122">
        <v>0</v>
      </c>
      <c r="AB25" s="122">
        <v>0</v>
      </c>
      <c r="AC25" s="122">
        <v>0</v>
      </c>
    </row>
    <row r="26" spans="1:29" customFormat="1" x14ac:dyDescent="0.15">
      <c r="A26" s="155" t="s">
        <v>216</v>
      </c>
      <c r="B26" s="122">
        <v>2.4500000000000001E-2</v>
      </c>
      <c r="C26" s="122">
        <v>9.8039215686274508E-2</v>
      </c>
      <c r="D26" s="122">
        <v>0.04</v>
      </c>
      <c r="E26" s="122">
        <v>0.60299999999999998</v>
      </c>
      <c r="F26" s="122">
        <v>9.799020097990202E-2</v>
      </c>
      <c r="G26" s="122">
        <v>0.1</v>
      </c>
      <c r="H26" s="122">
        <v>0</v>
      </c>
      <c r="I26" s="122">
        <v>0</v>
      </c>
      <c r="J26" s="122">
        <v>0</v>
      </c>
      <c r="K26" s="122">
        <v>0.33939999999999998</v>
      </c>
      <c r="L26" s="122">
        <v>0</v>
      </c>
      <c r="M26" s="122">
        <v>0.63158736825263495</v>
      </c>
      <c r="N26" s="122">
        <v>0</v>
      </c>
      <c r="O26" s="122">
        <v>0.13500000000000001</v>
      </c>
      <c r="P26" s="122">
        <v>0.42499999999999999</v>
      </c>
      <c r="Q26" s="122">
        <v>0</v>
      </c>
      <c r="R26" s="122">
        <v>0.56408871822563544</v>
      </c>
      <c r="S26" s="122">
        <v>0.13999720005599889</v>
      </c>
      <c r="T26" s="122">
        <v>0.77400000000000002</v>
      </c>
      <c r="U26" s="122">
        <v>0.8</v>
      </c>
      <c r="V26" s="122">
        <v>0.57299999999999995</v>
      </c>
      <c r="W26" s="122">
        <v>0.10100000000000001</v>
      </c>
      <c r="X26" s="122">
        <v>0</v>
      </c>
      <c r="Y26" s="122">
        <v>0</v>
      </c>
      <c r="Z26" s="122">
        <v>0</v>
      </c>
      <c r="AA26" s="122">
        <v>0</v>
      </c>
      <c r="AB26" s="122">
        <v>0</v>
      </c>
      <c r="AC26" s="122">
        <v>0</v>
      </c>
    </row>
    <row r="27" spans="1:29" customFormat="1" x14ac:dyDescent="0.15">
      <c r="A27" s="155" t="s">
        <v>217</v>
      </c>
      <c r="B27" s="122">
        <v>0</v>
      </c>
      <c r="C27" s="122">
        <v>0</v>
      </c>
      <c r="D27" s="122">
        <v>0</v>
      </c>
      <c r="E27" s="122">
        <v>0</v>
      </c>
      <c r="F27" s="122">
        <v>0</v>
      </c>
      <c r="G27" s="122">
        <v>0</v>
      </c>
      <c r="H27" s="122">
        <v>0</v>
      </c>
      <c r="I27" s="122">
        <v>0</v>
      </c>
      <c r="J27" s="122">
        <v>0</v>
      </c>
      <c r="K27" s="122">
        <v>0</v>
      </c>
      <c r="L27" s="122">
        <v>0</v>
      </c>
      <c r="M27" s="122">
        <v>0</v>
      </c>
      <c r="N27" s="122">
        <v>0</v>
      </c>
      <c r="O27" s="122">
        <v>0</v>
      </c>
      <c r="P27" s="122">
        <v>0</v>
      </c>
      <c r="Q27" s="122">
        <v>0</v>
      </c>
      <c r="R27" s="122">
        <v>0</v>
      </c>
      <c r="S27" s="122">
        <v>0.25499490010199793</v>
      </c>
      <c r="T27" s="122">
        <v>0.22600000000000001</v>
      </c>
      <c r="U27" s="122">
        <v>0.2</v>
      </c>
      <c r="V27" s="122">
        <v>0</v>
      </c>
      <c r="W27" s="122">
        <v>5.0000000000000001E-3</v>
      </c>
      <c r="X27" s="122">
        <v>0</v>
      </c>
      <c r="Y27" s="122">
        <v>0</v>
      </c>
      <c r="Z27" s="122">
        <v>1</v>
      </c>
      <c r="AA27" s="122">
        <v>0</v>
      </c>
      <c r="AB27" s="122">
        <v>0</v>
      </c>
      <c r="AC27" s="122">
        <v>0</v>
      </c>
    </row>
    <row r="28" spans="1:29" customFormat="1" x14ac:dyDescent="0.15">
      <c r="A28" s="155" t="s">
        <v>218</v>
      </c>
      <c r="B28" s="122">
        <v>0</v>
      </c>
      <c r="C28" s="122">
        <v>0</v>
      </c>
      <c r="D28" s="122">
        <v>0</v>
      </c>
      <c r="E28" s="122">
        <v>0</v>
      </c>
      <c r="F28" s="122">
        <v>0</v>
      </c>
      <c r="G28" s="122">
        <v>0</v>
      </c>
      <c r="H28" s="122">
        <v>0</v>
      </c>
      <c r="I28" s="122">
        <v>0</v>
      </c>
      <c r="J28" s="122">
        <v>0</v>
      </c>
      <c r="K28" s="122">
        <v>0</v>
      </c>
      <c r="L28" s="122">
        <v>0</v>
      </c>
      <c r="M28" s="122">
        <v>0</v>
      </c>
      <c r="N28" s="122">
        <v>0</v>
      </c>
      <c r="O28" s="122">
        <v>0</v>
      </c>
      <c r="P28" s="122">
        <v>0</v>
      </c>
      <c r="Q28" s="122">
        <v>0</v>
      </c>
      <c r="R28" s="122">
        <v>0</v>
      </c>
      <c r="S28" s="122">
        <v>9.5998080038399228E-2</v>
      </c>
      <c r="T28" s="122">
        <v>0</v>
      </c>
      <c r="U28" s="122">
        <v>0</v>
      </c>
      <c r="V28" s="122">
        <v>0</v>
      </c>
      <c r="W28" s="122">
        <v>0.13400000000000001</v>
      </c>
      <c r="X28" s="122">
        <v>0.92299229922992299</v>
      </c>
      <c r="Y28" s="122">
        <v>0</v>
      </c>
      <c r="Z28" s="122">
        <v>0</v>
      </c>
      <c r="AA28" s="122">
        <v>0</v>
      </c>
      <c r="AB28" s="122">
        <v>0</v>
      </c>
      <c r="AC28" s="122">
        <v>0</v>
      </c>
    </row>
    <row r="29" spans="1:29" customFormat="1" x14ac:dyDescent="0.15">
      <c r="A29" s="155" t="s">
        <v>219</v>
      </c>
      <c r="B29" s="122">
        <v>0</v>
      </c>
      <c r="C29" s="122">
        <v>0</v>
      </c>
      <c r="D29" s="122">
        <v>0</v>
      </c>
      <c r="E29" s="122">
        <v>0</v>
      </c>
      <c r="F29" s="122">
        <v>0</v>
      </c>
      <c r="G29" s="122">
        <v>0</v>
      </c>
      <c r="H29" s="122">
        <v>0</v>
      </c>
      <c r="I29" s="122">
        <v>0</v>
      </c>
      <c r="J29" s="122">
        <v>0</v>
      </c>
      <c r="K29" s="122">
        <v>0</v>
      </c>
      <c r="L29" s="122">
        <v>0</v>
      </c>
      <c r="M29" s="122">
        <v>0</v>
      </c>
      <c r="N29" s="122">
        <v>0</v>
      </c>
      <c r="O29" s="122">
        <v>0</v>
      </c>
      <c r="P29" s="122">
        <v>0</v>
      </c>
      <c r="Q29" s="122">
        <v>0</v>
      </c>
      <c r="R29" s="122">
        <v>0</v>
      </c>
      <c r="S29" s="122">
        <v>0</v>
      </c>
      <c r="T29" s="122">
        <v>0</v>
      </c>
      <c r="U29" s="122">
        <v>0</v>
      </c>
      <c r="V29" s="122">
        <v>0</v>
      </c>
      <c r="W29" s="122">
        <v>0</v>
      </c>
      <c r="X29" s="122">
        <v>0</v>
      </c>
      <c r="Y29" s="122">
        <v>0</v>
      </c>
      <c r="Z29" s="122">
        <v>0</v>
      </c>
      <c r="AA29" s="122">
        <v>0</v>
      </c>
      <c r="AB29" s="122">
        <v>0</v>
      </c>
      <c r="AC29" s="122">
        <v>0</v>
      </c>
    </row>
    <row r="30" spans="1:29" customFormat="1" x14ac:dyDescent="0.15">
      <c r="A30" s="155" t="s">
        <v>222</v>
      </c>
      <c r="B30" s="122">
        <v>0.9</v>
      </c>
      <c r="C30" s="122">
        <v>0.90036014405762299</v>
      </c>
      <c r="D30" s="122">
        <v>0.90100000000000002</v>
      </c>
      <c r="E30" s="122">
        <v>0</v>
      </c>
      <c r="F30" s="122">
        <v>0.89991000899910012</v>
      </c>
      <c r="G30" s="122">
        <v>0.9</v>
      </c>
      <c r="H30" s="122">
        <v>0</v>
      </c>
      <c r="I30" s="122">
        <v>0</v>
      </c>
      <c r="J30" s="122">
        <v>0</v>
      </c>
      <c r="K30" s="122">
        <v>0</v>
      </c>
      <c r="L30" s="122">
        <v>0</v>
      </c>
      <c r="M30" s="122">
        <v>0</v>
      </c>
      <c r="N30" s="122">
        <v>0</v>
      </c>
      <c r="O30" s="122">
        <v>0</v>
      </c>
      <c r="P30" s="122">
        <v>0</v>
      </c>
      <c r="Q30" s="122">
        <v>0</v>
      </c>
      <c r="R30" s="122">
        <v>0</v>
      </c>
      <c r="S30" s="122">
        <v>0</v>
      </c>
      <c r="T30" s="122">
        <v>0</v>
      </c>
      <c r="U30" s="122">
        <v>0</v>
      </c>
      <c r="V30" s="122">
        <v>0</v>
      </c>
      <c r="W30" s="122">
        <v>0</v>
      </c>
      <c r="X30" s="122">
        <v>0</v>
      </c>
      <c r="Y30" s="122">
        <v>0</v>
      </c>
      <c r="Z30" s="122">
        <v>0</v>
      </c>
      <c r="AA30" s="122">
        <v>0</v>
      </c>
      <c r="AB30" s="122">
        <v>0</v>
      </c>
      <c r="AC30" s="122">
        <v>0</v>
      </c>
    </row>
    <row r="31" spans="1:29" customFormat="1" x14ac:dyDescent="0.15"/>
    <row r="32" spans="1:29" customFormat="1" x14ac:dyDescent="0.15"/>
    <row r="33" customFormat="1" x14ac:dyDescent="0.15"/>
    <row r="34" customFormat="1" x14ac:dyDescent="0.15"/>
    <row r="35" customFormat="1" x14ac:dyDescent="0.15"/>
    <row r="36" customFormat="1" x14ac:dyDescent="0.15"/>
    <row r="37" customFormat="1" x14ac:dyDescent="0.15"/>
    <row r="38" customForma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tabSelected="1" workbookViewId="0">
      <pane xSplit="2" ySplit="1" topLeftCell="C17" activePane="bottomRight" state="frozen"/>
      <selection pane="topRight" activeCell="C1" sqref="C1"/>
      <selection pane="bottomLeft" activeCell="A2" sqref="A2"/>
      <selection pane="bottomRight" activeCell="G32" sqref="G32"/>
    </sheetView>
  </sheetViews>
  <sheetFormatPr baseColWidth="10" defaultColWidth="8.83203125" defaultRowHeight="13" x14ac:dyDescent="0.15"/>
  <cols>
    <col min="1" max="1" width="3.33203125" customWidth="1"/>
    <col min="2" max="2" width="21.6640625" customWidth="1"/>
    <col min="3" max="4" width="14.5" style="94" customWidth="1"/>
    <col min="5" max="6" width="14.5" style="93" customWidth="1"/>
    <col min="7" max="8" width="8.83203125" style="94"/>
  </cols>
  <sheetData>
    <row r="1" spans="1:8" ht="70" x14ac:dyDescent="0.15">
      <c r="A1" s="5" t="s">
        <v>20</v>
      </c>
      <c r="B1" s="1" t="s">
        <v>0</v>
      </c>
      <c r="C1" s="158" t="s">
        <v>218</v>
      </c>
      <c r="D1" s="158" t="s">
        <v>219</v>
      </c>
      <c r="E1" s="158" t="s">
        <v>223</v>
      </c>
      <c r="F1" s="158" t="s">
        <v>224</v>
      </c>
      <c r="G1"/>
      <c r="H1"/>
    </row>
    <row r="2" spans="1:8" x14ac:dyDescent="0.15">
      <c r="A2">
        <v>1</v>
      </c>
      <c r="B2" s="157" t="s">
        <v>192</v>
      </c>
      <c r="C2" s="94">
        <v>1</v>
      </c>
      <c r="D2" s="94">
        <v>0</v>
      </c>
      <c r="E2" s="93">
        <v>0</v>
      </c>
      <c r="F2" s="93">
        <v>1</v>
      </c>
      <c r="G2"/>
      <c r="H2"/>
    </row>
    <row r="3" spans="1:8" x14ac:dyDescent="0.15">
      <c r="A3">
        <v>2</v>
      </c>
      <c r="B3" s="157" t="s">
        <v>193</v>
      </c>
      <c r="C3" s="94">
        <v>1</v>
      </c>
      <c r="D3" s="94">
        <v>0</v>
      </c>
      <c r="E3" s="93">
        <v>0</v>
      </c>
      <c r="F3" s="93">
        <v>1</v>
      </c>
      <c r="G3"/>
      <c r="H3"/>
    </row>
    <row r="4" spans="1:8" x14ac:dyDescent="0.15">
      <c r="A4">
        <v>3</v>
      </c>
      <c r="B4" s="157" t="s">
        <v>194</v>
      </c>
      <c r="C4" s="94">
        <v>1</v>
      </c>
      <c r="D4" s="94">
        <v>0</v>
      </c>
      <c r="E4" s="93">
        <v>0</v>
      </c>
      <c r="F4" s="93">
        <v>1</v>
      </c>
      <c r="G4"/>
      <c r="H4"/>
    </row>
    <row r="5" spans="1:8" x14ac:dyDescent="0.15">
      <c r="A5">
        <v>4</v>
      </c>
      <c r="B5" s="157" t="s">
        <v>195</v>
      </c>
      <c r="C5" s="94">
        <v>0</v>
      </c>
      <c r="D5" s="94">
        <v>0</v>
      </c>
      <c r="E5" s="93">
        <v>1</v>
      </c>
      <c r="F5" s="93">
        <v>1</v>
      </c>
      <c r="G5"/>
      <c r="H5"/>
    </row>
    <row r="6" spans="1:8" x14ac:dyDescent="0.15">
      <c r="A6">
        <v>5</v>
      </c>
      <c r="B6" s="157" t="s">
        <v>196</v>
      </c>
      <c r="C6" s="94">
        <v>0</v>
      </c>
      <c r="D6" s="94">
        <v>0</v>
      </c>
      <c r="E6" s="93">
        <v>1</v>
      </c>
      <c r="F6" s="93">
        <v>1</v>
      </c>
      <c r="G6"/>
      <c r="H6"/>
    </row>
    <row r="7" spans="1:8" x14ac:dyDescent="0.15">
      <c r="A7">
        <v>6</v>
      </c>
      <c r="B7" s="157" t="s">
        <v>197</v>
      </c>
      <c r="C7" s="94">
        <v>1</v>
      </c>
      <c r="D7" s="94">
        <v>0</v>
      </c>
      <c r="E7" s="93">
        <v>0</v>
      </c>
      <c r="F7" s="93">
        <v>1</v>
      </c>
      <c r="G7"/>
      <c r="H7"/>
    </row>
    <row r="8" spans="1:8" x14ac:dyDescent="0.15">
      <c r="A8">
        <v>7</v>
      </c>
      <c r="B8" s="157" t="s">
        <v>198</v>
      </c>
      <c r="C8" s="94">
        <v>1</v>
      </c>
      <c r="D8" s="94">
        <v>0</v>
      </c>
      <c r="E8" s="93">
        <v>0</v>
      </c>
      <c r="F8" s="93">
        <v>1</v>
      </c>
      <c r="G8"/>
      <c r="H8"/>
    </row>
    <row r="9" spans="1:8" x14ac:dyDescent="0.15">
      <c r="A9">
        <v>8</v>
      </c>
      <c r="B9" s="157" t="s">
        <v>199</v>
      </c>
      <c r="C9" s="94">
        <v>1</v>
      </c>
      <c r="D9" s="94">
        <v>0</v>
      </c>
      <c r="E9" s="93">
        <v>0</v>
      </c>
      <c r="F9" s="93">
        <v>1</v>
      </c>
      <c r="G9"/>
      <c r="H9"/>
    </row>
    <row r="10" spans="1:8" x14ac:dyDescent="0.15">
      <c r="A10">
        <v>9</v>
      </c>
      <c r="B10" s="157" t="s">
        <v>200</v>
      </c>
      <c r="C10" s="94">
        <v>1</v>
      </c>
      <c r="D10" s="94">
        <v>0</v>
      </c>
      <c r="E10" s="93">
        <v>0</v>
      </c>
      <c r="F10" s="93">
        <v>1</v>
      </c>
      <c r="G10"/>
      <c r="H10"/>
    </row>
    <row r="11" spans="1:8" x14ac:dyDescent="0.15">
      <c r="A11">
        <v>10</v>
      </c>
      <c r="B11" s="157" t="s">
        <v>201</v>
      </c>
      <c r="C11" s="94">
        <v>1</v>
      </c>
      <c r="D11" s="94">
        <v>0</v>
      </c>
      <c r="E11" s="93">
        <v>0</v>
      </c>
      <c r="F11" s="93">
        <v>1</v>
      </c>
      <c r="G11"/>
      <c r="H11"/>
    </row>
    <row r="12" spans="1:8" x14ac:dyDescent="0.15">
      <c r="A12">
        <v>11</v>
      </c>
      <c r="B12" s="157" t="s">
        <v>202</v>
      </c>
      <c r="C12" s="94">
        <v>1</v>
      </c>
      <c r="D12" s="94">
        <v>0</v>
      </c>
      <c r="E12" s="93">
        <v>0</v>
      </c>
      <c r="F12" s="93">
        <v>1</v>
      </c>
      <c r="G12"/>
      <c r="H12"/>
    </row>
    <row r="13" spans="1:8" x14ac:dyDescent="0.15">
      <c r="A13">
        <v>12</v>
      </c>
      <c r="B13" s="157" t="s">
        <v>203</v>
      </c>
      <c r="C13" s="94">
        <v>1</v>
      </c>
      <c r="D13" s="94">
        <v>0</v>
      </c>
      <c r="E13" s="93">
        <v>0</v>
      </c>
      <c r="F13" s="93">
        <v>1</v>
      </c>
      <c r="G13"/>
      <c r="H13"/>
    </row>
    <row r="14" spans="1:8" x14ac:dyDescent="0.15">
      <c r="A14">
        <v>13</v>
      </c>
      <c r="B14" s="157" t="s">
        <v>204</v>
      </c>
      <c r="C14" s="94">
        <v>1</v>
      </c>
      <c r="D14" s="94">
        <v>0</v>
      </c>
      <c r="E14" s="93">
        <v>0</v>
      </c>
      <c r="F14" s="93">
        <v>1</v>
      </c>
      <c r="G14"/>
      <c r="H14"/>
    </row>
    <row r="15" spans="1:8" x14ac:dyDescent="0.15">
      <c r="A15">
        <v>14</v>
      </c>
      <c r="B15" s="157" t="s">
        <v>205</v>
      </c>
      <c r="C15" s="94">
        <v>1</v>
      </c>
      <c r="D15" s="94">
        <v>0</v>
      </c>
      <c r="E15" s="93">
        <v>0</v>
      </c>
      <c r="F15" s="93">
        <v>1</v>
      </c>
      <c r="G15"/>
      <c r="H15"/>
    </row>
    <row r="16" spans="1:8" x14ac:dyDescent="0.15">
      <c r="A16">
        <v>15</v>
      </c>
      <c r="B16" s="157" t="s">
        <v>206</v>
      </c>
      <c r="C16" s="94">
        <v>1</v>
      </c>
      <c r="D16" s="94">
        <v>0</v>
      </c>
      <c r="E16" s="93">
        <v>0</v>
      </c>
      <c r="F16" s="93">
        <v>1</v>
      </c>
      <c r="G16"/>
      <c r="H16"/>
    </row>
    <row r="17" spans="1:8" ht="15" customHeight="1" x14ac:dyDescent="0.15">
      <c r="A17">
        <v>16</v>
      </c>
      <c r="B17" s="157" t="s">
        <v>207</v>
      </c>
      <c r="C17" s="94">
        <v>1</v>
      </c>
      <c r="D17" s="94">
        <v>0</v>
      </c>
      <c r="E17" s="93">
        <v>0</v>
      </c>
      <c r="F17" s="93">
        <v>1</v>
      </c>
      <c r="G17"/>
      <c r="H17"/>
    </row>
    <row r="18" spans="1:8" ht="15" customHeight="1" x14ac:dyDescent="0.15">
      <c r="A18">
        <v>17</v>
      </c>
      <c r="B18" s="157" t="s">
        <v>208</v>
      </c>
      <c r="C18" s="94">
        <v>1</v>
      </c>
      <c r="D18" s="94">
        <v>0</v>
      </c>
      <c r="E18" s="93">
        <v>0</v>
      </c>
      <c r="F18" s="93">
        <v>1</v>
      </c>
      <c r="G18"/>
      <c r="H18"/>
    </row>
    <row r="19" spans="1:8" ht="15" customHeight="1" x14ac:dyDescent="0.15">
      <c r="A19">
        <v>18</v>
      </c>
      <c r="B19" s="157" t="s">
        <v>209</v>
      </c>
      <c r="C19" s="94">
        <v>1</v>
      </c>
      <c r="D19" s="94">
        <v>0</v>
      </c>
      <c r="E19" s="93">
        <v>0</v>
      </c>
      <c r="F19" s="93">
        <v>1</v>
      </c>
      <c r="G19"/>
      <c r="H19"/>
    </row>
    <row r="20" spans="1:8" ht="15" customHeight="1" x14ac:dyDescent="0.15">
      <c r="A20">
        <v>19</v>
      </c>
      <c r="B20" s="157" t="s">
        <v>210</v>
      </c>
      <c r="C20" s="94">
        <v>1</v>
      </c>
      <c r="D20" s="94">
        <v>0</v>
      </c>
      <c r="E20" s="93">
        <v>0</v>
      </c>
      <c r="F20" s="93">
        <v>1</v>
      </c>
      <c r="G20"/>
      <c r="H20"/>
    </row>
    <row r="21" spans="1:8" ht="15" customHeight="1" x14ac:dyDescent="0.15">
      <c r="A21">
        <v>20</v>
      </c>
      <c r="B21" s="157" t="s">
        <v>211</v>
      </c>
      <c r="C21" s="94">
        <v>1</v>
      </c>
      <c r="D21" s="94">
        <v>0</v>
      </c>
      <c r="E21" s="93">
        <v>0</v>
      </c>
      <c r="F21" s="93">
        <v>1</v>
      </c>
      <c r="G21"/>
      <c r="H21"/>
    </row>
    <row r="22" spans="1:8" ht="15" customHeight="1" x14ac:dyDescent="0.15">
      <c r="A22">
        <v>21</v>
      </c>
      <c r="B22" s="157" t="s">
        <v>212</v>
      </c>
      <c r="C22" s="94">
        <v>1</v>
      </c>
      <c r="D22" s="94">
        <v>0</v>
      </c>
      <c r="E22" s="93">
        <v>0</v>
      </c>
      <c r="F22" s="93">
        <v>1</v>
      </c>
      <c r="G22"/>
      <c r="H22"/>
    </row>
    <row r="23" spans="1:8" ht="15" customHeight="1" x14ac:dyDescent="0.15">
      <c r="A23">
        <v>22</v>
      </c>
      <c r="B23" s="157" t="s">
        <v>213</v>
      </c>
      <c r="C23" s="94">
        <v>1</v>
      </c>
      <c r="D23" s="94">
        <v>0</v>
      </c>
      <c r="E23" s="93">
        <v>0</v>
      </c>
      <c r="F23" s="93">
        <v>1</v>
      </c>
      <c r="G23"/>
      <c r="H23"/>
    </row>
    <row r="24" spans="1:8" ht="15" customHeight="1" x14ac:dyDescent="0.15">
      <c r="A24">
        <v>23</v>
      </c>
      <c r="B24" s="157" t="s">
        <v>214</v>
      </c>
      <c r="C24" s="94">
        <v>1</v>
      </c>
      <c r="D24" s="94">
        <v>0</v>
      </c>
      <c r="E24" s="93">
        <v>0</v>
      </c>
      <c r="F24" s="93">
        <v>1</v>
      </c>
      <c r="G24"/>
      <c r="H24"/>
    </row>
    <row r="25" spans="1:8" ht="15" customHeight="1" x14ac:dyDescent="0.15">
      <c r="A25">
        <v>24</v>
      </c>
      <c r="B25" s="157" t="s">
        <v>215</v>
      </c>
      <c r="C25" s="94">
        <v>1</v>
      </c>
      <c r="D25" s="94">
        <v>0</v>
      </c>
      <c r="E25" s="93">
        <v>0</v>
      </c>
      <c r="F25" s="93">
        <v>1</v>
      </c>
      <c r="G25"/>
      <c r="H25"/>
    </row>
    <row r="26" spans="1:8" ht="15" customHeight="1" x14ac:dyDescent="0.15">
      <c r="A26">
        <v>25</v>
      </c>
      <c r="B26" s="157" t="s">
        <v>216</v>
      </c>
      <c r="C26" s="94">
        <v>1</v>
      </c>
      <c r="D26" s="94">
        <v>0</v>
      </c>
      <c r="E26" s="93">
        <v>0</v>
      </c>
      <c r="F26" s="93">
        <v>1</v>
      </c>
      <c r="G26"/>
      <c r="H26"/>
    </row>
    <row r="27" spans="1:8" ht="15" customHeight="1" x14ac:dyDescent="0.15">
      <c r="A27">
        <v>26</v>
      </c>
      <c r="B27" s="157" t="s">
        <v>217</v>
      </c>
      <c r="C27" s="94">
        <v>1</v>
      </c>
      <c r="D27" s="94">
        <v>0</v>
      </c>
      <c r="E27" s="93">
        <v>0</v>
      </c>
      <c r="F27" s="93">
        <v>1</v>
      </c>
      <c r="G27"/>
      <c r="H27"/>
    </row>
    <row r="28" spans="1:8" ht="15" customHeight="1" x14ac:dyDescent="0.15">
      <c r="A28">
        <v>27</v>
      </c>
      <c r="B28" s="157" t="s">
        <v>218</v>
      </c>
      <c r="C28" s="94">
        <v>0</v>
      </c>
      <c r="D28" s="94">
        <v>1</v>
      </c>
      <c r="E28" s="93">
        <v>0</v>
      </c>
      <c r="F28" s="93">
        <v>1</v>
      </c>
      <c r="G28"/>
      <c r="H28"/>
    </row>
    <row r="29" spans="1:8" ht="15" customHeight="1" x14ac:dyDescent="0.15">
      <c r="A29">
        <v>28</v>
      </c>
      <c r="B29" s="157" t="s">
        <v>219</v>
      </c>
      <c r="C29" s="94">
        <v>0</v>
      </c>
      <c r="D29" s="94">
        <v>0</v>
      </c>
      <c r="E29" s="93">
        <v>1</v>
      </c>
      <c r="F29" s="93">
        <v>1</v>
      </c>
      <c r="G29"/>
      <c r="H29"/>
    </row>
    <row r="30" spans="1:8" ht="15" customHeight="1" x14ac:dyDescent="0.15">
      <c r="A30">
        <v>29</v>
      </c>
      <c r="B30" s="157" t="s">
        <v>220</v>
      </c>
      <c r="C30" s="94">
        <v>0</v>
      </c>
      <c r="D30" s="94">
        <v>1</v>
      </c>
      <c r="E30" s="93">
        <v>0</v>
      </c>
      <c r="F30" s="93">
        <v>1</v>
      </c>
      <c r="G30"/>
      <c r="H30"/>
    </row>
    <row r="31" spans="1:8" ht="15" customHeight="1" x14ac:dyDescent="0.15">
      <c r="A31">
        <v>30</v>
      </c>
      <c r="B31" s="157" t="s">
        <v>221</v>
      </c>
      <c r="C31" s="94">
        <v>0</v>
      </c>
      <c r="D31" s="94">
        <v>1</v>
      </c>
      <c r="E31" s="93">
        <v>0</v>
      </c>
      <c r="F31" s="93">
        <v>1</v>
      </c>
      <c r="G31"/>
      <c r="H31"/>
    </row>
    <row r="32" spans="1:8" ht="15" customHeight="1" x14ac:dyDescent="0.15"/>
    <row r="33" spans="3:8" ht="15" customHeight="1" x14ac:dyDescent="0.15"/>
    <row r="34" spans="3:8" ht="15" customHeight="1" x14ac:dyDescent="0.15"/>
    <row r="35" spans="3:8" ht="15" customHeight="1" x14ac:dyDescent="0.15"/>
    <row r="36" spans="3:8" ht="15" customHeight="1" x14ac:dyDescent="0.15">
      <c r="C36"/>
      <c r="D36"/>
      <c r="E36" s="94"/>
      <c r="F36" s="94"/>
      <c r="G36"/>
      <c r="H36"/>
    </row>
    <row r="37" spans="3:8" ht="15" customHeight="1" x14ac:dyDescent="0.15">
      <c r="C37"/>
      <c r="D37"/>
      <c r="E37" s="94"/>
      <c r="F37" s="94"/>
      <c r="G37"/>
      <c r="H37"/>
    </row>
    <row r="38" spans="3:8" ht="15" customHeight="1" x14ac:dyDescent="0.15">
      <c r="C38"/>
      <c r="D38"/>
      <c r="E38" s="94"/>
      <c r="F38" s="94"/>
      <c r="G38"/>
      <c r="H38"/>
    </row>
    <row r="39" spans="3:8" ht="15" customHeight="1" x14ac:dyDescent="0.15">
      <c r="C39"/>
      <c r="D39"/>
      <c r="E39" s="94"/>
      <c r="F39" s="94"/>
      <c r="G39"/>
      <c r="H39"/>
    </row>
    <row r="40" spans="3:8" ht="15" customHeight="1" x14ac:dyDescent="0.15">
      <c r="C40"/>
      <c r="D40"/>
      <c r="E40" s="94"/>
      <c r="F40" s="94"/>
      <c r="G40"/>
      <c r="H40"/>
    </row>
    <row r="41" spans="3:8" ht="15" customHeight="1" x14ac:dyDescent="0.15">
      <c r="C41"/>
      <c r="D41"/>
      <c r="E41" s="94"/>
      <c r="F41" s="94"/>
      <c r="G41"/>
      <c r="H41"/>
    </row>
    <row r="42" spans="3:8" ht="15" customHeight="1" x14ac:dyDescent="0.15">
      <c r="C42"/>
      <c r="D42"/>
      <c r="E42" s="94"/>
      <c r="F42" s="94"/>
      <c r="G42"/>
      <c r="H42"/>
    </row>
    <row r="43" spans="3:8" ht="15" customHeight="1" x14ac:dyDescent="0.15">
      <c r="C43"/>
      <c r="D43"/>
      <c r="E43" s="94"/>
      <c r="F43" s="94"/>
      <c r="G43"/>
      <c r="H43"/>
    </row>
    <row r="44" spans="3:8" ht="15" customHeight="1" x14ac:dyDescent="0.15">
      <c r="C44"/>
      <c r="D44"/>
      <c r="G44"/>
      <c r="H44"/>
    </row>
    <row r="45" spans="3:8" ht="15" customHeight="1" x14ac:dyDescent="0.15">
      <c r="C45"/>
      <c r="D45"/>
      <c r="G45"/>
      <c r="H45"/>
    </row>
    <row r="46" spans="3:8" ht="15" customHeight="1" x14ac:dyDescent="0.15">
      <c r="C46"/>
      <c r="D46"/>
      <c r="E46" s="94"/>
      <c r="F46" s="94"/>
      <c r="G46"/>
      <c r="H46"/>
    </row>
    <row r="47" spans="3:8" ht="15" customHeight="1" x14ac:dyDescent="0.15">
      <c r="C47"/>
      <c r="D47"/>
      <c r="G47"/>
      <c r="H47"/>
    </row>
    <row r="48" spans="3:8" ht="15" customHeight="1" x14ac:dyDescent="0.15">
      <c r="C48"/>
      <c r="D48"/>
      <c r="G48"/>
      <c r="H48"/>
    </row>
    <row r="49" spans="3:8" ht="15" customHeight="1" x14ac:dyDescent="0.15">
      <c r="C49"/>
      <c r="D49"/>
      <c r="G49"/>
      <c r="H49"/>
    </row>
    <row r="50" spans="3:8" ht="15" customHeight="1" x14ac:dyDescent="0.15">
      <c r="C50"/>
      <c r="D50"/>
      <c r="G50"/>
      <c r="H50"/>
    </row>
    <row r="51" spans="3:8" ht="15" customHeight="1" x14ac:dyDescent="0.15">
      <c r="C51"/>
      <c r="D51"/>
      <c r="G51"/>
      <c r="H51"/>
    </row>
    <row r="52" spans="3:8" ht="15" customHeight="1" x14ac:dyDescent="0.15">
      <c r="C52"/>
      <c r="D52"/>
      <c r="E52"/>
      <c r="F52"/>
      <c r="G52"/>
      <c r="H52"/>
    </row>
    <row r="53" spans="3:8" ht="15" customHeight="1" x14ac:dyDescent="0.15">
      <c r="C53"/>
      <c r="D53"/>
      <c r="E53"/>
      <c r="F53"/>
      <c r="G53"/>
      <c r="H53"/>
    </row>
    <row r="54" spans="3:8" ht="15" customHeight="1" x14ac:dyDescent="0.15">
      <c r="C54"/>
      <c r="D54"/>
      <c r="E54"/>
      <c r="F54"/>
      <c r="G54"/>
      <c r="H54"/>
    </row>
    <row r="55" spans="3:8" ht="15" customHeight="1" x14ac:dyDescent="0.15">
      <c r="C55"/>
      <c r="D55"/>
      <c r="E55"/>
      <c r="F55"/>
      <c r="G55"/>
      <c r="H55"/>
    </row>
    <row r="56" spans="3:8" ht="15" customHeight="1" x14ac:dyDescent="0.15">
      <c r="C56"/>
      <c r="D56"/>
      <c r="E56"/>
      <c r="F56"/>
      <c r="G56"/>
      <c r="H56"/>
    </row>
    <row r="57" spans="3:8" ht="15" customHeight="1" x14ac:dyDescent="0.15">
      <c r="C57"/>
      <c r="D57"/>
      <c r="E57"/>
      <c r="F57"/>
      <c r="G57"/>
      <c r="H57"/>
    </row>
    <row r="58" spans="3:8" ht="15" customHeight="1" x14ac:dyDescent="0.15">
      <c r="C58"/>
      <c r="D58"/>
      <c r="E58"/>
      <c r="F58"/>
      <c r="G58"/>
      <c r="H58"/>
    </row>
    <row r="59" spans="3:8" ht="15" customHeight="1" x14ac:dyDescent="0.15">
      <c r="C59"/>
      <c r="D59"/>
      <c r="E59"/>
      <c r="F59"/>
      <c r="G59"/>
      <c r="H59"/>
    </row>
    <row r="60" spans="3:8" ht="15" customHeight="1" x14ac:dyDescent="0.15">
      <c r="C60"/>
      <c r="D60"/>
      <c r="E60"/>
      <c r="F60"/>
      <c r="G60"/>
      <c r="H60"/>
    </row>
    <row r="61" spans="3:8" ht="15" customHeight="1" x14ac:dyDescent="0.15">
      <c r="C61"/>
      <c r="D61"/>
      <c r="E61"/>
      <c r="F61"/>
      <c r="G61"/>
      <c r="H61"/>
    </row>
    <row r="62" spans="3:8" ht="15" customHeight="1" x14ac:dyDescent="0.15">
      <c r="C62"/>
      <c r="D62"/>
      <c r="E62"/>
      <c r="F62"/>
      <c r="G62"/>
      <c r="H62"/>
    </row>
    <row r="63" spans="3:8" ht="15" customHeight="1" x14ac:dyDescent="0.15">
      <c r="C63"/>
      <c r="D63"/>
      <c r="E63"/>
      <c r="F63"/>
      <c r="G63"/>
      <c r="H63"/>
    </row>
    <row r="64" spans="3: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E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0.5" bestFit="1" customWidth="1"/>
    <col min="3" max="5" width="11.83203125" bestFit="1" customWidth="1"/>
  </cols>
  <sheetData>
    <row r="1" spans="1:5" s="95" customFormat="1" ht="112" x14ac:dyDescent="0.15">
      <c r="A1" s="5" t="s">
        <v>21</v>
      </c>
      <c r="B1" s="3" t="s">
        <v>0</v>
      </c>
      <c r="C1" s="160" t="s">
        <v>220</v>
      </c>
      <c r="D1" s="160" t="s">
        <v>221</v>
      </c>
      <c r="E1" s="160" t="s">
        <v>225</v>
      </c>
    </row>
    <row r="2" spans="1:5" ht="15" customHeight="1" x14ac:dyDescent="0.15">
      <c r="A2">
        <v>1</v>
      </c>
      <c r="B2" s="159" t="s">
        <v>192</v>
      </c>
      <c r="C2">
        <v>0</v>
      </c>
      <c r="D2">
        <v>0</v>
      </c>
      <c r="E2">
        <v>0</v>
      </c>
    </row>
    <row r="3" spans="1:5" ht="15" customHeight="1" x14ac:dyDescent="0.15">
      <c r="A3">
        <v>2</v>
      </c>
      <c r="B3" s="159" t="s">
        <v>193</v>
      </c>
      <c r="C3">
        <v>0</v>
      </c>
      <c r="D3">
        <v>0</v>
      </c>
      <c r="E3">
        <v>0</v>
      </c>
    </row>
    <row r="4" spans="1:5" ht="15" customHeight="1" x14ac:dyDescent="0.15">
      <c r="A4">
        <v>3</v>
      </c>
      <c r="B4" s="159" t="s">
        <v>194</v>
      </c>
      <c r="C4">
        <v>0</v>
      </c>
      <c r="D4">
        <v>0</v>
      </c>
      <c r="E4">
        <v>0</v>
      </c>
    </row>
    <row r="5" spans="1:5" ht="15" customHeight="1" x14ac:dyDescent="0.15">
      <c r="A5">
        <v>4</v>
      </c>
      <c r="B5" s="159" t="s">
        <v>195</v>
      </c>
      <c r="C5">
        <v>0</v>
      </c>
      <c r="D5">
        <v>0</v>
      </c>
      <c r="E5">
        <v>0</v>
      </c>
    </row>
    <row r="6" spans="1:5" ht="15" customHeight="1" x14ac:dyDescent="0.15">
      <c r="A6">
        <v>5</v>
      </c>
      <c r="B6" s="159" t="s">
        <v>196</v>
      </c>
      <c r="C6">
        <v>0</v>
      </c>
      <c r="D6">
        <v>0</v>
      </c>
      <c r="E6">
        <v>0</v>
      </c>
    </row>
    <row r="7" spans="1:5" ht="15" customHeight="1" x14ac:dyDescent="0.15">
      <c r="A7">
        <v>6</v>
      </c>
      <c r="B7" s="159" t="s">
        <v>197</v>
      </c>
      <c r="C7">
        <v>0</v>
      </c>
      <c r="D7">
        <v>0</v>
      </c>
      <c r="E7">
        <v>0</v>
      </c>
    </row>
    <row r="8" spans="1:5" ht="15" customHeight="1" x14ac:dyDescent="0.15">
      <c r="A8">
        <v>7</v>
      </c>
      <c r="B8" s="159" t="s">
        <v>198</v>
      </c>
      <c r="C8">
        <v>0</v>
      </c>
      <c r="D8">
        <v>0</v>
      </c>
      <c r="E8">
        <v>0</v>
      </c>
    </row>
    <row r="9" spans="1:5" ht="15" customHeight="1" x14ac:dyDescent="0.15">
      <c r="A9">
        <v>8</v>
      </c>
      <c r="B9" s="159" t="s">
        <v>199</v>
      </c>
      <c r="C9">
        <v>0</v>
      </c>
      <c r="D9">
        <v>0</v>
      </c>
      <c r="E9">
        <v>0</v>
      </c>
    </row>
    <row r="10" spans="1:5" ht="15" customHeight="1" x14ac:dyDescent="0.15">
      <c r="A10">
        <v>9</v>
      </c>
      <c r="B10" s="159" t="s">
        <v>200</v>
      </c>
      <c r="C10">
        <v>0</v>
      </c>
      <c r="D10">
        <v>0</v>
      </c>
      <c r="E10">
        <v>0</v>
      </c>
    </row>
    <row r="11" spans="1:5" ht="15" customHeight="1" x14ac:dyDescent="0.15">
      <c r="A11">
        <v>10</v>
      </c>
      <c r="B11" s="159" t="s">
        <v>201</v>
      </c>
      <c r="C11">
        <v>0</v>
      </c>
      <c r="D11">
        <v>0</v>
      </c>
      <c r="E11">
        <v>0</v>
      </c>
    </row>
    <row r="12" spans="1:5" ht="15" customHeight="1" x14ac:dyDescent="0.15">
      <c r="A12">
        <v>11</v>
      </c>
      <c r="B12" s="159" t="s">
        <v>202</v>
      </c>
      <c r="C12">
        <v>0</v>
      </c>
      <c r="D12">
        <v>0</v>
      </c>
      <c r="E12">
        <v>0</v>
      </c>
    </row>
    <row r="13" spans="1:5" ht="15" customHeight="1" x14ac:dyDescent="0.15">
      <c r="A13">
        <v>12</v>
      </c>
      <c r="B13" s="159" t="s">
        <v>203</v>
      </c>
      <c r="C13">
        <v>7.5581900000000002E-3</v>
      </c>
      <c r="D13">
        <v>5.0921689999999997E-3</v>
      </c>
      <c r="E13">
        <v>1.2650359E-2</v>
      </c>
    </row>
    <row r="14" spans="1:5" ht="15" customHeight="1" x14ac:dyDescent="0.15">
      <c r="A14">
        <v>13</v>
      </c>
      <c r="B14" s="159" t="s">
        <v>204</v>
      </c>
      <c r="C14">
        <v>7.5652599999999999E-4</v>
      </c>
      <c r="D14">
        <v>0</v>
      </c>
      <c r="E14">
        <v>7.5652599999999999E-4</v>
      </c>
    </row>
    <row r="15" spans="1:5" ht="15" customHeight="1" x14ac:dyDescent="0.15">
      <c r="A15">
        <v>14</v>
      </c>
      <c r="B15" s="159" t="s">
        <v>205</v>
      </c>
      <c r="C15">
        <v>6.899161E-3</v>
      </c>
      <c r="D15">
        <v>9.9326100000000006E-4</v>
      </c>
      <c r="E15">
        <v>7.8924219999999996E-3</v>
      </c>
    </row>
    <row r="16" spans="1:5" ht="15" customHeight="1" x14ac:dyDescent="0.15">
      <c r="A16">
        <v>15</v>
      </c>
      <c r="B16" s="159" t="s">
        <v>206</v>
      </c>
      <c r="C16">
        <v>1.689664E-3</v>
      </c>
      <c r="D16">
        <v>2.41537E-4</v>
      </c>
      <c r="E16">
        <v>1.931201E-3</v>
      </c>
    </row>
    <row r="17" spans="1:5" ht="15" customHeight="1" x14ac:dyDescent="0.15">
      <c r="A17">
        <v>16</v>
      </c>
      <c r="B17" s="159" t="s">
        <v>207</v>
      </c>
      <c r="C17">
        <v>4.9806000000000004E-4</v>
      </c>
      <c r="D17">
        <v>4.7405100000000002E-4</v>
      </c>
      <c r="E17">
        <v>9.7211100000000011E-4</v>
      </c>
    </row>
    <row r="18" spans="1:5" ht="15" customHeight="1" x14ac:dyDescent="0.15">
      <c r="A18">
        <v>17</v>
      </c>
      <c r="B18" s="159" t="s">
        <v>208</v>
      </c>
      <c r="C18">
        <v>2.9969229999999999E-3</v>
      </c>
      <c r="D18">
        <v>3.0810880000000001E-3</v>
      </c>
      <c r="E18">
        <v>6.0780109999999995E-3</v>
      </c>
    </row>
    <row r="19" spans="1:5" ht="15" customHeight="1" x14ac:dyDescent="0.15">
      <c r="A19">
        <v>18</v>
      </c>
      <c r="B19" s="159" t="s">
        <v>209</v>
      </c>
      <c r="C19">
        <v>3.3814810000000001E-2</v>
      </c>
      <c r="D19">
        <v>1.236367E-2</v>
      </c>
      <c r="E19">
        <v>4.6178480000000001E-2</v>
      </c>
    </row>
    <row r="20" spans="1:5" ht="15" customHeight="1" x14ac:dyDescent="0.15">
      <c r="A20">
        <v>19</v>
      </c>
      <c r="B20" s="159" t="s">
        <v>210</v>
      </c>
      <c r="C20">
        <v>0.14065900000000001</v>
      </c>
      <c r="D20">
        <v>8.8231229999999994E-2</v>
      </c>
      <c r="E20">
        <v>0.22889023</v>
      </c>
    </row>
    <row r="21" spans="1:5" ht="15" customHeight="1" x14ac:dyDescent="0.15">
      <c r="A21">
        <v>20</v>
      </c>
      <c r="B21" s="159" t="s">
        <v>211</v>
      </c>
      <c r="C21">
        <v>5.9955710000000002E-2</v>
      </c>
      <c r="D21">
        <v>9.6732040000000005E-2</v>
      </c>
      <c r="E21">
        <v>0.15668775000000001</v>
      </c>
    </row>
    <row r="22" spans="1:5" ht="15" customHeight="1" x14ac:dyDescent="0.15">
      <c r="A22">
        <v>21</v>
      </c>
      <c r="B22" s="159" t="s">
        <v>212</v>
      </c>
      <c r="C22">
        <v>3.781205E-2</v>
      </c>
      <c r="D22">
        <v>6.508799E-3</v>
      </c>
      <c r="E22">
        <v>4.4320849000000002E-2</v>
      </c>
    </row>
    <row r="23" spans="1:5" ht="15" customHeight="1" x14ac:dyDescent="0.15">
      <c r="A23">
        <v>22</v>
      </c>
      <c r="B23" s="159" t="s">
        <v>213</v>
      </c>
      <c r="C23">
        <v>5.8154410000000002E-3</v>
      </c>
      <c r="D23">
        <v>2.3835330000000002E-3</v>
      </c>
      <c r="E23">
        <v>8.1989740000000012E-3</v>
      </c>
    </row>
    <row r="24" spans="1:5" ht="15" customHeight="1" x14ac:dyDescent="0.15">
      <c r="A24">
        <v>23</v>
      </c>
      <c r="B24" s="159" t="s">
        <v>214</v>
      </c>
      <c r="C24">
        <v>1.9222130000000001E-3</v>
      </c>
      <c r="D24">
        <v>0</v>
      </c>
      <c r="E24">
        <v>1.9222130000000001E-3</v>
      </c>
    </row>
    <row r="25" spans="1:5" ht="15" customHeight="1" x14ac:dyDescent="0.15">
      <c r="A25">
        <v>24</v>
      </c>
      <c r="B25" s="159" t="s">
        <v>215</v>
      </c>
      <c r="C25">
        <v>0</v>
      </c>
      <c r="D25">
        <v>0</v>
      </c>
      <c r="E25">
        <v>0</v>
      </c>
    </row>
    <row r="26" spans="1:5" ht="15" customHeight="1" x14ac:dyDescent="0.15">
      <c r="A26">
        <v>25</v>
      </c>
      <c r="B26" s="159" t="s">
        <v>216</v>
      </c>
      <c r="C26">
        <v>0</v>
      </c>
      <c r="D26">
        <v>0</v>
      </c>
      <c r="E26">
        <v>0</v>
      </c>
    </row>
    <row r="27" spans="1:5" ht="15" customHeight="1" x14ac:dyDescent="0.15">
      <c r="A27">
        <v>26</v>
      </c>
      <c r="B27" s="159" t="s">
        <v>217</v>
      </c>
      <c r="C27">
        <v>0</v>
      </c>
      <c r="D27">
        <v>0</v>
      </c>
      <c r="E27">
        <v>0</v>
      </c>
    </row>
    <row r="28" spans="1:5" ht="15" customHeight="1" x14ac:dyDescent="0.15">
      <c r="A28">
        <v>27</v>
      </c>
      <c r="B28" s="159" t="s">
        <v>218</v>
      </c>
      <c r="C28">
        <v>0</v>
      </c>
      <c r="D28">
        <v>0</v>
      </c>
      <c r="E28">
        <v>0</v>
      </c>
    </row>
    <row r="29" spans="1:5" ht="15" customHeight="1" x14ac:dyDescent="0.15">
      <c r="A29">
        <v>28</v>
      </c>
      <c r="B29" s="159" t="s">
        <v>219</v>
      </c>
      <c r="C29">
        <v>0</v>
      </c>
      <c r="D29">
        <v>0</v>
      </c>
      <c r="E29">
        <v>0</v>
      </c>
    </row>
    <row r="30" spans="1:5" ht="15" customHeight="1" x14ac:dyDescent="0.15"/>
    <row r="31" spans="1:5" ht="15" customHeight="1" x14ac:dyDescent="0.15"/>
    <row r="32" spans="1:5" ht="15" customHeight="1" x14ac:dyDescent="0.15"/>
    <row r="33" ht="15" customHeight="1" x14ac:dyDescent="0.15"/>
    <row r="34" ht="15" customHeight="1" x14ac:dyDescent="0.15"/>
    <row r="35" ht="15" customHeight="1" x14ac:dyDescent="0.15"/>
    <row r="36" ht="15" customHeight="1" x14ac:dyDescent="0.15"/>
    <row r="37" ht="15" customHeight="1" x14ac:dyDescent="0.15"/>
    <row r="38" ht="15" customHeight="1" x14ac:dyDescent="0.15"/>
    <row r="39" ht="15" customHeight="1" x14ac:dyDescent="0.15"/>
    <row r="40" ht="15" customHeight="1" x14ac:dyDescent="0.15"/>
    <row r="41" ht="15" customHeight="1" x14ac:dyDescent="0.15"/>
    <row r="42" ht="15" customHeight="1" x14ac:dyDescent="0.15"/>
    <row r="43" ht="15" customHeight="1" x14ac:dyDescent="0.15"/>
    <row r="44" ht="15" customHeight="1" x14ac:dyDescent="0.15"/>
    <row r="45" ht="15" customHeight="1" x14ac:dyDescent="0.15"/>
    <row r="46" ht="15" customHeight="1" x14ac:dyDescent="0.15"/>
    <row r="47" ht="15" customHeight="1" x14ac:dyDescent="0.15"/>
    <row r="48"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E29"/>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0.5" bestFit="1" customWidth="1"/>
    <col min="3" max="5" width="2.33203125" bestFit="1" customWidth="1"/>
  </cols>
  <sheetData>
    <row r="1" spans="1:5" s="95" customFormat="1" ht="112" x14ac:dyDescent="0.15">
      <c r="A1" s="5" t="s">
        <v>22</v>
      </c>
      <c r="B1" s="3" t="s">
        <v>0</v>
      </c>
      <c r="C1" s="162" t="s">
        <v>220</v>
      </c>
      <c r="D1" s="162" t="s">
        <v>221</v>
      </c>
      <c r="E1" s="162" t="s">
        <v>225</v>
      </c>
    </row>
    <row r="2" spans="1:5" x14ac:dyDescent="0.15">
      <c r="A2">
        <v>1</v>
      </c>
      <c r="B2" s="161" t="s">
        <v>192</v>
      </c>
      <c r="C2">
        <v>0</v>
      </c>
      <c r="D2">
        <v>0</v>
      </c>
      <c r="E2">
        <v>0</v>
      </c>
    </row>
    <row r="3" spans="1:5" x14ac:dyDescent="0.15">
      <c r="A3">
        <v>2</v>
      </c>
      <c r="B3" s="161" t="s">
        <v>193</v>
      </c>
      <c r="C3">
        <v>0</v>
      </c>
      <c r="D3">
        <v>0</v>
      </c>
      <c r="E3">
        <v>0</v>
      </c>
    </row>
    <row r="4" spans="1:5" x14ac:dyDescent="0.15">
      <c r="A4">
        <v>3</v>
      </c>
      <c r="B4" s="161" t="s">
        <v>194</v>
      </c>
      <c r="C4">
        <v>0</v>
      </c>
      <c r="D4">
        <v>0</v>
      </c>
      <c r="E4">
        <v>0</v>
      </c>
    </row>
    <row r="5" spans="1:5" x14ac:dyDescent="0.15">
      <c r="A5">
        <v>4</v>
      </c>
      <c r="B5" s="161" t="s">
        <v>195</v>
      </c>
      <c r="C5">
        <v>0</v>
      </c>
      <c r="D5">
        <v>0</v>
      </c>
      <c r="E5">
        <v>0</v>
      </c>
    </row>
    <row r="6" spans="1:5" x14ac:dyDescent="0.15">
      <c r="A6">
        <v>5</v>
      </c>
      <c r="B6" s="161" t="s">
        <v>196</v>
      </c>
      <c r="C6">
        <v>0</v>
      </c>
      <c r="D6">
        <v>0</v>
      </c>
      <c r="E6">
        <v>0</v>
      </c>
    </row>
    <row r="7" spans="1:5" x14ac:dyDescent="0.15">
      <c r="A7">
        <v>6</v>
      </c>
      <c r="B7" s="161" t="s">
        <v>197</v>
      </c>
      <c r="C7">
        <v>0</v>
      </c>
      <c r="D7">
        <v>0</v>
      </c>
      <c r="E7">
        <v>0</v>
      </c>
    </row>
    <row r="8" spans="1:5" x14ac:dyDescent="0.15">
      <c r="A8">
        <v>7</v>
      </c>
      <c r="B8" s="161" t="s">
        <v>198</v>
      </c>
      <c r="C8">
        <v>0</v>
      </c>
      <c r="D8">
        <v>0</v>
      </c>
      <c r="E8">
        <v>0</v>
      </c>
    </row>
    <row r="9" spans="1:5" x14ac:dyDescent="0.15">
      <c r="A9">
        <v>8</v>
      </c>
      <c r="B9" s="161" t="s">
        <v>199</v>
      </c>
      <c r="C9">
        <v>0</v>
      </c>
      <c r="D9">
        <v>0</v>
      </c>
      <c r="E9">
        <v>0</v>
      </c>
    </row>
    <row r="10" spans="1:5" x14ac:dyDescent="0.15">
      <c r="A10">
        <v>9</v>
      </c>
      <c r="B10" s="161" t="s">
        <v>200</v>
      </c>
      <c r="C10">
        <v>0</v>
      </c>
      <c r="D10">
        <v>0</v>
      </c>
      <c r="E10">
        <v>0</v>
      </c>
    </row>
    <row r="11" spans="1:5" x14ac:dyDescent="0.15">
      <c r="A11">
        <v>10</v>
      </c>
      <c r="B11" s="161" t="s">
        <v>201</v>
      </c>
      <c r="C11">
        <v>0</v>
      </c>
      <c r="D11">
        <v>0</v>
      </c>
      <c r="E11">
        <v>0</v>
      </c>
    </row>
    <row r="12" spans="1:5" x14ac:dyDescent="0.15">
      <c r="A12">
        <v>11</v>
      </c>
      <c r="B12" s="161" t="s">
        <v>202</v>
      </c>
      <c r="C12">
        <v>0</v>
      </c>
      <c r="D12">
        <v>0</v>
      </c>
      <c r="E12">
        <v>0</v>
      </c>
    </row>
    <row r="13" spans="1:5" x14ac:dyDescent="0.15">
      <c r="A13">
        <v>12</v>
      </c>
      <c r="B13" s="161" t="s">
        <v>203</v>
      </c>
      <c r="C13">
        <v>0</v>
      </c>
      <c r="D13">
        <v>0</v>
      </c>
      <c r="E13">
        <v>0</v>
      </c>
    </row>
    <row r="14" spans="1:5" x14ac:dyDescent="0.15">
      <c r="A14">
        <v>13</v>
      </c>
      <c r="B14" s="161" t="s">
        <v>204</v>
      </c>
      <c r="C14">
        <v>0</v>
      </c>
      <c r="D14">
        <v>0</v>
      </c>
      <c r="E14">
        <v>0</v>
      </c>
    </row>
    <row r="15" spans="1:5" x14ac:dyDescent="0.15">
      <c r="A15">
        <v>14</v>
      </c>
      <c r="B15" s="161" t="s">
        <v>205</v>
      </c>
      <c r="C15">
        <v>0</v>
      </c>
      <c r="D15">
        <v>0</v>
      </c>
      <c r="E15">
        <v>0</v>
      </c>
    </row>
    <row r="16" spans="1:5" x14ac:dyDescent="0.15">
      <c r="A16">
        <v>15</v>
      </c>
      <c r="B16" s="161" t="s">
        <v>206</v>
      </c>
      <c r="C16">
        <v>0</v>
      </c>
      <c r="D16">
        <v>0</v>
      </c>
      <c r="E16">
        <v>0</v>
      </c>
    </row>
    <row r="17" spans="1:5" x14ac:dyDescent="0.15">
      <c r="A17">
        <v>16</v>
      </c>
      <c r="B17" s="161" t="s">
        <v>207</v>
      </c>
      <c r="C17">
        <v>0</v>
      </c>
      <c r="D17">
        <v>0</v>
      </c>
      <c r="E17">
        <v>0</v>
      </c>
    </row>
    <row r="18" spans="1:5" x14ac:dyDescent="0.15">
      <c r="A18">
        <v>17</v>
      </c>
      <c r="B18" s="161" t="s">
        <v>208</v>
      </c>
      <c r="C18">
        <v>0</v>
      </c>
      <c r="D18">
        <v>0</v>
      </c>
      <c r="E18">
        <v>0</v>
      </c>
    </row>
    <row r="19" spans="1:5" x14ac:dyDescent="0.15">
      <c r="A19">
        <v>18</v>
      </c>
      <c r="B19" s="161" t="s">
        <v>209</v>
      </c>
      <c r="C19">
        <v>0</v>
      </c>
      <c r="D19">
        <v>0</v>
      </c>
      <c r="E19">
        <v>0</v>
      </c>
    </row>
    <row r="20" spans="1:5" x14ac:dyDescent="0.15">
      <c r="A20">
        <v>19</v>
      </c>
      <c r="B20" s="161" t="s">
        <v>210</v>
      </c>
      <c r="C20">
        <v>0</v>
      </c>
      <c r="D20">
        <v>0</v>
      </c>
      <c r="E20">
        <v>0</v>
      </c>
    </row>
    <row r="21" spans="1:5" x14ac:dyDescent="0.15">
      <c r="A21">
        <v>20</v>
      </c>
      <c r="B21" s="161" t="s">
        <v>211</v>
      </c>
      <c r="C21">
        <v>0</v>
      </c>
      <c r="D21">
        <v>0</v>
      </c>
      <c r="E21">
        <v>0</v>
      </c>
    </row>
    <row r="22" spans="1:5" x14ac:dyDescent="0.15">
      <c r="A22">
        <v>21</v>
      </c>
      <c r="B22" s="161" t="s">
        <v>212</v>
      </c>
      <c r="C22">
        <v>0</v>
      </c>
      <c r="D22">
        <v>0</v>
      </c>
      <c r="E22">
        <v>0</v>
      </c>
    </row>
    <row r="23" spans="1:5" x14ac:dyDescent="0.15">
      <c r="A23">
        <v>22</v>
      </c>
      <c r="B23" s="161" t="s">
        <v>213</v>
      </c>
      <c r="C23">
        <v>0</v>
      </c>
      <c r="D23">
        <v>0</v>
      </c>
      <c r="E23">
        <v>0</v>
      </c>
    </row>
    <row r="24" spans="1:5" x14ac:dyDescent="0.15">
      <c r="A24">
        <v>23</v>
      </c>
      <c r="B24" s="161" t="s">
        <v>214</v>
      </c>
      <c r="C24">
        <v>0</v>
      </c>
      <c r="D24">
        <v>0</v>
      </c>
      <c r="E24">
        <v>0</v>
      </c>
    </row>
    <row r="25" spans="1:5" x14ac:dyDescent="0.15">
      <c r="A25">
        <v>24</v>
      </c>
      <c r="B25" s="161" t="s">
        <v>215</v>
      </c>
      <c r="C25">
        <v>0</v>
      </c>
      <c r="D25">
        <v>0</v>
      </c>
      <c r="E25">
        <v>0</v>
      </c>
    </row>
    <row r="26" spans="1:5" x14ac:dyDescent="0.15">
      <c r="A26">
        <v>25</v>
      </c>
      <c r="B26" s="161" t="s">
        <v>216</v>
      </c>
      <c r="C26">
        <v>0</v>
      </c>
      <c r="D26">
        <v>0</v>
      </c>
      <c r="E26">
        <v>0</v>
      </c>
    </row>
    <row r="27" spans="1:5" x14ac:dyDescent="0.15">
      <c r="A27">
        <v>26</v>
      </c>
      <c r="B27" s="161" t="s">
        <v>217</v>
      </c>
      <c r="C27">
        <v>0</v>
      </c>
      <c r="D27">
        <v>0</v>
      </c>
      <c r="E27">
        <v>0</v>
      </c>
    </row>
    <row r="28" spans="1:5" x14ac:dyDescent="0.15">
      <c r="A28">
        <v>27</v>
      </c>
      <c r="B28" s="161" t="s">
        <v>218</v>
      </c>
      <c r="C28">
        <v>0</v>
      </c>
      <c r="D28">
        <v>0</v>
      </c>
      <c r="E28">
        <v>0</v>
      </c>
    </row>
    <row r="29" spans="1:5" x14ac:dyDescent="0.15">
      <c r="A29">
        <v>28</v>
      </c>
      <c r="B29" s="161" t="s">
        <v>219</v>
      </c>
      <c r="C29">
        <v>0</v>
      </c>
      <c r="D29">
        <v>0</v>
      </c>
      <c r="E29">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20.5" bestFit="1" customWidth="1"/>
    <col min="6" max="6" width="4.83203125" bestFit="1" customWidth="1"/>
    <col min="7" max="9" width="3.83203125" bestFit="1" customWidth="1"/>
    <col min="10" max="11" width="4.83203125" style="94"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96" customFormat="1" ht="14" thickBot="1" x14ac:dyDescent="0.2">
      <c r="D1" s="97" t="s">
        <v>8</v>
      </c>
      <c r="E1" s="97" t="s">
        <v>0</v>
      </c>
      <c r="F1" s="98" t="s">
        <v>99</v>
      </c>
      <c r="G1" s="99" t="s">
        <v>84</v>
      </c>
      <c r="H1" s="99" t="s">
        <v>85</v>
      </c>
      <c r="I1" s="99" t="s">
        <v>86</v>
      </c>
      <c r="J1" s="99" t="s">
        <v>87</v>
      </c>
      <c r="K1" s="99" t="s">
        <v>88</v>
      </c>
      <c r="L1" s="100" t="s">
        <v>89</v>
      </c>
      <c r="M1" s="100" t="s">
        <v>93</v>
      </c>
      <c r="N1" s="100" t="s">
        <v>92</v>
      </c>
      <c r="O1" s="100" t="s">
        <v>90</v>
      </c>
      <c r="P1" s="100" t="s">
        <v>91</v>
      </c>
      <c r="Q1" s="101" t="s">
        <v>94</v>
      </c>
      <c r="R1" s="101" t="s">
        <v>95</v>
      </c>
      <c r="S1" s="101" t="s">
        <v>96</v>
      </c>
      <c r="T1" s="101" t="s">
        <v>97</v>
      </c>
      <c r="U1" s="101" t="s">
        <v>98</v>
      </c>
      <c r="V1" s="99" t="s">
        <v>100</v>
      </c>
      <c r="W1" s="99" t="s">
        <v>101</v>
      </c>
      <c r="X1" s="99" t="s">
        <v>102</v>
      </c>
      <c r="Y1" s="99" t="s">
        <v>134</v>
      </c>
      <c r="Z1" s="100" t="s">
        <v>103</v>
      </c>
      <c r="AA1" s="100" t="s">
        <v>104</v>
      </c>
      <c r="AB1" s="100" t="s">
        <v>105</v>
      </c>
      <c r="AC1" s="102" t="s">
        <v>135</v>
      </c>
      <c r="AD1" s="101" t="s">
        <v>106</v>
      </c>
      <c r="AE1" s="101" t="s">
        <v>107</v>
      </c>
      <c r="AF1" s="101" t="s">
        <v>108</v>
      </c>
      <c r="AG1" s="101" t="s">
        <v>136</v>
      </c>
      <c r="AH1" s="99" t="s">
        <v>109</v>
      </c>
      <c r="AI1" s="99" t="s">
        <v>111</v>
      </c>
      <c r="AJ1" s="99" t="s">
        <v>110</v>
      </c>
      <c r="AK1" s="100" t="s">
        <v>115</v>
      </c>
      <c r="AL1" s="100" t="s">
        <v>116</v>
      </c>
      <c r="AM1" s="100" t="s">
        <v>117</v>
      </c>
      <c r="AN1" s="101" t="s">
        <v>112</v>
      </c>
      <c r="AO1" s="101" t="s">
        <v>113</v>
      </c>
      <c r="AP1" s="101" t="s">
        <v>114</v>
      </c>
    </row>
    <row r="2" spans="1:42" x14ac:dyDescent="0.15">
      <c r="A2" s="103" t="s">
        <v>74</v>
      </c>
      <c r="B2" s="104">
        <v>1</v>
      </c>
      <c r="D2">
        <v>1</v>
      </c>
      <c r="E2" s="163" t="s">
        <v>192</v>
      </c>
      <c r="F2">
        <v>0.98</v>
      </c>
      <c r="G2">
        <v>0.8</v>
      </c>
      <c r="H2">
        <v>0.8</v>
      </c>
      <c r="I2">
        <v>0.8</v>
      </c>
      <c r="J2" s="94">
        <v>0.25</v>
      </c>
      <c r="K2" s="94">
        <v>0.05</v>
      </c>
    </row>
    <row r="3" spans="1:42" x14ac:dyDescent="0.15">
      <c r="A3" s="103" t="s">
        <v>75</v>
      </c>
      <c r="B3" s="105">
        <v>1</v>
      </c>
      <c r="D3">
        <v>2</v>
      </c>
      <c r="E3" s="163" t="s">
        <v>193</v>
      </c>
      <c r="F3">
        <v>0.98</v>
      </c>
      <c r="G3">
        <v>0.8</v>
      </c>
      <c r="H3">
        <v>0.8</v>
      </c>
      <c r="I3">
        <v>0.8</v>
      </c>
      <c r="J3" s="94">
        <v>0.25</v>
      </c>
      <c r="K3" s="94">
        <v>0.05</v>
      </c>
    </row>
    <row r="4" spans="1:42" x14ac:dyDescent="0.15">
      <c r="A4" s="103" t="s">
        <v>76</v>
      </c>
      <c r="B4" s="105">
        <v>1</v>
      </c>
      <c r="D4">
        <v>3</v>
      </c>
      <c r="E4" s="163" t="s">
        <v>194</v>
      </c>
      <c r="F4">
        <v>0.98</v>
      </c>
      <c r="G4">
        <v>0.8</v>
      </c>
      <c r="H4">
        <v>0.8</v>
      </c>
      <c r="I4">
        <v>0.8</v>
      </c>
      <c r="J4" s="94">
        <v>0.25</v>
      </c>
      <c r="K4" s="94">
        <v>0.05</v>
      </c>
    </row>
    <row r="5" spans="1:42" x14ac:dyDescent="0.15">
      <c r="A5" s="103" t="s">
        <v>77</v>
      </c>
      <c r="B5" s="105">
        <v>1</v>
      </c>
      <c r="D5">
        <v>4</v>
      </c>
      <c r="E5" s="163" t="s">
        <v>195</v>
      </c>
      <c r="F5">
        <v>0.98</v>
      </c>
      <c r="G5">
        <v>0.8</v>
      </c>
      <c r="H5">
        <v>0.8</v>
      </c>
      <c r="I5">
        <v>0.8</v>
      </c>
      <c r="J5" s="94">
        <v>0.25</v>
      </c>
      <c r="K5" s="94">
        <v>0.05</v>
      </c>
    </row>
    <row r="6" spans="1:42" x14ac:dyDescent="0.15">
      <c r="A6" s="103" t="s">
        <v>78</v>
      </c>
      <c r="B6" s="105">
        <v>1</v>
      </c>
      <c r="D6">
        <v>5</v>
      </c>
      <c r="E6" s="163" t="s">
        <v>196</v>
      </c>
      <c r="F6">
        <v>0.98</v>
      </c>
      <c r="G6">
        <v>0.8</v>
      </c>
      <c r="H6">
        <v>0.8</v>
      </c>
      <c r="I6">
        <v>0.8</v>
      </c>
      <c r="J6" s="94">
        <v>0.25</v>
      </c>
      <c r="K6" s="94">
        <v>0.05</v>
      </c>
    </row>
    <row r="7" spans="1:42" x14ac:dyDescent="0.15">
      <c r="A7" s="103" t="s">
        <v>79</v>
      </c>
      <c r="B7" s="105">
        <v>1</v>
      </c>
      <c r="D7">
        <v>6</v>
      </c>
      <c r="E7" s="163" t="s">
        <v>197</v>
      </c>
      <c r="F7">
        <v>0.98</v>
      </c>
      <c r="G7">
        <v>0.8</v>
      </c>
      <c r="H7">
        <v>0.8</v>
      </c>
      <c r="I7">
        <v>0.8</v>
      </c>
      <c r="J7" s="94">
        <v>0.25</v>
      </c>
      <c r="K7" s="94">
        <v>0.05</v>
      </c>
    </row>
    <row r="8" spans="1:42" x14ac:dyDescent="0.15">
      <c r="A8" s="103" t="s">
        <v>80</v>
      </c>
      <c r="B8" s="105">
        <v>1</v>
      </c>
      <c r="D8">
        <v>7</v>
      </c>
      <c r="E8" s="163" t="s">
        <v>198</v>
      </c>
      <c r="F8">
        <v>0.98</v>
      </c>
      <c r="G8">
        <v>0.8</v>
      </c>
      <c r="H8">
        <v>0.8</v>
      </c>
      <c r="I8">
        <v>0.8</v>
      </c>
      <c r="J8" s="94">
        <v>0.25</v>
      </c>
      <c r="K8" s="94">
        <v>0.05</v>
      </c>
    </row>
    <row r="9" spans="1:42" x14ac:dyDescent="0.15">
      <c r="A9" s="103" t="s">
        <v>81</v>
      </c>
      <c r="B9" s="105">
        <v>0.1</v>
      </c>
      <c r="C9" s="54" t="s">
        <v>150</v>
      </c>
      <c r="D9">
        <v>8</v>
      </c>
      <c r="E9" s="163" t="s">
        <v>199</v>
      </c>
      <c r="F9">
        <v>0.98</v>
      </c>
      <c r="G9">
        <v>0.8</v>
      </c>
      <c r="H9">
        <v>0.8</v>
      </c>
      <c r="I9">
        <v>0.8</v>
      </c>
      <c r="J9" s="94">
        <v>0.25</v>
      </c>
      <c r="K9" s="94">
        <v>0.05</v>
      </c>
    </row>
    <row r="10" spans="1:42" ht="14" thickBot="1" x14ac:dyDescent="0.2">
      <c r="A10" s="103" t="s">
        <v>149</v>
      </c>
      <c r="B10" s="106">
        <f>1/3</f>
        <v>0.33333333333333331</v>
      </c>
      <c r="C10" s="54" t="s">
        <v>150</v>
      </c>
      <c r="D10">
        <v>9</v>
      </c>
      <c r="E10" s="163" t="s">
        <v>200</v>
      </c>
      <c r="F10">
        <v>0.98</v>
      </c>
      <c r="G10">
        <v>0.8</v>
      </c>
      <c r="H10">
        <v>0.8</v>
      </c>
      <c r="I10">
        <v>0.8</v>
      </c>
      <c r="J10" s="94">
        <v>0.25</v>
      </c>
      <c r="K10" s="94">
        <v>0.05</v>
      </c>
    </row>
    <row r="11" spans="1:42" x14ac:dyDescent="0.15">
      <c r="D11">
        <v>10</v>
      </c>
      <c r="E11" s="163" t="s">
        <v>201</v>
      </c>
      <c r="F11">
        <v>0.98</v>
      </c>
      <c r="G11">
        <v>0.8</v>
      </c>
      <c r="H11">
        <v>0.8</v>
      </c>
      <c r="I11">
        <v>0.8</v>
      </c>
      <c r="J11" s="94">
        <v>0.25</v>
      </c>
      <c r="K11" s="94">
        <v>0.05</v>
      </c>
    </row>
    <row r="12" spans="1:42" x14ac:dyDescent="0.15">
      <c r="D12">
        <v>11</v>
      </c>
      <c r="E12" s="163" t="s">
        <v>202</v>
      </c>
      <c r="F12">
        <v>0.98</v>
      </c>
      <c r="G12">
        <v>0.8</v>
      </c>
      <c r="H12">
        <v>0.8</v>
      </c>
      <c r="I12">
        <v>0.8</v>
      </c>
      <c r="J12" s="94">
        <v>0.25</v>
      </c>
      <c r="K12" s="94">
        <v>0.05</v>
      </c>
    </row>
    <row r="13" spans="1:42" x14ac:dyDescent="0.15">
      <c r="D13">
        <v>12</v>
      </c>
      <c r="E13" s="163" t="s">
        <v>203</v>
      </c>
      <c r="F13">
        <v>0.98</v>
      </c>
      <c r="G13">
        <v>0.8</v>
      </c>
      <c r="H13">
        <v>0.8</v>
      </c>
      <c r="I13">
        <v>0.8</v>
      </c>
      <c r="J13" s="94">
        <v>0.25</v>
      </c>
      <c r="K13" s="94">
        <v>0.05</v>
      </c>
    </row>
    <row r="14" spans="1:42" x14ac:dyDescent="0.15">
      <c r="D14">
        <v>13</v>
      </c>
      <c r="E14" s="163" t="s">
        <v>204</v>
      </c>
      <c r="F14">
        <v>0.98</v>
      </c>
      <c r="G14">
        <v>0.8</v>
      </c>
      <c r="H14">
        <v>0.8</v>
      </c>
      <c r="I14">
        <v>0.8</v>
      </c>
      <c r="J14" s="94">
        <v>0.25</v>
      </c>
      <c r="K14" s="94">
        <v>0.05</v>
      </c>
    </row>
    <row r="15" spans="1:42" x14ac:dyDescent="0.15">
      <c r="D15">
        <v>14</v>
      </c>
      <c r="E15" s="163" t="s">
        <v>205</v>
      </c>
      <c r="F15">
        <v>0.98</v>
      </c>
      <c r="G15">
        <v>0.8</v>
      </c>
      <c r="H15">
        <v>0.8</v>
      </c>
      <c r="I15">
        <v>0.8</v>
      </c>
      <c r="J15" s="94">
        <v>0.25</v>
      </c>
      <c r="K15" s="94">
        <v>0.05</v>
      </c>
    </row>
    <row r="16" spans="1:42" x14ac:dyDescent="0.15">
      <c r="D16">
        <v>15</v>
      </c>
      <c r="E16" s="163" t="s">
        <v>206</v>
      </c>
      <c r="F16">
        <v>0.98</v>
      </c>
      <c r="G16">
        <v>0.8</v>
      </c>
      <c r="H16">
        <v>0.8</v>
      </c>
      <c r="I16">
        <v>0.8</v>
      </c>
      <c r="J16" s="94">
        <v>0.25</v>
      </c>
      <c r="K16" s="94">
        <v>0.05</v>
      </c>
    </row>
    <row r="17" spans="4:33" ht="15" customHeight="1" x14ac:dyDescent="0.15">
      <c r="D17">
        <v>16</v>
      </c>
      <c r="E17" s="163" t="s">
        <v>207</v>
      </c>
      <c r="F17">
        <v>0.98</v>
      </c>
      <c r="G17">
        <v>0.8</v>
      </c>
      <c r="H17">
        <v>0.8</v>
      </c>
      <c r="I17">
        <v>0.8</v>
      </c>
      <c r="J17" s="94">
        <v>0.25</v>
      </c>
      <c r="K17" s="94">
        <v>0.05</v>
      </c>
    </row>
    <row r="18" spans="4:33" ht="15" customHeight="1" x14ac:dyDescent="0.15">
      <c r="D18">
        <v>17</v>
      </c>
      <c r="E18" s="163" t="s">
        <v>208</v>
      </c>
      <c r="F18">
        <v>0.98</v>
      </c>
      <c r="G18">
        <v>0.8</v>
      </c>
      <c r="H18">
        <v>0.8</v>
      </c>
      <c r="I18">
        <v>0.8</v>
      </c>
      <c r="J18" s="94">
        <v>0.25</v>
      </c>
      <c r="K18" s="94">
        <v>0.05</v>
      </c>
    </row>
    <row r="19" spans="4:33" ht="15" customHeight="1" x14ac:dyDescent="0.15">
      <c r="D19">
        <v>18</v>
      </c>
      <c r="E19" s="163" t="s">
        <v>209</v>
      </c>
      <c r="F19">
        <v>0.98</v>
      </c>
      <c r="G19">
        <v>0.8</v>
      </c>
      <c r="H19">
        <v>0.8</v>
      </c>
      <c r="I19">
        <v>0.8</v>
      </c>
      <c r="J19" s="94">
        <v>0.25</v>
      </c>
      <c r="K19" s="94">
        <v>0.05</v>
      </c>
    </row>
    <row r="20" spans="4:33" ht="15" customHeight="1" x14ac:dyDescent="0.15">
      <c r="D20">
        <v>19</v>
      </c>
      <c r="E20" s="163" t="s">
        <v>210</v>
      </c>
      <c r="F20">
        <v>0.98</v>
      </c>
      <c r="G20">
        <v>0.8</v>
      </c>
      <c r="H20">
        <v>0.8</v>
      </c>
      <c r="I20">
        <v>0.8</v>
      </c>
      <c r="J20" s="94">
        <v>0.25</v>
      </c>
      <c r="K20" s="94">
        <v>0.05</v>
      </c>
    </row>
    <row r="21" spans="4:33" ht="15" customHeight="1" x14ac:dyDescent="0.15">
      <c r="D21">
        <v>20</v>
      </c>
      <c r="E21" s="163" t="s">
        <v>211</v>
      </c>
      <c r="F21">
        <v>0.98</v>
      </c>
      <c r="G21">
        <v>0.8</v>
      </c>
      <c r="H21">
        <v>0.8</v>
      </c>
      <c r="I21">
        <v>0.8</v>
      </c>
      <c r="J21" s="94">
        <v>0.25</v>
      </c>
      <c r="K21" s="94">
        <v>0.05</v>
      </c>
    </row>
    <row r="22" spans="4:33" ht="15" customHeight="1" x14ac:dyDescent="0.15">
      <c r="D22">
        <v>21</v>
      </c>
      <c r="E22" s="163" t="s">
        <v>212</v>
      </c>
      <c r="F22">
        <v>0.98</v>
      </c>
      <c r="G22">
        <v>0.8</v>
      </c>
      <c r="H22">
        <v>0.8</v>
      </c>
      <c r="I22">
        <v>0.8</v>
      </c>
      <c r="J22" s="94">
        <v>0.25</v>
      </c>
      <c r="K22" s="94">
        <v>0.05</v>
      </c>
    </row>
    <row r="23" spans="4:33" ht="15" customHeight="1" x14ac:dyDescent="0.15">
      <c r="D23">
        <v>22</v>
      </c>
      <c r="E23" s="163" t="s">
        <v>213</v>
      </c>
      <c r="F23">
        <v>0.98</v>
      </c>
      <c r="G23">
        <v>0.8</v>
      </c>
      <c r="H23">
        <v>0.8</v>
      </c>
      <c r="I23">
        <v>0.8</v>
      </c>
      <c r="J23" s="94">
        <v>0.25</v>
      </c>
      <c r="K23" s="94">
        <v>0.05</v>
      </c>
    </row>
    <row r="24" spans="4:33" ht="15" customHeight="1" x14ac:dyDescent="0.15">
      <c r="D24">
        <v>23</v>
      </c>
      <c r="E24" s="163" t="s">
        <v>214</v>
      </c>
      <c r="F24">
        <v>0.98</v>
      </c>
      <c r="G24">
        <v>0.8</v>
      </c>
      <c r="H24">
        <v>0.8</v>
      </c>
      <c r="I24">
        <v>0.8</v>
      </c>
      <c r="J24" s="94">
        <v>0.25</v>
      </c>
      <c r="K24" s="94">
        <v>0.05</v>
      </c>
    </row>
    <row r="25" spans="4:33" ht="15" customHeight="1" x14ac:dyDescent="0.15">
      <c r="D25">
        <v>24</v>
      </c>
      <c r="E25" s="163" t="s">
        <v>215</v>
      </c>
      <c r="F25">
        <v>0.98</v>
      </c>
      <c r="G25">
        <v>0.8</v>
      </c>
      <c r="H25">
        <v>0.8</v>
      </c>
      <c r="I25">
        <v>0</v>
      </c>
      <c r="J25" s="94">
        <v>0</v>
      </c>
      <c r="K25" s="94">
        <v>0</v>
      </c>
    </row>
    <row r="26" spans="4:33" ht="15" customHeight="1" x14ac:dyDescent="0.15">
      <c r="D26">
        <v>25</v>
      </c>
      <c r="E26" s="163" t="s">
        <v>216</v>
      </c>
      <c r="F26">
        <v>0.98</v>
      </c>
      <c r="G26">
        <v>0.8</v>
      </c>
      <c r="H26">
        <v>0.8</v>
      </c>
      <c r="I26">
        <v>0.8</v>
      </c>
      <c r="J26" s="94">
        <v>0.25</v>
      </c>
      <c r="K26" s="94">
        <v>0.05</v>
      </c>
    </row>
    <row r="27" spans="4:33" ht="15" customHeight="1" x14ac:dyDescent="0.15">
      <c r="D27">
        <v>26</v>
      </c>
      <c r="E27" s="163" t="s">
        <v>217</v>
      </c>
      <c r="F27">
        <v>0.98</v>
      </c>
      <c r="G27">
        <v>0.8</v>
      </c>
      <c r="H27">
        <v>0.8</v>
      </c>
      <c r="I27">
        <v>0</v>
      </c>
      <c r="J27" s="94">
        <v>0</v>
      </c>
      <c r="K27" s="94">
        <v>0</v>
      </c>
    </row>
    <row r="28" spans="4:33" ht="15" customHeight="1" x14ac:dyDescent="0.15">
      <c r="D28">
        <v>27</v>
      </c>
      <c r="E28" s="163" t="s">
        <v>218</v>
      </c>
      <c r="F28">
        <v>0.98</v>
      </c>
      <c r="G28">
        <v>0.8</v>
      </c>
      <c r="H28">
        <v>0</v>
      </c>
      <c r="I28">
        <v>0</v>
      </c>
      <c r="J28" s="94">
        <v>0</v>
      </c>
      <c r="K28" s="94">
        <v>0</v>
      </c>
    </row>
    <row r="29" spans="4:33" ht="15" customHeight="1" x14ac:dyDescent="0.15">
      <c r="D29">
        <v>28</v>
      </c>
      <c r="E29" s="163" t="s">
        <v>219</v>
      </c>
      <c r="F29">
        <v>0.98</v>
      </c>
      <c r="G29">
        <v>0.8</v>
      </c>
      <c r="H29">
        <v>0</v>
      </c>
      <c r="I29">
        <v>0</v>
      </c>
      <c r="J29" s="94">
        <v>0</v>
      </c>
      <c r="K29" s="94">
        <v>0</v>
      </c>
      <c r="Y29"/>
      <c r="AC29"/>
      <c r="AG29"/>
    </row>
    <row r="30" spans="4:33" ht="15" customHeight="1" x14ac:dyDescent="0.15">
      <c r="J30"/>
      <c r="K30"/>
      <c r="Y30"/>
      <c r="AC30"/>
      <c r="AG30"/>
    </row>
    <row r="31" spans="4:33" ht="15" customHeight="1" x14ac:dyDescent="0.15">
      <c r="J31"/>
      <c r="K31"/>
      <c r="Y31"/>
      <c r="AC31"/>
      <c r="AG31"/>
    </row>
    <row r="32" spans="4:33" ht="15" customHeight="1" x14ac:dyDescent="0.15">
      <c r="J32"/>
      <c r="K32"/>
      <c r="Y32"/>
      <c r="AC32"/>
      <c r="AG32"/>
    </row>
    <row r="33" spans="10:33" ht="15" customHeight="1" x14ac:dyDescent="0.15">
      <c r="J33"/>
      <c r="K33"/>
      <c r="Y33"/>
      <c r="AC33"/>
      <c r="AG33"/>
    </row>
    <row r="34" spans="10:33" ht="15" customHeight="1" x14ac:dyDescent="0.15">
      <c r="J34"/>
      <c r="K34"/>
      <c r="Y34"/>
      <c r="AC34"/>
      <c r="AG34"/>
    </row>
    <row r="35" spans="10:33" ht="15" customHeight="1" x14ac:dyDescent="0.15">
      <c r="J35"/>
      <c r="K35"/>
      <c r="Y35"/>
      <c r="AC35"/>
      <c r="AG35"/>
    </row>
    <row r="36" spans="10:33" ht="15" customHeight="1" x14ac:dyDescent="0.15">
      <c r="J36"/>
      <c r="K36"/>
      <c r="Y36"/>
      <c r="AC36"/>
      <c r="AG36"/>
    </row>
    <row r="37" spans="10:33" ht="15" customHeight="1" x14ac:dyDescent="0.15">
      <c r="J37"/>
      <c r="K37"/>
      <c r="Y37"/>
      <c r="AC37"/>
      <c r="AG37"/>
    </row>
    <row r="38" spans="10:33" ht="15" customHeight="1" x14ac:dyDescent="0.15">
      <c r="J38"/>
      <c r="K38"/>
      <c r="Y38"/>
      <c r="AC38"/>
      <c r="AG38"/>
    </row>
    <row r="39" spans="10:33" ht="15" customHeight="1" x14ac:dyDescent="0.15">
      <c r="J39"/>
      <c r="K39"/>
    </row>
    <row r="40" spans="10:33" ht="15" customHeight="1" x14ac:dyDescent="0.15">
      <c r="J40"/>
      <c r="K40"/>
      <c r="Y40"/>
      <c r="AC40"/>
      <c r="AG40"/>
    </row>
    <row r="41" spans="10:33" ht="15" customHeight="1" x14ac:dyDescent="0.15">
      <c r="J41"/>
      <c r="K41"/>
      <c r="Y41"/>
      <c r="AC41"/>
      <c r="AG41"/>
    </row>
    <row r="42" spans="10:33" ht="15" customHeight="1" x14ac:dyDescent="0.15">
      <c r="J42"/>
      <c r="K42"/>
      <c r="Y42"/>
      <c r="AC42"/>
      <c r="AG42"/>
    </row>
    <row r="43" spans="10:33" ht="15" customHeight="1" x14ac:dyDescent="0.15">
      <c r="J43"/>
      <c r="K43"/>
      <c r="Y43"/>
      <c r="AC43"/>
      <c r="AG43"/>
    </row>
    <row r="44" spans="10:33" ht="15" customHeight="1" x14ac:dyDescent="0.15">
      <c r="J44"/>
      <c r="K44"/>
      <c r="Y44"/>
      <c r="AC44"/>
      <c r="AG44"/>
    </row>
    <row r="45" spans="10:33" ht="15" customHeight="1" x14ac:dyDescent="0.15">
      <c r="J45"/>
      <c r="K45"/>
      <c r="Y45"/>
      <c r="AC45"/>
      <c r="AG45"/>
    </row>
    <row r="46" spans="10:33" ht="15" customHeight="1" x14ac:dyDescent="0.15">
      <c r="J46"/>
      <c r="K46"/>
      <c r="Y46"/>
      <c r="AC46"/>
      <c r="AG46"/>
    </row>
    <row r="47" spans="10:33" ht="15" customHeight="1" x14ac:dyDescent="0.15">
      <c r="J47"/>
      <c r="K47"/>
      <c r="Y47"/>
      <c r="AC47"/>
      <c r="AG47"/>
    </row>
    <row r="48" spans="10: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D32"/>
  <sheetViews>
    <sheetView workbookViewId="0">
      <selection activeCell="A3" sqref="A3"/>
    </sheetView>
  </sheetViews>
  <sheetFormatPr baseColWidth="10" defaultRowHeight="13" x14ac:dyDescent="0.15"/>
  <cols>
    <col min="1" max="1" width="21.6640625" style="92" bestFit="1" customWidth="1"/>
    <col min="2" max="24" width="3.83203125" style="92" customWidth="1"/>
    <col min="25" max="25" width="2.33203125" style="92" customWidth="1"/>
    <col min="26" max="26" width="3.83203125" style="92" customWidth="1"/>
    <col min="27" max="29" width="2.33203125" style="92" customWidth="1"/>
    <col min="30" max="16384" width="10.83203125" style="92"/>
  </cols>
  <sheetData>
    <row r="1" spans="1:30" x14ac:dyDescent="0.15">
      <c r="A1" s="56" t="s">
        <v>118</v>
      </c>
      <c r="B1" s="165" t="s">
        <v>192</v>
      </c>
      <c r="C1" s="165" t="s">
        <v>193</v>
      </c>
      <c r="D1" s="165" t="s">
        <v>194</v>
      </c>
      <c r="E1" s="165" t="s">
        <v>195</v>
      </c>
      <c r="F1" s="165" t="s">
        <v>196</v>
      </c>
      <c r="G1" s="165" t="s">
        <v>197</v>
      </c>
      <c r="H1" s="165" t="s">
        <v>198</v>
      </c>
      <c r="I1" s="165" t="s">
        <v>199</v>
      </c>
      <c r="J1" s="165" t="s">
        <v>200</v>
      </c>
      <c r="K1" s="165" t="s">
        <v>201</v>
      </c>
      <c r="L1" s="165" t="s">
        <v>202</v>
      </c>
      <c r="M1" s="165" t="s">
        <v>203</v>
      </c>
      <c r="N1" s="165" t="s">
        <v>204</v>
      </c>
      <c r="O1" s="165" t="s">
        <v>205</v>
      </c>
      <c r="P1" s="165" t="s">
        <v>206</v>
      </c>
      <c r="Q1" s="165" t="s">
        <v>207</v>
      </c>
      <c r="R1" s="165" t="s">
        <v>208</v>
      </c>
      <c r="S1" s="165" t="s">
        <v>209</v>
      </c>
      <c r="T1" s="165" t="s">
        <v>210</v>
      </c>
      <c r="U1" s="165" t="s">
        <v>211</v>
      </c>
      <c r="V1" s="165" t="s">
        <v>212</v>
      </c>
      <c r="W1" s="165" t="s">
        <v>213</v>
      </c>
      <c r="X1" s="165" t="s">
        <v>214</v>
      </c>
      <c r="Y1" s="165" t="s">
        <v>215</v>
      </c>
      <c r="Z1" s="165" t="s">
        <v>216</v>
      </c>
      <c r="AA1" s="165" t="s">
        <v>217</v>
      </c>
      <c r="AB1" s="165" t="s">
        <v>218</v>
      </c>
      <c r="AC1" s="165" t="s">
        <v>219</v>
      </c>
      <c r="AD1"/>
    </row>
    <row r="2" spans="1:30" customFormat="1" x14ac:dyDescent="0.15">
      <c r="A2" s="164" t="s">
        <v>192</v>
      </c>
      <c r="B2" s="92">
        <v>0</v>
      </c>
      <c r="C2" s="92">
        <v>0</v>
      </c>
      <c r="D2" s="92">
        <v>0</v>
      </c>
      <c r="E2" s="92">
        <v>0</v>
      </c>
      <c r="F2" s="92">
        <v>0</v>
      </c>
      <c r="G2" s="92">
        <v>0</v>
      </c>
      <c r="H2" s="92">
        <v>0</v>
      </c>
      <c r="I2" s="92">
        <v>0</v>
      </c>
      <c r="J2" s="92">
        <v>0</v>
      </c>
      <c r="K2" s="92">
        <v>0</v>
      </c>
      <c r="L2" s="92">
        <v>0</v>
      </c>
      <c r="M2" s="92">
        <v>0</v>
      </c>
      <c r="N2" s="92">
        <v>0</v>
      </c>
      <c r="O2" s="92">
        <v>0</v>
      </c>
      <c r="P2" s="92">
        <v>0</v>
      </c>
      <c r="Q2" s="92">
        <v>0</v>
      </c>
      <c r="R2" s="92">
        <v>0</v>
      </c>
      <c r="S2" s="92">
        <v>0</v>
      </c>
      <c r="T2" s="92">
        <v>0</v>
      </c>
      <c r="U2" s="92">
        <v>0</v>
      </c>
      <c r="V2" s="92">
        <v>0</v>
      </c>
      <c r="W2" s="92">
        <v>0</v>
      </c>
      <c r="X2" s="92">
        <v>0</v>
      </c>
      <c r="Y2" s="92">
        <v>0</v>
      </c>
      <c r="Z2" s="92">
        <v>0</v>
      </c>
      <c r="AA2" s="92">
        <v>0</v>
      </c>
      <c r="AB2" s="92">
        <v>0</v>
      </c>
      <c r="AC2" s="92">
        <v>0</v>
      </c>
    </row>
    <row r="3" spans="1:30" customFormat="1" x14ac:dyDescent="0.15">
      <c r="A3" s="164" t="s">
        <v>193</v>
      </c>
      <c r="B3" s="92">
        <v>0</v>
      </c>
      <c r="C3" s="92">
        <v>0</v>
      </c>
      <c r="D3" s="92">
        <v>0</v>
      </c>
      <c r="E3" s="92">
        <v>0</v>
      </c>
      <c r="F3" s="92">
        <v>0</v>
      </c>
      <c r="G3" s="92">
        <v>0</v>
      </c>
      <c r="H3" s="92">
        <v>0</v>
      </c>
      <c r="I3" s="92">
        <v>0</v>
      </c>
      <c r="J3" s="92">
        <v>0</v>
      </c>
      <c r="K3" s="92">
        <v>0</v>
      </c>
      <c r="L3" s="92">
        <v>0</v>
      </c>
      <c r="M3" s="92">
        <v>0</v>
      </c>
      <c r="N3" s="92">
        <v>0</v>
      </c>
      <c r="O3" s="92">
        <v>0</v>
      </c>
      <c r="P3" s="92">
        <v>0</v>
      </c>
      <c r="Q3" s="92">
        <v>0</v>
      </c>
      <c r="R3" s="92">
        <v>0</v>
      </c>
      <c r="S3" s="92">
        <v>0</v>
      </c>
      <c r="T3" s="92">
        <v>0</v>
      </c>
      <c r="U3" s="92">
        <v>0</v>
      </c>
      <c r="V3" s="92">
        <v>0</v>
      </c>
      <c r="W3" s="92">
        <v>0</v>
      </c>
      <c r="X3" s="92">
        <v>0</v>
      </c>
      <c r="Y3" s="92">
        <v>0</v>
      </c>
      <c r="Z3" s="92">
        <v>0</v>
      </c>
      <c r="AA3" s="92">
        <v>0</v>
      </c>
      <c r="AB3" s="92">
        <v>0</v>
      </c>
      <c r="AC3" s="92">
        <v>0</v>
      </c>
    </row>
    <row r="4" spans="1:30" customFormat="1" x14ac:dyDescent="0.15">
      <c r="A4" s="164" t="s">
        <v>194</v>
      </c>
      <c r="B4" s="92">
        <v>0</v>
      </c>
      <c r="C4" s="92">
        <v>0</v>
      </c>
      <c r="D4" s="92">
        <v>0</v>
      </c>
      <c r="E4" s="92">
        <v>0</v>
      </c>
      <c r="F4" s="92">
        <v>0</v>
      </c>
      <c r="G4" s="92">
        <v>0</v>
      </c>
      <c r="H4" s="92">
        <v>0</v>
      </c>
      <c r="I4" s="92">
        <v>0</v>
      </c>
      <c r="J4" s="92">
        <v>0</v>
      </c>
      <c r="K4" s="92">
        <v>0</v>
      </c>
      <c r="L4" s="92">
        <v>0</v>
      </c>
      <c r="M4" s="92">
        <v>0</v>
      </c>
      <c r="N4" s="92">
        <v>0</v>
      </c>
      <c r="O4" s="92">
        <v>0</v>
      </c>
      <c r="P4" s="92">
        <v>0</v>
      </c>
      <c r="Q4" s="92">
        <v>0</v>
      </c>
      <c r="R4" s="92">
        <v>0</v>
      </c>
      <c r="S4" s="92">
        <v>0</v>
      </c>
      <c r="T4" s="92">
        <v>0</v>
      </c>
      <c r="U4" s="92">
        <v>0</v>
      </c>
      <c r="V4" s="92">
        <v>0</v>
      </c>
      <c r="W4" s="92">
        <v>0</v>
      </c>
      <c r="X4" s="92">
        <v>0</v>
      </c>
      <c r="Y4" s="92">
        <v>0</v>
      </c>
      <c r="Z4" s="92">
        <v>0</v>
      </c>
      <c r="AA4" s="92">
        <v>0</v>
      </c>
      <c r="AB4" s="92">
        <v>0</v>
      </c>
      <c r="AC4" s="92">
        <v>0</v>
      </c>
    </row>
    <row r="5" spans="1:30" customFormat="1" x14ac:dyDescent="0.15">
      <c r="A5" s="164" t="s">
        <v>195</v>
      </c>
      <c r="B5" s="92">
        <v>0</v>
      </c>
      <c r="C5" s="92">
        <v>0</v>
      </c>
      <c r="D5" s="92">
        <v>0</v>
      </c>
      <c r="E5" s="92">
        <v>0</v>
      </c>
      <c r="F5" s="92">
        <v>0</v>
      </c>
      <c r="G5" s="92">
        <v>0</v>
      </c>
      <c r="H5" s="92">
        <v>0</v>
      </c>
      <c r="I5" s="92">
        <v>0</v>
      </c>
      <c r="J5" s="92">
        <v>0</v>
      </c>
      <c r="K5" s="92">
        <v>0</v>
      </c>
      <c r="L5" s="92">
        <v>0</v>
      </c>
      <c r="M5" s="92">
        <v>0</v>
      </c>
      <c r="N5" s="92">
        <v>0</v>
      </c>
      <c r="O5" s="92">
        <v>0</v>
      </c>
      <c r="P5" s="92">
        <v>0</v>
      </c>
      <c r="Q5" s="92">
        <v>0</v>
      </c>
      <c r="R5" s="92">
        <v>0</v>
      </c>
      <c r="S5" s="92">
        <v>0</v>
      </c>
      <c r="T5" s="92">
        <v>0</v>
      </c>
      <c r="U5" s="92">
        <v>0</v>
      </c>
      <c r="V5" s="92">
        <v>0</v>
      </c>
      <c r="W5" s="92">
        <v>0</v>
      </c>
      <c r="X5" s="92">
        <v>0</v>
      </c>
      <c r="Y5" s="92">
        <v>0</v>
      </c>
      <c r="Z5" s="92">
        <v>0</v>
      </c>
      <c r="AA5" s="92">
        <v>0</v>
      </c>
      <c r="AB5" s="92">
        <v>0</v>
      </c>
      <c r="AC5" s="92">
        <v>0</v>
      </c>
    </row>
    <row r="6" spans="1:30" customFormat="1" x14ac:dyDescent="0.15">
      <c r="A6" s="164" t="s">
        <v>196</v>
      </c>
      <c r="B6" s="92">
        <v>0</v>
      </c>
      <c r="C6" s="92">
        <v>0</v>
      </c>
      <c r="D6" s="92">
        <v>0</v>
      </c>
      <c r="E6" s="92">
        <v>0</v>
      </c>
      <c r="F6" s="92">
        <v>0</v>
      </c>
      <c r="G6" s="92">
        <v>0</v>
      </c>
      <c r="H6" s="92">
        <v>0</v>
      </c>
      <c r="I6" s="92">
        <v>0</v>
      </c>
      <c r="J6" s="92">
        <v>0</v>
      </c>
      <c r="K6" s="92">
        <v>0</v>
      </c>
      <c r="L6" s="92">
        <v>0</v>
      </c>
      <c r="M6" s="92">
        <v>0</v>
      </c>
      <c r="N6" s="92">
        <v>0</v>
      </c>
      <c r="O6" s="92">
        <v>0</v>
      </c>
      <c r="P6" s="92">
        <v>0</v>
      </c>
      <c r="Q6" s="92">
        <v>0</v>
      </c>
      <c r="R6" s="92">
        <v>0</v>
      </c>
      <c r="S6" s="92">
        <v>0</v>
      </c>
      <c r="T6" s="92">
        <v>0</v>
      </c>
      <c r="U6" s="92">
        <v>0</v>
      </c>
      <c r="V6" s="92">
        <v>0</v>
      </c>
      <c r="W6" s="92">
        <v>0</v>
      </c>
      <c r="X6" s="92">
        <v>0</v>
      </c>
      <c r="Y6" s="92">
        <v>0</v>
      </c>
      <c r="Z6" s="92">
        <v>0</v>
      </c>
      <c r="AA6" s="92">
        <v>0</v>
      </c>
      <c r="AB6" s="92">
        <v>0</v>
      </c>
      <c r="AC6" s="92">
        <v>0</v>
      </c>
    </row>
    <row r="7" spans="1:30" customFormat="1" x14ac:dyDescent="0.15">
      <c r="A7" s="164" t="s">
        <v>197</v>
      </c>
      <c r="B7" s="92">
        <v>0</v>
      </c>
      <c r="C7" s="92">
        <v>0</v>
      </c>
      <c r="D7" s="92">
        <v>0</v>
      </c>
      <c r="E7" s="92">
        <v>0</v>
      </c>
      <c r="F7" s="92">
        <v>0</v>
      </c>
      <c r="G7" s="92">
        <v>0</v>
      </c>
      <c r="H7" s="92">
        <v>0</v>
      </c>
      <c r="I7" s="92">
        <v>0</v>
      </c>
      <c r="J7" s="92">
        <v>0</v>
      </c>
      <c r="K7" s="92">
        <v>0</v>
      </c>
      <c r="L7" s="92">
        <v>0</v>
      </c>
      <c r="M7" s="92">
        <v>0</v>
      </c>
      <c r="N7" s="92">
        <v>0</v>
      </c>
      <c r="O7" s="92">
        <v>0</v>
      </c>
      <c r="P7" s="92">
        <v>0</v>
      </c>
      <c r="Q7" s="92">
        <v>0</v>
      </c>
      <c r="R7" s="92">
        <v>0</v>
      </c>
      <c r="S7" s="92">
        <v>0</v>
      </c>
      <c r="T7" s="92">
        <v>0</v>
      </c>
      <c r="U7" s="92">
        <v>0</v>
      </c>
      <c r="V7" s="92">
        <v>0</v>
      </c>
      <c r="W7" s="92">
        <v>0</v>
      </c>
      <c r="X7" s="92">
        <v>0</v>
      </c>
      <c r="Y7" s="92">
        <v>0</v>
      </c>
      <c r="Z7" s="92">
        <v>0</v>
      </c>
      <c r="AA7" s="92">
        <v>0</v>
      </c>
      <c r="AB7" s="92">
        <v>0</v>
      </c>
      <c r="AC7" s="92">
        <v>0</v>
      </c>
    </row>
    <row r="8" spans="1:30" customFormat="1" x14ac:dyDescent="0.15">
      <c r="A8" s="164" t="s">
        <v>198</v>
      </c>
      <c r="B8" s="92">
        <v>0</v>
      </c>
      <c r="C8" s="92">
        <v>0</v>
      </c>
      <c r="D8" s="92">
        <v>0</v>
      </c>
      <c r="E8" s="92">
        <v>0</v>
      </c>
      <c r="F8" s="92">
        <v>0</v>
      </c>
      <c r="G8" s="92">
        <v>0</v>
      </c>
      <c r="H8" s="92">
        <v>0</v>
      </c>
      <c r="I8" s="92">
        <v>0</v>
      </c>
      <c r="J8" s="92">
        <v>0</v>
      </c>
      <c r="K8" s="92">
        <v>0</v>
      </c>
      <c r="L8" s="92">
        <v>0</v>
      </c>
      <c r="M8" s="92">
        <v>0</v>
      </c>
      <c r="N8" s="92">
        <v>0</v>
      </c>
      <c r="O8" s="92">
        <v>0</v>
      </c>
      <c r="P8" s="92">
        <v>0</v>
      </c>
      <c r="Q8" s="92">
        <v>0</v>
      </c>
      <c r="R8" s="92">
        <v>0</v>
      </c>
      <c r="S8" s="92">
        <v>0</v>
      </c>
      <c r="T8" s="92">
        <v>0</v>
      </c>
      <c r="U8" s="92">
        <v>0</v>
      </c>
      <c r="V8" s="92">
        <v>0</v>
      </c>
      <c r="W8" s="92">
        <v>0</v>
      </c>
      <c r="X8" s="92">
        <v>0</v>
      </c>
      <c r="Y8" s="92">
        <v>0</v>
      </c>
      <c r="Z8" s="92">
        <v>0</v>
      </c>
      <c r="AA8" s="92">
        <v>0</v>
      </c>
      <c r="AB8" s="92">
        <v>0</v>
      </c>
      <c r="AC8" s="92">
        <v>0</v>
      </c>
    </row>
    <row r="9" spans="1:30" customFormat="1" x14ac:dyDescent="0.15">
      <c r="A9" s="164" t="s">
        <v>199</v>
      </c>
      <c r="B9" s="92">
        <v>0</v>
      </c>
      <c r="C9" s="92">
        <v>0</v>
      </c>
      <c r="D9" s="92">
        <v>0</v>
      </c>
      <c r="E9" s="92">
        <v>0</v>
      </c>
      <c r="F9" s="92">
        <v>0</v>
      </c>
      <c r="G9" s="92">
        <v>0</v>
      </c>
      <c r="H9" s="92">
        <v>0</v>
      </c>
      <c r="I9" s="92">
        <v>0</v>
      </c>
      <c r="J9" s="92">
        <v>0</v>
      </c>
      <c r="K9" s="92">
        <v>0</v>
      </c>
      <c r="L9" s="92">
        <v>0</v>
      </c>
      <c r="M9" s="92">
        <v>0</v>
      </c>
      <c r="N9" s="92">
        <v>0</v>
      </c>
      <c r="O9" s="92">
        <v>0</v>
      </c>
      <c r="P9" s="92">
        <v>0</v>
      </c>
      <c r="Q9" s="92">
        <v>0</v>
      </c>
      <c r="R9" s="92">
        <v>0</v>
      </c>
      <c r="S9" s="92">
        <v>0</v>
      </c>
      <c r="T9" s="92">
        <v>0</v>
      </c>
      <c r="U9" s="92">
        <v>0</v>
      </c>
      <c r="V9" s="92">
        <v>0</v>
      </c>
      <c r="W9" s="92">
        <v>0</v>
      </c>
      <c r="X9" s="92">
        <v>0</v>
      </c>
      <c r="Y9" s="92">
        <v>0</v>
      </c>
      <c r="Z9" s="92">
        <v>0</v>
      </c>
      <c r="AA9" s="92">
        <v>0</v>
      </c>
      <c r="AB9" s="92">
        <v>0</v>
      </c>
      <c r="AC9" s="92">
        <v>0</v>
      </c>
    </row>
    <row r="10" spans="1:30" customFormat="1" x14ac:dyDescent="0.15">
      <c r="A10" s="164" t="s">
        <v>200</v>
      </c>
      <c r="B10" s="92">
        <v>0</v>
      </c>
      <c r="C10" s="92">
        <v>0</v>
      </c>
      <c r="D10" s="92">
        <v>0</v>
      </c>
      <c r="E10" s="92">
        <v>0</v>
      </c>
      <c r="F10" s="92">
        <v>0</v>
      </c>
      <c r="G10" s="92">
        <v>0</v>
      </c>
      <c r="H10" s="92">
        <v>0</v>
      </c>
      <c r="I10" s="92">
        <v>0</v>
      </c>
      <c r="J10" s="92">
        <v>0</v>
      </c>
      <c r="K10" s="92">
        <v>0</v>
      </c>
      <c r="L10" s="92">
        <v>0</v>
      </c>
      <c r="M10" s="92">
        <v>0</v>
      </c>
      <c r="N10" s="92">
        <v>0</v>
      </c>
      <c r="O10" s="92">
        <v>0</v>
      </c>
      <c r="P10" s="92">
        <v>0</v>
      </c>
      <c r="Q10" s="92">
        <v>0</v>
      </c>
      <c r="R10" s="92">
        <v>0</v>
      </c>
      <c r="S10" s="92">
        <v>0</v>
      </c>
      <c r="T10" s="92">
        <v>0</v>
      </c>
      <c r="U10" s="92">
        <v>0</v>
      </c>
      <c r="V10" s="92">
        <v>0</v>
      </c>
      <c r="W10" s="92">
        <v>0</v>
      </c>
      <c r="X10" s="92">
        <v>0</v>
      </c>
      <c r="Y10" s="92">
        <v>0</v>
      </c>
      <c r="Z10" s="92">
        <v>0</v>
      </c>
      <c r="AA10" s="92">
        <v>0</v>
      </c>
      <c r="AB10" s="92">
        <v>0</v>
      </c>
      <c r="AC10" s="92">
        <v>0</v>
      </c>
    </row>
    <row r="11" spans="1:30" customFormat="1" x14ac:dyDescent="0.15">
      <c r="A11" s="164" t="s">
        <v>201</v>
      </c>
      <c r="B11" s="92">
        <v>0</v>
      </c>
      <c r="C11" s="92">
        <v>0</v>
      </c>
      <c r="D11" s="92">
        <v>0</v>
      </c>
      <c r="E11" s="92">
        <v>0</v>
      </c>
      <c r="F11" s="92">
        <v>0</v>
      </c>
      <c r="G11" s="92">
        <v>0</v>
      </c>
      <c r="H11" s="92">
        <v>0</v>
      </c>
      <c r="I11" s="92">
        <v>0</v>
      </c>
      <c r="J11" s="92">
        <v>0.8</v>
      </c>
      <c r="K11" s="92">
        <v>0</v>
      </c>
      <c r="L11" s="92">
        <v>0</v>
      </c>
      <c r="M11" s="92">
        <v>0</v>
      </c>
      <c r="N11" s="92">
        <v>0</v>
      </c>
      <c r="O11" s="92">
        <v>0</v>
      </c>
      <c r="P11" s="92">
        <v>0</v>
      </c>
      <c r="Q11" s="92">
        <v>0</v>
      </c>
      <c r="R11" s="92">
        <v>0</v>
      </c>
      <c r="S11" s="92">
        <v>0</v>
      </c>
      <c r="T11" s="92">
        <v>0</v>
      </c>
      <c r="U11" s="92">
        <v>0</v>
      </c>
      <c r="V11" s="92">
        <v>0</v>
      </c>
      <c r="W11" s="92">
        <v>0</v>
      </c>
      <c r="X11" s="92">
        <v>0</v>
      </c>
      <c r="Y11" s="92">
        <v>0</v>
      </c>
      <c r="Z11" s="92">
        <v>0</v>
      </c>
      <c r="AA11" s="92">
        <v>0</v>
      </c>
      <c r="AB11" s="92">
        <v>0</v>
      </c>
      <c r="AC11" s="92">
        <v>0</v>
      </c>
    </row>
    <row r="12" spans="1:30" customFormat="1" x14ac:dyDescent="0.15">
      <c r="A12" s="164" t="s">
        <v>202</v>
      </c>
      <c r="B12" s="92">
        <v>0</v>
      </c>
      <c r="C12" s="92">
        <v>0</v>
      </c>
      <c r="D12" s="92">
        <v>0</v>
      </c>
      <c r="E12" s="92">
        <v>0</v>
      </c>
      <c r="F12" s="92">
        <v>0</v>
      </c>
      <c r="G12" s="92">
        <v>0</v>
      </c>
      <c r="H12" s="92">
        <v>0</v>
      </c>
      <c r="I12" s="92">
        <v>0</v>
      </c>
      <c r="J12" s="92">
        <v>0</v>
      </c>
      <c r="K12" s="92">
        <v>0</v>
      </c>
      <c r="L12" s="92">
        <v>0</v>
      </c>
      <c r="M12" s="92">
        <v>0</v>
      </c>
      <c r="N12" s="92">
        <v>0</v>
      </c>
      <c r="O12" s="92">
        <v>0</v>
      </c>
      <c r="P12" s="92">
        <v>0</v>
      </c>
      <c r="Q12" s="92">
        <v>0</v>
      </c>
      <c r="R12" s="92">
        <v>0</v>
      </c>
      <c r="S12" s="92">
        <v>0</v>
      </c>
      <c r="T12" s="92">
        <v>0</v>
      </c>
      <c r="U12" s="92">
        <v>0</v>
      </c>
      <c r="V12" s="92">
        <v>0</v>
      </c>
      <c r="W12" s="92">
        <v>0</v>
      </c>
      <c r="X12" s="92">
        <v>0</v>
      </c>
      <c r="Y12" s="92">
        <v>0</v>
      </c>
      <c r="Z12" s="92">
        <v>0</v>
      </c>
      <c r="AA12" s="92">
        <v>0</v>
      </c>
      <c r="AB12" s="92">
        <v>0</v>
      </c>
      <c r="AC12" s="92">
        <v>0</v>
      </c>
    </row>
    <row r="13" spans="1:30" customFormat="1" x14ac:dyDescent="0.15">
      <c r="A13" s="164" t="s">
        <v>203</v>
      </c>
      <c r="B13" s="92">
        <v>0</v>
      </c>
      <c r="C13" s="92">
        <v>0</v>
      </c>
      <c r="D13" s="92">
        <v>0</v>
      </c>
      <c r="E13" s="92">
        <v>0</v>
      </c>
      <c r="F13" s="92">
        <v>0</v>
      </c>
      <c r="G13" s="92">
        <v>0</v>
      </c>
      <c r="H13" s="92">
        <v>0</v>
      </c>
      <c r="I13" s="92">
        <v>0.8</v>
      </c>
      <c r="J13" s="92">
        <v>0.8</v>
      </c>
      <c r="K13" s="92">
        <v>0</v>
      </c>
      <c r="L13" s="92">
        <v>0</v>
      </c>
      <c r="M13" s="92">
        <v>0</v>
      </c>
      <c r="N13" s="92">
        <v>0.8</v>
      </c>
      <c r="O13" s="92">
        <v>0</v>
      </c>
      <c r="P13" s="92">
        <v>0.8</v>
      </c>
      <c r="Q13" s="92">
        <v>0</v>
      </c>
      <c r="R13" s="92">
        <v>0</v>
      </c>
      <c r="S13" s="92">
        <v>0</v>
      </c>
      <c r="T13" s="92">
        <v>0</v>
      </c>
      <c r="U13" s="92">
        <v>0</v>
      </c>
      <c r="V13" s="92">
        <v>0</v>
      </c>
      <c r="W13" s="92">
        <v>0</v>
      </c>
      <c r="X13" s="92">
        <v>0</v>
      </c>
      <c r="Y13" s="92">
        <v>0</v>
      </c>
      <c r="Z13" s="92">
        <v>0</v>
      </c>
      <c r="AA13" s="92">
        <v>0</v>
      </c>
      <c r="AB13" s="92">
        <v>0</v>
      </c>
      <c r="AC13" s="92">
        <v>0</v>
      </c>
    </row>
    <row r="14" spans="1:30" customFormat="1" x14ac:dyDescent="0.15">
      <c r="A14" s="164" t="s">
        <v>204</v>
      </c>
      <c r="B14" s="92">
        <v>0</v>
      </c>
      <c r="C14" s="92">
        <v>0</v>
      </c>
      <c r="D14" s="92">
        <v>0</v>
      </c>
      <c r="E14" s="92">
        <v>0.8</v>
      </c>
      <c r="F14" s="92">
        <v>0</v>
      </c>
      <c r="G14" s="92">
        <v>0</v>
      </c>
      <c r="H14" s="92">
        <v>0.8</v>
      </c>
      <c r="I14" s="92">
        <v>0.8</v>
      </c>
      <c r="J14" s="92">
        <v>0</v>
      </c>
      <c r="K14" s="92">
        <v>0</v>
      </c>
      <c r="L14" s="92">
        <v>0</v>
      </c>
      <c r="M14" s="92">
        <v>0</v>
      </c>
      <c r="N14" s="92">
        <v>0.8</v>
      </c>
      <c r="O14" s="92">
        <v>0</v>
      </c>
      <c r="P14" s="92">
        <v>0</v>
      </c>
      <c r="Q14" s="92">
        <v>0</v>
      </c>
      <c r="R14" s="92">
        <v>0</v>
      </c>
      <c r="S14" s="92">
        <v>0</v>
      </c>
      <c r="T14" s="92">
        <v>0</v>
      </c>
      <c r="U14" s="92">
        <v>0</v>
      </c>
      <c r="V14" s="92">
        <v>0</v>
      </c>
      <c r="W14" s="92">
        <v>0</v>
      </c>
      <c r="X14" s="92">
        <v>0</v>
      </c>
      <c r="Y14" s="92">
        <v>0</v>
      </c>
      <c r="Z14" s="92">
        <v>0</v>
      </c>
      <c r="AA14" s="92">
        <v>0</v>
      </c>
      <c r="AB14" s="92">
        <v>0</v>
      </c>
      <c r="AC14" s="92">
        <v>0</v>
      </c>
    </row>
    <row r="15" spans="1:30" customFormat="1" x14ac:dyDescent="0.15">
      <c r="A15" s="164" t="s">
        <v>205</v>
      </c>
      <c r="B15" s="92">
        <v>0.8</v>
      </c>
      <c r="C15" s="92">
        <v>0</v>
      </c>
      <c r="D15" s="92">
        <v>0.8</v>
      </c>
      <c r="E15" s="92">
        <v>0.8</v>
      </c>
      <c r="F15" s="92">
        <v>0.8</v>
      </c>
      <c r="G15" s="92">
        <v>0</v>
      </c>
      <c r="H15" s="92">
        <v>0.8</v>
      </c>
      <c r="I15" s="92">
        <v>0.8</v>
      </c>
      <c r="J15" s="92">
        <v>0.8</v>
      </c>
      <c r="K15" s="92">
        <v>0</v>
      </c>
      <c r="L15" s="92">
        <v>0</v>
      </c>
      <c r="M15" s="92">
        <v>0</v>
      </c>
      <c r="N15" s="92">
        <v>0.8</v>
      </c>
      <c r="O15" s="92">
        <v>0</v>
      </c>
      <c r="P15" s="92">
        <v>0</v>
      </c>
      <c r="Q15" s="92">
        <v>0</v>
      </c>
      <c r="R15" s="92">
        <v>0</v>
      </c>
      <c r="S15" s="92">
        <v>0</v>
      </c>
      <c r="T15" s="92">
        <v>0</v>
      </c>
      <c r="U15" s="92">
        <v>0</v>
      </c>
      <c r="V15" s="92">
        <v>0</v>
      </c>
      <c r="W15" s="92">
        <v>0</v>
      </c>
      <c r="X15" s="92">
        <v>0</v>
      </c>
      <c r="Y15" s="92">
        <v>0</v>
      </c>
      <c r="Z15" s="92">
        <v>0</v>
      </c>
      <c r="AA15" s="92">
        <v>0</v>
      </c>
      <c r="AB15" s="92">
        <v>0</v>
      </c>
      <c r="AC15" s="92">
        <v>0</v>
      </c>
    </row>
    <row r="16" spans="1:30" customFormat="1" x14ac:dyDescent="0.15">
      <c r="A16" s="164" t="s">
        <v>206</v>
      </c>
      <c r="B16" s="92">
        <v>0</v>
      </c>
      <c r="C16" s="92">
        <v>0</v>
      </c>
      <c r="D16" s="92">
        <v>0</v>
      </c>
      <c r="E16" s="92">
        <v>0</v>
      </c>
      <c r="F16" s="92">
        <v>0</v>
      </c>
      <c r="G16" s="92">
        <v>0</v>
      </c>
      <c r="H16" s="92">
        <v>0</v>
      </c>
      <c r="I16" s="92">
        <v>0</v>
      </c>
      <c r="J16" s="92">
        <v>0</v>
      </c>
      <c r="K16" s="92">
        <v>0</v>
      </c>
      <c r="L16" s="92">
        <v>0</v>
      </c>
      <c r="M16" s="92">
        <v>0.8</v>
      </c>
      <c r="N16" s="92">
        <v>0</v>
      </c>
      <c r="O16" s="92">
        <v>0</v>
      </c>
      <c r="P16" s="92">
        <v>0</v>
      </c>
      <c r="Q16" s="92">
        <v>0</v>
      </c>
      <c r="R16" s="92">
        <v>0.8</v>
      </c>
      <c r="S16" s="92">
        <v>0.8</v>
      </c>
      <c r="T16" s="92">
        <v>0</v>
      </c>
      <c r="U16" s="92">
        <v>0</v>
      </c>
      <c r="V16" s="92">
        <v>0</v>
      </c>
      <c r="W16" s="92">
        <v>0</v>
      </c>
      <c r="X16" s="92">
        <v>0</v>
      </c>
      <c r="Y16" s="92">
        <v>0</v>
      </c>
      <c r="Z16" s="92">
        <v>0</v>
      </c>
      <c r="AA16" s="92">
        <v>0</v>
      </c>
      <c r="AB16" s="92">
        <v>0</v>
      </c>
      <c r="AC16" s="92">
        <v>0</v>
      </c>
    </row>
    <row r="17" spans="1:29" customFormat="1" x14ac:dyDescent="0.15">
      <c r="A17" s="164" t="s">
        <v>207</v>
      </c>
      <c r="B17" s="92">
        <v>0</v>
      </c>
      <c r="C17" s="92">
        <v>0</v>
      </c>
      <c r="D17" s="92">
        <v>0</v>
      </c>
      <c r="E17" s="92">
        <v>0</v>
      </c>
      <c r="F17" s="92">
        <v>0</v>
      </c>
      <c r="G17" s="92">
        <v>0</v>
      </c>
      <c r="H17" s="92">
        <v>0</v>
      </c>
      <c r="I17" s="92">
        <v>0</v>
      </c>
      <c r="J17" s="92">
        <v>0</v>
      </c>
      <c r="K17" s="92">
        <v>0</v>
      </c>
      <c r="L17" s="92">
        <v>0</v>
      </c>
      <c r="M17" s="92">
        <v>0.8</v>
      </c>
      <c r="N17" s="92">
        <v>0</v>
      </c>
      <c r="O17" s="92">
        <v>0</v>
      </c>
      <c r="P17" s="92">
        <v>0</v>
      </c>
      <c r="Q17" s="92">
        <v>0</v>
      </c>
      <c r="R17" s="92">
        <v>0.8</v>
      </c>
      <c r="S17" s="92">
        <v>0.8</v>
      </c>
      <c r="T17" s="92">
        <v>0</v>
      </c>
      <c r="U17" s="92">
        <v>0</v>
      </c>
      <c r="V17" s="92">
        <v>0</v>
      </c>
      <c r="W17" s="92">
        <v>0</v>
      </c>
      <c r="X17" s="92">
        <v>0</v>
      </c>
      <c r="Y17" s="92">
        <v>0</v>
      </c>
      <c r="Z17" s="92">
        <v>0</v>
      </c>
      <c r="AA17" s="92">
        <v>0</v>
      </c>
      <c r="AB17" s="92">
        <v>0</v>
      </c>
      <c r="AC17" s="92">
        <v>0</v>
      </c>
    </row>
    <row r="18" spans="1:29" customFormat="1" x14ac:dyDescent="0.15">
      <c r="A18" s="164" t="s">
        <v>208</v>
      </c>
      <c r="B18" s="92">
        <v>0</v>
      </c>
      <c r="C18" s="92">
        <v>0</v>
      </c>
      <c r="D18" s="92">
        <v>0</v>
      </c>
      <c r="E18" s="92">
        <v>0</v>
      </c>
      <c r="F18" s="92">
        <v>0</v>
      </c>
      <c r="G18" s="92">
        <v>0</v>
      </c>
      <c r="H18" s="92">
        <v>0</v>
      </c>
      <c r="I18" s="92">
        <v>0</v>
      </c>
      <c r="J18" s="92">
        <v>0</v>
      </c>
      <c r="K18" s="92">
        <v>0</v>
      </c>
      <c r="L18" s="92">
        <v>0</v>
      </c>
      <c r="M18" s="92">
        <v>0</v>
      </c>
      <c r="N18" s="92">
        <v>0</v>
      </c>
      <c r="O18" s="92">
        <v>0</v>
      </c>
      <c r="P18" s="92">
        <v>0</v>
      </c>
      <c r="Q18" s="92">
        <v>0</v>
      </c>
      <c r="R18" s="92">
        <v>0</v>
      </c>
      <c r="S18" s="92">
        <v>0</v>
      </c>
      <c r="T18" s="92">
        <v>0</v>
      </c>
      <c r="U18" s="92">
        <v>0</v>
      </c>
      <c r="V18" s="92">
        <v>0</v>
      </c>
      <c r="W18" s="92">
        <v>0</v>
      </c>
      <c r="X18" s="92">
        <v>0</v>
      </c>
      <c r="Y18" s="92">
        <v>0</v>
      </c>
      <c r="Z18" s="92">
        <v>0</v>
      </c>
      <c r="AA18" s="92">
        <v>0</v>
      </c>
      <c r="AB18" s="92">
        <v>0</v>
      </c>
      <c r="AC18" s="92">
        <v>0</v>
      </c>
    </row>
    <row r="19" spans="1:29" customFormat="1" x14ac:dyDescent="0.15">
      <c r="A19" s="164" t="s">
        <v>209</v>
      </c>
      <c r="B19" s="92">
        <v>0.8</v>
      </c>
      <c r="C19" s="92">
        <v>0.8</v>
      </c>
      <c r="D19" s="92">
        <v>0.8</v>
      </c>
      <c r="E19" s="92">
        <v>0</v>
      </c>
      <c r="F19" s="92">
        <v>0.8</v>
      </c>
      <c r="G19" s="92">
        <v>0</v>
      </c>
      <c r="H19" s="92">
        <v>0</v>
      </c>
      <c r="I19" s="92">
        <v>0</v>
      </c>
      <c r="J19" s="92">
        <v>0.8</v>
      </c>
      <c r="K19" s="92">
        <v>0.8</v>
      </c>
      <c r="L19" s="92">
        <v>0</v>
      </c>
      <c r="M19" s="92">
        <v>0</v>
      </c>
      <c r="N19" s="92">
        <v>0.8</v>
      </c>
      <c r="O19" s="92">
        <v>0.8</v>
      </c>
      <c r="P19" s="92">
        <v>0.8</v>
      </c>
      <c r="Q19" s="92">
        <v>0.8</v>
      </c>
      <c r="R19" s="92">
        <v>0</v>
      </c>
      <c r="S19" s="92">
        <v>0</v>
      </c>
      <c r="T19" s="92">
        <v>0</v>
      </c>
      <c r="U19" s="92">
        <v>0</v>
      </c>
      <c r="V19" s="92">
        <v>0.8</v>
      </c>
      <c r="W19" s="92">
        <v>0</v>
      </c>
      <c r="X19" s="92">
        <v>0</v>
      </c>
      <c r="Y19" s="92">
        <v>0</v>
      </c>
      <c r="Z19" s="92">
        <v>0</v>
      </c>
      <c r="AA19" s="92">
        <v>0</v>
      </c>
      <c r="AB19" s="92">
        <v>0</v>
      </c>
      <c r="AC19" s="92">
        <v>0</v>
      </c>
    </row>
    <row r="20" spans="1:29" customFormat="1" x14ac:dyDescent="0.15">
      <c r="A20" s="164" t="s">
        <v>210</v>
      </c>
      <c r="B20" s="92">
        <v>0.8</v>
      </c>
      <c r="C20" s="92">
        <v>0</v>
      </c>
      <c r="D20" s="92">
        <v>0.8</v>
      </c>
      <c r="E20" s="92">
        <v>0.8</v>
      </c>
      <c r="F20" s="92">
        <v>0</v>
      </c>
      <c r="G20" s="92">
        <v>0</v>
      </c>
      <c r="H20" s="92">
        <v>0</v>
      </c>
      <c r="I20" s="92">
        <v>0</v>
      </c>
      <c r="J20" s="92">
        <v>0.8</v>
      </c>
      <c r="K20" s="92">
        <v>0.8</v>
      </c>
      <c r="L20" s="92">
        <v>0.8</v>
      </c>
      <c r="M20" s="92">
        <v>0.8</v>
      </c>
      <c r="N20" s="92">
        <v>0.8</v>
      </c>
      <c r="O20" s="92">
        <v>0</v>
      </c>
      <c r="P20" s="92">
        <v>0.8</v>
      </c>
      <c r="Q20" s="92">
        <v>0</v>
      </c>
      <c r="R20" s="92">
        <v>0.8</v>
      </c>
      <c r="S20" s="92">
        <v>0.8</v>
      </c>
      <c r="T20" s="92">
        <v>0</v>
      </c>
      <c r="U20" s="92">
        <v>0</v>
      </c>
      <c r="V20" s="92">
        <v>0.8</v>
      </c>
      <c r="W20" s="92">
        <v>0</v>
      </c>
      <c r="X20" s="92">
        <v>0</v>
      </c>
      <c r="Y20" s="92">
        <v>0</v>
      </c>
      <c r="Z20" s="92">
        <v>0</v>
      </c>
      <c r="AA20" s="92">
        <v>0</v>
      </c>
      <c r="AB20" s="92">
        <v>0</v>
      </c>
      <c r="AC20" s="92">
        <v>0</v>
      </c>
    </row>
    <row r="21" spans="1:29" customFormat="1" x14ac:dyDescent="0.15">
      <c r="A21" s="164" t="s">
        <v>211</v>
      </c>
      <c r="B21" s="92">
        <v>0.8</v>
      </c>
      <c r="C21" s="92">
        <v>0.8</v>
      </c>
      <c r="D21" s="92">
        <v>0.8</v>
      </c>
      <c r="E21" s="92">
        <v>0.8</v>
      </c>
      <c r="F21" s="92">
        <v>0.8</v>
      </c>
      <c r="G21" s="92">
        <v>0</v>
      </c>
      <c r="H21" s="92">
        <v>0</v>
      </c>
      <c r="I21" s="92">
        <v>0</v>
      </c>
      <c r="J21" s="92">
        <v>0.8</v>
      </c>
      <c r="K21" s="92">
        <v>0.8</v>
      </c>
      <c r="L21" s="92">
        <v>0.8</v>
      </c>
      <c r="M21" s="92">
        <v>0.8</v>
      </c>
      <c r="N21" s="92">
        <v>0</v>
      </c>
      <c r="O21" s="92">
        <v>0</v>
      </c>
      <c r="P21" s="92">
        <v>0.8</v>
      </c>
      <c r="Q21" s="92">
        <v>0</v>
      </c>
      <c r="R21" s="92">
        <v>0.8</v>
      </c>
      <c r="S21" s="92">
        <v>0.8</v>
      </c>
      <c r="T21" s="92">
        <v>0</v>
      </c>
      <c r="U21" s="92">
        <v>0</v>
      </c>
      <c r="V21" s="92">
        <v>0.8</v>
      </c>
      <c r="W21" s="92">
        <v>0</v>
      </c>
      <c r="X21" s="92">
        <v>0</v>
      </c>
      <c r="Y21" s="92">
        <v>0</v>
      </c>
      <c r="Z21" s="92">
        <v>0</v>
      </c>
      <c r="AA21" s="92">
        <v>0</v>
      </c>
      <c r="AB21" s="92">
        <v>0</v>
      </c>
      <c r="AC21" s="92">
        <v>0</v>
      </c>
    </row>
    <row r="22" spans="1:29" customFormat="1" x14ac:dyDescent="0.15">
      <c r="A22" s="164" t="s">
        <v>212</v>
      </c>
      <c r="B22" s="92">
        <v>0</v>
      </c>
      <c r="C22" s="92">
        <v>0</v>
      </c>
      <c r="D22" s="92">
        <v>0</v>
      </c>
      <c r="E22" s="92">
        <v>0</v>
      </c>
      <c r="F22" s="92">
        <v>0</v>
      </c>
      <c r="G22" s="92">
        <v>0</v>
      </c>
      <c r="H22" s="92">
        <v>0.8</v>
      </c>
      <c r="I22" s="92">
        <v>0.8</v>
      </c>
      <c r="J22" s="92">
        <v>0.8</v>
      </c>
      <c r="K22" s="92">
        <v>0.8</v>
      </c>
      <c r="L22" s="92">
        <v>0</v>
      </c>
      <c r="M22" s="92">
        <v>0.8</v>
      </c>
      <c r="N22" s="92">
        <v>0.8</v>
      </c>
      <c r="O22" s="92">
        <v>0</v>
      </c>
      <c r="P22" s="92">
        <v>0</v>
      </c>
      <c r="Q22" s="92">
        <v>0</v>
      </c>
      <c r="R22" s="92">
        <v>0.8</v>
      </c>
      <c r="S22" s="92">
        <v>0.8</v>
      </c>
      <c r="T22" s="92">
        <v>0</v>
      </c>
      <c r="U22" s="92">
        <v>0</v>
      </c>
      <c r="V22" s="92">
        <v>0</v>
      </c>
      <c r="W22" s="92">
        <v>0</v>
      </c>
      <c r="X22" s="92">
        <v>0</v>
      </c>
      <c r="Y22" s="92">
        <v>0</v>
      </c>
      <c r="Z22" s="92">
        <v>0</v>
      </c>
      <c r="AA22" s="92">
        <v>0</v>
      </c>
      <c r="AB22" s="92">
        <v>0</v>
      </c>
      <c r="AC22" s="92">
        <v>0</v>
      </c>
    </row>
    <row r="23" spans="1:29" customFormat="1" x14ac:dyDescent="0.15">
      <c r="A23" s="164" t="s">
        <v>213</v>
      </c>
      <c r="B23" s="92">
        <v>0</v>
      </c>
      <c r="C23" s="92">
        <v>0</v>
      </c>
      <c r="D23" s="92">
        <v>0</v>
      </c>
      <c r="E23" s="92">
        <v>0</v>
      </c>
      <c r="F23" s="92">
        <v>0</v>
      </c>
      <c r="G23" s="92">
        <v>0</v>
      </c>
      <c r="H23" s="92">
        <v>0</v>
      </c>
      <c r="I23" s="92">
        <v>0.8</v>
      </c>
      <c r="J23" s="92">
        <v>0</v>
      </c>
      <c r="K23" s="92">
        <v>0</v>
      </c>
      <c r="L23" s="92">
        <v>0</v>
      </c>
      <c r="M23" s="92">
        <v>0</v>
      </c>
      <c r="N23" s="92">
        <v>0</v>
      </c>
      <c r="O23" s="92">
        <v>0.8</v>
      </c>
      <c r="P23" s="92">
        <v>0</v>
      </c>
      <c r="Q23" s="92">
        <v>0</v>
      </c>
      <c r="R23" s="92">
        <v>0</v>
      </c>
      <c r="S23" s="92">
        <v>0</v>
      </c>
      <c r="T23" s="92">
        <v>0</v>
      </c>
      <c r="U23" s="92">
        <v>0</v>
      </c>
      <c r="V23" s="92">
        <v>0</v>
      </c>
      <c r="W23" s="92">
        <v>0</v>
      </c>
      <c r="X23" s="92">
        <v>0</v>
      </c>
      <c r="Y23" s="92">
        <v>0</v>
      </c>
      <c r="Z23" s="92">
        <v>0</v>
      </c>
      <c r="AA23" s="92">
        <v>0</v>
      </c>
      <c r="AB23" s="92">
        <v>0</v>
      </c>
      <c r="AC23" s="92">
        <v>0</v>
      </c>
    </row>
    <row r="24" spans="1:29" customFormat="1" x14ac:dyDescent="0.15">
      <c r="A24" s="164" t="s">
        <v>214</v>
      </c>
      <c r="B24" s="92">
        <v>0</v>
      </c>
      <c r="C24" s="92">
        <v>0</v>
      </c>
      <c r="D24" s="92">
        <v>0</v>
      </c>
      <c r="E24" s="92">
        <v>0</v>
      </c>
      <c r="F24" s="92">
        <v>0</v>
      </c>
      <c r="G24" s="92">
        <v>0</v>
      </c>
      <c r="H24" s="92">
        <v>0</v>
      </c>
      <c r="I24" s="92">
        <v>0.8</v>
      </c>
      <c r="J24" s="92">
        <v>0</v>
      </c>
      <c r="K24" s="92">
        <v>0</v>
      </c>
      <c r="L24" s="92">
        <v>0</v>
      </c>
      <c r="M24" s="92">
        <v>0</v>
      </c>
      <c r="N24" s="92">
        <v>0</v>
      </c>
      <c r="O24" s="92">
        <v>0.8</v>
      </c>
      <c r="P24" s="92">
        <v>0</v>
      </c>
      <c r="Q24" s="92">
        <v>0.8</v>
      </c>
      <c r="R24" s="92">
        <v>0</v>
      </c>
      <c r="S24" s="92">
        <v>0.8</v>
      </c>
      <c r="T24" s="92">
        <v>0</v>
      </c>
      <c r="U24" s="92">
        <v>0</v>
      </c>
      <c r="V24" s="92">
        <v>0.8</v>
      </c>
      <c r="W24" s="92">
        <v>0.8</v>
      </c>
      <c r="X24" s="92">
        <v>0.8</v>
      </c>
      <c r="Y24" s="92">
        <v>0</v>
      </c>
      <c r="Z24" s="92">
        <v>0</v>
      </c>
      <c r="AA24" s="92">
        <v>0</v>
      </c>
      <c r="AB24" s="92">
        <v>0</v>
      </c>
      <c r="AC24" s="92">
        <v>0</v>
      </c>
    </row>
    <row r="25" spans="1:29" customFormat="1" x14ac:dyDescent="0.15">
      <c r="A25" s="164" t="s">
        <v>215</v>
      </c>
      <c r="B25" s="92">
        <v>0</v>
      </c>
      <c r="C25" s="92">
        <v>0</v>
      </c>
      <c r="D25" s="92">
        <v>0</v>
      </c>
      <c r="E25" s="92">
        <v>0</v>
      </c>
      <c r="F25" s="92">
        <v>0</v>
      </c>
      <c r="G25" s="92">
        <v>0</v>
      </c>
      <c r="H25" s="92">
        <v>0</v>
      </c>
      <c r="I25" s="92">
        <v>0</v>
      </c>
      <c r="J25" s="92">
        <v>0</v>
      </c>
      <c r="K25" s="92">
        <v>0</v>
      </c>
      <c r="L25" s="92">
        <v>0</v>
      </c>
      <c r="M25" s="92">
        <v>0</v>
      </c>
      <c r="N25" s="92">
        <v>0</v>
      </c>
      <c r="O25" s="92">
        <v>0</v>
      </c>
      <c r="P25" s="92">
        <v>0</v>
      </c>
      <c r="Q25" s="92">
        <v>0.8</v>
      </c>
      <c r="R25" s="92">
        <v>0</v>
      </c>
      <c r="S25" s="92">
        <v>0.8</v>
      </c>
      <c r="T25" s="92">
        <v>0</v>
      </c>
      <c r="U25" s="92">
        <v>0</v>
      </c>
      <c r="V25" s="92">
        <v>0</v>
      </c>
      <c r="W25" s="92">
        <v>0.8</v>
      </c>
      <c r="X25" s="92">
        <v>0.8</v>
      </c>
      <c r="Y25" s="92">
        <v>0</v>
      </c>
      <c r="Z25" s="92">
        <v>0</v>
      </c>
      <c r="AA25" s="92">
        <v>0</v>
      </c>
      <c r="AB25" s="92">
        <v>0</v>
      </c>
      <c r="AC25" s="92">
        <v>0</v>
      </c>
    </row>
    <row r="26" spans="1:29" customFormat="1" x14ac:dyDescent="0.15">
      <c r="A26" s="164" t="s">
        <v>216</v>
      </c>
      <c r="B26" s="92">
        <v>0.8</v>
      </c>
      <c r="C26" s="92">
        <v>0.8</v>
      </c>
      <c r="D26" s="92">
        <v>0.8</v>
      </c>
      <c r="E26" s="92">
        <v>0.8</v>
      </c>
      <c r="F26" s="92">
        <v>0.8</v>
      </c>
      <c r="G26" s="92">
        <v>0.8</v>
      </c>
      <c r="H26" s="92">
        <v>0</v>
      </c>
      <c r="I26" s="92">
        <v>0</v>
      </c>
      <c r="J26" s="92">
        <v>0</v>
      </c>
      <c r="K26" s="92">
        <v>0.8</v>
      </c>
      <c r="L26" s="92">
        <v>0</v>
      </c>
      <c r="M26" s="92">
        <v>0.8</v>
      </c>
      <c r="N26" s="92">
        <v>0</v>
      </c>
      <c r="O26" s="92">
        <v>0.8</v>
      </c>
      <c r="P26" s="92">
        <v>0.8</v>
      </c>
      <c r="Q26" s="92">
        <v>0</v>
      </c>
      <c r="R26" s="92">
        <v>0.8</v>
      </c>
      <c r="S26" s="92">
        <v>0.8</v>
      </c>
      <c r="T26" s="92">
        <v>0.8</v>
      </c>
      <c r="U26" s="92">
        <v>0.8</v>
      </c>
      <c r="V26" s="92">
        <v>0.8</v>
      </c>
      <c r="W26" s="92">
        <v>0.8</v>
      </c>
      <c r="X26" s="92">
        <v>0</v>
      </c>
      <c r="Y26" s="92">
        <v>0</v>
      </c>
      <c r="Z26" s="92">
        <v>0</v>
      </c>
      <c r="AA26" s="92">
        <v>0</v>
      </c>
      <c r="AB26" s="92">
        <v>0</v>
      </c>
      <c r="AC26" s="92">
        <v>0</v>
      </c>
    </row>
    <row r="27" spans="1:29" customFormat="1" x14ac:dyDescent="0.15">
      <c r="A27" s="164" t="s">
        <v>217</v>
      </c>
      <c r="B27" s="92">
        <v>0</v>
      </c>
      <c r="C27" s="92">
        <v>0</v>
      </c>
      <c r="D27" s="92">
        <v>0</v>
      </c>
      <c r="E27" s="92">
        <v>0</v>
      </c>
      <c r="F27" s="92">
        <v>0</v>
      </c>
      <c r="G27" s="92">
        <v>0</v>
      </c>
      <c r="H27" s="92">
        <v>0</v>
      </c>
      <c r="I27" s="92">
        <v>0</v>
      </c>
      <c r="J27" s="92">
        <v>0</v>
      </c>
      <c r="K27" s="92">
        <v>0</v>
      </c>
      <c r="L27" s="92">
        <v>0</v>
      </c>
      <c r="M27" s="92">
        <v>0</v>
      </c>
      <c r="N27" s="92">
        <v>0</v>
      </c>
      <c r="O27" s="92">
        <v>0</v>
      </c>
      <c r="P27" s="92">
        <v>0</v>
      </c>
      <c r="Q27" s="92">
        <v>0</v>
      </c>
      <c r="R27" s="92">
        <v>0</v>
      </c>
      <c r="S27" s="92">
        <v>0.8</v>
      </c>
      <c r="T27" s="92">
        <v>0.8</v>
      </c>
      <c r="U27" s="92">
        <v>0.8</v>
      </c>
      <c r="V27" s="92">
        <v>0</v>
      </c>
      <c r="W27" s="92">
        <v>0.8</v>
      </c>
      <c r="X27" s="92">
        <v>0</v>
      </c>
      <c r="Y27" s="92">
        <v>0</v>
      </c>
      <c r="Z27" s="92">
        <v>0.8</v>
      </c>
      <c r="AA27" s="92">
        <v>0</v>
      </c>
      <c r="AB27" s="92">
        <v>0</v>
      </c>
      <c r="AC27" s="92">
        <v>0</v>
      </c>
    </row>
    <row r="28" spans="1:29" customFormat="1" x14ac:dyDescent="0.15">
      <c r="A28" s="164" t="s">
        <v>218</v>
      </c>
      <c r="B28" s="92">
        <v>0</v>
      </c>
      <c r="C28" s="92">
        <v>0</v>
      </c>
      <c r="D28" s="92">
        <v>0</v>
      </c>
      <c r="E28" s="92">
        <v>0</v>
      </c>
      <c r="F28" s="92">
        <v>0</v>
      </c>
      <c r="G28" s="92">
        <v>0</v>
      </c>
      <c r="H28" s="92">
        <v>0</v>
      </c>
      <c r="I28" s="92">
        <v>0</v>
      </c>
      <c r="J28" s="92">
        <v>0</v>
      </c>
      <c r="K28" s="92">
        <v>0</v>
      </c>
      <c r="L28" s="92">
        <v>0</v>
      </c>
      <c r="M28" s="92">
        <v>0</v>
      </c>
      <c r="N28" s="92">
        <v>0</v>
      </c>
      <c r="O28" s="92">
        <v>0</v>
      </c>
      <c r="P28" s="92">
        <v>0</v>
      </c>
      <c r="Q28" s="92">
        <v>0</v>
      </c>
      <c r="R28" s="92">
        <v>0</v>
      </c>
      <c r="S28" s="92">
        <v>0.8</v>
      </c>
      <c r="T28" s="92">
        <v>0</v>
      </c>
      <c r="U28" s="92">
        <v>0</v>
      </c>
      <c r="V28" s="92">
        <v>0</v>
      </c>
      <c r="W28" s="92">
        <v>0.8</v>
      </c>
      <c r="X28" s="92">
        <v>0.8</v>
      </c>
      <c r="Y28" s="92">
        <v>0</v>
      </c>
      <c r="Z28" s="92">
        <v>0</v>
      </c>
      <c r="AA28" s="92">
        <v>0</v>
      </c>
      <c r="AB28" s="92">
        <v>0</v>
      </c>
      <c r="AC28" s="92">
        <v>0</v>
      </c>
    </row>
    <row r="29" spans="1:29" customFormat="1" x14ac:dyDescent="0.15">
      <c r="A29" s="164" t="s">
        <v>219</v>
      </c>
      <c r="B29" s="92">
        <v>0</v>
      </c>
      <c r="C29" s="92">
        <v>0</v>
      </c>
      <c r="D29" s="92">
        <v>0</v>
      </c>
      <c r="E29" s="92">
        <v>0</v>
      </c>
      <c r="F29" s="92">
        <v>0</v>
      </c>
      <c r="G29" s="92">
        <v>0</v>
      </c>
      <c r="H29" s="92">
        <v>0</v>
      </c>
      <c r="I29" s="92">
        <v>0</v>
      </c>
      <c r="J29" s="92">
        <v>0</v>
      </c>
      <c r="K29" s="92">
        <v>0</v>
      </c>
      <c r="L29" s="92">
        <v>0</v>
      </c>
      <c r="M29" s="92">
        <v>0</v>
      </c>
      <c r="N29" s="92">
        <v>0</v>
      </c>
      <c r="O29" s="92">
        <v>0</v>
      </c>
      <c r="P29" s="92">
        <v>0</v>
      </c>
      <c r="Q29" s="92">
        <v>0</v>
      </c>
      <c r="R29" s="92">
        <v>0</v>
      </c>
      <c r="S29" s="92">
        <v>0</v>
      </c>
      <c r="T29" s="92">
        <v>0</v>
      </c>
      <c r="U29" s="92">
        <v>0</v>
      </c>
      <c r="V29" s="92">
        <v>0</v>
      </c>
      <c r="W29" s="92">
        <v>0</v>
      </c>
      <c r="X29" s="92">
        <v>0</v>
      </c>
      <c r="Y29" s="92">
        <v>0</v>
      </c>
      <c r="Z29" s="92">
        <v>0</v>
      </c>
      <c r="AA29" s="92">
        <v>0</v>
      </c>
      <c r="AB29" s="92">
        <v>0</v>
      </c>
      <c r="AC29" s="92">
        <v>0</v>
      </c>
    </row>
    <row r="30" spans="1:29" customFormat="1" x14ac:dyDescent="0.15">
      <c r="A30" s="164" t="s">
        <v>222</v>
      </c>
      <c r="B30" s="92">
        <v>0.8</v>
      </c>
      <c r="C30" s="92">
        <v>0.8</v>
      </c>
      <c r="D30" s="92">
        <v>0.8</v>
      </c>
      <c r="E30" s="92">
        <v>0</v>
      </c>
      <c r="F30" s="92">
        <v>0.8</v>
      </c>
      <c r="G30" s="92">
        <v>0.8</v>
      </c>
      <c r="H30" s="92">
        <v>0</v>
      </c>
      <c r="I30" s="92">
        <v>0</v>
      </c>
      <c r="J30" s="92">
        <v>0</v>
      </c>
      <c r="K30" s="92">
        <v>0</v>
      </c>
      <c r="L30" s="92">
        <v>0</v>
      </c>
      <c r="M30" s="92">
        <v>0</v>
      </c>
      <c r="N30" s="92">
        <v>0</v>
      </c>
      <c r="O30" s="92">
        <v>0</v>
      </c>
      <c r="P30" s="92">
        <v>0</v>
      </c>
      <c r="Q30" s="92">
        <v>0</v>
      </c>
      <c r="R30" s="92">
        <v>0</v>
      </c>
      <c r="S30" s="92">
        <v>0</v>
      </c>
      <c r="T30" s="92">
        <v>0</v>
      </c>
      <c r="U30" s="92">
        <v>0</v>
      </c>
      <c r="V30" s="92">
        <v>0</v>
      </c>
      <c r="W30" s="92">
        <v>0</v>
      </c>
      <c r="X30" s="92">
        <v>0</v>
      </c>
      <c r="Y30" s="92">
        <v>0</v>
      </c>
      <c r="Z30" s="92">
        <v>0</v>
      </c>
      <c r="AA30" s="92">
        <v>0</v>
      </c>
      <c r="AB30" s="92">
        <v>0</v>
      </c>
      <c r="AC30" s="92">
        <v>0</v>
      </c>
    </row>
    <row r="31" spans="1:29" customFormat="1" x14ac:dyDescent="0.15"/>
    <row r="32" spans="1:29"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E31"/>
  <sheetViews>
    <sheetView workbookViewId="0">
      <selection activeCell="A3" sqref="A3"/>
    </sheetView>
  </sheetViews>
  <sheetFormatPr baseColWidth="10" defaultRowHeight="13" x14ac:dyDescent="0.15"/>
  <cols>
    <col min="1" max="1" width="21.6640625" style="92" bestFit="1" customWidth="1"/>
    <col min="2" max="29" width="2.33203125" style="92" customWidth="1"/>
    <col min="30" max="16384" width="10.83203125" style="92"/>
  </cols>
  <sheetData>
    <row r="1" spans="1:31" x14ac:dyDescent="0.15">
      <c r="A1" s="56" t="s">
        <v>139</v>
      </c>
      <c r="B1" s="167" t="s">
        <v>192</v>
      </c>
      <c r="C1" s="167" t="s">
        <v>193</v>
      </c>
      <c r="D1" s="167" t="s">
        <v>194</v>
      </c>
      <c r="E1" s="167" t="s">
        <v>195</v>
      </c>
      <c r="F1" s="167" t="s">
        <v>196</v>
      </c>
      <c r="G1" s="167" t="s">
        <v>197</v>
      </c>
      <c r="H1" s="167" t="s">
        <v>198</v>
      </c>
      <c r="I1" s="167" t="s">
        <v>199</v>
      </c>
      <c r="J1" s="167" t="s">
        <v>200</v>
      </c>
      <c r="K1" s="167" t="s">
        <v>201</v>
      </c>
      <c r="L1" s="167" t="s">
        <v>202</v>
      </c>
      <c r="M1" s="167" t="s">
        <v>203</v>
      </c>
      <c r="N1" s="167" t="s">
        <v>204</v>
      </c>
      <c r="O1" s="167" t="s">
        <v>205</v>
      </c>
      <c r="P1" s="167" t="s">
        <v>206</v>
      </c>
      <c r="Q1" s="167" t="s">
        <v>207</v>
      </c>
      <c r="R1" s="167" t="s">
        <v>208</v>
      </c>
      <c r="S1" s="167" t="s">
        <v>209</v>
      </c>
      <c r="T1" s="167" t="s">
        <v>210</v>
      </c>
      <c r="U1" s="167" t="s">
        <v>211</v>
      </c>
      <c r="V1" s="167" t="s">
        <v>212</v>
      </c>
      <c r="W1" s="167" t="s">
        <v>213</v>
      </c>
      <c r="X1" s="167" t="s">
        <v>214</v>
      </c>
      <c r="Y1" s="167" t="s">
        <v>215</v>
      </c>
      <c r="Z1" s="167" t="s">
        <v>216</v>
      </c>
      <c r="AA1" s="167" t="s">
        <v>217</v>
      </c>
      <c r="AB1" s="167" t="s">
        <v>218</v>
      </c>
      <c r="AC1" s="167" t="s">
        <v>219</v>
      </c>
      <c r="AD1"/>
      <c r="AE1"/>
    </row>
    <row r="2" spans="1:31" customFormat="1" x14ac:dyDescent="0.15">
      <c r="A2" s="166" t="s">
        <v>192</v>
      </c>
      <c r="B2" s="92">
        <v>0</v>
      </c>
      <c r="C2" s="92">
        <v>0</v>
      </c>
      <c r="D2" s="92">
        <v>0</v>
      </c>
      <c r="E2" s="92">
        <v>0</v>
      </c>
      <c r="F2" s="92">
        <v>0</v>
      </c>
      <c r="G2" s="92">
        <v>0</v>
      </c>
      <c r="H2" s="92">
        <v>0</v>
      </c>
      <c r="I2" s="92">
        <v>0</v>
      </c>
      <c r="J2" s="92">
        <v>0</v>
      </c>
      <c r="K2" s="92">
        <v>0</v>
      </c>
      <c r="L2" s="92">
        <v>0</v>
      </c>
      <c r="M2" s="92">
        <v>0</v>
      </c>
      <c r="N2" s="92">
        <v>0</v>
      </c>
      <c r="O2" s="92">
        <v>0</v>
      </c>
      <c r="P2" s="92">
        <v>0</v>
      </c>
      <c r="Q2" s="92">
        <v>0</v>
      </c>
      <c r="R2" s="92">
        <v>0</v>
      </c>
      <c r="S2" s="92">
        <v>0</v>
      </c>
      <c r="T2" s="92">
        <v>0</v>
      </c>
      <c r="U2" s="92">
        <v>0</v>
      </c>
      <c r="V2" s="92">
        <v>0</v>
      </c>
      <c r="W2" s="92">
        <v>0</v>
      </c>
      <c r="X2" s="92">
        <v>0</v>
      </c>
      <c r="Y2" s="92">
        <v>0</v>
      </c>
      <c r="Z2" s="92">
        <v>0</v>
      </c>
      <c r="AA2" s="92">
        <v>0</v>
      </c>
      <c r="AB2" s="92">
        <v>0</v>
      </c>
      <c r="AC2" s="92">
        <v>0</v>
      </c>
    </row>
    <row r="3" spans="1:31" customFormat="1" x14ac:dyDescent="0.15">
      <c r="A3" s="166" t="s">
        <v>193</v>
      </c>
      <c r="B3" s="92">
        <v>0</v>
      </c>
      <c r="C3" s="92">
        <v>0</v>
      </c>
      <c r="D3" s="92">
        <v>0</v>
      </c>
      <c r="E3" s="92">
        <v>0</v>
      </c>
      <c r="F3" s="92">
        <v>0</v>
      </c>
      <c r="G3" s="92">
        <v>0</v>
      </c>
      <c r="H3" s="92">
        <v>0</v>
      </c>
      <c r="I3" s="92">
        <v>0</v>
      </c>
      <c r="J3" s="92">
        <v>0</v>
      </c>
      <c r="K3" s="92">
        <v>0</v>
      </c>
      <c r="L3" s="92">
        <v>0</v>
      </c>
      <c r="M3" s="92">
        <v>0</v>
      </c>
      <c r="N3" s="92">
        <v>0</v>
      </c>
      <c r="O3" s="92">
        <v>0</v>
      </c>
      <c r="P3" s="92">
        <v>0</v>
      </c>
      <c r="Q3" s="92">
        <v>0</v>
      </c>
      <c r="R3" s="92">
        <v>0</v>
      </c>
      <c r="S3" s="92">
        <v>0</v>
      </c>
      <c r="T3" s="92">
        <v>0</v>
      </c>
      <c r="U3" s="92">
        <v>0</v>
      </c>
      <c r="V3" s="92">
        <v>0</v>
      </c>
      <c r="W3" s="92">
        <v>0</v>
      </c>
      <c r="X3" s="92">
        <v>0</v>
      </c>
      <c r="Y3" s="92">
        <v>0</v>
      </c>
      <c r="Z3" s="92">
        <v>0</v>
      </c>
      <c r="AA3" s="92">
        <v>0</v>
      </c>
      <c r="AB3" s="92">
        <v>0</v>
      </c>
      <c r="AC3" s="92">
        <v>0</v>
      </c>
    </row>
    <row r="4" spans="1:31" customFormat="1" x14ac:dyDescent="0.15">
      <c r="A4" s="166" t="s">
        <v>194</v>
      </c>
      <c r="B4" s="92">
        <v>0</v>
      </c>
      <c r="C4" s="92">
        <v>0</v>
      </c>
      <c r="D4" s="92">
        <v>0</v>
      </c>
      <c r="E4" s="92">
        <v>0</v>
      </c>
      <c r="F4" s="92">
        <v>0</v>
      </c>
      <c r="G4" s="92">
        <v>0</v>
      </c>
      <c r="H4" s="92">
        <v>0</v>
      </c>
      <c r="I4" s="92">
        <v>0</v>
      </c>
      <c r="J4" s="92">
        <v>0</v>
      </c>
      <c r="K4" s="92">
        <v>0</v>
      </c>
      <c r="L4" s="92">
        <v>0</v>
      </c>
      <c r="M4" s="92">
        <v>0</v>
      </c>
      <c r="N4" s="92">
        <v>0</v>
      </c>
      <c r="O4" s="92">
        <v>0</v>
      </c>
      <c r="P4" s="92">
        <v>0</v>
      </c>
      <c r="Q4" s="92">
        <v>0</v>
      </c>
      <c r="R4" s="92">
        <v>0</v>
      </c>
      <c r="S4" s="92">
        <v>0</v>
      </c>
      <c r="T4" s="92">
        <v>0</v>
      </c>
      <c r="U4" s="92">
        <v>0</v>
      </c>
      <c r="V4" s="92">
        <v>0</v>
      </c>
      <c r="W4" s="92">
        <v>0</v>
      </c>
      <c r="X4" s="92">
        <v>0</v>
      </c>
      <c r="Y4" s="92">
        <v>0</v>
      </c>
      <c r="Z4" s="92">
        <v>0</v>
      </c>
      <c r="AA4" s="92">
        <v>0</v>
      </c>
      <c r="AB4" s="92">
        <v>0</v>
      </c>
      <c r="AC4" s="92">
        <v>0</v>
      </c>
    </row>
    <row r="5" spans="1:31" customFormat="1" x14ac:dyDescent="0.15">
      <c r="A5" s="166" t="s">
        <v>195</v>
      </c>
      <c r="B5" s="92">
        <v>0</v>
      </c>
      <c r="C5" s="92">
        <v>0</v>
      </c>
      <c r="D5" s="92">
        <v>0</v>
      </c>
      <c r="E5" s="92">
        <v>0</v>
      </c>
      <c r="F5" s="92">
        <v>0</v>
      </c>
      <c r="G5" s="92">
        <v>0</v>
      </c>
      <c r="H5" s="92">
        <v>0</v>
      </c>
      <c r="I5" s="92">
        <v>0</v>
      </c>
      <c r="J5" s="92">
        <v>0</v>
      </c>
      <c r="K5" s="92">
        <v>0</v>
      </c>
      <c r="L5" s="92">
        <v>0</v>
      </c>
      <c r="M5" s="92">
        <v>0</v>
      </c>
      <c r="N5" s="92">
        <v>0</v>
      </c>
      <c r="O5" s="92">
        <v>0</v>
      </c>
      <c r="P5" s="92">
        <v>0</v>
      </c>
      <c r="Q5" s="92">
        <v>0</v>
      </c>
      <c r="R5" s="92">
        <v>0</v>
      </c>
      <c r="S5" s="92">
        <v>0</v>
      </c>
      <c r="T5" s="92">
        <v>0</v>
      </c>
      <c r="U5" s="92">
        <v>0</v>
      </c>
      <c r="V5" s="92">
        <v>0</v>
      </c>
      <c r="W5" s="92">
        <v>0</v>
      </c>
      <c r="X5" s="92">
        <v>0</v>
      </c>
      <c r="Y5" s="92">
        <v>0</v>
      </c>
      <c r="Z5" s="92">
        <v>0</v>
      </c>
      <c r="AA5" s="92">
        <v>0</v>
      </c>
      <c r="AB5" s="92">
        <v>0</v>
      </c>
      <c r="AC5" s="92">
        <v>0</v>
      </c>
    </row>
    <row r="6" spans="1:31" customFormat="1" x14ac:dyDescent="0.15">
      <c r="A6" s="166" t="s">
        <v>196</v>
      </c>
      <c r="B6" s="92">
        <v>0</v>
      </c>
      <c r="C6" s="92">
        <v>0</v>
      </c>
      <c r="D6" s="92">
        <v>0</v>
      </c>
      <c r="E6" s="92">
        <v>0</v>
      </c>
      <c r="F6" s="92">
        <v>0</v>
      </c>
      <c r="G6" s="92">
        <v>0</v>
      </c>
      <c r="H6" s="92">
        <v>0</v>
      </c>
      <c r="I6" s="92">
        <v>0</v>
      </c>
      <c r="J6" s="92">
        <v>0</v>
      </c>
      <c r="K6" s="92">
        <v>0</v>
      </c>
      <c r="L6" s="92">
        <v>0</v>
      </c>
      <c r="M6" s="92">
        <v>0</v>
      </c>
      <c r="N6" s="92">
        <v>0</v>
      </c>
      <c r="O6" s="92">
        <v>0</v>
      </c>
      <c r="P6" s="92">
        <v>0</v>
      </c>
      <c r="Q6" s="92">
        <v>0</v>
      </c>
      <c r="R6" s="92">
        <v>0</v>
      </c>
      <c r="S6" s="92">
        <v>0</v>
      </c>
      <c r="T6" s="92">
        <v>0</v>
      </c>
      <c r="U6" s="92">
        <v>0</v>
      </c>
      <c r="V6" s="92">
        <v>0</v>
      </c>
      <c r="W6" s="92">
        <v>0</v>
      </c>
      <c r="X6" s="92">
        <v>0</v>
      </c>
      <c r="Y6" s="92">
        <v>0</v>
      </c>
      <c r="Z6" s="92">
        <v>0</v>
      </c>
      <c r="AA6" s="92">
        <v>0</v>
      </c>
      <c r="AB6" s="92">
        <v>0</v>
      </c>
      <c r="AC6" s="92">
        <v>0</v>
      </c>
    </row>
    <row r="7" spans="1:31" customFormat="1" x14ac:dyDescent="0.15">
      <c r="A7" s="166" t="s">
        <v>197</v>
      </c>
      <c r="B7" s="92">
        <v>0</v>
      </c>
      <c r="C7" s="92">
        <v>0</v>
      </c>
      <c r="D7" s="92">
        <v>0</v>
      </c>
      <c r="E7" s="92">
        <v>0</v>
      </c>
      <c r="F7" s="92">
        <v>0</v>
      </c>
      <c r="G7" s="92">
        <v>0</v>
      </c>
      <c r="H7" s="92">
        <v>0</v>
      </c>
      <c r="I7" s="92">
        <v>0</v>
      </c>
      <c r="J7" s="92">
        <v>0</v>
      </c>
      <c r="K7" s="92">
        <v>0</v>
      </c>
      <c r="L7" s="92">
        <v>0</v>
      </c>
      <c r="M7" s="92">
        <v>0</v>
      </c>
      <c r="N7" s="92">
        <v>0</v>
      </c>
      <c r="O7" s="92">
        <v>0</v>
      </c>
      <c r="P7" s="92">
        <v>0</v>
      </c>
      <c r="Q7" s="92">
        <v>0</v>
      </c>
      <c r="R7" s="92">
        <v>0</v>
      </c>
      <c r="S7" s="92">
        <v>0</v>
      </c>
      <c r="T7" s="92">
        <v>0</v>
      </c>
      <c r="U7" s="92">
        <v>0</v>
      </c>
      <c r="V7" s="92">
        <v>0</v>
      </c>
      <c r="W7" s="92">
        <v>0</v>
      </c>
      <c r="X7" s="92">
        <v>0</v>
      </c>
      <c r="Y7" s="92">
        <v>0</v>
      </c>
      <c r="Z7" s="92">
        <v>0</v>
      </c>
      <c r="AA7" s="92">
        <v>0</v>
      </c>
      <c r="AB7" s="92">
        <v>0</v>
      </c>
      <c r="AC7" s="92">
        <v>0</v>
      </c>
    </row>
    <row r="8" spans="1:31" customFormat="1" x14ac:dyDescent="0.15">
      <c r="A8" s="166" t="s">
        <v>198</v>
      </c>
      <c r="B8" s="92">
        <v>0</v>
      </c>
      <c r="C8" s="92">
        <v>0</v>
      </c>
      <c r="D8" s="92">
        <v>0</v>
      </c>
      <c r="E8" s="92">
        <v>0</v>
      </c>
      <c r="F8" s="92">
        <v>0</v>
      </c>
      <c r="G8" s="92">
        <v>0</v>
      </c>
      <c r="H8" s="92">
        <v>0</v>
      </c>
      <c r="I8" s="92">
        <v>0</v>
      </c>
      <c r="J8" s="92">
        <v>0</v>
      </c>
      <c r="K8" s="92">
        <v>0</v>
      </c>
      <c r="L8" s="92">
        <v>0</v>
      </c>
      <c r="M8" s="92">
        <v>0</v>
      </c>
      <c r="N8" s="92">
        <v>0</v>
      </c>
      <c r="O8" s="92">
        <v>0</v>
      </c>
      <c r="P8" s="92">
        <v>0</v>
      </c>
      <c r="Q8" s="92">
        <v>0</v>
      </c>
      <c r="R8" s="92">
        <v>0</v>
      </c>
      <c r="S8" s="92">
        <v>0</v>
      </c>
      <c r="T8" s="92">
        <v>0</v>
      </c>
      <c r="U8" s="92">
        <v>0</v>
      </c>
      <c r="V8" s="92">
        <v>0</v>
      </c>
      <c r="W8" s="92">
        <v>0</v>
      </c>
      <c r="X8" s="92">
        <v>0</v>
      </c>
      <c r="Y8" s="92">
        <v>0</v>
      </c>
      <c r="Z8" s="92">
        <v>0</v>
      </c>
      <c r="AA8" s="92">
        <v>0</v>
      </c>
      <c r="AB8" s="92">
        <v>0</v>
      </c>
      <c r="AC8" s="92">
        <v>0</v>
      </c>
    </row>
    <row r="9" spans="1:31" customFormat="1" x14ac:dyDescent="0.15">
      <c r="A9" s="166" t="s">
        <v>199</v>
      </c>
      <c r="B9" s="92">
        <v>0</v>
      </c>
      <c r="C9" s="92">
        <v>0</v>
      </c>
      <c r="D9" s="92">
        <v>0</v>
      </c>
      <c r="E9" s="92">
        <v>0</v>
      </c>
      <c r="F9" s="92">
        <v>0</v>
      </c>
      <c r="G9" s="92">
        <v>0</v>
      </c>
      <c r="H9" s="92">
        <v>0</v>
      </c>
      <c r="I9" s="92">
        <v>0</v>
      </c>
      <c r="J9" s="92">
        <v>0</v>
      </c>
      <c r="K9" s="92">
        <v>0</v>
      </c>
      <c r="L9" s="92">
        <v>0</v>
      </c>
      <c r="M9" s="92">
        <v>0</v>
      </c>
      <c r="N9" s="92">
        <v>0</v>
      </c>
      <c r="O9" s="92">
        <v>0</v>
      </c>
      <c r="P9" s="92">
        <v>0</v>
      </c>
      <c r="Q9" s="92">
        <v>0</v>
      </c>
      <c r="R9" s="92">
        <v>0</v>
      </c>
      <c r="S9" s="92">
        <v>0</v>
      </c>
      <c r="T9" s="92">
        <v>0</v>
      </c>
      <c r="U9" s="92">
        <v>0</v>
      </c>
      <c r="V9" s="92">
        <v>0</v>
      </c>
      <c r="W9" s="92">
        <v>0</v>
      </c>
      <c r="X9" s="92">
        <v>0</v>
      </c>
      <c r="Y9" s="92">
        <v>0</v>
      </c>
      <c r="Z9" s="92">
        <v>0</v>
      </c>
      <c r="AA9" s="92">
        <v>0</v>
      </c>
      <c r="AB9" s="92">
        <v>0</v>
      </c>
      <c r="AC9" s="92">
        <v>0</v>
      </c>
    </row>
    <row r="10" spans="1:31" customFormat="1" x14ac:dyDescent="0.15">
      <c r="A10" s="166" t="s">
        <v>200</v>
      </c>
      <c r="B10" s="92">
        <v>0</v>
      </c>
      <c r="C10" s="92">
        <v>0</v>
      </c>
      <c r="D10" s="92">
        <v>0</v>
      </c>
      <c r="E10" s="92">
        <v>0</v>
      </c>
      <c r="F10" s="92">
        <v>0</v>
      </c>
      <c r="G10" s="92">
        <v>0</v>
      </c>
      <c r="H10" s="92">
        <v>0</v>
      </c>
      <c r="I10" s="92">
        <v>0</v>
      </c>
      <c r="J10" s="92">
        <v>0</v>
      </c>
      <c r="K10" s="92">
        <v>0</v>
      </c>
      <c r="L10" s="92">
        <v>0</v>
      </c>
      <c r="M10" s="92">
        <v>0</v>
      </c>
      <c r="N10" s="92">
        <v>0</v>
      </c>
      <c r="O10" s="92">
        <v>0</v>
      </c>
      <c r="P10" s="92">
        <v>0</v>
      </c>
      <c r="Q10" s="92">
        <v>0</v>
      </c>
      <c r="R10" s="92">
        <v>0</v>
      </c>
      <c r="S10" s="92">
        <v>0</v>
      </c>
      <c r="T10" s="92">
        <v>0</v>
      </c>
      <c r="U10" s="92">
        <v>0</v>
      </c>
      <c r="V10" s="92">
        <v>0</v>
      </c>
      <c r="W10" s="92">
        <v>0</v>
      </c>
      <c r="X10" s="92">
        <v>0</v>
      </c>
      <c r="Y10" s="92">
        <v>0</v>
      </c>
      <c r="Z10" s="92">
        <v>0</v>
      </c>
      <c r="AA10" s="92">
        <v>0</v>
      </c>
      <c r="AB10" s="92">
        <v>0</v>
      </c>
      <c r="AC10" s="92">
        <v>0</v>
      </c>
    </row>
    <row r="11" spans="1:31" customFormat="1" x14ac:dyDescent="0.15">
      <c r="A11" s="166" t="s">
        <v>201</v>
      </c>
      <c r="B11" s="92">
        <v>0</v>
      </c>
      <c r="C11" s="92">
        <v>0</v>
      </c>
      <c r="D11" s="92">
        <v>0</v>
      </c>
      <c r="E11" s="92">
        <v>0</v>
      </c>
      <c r="F11" s="92">
        <v>0</v>
      </c>
      <c r="G11" s="92">
        <v>0</v>
      </c>
      <c r="H11" s="92">
        <v>0</v>
      </c>
      <c r="I11" s="92">
        <v>0</v>
      </c>
      <c r="J11" s="92">
        <v>1</v>
      </c>
      <c r="K11" s="92">
        <v>0</v>
      </c>
      <c r="L11" s="92">
        <v>0</v>
      </c>
      <c r="M11" s="92">
        <v>0</v>
      </c>
      <c r="N11" s="92">
        <v>0</v>
      </c>
      <c r="O11" s="92">
        <v>0</v>
      </c>
      <c r="P11" s="92">
        <v>0</v>
      </c>
      <c r="Q11" s="92">
        <v>0</v>
      </c>
      <c r="R11" s="92">
        <v>0</v>
      </c>
      <c r="S11" s="92">
        <v>0</v>
      </c>
      <c r="T11" s="92">
        <v>0</v>
      </c>
      <c r="U11" s="92">
        <v>0</v>
      </c>
      <c r="V11" s="92">
        <v>0</v>
      </c>
      <c r="W11" s="92">
        <v>0</v>
      </c>
      <c r="X11" s="92">
        <v>0</v>
      </c>
      <c r="Y11" s="92">
        <v>0</v>
      </c>
      <c r="Z11" s="92">
        <v>0</v>
      </c>
      <c r="AA11" s="92">
        <v>0</v>
      </c>
      <c r="AB11" s="92">
        <v>0</v>
      </c>
      <c r="AC11" s="92">
        <v>0</v>
      </c>
    </row>
    <row r="12" spans="1:31" customFormat="1" x14ac:dyDescent="0.15">
      <c r="A12" s="166" t="s">
        <v>202</v>
      </c>
      <c r="B12" s="92">
        <v>0</v>
      </c>
      <c r="C12" s="92">
        <v>0</v>
      </c>
      <c r="D12" s="92">
        <v>0</v>
      </c>
      <c r="E12" s="92">
        <v>0</v>
      </c>
      <c r="F12" s="92">
        <v>0</v>
      </c>
      <c r="G12" s="92">
        <v>0</v>
      </c>
      <c r="H12" s="92">
        <v>0</v>
      </c>
      <c r="I12" s="92">
        <v>0</v>
      </c>
      <c r="J12" s="92">
        <v>0</v>
      </c>
      <c r="K12" s="92">
        <v>0</v>
      </c>
      <c r="L12" s="92">
        <v>0</v>
      </c>
      <c r="M12" s="92">
        <v>0</v>
      </c>
      <c r="N12" s="92">
        <v>0</v>
      </c>
      <c r="O12" s="92">
        <v>0</v>
      </c>
      <c r="P12" s="92">
        <v>0</v>
      </c>
      <c r="Q12" s="92">
        <v>0</v>
      </c>
      <c r="R12" s="92">
        <v>0</v>
      </c>
      <c r="S12" s="92">
        <v>0</v>
      </c>
      <c r="T12" s="92">
        <v>0</v>
      </c>
      <c r="U12" s="92">
        <v>0</v>
      </c>
      <c r="V12" s="92">
        <v>0</v>
      </c>
      <c r="W12" s="92">
        <v>0</v>
      </c>
      <c r="X12" s="92">
        <v>0</v>
      </c>
      <c r="Y12" s="92">
        <v>0</v>
      </c>
      <c r="Z12" s="92">
        <v>0</v>
      </c>
      <c r="AA12" s="92">
        <v>0</v>
      </c>
      <c r="AB12" s="92">
        <v>0</v>
      </c>
      <c r="AC12" s="92">
        <v>0</v>
      </c>
    </row>
    <row r="13" spans="1:31" customFormat="1" x14ac:dyDescent="0.15">
      <c r="A13" s="166" t="s">
        <v>203</v>
      </c>
      <c r="B13" s="92">
        <v>0</v>
      </c>
      <c r="C13" s="92">
        <v>0</v>
      </c>
      <c r="D13" s="92">
        <v>0</v>
      </c>
      <c r="E13" s="92">
        <v>0</v>
      </c>
      <c r="F13" s="92">
        <v>0</v>
      </c>
      <c r="G13" s="92">
        <v>0</v>
      </c>
      <c r="H13" s="92">
        <v>0</v>
      </c>
      <c r="I13" s="92">
        <v>1</v>
      </c>
      <c r="J13" s="92">
        <v>1</v>
      </c>
      <c r="K13" s="92">
        <v>0</v>
      </c>
      <c r="L13" s="92">
        <v>0</v>
      </c>
      <c r="M13" s="92">
        <v>0</v>
      </c>
      <c r="N13" s="92">
        <v>1</v>
      </c>
      <c r="O13" s="92">
        <v>0</v>
      </c>
      <c r="P13" s="92">
        <v>1</v>
      </c>
      <c r="Q13" s="92">
        <v>0</v>
      </c>
      <c r="R13" s="92">
        <v>0</v>
      </c>
      <c r="S13" s="92">
        <v>0</v>
      </c>
      <c r="T13" s="92">
        <v>0</v>
      </c>
      <c r="U13" s="92">
        <v>0</v>
      </c>
      <c r="V13" s="92">
        <v>0</v>
      </c>
      <c r="W13" s="92">
        <v>0</v>
      </c>
      <c r="X13" s="92">
        <v>0</v>
      </c>
      <c r="Y13" s="92">
        <v>0</v>
      </c>
      <c r="Z13" s="92">
        <v>0</v>
      </c>
      <c r="AA13" s="92">
        <v>0</v>
      </c>
      <c r="AB13" s="92">
        <v>0</v>
      </c>
      <c r="AC13" s="92">
        <v>0</v>
      </c>
    </row>
    <row r="14" spans="1:31" customFormat="1" x14ac:dyDescent="0.15">
      <c r="A14" s="166" t="s">
        <v>204</v>
      </c>
      <c r="B14" s="92">
        <v>0</v>
      </c>
      <c r="C14" s="92">
        <v>0</v>
      </c>
      <c r="D14" s="92">
        <v>0</v>
      </c>
      <c r="E14" s="92">
        <v>1</v>
      </c>
      <c r="F14" s="92">
        <v>0</v>
      </c>
      <c r="G14" s="92">
        <v>0</v>
      </c>
      <c r="H14" s="92">
        <v>1</v>
      </c>
      <c r="I14" s="92">
        <v>1</v>
      </c>
      <c r="J14" s="92">
        <v>0</v>
      </c>
      <c r="K14" s="92">
        <v>0</v>
      </c>
      <c r="L14" s="92">
        <v>0</v>
      </c>
      <c r="M14" s="92">
        <v>0</v>
      </c>
      <c r="N14" s="92">
        <v>1</v>
      </c>
      <c r="O14" s="92">
        <v>0</v>
      </c>
      <c r="P14" s="92">
        <v>0</v>
      </c>
      <c r="Q14" s="92">
        <v>0</v>
      </c>
      <c r="R14" s="92">
        <v>0</v>
      </c>
      <c r="S14" s="92">
        <v>0</v>
      </c>
      <c r="T14" s="92">
        <v>0</v>
      </c>
      <c r="U14" s="92">
        <v>0</v>
      </c>
      <c r="V14" s="92">
        <v>0</v>
      </c>
      <c r="W14" s="92">
        <v>0</v>
      </c>
      <c r="X14" s="92">
        <v>0</v>
      </c>
      <c r="Y14" s="92">
        <v>0</v>
      </c>
      <c r="Z14" s="92">
        <v>0</v>
      </c>
      <c r="AA14" s="92">
        <v>0</v>
      </c>
      <c r="AB14" s="92">
        <v>0</v>
      </c>
      <c r="AC14" s="92">
        <v>0</v>
      </c>
    </row>
    <row r="15" spans="1:31" customFormat="1" x14ac:dyDescent="0.15">
      <c r="A15" s="166" t="s">
        <v>205</v>
      </c>
      <c r="B15" s="92">
        <v>1</v>
      </c>
      <c r="C15" s="92">
        <v>0</v>
      </c>
      <c r="D15" s="92">
        <v>1</v>
      </c>
      <c r="E15" s="92">
        <v>1</v>
      </c>
      <c r="F15" s="92">
        <v>1</v>
      </c>
      <c r="G15" s="92">
        <v>0</v>
      </c>
      <c r="H15" s="92">
        <v>1</v>
      </c>
      <c r="I15" s="92">
        <v>1</v>
      </c>
      <c r="J15" s="92">
        <v>1</v>
      </c>
      <c r="K15" s="92">
        <v>0</v>
      </c>
      <c r="L15" s="92">
        <v>0</v>
      </c>
      <c r="M15" s="92">
        <v>0</v>
      </c>
      <c r="N15" s="92">
        <v>1</v>
      </c>
      <c r="O15" s="92">
        <v>0</v>
      </c>
      <c r="P15" s="92">
        <v>0</v>
      </c>
      <c r="Q15" s="92">
        <v>0</v>
      </c>
      <c r="R15" s="92">
        <v>0</v>
      </c>
      <c r="S15" s="92">
        <v>0</v>
      </c>
      <c r="T15" s="92">
        <v>0</v>
      </c>
      <c r="U15" s="92">
        <v>0</v>
      </c>
      <c r="V15" s="92">
        <v>0</v>
      </c>
      <c r="W15" s="92">
        <v>0</v>
      </c>
      <c r="X15" s="92">
        <v>0</v>
      </c>
      <c r="Y15" s="92">
        <v>0</v>
      </c>
      <c r="Z15" s="92">
        <v>0</v>
      </c>
      <c r="AA15" s="92">
        <v>0</v>
      </c>
      <c r="AB15" s="92">
        <v>0</v>
      </c>
      <c r="AC15" s="92">
        <v>0</v>
      </c>
    </row>
    <row r="16" spans="1:31" customFormat="1" x14ac:dyDescent="0.15">
      <c r="A16" s="166" t="s">
        <v>206</v>
      </c>
      <c r="B16" s="92">
        <v>0</v>
      </c>
      <c r="C16" s="92">
        <v>0</v>
      </c>
      <c r="D16" s="92">
        <v>0</v>
      </c>
      <c r="E16" s="92">
        <v>0</v>
      </c>
      <c r="F16" s="92">
        <v>0</v>
      </c>
      <c r="G16" s="92">
        <v>0</v>
      </c>
      <c r="H16" s="92">
        <v>0</v>
      </c>
      <c r="I16" s="92">
        <v>0</v>
      </c>
      <c r="J16" s="92">
        <v>0</v>
      </c>
      <c r="K16" s="92">
        <v>0</v>
      </c>
      <c r="L16" s="92">
        <v>0</v>
      </c>
      <c r="M16" s="92">
        <v>1</v>
      </c>
      <c r="N16" s="92">
        <v>0</v>
      </c>
      <c r="O16" s="92">
        <v>0</v>
      </c>
      <c r="P16" s="92">
        <v>0</v>
      </c>
      <c r="Q16" s="92">
        <v>0</v>
      </c>
      <c r="R16" s="92">
        <v>1</v>
      </c>
      <c r="S16" s="92">
        <v>1</v>
      </c>
      <c r="T16" s="92">
        <v>0</v>
      </c>
      <c r="U16" s="92">
        <v>0</v>
      </c>
      <c r="V16" s="92">
        <v>0</v>
      </c>
      <c r="W16" s="92">
        <v>0</v>
      </c>
      <c r="X16" s="92">
        <v>0</v>
      </c>
      <c r="Y16" s="92">
        <v>0</v>
      </c>
      <c r="Z16" s="92">
        <v>0</v>
      </c>
      <c r="AA16" s="92">
        <v>0</v>
      </c>
      <c r="AB16" s="92">
        <v>0</v>
      </c>
      <c r="AC16" s="92">
        <v>0</v>
      </c>
    </row>
    <row r="17" spans="1:29" customFormat="1" x14ac:dyDescent="0.15">
      <c r="A17" s="166" t="s">
        <v>207</v>
      </c>
      <c r="B17" s="92">
        <v>0</v>
      </c>
      <c r="C17" s="92">
        <v>0</v>
      </c>
      <c r="D17" s="92">
        <v>0</v>
      </c>
      <c r="E17" s="92">
        <v>0</v>
      </c>
      <c r="F17" s="92">
        <v>0</v>
      </c>
      <c r="G17" s="92">
        <v>0</v>
      </c>
      <c r="H17" s="92">
        <v>0</v>
      </c>
      <c r="I17" s="92">
        <v>0</v>
      </c>
      <c r="J17" s="92">
        <v>0</v>
      </c>
      <c r="K17" s="92">
        <v>0</v>
      </c>
      <c r="L17" s="92">
        <v>0</v>
      </c>
      <c r="M17" s="92">
        <v>1</v>
      </c>
      <c r="N17" s="92">
        <v>0</v>
      </c>
      <c r="O17" s="92">
        <v>0</v>
      </c>
      <c r="P17" s="92">
        <v>0</v>
      </c>
      <c r="Q17" s="92">
        <v>0</v>
      </c>
      <c r="R17" s="92">
        <v>1</v>
      </c>
      <c r="S17" s="92">
        <v>1</v>
      </c>
      <c r="T17" s="92">
        <v>0</v>
      </c>
      <c r="U17" s="92">
        <v>0</v>
      </c>
      <c r="V17" s="92">
        <v>0</v>
      </c>
      <c r="W17" s="92">
        <v>0</v>
      </c>
      <c r="X17" s="92">
        <v>0</v>
      </c>
      <c r="Y17" s="92">
        <v>0</v>
      </c>
      <c r="Z17" s="92">
        <v>0</v>
      </c>
      <c r="AA17" s="92">
        <v>0</v>
      </c>
      <c r="AB17" s="92">
        <v>0</v>
      </c>
      <c r="AC17" s="92">
        <v>0</v>
      </c>
    </row>
    <row r="18" spans="1:29" customFormat="1" x14ac:dyDescent="0.15">
      <c r="A18" s="166" t="s">
        <v>208</v>
      </c>
      <c r="B18" s="92">
        <v>0</v>
      </c>
      <c r="C18" s="92">
        <v>0</v>
      </c>
      <c r="D18" s="92">
        <v>0</v>
      </c>
      <c r="E18" s="92">
        <v>0</v>
      </c>
      <c r="F18" s="92">
        <v>0</v>
      </c>
      <c r="G18" s="92">
        <v>0</v>
      </c>
      <c r="H18" s="92">
        <v>0</v>
      </c>
      <c r="I18" s="92">
        <v>0</v>
      </c>
      <c r="J18" s="92">
        <v>0</v>
      </c>
      <c r="K18" s="92">
        <v>0</v>
      </c>
      <c r="L18" s="92">
        <v>0</v>
      </c>
      <c r="M18" s="92">
        <v>0</v>
      </c>
      <c r="N18" s="92">
        <v>0</v>
      </c>
      <c r="O18" s="92">
        <v>0</v>
      </c>
      <c r="P18" s="92">
        <v>0</v>
      </c>
      <c r="Q18" s="92">
        <v>0</v>
      </c>
      <c r="R18" s="92">
        <v>0</v>
      </c>
      <c r="S18" s="92">
        <v>0</v>
      </c>
      <c r="T18" s="92">
        <v>0</v>
      </c>
      <c r="U18" s="92">
        <v>0</v>
      </c>
      <c r="V18" s="92">
        <v>0</v>
      </c>
      <c r="W18" s="92">
        <v>0</v>
      </c>
      <c r="X18" s="92">
        <v>0</v>
      </c>
      <c r="Y18" s="92">
        <v>0</v>
      </c>
      <c r="Z18" s="92">
        <v>0</v>
      </c>
      <c r="AA18" s="92">
        <v>0</v>
      </c>
      <c r="AB18" s="92">
        <v>0</v>
      </c>
      <c r="AC18" s="92">
        <v>0</v>
      </c>
    </row>
    <row r="19" spans="1:29" customFormat="1" x14ac:dyDescent="0.15">
      <c r="A19" s="166" t="s">
        <v>209</v>
      </c>
      <c r="B19" s="92">
        <v>1</v>
      </c>
      <c r="C19" s="92">
        <v>1</v>
      </c>
      <c r="D19" s="92">
        <v>1</v>
      </c>
      <c r="E19" s="92">
        <v>0</v>
      </c>
      <c r="F19" s="92">
        <v>1</v>
      </c>
      <c r="G19" s="92">
        <v>0</v>
      </c>
      <c r="H19" s="92">
        <v>0</v>
      </c>
      <c r="I19" s="92">
        <v>0</v>
      </c>
      <c r="J19" s="92">
        <v>1</v>
      </c>
      <c r="K19" s="92">
        <v>1</v>
      </c>
      <c r="L19" s="92">
        <v>0</v>
      </c>
      <c r="M19" s="92">
        <v>0</v>
      </c>
      <c r="N19" s="92">
        <v>1</v>
      </c>
      <c r="O19" s="92">
        <v>1</v>
      </c>
      <c r="P19" s="92">
        <v>1</v>
      </c>
      <c r="Q19" s="92">
        <v>1</v>
      </c>
      <c r="R19" s="92">
        <v>0</v>
      </c>
      <c r="S19" s="92">
        <v>0</v>
      </c>
      <c r="T19" s="92">
        <v>0</v>
      </c>
      <c r="U19" s="92">
        <v>0</v>
      </c>
      <c r="V19" s="92">
        <v>1</v>
      </c>
      <c r="W19" s="92">
        <v>0</v>
      </c>
      <c r="X19" s="92">
        <v>0</v>
      </c>
      <c r="Y19" s="92">
        <v>0</v>
      </c>
      <c r="Z19" s="92">
        <v>0</v>
      </c>
      <c r="AA19" s="92">
        <v>0</v>
      </c>
      <c r="AB19" s="92">
        <v>0</v>
      </c>
      <c r="AC19" s="92">
        <v>0</v>
      </c>
    </row>
    <row r="20" spans="1:29" customFormat="1" x14ac:dyDescent="0.15">
      <c r="A20" s="166" t="s">
        <v>210</v>
      </c>
      <c r="B20" s="92">
        <v>1</v>
      </c>
      <c r="C20" s="92">
        <v>0</v>
      </c>
      <c r="D20" s="92">
        <v>1</v>
      </c>
      <c r="E20" s="92">
        <v>1</v>
      </c>
      <c r="F20" s="92">
        <v>0</v>
      </c>
      <c r="G20" s="92">
        <v>0</v>
      </c>
      <c r="H20" s="92">
        <v>0</v>
      </c>
      <c r="I20" s="92">
        <v>0</v>
      </c>
      <c r="J20" s="92">
        <v>1</v>
      </c>
      <c r="K20" s="92">
        <v>1</v>
      </c>
      <c r="L20" s="92">
        <v>1</v>
      </c>
      <c r="M20" s="92">
        <v>1</v>
      </c>
      <c r="N20" s="92">
        <v>1</v>
      </c>
      <c r="O20" s="92">
        <v>0</v>
      </c>
      <c r="P20" s="92">
        <v>1</v>
      </c>
      <c r="Q20" s="92">
        <v>0</v>
      </c>
      <c r="R20" s="92">
        <v>1</v>
      </c>
      <c r="S20" s="92">
        <v>1</v>
      </c>
      <c r="T20" s="92">
        <v>0</v>
      </c>
      <c r="U20" s="92">
        <v>0</v>
      </c>
      <c r="V20" s="92">
        <v>1</v>
      </c>
      <c r="W20" s="92">
        <v>0</v>
      </c>
      <c r="X20" s="92">
        <v>0</v>
      </c>
      <c r="Y20" s="92">
        <v>0</v>
      </c>
      <c r="Z20" s="92">
        <v>0</v>
      </c>
      <c r="AA20" s="92">
        <v>0</v>
      </c>
      <c r="AB20" s="92">
        <v>0</v>
      </c>
      <c r="AC20" s="92">
        <v>0</v>
      </c>
    </row>
    <row r="21" spans="1:29" customFormat="1" x14ac:dyDescent="0.15">
      <c r="A21" s="166" t="s">
        <v>211</v>
      </c>
      <c r="B21" s="92">
        <v>1</v>
      </c>
      <c r="C21" s="92">
        <v>1</v>
      </c>
      <c r="D21" s="92">
        <v>1</v>
      </c>
      <c r="E21" s="92">
        <v>1</v>
      </c>
      <c r="F21" s="92">
        <v>1</v>
      </c>
      <c r="G21" s="92">
        <v>0</v>
      </c>
      <c r="H21" s="92">
        <v>0</v>
      </c>
      <c r="I21" s="92">
        <v>0</v>
      </c>
      <c r="J21" s="92">
        <v>1</v>
      </c>
      <c r="K21" s="92">
        <v>1</v>
      </c>
      <c r="L21" s="92">
        <v>1</v>
      </c>
      <c r="M21" s="92">
        <v>1</v>
      </c>
      <c r="N21" s="92">
        <v>0</v>
      </c>
      <c r="O21" s="92">
        <v>0</v>
      </c>
      <c r="P21" s="92">
        <v>1</v>
      </c>
      <c r="Q21" s="92">
        <v>0</v>
      </c>
      <c r="R21" s="92">
        <v>1</v>
      </c>
      <c r="S21" s="92">
        <v>1</v>
      </c>
      <c r="T21" s="92">
        <v>0</v>
      </c>
      <c r="U21" s="92">
        <v>0</v>
      </c>
      <c r="V21" s="92">
        <v>1</v>
      </c>
      <c r="W21" s="92">
        <v>0</v>
      </c>
      <c r="X21" s="92">
        <v>0</v>
      </c>
      <c r="Y21" s="92">
        <v>0</v>
      </c>
      <c r="Z21" s="92">
        <v>0</v>
      </c>
      <c r="AA21" s="92">
        <v>0</v>
      </c>
      <c r="AB21" s="92">
        <v>0</v>
      </c>
      <c r="AC21" s="92">
        <v>0</v>
      </c>
    </row>
    <row r="22" spans="1:29" customFormat="1" x14ac:dyDescent="0.15">
      <c r="A22" s="166" t="s">
        <v>212</v>
      </c>
      <c r="B22" s="92">
        <v>0</v>
      </c>
      <c r="C22" s="92">
        <v>0</v>
      </c>
      <c r="D22" s="92">
        <v>0</v>
      </c>
      <c r="E22" s="92">
        <v>0</v>
      </c>
      <c r="F22" s="92">
        <v>0</v>
      </c>
      <c r="G22" s="92">
        <v>0</v>
      </c>
      <c r="H22" s="92">
        <v>1</v>
      </c>
      <c r="I22" s="92">
        <v>1</v>
      </c>
      <c r="J22" s="92">
        <v>1</v>
      </c>
      <c r="K22" s="92">
        <v>1</v>
      </c>
      <c r="L22" s="92">
        <v>0</v>
      </c>
      <c r="M22" s="92">
        <v>1</v>
      </c>
      <c r="N22" s="92">
        <v>1</v>
      </c>
      <c r="O22" s="92">
        <v>0</v>
      </c>
      <c r="P22" s="92">
        <v>0</v>
      </c>
      <c r="Q22" s="92">
        <v>0</v>
      </c>
      <c r="R22" s="92">
        <v>1</v>
      </c>
      <c r="S22" s="92">
        <v>1</v>
      </c>
      <c r="T22" s="92">
        <v>0</v>
      </c>
      <c r="U22" s="92">
        <v>0</v>
      </c>
      <c r="V22" s="92">
        <v>0</v>
      </c>
      <c r="W22" s="92">
        <v>0</v>
      </c>
      <c r="X22" s="92">
        <v>0</v>
      </c>
      <c r="Y22" s="92">
        <v>0</v>
      </c>
      <c r="Z22" s="92">
        <v>0</v>
      </c>
      <c r="AA22" s="92">
        <v>0</v>
      </c>
      <c r="AB22" s="92">
        <v>0</v>
      </c>
      <c r="AC22" s="92">
        <v>0</v>
      </c>
    </row>
    <row r="23" spans="1:29" customFormat="1" x14ac:dyDescent="0.15">
      <c r="A23" s="166" t="s">
        <v>213</v>
      </c>
      <c r="B23" s="92">
        <v>0</v>
      </c>
      <c r="C23" s="92">
        <v>0</v>
      </c>
      <c r="D23" s="92">
        <v>0</v>
      </c>
      <c r="E23" s="92">
        <v>0</v>
      </c>
      <c r="F23" s="92">
        <v>0</v>
      </c>
      <c r="G23" s="92">
        <v>0</v>
      </c>
      <c r="H23" s="92">
        <v>0</v>
      </c>
      <c r="I23" s="92">
        <v>1</v>
      </c>
      <c r="J23" s="92">
        <v>0</v>
      </c>
      <c r="K23" s="92">
        <v>0</v>
      </c>
      <c r="L23" s="92">
        <v>0</v>
      </c>
      <c r="M23" s="92">
        <v>0</v>
      </c>
      <c r="N23" s="92">
        <v>0</v>
      </c>
      <c r="O23" s="92">
        <v>1</v>
      </c>
      <c r="P23" s="92">
        <v>0</v>
      </c>
      <c r="Q23" s="92">
        <v>0</v>
      </c>
      <c r="R23" s="92">
        <v>0</v>
      </c>
      <c r="S23" s="92">
        <v>0</v>
      </c>
      <c r="T23" s="92">
        <v>0</v>
      </c>
      <c r="U23" s="92">
        <v>0</v>
      </c>
      <c r="V23" s="92">
        <v>0</v>
      </c>
      <c r="W23" s="92">
        <v>0</v>
      </c>
      <c r="X23" s="92">
        <v>0</v>
      </c>
      <c r="Y23" s="92">
        <v>0</v>
      </c>
      <c r="Z23" s="92">
        <v>0</v>
      </c>
      <c r="AA23" s="92">
        <v>0</v>
      </c>
      <c r="AB23" s="92">
        <v>0</v>
      </c>
      <c r="AC23" s="92">
        <v>0</v>
      </c>
    </row>
    <row r="24" spans="1:29" customFormat="1" x14ac:dyDescent="0.15">
      <c r="A24" s="166" t="s">
        <v>214</v>
      </c>
      <c r="B24" s="92">
        <v>0</v>
      </c>
      <c r="C24" s="92">
        <v>0</v>
      </c>
      <c r="D24" s="92">
        <v>0</v>
      </c>
      <c r="E24" s="92">
        <v>0</v>
      </c>
      <c r="F24" s="92">
        <v>0</v>
      </c>
      <c r="G24" s="92">
        <v>0</v>
      </c>
      <c r="H24" s="92">
        <v>0</v>
      </c>
      <c r="I24" s="92">
        <v>1</v>
      </c>
      <c r="J24" s="92">
        <v>0</v>
      </c>
      <c r="K24" s="92">
        <v>0</v>
      </c>
      <c r="L24" s="92">
        <v>0</v>
      </c>
      <c r="M24" s="92">
        <v>0</v>
      </c>
      <c r="N24" s="92">
        <v>0</v>
      </c>
      <c r="O24" s="92">
        <v>1</v>
      </c>
      <c r="P24" s="92">
        <v>0</v>
      </c>
      <c r="Q24" s="92">
        <v>1</v>
      </c>
      <c r="R24" s="92">
        <v>0</v>
      </c>
      <c r="S24" s="92">
        <v>1</v>
      </c>
      <c r="T24" s="92">
        <v>0</v>
      </c>
      <c r="U24" s="92">
        <v>0</v>
      </c>
      <c r="V24" s="92">
        <v>1</v>
      </c>
      <c r="W24" s="92">
        <v>1</v>
      </c>
      <c r="X24" s="92">
        <v>1</v>
      </c>
      <c r="Y24" s="92">
        <v>0</v>
      </c>
      <c r="Z24" s="92">
        <v>0</v>
      </c>
      <c r="AA24" s="92">
        <v>0</v>
      </c>
      <c r="AB24" s="92">
        <v>0</v>
      </c>
      <c r="AC24" s="92">
        <v>0</v>
      </c>
    </row>
    <row r="25" spans="1:29" customFormat="1" x14ac:dyDescent="0.15">
      <c r="A25" s="166" t="s">
        <v>215</v>
      </c>
      <c r="B25" s="92">
        <v>0</v>
      </c>
      <c r="C25" s="92">
        <v>0</v>
      </c>
      <c r="D25" s="92">
        <v>0</v>
      </c>
      <c r="E25" s="92">
        <v>0</v>
      </c>
      <c r="F25" s="92">
        <v>0</v>
      </c>
      <c r="G25" s="92">
        <v>0</v>
      </c>
      <c r="H25" s="92">
        <v>0</v>
      </c>
      <c r="I25" s="92">
        <v>0</v>
      </c>
      <c r="J25" s="92">
        <v>0</v>
      </c>
      <c r="K25" s="92">
        <v>0</v>
      </c>
      <c r="L25" s="92">
        <v>0</v>
      </c>
      <c r="M25" s="92">
        <v>0</v>
      </c>
      <c r="N25" s="92">
        <v>0</v>
      </c>
      <c r="O25" s="92">
        <v>0</v>
      </c>
      <c r="P25" s="92">
        <v>0</v>
      </c>
      <c r="Q25" s="92">
        <v>1</v>
      </c>
      <c r="R25" s="92">
        <v>0</v>
      </c>
      <c r="S25" s="92">
        <v>1</v>
      </c>
      <c r="T25" s="92">
        <v>0</v>
      </c>
      <c r="U25" s="92">
        <v>0</v>
      </c>
      <c r="V25" s="92">
        <v>0</v>
      </c>
      <c r="W25" s="92">
        <v>1</v>
      </c>
      <c r="X25" s="92">
        <v>1</v>
      </c>
      <c r="Y25" s="92">
        <v>0</v>
      </c>
      <c r="Z25" s="92">
        <v>0</v>
      </c>
      <c r="AA25" s="92">
        <v>0</v>
      </c>
      <c r="AB25" s="92">
        <v>0</v>
      </c>
      <c r="AC25" s="92">
        <v>0</v>
      </c>
    </row>
    <row r="26" spans="1:29" customFormat="1" x14ac:dyDescent="0.15">
      <c r="A26" s="166" t="s">
        <v>216</v>
      </c>
      <c r="B26" s="92">
        <v>1</v>
      </c>
      <c r="C26" s="92">
        <v>1</v>
      </c>
      <c r="D26" s="92">
        <v>1</v>
      </c>
      <c r="E26" s="92">
        <v>1</v>
      </c>
      <c r="F26" s="92">
        <v>1</v>
      </c>
      <c r="G26" s="92">
        <v>1</v>
      </c>
      <c r="H26" s="92">
        <v>0</v>
      </c>
      <c r="I26" s="92">
        <v>0</v>
      </c>
      <c r="J26" s="92">
        <v>0</v>
      </c>
      <c r="K26" s="92">
        <v>1</v>
      </c>
      <c r="L26" s="92">
        <v>0</v>
      </c>
      <c r="M26" s="92">
        <v>1</v>
      </c>
      <c r="N26" s="92">
        <v>0</v>
      </c>
      <c r="O26" s="92">
        <v>1</v>
      </c>
      <c r="P26" s="92">
        <v>1</v>
      </c>
      <c r="Q26" s="92">
        <v>0</v>
      </c>
      <c r="R26" s="92">
        <v>1</v>
      </c>
      <c r="S26" s="92">
        <v>1</v>
      </c>
      <c r="T26" s="92">
        <v>1</v>
      </c>
      <c r="U26" s="92">
        <v>1</v>
      </c>
      <c r="V26" s="92">
        <v>1</v>
      </c>
      <c r="W26" s="92">
        <v>1</v>
      </c>
      <c r="X26" s="92">
        <v>0</v>
      </c>
      <c r="Y26" s="92">
        <v>0</v>
      </c>
      <c r="Z26" s="92">
        <v>0</v>
      </c>
      <c r="AA26" s="92">
        <v>0</v>
      </c>
      <c r="AB26" s="92">
        <v>0</v>
      </c>
      <c r="AC26" s="92">
        <v>0</v>
      </c>
    </row>
    <row r="27" spans="1:29" customFormat="1" x14ac:dyDescent="0.15">
      <c r="A27" s="166" t="s">
        <v>217</v>
      </c>
      <c r="B27" s="92">
        <v>0</v>
      </c>
      <c r="C27" s="92">
        <v>0</v>
      </c>
      <c r="D27" s="92">
        <v>0</v>
      </c>
      <c r="E27" s="92">
        <v>0</v>
      </c>
      <c r="F27" s="92">
        <v>0</v>
      </c>
      <c r="G27" s="92">
        <v>0</v>
      </c>
      <c r="H27" s="92">
        <v>0</v>
      </c>
      <c r="I27" s="92">
        <v>0</v>
      </c>
      <c r="J27" s="92">
        <v>0</v>
      </c>
      <c r="K27" s="92">
        <v>0</v>
      </c>
      <c r="L27" s="92">
        <v>0</v>
      </c>
      <c r="M27" s="92">
        <v>0</v>
      </c>
      <c r="N27" s="92">
        <v>0</v>
      </c>
      <c r="O27" s="92">
        <v>0</v>
      </c>
      <c r="P27" s="92">
        <v>0</v>
      </c>
      <c r="Q27" s="92">
        <v>0</v>
      </c>
      <c r="R27" s="92">
        <v>0</v>
      </c>
      <c r="S27" s="92">
        <v>1</v>
      </c>
      <c r="T27" s="92">
        <v>1</v>
      </c>
      <c r="U27" s="92">
        <v>1</v>
      </c>
      <c r="V27" s="92">
        <v>0</v>
      </c>
      <c r="W27" s="92">
        <v>1</v>
      </c>
      <c r="X27" s="92">
        <v>0</v>
      </c>
      <c r="Y27" s="92">
        <v>0</v>
      </c>
      <c r="Z27" s="92">
        <v>1</v>
      </c>
      <c r="AA27" s="92">
        <v>0</v>
      </c>
      <c r="AB27" s="92">
        <v>0</v>
      </c>
      <c r="AC27" s="92">
        <v>0</v>
      </c>
    </row>
    <row r="28" spans="1:29" customFormat="1" x14ac:dyDescent="0.15">
      <c r="A28" s="166" t="s">
        <v>218</v>
      </c>
      <c r="B28" s="92">
        <v>0</v>
      </c>
      <c r="C28" s="92">
        <v>0</v>
      </c>
      <c r="D28" s="92">
        <v>0</v>
      </c>
      <c r="E28" s="92">
        <v>0</v>
      </c>
      <c r="F28" s="92">
        <v>0</v>
      </c>
      <c r="G28" s="92">
        <v>0</v>
      </c>
      <c r="H28" s="92">
        <v>0</v>
      </c>
      <c r="I28" s="92">
        <v>0</v>
      </c>
      <c r="J28" s="92">
        <v>0</v>
      </c>
      <c r="K28" s="92">
        <v>0</v>
      </c>
      <c r="L28" s="92">
        <v>0</v>
      </c>
      <c r="M28" s="92">
        <v>0</v>
      </c>
      <c r="N28" s="92">
        <v>0</v>
      </c>
      <c r="O28" s="92">
        <v>0</v>
      </c>
      <c r="P28" s="92">
        <v>0</v>
      </c>
      <c r="Q28" s="92">
        <v>0</v>
      </c>
      <c r="R28" s="92">
        <v>0</v>
      </c>
      <c r="S28" s="92">
        <v>1</v>
      </c>
      <c r="T28" s="92">
        <v>0</v>
      </c>
      <c r="U28" s="92">
        <v>0</v>
      </c>
      <c r="V28" s="92">
        <v>0</v>
      </c>
      <c r="W28" s="92">
        <v>1</v>
      </c>
      <c r="X28" s="92">
        <v>1</v>
      </c>
      <c r="Y28" s="92">
        <v>0</v>
      </c>
      <c r="Z28" s="92">
        <v>0</v>
      </c>
      <c r="AA28" s="92">
        <v>0</v>
      </c>
      <c r="AB28" s="92">
        <v>0</v>
      </c>
      <c r="AC28" s="92">
        <v>0</v>
      </c>
    </row>
    <row r="29" spans="1:29" customFormat="1" x14ac:dyDescent="0.15">
      <c r="A29" s="166" t="s">
        <v>219</v>
      </c>
      <c r="B29" s="92">
        <v>0</v>
      </c>
      <c r="C29" s="92">
        <v>0</v>
      </c>
      <c r="D29" s="92">
        <v>0</v>
      </c>
      <c r="E29" s="92">
        <v>0</v>
      </c>
      <c r="F29" s="92">
        <v>0</v>
      </c>
      <c r="G29" s="92">
        <v>0</v>
      </c>
      <c r="H29" s="92">
        <v>0</v>
      </c>
      <c r="I29" s="92">
        <v>0</v>
      </c>
      <c r="J29" s="92">
        <v>0</v>
      </c>
      <c r="K29" s="92">
        <v>0</v>
      </c>
      <c r="L29" s="92">
        <v>0</v>
      </c>
      <c r="M29" s="92">
        <v>0</v>
      </c>
      <c r="N29" s="92">
        <v>0</v>
      </c>
      <c r="O29" s="92">
        <v>0</v>
      </c>
      <c r="P29" s="92">
        <v>0</v>
      </c>
      <c r="Q29" s="92">
        <v>0</v>
      </c>
      <c r="R29" s="92">
        <v>0</v>
      </c>
      <c r="S29" s="92">
        <v>0</v>
      </c>
      <c r="T29" s="92">
        <v>0</v>
      </c>
      <c r="U29" s="92">
        <v>0</v>
      </c>
      <c r="V29" s="92">
        <v>0</v>
      </c>
      <c r="W29" s="92">
        <v>0</v>
      </c>
      <c r="X29" s="92">
        <v>0</v>
      </c>
      <c r="Y29" s="92">
        <v>0</v>
      </c>
      <c r="Z29" s="92">
        <v>0</v>
      </c>
      <c r="AA29" s="92">
        <v>0</v>
      </c>
      <c r="AB29" s="92">
        <v>0</v>
      </c>
      <c r="AC29" s="92">
        <v>0</v>
      </c>
    </row>
    <row r="30" spans="1:29" customFormat="1" x14ac:dyDescent="0.15">
      <c r="A30" s="166" t="s">
        <v>222</v>
      </c>
      <c r="B30" s="92">
        <v>1</v>
      </c>
      <c r="C30" s="92">
        <v>1</v>
      </c>
      <c r="D30" s="92">
        <v>1</v>
      </c>
      <c r="E30" s="92">
        <v>0</v>
      </c>
      <c r="F30" s="92">
        <v>1</v>
      </c>
      <c r="G30" s="92">
        <v>1</v>
      </c>
      <c r="H30" s="92">
        <v>0</v>
      </c>
      <c r="I30" s="92">
        <v>0</v>
      </c>
      <c r="J30" s="92">
        <v>0</v>
      </c>
      <c r="K30" s="92">
        <v>0</v>
      </c>
      <c r="L30" s="92">
        <v>0</v>
      </c>
      <c r="M30" s="92">
        <v>0</v>
      </c>
      <c r="N30" s="92">
        <v>0</v>
      </c>
      <c r="O30" s="92">
        <v>0</v>
      </c>
      <c r="P30" s="92">
        <v>0</v>
      </c>
      <c r="Q30" s="92">
        <v>0</v>
      </c>
      <c r="R30" s="92">
        <v>0</v>
      </c>
      <c r="S30" s="92">
        <v>0</v>
      </c>
      <c r="T30" s="92">
        <v>0</v>
      </c>
      <c r="U30" s="92">
        <v>0</v>
      </c>
      <c r="V30" s="92">
        <v>0</v>
      </c>
      <c r="W30" s="92">
        <v>0</v>
      </c>
      <c r="X30" s="92">
        <v>0</v>
      </c>
      <c r="Y30" s="92">
        <v>0</v>
      </c>
      <c r="Z30" s="92">
        <v>0</v>
      </c>
      <c r="AA30" s="92">
        <v>0</v>
      </c>
      <c r="AB30" s="92">
        <v>0</v>
      </c>
      <c r="AC30" s="92">
        <v>0</v>
      </c>
    </row>
    <row r="31" spans="1:29"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D185"/>
  <sheetViews>
    <sheetView workbookViewId="0">
      <selection activeCell="A3" sqref="A3"/>
    </sheetView>
  </sheetViews>
  <sheetFormatPr baseColWidth="10" defaultRowHeight="13" x14ac:dyDescent="0.15"/>
  <cols>
    <col min="1" max="1" width="3.33203125" customWidth="1"/>
    <col min="2" max="2" width="20.5" bestFit="1" customWidth="1"/>
    <col min="3" max="4" width="3.83203125" bestFit="1" customWidth="1"/>
  </cols>
  <sheetData>
    <row r="1" spans="1:4" ht="112" x14ac:dyDescent="0.15">
      <c r="A1" s="5" t="s">
        <v>83</v>
      </c>
      <c r="B1" s="3" t="s">
        <v>0</v>
      </c>
      <c r="C1" s="169" t="s">
        <v>220</v>
      </c>
      <c r="D1" s="169" t="s">
        <v>221</v>
      </c>
    </row>
    <row r="2" spans="1:4" x14ac:dyDescent="0.15">
      <c r="A2">
        <v>1</v>
      </c>
      <c r="B2" s="168" t="s">
        <v>192</v>
      </c>
      <c r="C2">
        <v>0</v>
      </c>
      <c r="D2">
        <v>0</v>
      </c>
    </row>
    <row r="3" spans="1:4" x14ac:dyDescent="0.15">
      <c r="A3">
        <v>2</v>
      </c>
      <c r="B3" s="168" t="s">
        <v>193</v>
      </c>
      <c r="C3">
        <v>0</v>
      </c>
      <c r="D3">
        <v>0</v>
      </c>
    </row>
    <row r="4" spans="1:4" x14ac:dyDescent="0.15">
      <c r="A4">
        <v>3</v>
      </c>
      <c r="B4" s="168" t="s">
        <v>194</v>
      </c>
      <c r="C4">
        <v>0</v>
      </c>
      <c r="D4">
        <v>0</v>
      </c>
    </row>
    <row r="5" spans="1:4" x14ac:dyDescent="0.15">
      <c r="A5">
        <v>4</v>
      </c>
      <c r="B5" s="168" t="s">
        <v>195</v>
      </c>
      <c r="C5">
        <v>0</v>
      </c>
      <c r="D5">
        <v>0</v>
      </c>
    </row>
    <row r="6" spans="1:4" x14ac:dyDescent="0.15">
      <c r="A6">
        <v>5</v>
      </c>
      <c r="B6" s="168" t="s">
        <v>196</v>
      </c>
      <c r="C6">
        <v>0</v>
      </c>
      <c r="D6">
        <v>0</v>
      </c>
    </row>
    <row r="7" spans="1:4" x14ac:dyDescent="0.15">
      <c r="A7">
        <v>6</v>
      </c>
      <c r="B7" s="168" t="s">
        <v>197</v>
      </c>
      <c r="C7">
        <v>0</v>
      </c>
      <c r="D7">
        <v>0</v>
      </c>
    </row>
    <row r="8" spans="1:4" x14ac:dyDescent="0.15">
      <c r="A8">
        <v>7</v>
      </c>
      <c r="B8" s="168" t="s">
        <v>198</v>
      </c>
      <c r="C8">
        <v>0</v>
      </c>
      <c r="D8">
        <v>0</v>
      </c>
    </row>
    <row r="9" spans="1:4" x14ac:dyDescent="0.15">
      <c r="A9">
        <v>8</v>
      </c>
      <c r="B9" s="168" t="s">
        <v>199</v>
      </c>
      <c r="C9">
        <v>0</v>
      </c>
      <c r="D9">
        <v>0</v>
      </c>
    </row>
    <row r="10" spans="1:4" x14ac:dyDescent="0.15">
      <c r="A10">
        <v>9</v>
      </c>
      <c r="B10" s="168" t="s">
        <v>200</v>
      </c>
      <c r="C10">
        <v>0</v>
      </c>
      <c r="D10">
        <v>0</v>
      </c>
    </row>
    <row r="11" spans="1:4" x14ac:dyDescent="0.15">
      <c r="A11">
        <v>10</v>
      </c>
      <c r="B11" s="168" t="s">
        <v>201</v>
      </c>
      <c r="C11">
        <v>0</v>
      </c>
      <c r="D11">
        <v>0</v>
      </c>
    </row>
    <row r="12" spans="1:4" x14ac:dyDescent="0.15">
      <c r="A12">
        <v>11</v>
      </c>
      <c r="B12" s="168" t="s">
        <v>202</v>
      </c>
      <c r="C12">
        <v>0</v>
      </c>
      <c r="D12">
        <v>0</v>
      </c>
    </row>
    <row r="13" spans="1:4" x14ac:dyDescent="0.15">
      <c r="A13">
        <v>12</v>
      </c>
      <c r="B13" s="168" t="s">
        <v>203</v>
      </c>
      <c r="C13">
        <v>0.8</v>
      </c>
      <c r="D13">
        <v>0.8</v>
      </c>
    </row>
    <row r="14" spans="1:4" x14ac:dyDescent="0.15">
      <c r="A14">
        <v>13</v>
      </c>
      <c r="B14" s="168" t="s">
        <v>204</v>
      </c>
      <c r="C14">
        <v>0.8</v>
      </c>
      <c r="D14">
        <v>0</v>
      </c>
    </row>
    <row r="15" spans="1:4" x14ac:dyDescent="0.15">
      <c r="A15">
        <v>14</v>
      </c>
      <c r="B15" s="168" t="s">
        <v>205</v>
      </c>
      <c r="C15">
        <v>0.8</v>
      </c>
      <c r="D15">
        <v>0.8</v>
      </c>
    </row>
    <row r="16" spans="1:4" x14ac:dyDescent="0.15">
      <c r="A16">
        <v>15</v>
      </c>
      <c r="B16" s="168" t="s">
        <v>206</v>
      </c>
      <c r="C16">
        <v>0.8</v>
      </c>
      <c r="D16">
        <v>0.8</v>
      </c>
    </row>
    <row r="17" spans="1:4" x14ac:dyDescent="0.15">
      <c r="A17">
        <v>16</v>
      </c>
      <c r="B17" s="168" t="s">
        <v>207</v>
      </c>
      <c r="C17">
        <v>0.8</v>
      </c>
      <c r="D17">
        <v>0.8</v>
      </c>
    </row>
    <row r="18" spans="1:4" x14ac:dyDescent="0.15">
      <c r="A18">
        <v>17</v>
      </c>
      <c r="B18" s="168" t="s">
        <v>208</v>
      </c>
      <c r="C18">
        <v>0.8</v>
      </c>
      <c r="D18">
        <v>0.8</v>
      </c>
    </row>
    <row r="19" spans="1:4" x14ac:dyDescent="0.15">
      <c r="A19">
        <v>18</v>
      </c>
      <c r="B19" s="168" t="s">
        <v>209</v>
      </c>
      <c r="C19">
        <v>0.8</v>
      </c>
      <c r="D19">
        <v>0.8</v>
      </c>
    </row>
    <row r="20" spans="1:4" x14ac:dyDescent="0.15">
      <c r="A20">
        <v>19</v>
      </c>
      <c r="B20" s="168" t="s">
        <v>210</v>
      </c>
      <c r="C20">
        <v>0.8</v>
      </c>
      <c r="D20">
        <v>0.8</v>
      </c>
    </row>
    <row r="21" spans="1:4" x14ac:dyDescent="0.15">
      <c r="A21">
        <v>20</v>
      </c>
      <c r="B21" s="168" t="s">
        <v>211</v>
      </c>
      <c r="C21">
        <v>0.8</v>
      </c>
      <c r="D21">
        <v>0.8</v>
      </c>
    </row>
    <row r="22" spans="1:4" x14ac:dyDescent="0.15">
      <c r="A22">
        <v>21</v>
      </c>
      <c r="B22" s="168" t="s">
        <v>212</v>
      </c>
      <c r="C22">
        <v>0.8</v>
      </c>
      <c r="D22">
        <v>0.8</v>
      </c>
    </row>
    <row r="23" spans="1:4" x14ac:dyDescent="0.15">
      <c r="A23">
        <v>22</v>
      </c>
      <c r="B23" s="168" t="s">
        <v>213</v>
      </c>
      <c r="C23">
        <v>0.8</v>
      </c>
      <c r="D23">
        <v>0.8</v>
      </c>
    </row>
    <row r="24" spans="1:4" x14ac:dyDescent="0.15">
      <c r="A24">
        <v>23</v>
      </c>
      <c r="B24" s="168" t="s">
        <v>214</v>
      </c>
      <c r="C24">
        <v>0.8</v>
      </c>
      <c r="D24">
        <v>0</v>
      </c>
    </row>
    <row r="25" spans="1:4" x14ac:dyDescent="0.15">
      <c r="A25">
        <v>24</v>
      </c>
      <c r="B25" s="168" t="s">
        <v>215</v>
      </c>
      <c r="C25">
        <v>0</v>
      </c>
      <c r="D25">
        <v>0</v>
      </c>
    </row>
    <row r="26" spans="1:4" x14ac:dyDescent="0.15">
      <c r="A26">
        <v>25</v>
      </c>
      <c r="B26" s="168" t="s">
        <v>216</v>
      </c>
      <c r="C26">
        <v>0</v>
      </c>
      <c r="D26">
        <v>0</v>
      </c>
    </row>
    <row r="27" spans="1:4" x14ac:dyDescent="0.15">
      <c r="A27">
        <v>26</v>
      </c>
      <c r="B27" s="168" t="s">
        <v>217</v>
      </c>
      <c r="C27">
        <v>0</v>
      </c>
      <c r="D27">
        <v>0</v>
      </c>
    </row>
    <row r="28" spans="1:4" x14ac:dyDescent="0.15">
      <c r="A28">
        <v>27</v>
      </c>
      <c r="B28" s="168" t="s">
        <v>218</v>
      </c>
      <c r="C28">
        <v>0</v>
      </c>
      <c r="D28">
        <v>0</v>
      </c>
    </row>
    <row r="29" spans="1:4" x14ac:dyDescent="0.15">
      <c r="A29">
        <v>28</v>
      </c>
      <c r="B29" s="168" t="s">
        <v>219</v>
      </c>
      <c r="C29">
        <v>0</v>
      </c>
      <c r="D29">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D29"/>
  <sheetViews>
    <sheetView workbookViewId="0">
      <selection activeCell="A3" sqref="A3"/>
    </sheetView>
  </sheetViews>
  <sheetFormatPr baseColWidth="10" defaultRowHeight="13" x14ac:dyDescent="0.15"/>
  <cols>
    <col min="1" max="1" width="3.33203125" customWidth="1"/>
    <col min="2" max="2" width="20.5" bestFit="1" customWidth="1"/>
    <col min="3" max="4" width="3.83203125" bestFit="1" customWidth="1"/>
  </cols>
  <sheetData>
    <row r="1" spans="1:4" ht="112" x14ac:dyDescent="0.15">
      <c r="A1" s="5" t="s">
        <v>82</v>
      </c>
      <c r="B1" s="3" t="s">
        <v>0</v>
      </c>
      <c r="C1" s="171" t="s">
        <v>220</v>
      </c>
      <c r="D1" s="171" t="s">
        <v>221</v>
      </c>
    </row>
    <row r="2" spans="1:4" x14ac:dyDescent="0.15">
      <c r="A2">
        <v>1</v>
      </c>
      <c r="B2" s="170" t="s">
        <v>192</v>
      </c>
      <c r="C2">
        <v>0</v>
      </c>
      <c r="D2">
        <v>0</v>
      </c>
    </row>
    <row r="3" spans="1:4" x14ac:dyDescent="0.15">
      <c r="A3">
        <v>2</v>
      </c>
      <c r="B3" s="170" t="s">
        <v>193</v>
      </c>
      <c r="C3">
        <v>0</v>
      </c>
      <c r="D3">
        <v>0</v>
      </c>
    </row>
    <row r="4" spans="1:4" x14ac:dyDescent="0.15">
      <c r="A4">
        <v>3</v>
      </c>
      <c r="B4" s="170" t="s">
        <v>194</v>
      </c>
      <c r="C4">
        <v>0</v>
      </c>
      <c r="D4">
        <v>0</v>
      </c>
    </row>
    <row r="5" spans="1:4" x14ac:dyDescent="0.15">
      <c r="A5">
        <v>4</v>
      </c>
      <c r="B5" s="170" t="s">
        <v>195</v>
      </c>
      <c r="C5">
        <v>0</v>
      </c>
      <c r="D5">
        <v>0</v>
      </c>
    </row>
    <row r="6" spans="1:4" x14ac:dyDescent="0.15">
      <c r="A6">
        <v>5</v>
      </c>
      <c r="B6" s="170" t="s">
        <v>196</v>
      </c>
      <c r="C6">
        <v>0</v>
      </c>
      <c r="D6">
        <v>0</v>
      </c>
    </row>
    <row r="7" spans="1:4" x14ac:dyDescent="0.15">
      <c r="A7">
        <v>6</v>
      </c>
      <c r="B7" s="170" t="s">
        <v>197</v>
      </c>
      <c r="C7">
        <v>0</v>
      </c>
      <c r="D7">
        <v>0</v>
      </c>
    </row>
    <row r="8" spans="1:4" x14ac:dyDescent="0.15">
      <c r="A8">
        <v>7</v>
      </c>
      <c r="B8" s="170" t="s">
        <v>198</v>
      </c>
      <c r="C8">
        <v>0</v>
      </c>
      <c r="D8">
        <v>0</v>
      </c>
    </row>
    <row r="9" spans="1:4" x14ac:dyDescent="0.15">
      <c r="A9">
        <v>8</v>
      </c>
      <c r="B9" s="170" t="s">
        <v>199</v>
      </c>
      <c r="C9">
        <v>0</v>
      </c>
      <c r="D9">
        <v>0</v>
      </c>
    </row>
    <row r="10" spans="1:4" x14ac:dyDescent="0.15">
      <c r="A10">
        <v>9</v>
      </c>
      <c r="B10" s="170" t="s">
        <v>200</v>
      </c>
      <c r="C10">
        <v>0</v>
      </c>
      <c r="D10">
        <v>0</v>
      </c>
    </row>
    <row r="11" spans="1:4" x14ac:dyDescent="0.15">
      <c r="A11">
        <v>10</v>
      </c>
      <c r="B11" s="170" t="s">
        <v>201</v>
      </c>
      <c r="C11">
        <v>0</v>
      </c>
      <c r="D11">
        <v>0</v>
      </c>
    </row>
    <row r="12" spans="1:4" x14ac:dyDescent="0.15">
      <c r="A12">
        <v>11</v>
      </c>
      <c r="B12" s="170" t="s">
        <v>202</v>
      </c>
      <c r="C12">
        <v>0</v>
      </c>
      <c r="D12">
        <v>0</v>
      </c>
    </row>
    <row r="13" spans="1:4" x14ac:dyDescent="0.15">
      <c r="A13">
        <v>12</v>
      </c>
      <c r="B13" s="170" t="s">
        <v>203</v>
      </c>
      <c r="C13">
        <v>0.8</v>
      </c>
      <c r="D13">
        <v>0.8</v>
      </c>
    </row>
    <row r="14" spans="1:4" x14ac:dyDescent="0.15">
      <c r="A14">
        <v>13</v>
      </c>
      <c r="B14" s="170" t="s">
        <v>204</v>
      </c>
      <c r="C14">
        <v>0.8</v>
      </c>
      <c r="D14">
        <v>0</v>
      </c>
    </row>
    <row r="15" spans="1:4" x14ac:dyDescent="0.15">
      <c r="A15">
        <v>14</v>
      </c>
      <c r="B15" s="170" t="s">
        <v>205</v>
      </c>
      <c r="C15">
        <v>0.8</v>
      </c>
      <c r="D15">
        <v>0.8</v>
      </c>
    </row>
    <row r="16" spans="1:4" x14ac:dyDescent="0.15">
      <c r="A16">
        <v>15</v>
      </c>
      <c r="B16" s="170" t="s">
        <v>206</v>
      </c>
      <c r="C16">
        <v>0.8</v>
      </c>
      <c r="D16">
        <v>0.8</v>
      </c>
    </row>
    <row r="17" spans="1:4" x14ac:dyDescent="0.15">
      <c r="A17">
        <v>16</v>
      </c>
      <c r="B17" s="170" t="s">
        <v>207</v>
      </c>
      <c r="C17">
        <v>0.8</v>
      </c>
      <c r="D17">
        <v>0.8</v>
      </c>
    </row>
    <row r="18" spans="1:4" x14ac:dyDescent="0.15">
      <c r="A18">
        <v>17</v>
      </c>
      <c r="B18" s="170" t="s">
        <v>208</v>
      </c>
      <c r="C18">
        <v>0.8</v>
      </c>
      <c r="D18">
        <v>0.8</v>
      </c>
    </row>
    <row r="19" spans="1:4" x14ac:dyDescent="0.15">
      <c r="A19">
        <v>18</v>
      </c>
      <c r="B19" s="170" t="s">
        <v>209</v>
      </c>
      <c r="C19">
        <v>0.8</v>
      </c>
      <c r="D19">
        <v>0.8</v>
      </c>
    </row>
    <row r="20" spans="1:4" x14ac:dyDescent="0.15">
      <c r="A20">
        <v>19</v>
      </c>
      <c r="B20" s="170" t="s">
        <v>210</v>
      </c>
      <c r="C20">
        <v>0.8</v>
      </c>
      <c r="D20">
        <v>0.8</v>
      </c>
    </row>
    <row r="21" spans="1:4" x14ac:dyDescent="0.15">
      <c r="A21">
        <v>20</v>
      </c>
      <c r="B21" s="170" t="s">
        <v>211</v>
      </c>
      <c r="C21">
        <v>0.8</v>
      </c>
      <c r="D21">
        <v>0.8</v>
      </c>
    </row>
    <row r="22" spans="1:4" x14ac:dyDescent="0.15">
      <c r="A22">
        <v>21</v>
      </c>
      <c r="B22" s="170" t="s">
        <v>212</v>
      </c>
      <c r="C22">
        <v>0.8</v>
      </c>
      <c r="D22">
        <v>0.8</v>
      </c>
    </row>
    <row r="23" spans="1:4" x14ac:dyDescent="0.15">
      <c r="A23">
        <v>22</v>
      </c>
      <c r="B23" s="170" t="s">
        <v>213</v>
      </c>
      <c r="C23">
        <v>0.8</v>
      </c>
      <c r="D23">
        <v>0.8</v>
      </c>
    </row>
    <row r="24" spans="1:4" x14ac:dyDescent="0.15">
      <c r="A24">
        <v>23</v>
      </c>
      <c r="B24" s="170" t="s">
        <v>214</v>
      </c>
      <c r="C24">
        <v>0.8</v>
      </c>
      <c r="D24">
        <v>0</v>
      </c>
    </row>
    <row r="25" spans="1:4" x14ac:dyDescent="0.15">
      <c r="A25">
        <v>24</v>
      </c>
      <c r="B25" s="170" t="s">
        <v>215</v>
      </c>
      <c r="C25">
        <v>0</v>
      </c>
      <c r="D25">
        <v>0</v>
      </c>
    </row>
    <row r="26" spans="1:4" x14ac:dyDescent="0.15">
      <c r="A26">
        <v>25</v>
      </c>
      <c r="B26" s="170" t="s">
        <v>216</v>
      </c>
      <c r="C26">
        <v>0</v>
      </c>
      <c r="D26">
        <v>0</v>
      </c>
    </row>
    <row r="27" spans="1:4" x14ac:dyDescent="0.15">
      <c r="A27">
        <v>26</v>
      </c>
      <c r="B27" s="170" t="s">
        <v>217</v>
      </c>
      <c r="C27">
        <v>0</v>
      </c>
      <c r="D27">
        <v>0</v>
      </c>
    </row>
    <row r="28" spans="1:4" x14ac:dyDescent="0.15">
      <c r="A28">
        <v>27</v>
      </c>
      <c r="B28" s="170" t="s">
        <v>218</v>
      </c>
      <c r="C28">
        <v>0</v>
      </c>
      <c r="D28">
        <v>0</v>
      </c>
    </row>
    <row r="29" spans="1:4" x14ac:dyDescent="0.15">
      <c r="A29">
        <v>28</v>
      </c>
      <c r="B29" s="170" t="s">
        <v>219</v>
      </c>
      <c r="C29">
        <v>0</v>
      </c>
      <c r="D29">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K3" sqref="K3"/>
    </sheetView>
  </sheetViews>
  <sheetFormatPr baseColWidth="10" defaultColWidth="8.83203125" defaultRowHeight="15" customHeight="1" x14ac:dyDescent="0.15"/>
  <cols>
    <col min="1" max="1" width="8.83203125" style="68"/>
    <col min="2" max="2" width="41.83203125" style="68" bestFit="1" customWidth="1"/>
    <col min="3" max="3" width="9.33203125" style="68" bestFit="1" customWidth="1"/>
    <col min="4" max="4" width="13" style="68" bestFit="1" customWidth="1"/>
    <col min="5" max="6" width="9.33203125" style="68" bestFit="1" customWidth="1"/>
    <col min="7" max="7" width="9.33203125" style="84" bestFit="1" customWidth="1"/>
    <col min="8" max="8" width="9.33203125" style="68" bestFit="1" customWidth="1"/>
    <col min="9" max="9" width="11" style="68" customWidth="1"/>
    <col min="10" max="10" width="8.83203125" style="68"/>
    <col min="15" max="16384" width="8.83203125" style="68"/>
  </cols>
  <sheetData>
    <row r="1" spans="1:10" ht="15" customHeight="1" x14ac:dyDescent="0.15">
      <c r="A1" s="4" t="s">
        <v>25</v>
      </c>
      <c r="B1" s="1" t="s">
        <v>0</v>
      </c>
      <c r="C1" s="1" t="s">
        <v>12</v>
      </c>
      <c r="D1" s="1" t="s">
        <v>13</v>
      </c>
      <c r="E1" s="1" t="s">
        <v>1</v>
      </c>
      <c r="F1" s="1" t="s">
        <v>2</v>
      </c>
      <c r="G1" s="28" t="s">
        <v>14</v>
      </c>
      <c r="H1" s="1" t="s">
        <v>26</v>
      </c>
      <c r="I1" s="1" t="s">
        <v>24</v>
      </c>
    </row>
    <row r="2" spans="1:10" ht="15" customHeight="1" x14ac:dyDescent="0.15">
      <c r="A2" s="123">
        <v>1</v>
      </c>
      <c r="B2" s="123" t="s">
        <v>192</v>
      </c>
      <c r="C2" s="8">
        <v>3.543266773223877</v>
      </c>
      <c r="D2" s="9">
        <v>8.4400000050663948E-3</v>
      </c>
      <c r="E2" s="9">
        <v>9.8999999463558197E-2</v>
      </c>
      <c r="F2" s="9">
        <v>8.4211997985839844</v>
      </c>
      <c r="G2" s="7">
        <v>0</v>
      </c>
      <c r="H2" s="9">
        <v>1.1756044812500477E-2</v>
      </c>
      <c r="I2">
        <v>0</v>
      </c>
      <c r="J2"/>
    </row>
    <row r="3" spans="1:10" ht="15" customHeight="1" x14ac:dyDescent="0.15">
      <c r="A3" s="124">
        <v>2</v>
      </c>
      <c r="B3" s="124" t="s">
        <v>193</v>
      </c>
      <c r="C3" s="8">
        <v>3.0118165016174316</v>
      </c>
      <c r="D3" s="9">
        <v>1.2199999764561653E-2</v>
      </c>
      <c r="E3" s="9">
        <v>9.8999999463558197E-2</v>
      </c>
      <c r="F3" s="9">
        <v>4.1607999801635742</v>
      </c>
      <c r="G3" s="7">
        <v>0</v>
      </c>
      <c r="H3" s="9">
        <v>2.3793501779437065E-2</v>
      </c>
      <c r="I3">
        <v>0</v>
      </c>
      <c r="J3"/>
    </row>
    <row r="4" spans="1:10" ht="15" customHeight="1" x14ac:dyDescent="0.15">
      <c r="A4" s="125">
        <v>3</v>
      </c>
      <c r="B4" s="125" t="s">
        <v>194</v>
      </c>
      <c r="C4" s="8">
        <v>3.4379715919494629</v>
      </c>
      <c r="D4" s="9">
        <v>3.0199999455362558E-3</v>
      </c>
      <c r="E4" s="9">
        <v>9.8999999463558197E-2</v>
      </c>
      <c r="F4" s="9">
        <v>5.0781002044677734</v>
      </c>
      <c r="G4" s="7">
        <v>0</v>
      </c>
      <c r="H4" s="9">
        <v>1.9495479762554169E-2</v>
      </c>
      <c r="I4">
        <v>0</v>
      </c>
      <c r="J4"/>
    </row>
    <row r="5" spans="1:10" ht="15" customHeight="1" x14ac:dyDescent="0.15">
      <c r="A5" s="126">
        <v>4</v>
      </c>
      <c r="B5" s="126" t="s">
        <v>195</v>
      </c>
      <c r="C5" s="8">
        <v>3.3905074596405029</v>
      </c>
      <c r="D5" s="9">
        <v>7.8499997034668922E-3</v>
      </c>
      <c r="E5" s="9">
        <v>9.8999999463558197E-2</v>
      </c>
      <c r="F5" s="9">
        <v>6.2600002288818359</v>
      </c>
      <c r="G5" s="7">
        <v>0</v>
      </c>
      <c r="H5" s="9">
        <v>1.5814695507287979E-2</v>
      </c>
      <c r="I5">
        <v>0</v>
      </c>
      <c r="J5"/>
    </row>
    <row r="6" spans="1:10" ht="15" customHeight="1" x14ac:dyDescent="0.15">
      <c r="A6" s="127">
        <v>5</v>
      </c>
      <c r="B6" s="127" t="s">
        <v>196</v>
      </c>
      <c r="C6" s="8">
        <v>3.0174038410186768</v>
      </c>
      <c r="D6" s="9">
        <v>1.5999999595806003E-3</v>
      </c>
      <c r="E6" s="9">
        <v>1.9999999552965164E-2</v>
      </c>
      <c r="F6" s="9">
        <v>6.1775999069213867</v>
      </c>
      <c r="G6" s="7">
        <v>0</v>
      </c>
      <c r="H6" s="9">
        <v>3.2375031150877476E-3</v>
      </c>
      <c r="I6">
        <v>0</v>
      </c>
      <c r="J6"/>
    </row>
    <row r="7" spans="1:10" ht="15" customHeight="1" x14ac:dyDescent="0.15">
      <c r="A7" s="128">
        <v>6</v>
      </c>
      <c r="B7" s="128" t="s">
        <v>197</v>
      </c>
      <c r="C7" s="8">
        <v>3</v>
      </c>
      <c r="D7" s="9">
        <v>2.7600000612437725E-3</v>
      </c>
      <c r="E7" s="9">
        <v>3.9999999105930328E-2</v>
      </c>
      <c r="F7" s="9">
        <v>3.3977999687194824</v>
      </c>
      <c r="G7" s="7">
        <v>0</v>
      </c>
      <c r="H7" s="9">
        <v>1.1772323399782181E-2</v>
      </c>
      <c r="I7">
        <v>0</v>
      </c>
      <c r="J7"/>
    </row>
    <row r="8" spans="1:10" ht="15" customHeight="1" x14ac:dyDescent="0.15">
      <c r="A8" s="129">
        <v>7</v>
      </c>
      <c r="B8" s="129" t="s">
        <v>198</v>
      </c>
      <c r="C8" s="8">
        <v>4.2072820663452148</v>
      </c>
      <c r="D8" s="9">
        <v>1.2500000593718141E-4</v>
      </c>
      <c r="E8" s="9">
        <v>3.5999998450279236E-2</v>
      </c>
      <c r="F8" s="9">
        <v>9.9233999252319336</v>
      </c>
      <c r="G8" s="7">
        <v>0</v>
      </c>
      <c r="H8" s="9">
        <v>3.6277887411415577E-3</v>
      </c>
      <c r="I8">
        <v>0</v>
      </c>
      <c r="J8"/>
    </row>
    <row r="9" spans="1:10" ht="15" customHeight="1" x14ac:dyDescent="0.15">
      <c r="A9" s="130">
        <v>8</v>
      </c>
      <c r="B9" s="130" t="s">
        <v>199</v>
      </c>
      <c r="C9" s="8">
        <v>4.1179666519165039</v>
      </c>
      <c r="D9" s="9">
        <v>2.0199999213218689E-2</v>
      </c>
      <c r="E9" s="9">
        <v>5.000000074505806E-2</v>
      </c>
      <c r="F9" s="9">
        <v>5.0251002311706543</v>
      </c>
      <c r="G9" s="7">
        <v>0</v>
      </c>
      <c r="H9" s="9">
        <v>9.9500501528382301E-3</v>
      </c>
      <c r="I9">
        <v>0</v>
      </c>
      <c r="J9"/>
    </row>
    <row r="10" spans="1:10" ht="15" customHeight="1" x14ac:dyDescent="0.15">
      <c r="A10" s="131">
        <v>9</v>
      </c>
      <c r="B10" s="131" t="s">
        <v>200</v>
      </c>
      <c r="C10" s="8">
        <v>3.9424464702606201</v>
      </c>
      <c r="D10" s="9">
        <v>2.6199998683296144E-4</v>
      </c>
      <c r="E10" s="9">
        <v>1.9999999552965164E-2</v>
      </c>
      <c r="F10" s="9">
        <v>7.7634000778198242</v>
      </c>
      <c r="G10" s="7">
        <v>0</v>
      </c>
      <c r="H10" s="9">
        <v>2.5761907454580069E-3</v>
      </c>
      <c r="I10">
        <v>0</v>
      </c>
      <c r="J10"/>
    </row>
    <row r="11" spans="1:10" ht="15" customHeight="1" x14ac:dyDescent="0.15">
      <c r="A11" s="132">
        <v>10</v>
      </c>
      <c r="B11" s="132" t="s">
        <v>201</v>
      </c>
      <c r="C11" s="8">
        <v>3.5427415370941162</v>
      </c>
      <c r="D11" s="9">
        <v>2.2500000894069672E-2</v>
      </c>
      <c r="E11" s="9">
        <v>4.6999998390674591E-2</v>
      </c>
      <c r="F11" s="9">
        <v>13.73900032043457</v>
      </c>
      <c r="G11" s="9">
        <v>0.73859119415283203</v>
      </c>
      <c r="H11" s="9">
        <v>3.4209182485938072E-3</v>
      </c>
      <c r="I11">
        <v>0</v>
      </c>
      <c r="J11"/>
    </row>
    <row r="12" spans="1:10" ht="15" customHeight="1" x14ac:dyDescent="0.15">
      <c r="A12" s="133">
        <v>11</v>
      </c>
      <c r="B12" s="133" t="s">
        <v>202</v>
      </c>
      <c r="C12" s="8">
        <v>3.7826657295227051</v>
      </c>
      <c r="D12" s="9">
        <v>0.11800000071525574</v>
      </c>
      <c r="E12" s="9">
        <v>0.11999999731779099</v>
      </c>
      <c r="F12" s="9">
        <v>118</v>
      </c>
      <c r="G12" s="7">
        <v>0</v>
      </c>
      <c r="H12" s="9">
        <v>1.0169491870328784E-3</v>
      </c>
      <c r="I12">
        <v>0</v>
      </c>
      <c r="J12"/>
    </row>
    <row r="13" spans="1:10" ht="15" customHeight="1" x14ac:dyDescent="0.15">
      <c r="A13" s="134">
        <v>12</v>
      </c>
      <c r="B13" s="134" t="s">
        <v>203</v>
      </c>
      <c r="C13" s="8">
        <v>3.307767391204834</v>
      </c>
      <c r="D13" s="9">
        <v>2.5399999618530273</v>
      </c>
      <c r="E13" s="9">
        <v>1.9079999923706055</v>
      </c>
      <c r="F13" s="9">
        <v>11.697999954223633</v>
      </c>
      <c r="G13" s="9">
        <v>0.50448018312454224</v>
      </c>
      <c r="H13" s="9">
        <v>0.16310480237007141</v>
      </c>
      <c r="I13">
        <v>1.265035942196846E-2</v>
      </c>
      <c r="J13"/>
    </row>
    <row r="14" spans="1:10" ht="15" customHeight="1" x14ac:dyDescent="0.15">
      <c r="A14" s="135">
        <v>13</v>
      </c>
      <c r="B14" s="135" t="s">
        <v>204</v>
      </c>
      <c r="C14" s="8">
        <v>3.9485683441162109</v>
      </c>
      <c r="D14" s="9">
        <v>0.73500001430511475</v>
      </c>
      <c r="E14" s="9">
        <v>4.3619999885559082</v>
      </c>
      <c r="F14" s="9">
        <v>31.608999252319336</v>
      </c>
      <c r="G14" s="9">
        <v>0.11702955514192581</v>
      </c>
      <c r="H14" s="9">
        <v>0.13799867033958435</v>
      </c>
      <c r="I14">
        <v>7.5652601663023233E-4</v>
      </c>
      <c r="J14"/>
    </row>
    <row r="15" spans="1:10" ht="15" customHeight="1" x14ac:dyDescent="0.15">
      <c r="A15" s="136">
        <v>14</v>
      </c>
      <c r="B15" s="136" t="s">
        <v>205</v>
      </c>
      <c r="C15" s="8">
        <v>3.4041063785552979</v>
      </c>
      <c r="D15" s="9">
        <v>0.29275438189506531</v>
      </c>
      <c r="E15" s="9">
        <v>2.7100000381469727</v>
      </c>
      <c r="F15" s="9">
        <v>9.0333328247070312</v>
      </c>
      <c r="G15" s="9">
        <v>0.95000004768371582</v>
      </c>
      <c r="H15" s="9">
        <v>0.30000001192092896</v>
      </c>
      <c r="I15">
        <v>7.8924214467406273E-3</v>
      </c>
      <c r="J15"/>
    </row>
    <row r="16" spans="1:10" ht="15" customHeight="1" x14ac:dyDescent="0.15">
      <c r="A16" s="137">
        <v>15</v>
      </c>
      <c r="B16" s="137" t="s">
        <v>206</v>
      </c>
      <c r="C16" s="8">
        <v>3.4267029762268066</v>
      </c>
      <c r="D16" s="9">
        <v>0.28999999165534973</v>
      </c>
      <c r="E16" s="9">
        <v>1.3380000591278076</v>
      </c>
      <c r="F16" s="9">
        <v>7.4970002174377441</v>
      </c>
      <c r="G16" s="9">
        <v>1.1647392995655537E-2</v>
      </c>
      <c r="H16" s="9">
        <v>0.17847138643264771</v>
      </c>
      <c r="I16">
        <v>1.9312009681016207E-3</v>
      </c>
      <c r="J16"/>
    </row>
    <row r="17" spans="1:10" ht="15" customHeight="1" x14ac:dyDescent="0.15">
      <c r="A17" s="138">
        <v>16</v>
      </c>
      <c r="B17" s="138" t="s">
        <v>207</v>
      </c>
      <c r="C17" s="8">
        <v>2.6501991748809814</v>
      </c>
      <c r="D17" s="9">
        <v>0.1120000034570694</v>
      </c>
      <c r="E17" s="9">
        <v>1</v>
      </c>
      <c r="F17" s="9">
        <v>6</v>
      </c>
      <c r="G17" s="9">
        <v>3.1788673251867294E-2</v>
      </c>
      <c r="H17" s="9">
        <v>0.1666666716337204</v>
      </c>
      <c r="I17">
        <v>9.7211101092398167E-4</v>
      </c>
      <c r="J17"/>
    </row>
    <row r="18" spans="1:10" ht="15" customHeight="1" x14ac:dyDescent="0.15">
      <c r="A18" s="139">
        <v>17</v>
      </c>
      <c r="B18" s="139" t="s">
        <v>208</v>
      </c>
      <c r="C18" s="8">
        <v>3.3490743637084961</v>
      </c>
      <c r="D18" s="9">
        <v>2.8900001049041748</v>
      </c>
      <c r="E18" s="9">
        <v>0.81999999284744263</v>
      </c>
      <c r="F18" s="9">
        <v>3.7739999294281006</v>
      </c>
      <c r="G18" s="9">
        <v>2.5647778529673815E-3</v>
      </c>
      <c r="H18" s="9">
        <v>0.21727609634399414</v>
      </c>
      <c r="I18">
        <v>6.0780108906328678E-3</v>
      </c>
      <c r="J18"/>
    </row>
    <row r="19" spans="1:10" ht="15" customHeight="1" x14ac:dyDescent="0.15">
      <c r="A19" s="140">
        <v>18</v>
      </c>
      <c r="B19" s="140" t="s">
        <v>209</v>
      </c>
      <c r="C19" s="8">
        <v>2.2846465110778809</v>
      </c>
      <c r="D19" s="9">
        <v>4.6960000991821289</v>
      </c>
      <c r="E19" s="9">
        <v>13.939999580383301</v>
      </c>
      <c r="F19" s="9">
        <v>46.466663360595703</v>
      </c>
      <c r="G19" s="9">
        <v>4.9165181815624237E-2</v>
      </c>
      <c r="H19" s="9">
        <v>0.30000001192092896</v>
      </c>
      <c r="I19">
        <v>4.6178482472896576E-2</v>
      </c>
      <c r="J19"/>
    </row>
    <row r="20" spans="1:10" ht="15" customHeight="1" x14ac:dyDescent="0.15">
      <c r="A20" s="141">
        <v>19</v>
      </c>
      <c r="B20" s="141" t="s">
        <v>210</v>
      </c>
      <c r="C20" s="8">
        <v>2.7739999294281006</v>
      </c>
      <c r="D20" s="9">
        <v>22.129999160766602</v>
      </c>
      <c r="E20" s="9">
        <v>3.0999999046325684</v>
      </c>
      <c r="F20" s="9">
        <v>16.346599578857422</v>
      </c>
      <c r="G20" s="9">
        <v>0.52172821760177612</v>
      </c>
      <c r="H20" s="9">
        <v>0.18964187800884247</v>
      </c>
      <c r="I20">
        <v>0.22889024019241333</v>
      </c>
      <c r="J20"/>
    </row>
    <row r="21" spans="1:10" ht="15" customHeight="1" x14ac:dyDescent="0.15">
      <c r="A21" s="142">
        <v>20</v>
      </c>
      <c r="B21" s="142" t="s">
        <v>211</v>
      </c>
      <c r="C21" s="8">
        <v>2.8000001907348633</v>
      </c>
      <c r="D21" s="9">
        <v>13.116000175476074</v>
      </c>
      <c r="E21" s="9">
        <v>2.6119999885559082</v>
      </c>
      <c r="F21" s="9">
        <v>10.635000228881836</v>
      </c>
      <c r="G21" s="9">
        <v>0.41118752956390381</v>
      </c>
      <c r="H21" s="9">
        <v>0.24560412764549255</v>
      </c>
      <c r="I21">
        <v>0.15668775141239166</v>
      </c>
      <c r="J21"/>
    </row>
    <row r="22" spans="1:10" ht="15" customHeight="1" x14ac:dyDescent="0.15">
      <c r="A22" s="143">
        <v>21</v>
      </c>
      <c r="B22" s="143" t="s">
        <v>212</v>
      </c>
      <c r="C22" s="8">
        <v>3.1258165836334229</v>
      </c>
      <c r="D22" s="9">
        <v>2.4091999530792236</v>
      </c>
      <c r="E22" s="9">
        <v>4.6999998092651367</v>
      </c>
      <c r="F22" s="9">
        <v>16.735000610351562</v>
      </c>
      <c r="G22" s="9">
        <v>0.74453461170196533</v>
      </c>
      <c r="H22" s="9">
        <v>0.28084850311279297</v>
      </c>
      <c r="I22">
        <v>4.432084783911705E-2</v>
      </c>
      <c r="J22"/>
    </row>
    <row r="23" spans="1:10" ht="15" customHeight="1" x14ac:dyDescent="0.15">
      <c r="A23" s="144">
        <v>22</v>
      </c>
      <c r="B23" s="144" t="s">
        <v>213</v>
      </c>
      <c r="C23" s="8">
        <v>2.6735982894897461</v>
      </c>
      <c r="D23" s="9">
        <v>13.048000335693359</v>
      </c>
      <c r="E23" s="9">
        <v>6.4429998397827148</v>
      </c>
      <c r="F23" s="9">
        <v>31.96299934387207</v>
      </c>
      <c r="G23" s="9">
        <v>1.4041257090866566E-2</v>
      </c>
      <c r="H23" s="9">
        <v>0.201576828956604</v>
      </c>
      <c r="I23">
        <v>8.198973722755909E-3</v>
      </c>
      <c r="J23"/>
    </row>
    <row r="24" spans="1:10" ht="15" customHeight="1" x14ac:dyDescent="0.15">
      <c r="A24" s="145">
        <v>23</v>
      </c>
      <c r="B24" s="145" t="s">
        <v>214</v>
      </c>
      <c r="C24" s="8">
        <v>2.0224971771240234</v>
      </c>
      <c r="D24" s="9">
        <v>112.59999847412109</v>
      </c>
      <c r="E24" s="9">
        <v>4.3340001106262207</v>
      </c>
      <c r="F24" s="9">
        <v>32.729999542236328</v>
      </c>
      <c r="G24" s="9">
        <v>0.72221857309341431</v>
      </c>
      <c r="H24" s="9">
        <v>0.13241675496101379</v>
      </c>
      <c r="I24">
        <v>1.9222130067646503E-3</v>
      </c>
      <c r="J24"/>
    </row>
    <row r="25" spans="1:10" ht="15" customHeight="1" x14ac:dyDescent="0.15">
      <c r="A25" s="146">
        <v>24</v>
      </c>
      <c r="B25" s="146" t="s">
        <v>215</v>
      </c>
      <c r="C25" s="8">
        <v>1</v>
      </c>
      <c r="D25" s="9">
        <v>10.5</v>
      </c>
      <c r="E25" s="9">
        <v>107.36000061035156</v>
      </c>
      <c r="F25" s="10"/>
      <c r="G25" s="9">
        <v>0.32664710283279419</v>
      </c>
      <c r="H25" s="10"/>
      <c r="I25">
        <v>0</v>
      </c>
      <c r="J25"/>
    </row>
    <row r="26" spans="1:10" ht="15" customHeight="1" x14ac:dyDescent="0.15">
      <c r="A26" s="147">
        <v>25</v>
      </c>
      <c r="B26" s="147" t="s">
        <v>216</v>
      </c>
      <c r="C26" s="8">
        <v>2</v>
      </c>
      <c r="D26" s="9">
        <v>20.63599967956543</v>
      </c>
      <c r="E26" s="9">
        <v>58.355998992919922</v>
      </c>
      <c r="F26" s="9">
        <v>274.80499267578125</v>
      </c>
      <c r="G26" s="9">
        <v>0.42657992243766785</v>
      </c>
      <c r="H26" s="9">
        <v>0.21235421299934387</v>
      </c>
      <c r="I26">
        <v>0</v>
      </c>
      <c r="J26"/>
    </row>
    <row r="27" spans="1:10" ht="15" customHeight="1" x14ac:dyDescent="0.15">
      <c r="A27" s="148">
        <v>26</v>
      </c>
      <c r="B27" s="148" t="s">
        <v>217</v>
      </c>
      <c r="C27" s="8">
        <v>1</v>
      </c>
      <c r="D27" s="9">
        <v>82.013999938964844</v>
      </c>
      <c r="E27" s="9">
        <v>138.18899536132812</v>
      </c>
      <c r="F27" s="10"/>
      <c r="G27" s="9">
        <v>0.51513570547103882</v>
      </c>
      <c r="H27" s="10"/>
      <c r="I27">
        <v>0</v>
      </c>
      <c r="J27"/>
    </row>
    <row r="28" spans="1:10" ht="15" customHeight="1" x14ac:dyDescent="0.15">
      <c r="A28" s="149">
        <v>27</v>
      </c>
      <c r="B28" s="149" t="s">
        <v>218</v>
      </c>
      <c r="C28" s="8">
        <v>1</v>
      </c>
      <c r="D28" s="9">
        <v>10</v>
      </c>
      <c r="E28" s="9">
        <v>0.5</v>
      </c>
      <c r="F28" s="10"/>
      <c r="G28" s="7">
        <v>0.36953970789909363</v>
      </c>
      <c r="H28" s="10"/>
      <c r="I28">
        <v>0</v>
      </c>
      <c r="J28"/>
    </row>
    <row r="29" spans="1:10" ht="15" customHeight="1" x14ac:dyDescent="0.15">
      <c r="A29" s="150">
        <v>28</v>
      </c>
      <c r="B29" s="150" t="s">
        <v>219</v>
      </c>
      <c r="C29" s="8">
        <v>1</v>
      </c>
      <c r="D29" s="9">
        <v>5</v>
      </c>
      <c r="E29" s="10"/>
      <c r="F29" s="10"/>
      <c r="G29" s="7">
        <v>0</v>
      </c>
      <c r="H29" s="10"/>
      <c r="I29">
        <v>0</v>
      </c>
      <c r="J29"/>
    </row>
    <row r="30" spans="1:10" ht="15" customHeight="1" x14ac:dyDescent="0.15">
      <c r="A30" s="151">
        <v>29</v>
      </c>
      <c r="B30" s="151" t="s">
        <v>220</v>
      </c>
      <c r="C30" s="8">
        <v>3.8017008304595947</v>
      </c>
      <c r="D30" s="10"/>
      <c r="E30" s="10"/>
      <c r="F30" s="10"/>
      <c r="G30" s="10"/>
      <c r="H30" s="10"/>
      <c r="I30">
        <v>0.30037775635719299</v>
      </c>
      <c r="J30"/>
    </row>
    <row r="31" spans="1:10" ht="15" customHeight="1" x14ac:dyDescent="0.15">
      <c r="A31" s="152">
        <v>30</v>
      </c>
      <c r="B31" s="152" t="s">
        <v>221</v>
      </c>
      <c r="C31" s="8">
        <v>3.7912609577178955</v>
      </c>
      <c r="D31" s="10"/>
      <c r="E31" s="10"/>
      <c r="F31" s="10"/>
      <c r="G31" s="10"/>
      <c r="H31" s="10"/>
      <c r="I31">
        <v>0.21610137820243835</v>
      </c>
      <c r="J31"/>
    </row>
    <row r="32" spans="1:10" ht="15" customHeight="1" x14ac:dyDescent="0.15">
      <c r="A32"/>
      <c r="B32"/>
      <c r="C32"/>
      <c r="D32"/>
      <c r="E32"/>
      <c r="F32"/>
      <c r="G32"/>
      <c r="H32"/>
      <c r="I32"/>
      <c r="J32"/>
    </row>
    <row r="33" spans="1:10" ht="15" customHeight="1" x14ac:dyDescent="0.15">
      <c r="A33"/>
      <c r="B33"/>
      <c r="C33"/>
      <c r="D33"/>
      <c r="E33"/>
      <c r="F33"/>
      <c r="G33"/>
      <c r="H33"/>
      <c r="I33"/>
      <c r="J33"/>
    </row>
    <row r="34" spans="1:10" ht="15" customHeight="1" x14ac:dyDescent="0.15">
      <c r="A34"/>
      <c r="B34"/>
      <c r="C34"/>
      <c r="D34"/>
      <c r="E34"/>
      <c r="F34"/>
      <c r="G34"/>
      <c r="H34"/>
      <c r="I34"/>
      <c r="J34"/>
    </row>
    <row r="35" spans="1:10" ht="15" customHeight="1" x14ac:dyDescent="0.15">
      <c r="A35"/>
      <c r="B35"/>
      <c r="C35"/>
      <c r="D35"/>
      <c r="E35"/>
      <c r="F35"/>
      <c r="G35"/>
      <c r="H35"/>
      <c r="I35"/>
      <c r="J35"/>
    </row>
    <row r="36" spans="1:10" ht="15" customHeight="1" x14ac:dyDescent="0.15">
      <c r="A36"/>
      <c r="B36"/>
      <c r="C36"/>
      <c r="D36"/>
      <c r="E36"/>
      <c r="F36"/>
      <c r="G36"/>
      <c r="H36"/>
      <c r="I36"/>
      <c r="J36"/>
    </row>
    <row r="37" spans="1:10" ht="15" customHeight="1" x14ac:dyDescent="0.15">
      <c r="A37"/>
      <c r="B37"/>
      <c r="C37"/>
      <c r="D37"/>
      <c r="E37"/>
      <c r="F37"/>
      <c r="G37"/>
      <c r="H37"/>
      <c r="I37"/>
      <c r="J37"/>
    </row>
    <row r="38" spans="1:10" ht="15" customHeight="1" x14ac:dyDescent="0.15">
      <c r="A38"/>
      <c r="B38"/>
      <c r="C38"/>
      <c r="D38"/>
      <c r="E38"/>
      <c r="F38"/>
      <c r="G38"/>
      <c r="H38"/>
      <c r="I38"/>
      <c r="J38"/>
    </row>
    <row r="39" spans="1:10" ht="15" customHeight="1" x14ac:dyDescent="0.15">
      <c r="A39"/>
      <c r="B39"/>
      <c r="C39"/>
      <c r="D39"/>
      <c r="E39"/>
      <c r="F39"/>
      <c r="G39"/>
      <c r="H39"/>
      <c r="I39"/>
      <c r="J39"/>
    </row>
    <row r="40" spans="1:10" ht="15" customHeight="1" x14ac:dyDescent="0.15">
      <c r="A40"/>
      <c r="B40"/>
      <c r="C40"/>
      <c r="D40"/>
      <c r="E40"/>
      <c r="F40"/>
      <c r="G40"/>
      <c r="H40"/>
      <c r="I40"/>
      <c r="J40"/>
    </row>
    <row r="41" spans="1:10" ht="15" customHeight="1" x14ac:dyDescent="0.15">
      <c r="A41"/>
      <c r="B41"/>
      <c r="C41"/>
      <c r="D41"/>
      <c r="E41"/>
      <c r="F41"/>
      <c r="G41"/>
      <c r="H41"/>
      <c r="I41"/>
      <c r="J41"/>
    </row>
    <row r="42" spans="1:10" ht="15" customHeight="1" x14ac:dyDescent="0.15">
      <c r="A42"/>
      <c r="B42"/>
      <c r="C42"/>
      <c r="D42"/>
      <c r="E42"/>
      <c r="F42"/>
      <c r="G42"/>
      <c r="H42"/>
      <c r="I42"/>
      <c r="J42"/>
    </row>
    <row r="43" spans="1:10" ht="15" customHeight="1" x14ac:dyDescent="0.15">
      <c r="A43"/>
      <c r="B43"/>
      <c r="C43"/>
      <c r="D43"/>
      <c r="E43"/>
      <c r="F43"/>
      <c r="G43"/>
      <c r="H43"/>
      <c r="I43"/>
      <c r="J43"/>
    </row>
    <row r="44" spans="1:10" ht="15" customHeight="1" x14ac:dyDescent="0.15">
      <c r="A44"/>
      <c r="B44"/>
      <c r="C44"/>
      <c r="D44"/>
      <c r="E44"/>
      <c r="F44"/>
      <c r="G44"/>
      <c r="H44"/>
      <c r="I44"/>
      <c r="J44"/>
    </row>
    <row r="45" spans="1:10" ht="15" customHeight="1" x14ac:dyDescent="0.15">
      <c r="A45"/>
      <c r="B45"/>
      <c r="C45"/>
      <c r="D45"/>
      <c r="E45"/>
      <c r="F45"/>
      <c r="G45"/>
      <c r="H45"/>
      <c r="I45"/>
      <c r="J45"/>
    </row>
    <row r="46" spans="1:10" ht="15" customHeight="1" x14ac:dyDescent="0.15">
      <c r="A46"/>
      <c r="B46"/>
      <c r="C46"/>
      <c r="D46"/>
      <c r="E46"/>
      <c r="F46"/>
      <c r="G46"/>
      <c r="H46"/>
      <c r="I46"/>
      <c r="J46"/>
    </row>
    <row r="47" spans="1:10" ht="15" customHeight="1" x14ac:dyDescent="0.15">
      <c r="A47"/>
      <c r="B47"/>
      <c r="C47"/>
      <c r="D47"/>
      <c r="E47"/>
      <c r="F47"/>
      <c r="G47"/>
      <c r="H47"/>
      <c r="I47"/>
      <c r="J47"/>
    </row>
    <row r="48" spans="1:10" ht="15" customHeight="1" x14ac:dyDescent="0.15">
      <c r="A48"/>
      <c r="B48"/>
      <c r="C48"/>
      <c r="D48"/>
      <c r="E48"/>
      <c r="F48"/>
      <c r="G48"/>
      <c r="H48"/>
      <c r="I48"/>
      <c r="J48"/>
    </row>
    <row r="49" spans="1:10" ht="15" customHeight="1" x14ac:dyDescent="0.15">
      <c r="A49"/>
      <c r="B49"/>
      <c r="C49"/>
      <c r="D49"/>
      <c r="E49"/>
      <c r="F49"/>
      <c r="G49"/>
      <c r="H49"/>
      <c r="I49"/>
      <c r="J49"/>
    </row>
    <row r="50" spans="1:10" ht="15" customHeight="1" x14ac:dyDescent="0.15">
      <c r="A50"/>
      <c r="B50"/>
      <c r="C50"/>
      <c r="D50"/>
      <c r="E50"/>
      <c r="F50"/>
      <c r="G50"/>
      <c r="H50"/>
      <c r="I50"/>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68" bestFit="1" customWidth="1"/>
    <col min="2" max="4" width="9.5" style="68" bestFit="1" customWidth="1"/>
    <col min="5" max="7" width="9" style="68" bestFit="1" customWidth="1"/>
    <col min="8" max="16" width="12.6640625" style="68" bestFit="1" customWidth="1"/>
    <col min="17" max="17" width="12.33203125" style="68" bestFit="1" customWidth="1"/>
    <col min="18" max="18" width="8.83203125" style="68"/>
    <col min="19" max="21" width="9.33203125" style="68" bestFit="1" customWidth="1"/>
    <col min="22" max="23" width="8.83203125" style="68"/>
    <col min="24" max="24" width="9.33203125" style="68" bestFit="1" customWidth="1"/>
    <col min="25" max="27" width="8.83203125" style="68"/>
    <col min="28" max="58" width="9" style="68" bestFit="1" customWidth="1"/>
    <col min="59" max="59" width="12.33203125" style="68" bestFit="1" customWidth="1"/>
    <col min="60" max="60" width="9" style="68" bestFit="1" customWidth="1"/>
    <col min="61" max="61" width="11.33203125" style="68" bestFit="1" customWidth="1"/>
    <col min="62" max="77" width="9" style="68" bestFit="1" customWidth="1"/>
    <col min="78" max="78" width="12.33203125" style="68" bestFit="1" customWidth="1"/>
    <col min="79" max="79" width="9" style="68" bestFit="1" customWidth="1"/>
    <col min="80" max="80" width="12.33203125" style="68" bestFit="1" customWidth="1"/>
    <col min="81" max="107" width="9" style="68" bestFit="1" customWidth="1"/>
    <col min="108" max="108" width="11.33203125" style="68" bestFit="1" customWidth="1"/>
    <col min="109" max="124" width="9" style="68" bestFit="1" customWidth="1"/>
    <col min="125" max="125" width="10.33203125" style="68" bestFit="1" customWidth="1"/>
    <col min="126" max="129" width="9.33203125" style="68" bestFit="1" customWidth="1"/>
    <col min="130" max="130" width="9" style="68" bestFit="1" customWidth="1"/>
    <col min="131" max="134" width="9.33203125" style="68" bestFit="1" customWidth="1"/>
    <col min="135" max="165" width="9" style="68" bestFit="1" customWidth="1"/>
    <col min="166" max="166" width="12.33203125" style="68" bestFit="1" customWidth="1"/>
    <col min="167" max="170" width="9" style="68" bestFit="1" customWidth="1"/>
    <col min="171" max="176" width="8.83203125" style="68"/>
    <col min="177" max="177" width="13.83203125" style="68" bestFit="1" customWidth="1"/>
    <col min="178" max="16384" width="8.83203125" style="68"/>
  </cols>
  <sheetData>
    <row r="1" spans="1:209" ht="15" customHeight="1" x14ac:dyDescent="0.15">
      <c r="A1" t="s">
        <v>15</v>
      </c>
      <c r="B1" t="s">
        <v>1</v>
      </c>
      <c r="C1" t="s">
        <v>16</v>
      </c>
      <c r="D1" t="s">
        <v>226</v>
      </c>
      <c r="E1" t="s">
        <v>227</v>
      </c>
      <c r="F1" t="s">
        <v>192</v>
      </c>
      <c r="G1" t="s">
        <v>193</v>
      </c>
      <c r="H1" t="s">
        <v>194</v>
      </c>
      <c r="I1" t="s">
        <v>195</v>
      </c>
      <c r="J1" t="s">
        <v>196</v>
      </c>
      <c r="K1" t="s">
        <v>197</v>
      </c>
      <c r="L1" t="s">
        <v>198</v>
      </c>
      <c r="M1" t="s">
        <v>199</v>
      </c>
      <c r="N1" t="s">
        <v>200</v>
      </c>
      <c r="O1" t="s">
        <v>201</v>
      </c>
      <c r="P1" t="s">
        <v>202</v>
      </c>
      <c r="Q1" t="s">
        <v>203</v>
      </c>
      <c r="R1" t="s">
        <v>204</v>
      </c>
      <c r="S1" t="s">
        <v>205</v>
      </c>
      <c r="T1" t="s">
        <v>206</v>
      </c>
      <c r="U1" t="s">
        <v>207</v>
      </c>
      <c r="V1" t="s">
        <v>208</v>
      </c>
      <c r="W1" t="s">
        <v>209</v>
      </c>
      <c r="X1" t="s">
        <v>210</v>
      </c>
      <c r="Y1" t="s">
        <v>211</v>
      </c>
      <c r="Z1" t="s">
        <v>212</v>
      </c>
      <c r="AA1" t="s">
        <v>213</v>
      </c>
      <c r="AB1" t="s">
        <v>214</v>
      </c>
      <c r="AC1" t="s">
        <v>215</v>
      </c>
      <c r="AD1" t="s">
        <v>216</v>
      </c>
      <c r="AE1" t="s">
        <v>217</v>
      </c>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192</v>
      </c>
      <c r="B2">
        <v>9.8999999463558197E-2</v>
      </c>
      <c r="C2">
        <v>9.8999999463558197E-2</v>
      </c>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193</v>
      </c>
      <c r="B3">
        <v>9.8999999463558197E-2</v>
      </c>
      <c r="C3">
        <v>9.8999999463558197E-2</v>
      </c>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194</v>
      </c>
      <c r="B4">
        <v>9.8999999463558197E-2</v>
      </c>
      <c r="C4">
        <v>9.8999999463558197E-2</v>
      </c>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195</v>
      </c>
      <c r="B5">
        <v>9.8999999463558197E-2</v>
      </c>
      <c r="C5">
        <v>9.8999999463558197E-2</v>
      </c>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196</v>
      </c>
      <c r="B6">
        <v>1.9999999552965164E-2</v>
      </c>
      <c r="C6">
        <v>1.9999999552965164E-2</v>
      </c>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197</v>
      </c>
      <c r="B7">
        <v>3.9999999105930328E-2</v>
      </c>
      <c r="C7">
        <v>3.9999999105930328E-2</v>
      </c>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198</v>
      </c>
      <c r="B8">
        <v>3.5999998450279236E-2</v>
      </c>
      <c r="C8">
        <v>3.5999998450279236E-2</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199</v>
      </c>
      <c r="B9">
        <v>5.000000074505806E-2</v>
      </c>
      <c r="C9">
        <v>5.000000074505806E-2</v>
      </c>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200</v>
      </c>
      <c r="B10">
        <v>1.9999999552965164E-2</v>
      </c>
      <c r="C10">
        <v>1.9999999552965164E-2</v>
      </c>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201</v>
      </c>
      <c r="B11">
        <v>4.6999998390674591E-2</v>
      </c>
      <c r="C11">
        <v>1.2286213226616383E-2</v>
      </c>
      <c r="D11"/>
      <c r="E11"/>
      <c r="F11"/>
      <c r="G11"/>
      <c r="H11"/>
      <c r="I11"/>
      <c r="J11"/>
      <c r="K11"/>
      <c r="L11"/>
      <c r="M11"/>
      <c r="N11" s="180">
        <v>3.4713786095380783E-2</v>
      </c>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202</v>
      </c>
      <c r="B12">
        <v>0.11999999731779099</v>
      </c>
      <c r="C12">
        <v>0.11999999731779099</v>
      </c>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203</v>
      </c>
      <c r="B13">
        <v>1.9079999923706055</v>
      </c>
      <c r="C13">
        <v>0.94545179605484009</v>
      </c>
      <c r="D13" s="13">
        <v>2.9756652656942606E-3</v>
      </c>
      <c r="E13" s="13">
        <v>2.0047910511493683E-3</v>
      </c>
      <c r="F13"/>
      <c r="G13"/>
      <c r="H13"/>
      <c r="I13"/>
      <c r="J13"/>
      <c r="K13"/>
      <c r="L13"/>
      <c r="M13" s="11">
        <v>9.1943387815263122E-5</v>
      </c>
      <c r="N13" s="11">
        <v>8.007917131180875E-6</v>
      </c>
      <c r="O13"/>
      <c r="P13"/>
      <c r="Q13"/>
      <c r="R13" s="187">
        <v>0.91466987133026123</v>
      </c>
      <c r="S13"/>
      <c r="T13" s="57">
        <v>4.2797837406396866E-2</v>
      </c>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204</v>
      </c>
      <c r="B14">
        <v>4.3619999885559082</v>
      </c>
      <c r="C14">
        <v>3.8515169620513916</v>
      </c>
      <c r="D14" s="11">
        <v>1.0292871156707406E-3</v>
      </c>
      <c r="E14"/>
      <c r="F14"/>
      <c r="G14"/>
      <c r="H14"/>
      <c r="I14" s="11">
        <v>3.3429253380745649E-3</v>
      </c>
      <c r="J14"/>
      <c r="K14"/>
      <c r="L14" s="11">
        <v>4.8941939894575626E-5</v>
      </c>
      <c r="M14" s="11">
        <v>3.1773632508702576E-4</v>
      </c>
      <c r="N14"/>
      <c r="O14"/>
      <c r="P14"/>
      <c r="Q14"/>
      <c r="R14" s="181">
        <v>0.50574404001235962</v>
      </c>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205</v>
      </c>
      <c r="B15">
        <v>2.7100000381469727</v>
      </c>
      <c r="C15">
        <v>0.13549987971782684</v>
      </c>
      <c r="D15" s="18">
        <v>2.3566380143165588E-2</v>
      </c>
      <c r="E15" s="13">
        <v>3.3928134944289923E-3</v>
      </c>
      <c r="F15" s="11">
        <v>1.3110123109072447E-3</v>
      </c>
      <c r="G15"/>
      <c r="H15" s="11">
        <v>4.5050878543406725E-4</v>
      </c>
      <c r="I15" s="13">
        <v>4.53215092420578E-3</v>
      </c>
      <c r="J15" s="11">
        <v>2.363148087169975E-5</v>
      </c>
      <c r="K15"/>
      <c r="L15" s="11">
        <v>8.770765271037817E-4</v>
      </c>
      <c r="M15" s="11">
        <v>7.9772062599658966E-4</v>
      </c>
      <c r="N15" s="11">
        <v>6.9478410296142101E-5</v>
      </c>
      <c r="O15"/>
      <c r="P15"/>
      <c r="Q15"/>
      <c r="R15" s="183">
        <v>2.5394794940948486</v>
      </c>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206</v>
      </c>
      <c r="B16">
        <v>1.3380000591278076</v>
      </c>
      <c r="C16">
        <v>1.322415828704834</v>
      </c>
      <c r="D16" s="12">
        <v>5.8264276012778282E-3</v>
      </c>
      <c r="E16" s="11">
        <v>8.3288620226085186E-4</v>
      </c>
      <c r="F16"/>
      <c r="G16"/>
      <c r="H16"/>
      <c r="I16"/>
      <c r="J16"/>
      <c r="K16"/>
      <c r="L16"/>
      <c r="M16"/>
      <c r="N16"/>
      <c r="O16"/>
      <c r="P16"/>
      <c r="Q16" s="11">
        <v>1.0245629819110036E-3</v>
      </c>
      <c r="R16"/>
      <c r="S16"/>
      <c r="T16"/>
      <c r="U16"/>
      <c r="V16" s="11">
        <v>3.7609110586345196E-4</v>
      </c>
      <c r="W16" s="19">
        <v>7.524244487285614E-3</v>
      </c>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207</v>
      </c>
      <c r="B17">
        <v>1</v>
      </c>
      <c r="C17">
        <v>0.96821135282516479</v>
      </c>
      <c r="D17" s="12">
        <v>4.4469642452895641E-3</v>
      </c>
      <c r="E17" s="12">
        <v>4.232598003000021E-3</v>
      </c>
      <c r="F17"/>
      <c r="G17"/>
      <c r="H17"/>
      <c r="I17"/>
      <c r="J17"/>
      <c r="K17"/>
      <c r="L17"/>
      <c r="M17"/>
      <c r="N17"/>
      <c r="O17"/>
      <c r="P17"/>
      <c r="Q17" s="13">
        <v>2.6528860908001661E-3</v>
      </c>
      <c r="R17"/>
      <c r="S17"/>
      <c r="T17"/>
      <c r="U17"/>
      <c r="V17" s="11">
        <v>9.7380724037066102E-4</v>
      </c>
      <c r="W17" s="17">
        <v>1.9482417032122612E-2</v>
      </c>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208</v>
      </c>
      <c r="B18">
        <v>0.81999999284744263</v>
      </c>
      <c r="C18">
        <v>0.81789690256118774</v>
      </c>
      <c r="D18" s="13">
        <v>1.0369975352659822E-3</v>
      </c>
      <c r="E18" s="13">
        <v>1.0661203414201736E-3</v>
      </c>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209</v>
      </c>
      <c r="B19">
        <v>13.939999580383301</v>
      </c>
      <c r="C19">
        <v>13.254636764526367</v>
      </c>
      <c r="D19" s="11">
        <v>7.2007686831057072E-3</v>
      </c>
      <c r="E19" s="11">
        <v>2.6328088715672493E-3</v>
      </c>
      <c r="F19" s="11">
        <v>2.406497806077823E-4</v>
      </c>
      <c r="G19" s="11">
        <v>2.1627799924317515E-6</v>
      </c>
      <c r="H19" s="11">
        <v>5.5843964219093323E-5</v>
      </c>
      <c r="I19"/>
      <c r="J19" s="11">
        <v>1.4732154340890702E-6</v>
      </c>
      <c r="K19"/>
      <c r="L19"/>
      <c r="M19"/>
      <c r="N19" s="11">
        <v>1.6415888967458159E-4</v>
      </c>
      <c r="O19" s="11">
        <v>5.2333134226500988E-3</v>
      </c>
      <c r="P19"/>
      <c r="Q19"/>
      <c r="R19" s="19">
        <v>7.9157121479511261E-2</v>
      </c>
      <c r="S19" s="15">
        <v>0.2066756933927536</v>
      </c>
      <c r="T19" s="12">
        <v>4.6297486871480942E-2</v>
      </c>
      <c r="U19" s="13">
        <v>2.0034071058034897E-2</v>
      </c>
      <c r="V19"/>
      <c r="W19"/>
      <c r="X19"/>
      <c r="Y19"/>
      <c r="Z19" s="185">
        <v>0.31766709685325623</v>
      </c>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210</v>
      </c>
      <c r="B20">
        <v>3.0999999046325684</v>
      </c>
      <c r="C20">
        <v>1.4826425313949585</v>
      </c>
      <c r="D20" s="13">
        <v>6.3560330308973789E-3</v>
      </c>
      <c r="E20" s="13">
        <v>3.9869514293968678E-3</v>
      </c>
      <c r="F20" s="11">
        <v>1.4099365216679871E-4</v>
      </c>
      <c r="G20"/>
      <c r="H20" s="11">
        <v>5.9597118706733454E-6</v>
      </c>
      <c r="I20" s="11">
        <v>7.1057940658647567E-5</v>
      </c>
      <c r="J20"/>
      <c r="K20"/>
      <c r="L20"/>
      <c r="M20"/>
      <c r="N20" s="11">
        <v>4.4117728066339623E-6</v>
      </c>
      <c r="O20" s="13">
        <v>4.057910293340683E-3</v>
      </c>
      <c r="P20" s="190">
        <v>0.41948175430297852</v>
      </c>
      <c r="Q20" s="191">
        <v>0.21200075745582581</v>
      </c>
      <c r="R20" s="193">
        <v>0.60889816284179688</v>
      </c>
      <c r="S20"/>
      <c r="T20" s="18">
        <v>2.7016982436180115E-2</v>
      </c>
      <c r="U20"/>
      <c r="V20" s="188">
        <v>0.15164816379547119</v>
      </c>
      <c r="W20" s="19">
        <v>1.9720118492841721E-2</v>
      </c>
      <c r="X20"/>
      <c r="Y20"/>
      <c r="Z20" s="189">
        <v>0.16396823525428772</v>
      </c>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211</v>
      </c>
      <c r="B21">
        <v>2.6119999885559082</v>
      </c>
      <c r="C21">
        <v>1.5379781723022461</v>
      </c>
      <c r="D21" s="13">
        <v>4.5711882412433624E-3</v>
      </c>
      <c r="E21" s="13">
        <v>7.3751173913478851E-3</v>
      </c>
      <c r="F21" s="11">
        <v>5.5815169616835192E-5</v>
      </c>
      <c r="G21" s="11">
        <v>5.4204710977501236E-6</v>
      </c>
      <c r="H21" s="11">
        <v>2.888043673010543E-5</v>
      </c>
      <c r="I21" s="11">
        <v>1.0790337109938264E-3</v>
      </c>
      <c r="J21" s="11">
        <v>5.2746412393389619E-7</v>
      </c>
      <c r="K21"/>
      <c r="L21"/>
      <c r="M21"/>
      <c r="N21" s="11">
        <v>5.8929863371304236E-6</v>
      </c>
      <c r="O21" s="11">
        <v>2.3073793854564428E-3</v>
      </c>
      <c r="P21" s="190">
        <v>0.3538326621055603</v>
      </c>
      <c r="Q21" s="186">
        <v>0.3576987087726593</v>
      </c>
      <c r="R21"/>
      <c r="S21"/>
      <c r="T21" s="14">
        <v>2.4864250794053078E-2</v>
      </c>
      <c r="U21"/>
      <c r="V21" s="184">
        <v>8.5317276418209076E-2</v>
      </c>
      <c r="W21" s="20">
        <v>8.3182021975517273E-2</v>
      </c>
      <c r="X21"/>
      <c r="Y21"/>
      <c r="Z21" s="58">
        <v>0.15369763970375061</v>
      </c>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212</v>
      </c>
      <c r="B22">
        <v>4.6999998092651367</v>
      </c>
      <c r="C22">
        <v>1.2006872892379761</v>
      </c>
      <c r="D22" s="12">
        <v>1.5694858506321907E-2</v>
      </c>
      <c r="E22" s="11">
        <v>2.701643155887723E-3</v>
      </c>
      <c r="F22"/>
      <c r="G22"/>
      <c r="H22"/>
      <c r="I22"/>
      <c r="J22"/>
      <c r="K22"/>
      <c r="L22" s="11">
        <v>3.9336076588369906E-4</v>
      </c>
      <c r="M22" s="18">
        <v>4.1260663419961929E-2</v>
      </c>
      <c r="N22" s="11">
        <v>1.1059913958888501E-4</v>
      </c>
      <c r="O22" s="19">
        <v>2.472558431327343E-2</v>
      </c>
      <c r="P22"/>
      <c r="Q22" s="186">
        <v>0.64870846271514893</v>
      </c>
      <c r="R22" s="192">
        <v>2.4686825275421143</v>
      </c>
      <c r="S22"/>
      <c r="T22"/>
      <c r="U22"/>
      <c r="V22" s="21">
        <v>0.11589325964450836</v>
      </c>
      <c r="W22" s="182">
        <v>0.18114154040813446</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213</v>
      </c>
      <c r="B23">
        <v>6.4429998397827148</v>
      </c>
      <c r="C23">
        <v>6.352531909942627</v>
      </c>
      <c r="D23" s="11">
        <v>4.4569594319909811E-4</v>
      </c>
      <c r="E23" s="11">
        <v>1.8267419363837689E-4</v>
      </c>
      <c r="F23"/>
      <c r="G23"/>
      <c r="H23"/>
      <c r="I23"/>
      <c r="J23"/>
      <c r="K23"/>
      <c r="L23"/>
      <c r="M23" s="11">
        <v>5.2916526328772306E-5</v>
      </c>
      <c r="N23"/>
      <c r="O23"/>
      <c r="P23"/>
      <c r="Q23"/>
      <c r="R23"/>
      <c r="S23" s="16">
        <v>8.9786529541015625E-2</v>
      </c>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214</v>
      </c>
      <c r="B24">
        <v>4.3340001106262207</v>
      </c>
      <c r="C24">
        <v>1.2039047479629517</v>
      </c>
      <c r="D24" s="11">
        <v>1.707116280158516E-5</v>
      </c>
      <c r="E24"/>
      <c r="F24"/>
      <c r="G24"/>
      <c r="H24"/>
      <c r="I24"/>
      <c r="J24"/>
      <c r="K24"/>
      <c r="L24"/>
      <c r="M24" s="11">
        <v>6.3122770370682701E-6</v>
      </c>
      <c r="N24"/>
      <c r="O24"/>
      <c r="P24"/>
      <c r="Q24"/>
      <c r="R24"/>
      <c r="S24" s="11">
        <v>1.2917418498545885E-3</v>
      </c>
      <c r="T24"/>
      <c r="U24" s="11">
        <v>2.7452933136373758E-3</v>
      </c>
      <c r="V24"/>
      <c r="W24" s="195">
        <v>0.242232546210289</v>
      </c>
      <c r="X24"/>
      <c r="Y24"/>
      <c r="Z24" s="57">
        <v>8.9515902101993561E-2</v>
      </c>
      <c r="AA24" s="187">
        <v>2.0741546154022217</v>
      </c>
      <c r="AB24" s="196">
        <v>0.72013199329376221</v>
      </c>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215</v>
      </c>
      <c r="B25">
        <v>107.36000061035156</v>
      </c>
      <c r="C25">
        <v>72.291168212890625</v>
      </c>
      <c r="D25"/>
      <c r="E25"/>
      <c r="F25"/>
      <c r="G25"/>
      <c r="H25"/>
      <c r="I25"/>
      <c r="J25"/>
      <c r="K25"/>
      <c r="L25"/>
      <c r="M25"/>
      <c r="N25"/>
      <c r="O25"/>
      <c r="P25"/>
      <c r="Q25"/>
      <c r="R25"/>
      <c r="S25"/>
      <c r="T25"/>
      <c r="U25" s="11">
        <v>2.5600001215934753E-2</v>
      </c>
      <c r="V25"/>
      <c r="W25" s="197">
        <v>7.7929673194885254</v>
      </c>
      <c r="X25"/>
      <c r="Y25"/>
      <c r="Z25"/>
      <c r="AA25" s="198">
        <v>7.943871021270752</v>
      </c>
      <c r="AB25" s="199">
        <v>19.306396484375</v>
      </c>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216</v>
      </c>
      <c r="B26">
        <v>58.355998992919922</v>
      </c>
      <c r="C26">
        <v>33.462501525878906</v>
      </c>
      <c r="D26"/>
      <c r="E26"/>
      <c r="F26" s="11">
        <v>8.4383391367737204E-5</v>
      </c>
      <c r="G26" s="11">
        <v>2.4116317217703909E-4</v>
      </c>
      <c r="H26" s="11">
        <v>2.9726423235842958E-5</v>
      </c>
      <c r="I26" s="11">
        <v>1.4359382912516594E-3</v>
      </c>
      <c r="J26" s="11">
        <v>4.6935008867876604E-5</v>
      </c>
      <c r="K26" s="11">
        <v>4.5444507122738287E-5</v>
      </c>
      <c r="L26"/>
      <c r="M26"/>
      <c r="N26"/>
      <c r="O26" s="11">
        <v>5.0842161290347576E-3</v>
      </c>
      <c r="P26"/>
      <c r="Q26" s="15">
        <v>0.90939652919769287</v>
      </c>
      <c r="R26"/>
      <c r="S26" s="11">
        <v>1.7300542443990707E-2</v>
      </c>
      <c r="T26" s="11">
        <v>4.4776376336812973E-2</v>
      </c>
      <c r="U26"/>
      <c r="V26" s="19">
        <v>0.29814097285270691</v>
      </c>
      <c r="W26" s="21">
        <v>1.4803466796875</v>
      </c>
      <c r="X26" s="200">
        <v>13.568264007568359</v>
      </c>
      <c r="Y26" s="59">
        <v>5.407585620880127</v>
      </c>
      <c r="Z26" s="17">
        <v>1.1195093393325806</v>
      </c>
      <c r="AA26" s="22">
        <v>2.0412082672119141</v>
      </c>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217</v>
      </c>
      <c r="B27">
        <v>138.18899536132812</v>
      </c>
      <c r="C27">
        <v>67.002906799316406</v>
      </c>
      <c r="D27"/>
      <c r="E27"/>
      <c r="F27"/>
      <c r="G27"/>
      <c r="H27"/>
      <c r="I27"/>
      <c r="J27"/>
      <c r="K27"/>
      <c r="L27"/>
      <c r="M27"/>
      <c r="N27"/>
      <c r="O27"/>
      <c r="P27"/>
      <c r="Q27"/>
      <c r="R27"/>
      <c r="S27"/>
      <c r="T27"/>
      <c r="U27"/>
      <c r="V27"/>
      <c r="W27" s="19">
        <v>0.67844253778457642</v>
      </c>
      <c r="X27" s="18">
        <v>0.99684876203536987</v>
      </c>
      <c r="Y27" s="13">
        <v>0.34015819430351257</v>
      </c>
      <c r="Z27"/>
      <c r="AA27" s="11">
        <v>2.5425733998417854E-2</v>
      </c>
      <c r="AB27"/>
      <c r="AC27"/>
      <c r="AD27" s="201">
        <v>69.145217895507812</v>
      </c>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218</v>
      </c>
      <c r="B28"/>
      <c r="C28">
        <v>0.36953970789909363</v>
      </c>
      <c r="D28"/>
      <c r="E28"/>
      <c r="F28"/>
      <c r="G28"/>
      <c r="H28"/>
      <c r="I28"/>
      <c r="J28"/>
      <c r="K28"/>
      <c r="L28"/>
      <c r="M28"/>
      <c r="N28"/>
      <c r="O28"/>
      <c r="P28"/>
      <c r="Q28"/>
      <c r="R28"/>
      <c r="S28"/>
      <c r="T28"/>
      <c r="U28"/>
      <c r="V28"/>
      <c r="W28" s="194">
        <v>20.94749641418457</v>
      </c>
      <c r="X28"/>
      <c r="Y28"/>
      <c r="Z28"/>
      <c r="AA28" s="194">
        <v>55.8851318359375</v>
      </c>
      <c r="AB28" s="194">
        <v>3401.59375</v>
      </c>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219</v>
      </c>
      <c r="B29"/>
      <c r="C29">
        <v>0</v>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21.6640625" bestFit="1" customWidth="1"/>
    <col min="5" max="5" width="3.33203125" bestFit="1" customWidth="1"/>
    <col min="6" max="6" width="4.83203125" bestFit="1" customWidth="1"/>
    <col min="7" max="7" width="3.33203125" bestFit="1" customWidth="1"/>
    <col min="8" max="8" width="21.66406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47"/>
      <c r="D1" s="1" t="s">
        <v>32</v>
      </c>
      <c r="E1" s="1" t="s">
        <v>33</v>
      </c>
      <c r="F1" s="1" t="s">
        <v>34</v>
      </c>
      <c r="G1" s="1" t="s">
        <v>35</v>
      </c>
      <c r="H1" s="1" t="s">
        <v>36</v>
      </c>
      <c r="J1" s="1" t="s">
        <v>130</v>
      </c>
      <c r="K1" s="1" t="s">
        <v>131</v>
      </c>
      <c r="L1" s="55" t="s">
        <v>166</v>
      </c>
    </row>
    <row r="2" spans="1:12" x14ac:dyDescent="0.15">
      <c r="A2" s="1" t="s">
        <v>37</v>
      </c>
      <c r="B2" s="32">
        <v>3</v>
      </c>
      <c r="C2" s="30"/>
      <c r="D2" t="s">
        <v>38</v>
      </c>
      <c r="E2">
        <v>1</v>
      </c>
      <c r="F2">
        <v>1</v>
      </c>
      <c r="G2">
        <v>1</v>
      </c>
      <c r="H2" t="s">
        <v>38</v>
      </c>
      <c r="J2" s="48"/>
      <c r="K2" s="49"/>
      <c r="L2" s="55" t="s">
        <v>167</v>
      </c>
    </row>
    <row r="3" spans="1:12" ht="14" thickBot="1" x14ac:dyDescent="0.2">
      <c r="A3" s="1" t="s">
        <v>39</v>
      </c>
      <c r="B3" s="33">
        <v>0</v>
      </c>
      <c r="C3" s="30"/>
      <c r="D3" t="s">
        <v>40</v>
      </c>
      <c r="E3">
        <v>2</v>
      </c>
      <c r="F3">
        <v>1.1000000000000001</v>
      </c>
      <c r="G3">
        <v>2</v>
      </c>
      <c r="H3" t="s">
        <v>40</v>
      </c>
      <c r="J3" s="50"/>
      <c r="K3" s="51"/>
    </row>
    <row r="4" spans="1:12" x14ac:dyDescent="0.15">
      <c r="D4" t="s">
        <v>41</v>
      </c>
      <c r="E4">
        <v>3</v>
      </c>
      <c r="F4">
        <v>1.2</v>
      </c>
      <c r="G4">
        <v>3</v>
      </c>
      <c r="H4" t="s">
        <v>41</v>
      </c>
      <c r="J4" s="50"/>
      <c r="K4" s="51"/>
    </row>
    <row r="5" spans="1:12" x14ac:dyDescent="0.15">
      <c r="D5" s="172" t="s">
        <v>192</v>
      </c>
      <c r="E5">
        <v>4</v>
      </c>
      <c r="F5">
        <v>3.13</v>
      </c>
      <c r="G5">
        <v>4</v>
      </c>
      <c r="H5" s="173" t="s">
        <v>192</v>
      </c>
      <c r="J5" s="50"/>
      <c r="K5" s="51"/>
    </row>
    <row r="6" spans="1:12" ht="14" thickBot="1" x14ac:dyDescent="0.2">
      <c r="A6" s="34" t="s">
        <v>121</v>
      </c>
      <c r="D6" s="172" t="s">
        <v>193</v>
      </c>
      <c r="E6">
        <v>5</v>
      </c>
      <c r="F6">
        <v>3.13</v>
      </c>
      <c r="G6">
        <v>5</v>
      </c>
      <c r="H6" s="173" t="s">
        <v>193</v>
      </c>
      <c r="J6" s="50"/>
      <c r="K6" s="51"/>
    </row>
    <row r="7" spans="1:12" x14ac:dyDescent="0.15">
      <c r="A7" s="29" t="s">
        <v>126</v>
      </c>
      <c r="B7" s="36">
        <v>1</v>
      </c>
      <c r="C7" s="31"/>
      <c r="D7" s="172" t="s">
        <v>194</v>
      </c>
      <c r="E7">
        <v>6</v>
      </c>
      <c r="F7">
        <v>3.13</v>
      </c>
      <c r="G7">
        <v>6</v>
      </c>
      <c r="H7" s="173" t="s">
        <v>194</v>
      </c>
      <c r="J7" s="50"/>
      <c r="K7" s="51"/>
    </row>
    <row r="8" spans="1:12" x14ac:dyDescent="0.15">
      <c r="A8" s="29" t="s">
        <v>38</v>
      </c>
      <c r="B8" s="37">
        <v>1</v>
      </c>
      <c r="C8" s="31"/>
      <c r="D8" s="172" t="s">
        <v>195</v>
      </c>
      <c r="E8">
        <v>7</v>
      </c>
      <c r="F8">
        <v>3.13</v>
      </c>
      <c r="G8">
        <v>7</v>
      </c>
      <c r="H8" s="173" t="s">
        <v>195</v>
      </c>
      <c r="J8" s="50"/>
      <c r="K8" s="51"/>
    </row>
    <row r="9" spans="1:12" x14ac:dyDescent="0.15">
      <c r="A9" s="29" t="s">
        <v>40</v>
      </c>
      <c r="B9" s="37">
        <v>1.1000000000000001</v>
      </c>
      <c r="C9" s="31"/>
      <c r="D9" s="172" t="s">
        <v>196</v>
      </c>
      <c r="E9">
        <v>8</v>
      </c>
      <c r="F9">
        <v>3.13</v>
      </c>
      <c r="G9">
        <v>8</v>
      </c>
      <c r="H9" s="173" t="s">
        <v>196</v>
      </c>
      <c r="J9" s="50"/>
      <c r="K9" s="51"/>
    </row>
    <row r="10" spans="1:12" x14ac:dyDescent="0.15">
      <c r="A10" s="29" t="s">
        <v>41</v>
      </c>
      <c r="B10" s="37">
        <v>1.2</v>
      </c>
      <c r="C10" s="31"/>
      <c r="D10" s="172" t="s">
        <v>197</v>
      </c>
      <c r="E10">
        <v>9</v>
      </c>
      <c r="F10">
        <v>3.13</v>
      </c>
      <c r="G10">
        <v>9</v>
      </c>
      <c r="H10" s="173" t="s">
        <v>197</v>
      </c>
      <c r="J10" s="50"/>
      <c r="K10" s="51"/>
    </row>
    <row r="11" spans="1:12" ht="12" customHeight="1" x14ac:dyDescent="0.15">
      <c r="A11" s="35" t="s">
        <v>127</v>
      </c>
      <c r="B11" s="37">
        <v>2</v>
      </c>
      <c r="C11" s="31"/>
      <c r="D11" s="172" t="s">
        <v>198</v>
      </c>
      <c r="E11">
        <v>10</v>
      </c>
      <c r="F11">
        <v>3.13</v>
      </c>
      <c r="G11">
        <v>10</v>
      </c>
      <c r="H11" s="173" t="s">
        <v>198</v>
      </c>
      <c r="J11" s="50"/>
      <c r="K11" s="51"/>
    </row>
    <row r="12" spans="1:12" x14ac:dyDescent="0.15">
      <c r="A12" s="29" t="s">
        <v>42</v>
      </c>
      <c r="B12" s="37">
        <v>2.1</v>
      </c>
      <c r="C12" s="31"/>
      <c r="D12" s="172" t="s">
        <v>199</v>
      </c>
      <c r="E12">
        <v>11</v>
      </c>
      <c r="F12">
        <v>3.13</v>
      </c>
      <c r="G12">
        <v>11</v>
      </c>
      <c r="H12" s="173" t="s">
        <v>199</v>
      </c>
      <c r="J12" s="50"/>
      <c r="K12" s="51"/>
    </row>
    <row r="13" spans="1:12" x14ac:dyDescent="0.15">
      <c r="A13" s="29" t="s">
        <v>43</v>
      </c>
      <c r="B13" s="37">
        <v>2.2000000000000002</v>
      </c>
      <c r="C13" s="31"/>
      <c r="D13" s="172" t="s">
        <v>200</v>
      </c>
      <c r="E13">
        <v>12</v>
      </c>
      <c r="F13">
        <v>3.13</v>
      </c>
      <c r="G13">
        <v>12</v>
      </c>
      <c r="H13" s="173" t="s">
        <v>200</v>
      </c>
      <c r="J13" s="50"/>
      <c r="K13" s="51"/>
    </row>
    <row r="14" spans="1:12" x14ac:dyDescent="0.15">
      <c r="A14" s="29" t="s">
        <v>67</v>
      </c>
      <c r="B14" s="37">
        <v>2.2999999999999998</v>
      </c>
      <c r="C14" s="31"/>
      <c r="D14" s="172" t="s">
        <v>201</v>
      </c>
      <c r="E14">
        <v>13</v>
      </c>
      <c r="F14">
        <v>3.13</v>
      </c>
      <c r="G14">
        <v>13</v>
      </c>
      <c r="H14" s="173" t="s">
        <v>201</v>
      </c>
      <c r="J14" s="50"/>
      <c r="K14" s="51"/>
    </row>
    <row r="15" spans="1:12" x14ac:dyDescent="0.15">
      <c r="A15" s="35" t="s">
        <v>128</v>
      </c>
      <c r="B15" s="37">
        <v>3</v>
      </c>
      <c r="C15" s="31"/>
      <c r="D15" s="172" t="s">
        <v>202</v>
      </c>
      <c r="E15">
        <v>14</v>
      </c>
      <c r="F15">
        <v>3.13</v>
      </c>
      <c r="G15">
        <v>14</v>
      </c>
      <c r="H15" s="173" t="s">
        <v>202</v>
      </c>
      <c r="J15" s="50"/>
      <c r="K15" s="51"/>
    </row>
    <row r="16" spans="1:12" x14ac:dyDescent="0.15">
      <c r="A16" s="29" t="s">
        <v>62</v>
      </c>
      <c r="B16" s="37">
        <v>3.11</v>
      </c>
      <c r="C16" s="31"/>
      <c r="D16" s="172" t="s">
        <v>203</v>
      </c>
      <c r="E16">
        <v>15</v>
      </c>
      <c r="F16">
        <v>3.1</v>
      </c>
      <c r="G16">
        <v>15</v>
      </c>
      <c r="H16" s="173" t="s">
        <v>203</v>
      </c>
      <c r="J16" s="50"/>
      <c r="K16" s="51"/>
    </row>
    <row r="17" spans="1:12" x14ac:dyDescent="0.15">
      <c r="A17" s="29" t="s">
        <v>61</v>
      </c>
      <c r="B17" s="37">
        <v>3.12</v>
      </c>
      <c r="C17" s="31"/>
      <c r="D17" s="172" t="s">
        <v>204</v>
      </c>
      <c r="E17">
        <v>16</v>
      </c>
      <c r="F17">
        <v>3.1</v>
      </c>
      <c r="G17">
        <v>16</v>
      </c>
      <c r="H17" s="173" t="s">
        <v>204</v>
      </c>
      <c r="J17" s="50"/>
      <c r="K17" s="51"/>
    </row>
    <row r="18" spans="1:12" x14ac:dyDescent="0.15">
      <c r="A18" s="29" t="s">
        <v>68</v>
      </c>
      <c r="B18" s="37">
        <v>3.13</v>
      </c>
      <c r="C18" s="31"/>
      <c r="D18" s="172" t="s">
        <v>205</v>
      </c>
      <c r="E18">
        <v>17</v>
      </c>
      <c r="F18">
        <v>3.2</v>
      </c>
      <c r="G18">
        <v>17</v>
      </c>
      <c r="H18" s="173" t="s">
        <v>205</v>
      </c>
      <c r="J18" s="50"/>
      <c r="K18" s="51"/>
    </row>
    <row r="19" spans="1:12" x14ac:dyDescent="0.15">
      <c r="A19" s="29" t="s">
        <v>66</v>
      </c>
      <c r="B19" s="37">
        <v>3.21</v>
      </c>
      <c r="C19" s="31"/>
      <c r="D19" s="172" t="s">
        <v>206</v>
      </c>
      <c r="E19">
        <v>18</v>
      </c>
      <c r="F19">
        <v>3.12</v>
      </c>
      <c r="G19">
        <v>18</v>
      </c>
      <c r="H19" s="173" t="s">
        <v>206</v>
      </c>
      <c r="J19" s="50"/>
      <c r="K19" s="51"/>
    </row>
    <row r="20" spans="1:12" x14ac:dyDescent="0.15">
      <c r="A20" s="29" t="s">
        <v>63</v>
      </c>
      <c r="B20" s="37">
        <v>3.22</v>
      </c>
      <c r="C20" s="31"/>
      <c r="D20" s="172" t="s">
        <v>207</v>
      </c>
      <c r="E20">
        <v>19</v>
      </c>
      <c r="F20">
        <v>3.22</v>
      </c>
      <c r="G20">
        <v>19</v>
      </c>
      <c r="H20" s="173" t="s">
        <v>207</v>
      </c>
      <c r="J20" s="50"/>
      <c r="K20" s="51"/>
    </row>
    <row r="21" spans="1:12" ht="14" thickBot="1" x14ac:dyDescent="0.2">
      <c r="A21" s="29" t="s">
        <v>69</v>
      </c>
      <c r="B21" s="37">
        <v>3.23</v>
      </c>
      <c r="C21" s="31"/>
      <c r="D21" s="172" t="s">
        <v>208</v>
      </c>
      <c r="E21">
        <v>20</v>
      </c>
      <c r="F21">
        <v>3.12</v>
      </c>
      <c r="G21">
        <v>20</v>
      </c>
      <c r="H21" s="173" t="s">
        <v>208</v>
      </c>
      <c r="J21" s="52"/>
      <c r="K21" s="53"/>
      <c r="L21" s="55" t="s">
        <v>152</v>
      </c>
    </row>
    <row r="22" spans="1:12" x14ac:dyDescent="0.15">
      <c r="A22" s="29" t="s">
        <v>64</v>
      </c>
      <c r="B22" s="37">
        <v>8</v>
      </c>
      <c r="C22" s="31"/>
      <c r="D22" s="172" t="s">
        <v>209</v>
      </c>
      <c r="E22">
        <v>21</v>
      </c>
      <c r="F22">
        <v>3.2</v>
      </c>
      <c r="G22">
        <v>21</v>
      </c>
      <c r="H22" s="173" t="s">
        <v>209</v>
      </c>
    </row>
    <row r="23" spans="1:12" x14ac:dyDescent="0.15">
      <c r="A23" s="29" t="s">
        <v>129</v>
      </c>
      <c r="B23" s="37">
        <v>4</v>
      </c>
      <c r="C23" s="31"/>
      <c r="D23" s="172" t="s">
        <v>210</v>
      </c>
      <c r="E23">
        <v>22</v>
      </c>
      <c r="F23">
        <v>3.12</v>
      </c>
      <c r="G23">
        <v>22</v>
      </c>
      <c r="H23" s="173" t="s">
        <v>210</v>
      </c>
    </row>
    <row r="24" spans="1:12" x14ac:dyDescent="0.15">
      <c r="A24" s="29" t="s">
        <v>122</v>
      </c>
      <c r="B24" s="37">
        <v>4.0999999999999996</v>
      </c>
      <c r="C24" s="31"/>
      <c r="D24" s="172" t="s">
        <v>211</v>
      </c>
      <c r="E24">
        <v>23</v>
      </c>
      <c r="F24">
        <v>3.1</v>
      </c>
      <c r="G24">
        <v>23</v>
      </c>
      <c r="H24" s="173" t="s">
        <v>211</v>
      </c>
    </row>
    <row r="25" spans="1:12" x14ac:dyDescent="0.15">
      <c r="A25" s="29" t="s">
        <v>70</v>
      </c>
      <c r="B25" s="37">
        <v>4.2</v>
      </c>
      <c r="C25" s="31"/>
      <c r="D25" s="172" t="s">
        <v>212</v>
      </c>
      <c r="E25">
        <v>24</v>
      </c>
      <c r="F25">
        <v>3.12</v>
      </c>
      <c r="G25">
        <v>24</v>
      </c>
      <c r="H25" s="173" t="s">
        <v>212</v>
      </c>
    </row>
    <row r="26" spans="1:12" x14ac:dyDescent="0.15">
      <c r="A26" s="29" t="s">
        <v>123</v>
      </c>
      <c r="B26" s="37">
        <v>4.3</v>
      </c>
      <c r="C26" s="31"/>
      <c r="D26" s="172" t="s">
        <v>213</v>
      </c>
      <c r="E26">
        <v>25</v>
      </c>
      <c r="F26">
        <v>3</v>
      </c>
      <c r="G26">
        <v>25</v>
      </c>
      <c r="H26" s="173" t="s">
        <v>213</v>
      </c>
    </row>
    <row r="27" spans="1:12" x14ac:dyDescent="0.15">
      <c r="A27" s="29" t="s">
        <v>125</v>
      </c>
      <c r="B27" s="37">
        <v>6.1</v>
      </c>
      <c r="D27" s="172" t="s">
        <v>214</v>
      </c>
      <c r="E27">
        <v>26</v>
      </c>
      <c r="F27">
        <v>3.21</v>
      </c>
      <c r="G27">
        <v>26</v>
      </c>
      <c r="H27" s="173" t="s">
        <v>214</v>
      </c>
    </row>
    <row r="28" spans="1:12" x14ac:dyDescent="0.15">
      <c r="A28" s="29" t="s">
        <v>124</v>
      </c>
      <c r="B28" s="37">
        <v>6.2</v>
      </c>
      <c r="D28" s="172" t="s">
        <v>215</v>
      </c>
      <c r="E28">
        <v>27</v>
      </c>
      <c r="F28">
        <v>2</v>
      </c>
      <c r="G28">
        <v>27</v>
      </c>
      <c r="H28" s="173" t="s">
        <v>215</v>
      </c>
    </row>
    <row r="29" spans="1:12" x14ac:dyDescent="0.15">
      <c r="A29" s="29" t="s">
        <v>44</v>
      </c>
      <c r="B29" s="37">
        <v>5</v>
      </c>
      <c r="D29" s="172" t="s">
        <v>216</v>
      </c>
      <c r="E29">
        <v>28</v>
      </c>
      <c r="F29">
        <v>3.11</v>
      </c>
      <c r="G29">
        <v>28</v>
      </c>
      <c r="H29" s="173" t="s">
        <v>216</v>
      </c>
    </row>
    <row r="30" spans="1:12" x14ac:dyDescent="0.15">
      <c r="A30" s="29" t="s">
        <v>73</v>
      </c>
      <c r="B30" s="37">
        <v>7</v>
      </c>
      <c r="D30" s="172" t="s">
        <v>217</v>
      </c>
      <c r="E30">
        <v>29</v>
      </c>
      <c r="F30">
        <v>2</v>
      </c>
      <c r="G30">
        <v>29</v>
      </c>
      <c r="H30" s="173" t="s">
        <v>217</v>
      </c>
    </row>
    <row r="31" spans="1:12" x14ac:dyDescent="0.15">
      <c r="A31" s="29" t="s">
        <v>169</v>
      </c>
      <c r="B31" s="37">
        <v>3.14</v>
      </c>
      <c r="D31" s="172" t="s">
        <v>218</v>
      </c>
      <c r="E31">
        <v>30</v>
      </c>
      <c r="F31">
        <v>4.0999999999999996</v>
      </c>
      <c r="G31">
        <v>30</v>
      </c>
      <c r="H31" s="173" t="s">
        <v>218</v>
      </c>
    </row>
    <row r="32" spans="1:12" ht="12" customHeight="1" thickBot="1" x14ac:dyDescent="0.2">
      <c r="A32" s="35" t="s">
        <v>170</v>
      </c>
      <c r="B32" s="38">
        <v>9</v>
      </c>
      <c r="D32" s="172" t="s">
        <v>219</v>
      </c>
      <c r="E32">
        <v>31</v>
      </c>
      <c r="F32">
        <v>4.3</v>
      </c>
      <c r="G32">
        <v>31</v>
      </c>
      <c r="H32" s="173" t="s">
        <v>219</v>
      </c>
    </row>
    <row r="33" spans="4:8" customFormat="1" ht="12" customHeight="1" x14ac:dyDescent="0.15">
      <c r="D33" s="172" t="s">
        <v>220</v>
      </c>
      <c r="E33">
        <v>32</v>
      </c>
      <c r="F33">
        <v>5</v>
      </c>
      <c r="G33">
        <v>32</v>
      </c>
      <c r="H33" s="173" t="s">
        <v>220</v>
      </c>
    </row>
    <row r="34" spans="4:8" customFormat="1" ht="12" customHeight="1" x14ac:dyDescent="0.15">
      <c r="D34" s="172" t="s">
        <v>221</v>
      </c>
      <c r="E34">
        <v>33</v>
      </c>
      <c r="F34">
        <v>5</v>
      </c>
      <c r="G34">
        <v>33</v>
      </c>
      <c r="H34" s="173" t="s">
        <v>221</v>
      </c>
    </row>
    <row r="35" spans="4:8" customFormat="1" x14ac:dyDescent="0.15">
      <c r="D35" s="172" t="s">
        <v>138</v>
      </c>
      <c r="E35">
        <v>34</v>
      </c>
      <c r="F35">
        <v>6.1</v>
      </c>
      <c r="G35">
        <v>34</v>
      </c>
      <c r="H35" s="173" t="s">
        <v>138</v>
      </c>
    </row>
    <row r="36" spans="4:8" customFormat="1" x14ac:dyDescent="0.15">
      <c r="D36" s="172" t="s">
        <v>45</v>
      </c>
      <c r="E36">
        <v>35</v>
      </c>
      <c r="F36">
        <v>6.2</v>
      </c>
      <c r="G36">
        <v>35</v>
      </c>
      <c r="H36" s="173" t="s">
        <v>45</v>
      </c>
    </row>
    <row r="37" spans="4:8" customFormat="1" ht="12" customHeight="1" x14ac:dyDescent="0.15"/>
    <row r="38" spans="4:8" customFormat="1" x14ac:dyDescent="0.15"/>
    <row r="39" spans="4:8" customFormat="1" x14ac:dyDescent="0.15"/>
    <row r="40" spans="4:8" customFormat="1" x14ac:dyDescent="0.15"/>
    <row r="41" spans="4:8" customFormat="1" x14ac:dyDescent="0.15"/>
    <row r="42" spans="4:8" customFormat="1" x14ac:dyDescent="0.15"/>
    <row r="43" spans="4:8" customFormat="1" x14ac:dyDescent="0.15"/>
    <row r="44" spans="4:8" customFormat="1" x14ac:dyDescent="0.15"/>
    <row r="45" spans="4:8" customFormat="1" x14ac:dyDescent="0.15"/>
    <row r="46" spans="4:8" customFormat="1" x14ac:dyDescent="0.15"/>
    <row r="47" spans="4:8" customFormat="1" x14ac:dyDescent="0.15"/>
    <row r="48" spans="4:8" customFormat="1" x14ac:dyDescent="0.15"/>
    <row r="49" customFormat="1" x14ac:dyDescent="0.15"/>
    <row r="50" customFormat="1" ht="12" customHeight="1" x14ac:dyDescent="0.15"/>
    <row r="51" customFormat="1" x14ac:dyDescent="0.15"/>
    <row r="52" customFormat="1" ht="12" customHeight="1" x14ac:dyDescent="0.15"/>
    <row r="53" customFormat="1" x14ac:dyDescent="0.15"/>
    <row r="54" customFormat="1" ht="12" customHeight="1" x14ac:dyDescent="0.15"/>
    <row r="55" customFormat="1" ht="12" customHeight="1" x14ac:dyDescent="0.15"/>
    <row r="56" customFormat="1" x14ac:dyDescent="0.15"/>
    <row r="57" customFormat="1" x14ac:dyDescent="0.15"/>
    <row r="58" customFormat="1" x14ac:dyDescent="0.15"/>
    <row r="59" customFormat="1" x14ac:dyDescent="0.15"/>
    <row r="60" customFormat="1" x14ac:dyDescent="0.15"/>
    <row r="61" customFormat="1" x14ac:dyDescent="0.15"/>
    <row r="62" customFormat="1" x14ac:dyDescent="0.15"/>
    <row r="63" customFormat="1" x14ac:dyDescent="0.15"/>
    <row r="64"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16.33203125" style="69" bestFit="1" customWidth="1"/>
    <col min="2" max="2" width="13.83203125" style="68" customWidth="1"/>
    <col min="3" max="3" width="16.33203125" style="68" customWidth="1"/>
    <col min="4" max="4" width="7.83203125" style="68" customWidth="1"/>
    <col min="5" max="5" width="13.83203125" style="68" customWidth="1"/>
    <col min="6" max="6" width="21.6640625" style="68" bestFit="1" customWidth="1"/>
    <col min="7" max="9" width="2.33203125" style="68" customWidth="1"/>
    <col min="10" max="10" width="2.33203125" style="68" bestFit="1" customWidth="1"/>
    <col min="11" max="15" width="2.33203125" style="68" customWidth="1"/>
    <col min="16" max="16" width="2.33203125" style="61" customWidth="1"/>
    <col min="17" max="17" width="2.33203125" style="68" customWidth="1"/>
    <col min="18" max="18" width="2.33203125" style="62" customWidth="1"/>
    <col min="19" max="16384" width="11.5" style="68"/>
  </cols>
  <sheetData>
    <row r="1" spans="1:23" ht="15" customHeight="1" thickBot="1" x14ac:dyDescent="0.2">
      <c r="F1" s="1"/>
      <c r="G1" s="60" t="s">
        <v>46</v>
      </c>
      <c r="H1" s="60" t="s">
        <v>47</v>
      </c>
      <c r="I1" s="60" t="s">
        <v>120</v>
      </c>
      <c r="J1" s="60" t="s">
        <v>132</v>
      </c>
      <c r="K1" s="70" t="s">
        <v>48</v>
      </c>
      <c r="L1" s="62"/>
      <c r="M1" s="70" t="s">
        <v>119</v>
      </c>
      <c r="N1" s="62"/>
      <c r="O1" s="70" t="s">
        <v>49</v>
      </c>
      <c r="P1" s="63"/>
      <c r="Q1" s="70" t="s">
        <v>50</v>
      </c>
      <c r="R1" s="60" t="s">
        <v>154</v>
      </c>
    </row>
    <row r="2" spans="1:23" ht="15" customHeight="1" x14ac:dyDescent="0.15">
      <c r="A2" s="70" t="s">
        <v>51</v>
      </c>
      <c r="B2" s="71">
        <v>0.5</v>
      </c>
      <c r="C2" s="69" t="s">
        <v>52</v>
      </c>
      <c r="D2" s="72"/>
      <c r="F2" s="1"/>
      <c r="G2" s="73"/>
      <c r="H2" s="73"/>
      <c r="I2" s="73" t="s">
        <v>133</v>
      </c>
      <c r="J2" s="73" t="s">
        <v>133</v>
      </c>
      <c r="K2" s="73" t="s">
        <v>52</v>
      </c>
      <c r="L2" s="73" t="s">
        <v>53</v>
      </c>
      <c r="M2" s="73" t="s">
        <v>52</v>
      </c>
      <c r="N2" s="73" t="s">
        <v>53</v>
      </c>
      <c r="O2" s="73" t="s">
        <v>52</v>
      </c>
      <c r="P2" s="74" t="s">
        <v>53</v>
      </c>
      <c r="Q2" s="73"/>
      <c r="R2" s="75" t="s">
        <v>155</v>
      </c>
    </row>
    <row r="3" spans="1:23" ht="15" customHeight="1" thickBot="1" x14ac:dyDescent="0.2">
      <c r="A3" s="70" t="s">
        <v>54</v>
      </c>
      <c r="B3" s="76">
        <v>0.5</v>
      </c>
      <c r="C3" s="69" t="s">
        <v>53</v>
      </c>
      <c r="D3" s="72"/>
      <c r="F3" t="s">
        <v>38</v>
      </c>
      <c r="G3">
        <v>0</v>
      </c>
      <c r="H3">
        <v>0</v>
      </c>
      <c r="I3">
        <v>0</v>
      </c>
      <c r="J3">
        <v>0</v>
      </c>
      <c r="K3">
        <v>0</v>
      </c>
      <c r="L3">
        <v>0</v>
      </c>
      <c r="M3">
        <v>0</v>
      </c>
      <c r="N3">
        <v>0</v>
      </c>
      <c r="O3">
        <v>0</v>
      </c>
      <c r="P3">
        <v>0</v>
      </c>
      <c r="Q3" s="120">
        <v>0</v>
      </c>
      <c r="R3" s="31">
        <v>0</v>
      </c>
    </row>
    <row r="4" spans="1:23" ht="15" customHeight="1" thickBot="1" x14ac:dyDescent="0.2">
      <c r="F4" t="s">
        <v>40</v>
      </c>
      <c r="G4">
        <v>0</v>
      </c>
      <c r="H4">
        <v>0</v>
      </c>
      <c r="I4">
        <v>0</v>
      </c>
      <c r="J4">
        <v>0</v>
      </c>
      <c r="K4">
        <v>0</v>
      </c>
      <c r="L4">
        <v>0</v>
      </c>
      <c r="M4">
        <v>0</v>
      </c>
      <c r="N4">
        <v>0</v>
      </c>
      <c r="O4">
        <v>0</v>
      </c>
      <c r="P4">
        <v>0</v>
      </c>
      <c r="Q4" s="120">
        <v>0</v>
      </c>
      <c r="R4" s="93">
        <v>0</v>
      </c>
    </row>
    <row r="5" spans="1:23" ht="15" customHeight="1" x14ac:dyDescent="0.15">
      <c r="A5" s="70" t="s">
        <v>55</v>
      </c>
      <c r="B5" s="77">
        <v>0.5</v>
      </c>
      <c r="C5" s="69" t="s">
        <v>52</v>
      </c>
      <c r="D5" s="72"/>
      <c r="F5" t="s">
        <v>41</v>
      </c>
      <c r="G5">
        <v>0</v>
      </c>
      <c r="H5">
        <v>0</v>
      </c>
      <c r="I5">
        <v>0</v>
      </c>
      <c r="J5">
        <v>0</v>
      </c>
      <c r="K5">
        <v>0</v>
      </c>
      <c r="L5">
        <v>0</v>
      </c>
      <c r="M5">
        <v>0</v>
      </c>
      <c r="N5">
        <v>0</v>
      </c>
      <c r="O5">
        <v>0</v>
      </c>
      <c r="P5">
        <v>0</v>
      </c>
      <c r="Q5" s="120">
        <v>0</v>
      </c>
      <c r="R5" s="93">
        <v>0</v>
      </c>
    </row>
    <row r="6" spans="1:23" ht="15" customHeight="1" thickBot="1" x14ac:dyDescent="0.2">
      <c r="A6" s="70"/>
      <c r="B6" s="78">
        <v>0.5</v>
      </c>
      <c r="C6" s="69" t="s">
        <v>53</v>
      </c>
      <c r="D6" s="72"/>
      <c r="F6" s="174" t="s">
        <v>192</v>
      </c>
      <c r="G6" s="68">
        <v>0</v>
      </c>
      <c r="H6" s="68">
        <v>0</v>
      </c>
      <c r="I6" s="68">
        <v>0</v>
      </c>
      <c r="J6" s="68">
        <v>0</v>
      </c>
      <c r="K6" s="68">
        <v>1</v>
      </c>
      <c r="L6" s="68">
        <v>0</v>
      </c>
      <c r="M6" s="68">
        <v>1</v>
      </c>
      <c r="N6" s="68">
        <v>0</v>
      </c>
      <c r="O6" s="68">
        <v>1</v>
      </c>
      <c r="P6" s="61">
        <v>0</v>
      </c>
      <c r="Q6" s="68">
        <v>0</v>
      </c>
      <c r="R6" s="62">
        <v>1</v>
      </c>
      <c r="S6"/>
      <c r="T6"/>
    </row>
    <row r="7" spans="1:23" ht="15" customHeight="1" thickBot="1" x14ac:dyDescent="0.2">
      <c r="F7" s="174" t="s">
        <v>193</v>
      </c>
      <c r="G7" s="68">
        <v>0</v>
      </c>
      <c r="H7" s="68">
        <v>0</v>
      </c>
      <c r="I7" s="68">
        <v>0</v>
      </c>
      <c r="J7" s="68">
        <v>0</v>
      </c>
      <c r="K7" s="68">
        <v>1</v>
      </c>
      <c r="L7" s="68">
        <v>0</v>
      </c>
      <c r="M7" s="68">
        <v>1</v>
      </c>
      <c r="N7" s="68">
        <v>0</v>
      </c>
      <c r="O7" s="68">
        <v>1</v>
      </c>
      <c r="P7" s="61">
        <v>0</v>
      </c>
      <c r="Q7" s="68">
        <v>0</v>
      </c>
      <c r="R7" s="62">
        <v>1</v>
      </c>
      <c r="S7"/>
      <c r="T7"/>
    </row>
    <row r="8" spans="1:23" ht="15" customHeight="1" x14ac:dyDescent="0.15">
      <c r="A8" s="70" t="s">
        <v>56</v>
      </c>
      <c r="B8" s="77">
        <v>9.0466735894264197E-2</v>
      </c>
      <c r="C8" s="175" t="s">
        <v>215</v>
      </c>
      <c r="D8" s="72" t="s">
        <v>160</v>
      </c>
      <c r="F8" s="174" t="s">
        <v>194</v>
      </c>
      <c r="G8" s="68">
        <v>0</v>
      </c>
      <c r="H8" s="68">
        <v>0</v>
      </c>
      <c r="I8" s="68">
        <v>0</v>
      </c>
      <c r="J8" s="68">
        <v>0</v>
      </c>
      <c r="K8" s="68">
        <v>1</v>
      </c>
      <c r="L8" s="68">
        <v>0</v>
      </c>
      <c r="M8" s="68">
        <v>1</v>
      </c>
      <c r="N8" s="68">
        <v>0</v>
      </c>
      <c r="O8" s="68">
        <v>1</v>
      </c>
      <c r="P8" s="61">
        <v>0</v>
      </c>
      <c r="Q8" s="68">
        <v>0</v>
      </c>
      <c r="R8" s="62">
        <v>1</v>
      </c>
      <c r="S8"/>
      <c r="T8"/>
      <c r="W8"/>
    </row>
    <row r="9" spans="1:23" ht="15" customHeight="1" x14ac:dyDescent="0.15">
      <c r="A9" s="107" t="s">
        <v>168</v>
      </c>
      <c r="B9" s="79">
        <v>0.90953326410573576</v>
      </c>
      <c r="C9" s="175" t="s">
        <v>217</v>
      </c>
      <c r="D9" s="72" t="s">
        <v>160</v>
      </c>
      <c r="F9" s="174" t="s">
        <v>195</v>
      </c>
      <c r="G9" s="68">
        <v>0</v>
      </c>
      <c r="H9" s="68">
        <v>0</v>
      </c>
      <c r="I9" s="68">
        <v>0</v>
      </c>
      <c r="J9" s="68">
        <v>0</v>
      </c>
      <c r="K9" s="68">
        <v>0</v>
      </c>
      <c r="L9" s="68">
        <v>1</v>
      </c>
      <c r="M9" s="68">
        <v>0</v>
      </c>
      <c r="N9" s="68">
        <v>1</v>
      </c>
      <c r="O9" s="68">
        <v>0</v>
      </c>
      <c r="P9" s="61">
        <v>1</v>
      </c>
      <c r="Q9" s="68">
        <v>0</v>
      </c>
      <c r="R9" s="62">
        <v>1</v>
      </c>
      <c r="S9"/>
      <c r="T9"/>
      <c r="W9"/>
    </row>
    <row r="10" spans="1:23" ht="15" customHeight="1" x14ac:dyDescent="0.15">
      <c r="B10" s="79"/>
      <c r="C10" s="67"/>
      <c r="D10" s="72" t="s">
        <v>160</v>
      </c>
      <c r="F10" s="174" t="s">
        <v>196</v>
      </c>
      <c r="G10" s="68">
        <v>0</v>
      </c>
      <c r="H10" s="68">
        <v>0</v>
      </c>
      <c r="I10" s="68">
        <v>0</v>
      </c>
      <c r="J10" s="68">
        <v>0</v>
      </c>
      <c r="K10" s="68">
        <v>0</v>
      </c>
      <c r="L10" s="68">
        <v>1</v>
      </c>
      <c r="M10" s="68">
        <v>0</v>
      </c>
      <c r="N10" s="68">
        <v>1</v>
      </c>
      <c r="O10" s="68">
        <v>0</v>
      </c>
      <c r="P10" s="61">
        <v>1</v>
      </c>
      <c r="Q10" s="68">
        <v>0</v>
      </c>
      <c r="R10" s="62">
        <v>1</v>
      </c>
      <c r="S10"/>
      <c r="T10"/>
      <c r="W10"/>
    </row>
    <row r="11" spans="1:23" ht="15" customHeight="1" x14ac:dyDescent="0.15">
      <c r="A11" s="70"/>
      <c r="B11" s="79"/>
      <c r="C11" s="82"/>
      <c r="D11" s="72" t="s">
        <v>160</v>
      </c>
      <c r="F11" s="174" t="s">
        <v>197</v>
      </c>
      <c r="G11" s="68">
        <v>0</v>
      </c>
      <c r="H11" s="68">
        <v>0</v>
      </c>
      <c r="I11" s="68">
        <v>0</v>
      </c>
      <c r="J11" s="68">
        <v>0</v>
      </c>
      <c r="K11" s="68">
        <v>1</v>
      </c>
      <c r="L11" s="68">
        <v>0</v>
      </c>
      <c r="M11" s="68">
        <v>1</v>
      </c>
      <c r="N11" s="68">
        <v>0</v>
      </c>
      <c r="O11" s="68">
        <v>1</v>
      </c>
      <c r="P11" s="61">
        <v>0</v>
      </c>
      <c r="Q11" s="68">
        <v>0</v>
      </c>
      <c r="R11" s="62">
        <v>1</v>
      </c>
      <c r="S11"/>
      <c r="T11"/>
      <c r="W11"/>
    </row>
    <row r="12" spans="1:23" ht="15" customHeight="1" x14ac:dyDescent="0.15">
      <c r="B12" s="79"/>
      <c r="C12" s="83"/>
      <c r="D12" s="72" t="s">
        <v>160</v>
      </c>
      <c r="F12" s="174" t="s">
        <v>198</v>
      </c>
      <c r="G12" s="68">
        <v>0</v>
      </c>
      <c r="H12" s="68">
        <v>0</v>
      </c>
      <c r="I12" s="68">
        <v>0</v>
      </c>
      <c r="J12" s="68">
        <v>0</v>
      </c>
      <c r="K12" s="68">
        <v>1</v>
      </c>
      <c r="L12" s="68">
        <v>0</v>
      </c>
      <c r="M12" s="68">
        <v>1</v>
      </c>
      <c r="N12" s="68">
        <v>0</v>
      </c>
      <c r="O12" s="68">
        <v>1</v>
      </c>
      <c r="P12" s="61">
        <v>0</v>
      </c>
      <c r="Q12" s="68">
        <v>0</v>
      </c>
      <c r="R12" s="62">
        <v>1</v>
      </c>
      <c r="S12"/>
      <c r="T12"/>
      <c r="W12"/>
    </row>
    <row r="13" spans="1:23" ht="15" customHeight="1" x14ac:dyDescent="0.15">
      <c r="B13" s="79"/>
      <c r="C13" s="83"/>
      <c r="D13" s="72" t="s">
        <v>160</v>
      </c>
      <c r="F13" s="174" t="s">
        <v>199</v>
      </c>
      <c r="G13" s="68">
        <v>0</v>
      </c>
      <c r="H13" s="68">
        <v>0</v>
      </c>
      <c r="I13" s="68">
        <v>0</v>
      </c>
      <c r="J13" s="68">
        <v>0</v>
      </c>
      <c r="K13" s="68">
        <v>1</v>
      </c>
      <c r="L13" s="68">
        <v>0</v>
      </c>
      <c r="M13" s="68">
        <v>1</v>
      </c>
      <c r="N13" s="68">
        <v>0</v>
      </c>
      <c r="O13" s="68">
        <v>1</v>
      </c>
      <c r="P13" s="61">
        <v>0</v>
      </c>
      <c r="Q13" s="68">
        <v>0</v>
      </c>
      <c r="R13" s="62">
        <v>1</v>
      </c>
      <c r="S13"/>
      <c r="T13"/>
      <c r="W13"/>
    </row>
    <row r="14" spans="1:23" ht="15" customHeight="1" x14ac:dyDescent="0.15">
      <c r="B14" s="79"/>
      <c r="C14" s="67"/>
      <c r="D14" s="72" t="s">
        <v>160</v>
      </c>
      <c r="F14" s="174" t="s">
        <v>200</v>
      </c>
      <c r="G14" s="68">
        <v>0</v>
      </c>
      <c r="H14" s="68">
        <v>0</v>
      </c>
      <c r="I14" s="68">
        <v>0</v>
      </c>
      <c r="J14" s="68">
        <v>0</v>
      </c>
      <c r="K14" s="68">
        <v>1</v>
      </c>
      <c r="L14" s="68">
        <v>0</v>
      </c>
      <c r="M14" s="68">
        <v>1</v>
      </c>
      <c r="N14" s="68">
        <v>0</v>
      </c>
      <c r="O14" s="68">
        <v>1</v>
      </c>
      <c r="P14" s="61">
        <v>0</v>
      </c>
      <c r="Q14" s="68">
        <v>0</v>
      </c>
      <c r="R14" s="62">
        <v>1</v>
      </c>
      <c r="S14"/>
      <c r="T14"/>
      <c r="W14"/>
    </row>
    <row r="15" spans="1:23" ht="15" customHeight="1" x14ac:dyDescent="0.15">
      <c r="B15" s="79"/>
      <c r="C15" s="67"/>
      <c r="D15" s="72" t="s">
        <v>160</v>
      </c>
      <c r="F15" s="174" t="s">
        <v>201</v>
      </c>
      <c r="G15" s="68">
        <v>0</v>
      </c>
      <c r="H15" s="68">
        <v>0</v>
      </c>
      <c r="I15" s="68">
        <v>0</v>
      </c>
      <c r="J15" s="68">
        <v>0</v>
      </c>
      <c r="K15" s="68">
        <v>1</v>
      </c>
      <c r="L15" s="68">
        <v>0</v>
      </c>
      <c r="M15" s="68">
        <v>1</v>
      </c>
      <c r="N15" s="68">
        <v>0</v>
      </c>
      <c r="O15" s="68">
        <v>1</v>
      </c>
      <c r="P15" s="61">
        <v>0</v>
      </c>
      <c r="Q15" s="68">
        <v>0</v>
      </c>
      <c r="R15" s="62">
        <v>1</v>
      </c>
      <c r="S15"/>
      <c r="T15"/>
      <c r="W15"/>
    </row>
    <row r="16" spans="1:23" ht="15" customHeight="1" x14ac:dyDescent="0.15">
      <c r="B16" s="79"/>
      <c r="C16" s="67"/>
      <c r="D16" s="72" t="s">
        <v>160</v>
      </c>
      <c r="F16" s="174" t="s">
        <v>202</v>
      </c>
      <c r="G16" s="68">
        <v>0</v>
      </c>
      <c r="H16" s="68">
        <v>0</v>
      </c>
      <c r="I16" s="68">
        <v>0</v>
      </c>
      <c r="J16" s="68">
        <v>0</v>
      </c>
      <c r="K16" s="68">
        <v>1</v>
      </c>
      <c r="L16" s="68">
        <v>0</v>
      </c>
      <c r="M16" s="68">
        <v>1</v>
      </c>
      <c r="N16" s="68">
        <v>0</v>
      </c>
      <c r="O16" s="68">
        <v>1</v>
      </c>
      <c r="P16" s="61">
        <v>0</v>
      </c>
      <c r="Q16" s="68">
        <v>0</v>
      </c>
      <c r="R16" s="62">
        <v>1</v>
      </c>
      <c r="S16"/>
      <c r="T16"/>
    </row>
    <row r="17" spans="1:20" ht="15" customHeight="1" thickBot="1" x14ac:dyDescent="0.2">
      <c r="B17" s="78"/>
      <c r="C17" s="67"/>
      <c r="D17" s="72" t="s">
        <v>160</v>
      </c>
      <c r="F17" s="174" t="s">
        <v>203</v>
      </c>
      <c r="G17" s="68">
        <v>0</v>
      </c>
      <c r="H17" s="68">
        <v>0</v>
      </c>
      <c r="I17" s="68">
        <v>0</v>
      </c>
      <c r="J17" s="68">
        <v>0</v>
      </c>
      <c r="K17" s="68">
        <v>1</v>
      </c>
      <c r="L17" s="68">
        <v>0</v>
      </c>
      <c r="M17" s="68">
        <v>1</v>
      </c>
      <c r="N17" s="68">
        <v>0</v>
      </c>
      <c r="O17" s="68">
        <v>1</v>
      </c>
      <c r="P17" s="61">
        <v>0</v>
      </c>
      <c r="Q17" s="68">
        <v>0</v>
      </c>
      <c r="R17" s="62">
        <v>1</v>
      </c>
      <c r="S17"/>
      <c r="T17"/>
    </row>
    <row r="18" spans="1:20" ht="15" customHeight="1" thickBot="1" x14ac:dyDescent="0.2">
      <c r="B18" s="80"/>
      <c r="F18" s="174" t="s">
        <v>204</v>
      </c>
      <c r="G18" s="68">
        <v>0</v>
      </c>
      <c r="H18" s="68">
        <v>0</v>
      </c>
      <c r="I18" s="68">
        <v>0</v>
      </c>
      <c r="J18" s="68">
        <v>0</v>
      </c>
      <c r="K18" s="68">
        <v>1</v>
      </c>
      <c r="L18" s="68">
        <v>0</v>
      </c>
      <c r="M18" s="68">
        <v>1</v>
      </c>
      <c r="N18" s="68">
        <v>0</v>
      </c>
      <c r="O18" s="68">
        <v>1</v>
      </c>
      <c r="P18" s="61">
        <v>0</v>
      </c>
      <c r="Q18" s="68">
        <v>0</v>
      </c>
      <c r="R18" s="62">
        <v>1</v>
      </c>
      <c r="S18"/>
      <c r="T18"/>
    </row>
    <row r="19" spans="1:20" ht="15" customHeight="1" x14ac:dyDescent="0.15">
      <c r="A19" s="70" t="s">
        <v>57</v>
      </c>
      <c r="B19" s="77">
        <v>9.0466735894264197E-2</v>
      </c>
      <c r="C19" s="176" t="s">
        <v>215</v>
      </c>
      <c r="D19" s="72" t="s">
        <v>160</v>
      </c>
      <c r="F19" s="174" t="s">
        <v>205</v>
      </c>
      <c r="G19" s="68">
        <v>0</v>
      </c>
      <c r="H19" s="68">
        <v>0</v>
      </c>
      <c r="I19" s="68">
        <v>0</v>
      </c>
      <c r="J19" s="68">
        <v>0</v>
      </c>
      <c r="K19" s="68">
        <v>1</v>
      </c>
      <c r="L19" s="68">
        <v>0</v>
      </c>
      <c r="M19" s="68">
        <v>1</v>
      </c>
      <c r="N19" s="68">
        <v>0</v>
      </c>
      <c r="O19" s="68">
        <v>1</v>
      </c>
      <c r="P19" s="61">
        <v>0</v>
      </c>
      <c r="Q19" s="68">
        <v>0</v>
      </c>
      <c r="R19" s="62">
        <v>1</v>
      </c>
      <c r="S19"/>
      <c r="T19"/>
    </row>
    <row r="20" spans="1:20" ht="15" customHeight="1" x14ac:dyDescent="0.15">
      <c r="A20" s="107" t="s">
        <v>168</v>
      </c>
      <c r="B20" s="79">
        <v>0.90953326410573576</v>
      </c>
      <c r="C20" s="176" t="s">
        <v>217</v>
      </c>
      <c r="D20" s="72" t="s">
        <v>160</v>
      </c>
      <c r="F20" s="174" t="s">
        <v>206</v>
      </c>
      <c r="G20" s="68">
        <v>0</v>
      </c>
      <c r="H20" s="68">
        <v>0</v>
      </c>
      <c r="I20" s="68">
        <v>0</v>
      </c>
      <c r="J20" s="68">
        <v>0</v>
      </c>
      <c r="K20" s="68">
        <v>1</v>
      </c>
      <c r="L20" s="68">
        <v>0</v>
      </c>
      <c r="M20" s="68">
        <v>1</v>
      </c>
      <c r="N20" s="68">
        <v>0</v>
      </c>
      <c r="O20" s="68">
        <v>1</v>
      </c>
      <c r="P20" s="61">
        <v>0</v>
      </c>
      <c r="Q20" s="68">
        <v>0</v>
      </c>
      <c r="R20" s="62">
        <v>1</v>
      </c>
      <c r="S20"/>
      <c r="T20"/>
    </row>
    <row r="21" spans="1:20" ht="15" customHeight="1" x14ac:dyDescent="0.15">
      <c r="B21" s="79"/>
      <c r="C21" s="67"/>
      <c r="D21" s="72" t="s">
        <v>160</v>
      </c>
      <c r="F21" s="174" t="s">
        <v>207</v>
      </c>
      <c r="G21" s="68">
        <v>0</v>
      </c>
      <c r="H21" s="68">
        <v>0</v>
      </c>
      <c r="I21" s="68">
        <v>0</v>
      </c>
      <c r="J21" s="68">
        <v>0</v>
      </c>
      <c r="K21" s="68">
        <v>1</v>
      </c>
      <c r="L21" s="68">
        <v>0</v>
      </c>
      <c r="M21" s="68">
        <v>1</v>
      </c>
      <c r="N21" s="68">
        <v>0</v>
      </c>
      <c r="O21" s="68">
        <v>1</v>
      </c>
      <c r="P21" s="61">
        <v>0</v>
      </c>
      <c r="Q21" s="68">
        <v>0</v>
      </c>
      <c r="R21" s="62">
        <v>1</v>
      </c>
      <c r="S21"/>
      <c r="T21"/>
    </row>
    <row r="22" spans="1:20" ht="15" customHeight="1" x14ac:dyDescent="0.15">
      <c r="A22" s="68"/>
      <c r="B22" s="79"/>
      <c r="C22" s="82"/>
      <c r="D22" s="72" t="s">
        <v>160</v>
      </c>
      <c r="F22" s="174" t="s">
        <v>208</v>
      </c>
      <c r="G22" s="68">
        <v>0</v>
      </c>
      <c r="H22" s="68">
        <v>0</v>
      </c>
      <c r="I22" s="68">
        <v>0</v>
      </c>
      <c r="J22" s="68">
        <v>0</v>
      </c>
      <c r="K22" s="68">
        <v>1</v>
      </c>
      <c r="L22" s="68">
        <v>0</v>
      </c>
      <c r="M22" s="68">
        <v>1</v>
      </c>
      <c r="N22" s="68">
        <v>0</v>
      </c>
      <c r="O22" s="68">
        <v>1</v>
      </c>
      <c r="P22" s="61">
        <v>0</v>
      </c>
      <c r="Q22" s="68">
        <v>0</v>
      </c>
      <c r="R22" s="62">
        <v>1</v>
      </c>
      <c r="S22"/>
      <c r="T22"/>
    </row>
    <row r="23" spans="1:20" ht="15" customHeight="1" x14ac:dyDescent="0.15">
      <c r="A23" s="68"/>
      <c r="B23" s="79"/>
      <c r="C23" s="83"/>
      <c r="D23" s="72" t="s">
        <v>160</v>
      </c>
      <c r="F23" s="174" t="s">
        <v>209</v>
      </c>
      <c r="G23" s="68">
        <v>0</v>
      </c>
      <c r="H23" s="68">
        <v>0</v>
      </c>
      <c r="I23" s="68">
        <v>0</v>
      </c>
      <c r="J23" s="68">
        <v>0</v>
      </c>
      <c r="K23" s="68">
        <v>1</v>
      </c>
      <c r="L23" s="68">
        <v>0</v>
      </c>
      <c r="M23" s="68">
        <v>1</v>
      </c>
      <c r="N23" s="68">
        <v>0</v>
      </c>
      <c r="O23" s="68">
        <v>1</v>
      </c>
      <c r="P23" s="61">
        <v>0</v>
      </c>
      <c r="Q23" s="68">
        <v>0</v>
      </c>
      <c r="R23" s="62">
        <v>1</v>
      </c>
      <c r="S23"/>
      <c r="T23"/>
    </row>
    <row r="24" spans="1:20" ht="15" customHeight="1" x14ac:dyDescent="0.15">
      <c r="A24" s="68"/>
      <c r="B24" s="79"/>
      <c r="C24" s="83"/>
      <c r="D24" s="72" t="s">
        <v>160</v>
      </c>
      <c r="F24" s="174" t="s">
        <v>210</v>
      </c>
      <c r="G24" s="68">
        <v>0</v>
      </c>
      <c r="H24" s="68">
        <v>0</v>
      </c>
      <c r="I24" s="68">
        <v>0</v>
      </c>
      <c r="J24" s="68">
        <v>0</v>
      </c>
      <c r="K24" s="68">
        <v>1</v>
      </c>
      <c r="L24" s="68">
        <v>0</v>
      </c>
      <c r="M24" s="68">
        <v>1</v>
      </c>
      <c r="N24" s="68">
        <v>0</v>
      </c>
      <c r="O24" s="68">
        <v>1</v>
      </c>
      <c r="P24" s="61">
        <v>0</v>
      </c>
      <c r="Q24" s="68">
        <v>0</v>
      </c>
      <c r="R24" s="62">
        <v>1</v>
      </c>
      <c r="S24"/>
      <c r="T24"/>
    </row>
    <row r="25" spans="1:20" ht="15" customHeight="1" x14ac:dyDescent="0.15">
      <c r="A25" s="68"/>
      <c r="B25" s="79"/>
      <c r="C25" s="67"/>
      <c r="D25" s="72" t="s">
        <v>160</v>
      </c>
      <c r="F25" s="174" t="s">
        <v>211</v>
      </c>
      <c r="G25" s="68">
        <v>0</v>
      </c>
      <c r="H25" s="68">
        <v>0</v>
      </c>
      <c r="I25" s="68">
        <v>0</v>
      </c>
      <c r="J25" s="68">
        <v>0</v>
      </c>
      <c r="K25" s="68">
        <v>1</v>
      </c>
      <c r="L25" s="68">
        <v>0</v>
      </c>
      <c r="M25" s="68">
        <v>1</v>
      </c>
      <c r="N25" s="68">
        <v>0</v>
      </c>
      <c r="O25" s="68">
        <v>1</v>
      </c>
      <c r="P25" s="61">
        <v>0</v>
      </c>
      <c r="Q25" s="68">
        <v>0</v>
      </c>
      <c r="R25" s="62">
        <v>1</v>
      </c>
      <c r="S25"/>
      <c r="T25"/>
    </row>
    <row r="26" spans="1:20" ht="15" customHeight="1" x14ac:dyDescent="0.15">
      <c r="B26" s="79"/>
      <c r="C26" s="67"/>
      <c r="D26" s="72" t="s">
        <v>160</v>
      </c>
      <c r="F26" s="174" t="s">
        <v>212</v>
      </c>
      <c r="G26" s="68">
        <v>0</v>
      </c>
      <c r="H26" s="68">
        <v>0</v>
      </c>
      <c r="I26" s="68">
        <v>0</v>
      </c>
      <c r="J26" s="68">
        <v>0</v>
      </c>
      <c r="K26" s="68">
        <v>1</v>
      </c>
      <c r="L26" s="68">
        <v>0</v>
      </c>
      <c r="M26" s="68">
        <v>1</v>
      </c>
      <c r="N26" s="68">
        <v>0</v>
      </c>
      <c r="O26" s="68">
        <v>1</v>
      </c>
      <c r="P26" s="61">
        <v>0</v>
      </c>
      <c r="Q26" s="68">
        <v>0</v>
      </c>
      <c r="R26" s="62">
        <v>1</v>
      </c>
      <c r="S26"/>
      <c r="T26"/>
    </row>
    <row r="27" spans="1:20" ht="15" customHeight="1" x14ac:dyDescent="0.15">
      <c r="B27" s="79"/>
      <c r="C27" s="67"/>
      <c r="D27" s="72" t="s">
        <v>160</v>
      </c>
      <c r="F27" s="174" t="s">
        <v>213</v>
      </c>
      <c r="G27" s="68">
        <v>0</v>
      </c>
      <c r="H27" s="68">
        <v>0</v>
      </c>
      <c r="I27" s="68">
        <v>0</v>
      </c>
      <c r="J27" s="68">
        <v>0</v>
      </c>
      <c r="K27" s="68">
        <v>1</v>
      </c>
      <c r="L27" s="68">
        <v>0</v>
      </c>
      <c r="M27" s="68">
        <v>1</v>
      </c>
      <c r="N27" s="68">
        <v>0</v>
      </c>
      <c r="O27" s="68">
        <v>1</v>
      </c>
      <c r="P27" s="61">
        <v>0</v>
      </c>
      <c r="Q27" s="68">
        <v>0</v>
      </c>
      <c r="R27" s="62">
        <v>1</v>
      </c>
      <c r="S27"/>
      <c r="T27"/>
    </row>
    <row r="28" spans="1:20" ht="15" customHeight="1" thickBot="1" x14ac:dyDescent="0.2">
      <c r="B28" s="78"/>
      <c r="C28" s="67"/>
      <c r="D28" s="72" t="s">
        <v>160</v>
      </c>
      <c r="F28" s="174" t="s">
        <v>214</v>
      </c>
      <c r="G28" s="68">
        <v>0</v>
      </c>
      <c r="H28" s="68">
        <v>0</v>
      </c>
      <c r="I28" s="68">
        <v>0</v>
      </c>
      <c r="J28" s="68">
        <v>0</v>
      </c>
      <c r="K28" s="68">
        <v>1</v>
      </c>
      <c r="L28" s="68">
        <v>0</v>
      </c>
      <c r="M28" s="68">
        <v>1</v>
      </c>
      <c r="N28" s="68">
        <v>0</v>
      </c>
      <c r="O28" s="68">
        <v>1</v>
      </c>
      <c r="P28" s="61">
        <v>0</v>
      </c>
      <c r="Q28" s="68">
        <v>0</v>
      </c>
      <c r="R28" s="62">
        <v>1</v>
      </c>
      <c r="S28"/>
      <c r="T28"/>
    </row>
    <row r="29" spans="1:20" ht="15" customHeight="1" x14ac:dyDescent="0.15">
      <c r="F29" s="174" t="s">
        <v>215</v>
      </c>
      <c r="G29" s="68">
        <v>0</v>
      </c>
      <c r="H29" s="68">
        <v>0</v>
      </c>
      <c r="I29" s="68">
        <v>0</v>
      </c>
      <c r="J29" s="68">
        <v>0</v>
      </c>
      <c r="K29" s="68">
        <v>0</v>
      </c>
      <c r="L29" s="68">
        <v>0</v>
      </c>
      <c r="M29" s="68">
        <v>1</v>
      </c>
      <c r="N29" s="68">
        <v>0</v>
      </c>
      <c r="O29" s="68">
        <v>0</v>
      </c>
      <c r="P29" s="61">
        <v>0</v>
      </c>
      <c r="Q29" s="68">
        <v>0</v>
      </c>
      <c r="R29" s="62">
        <v>1</v>
      </c>
      <c r="S29"/>
      <c r="T29"/>
    </row>
    <row r="30" spans="1:20" ht="15" customHeight="1" x14ac:dyDescent="0.15">
      <c r="F30" s="174" t="s">
        <v>216</v>
      </c>
      <c r="G30" s="68">
        <v>0</v>
      </c>
      <c r="H30" s="68">
        <v>0</v>
      </c>
      <c r="I30" s="68">
        <v>0</v>
      </c>
      <c r="J30" s="68">
        <v>0</v>
      </c>
      <c r="K30" s="68">
        <v>1</v>
      </c>
      <c r="L30" s="68">
        <v>0</v>
      </c>
      <c r="M30" s="68">
        <v>1</v>
      </c>
      <c r="N30" s="68">
        <v>0</v>
      </c>
      <c r="O30" s="68">
        <v>1</v>
      </c>
      <c r="P30" s="61">
        <v>0</v>
      </c>
      <c r="Q30" s="68">
        <v>0</v>
      </c>
      <c r="R30" s="62">
        <v>1</v>
      </c>
      <c r="S30"/>
      <c r="T30"/>
    </row>
    <row r="31" spans="1:20" ht="15" customHeight="1" x14ac:dyDescent="0.15">
      <c r="A31" s="108"/>
      <c r="B31" s="118" t="s">
        <v>17</v>
      </c>
      <c r="C31" s="118" t="s">
        <v>1</v>
      </c>
      <c r="D31" s="118" t="s">
        <v>161</v>
      </c>
      <c r="E31" s="119" t="s">
        <v>163</v>
      </c>
      <c r="F31" s="174" t="s">
        <v>217</v>
      </c>
      <c r="G31" s="68">
        <v>0</v>
      </c>
      <c r="H31" s="68">
        <v>0</v>
      </c>
      <c r="I31" s="68">
        <v>0</v>
      </c>
      <c r="J31" s="68">
        <v>0</v>
      </c>
      <c r="K31" s="68">
        <v>0</v>
      </c>
      <c r="L31" s="68">
        <v>0</v>
      </c>
      <c r="M31" s="68">
        <v>1</v>
      </c>
      <c r="N31" s="68">
        <v>0</v>
      </c>
      <c r="O31" s="68">
        <v>0</v>
      </c>
      <c r="P31" s="61">
        <v>0</v>
      </c>
      <c r="Q31" s="68">
        <v>0</v>
      </c>
      <c r="R31" s="62">
        <v>1</v>
      </c>
      <c r="S31"/>
      <c r="T31"/>
    </row>
    <row r="32" spans="1:20" ht="15" customHeight="1" x14ac:dyDescent="0.15">
      <c r="A32" s="177" t="s">
        <v>215</v>
      </c>
      <c r="B32" s="80">
        <v>10.5</v>
      </c>
      <c r="C32" s="80">
        <v>107.36</v>
      </c>
      <c r="D32" s="80">
        <v>1127.28</v>
      </c>
      <c r="E32" s="109">
        <v>9.0466735894264197E-2</v>
      </c>
      <c r="F32" s="174" t="s">
        <v>218</v>
      </c>
      <c r="G32" s="68">
        <v>0</v>
      </c>
      <c r="H32" s="68">
        <v>0</v>
      </c>
      <c r="I32" s="68">
        <v>0</v>
      </c>
      <c r="J32" s="68">
        <v>0</v>
      </c>
      <c r="K32" s="68">
        <v>0</v>
      </c>
      <c r="L32" s="68">
        <v>1</v>
      </c>
      <c r="M32" s="68">
        <v>0</v>
      </c>
      <c r="N32" s="68">
        <v>1</v>
      </c>
      <c r="O32" s="68">
        <v>0</v>
      </c>
      <c r="P32" s="61">
        <v>1</v>
      </c>
      <c r="Q32" s="68">
        <v>0</v>
      </c>
      <c r="R32" s="62">
        <v>1</v>
      </c>
      <c r="S32"/>
      <c r="T32"/>
    </row>
    <row r="33" spans="1:20" ht="15" customHeight="1" x14ac:dyDescent="0.15">
      <c r="A33" s="177" t="s">
        <v>217</v>
      </c>
      <c r="B33" s="80">
        <v>82.013999999999996</v>
      </c>
      <c r="C33" s="80">
        <v>138.18899999999999</v>
      </c>
      <c r="D33" s="80">
        <v>11333.432645999999</v>
      </c>
      <c r="E33" s="109">
        <v>0.90953326410573576</v>
      </c>
      <c r="F33" s="174" t="s">
        <v>219</v>
      </c>
      <c r="G33" s="68">
        <v>0</v>
      </c>
      <c r="H33" s="68">
        <v>0</v>
      </c>
      <c r="I33" s="68">
        <v>0</v>
      </c>
      <c r="J33" s="68">
        <v>0</v>
      </c>
      <c r="K33" s="68">
        <v>0</v>
      </c>
      <c r="L33" s="68">
        <v>1</v>
      </c>
      <c r="M33" s="68">
        <v>0</v>
      </c>
      <c r="N33" s="68">
        <v>1</v>
      </c>
      <c r="O33" s="68">
        <v>0</v>
      </c>
      <c r="P33" s="61">
        <v>1</v>
      </c>
      <c r="Q33" s="68">
        <v>0</v>
      </c>
      <c r="R33" s="62">
        <v>1</v>
      </c>
      <c r="S33"/>
      <c r="T33"/>
    </row>
    <row r="34" spans="1:20" ht="15" customHeight="1" x14ac:dyDescent="0.15">
      <c r="A34" s="110"/>
      <c r="B34" s="80"/>
      <c r="C34" s="80"/>
      <c r="D34" s="80"/>
      <c r="E34" s="109"/>
      <c r="F34" s="174" t="s">
        <v>220</v>
      </c>
      <c r="G34" s="68">
        <v>0</v>
      </c>
      <c r="H34" s="68">
        <v>0</v>
      </c>
      <c r="I34" s="68">
        <v>0</v>
      </c>
      <c r="J34" s="68">
        <v>0</v>
      </c>
      <c r="K34" s="68">
        <v>0</v>
      </c>
      <c r="L34" s="68">
        <v>1</v>
      </c>
      <c r="M34" s="68">
        <v>0</v>
      </c>
      <c r="N34" s="68">
        <v>0</v>
      </c>
      <c r="O34" s="68">
        <v>0</v>
      </c>
      <c r="P34" s="61">
        <v>0</v>
      </c>
      <c r="Q34" s="68">
        <v>0</v>
      </c>
      <c r="R34" s="62">
        <v>1</v>
      </c>
      <c r="S34"/>
      <c r="T34"/>
    </row>
    <row r="35" spans="1:20" ht="15" customHeight="1" x14ac:dyDescent="0.15">
      <c r="A35" s="111"/>
      <c r="B35" s="80"/>
      <c r="C35" s="80"/>
      <c r="D35" s="80"/>
      <c r="E35" s="109"/>
      <c r="F35" s="174" t="s">
        <v>221</v>
      </c>
      <c r="G35" s="68">
        <v>0</v>
      </c>
      <c r="H35" s="68">
        <v>0</v>
      </c>
      <c r="I35" s="68">
        <v>0</v>
      </c>
      <c r="J35" s="68">
        <v>0</v>
      </c>
      <c r="K35" s="68">
        <v>0</v>
      </c>
      <c r="L35" s="68">
        <v>1</v>
      </c>
      <c r="M35" s="68">
        <v>0</v>
      </c>
      <c r="N35" s="68">
        <v>0</v>
      </c>
      <c r="O35" s="68">
        <v>0</v>
      </c>
      <c r="P35" s="61">
        <v>0</v>
      </c>
      <c r="Q35" s="68">
        <v>0</v>
      </c>
      <c r="R35" s="62">
        <v>1</v>
      </c>
      <c r="S35"/>
      <c r="T35"/>
    </row>
    <row r="36" spans="1:20" ht="15" customHeight="1" x14ac:dyDescent="0.15">
      <c r="A36" s="112"/>
      <c r="B36" s="80"/>
      <c r="C36" s="80"/>
      <c r="D36" s="80"/>
      <c r="E36" s="109"/>
      <c r="F36"/>
      <c r="G36"/>
      <c r="H36"/>
      <c r="I36"/>
      <c r="J36"/>
      <c r="K36"/>
      <c r="L36"/>
      <c r="M36"/>
      <c r="N36"/>
      <c r="O36"/>
      <c r="P36"/>
      <c r="Q36"/>
      <c r="R36"/>
      <c r="S36"/>
      <c r="T36"/>
    </row>
    <row r="37" spans="1:20" ht="15" customHeight="1" x14ac:dyDescent="0.15">
      <c r="A37" s="112"/>
      <c r="B37" s="80"/>
      <c r="C37" s="80"/>
      <c r="D37" s="80"/>
      <c r="E37" s="109"/>
      <c r="F37"/>
      <c r="G37"/>
      <c r="H37"/>
      <c r="I37"/>
      <c r="J37"/>
      <c r="K37"/>
      <c r="L37"/>
      <c r="M37"/>
      <c r="N37"/>
      <c r="O37"/>
      <c r="P37"/>
      <c r="Q37"/>
      <c r="R37"/>
      <c r="S37"/>
      <c r="T37"/>
    </row>
    <row r="38" spans="1:20" ht="15" customHeight="1" x14ac:dyDescent="0.15">
      <c r="A38" s="113"/>
      <c r="B38" s="80"/>
      <c r="C38" s="80"/>
      <c r="D38" s="80"/>
      <c r="E38" s="109"/>
      <c r="F38"/>
      <c r="G38"/>
      <c r="H38"/>
      <c r="I38"/>
      <c r="J38"/>
      <c r="K38"/>
      <c r="L38"/>
      <c r="M38"/>
      <c r="N38"/>
      <c r="O38"/>
      <c r="P38"/>
      <c r="Q38"/>
      <c r="R38"/>
      <c r="S38"/>
      <c r="T38"/>
    </row>
    <row r="39" spans="1:20" ht="15" customHeight="1" x14ac:dyDescent="0.15">
      <c r="A39" s="113"/>
      <c r="B39" s="80"/>
      <c r="C39" s="80"/>
      <c r="D39" s="80"/>
      <c r="E39" s="109"/>
      <c r="F39"/>
      <c r="G39"/>
      <c r="H39"/>
      <c r="I39"/>
      <c r="J39"/>
      <c r="K39"/>
      <c r="L39"/>
      <c r="M39"/>
      <c r="N39"/>
      <c r="O39"/>
      <c r="P39"/>
      <c r="Q39"/>
      <c r="R39"/>
      <c r="S39"/>
      <c r="T39"/>
    </row>
    <row r="40" spans="1:20" ht="15" customHeight="1" x14ac:dyDescent="0.15">
      <c r="A40" s="113"/>
      <c r="B40" s="80"/>
      <c r="C40" s="80"/>
      <c r="D40" s="80"/>
      <c r="E40" s="109"/>
      <c r="F40"/>
      <c r="G40"/>
      <c r="H40"/>
      <c r="I40"/>
      <c r="J40"/>
      <c r="K40"/>
      <c r="L40"/>
      <c r="M40"/>
      <c r="N40"/>
      <c r="O40"/>
      <c r="P40"/>
      <c r="Q40"/>
      <c r="R40"/>
      <c r="S40"/>
      <c r="T40"/>
    </row>
    <row r="41" spans="1:20" ht="15" customHeight="1" thickBot="1" x14ac:dyDescent="0.2">
      <c r="A41" s="113"/>
      <c r="B41" s="80"/>
      <c r="C41" s="80"/>
      <c r="D41" s="81"/>
      <c r="E41" s="114"/>
      <c r="F41"/>
      <c r="G41"/>
      <c r="H41"/>
      <c r="I41"/>
      <c r="J41"/>
      <c r="K41"/>
      <c r="L41"/>
      <c r="M41"/>
      <c r="N41"/>
      <c r="O41"/>
      <c r="P41"/>
      <c r="Q41"/>
      <c r="R41"/>
      <c r="S41"/>
      <c r="T41"/>
    </row>
    <row r="42" spans="1:20" ht="15" customHeight="1" x14ac:dyDescent="0.15">
      <c r="A42" s="115"/>
      <c r="B42" s="116"/>
      <c r="C42" s="116" t="s">
        <v>162</v>
      </c>
      <c r="D42" s="116">
        <f>SUM(D32:D41)</f>
        <v>12460.712646</v>
      </c>
      <c r="E42" s="117">
        <f>SUM(E32:E41)</f>
        <v>1</v>
      </c>
      <c r="F42"/>
      <c r="G42"/>
      <c r="H42"/>
      <c r="I42"/>
      <c r="J42"/>
      <c r="K42"/>
      <c r="L42"/>
      <c r="M42"/>
      <c r="N42"/>
      <c r="O42"/>
      <c r="P42"/>
      <c r="Q42"/>
      <c r="R42"/>
      <c r="S42"/>
      <c r="T42"/>
    </row>
    <row r="43" spans="1:20" ht="15" customHeight="1" x14ac:dyDescent="0.15">
      <c r="A43" s="68"/>
      <c r="F43"/>
      <c r="G43"/>
      <c r="H43"/>
      <c r="I43"/>
      <c r="J43"/>
      <c r="K43"/>
      <c r="L43"/>
      <c r="M43"/>
      <c r="N43"/>
      <c r="O43"/>
      <c r="P43"/>
      <c r="Q43"/>
      <c r="R43"/>
      <c r="S43"/>
      <c r="T43"/>
    </row>
    <row r="44" spans="1:20" ht="15" customHeight="1" x14ac:dyDescent="0.15">
      <c r="A44" s="68"/>
      <c r="F44"/>
      <c r="G44"/>
      <c r="H44"/>
      <c r="I44"/>
      <c r="J44"/>
      <c r="K44"/>
      <c r="L44"/>
      <c r="M44"/>
      <c r="N44"/>
      <c r="O44"/>
      <c r="P44"/>
      <c r="Q44"/>
      <c r="R44"/>
    </row>
    <row r="45" spans="1:20" ht="15" customHeight="1" x14ac:dyDescent="0.15">
      <c r="A45" s="68"/>
      <c r="F45"/>
      <c r="G45"/>
      <c r="H45"/>
      <c r="I45"/>
      <c r="J45"/>
      <c r="K45"/>
      <c r="L45"/>
      <c r="M45"/>
      <c r="N45"/>
      <c r="O45"/>
      <c r="P45"/>
      <c r="Q45"/>
      <c r="R45"/>
    </row>
    <row r="46" spans="1:20" ht="15" customHeight="1" x14ac:dyDescent="0.15">
      <c r="A46" s="68"/>
      <c r="F46"/>
      <c r="G46"/>
      <c r="H46"/>
      <c r="I46"/>
      <c r="J46"/>
      <c r="K46"/>
      <c r="L46"/>
      <c r="M46"/>
      <c r="N46"/>
      <c r="O46"/>
      <c r="P46"/>
      <c r="Q46"/>
      <c r="R46"/>
    </row>
    <row r="47" spans="1:20" ht="15" customHeight="1" x14ac:dyDescent="0.15">
      <c r="A47" s="68"/>
      <c r="F47"/>
      <c r="G47"/>
      <c r="H47"/>
      <c r="I47"/>
      <c r="J47"/>
      <c r="K47"/>
      <c r="L47"/>
      <c r="M47"/>
      <c r="N47"/>
      <c r="O47"/>
      <c r="P47"/>
      <c r="Q47"/>
      <c r="R47"/>
    </row>
    <row r="48" spans="1:20" ht="15" customHeight="1" x14ac:dyDescent="0.15">
      <c r="A48" s="68"/>
      <c r="F48"/>
      <c r="G48"/>
      <c r="H48"/>
      <c r="I48"/>
      <c r="J48"/>
      <c r="K48"/>
      <c r="L48"/>
      <c r="M48"/>
      <c r="N48"/>
      <c r="O48"/>
      <c r="P48"/>
      <c r="Q48"/>
      <c r="R48"/>
    </row>
    <row r="49" spans="6:18" s="68" customFormat="1" ht="15" customHeight="1" x14ac:dyDescent="0.15">
      <c r="F49"/>
      <c r="G49"/>
      <c r="H49"/>
      <c r="I49"/>
      <c r="J49"/>
      <c r="K49"/>
      <c r="L49"/>
      <c r="M49"/>
      <c r="N49"/>
      <c r="O49"/>
      <c r="P49"/>
      <c r="Q49"/>
      <c r="R49"/>
    </row>
    <row r="50" spans="6:18" s="68" customFormat="1" ht="15" customHeight="1" x14ac:dyDescent="0.15">
      <c r="F50"/>
      <c r="G50"/>
      <c r="H50"/>
      <c r="I50"/>
      <c r="J50"/>
      <c r="K50"/>
      <c r="L50"/>
      <c r="M50"/>
      <c r="N50"/>
      <c r="O50"/>
      <c r="P50"/>
      <c r="Q50"/>
      <c r="R50"/>
    </row>
    <row r="51" spans="6:18" s="68" customFormat="1" ht="15" customHeight="1" x14ac:dyDescent="0.15">
      <c r="F51"/>
      <c r="G51"/>
      <c r="H51"/>
      <c r="I51"/>
      <c r="J51"/>
      <c r="K51"/>
      <c r="L51"/>
      <c r="M51"/>
      <c r="N51"/>
      <c r="O51"/>
      <c r="P51"/>
      <c r="Q51"/>
      <c r="R51"/>
    </row>
    <row r="52" spans="6:18" s="68" customFormat="1" ht="15" customHeight="1" x14ac:dyDescent="0.15">
      <c r="F52"/>
      <c r="G52"/>
      <c r="H52"/>
      <c r="I52"/>
      <c r="J52"/>
      <c r="K52"/>
      <c r="L52"/>
      <c r="M52"/>
      <c r="N52"/>
      <c r="O52"/>
      <c r="P52"/>
      <c r="Q52"/>
      <c r="R52"/>
    </row>
    <row r="53" spans="6:18" s="68" customFormat="1" ht="15" customHeight="1" x14ac:dyDescent="0.15">
      <c r="F53"/>
      <c r="G53"/>
      <c r="H53"/>
      <c r="I53"/>
      <c r="J53"/>
      <c r="K53"/>
      <c r="L53"/>
      <c r="M53"/>
      <c r="N53"/>
      <c r="O53"/>
      <c r="P53"/>
      <c r="Q53"/>
      <c r="R53"/>
    </row>
    <row r="54" spans="6:18" s="68" customFormat="1" ht="15" customHeight="1" x14ac:dyDescent="0.15">
      <c r="F54"/>
      <c r="G54"/>
      <c r="H54"/>
      <c r="I54"/>
      <c r="J54"/>
      <c r="K54"/>
      <c r="L54"/>
      <c r="M54"/>
      <c r="N54"/>
      <c r="O54"/>
      <c r="P54"/>
      <c r="Q54"/>
      <c r="R54"/>
    </row>
    <row r="55" spans="6:18" s="68" customFormat="1" ht="15" customHeight="1" x14ac:dyDescent="0.15">
      <c r="F55"/>
      <c r="G55"/>
      <c r="H55"/>
      <c r="I55"/>
      <c r="J55"/>
      <c r="K55"/>
      <c r="L55"/>
      <c r="M55"/>
      <c r="N55"/>
      <c r="O55"/>
      <c r="P55"/>
      <c r="Q55"/>
      <c r="R55"/>
    </row>
    <row r="56" spans="6:18" s="68" customFormat="1" ht="15" customHeight="1" x14ac:dyDescent="0.15">
      <c r="F56"/>
      <c r="G56"/>
      <c r="H56"/>
      <c r="I56"/>
      <c r="J56"/>
      <c r="K56"/>
      <c r="L56"/>
      <c r="M56"/>
      <c r="N56"/>
      <c r="O56"/>
      <c r="P56"/>
      <c r="Q56"/>
      <c r="R56"/>
    </row>
    <row r="57" spans="6:18" s="68" customFormat="1" ht="15" customHeight="1" x14ac:dyDescent="0.15">
      <c r="F57"/>
      <c r="G57"/>
      <c r="H57"/>
      <c r="I57"/>
      <c r="J57"/>
      <c r="K57"/>
      <c r="L57"/>
      <c r="M57"/>
      <c r="N57"/>
      <c r="O57"/>
      <c r="P57"/>
      <c r="Q57"/>
      <c r="R57"/>
    </row>
    <row r="58" spans="6:18" s="68" customFormat="1" ht="15" customHeight="1" x14ac:dyDescent="0.15">
      <c r="F58"/>
      <c r="G58"/>
      <c r="H58"/>
      <c r="I58"/>
      <c r="J58"/>
      <c r="K58"/>
      <c r="L58"/>
      <c r="M58"/>
      <c r="N58"/>
      <c r="O58"/>
      <c r="P58"/>
      <c r="Q58"/>
      <c r="R58"/>
    </row>
    <row r="59" spans="6:18" s="68" customFormat="1" ht="15" customHeight="1" x14ac:dyDescent="0.15">
      <c r="F59"/>
      <c r="G59"/>
      <c r="H59"/>
      <c r="I59"/>
      <c r="J59"/>
      <c r="K59"/>
      <c r="L59"/>
      <c r="M59"/>
      <c r="N59"/>
      <c r="O59"/>
      <c r="P59"/>
      <c r="Q59"/>
      <c r="R59"/>
    </row>
    <row r="60" spans="6:18" s="68" customFormat="1" ht="15" customHeight="1" x14ac:dyDescent="0.15">
      <c r="F60"/>
      <c r="G60"/>
      <c r="H60"/>
      <c r="I60"/>
      <c r="J60"/>
      <c r="K60"/>
      <c r="L60"/>
      <c r="M60"/>
      <c r="N60"/>
      <c r="O60"/>
      <c r="P60"/>
      <c r="Q60"/>
      <c r="R60"/>
    </row>
    <row r="61" spans="6:18" s="68" customFormat="1" ht="15" customHeight="1" x14ac:dyDescent="0.15">
      <c r="F61"/>
      <c r="G61"/>
      <c r="H61"/>
      <c r="I61"/>
      <c r="J61"/>
      <c r="K61"/>
      <c r="L61"/>
      <c r="M61"/>
      <c r="N61"/>
      <c r="O61"/>
      <c r="P61"/>
      <c r="Q61"/>
      <c r="R61"/>
    </row>
    <row r="62" spans="6:18" s="68" customFormat="1" ht="15" customHeight="1" x14ac:dyDescent="0.15">
      <c r="F62"/>
      <c r="G62"/>
      <c r="H62"/>
      <c r="I62"/>
      <c r="J62"/>
      <c r="K62"/>
      <c r="L62"/>
      <c r="M62"/>
      <c r="N62"/>
      <c r="O62"/>
      <c r="P62"/>
      <c r="Q62"/>
      <c r="R62"/>
    </row>
    <row r="63" spans="6:18" s="68" customFormat="1" ht="15" customHeight="1" x14ac:dyDescent="0.15">
      <c r="F63"/>
      <c r="G63"/>
      <c r="H63"/>
      <c r="I63"/>
      <c r="J63"/>
      <c r="K63"/>
      <c r="L63"/>
      <c r="M63"/>
      <c r="N63"/>
      <c r="O63"/>
      <c r="P63"/>
      <c r="Q63"/>
      <c r="R63"/>
    </row>
    <row r="64" spans="6:18" s="68"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68"/>
      <c r="F76"/>
      <c r="G76"/>
      <c r="H76"/>
      <c r="I76"/>
      <c r="J76"/>
      <c r="K76"/>
      <c r="L76"/>
      <c r="M76"/>
      <c r="N76"/>
      <c r="O76"/>
      <c r="P76"/>
      <c r="Q76"/>
      <c r="R76"/>
    </row>
    <row r="77" spans="1:18" ht="15" customHeight="1" x14ac:dyDescent="0.15">
      <c r="A77" s="68"/>
      <c r="F77"/>
      <c r="G77"/>
      <c r="H77"/>
      <c r="I77"/>
      <c r="J77"/>
      <c r="K77"/>
      <c r="L77"/>
      <c r="M77"/>
      <c r="N77"/>
      <c r="O77"/>
      <c r="P77"/>
      <c r="Q77"/>
      <c r="R77"/>
    </row>
    <row r="78" spans="1:18" ht="15" customHeight="1" x14ac:dyDescent="0.15">
      <c r="A78" s="68"/>
      <c r="F78"/>
      <c r="G78"/>
      <c r="H78"/>
      <c r="I78"/>
      <c r="J78"/>
      <c r="K78"/>
      <c r="L78"/>
      <c r="M78"/>
      <c r="N78"/>
      <c r="O78"/>
      <c r="P78"/>
      <c r="Q78"/>
      <c r="R78"/>
    </row>
    <row r="79" spans="1:18" ht="15" customHeight="1" x14ac:dyDescent="0.15">
      <c r="A79" s="68"/>
      <c r="F79"/>
      <c r="G79"/>
      <c r="H79"/>
      <c r="I79"/>
      <c r="J79"/>
      <c r="K79"/>
      <c r="L79"/>
      <c r="M79"/>
      <c r="N79"/>
      <c r="O79"/>
      <c r="P79"/>
      <c r="Q79"/>
      <c r="R79"/>
    </row>
    <row r="80" spans="1:18" ht="15" customHeight="1" x14ac:dyDescent="0.15">
      <c r="A80" s="68"/>
      <c r="F80"/>
      <c r="G80"/>
      <c r="H80"/>
      <c r="I80"/>
      <c r="J80"/>
      <c r="K80"/>
      <c r="L80"/>
      <c r="M80"/>
      <c r="N80"/>
      <c r="O80"/>
      <c r="P80"/>
      <c r="Q80"/>
      <c r="R80"/>
    </row>
    <row r="81" spans="1:18" ht="15" customHeight="1" x14ac:dyDescent="0.15">
      <c r="A81" s="68"/>
      <c r="F81"/>
      <c r="G81"/>
      <c r="H81"/>
      <c r="I81"/>
      <c r="J81"/>
      <c r="K81"/>
      <c r="L81"/>
      <c r="M81"/>
      <c r="N81"/>
      <c r="O81"/>
      <c r="P81"/>
      <c r="Q81"/>
      <c r="R81"/>
    </row>
    <row r="82" spans="1:18" ht="15" customHeight="1" x14ac:dyDescent="0.15">
      <c r="A82" s="68"/>
      <c r="F82"/>
      <c r="G82"/>
      <c r="H82"/>
      <c r="I82"/>
      <c r="J82"/>
      <c r="K82"/>
      <c r="L82"/>
      <c r="M82"/>
      <c r="N82"/>
      <c r="O82"/>
      <c r="P82"/>
      <c r="Q82"/>
      <c r="R82"/>
    </row>
    <row r="83" spans="1:18" ht="15" customHeight="1" x14ac:dyDescent="0.15">
      <c r="A83" s="68"/>
      <c r="F83"/>
      <c r="G83"/>
      <c r="H83"/>
      <c r="I83"/>
      <c r="J83"/>
      <c r="K83"/>
      <c r="L83"/>
      <c r="M83"/>
      <c r="N83"/>
      <c r="O83"/>
      <c r="P83"/>
      <c r="Q83"/>
      <c r="R83"/>
    </row>
    <row r="84" spans="1:18" ht="15" customHeight="1" x14ac:dyDescent="0.15">
      <c r="A84" s="68"/>
      <c r="F84"/>
      <c r="G84"/>
      <c r="H84"/>
      <c r="I84"/>
      <c r="J84"/>
      <c r="K84"/>
      <c r="L84"/>
      <c r="M84"/>
      <c r="N84"/>
      <c r="O84"/>
      <c r="P84"/>
      <c r="Q84"/>
      <c r="R84"/>
    </row>
    <row r="85" spans="1:18" ht="15" customHeight="1" x14ac:dyDescent="0.15">
      <c r="A85" s="68"/>
      <c r="F85"/>
      <c r="G85"/>
      <c r="H85"/>
      <c r="I85"/>
      <c r="J85"/>
      <c r="K85"/>
      <c r="L85"/>
      <c r="M85"/>
      <c r="N85"/>
      <c r="O85"/>
      <c r="P85"/>
      <c r="Q85"/>
      <c r="R85"/>
    </row>
    <row r="86" spans="1:18" ht="15" customHeight="1" x14ac:dyDescent="0.15">
      <c r="A86" s="68"/>
      <c r="F86"/>
      <c r="G86"/>
      <c r="H86"/>
      <c r="I86"/>
      <c r="J86"/>
      <c r="K86"/>
      <c r="L86"/>
      <c r="M86"/>
      <c r="N86"/>
      <c r="O86"/>
      <c r="P86"/>
      <c r="Q86"/>
      <c r="R86"/>
    </row>
    <row r="87" spans="1:18" ht="15" customHeight="1" x14ac:dyDescent="0.15">
      <c r="A87" s="68"/>
      <c r="F87"/>
      <c r="G87"/>
      <c r="H87"/>
      <c r="I87"/>
      <c r="J87"/>
      <c r="K87"/>
      <c r="L87"/>
      <c r="M87"/>
      <c r="N87"/>
      <c r="O87"/>
      <c r="P87"/>
      <c r="Q87"/>
      <c r="R87"/>
    </row>
    <row r="88" spans="1:18" ht="15" customHeight="1" x14ac:dyDescent="0.15">
      <c r="A88" s="68"/>
      <c r="F88"/>
      <c r="G88"/>
      <c r="H88"/>
      <c r="I88"/>
      <c r="J88"/>
      <c r="K88"/>
      <c r="L88"/>
      <c r="M88"/>
      <c r="N88"/>
      <c r="O88"/>
      <c r="P88"/>
      <c r="Q88"/>
      <c r="R88"/>
    </row>
    <row r="89" spans="1:18" ht="15" customHeight="1" x14ac:dyDescent="0.15">
      <c r="A89" s="68"/>
      <c r="F89"/>
      <c r="G89"/>
      <c r="H89"/>
      <c r="I89"/>
      <c r="J89"/>
      <c r="K89"/>
      <c r="L89"/>
      <c r="M89"/>
      <c r="N89"/>
      <c r="O89"/>
      <c r="P89"/>
      <c r="Q89"/>
      <c r="R89"/>
    </row>
    <row r="90" spans="1:18" ht="15" customHeight="1" x14ac:dyDescent="0.15">
      <c r="A90" s="68"/>
      <c r="F90"/>
      <c r="G90"/>
      <c r="H90"/>
      <c r="I90"/>
      <c r="J90"/>
      <c r="K90"/>
      <c r="L90"/>
      <c r="M90"/>
      <c r="N90"/>
      <c r="O90"/>
      <c r="P90"/>
      <c r="Q90"/>
      <c r="R90"/>
    </row>
    <row r="91" spans="1:18" ht="15" customHeight="1" x14ac:dyDescent="0.15">
      <c r="A91" s="68"/>
      <c r="F91"/>
      <c r="G91"/>
      <c r="H91"/>
      <c r="I91"/>
      <c r="J91"/>
      <c r="K91"/>
      <c r="L91"/>
      <c r="M91"/>
      <c r="N91"/>
      <c r="O91"/>
      <c r="P91"/>
      <c r="Q91"/>
      <c r="R91"/>
    </row>
    <row r="92" spans="1:18" ht="15" customHeight="1" x14ac:dyDescent="0.15">
      <c r="A92" s="68"/>
      <c r="F92"/>
      <c r="G92"/>
      <c r="H92"/>
      <c r="I92"/>
      <c r="J92"/>
      <c r="K92"/>
      <c r="L92"/>
      <c r="M92"/>
      <c r="N92"/>
      <c r="O92"/>
      <c r="P92"/>
      <c r="Q92"/>
      <c r="R92"/>
    </row>
    <row r="93" spans="1:18" ht="15" customHeight="1" x14ac:dyDescent="0.15">
      <c r="A93" s="68"/>
      <c r="F93"/>
      <c r="G93"/>
      <c r="H93"/>
      <c r="I93"/>
      <c r="J93"/>
      <c r="K93"/>
      <c r="L93"/>
      <c r="M93"/>
      <c r="N93"/>
      <c r="O93"/>
      <c r="P93"/>
      <c r="Q93"/>
      <c r="R93"/>
    </row>
    <row r="94" spans="1:18" ht="15" customHeight="1" x14ac:dyDescent="0.15">
      <c r="A94" s="68"/>
      <c r="F94"/>
      <c r="G94"/>
      <c r="H94"/>
      <c r="I94"/>
      <c r="J94"/>
      <c r="K94"/>
      <c r="L94"/>
      <c r="M94"/>
      <c r="N94"/>
      <c r="O94"/>
      <c r="P94"/>
      <c r="Q94"/>
      <c r="R94"/>
    </row>
    <row r="95" spans="1:18" ht="15" customHeight="1" x14ac:dyDescent="0.15">
      <c r="A95" s="68"/>
      <c r="F95"/>
      <c r="G95"/>
      <c r="H95"/>
      <c r="I95"/>
      <c r="J95"/>
      <c r="K95"/>
      <c r="L95"/>
      <c r="M95"/>
      <c r="N95"/>
      <c r="O95"/>
      <c r="P95"/>
      <c r="Q95"/>
      <c r="R95"/>
    </row>
    <row r="96" spans="1:18" ht="15" customHeight="1" x14ac:dyDescent="0.15">
      <c r="A96" s="68"/>
      <c r="F96"/>
      <c r="G96"/>
      <c r="H96"/>
      <c r="I96"/>
      <c r="J96"/>
      <c r="K96"/>
      <c r="L96"/>
      <c r="M96"/>
      <c r="N96"/>
      <c r="O96"/>
      <c r="P96"/>
      <c r="Q96"/>
      <c r="R96"/>
    </row>
    <row r="97" spans="1:18" ht="15" customHeight="1" x14ac:dyDescent="0.15">
      <c r="A97" s="68"/>
      <c r="F97"/>
      <c r="G97"/>
      <c r="H97"/>
      <c r="I97"/>
      <c r="J97"/>
      <c r="K97"/>
      <c r="L97"/>
      <c r="M97"/>
      <c r="N97"/>
      <c r="O97"/>
      <c r="P97"/>
      <c r="Q97"/>
      <c r="R97"/>
    </row>
    <row r="98" spans="1:18" ht="15" customHeight="1" x14ac:dyDescent="0.15">
      <c r="A98" s="68"/>
      <c r="F98"/>
      <c r="G98"/>
      <c r="H98"/>
      <c r="I98"/>
      <c r="J98"/>
      <c r="K98"/>
      <c r="L98"/>
      <c r="M98"/>
      <c r="N98"/>
      <c r="O98"/>
      <c r="P98"/>
      <c r="Q98"/>
      <c r="R98"/>
    </row>
    <row r="99" spans="1:18" ht="15" customHeight="1" x14ac:dyDescent="0.15">
      <c r="A99" s="68"/>
      <c r="F99"/>
      <c r="G99"/>
      <c r="H99"/>
      <c r="I99"/>
      <c r="J99"/>
      <c r="K99"/>
      <c r="L99"/>
      <c r="M99"/>
      <c r="N99"/>
      <c r="O99"/>
      <c r="P99"/>
      <c r="Q99"/>
      <c r="R99"/>
    </row>
    <row r="100" spans="1:18" ht="15" customHeight="1" x14ac:dyDescent="0.15">
      <c r="A100" s="68"/>
      <c r="F100"/>
      <c r="G100"/>
      <c r="H100"/>
      <c r="I100"/>
      <c r="J100"/>
      <c r="K100"/>
      <c r="L100"/>
      <c r="M100"/>
      <c r="N100"/>
      <c r="O100"/>
      <c r="P100"/>
      <c r="Q100"/>
      <c r="R100"/>
    </row>
    <row r="101" spans="1:18" ht="15" customHeight="1" x14ac:dyDescent="0.15">
      <c r="A101" s="68"/>
      <c r="F101"/>
      <c r="G101"/>
      <c r="H101"/>
      <c r="I101"/>
      <c r="J101"/>
      <c r="K101"/>
      <c r="L101"/>
      <c r="M101"/>
      <c r="N101"/>
      <c r="O101"/>
      <c r="P101"/>
      <c r="Q101"/>
      <c r="R101"/>
    </row>
    <row r="102" spans="1:18" ht="15" customHeight="1" x14ac:dyDescent="0.15">
      <c r="A102" s="68"/>
      <c r="F102"/>
      <c r="G102"/>
      <c r="H102"/>
      <c r="I102"/>
      <c r="J102"/>
      <c r="K102"/>
      <c r="L102"/>
      <c r="M102"/>
      <c r="N102"/>
      <c r="O102"/>
      <c r="P102"/>
      <c r="Q102"/>
      <c r="R102"/>
    </row>
    <row r="103" spans="1:18" ht="15" customHeight="1" x14ac:dyDescent="0.15">
      <c r="A103" s="68"/>
      <c r="F103"/>
      <c r="G103"/>
      <c r="H103"/>
      <c r="I103"/>
      <c r="J103"/>
      <c r="K103"/>
      <c r="L103"/>
      <c r="M103"/>
      <c r="N103"/>
      <c r="O103"/>
      <c r="P103"/>
      <c r="Q103"/>
      <c r="R103"/>
    </row>
    <row r="104" spans="1:18" ht="15" customHeight="1" x14ac:dyDescent="0.15">
      <c r="A104" s="68"/>
      <c r="F104"/>
      <c r="G104"/>
      <c r="H104"/>
      <c r="I104"/>
      <c r="J104"/>
      <c r="K104"/>
      <c r="L104"/>
      <c r="M104"/>
      <c r="N104"/>
      <c r="O104"/>
      <c r="P104"/>
      <c r="Q104"/>
      <c r="R104"/>
    </row>
    <row r="105" spans="1:18" ht="15" customHeight="1" x14ac:dyDescent="0.15">
      <c r="A105" s="68"/>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68" customFormat="1" ht="15" customHeight="1" x14ac:dyDescent="0.15">
      <c r="F113"/>
      <c r="G113"/>
      <c r="H113"/>
      <c r="I113"/>
      <c r="J113"/>
      <c r="K113"/>
      <c r="L113"/>
      <c r="M113"/>
      <c r="N113"/>
      <c r="O113"/>
      <c r="P113"/>
      <c r="Q113"/>
      <c r="R113"/>
    </row>
    <row r="114" spans="6:18" s="68" customFormat="1" ht="15" customHeight="1" x14ac:dyDescent="0.15">
      <c r="F114"/>
      <c r="G114"/>
      <c r="H114"/>
      <c r="I114"/>
      <c r="J114"/>
      <c r="K114"/>
      <c r="L114"/>
      <c r="M114"/>
      <c r="N114"/>
      <c r="O114"/>
      <c r="P114"/>
      <c r="Q114"/>
      <c r="R114"/>
    </row>
    <row r="115" spans="6:18" s="68" customFormat="1" ht="15" customHeight="1" x14ac:dyDescent="0.15">
      <c r="F115"/>
      <c r="G115"/>
      <c r="H115"/>
      <c r="I115"/>
      <c r="J115"/>
      <c r="K115"/>
      <c r="L115"/>
      <c r="M115"/>
      <c r="N115"/>
      <c r="O115"/>
      <c r="P115"/>
      <c r="Q115"/>
      <c r="R115"/>
    </row>
    <row r="116" spans="6:18" s="68" customFormat="1" ht="15" customHeight="1" x14ac:dyDescent="0.15">
      <c r="F116"/>
      <c r="G116"/>
      <c r="H116"/>
      <c r="I116"/>
      <c r="J116"/>
      <c r="K116"/>
      <c r="L116"/>
      <c r="M116"/>
      <c r="N116"/>
      <c r="O116"/>
      <c r="P116"/>
      <c r="Q116"/>
      <c r="R116"/>
    </row>
    <row r="117" spans="6:18" s="68" customFormat="1" ht="15" customHeight="1" x14ac:dyDescent="0.15">
      <c r="F117"/>
      <c r="G117"/>
      <c r="H117"/>
      <c r="I117"/>
      <c r="J117"/>
      <c r="K117"/>
      <c r="L117"/>
      <c r="M117"/>
      <c r="N117"/>
      <c r="O117"/>
      <c r="P117"/>
      <c r="Q117"/>
      <c r="R117"/>
    </row>
    <row r="118" spans="6:18" s="68" customFormat="1" ht="15" customHeight="1" x14ac:dyDescent="0.15">
      <c r="F118"/>
      <c r="G118"/>
      <c r="H118"/>
      <c r="I118"/>
      <c r="J118"/>
      <c r="K118"/>
      <c r="L118"/>
      <c r="M118"/>
      <c r="N118"/>
      <c r="O118"/>
      <c r="P118"/>
      <c r="Q118"/>
      <c r="R118"/>
    </row>
    <row r="119" spans="6:18" s="68" customFormat="1" ht="15" customHeight="1" x14ac:dyDescent="0.15">
      <c r="F119"/>
      <c r="G119"/>
      <c r="H119"/>
      <c r="I119"/>
      <c r="J119"/>
      <c r="K119"/>
      <c r="L119"/>
      <c r="M119"/>
      <c r="N119"/>
      <c r="O119"/>
      <c r="P119"/>
      <c r="Q119"/>
      <c r="R119"/>
    </row>
    <row r="120" spans="6:18" s="68" customFormat="1" ht="15" customHeight="1" x14ac:dyDescent="0.15">
      <c r="F120"/>
      <c r="G120"/>
      <c r="H120"/>
      <c r="I120"/>
      <c r="J120"/>
      <c r="K120"/>
      <c r="L120"/>
      <c r="M120"/>
      <c r="N120"/>
      <c r="O120"/>
      <c r="P120"/>
      <c r="Q120"/>
      <c r="R120"/>
    </row>
    <row r="121" spans="6:18" s="68" customFormat="1" ht="15" customHeight="1" x14ac:dyDescent="0.15">
      <c r="F121"/>
      <c r="G121"/>
      <c r="H121"/>
      <c r="I121"/>
      <c r="J121"/>
      <c r="K121"/>
      <c r="L121"/>
      <c r="M121"/>
      <c r="N121"/>
      <c r="O121"/>
      <c r="P121"/>
      <c r="Q121"/>
      <c r="R121"/>
    </row>
    <row r="122" spans="6:18" s="68" customFormat="1" ht="15" customHeight="1" x14ac:dyDescent="0.15">
      <c r="F122"/>
      <c r="G122"/>
      <c r="H122"/>
      <c r="I122"/>
      <c r="J122"/>
      <c r="K122"/>
      <c r="L122"/>
      <c r="M122"/>
      <c r="N122"/>
      <c r="O122"/>
      <c r="P122"/>
      <c r="Q122"/>
      <c r="R122"/>
    </row>
    <row r="123" spans="6:18" s="68" customFormat="1" ht="15" customHeight="1" x14ac:dyDescent="0.15">
      <c r="F123"/>
      <c r="G123"/>
      <c r="H123"/>
      <c r="I123"/>
      <c r="J123"/>
      <c r="K123"/>
      <c r="L123"/>
      <c r="M123"/>
      <c r="N123"/>
      <c r="O123"/>
      <c r="P123"/>
      <c r="Q123"/>
      <c r="R123"/>
    </row>
    <row r="124" spans="6:18" s="68" customFormat="1" ht="15" customHeight="1" x14ac:dyDescent="0.15">
      <c r="F124"/>
      <c r="G124"/>
      <c r="H124"/>
      <c r="I124"/>
      <c r="J124"/>
      <c r="K124"/>
      <c r="L124"/>
      <c r="M124"/>
      <c r="N124"/>
      <c r="O124"/>
      <c r="P124"/>
      <c r="Q124"/>
      <c r="R124"/>
    </row>
    <row r="125" spans="6:18" s="68" customFormat="1" ht="15" customHeight="1" x14ac:dyDescent="0.15">
      <c r="F125"/>
      <c r="G125"/>
      <c r="H125"/>
      <c r="I125"/>
      <c r="J125"/>
      <c r="K125"/>
      <c r="L125"/>
      <c r="M125"/>
      <c r="N125"/>
      <c r="O125"/>
      <c r="P125"/>
      <c r="Q125"/>
      <c r="R125"/>
    </row>
    <row r="126" spans="6:18" s="68" customFormat="1" ht="15" customHeight="1" x14ac:dyDescent="0.15">
      <c r="F126"/>
      <c r="G126"/>
      <c r="H126"/>
      <c r="I126"/>
      <c r="J126"/>
      <c r="K126"/>
      <c r="L126"/>
      <c r="M126"/>
      <c r="N126"/>
      <c r="O126"/>
      <c r="P126"/>
      <c r="Q126"/>
      <c r="R126"/>
    </row>
    <row r="127" spans="6:18" s="68" customFormat="1" ht="15" customHeight="1" x14ac:dyDescent="0.15">
      <c r="F127"/>
      <c r="G127"/>
      <c r="H127"/>
      <c r="I127"/>
      <c r="J127"/>
      <c r="K127"/>
      <c r="L127"/>
      <c r="M127"/>
      <c r="N127"/>
      <c r="O127"/>
      <c r="P127"/>
      <c r="Q127"/>
      <c r="R127"/>
    </row>
    <row r="128" spans="6:18" s="68" customFormat="1" ht="15" customHeight="1" x14ac:dyDescent="0.15">
      <c r="F128"/>
      <c r="G128"/>
      <c r="H128"/>
      <c r="I128"/>
      <c r="J128"/>
      <c r="K128"/>
      <c r="L128"/>
      <c r="M128"/>
      <c r="N128"/>
      <c r="O128"/>
      <c r="P128"/>
      <c r="Q128"/>
      <c r="R128"/>
    </row>
    <row r="129" spans="6:18" s="68" customFormat="1" ht="15" customHeight="1" x14ac:dyDescent="0.15">
      <c r="F129"/>
      <c r="G129"/>
      <c r="H129"/>
      <c r="I129"/>
      <c r="J129"/>
      <c r="K129"/>
      <c r="L129"/>
      <c r="M129"/>
      <c r="N129"/>
      <c r="O129"/>
      <c r="P129"/>
      <c r="Q129"/>
      <c r="R129"/>
    </row>
    <row r="130" spans="6:18" s="68" customFormat="1" ht="15" customHeight="1" x14ac:dyDescent="0.15">
      <c r="F130"/>
      <c r="G130"/>
      <c r="H130"/>
      <c r="I130"/>
      <c r="J130"/>
      <c r="K130"/>
      <c r="L130"/>
      <c r="M130"/>
      <c r="N130"/>
      <c r="O130"/>
      <c r="P130"/>
      <c r="Q130"/>
      <c r="R130"/>
    </row>
    <row r="131" spans="6:18" s="68" customFormat="1" ht="15" customHeight="1" x14ac:dyDescent="0.15">
      <c r="F131"/>
      <c r="G131"/>
      <c r="H131"/>
      <c r="I131"/>
      <c r="J131"/>
      <c r="K131"/>
      <c r="L131"/>
      <c r="M131"/>
      <c r="N131"/>
      <c r="O131"/>
      <c r="P131"/>
      <c r="Q131"/>
      <c r="R131"/>
    </row>
    <row r="132" spans="6:18" s="68" customFormat="1" ht="15" customHeight="1" x14ac:dyDescent="0.15">
      <c r="F132"/>
      <c r="G132"/>
      <c r="H132"/>
      <c r="I132"/>
      <c r="J132"/>
      <c r="K132"/>
      <c r="L132"/>
      <c r="M132"/>
      <c r="N132"/>
      <c r="O132"/>
      <c r="P132"/>
      <c r="Q132"/>
      <c r="R132"/>
    </row>
    <row r="133" spans="6:18" s="68" customFormat="1" ht="15" customHeight="1" x14ac:dyDescent="0.15">
      <c r="F133"/>
      <c r="G133"/>
      <c r="H133"/>
      <c r="I133"/>
      <c r="J133"/>
      <c r="K133"/>
      <c r="L133"/>
      <c r="M133"/>
      <c r="N133"/>
      <c r="O133"/>
      <c r="P133"/>
      <c r="Q133"/>
      <c r="R133"/>
    </row>
    <row r="134" spans="6:18" s="68" customFormat="1" ht="15" customHeight="1" x14ac:dyDescent="0.15">
      <c r="F134"/>
      <c r="G134"/>
      <c r="H134"/>
      <c r="I134"/>
      <c r="J134"/>
      <c r="K134"/>
      <c r="L134"/>
      <c r="M134"/>
      <c r="N134"/>
      <c r="O134"/>
      <c r="P134"/>
      <c r="Q134"/>
      <c r="R134"/>
    </row>
    <row r="135" spans="6:18" s="68" customFormat="1" ht="15" customHeight="1" x14ac:dyDescent="0.15">
      <c r="F135"/>
      <c r="G135"/>
      <c r="H135"/>
      <c r="I135"/>
      <c r="J135"/>
      <c r="K135"/>
      <c r="L135"/>
      <c r="M135"/>
      <c r="N135"/>
      <c r="O135"/>
      <c r="P135"/>
      <c r="Q135"/>
      <c r="R135"/>
    </row>
    <row r="136" spans="6:18" s="68" customFormat="1" ht="15" customHeight="1" x14ac:dyDescent="0.15">
      <c r="F136"/>
      <c r="G136"/>
      <c r="H136"/>
      <c r="I136"/>
      <c r="J136"/>
      <c r="K136"/>
      <c r="L136"/>
      <c r="M136"/>
      <c r="N136"/>
      <c r="O136"/>
      <c r="P136"/>
      <c r="Q136"/>
      <c r="R136"/>
    </row>
    <row r="137" spans="6:18" s="68" customFormat="1" ht="15" customHeight="1" x14ac:dyDescent="0.15">
      <c r="F137"/>
      <c r="G137"/>
      <c r="H137"/>
      <c r="I137"/>
      <c r="J137"/>
      <c r="K137"/>
      <c r="L137"/>
      <c r="M137"/>
      <c r="N137"/>
      <c r="O137"/>
      <c r="P137"/>
      <c r="Q137"/>
      <c r="R137"/>
    </row>
    <row r="138" spans="6:18" s="68" customFormat="1" ht="15" customHeight="1" x14ac:dyDescent="0.15">
      <c r="F138"/>
      <c r="G138"/>
      <c r="H138"/>
      <c r="I138"/>
      <c r="J138"/>
      <c r="K138"/>
      <c r="L138"/>
      <c r="M138"/>
      <c r="N138"/>
      <c r="O138"/>
      <c r="P138"/>
      <c r="Q138"/>
      <c r="R138"/>
    </row>
    <row r="139" spans="6:18" s="68" customFormat="1" ht="15" customHeight="1" x14ac:dyDescent="0.15">
      <c r="F139"/>
      <c r="G139"/>
      <c r="H139"/>
      <c r="I139"/>
      <c r="J139"/>
      <c r="K139"/>
      <c r="L139"/>
      <c r="M139"/>
      <c r="N139"/>
      <c r="O139"/>
      <c r="P139"/>
      <c r="Q139"/>
      <c r="R139"/>
    </row>
    <row r="140" spans="6:18" s="68" customFormat="1" ht="15" customHeight="1" x14ac:dyDescent="0.15">
      <c r="F140"/>
      <c r="G140"/>
      <c r="H140"/>
      <c r="I140"/>
      <c r="J140"/>
      <c r="K140"/>
      <c r="L140"/>
      <c r="M140"/>
      <c r="N140"/>
      <c r="O140"/>
      <c r="P140"/>
      <c r="Q140"/>
      <c r="R140"/>
    </row>
    <row r="141" spans="6:18" s="68" customFormat="1" ht="15" customHeight="1" x14ac:dyDescent="0.15">
      <c r="F141"/>
      <c r="G141"/>
      <c r="H141"/>
      <c r="I141"/>
      <c r="J141"/>
      <c r="K141"/>
      <c r="L141"/>
      <c r="M141"/>
      <c r="N141"/>
      <c r="O141"/>
      <c r="P141"/>
      <c r="Q141"/>
      <c r="R141"/>
    </row>
    <row r="142" spans="6:18" s="68" customFormat="1" ht="15" customHeight="1" x14ac:dyDescent="0.15">
      <c r="F142"/>
      <c r="G142"/>
      <c r="H142"/>
      <c r="I142"/>
      <c r="J142"/>
      <c r="K142"/>
      <c r="L142"/>
      <c r="M142"/>
      <c r="N142"/>
      <c r="O142"/>
      <c r="P142"/>
      <c r="Q142"/>
      <c r="R142"/>
    </row>
    <row r="143" spans="6:18" s="68" customFormat="1" ht="15" customHeight="1" x14ac:dyDescent="0.15">
      <c r="F143"/>
      <c r="G143"/>
      <c r="H143"/>
      <c r="I143"/>
      <c r="J143"/>
      <c r="K143"/>
      <c r="L143"/>
      <c r="M143"/>
      <c r="N143"/>
      <c r="O143"/>
      <c r="P143"/>
      <c r="Q143"/>
      <c r="R143"/>
    </row>
    <row r="144" spans="6:18" s="68" customFormat="1" ht="15" customHeight="1" x14ac:dyDescent="0.15">
      <c r="F144"/>
      <c r="G144"/>
      <c r="H144"/>
      <c r="I144"/>
      <c r="J144"/>
      <c r="K144"/>
      <c r="L144"/>
      <c r="M144"/>
      <c r="N144"/>
      <c r="O144"/>
      <c r="P144"/>
      <c r="Q144"/>
      <c r="R144"/>
    </row>
    <row r="145" spans="6:18" s="68" customFormat="1" ht="15" customHeight="1" x14ac:dyDescent="0.15">
      <c r="F145"/>
      <c r="G145"/>
      <c r="H145"/>
      <c r="I145"/>
      <c r="J145"/>
      <c r="K145"/>
      <c r="L145"/>
      <c r="M145"/>
      <c r="N145"/>
      <c r="O145"/>
      <c r="P145"/>
      <c r="Q145"/>
      <c r="R145"/>
    </row>
    <row r="146" spans="6:18" s="68" customFormat="1" ht="15" customHeight="1" x14ac:dyDescent="0.15">
      <c r="F146"/>
      <c r="G146"/>
      <c r="H146"/>
      <c r="I146"/>
      <c r="J146"/>
      <c r="K146"/>
      <c r="L146"/>
      <c r="M146"/>
      <c r="N146"/>
      <c r="O146"/>
      <c r="P146"/>
      <c r="Q146"/>
      <c r="R146"/>
    </row>
    <row r="147" spans="6:18" s="68" customFormat="1" ht="15" customHeight="1" x14ac:dyDescent="0.15">
      <c r="F147"/>
      <c r="G147"/>
      <c r="H147"/>
      <c r="I147"/>
      <c r="J147"/>
      <c r="K147"/>
      <c r="L147"/>
      <c r="M147"/>
      <c r="N147"/>
      <c r="O147"/>
      <c r="P147"/>
      <c r="Q147"/>
      <c r="R147"/>
    </row>
    <row r="148" spans="6:18" s="68" customFormat="1" ht="15" customHeight="1" x14ac:dyDescent="0.15">
      <c r="F148"/>
      <c r="G148"/>
      <c r="H148"/>
      <c r="I148"/>
      <c r="J148"/>
      <c r="K148"/>
      <c r="L148"/>
      <c r="M148"/>
      <c r="N148"/>
      <c r="O148"/>
      <c r="P148"/>
      <c r="Q148"/>
      <c r="R148"/>
    </row>
    <row r="149" spans="6:18" s="68" customFormat="1" ht="15" customHeight="1" x14ac:dyDescent="0.15">
      <c r="F149"/>
      <c r="G149"/>
      <c r="H149"/>
      <c r="I149"/>
      <c r="J149"/>
      <c r="K149"/>
      <c r="L149"/>
      <c r="M149"/>
      <c r="N149"/>
      <c r="O149"/>
      <c r="P149"/>
      <c r="Q149"/>
      <c r="R149"/>
    </row>
    <row r="150" spans="6:18" s="68" customFormat="1" ht="15" customHeight="1" x14ac:dyDescent="0.15">
      <c r="F150"/>
      <c r="G150"/>
      <c r="H150"/>
      <c r="I150"/>
      <c r="J150"/>
      <c r="K150"/>
      <c r="L150"/>
      <c r="M150"/>
      <c r="N150"/>
      <c r="O150"/>
      <c r="P150"/>
      <c r="Q150"/>
      <c r="R150"/>
    </row>
    <row r="151" spans="6:18" s="68" customFormat="1" ht="15" customHeight="1" x14ac:dyDescent="0.15">
      <c r="F151"/>
      <c r="G151"/>
      <c r="H151"/>
      <c r="I151"/>
      <c r="J151"/>
      <c r="K151"/>
      <c r="L151"/>
      <c r="M151"/>
      <c r="N151"/>
      <c r="O151"/>
      <c r="P151"/>
      <c r="Q151"/>
      <c r="R151"/>
    </row>
    <row r="152" spans="6:18" s="68" customFormat="1" ht="15" customHeight="1" x14ac:dyDescent="0.15">
      <c r="F152"/>
      <c r="G152"/>
      <c r="H152"/>
      <c r="I152"/>
      <c r="J152"/>
      <c r="K152"/>
      <c r="L152"/>
      <c r="M152"/>
      <c r="N152"/>
      <c r="O152"/>
      <c r="P152"/>
      <c r="Q152"/>
      <c r="R152"/>
    </row>
    <row r="153" spans="6:18" s="68" customFormat="1" ht="15" customHeight="1" x14ac:dyDescent="0.15">
      <c r="F153"/>
      <c r="G153"/>
      <c r="H153"/>
      <c r="I153"/>
      <c r="J153"/>
      <c r="K153"/>
      <c r="L153"/>
      <c r="M153"/>
      <c r="N153"/>
      <c r="O153"/>
      <c r="P153"/>
      <c r="Q153"/>
      <c r="R153"/>
    </row>
    <row r="154" spans="6:18" s="68" customFormat="1" ht="15" customHeight="1" x14ac:dyDescent="0.15">
      <c r="F154"/>
      <c r="G154"/>
      <c r="H154"/>
      <c r="I154"/>
      <c r="J154"/>
      <c r="K154"/>
      <c r="L154"/>
      <c r="M154"/>
      <c r="N154"/>
      <c r="O154"/>
      <c r="P154"/>
      <c r="Q154"/>
      <c r="R154"/>
    </row>
    <row r="155" spans="6:18" s="68" customFormat="1" ht="15" customHeight="1" x14ac:dyDescent="0.15">
      <c r="F155"/>
      <c r="G155"/>
      <c r="H155"/>
      <c r="I155"/>
      <c r="J155"/>
      <c r="K155"/>
      <c r="L155"/>
      <c r="M155"/>
      <c r="N155"/>
      <c r="O155"/>
      <c r="P155"/>
      <c r="Q155"/>
      <c r="R155"/>
    </row>
    <row r="156" spans="6:18" s="68" customFormat="1" ht="15" customHeight="1" x14ac:dyDescent="0.15">
      <c r="F156"/>
      <c r="G156"/>
      <c r="H156"/>
      <c r="I156"/>
      <c r="J156"/>
      <c r="K156"/>
      <c r="L156"/>
      <c r="M156"/>
      <c r="N156"/>
      <c r="O156"/>
      <c r="P156"/>
      <c r="Q156"/>
      <c r="R156"/>
    </row>
    <row r="157" spans="6:18" s="68" customFormat="1" ht="15" customHeight="1" x14ac:dyDescent="0.15">
      <c r="F157"/>
      <c r="G157"/>
      <c r="H157"/>
      <c r="I157"/>
      <c r="J157"/>
      <c r="K157"/>
      <c r="L157"/>
      <c r="M157"/>
      <c r="N157"/>
      <c r="O157"/>
      <c r="P157"/>
      <c r="Q157"/>
      <c r="R157"/>
    </row>
    <row r="158" spans="6:18" s="68" customFormat="1" ht="15" customHeight="1" x14ac:dyDescent="0.15">
      <c r="F158"/>
      <c r="G158"/>
      <c r="H158"/>
      <c r="I158"/>
      <c r="J158"/>
      <c r="K158"/>
      <c r="L158"/>
      <c r="M158"/>
      <c r="N158"/>
      <c r="O158"/>
      <c r="P158"/>
      <c r="Q158"/>
      <c r="R158"/>
    </row>
    <row r="159" spans="6:18" s="68" customFormat="1" ht="15" customHeight="1" x14ac:dyDescent="0.15">
      <c r="F159"/>
      <c r="G159"/>
      <c r="H159"/>
      <c r="I159"/>
      <c r="J159"/>
      <c r="K159"/>
      <c r="L159"/>
      <c r="M159"/>
      <c r="N159"/>
      <c r="O159"/>
      <c r="P159"/>
      <c r="Q159"/>
      <c r="R159"/>
    </row>
    <row r="160" spans="6:18" s="68" customFormat="1" ht="15" customHeight="1" x14ac:dyDescent="0.15">
      <c r="F160"/>
      <c r="G160"/>
      <c r="H160"/>
      <c r="I160"/>
      <c r="J160"/>
      <c r="K160"/>
      <c r="L160"/>
      <c r="M160"/>
      <c r="N160"/>
      <c r="O160"/>
      <c r="P160"/>
      <c r="Q160"/>
      <c r="R160"/>
    </row>
    <row r="161" spans="6:18" s="68" customFormat="1" ht="15" customHeight="1" x14ac:dyDescent="0.15">
      <c r="F161"/>
      <c r="G161"/>
      <c r="H161"/>
      <c r="I161"/>
      <c r="J161"/>
      <c r="K161"/>
      <c r="L161"/>
      <c r="M161"/>
      <c r="N161"/>
      <c r="O161"/>
      <c r="P161"/>
      <c r="Q161"/>
      <c r="R161"/>
    </row>
    <row r="162" spans="6:18" s="68" customFormat="1" ht="15" customHeight="1" x14ac:dyDescent="0.15">
      <c r="F162"/>
      <c r="G162"/>
      <c r="H162"/>
      <c r="I162"/>
      <c r="J162"/>
      <c r="K162"/>
      <c r="L162"/>
      <c r="M162"/>
      <c r="N162"/>
      <c r="O162"/>
      <c r="P162"/>
      <c r="Q162"/>
      <c r="R162"/>
    </row>
    <row r="163" spans="6:18" s="68" customFormat="1" ht="15" customHeight="1" x14ac:dyDescent="0.15">
      <c r="F163"/>
      <c r="G163"/>
      <c r="H163"/>
      <c r="I163"/>
      <c r="J163"/>
      <c r="K163"/>
      <c r="L163"/>
      <c r="M163"/>
      <c r="N163"/>
      <c r="O163"/>
      <c r="P163"/>
      <c r="Q163"/>
      <c r="R163"/>
    </row>
    <row r="164" spans="6:18" s="68" customFormat="1" ht="15" customHeight="1" x14ac:dyDescent="0.15">
      <c r="F164"/>
      <c r="G164"/>
      <c r="H164"/>
      <c r="I164"/>
      <c r="J164"/>
      <c r="K164"/>
      <c r="L164"/>
      <c r="M164"/>
      <c r="N164"/>
      <c r="O164"/>
      <c r="P164"/>
      <c r="Q164"/>
      <c r="R164"/>
    </row>
    <row r="165" spans="6:18" s="68" customFormat="1" ht="15" customHeight="1" x14ac:dyDescent="0.15">
      <c r="F165"/>
      <c r="G165"/>
      <c r="H165"/>
      <c r="I165"/>
      <c r="J165"/>
      <c r="K165"/>
      <c r="L165"/>
      <c r="M165"/>
      <c r="N165"/>
      <c r="O165"/>
      <c r="P165"/>
      <c r="Q165"/>
      <c r="R165"/>
    </row>
    <row r="166" spans="6:18" s="68" customFormat="1" ht="15" customHeight="1" x14ac:dyDescent="0.15">
      <c r="F166"/>
      <c r="G166"/>
      <c r="H166"/>
      <c r="I166"/>
      <c r="J166"/>
      <c r="K166"/>
      <c r="L166"/>
      <c r="M166"/>
      <c r="N166"/>
      <c r="O166"/>
      <c r="P166"/>
      <c r="Q166"/>
      <c r="R166"/>
    </row>
    <row r="167" spans="6:18" s="68" customFormat="1" ht="15" customHeight="1" x14ac:dyDescent="0.15">
      <c r="F167"/>
      <c r="G167"/>
      <c r="H167"/>
      <c r="I167"/>
      <c r="J167"/>
      <c r="K167"/>
      <c r="L167"/>
      <c r="M167"/>
      <c r="N167"/>
      <c r="O167"/>
      <c r="P167"/>
      <c r="Q167"/>
      <c r="R167"/>
    </row>
    <row r="168" spans="6:18" s="68" customFormat="1" ht="15" customHeight="1" x14ac:dyDescent="0.15">
      <c r="F168"/>
      <c r="G168"/>
      <c r="H168"/>
      <c r="I168"/>
      <c r="J168"/>
      <c r="K168"/>
      <c r="L168"/>
      <c r="M168"/>
      <c r="N168"/>
      <c r="O168"/>
      <c r="P168"/>
      <c r="Q168"/>
      <c r="R168"/>
    </row>
    <row r="169" spans="6:18" s="68" customFormat="1" ht="15" customHeight="1" x14ac:dyDescent="0.15">
      <c r="F169"/>
      <c r="G169"/>
      <c r="H169"/>
      <c r="I169"/>
      <c r="J169"/>
      <c r="K169"/>
      <c r="L169"/>
      <c r="M169"/>
      <c r="N169"/>
      <c r="O169"/>
      <c r="P169"/>
      <c r="Q169"/>
      <c r="R169"/>
    </row>
    <row r="170" spans="6:18" s="68" customFormat="1" ht="15" customHeight="1" x14ac:dyDescent="0.15">
      <c r="F170"/>
      <c r="G170"/>
      <c r="H170"/>
      <c r="I170"/>
      <c r="J170"/>
      <c r="K170"/>
      <c r="L170"/>
      <c r="M170"/>
      <c r="N170"/>
      <c r="O170"/>
      <c r="P170"/>
      <c r="Q170"/>
      <c r="R170"/>
    </row>
    <row r="171" spans="6:18" s="68" customFormat="1" ht="15" customHeight="1" x14ac:dyDescent="0.15">
      <c r="F171"/>
      <c r="G171"/>
      <c r="H171"/>
      <c r="I171"/>
      <c r="J171"/>
      <c r="K171"/>
      <c r="L171"/>
      <c r="M171"/>
      <c r="N171"/>
      <c r="O171"/>
      <c r="P171"/>
      <c r="Q171"/>
      <c r="R171"/>
    </row>
    <row r="172" spans="6:18" s="68" customFormat="1" ht="15" customHeight="1" x14ac:dyDescent="0.15">
      <c r="F172"/>
      <c r="G172"/>
      <c r="H172"/>
      <c r="I172"/>
      <c r="J172"/>
      <c r="K172"/>
      <c r="L172"/>
      <c r="M172"/>
      <c r="N172"/>
      <c r="O172"/>
      <c r="P172"/>
      <c r="Q172"/>
      <c r="R172"/>
    </row>
    <row r="173" spans="6:18" s="68" customFormat="1" ht="15" customHeight="1" x14ac:dyDescent="0.15">
      <c r="F173"/>
      <c r="G173"/>
      <c r="H173"/>
      <c r="I173"/>
      <c r="J173"/>
      <c r="K173"/>
      <c r="L173"/>
      <c r="M173"/>
      <c r="N173"/>
      <c r="O173"/>
      <c r="P173"/>
      <c r="Q173"/>
      <c r="R173"/>
    </row>
    <row r="174" spans="6:18" s="68" customFormat="1" ht="15" customHeight="1" x14ac:dyDescent="0.15">
      <c r="F174"/>
      <c r="G174"/>
      <c r="H174"/>
      <c r="I174"/>
      <c r="J174"/>
      <c r="K174"/>
      <c r="L174"/>
      <c r="M174"/>
      <c r="N174"/>
      <c r="O174"/>
      <c r="P174"/>
      <c r="Q174"/>
      <c r="R174"/>
    </row>
    <row r="175" spans="6:18" s="68" customFormat="1" ht="15" customHeight="1" x14ac:dyDescent="0.15">
      <c r="F175"/>
      <c r="G175"/>
      <c r="H175"/>
      <c r="I175"/>
      <c r="J175"/>
      <c r="K175"/>
      <c r="L175"/>
      <c r="M175"/>
      <c r="N175"/>
      <c r="O175"/>
      <c r="P175"/>
      <c r="Q175"/>
      <c r="R175"/>
    </row>
    <row r="176" spans="6:18" s="68" customFormat="1" ht="15" customHeight="1" x14ac:dyDescent="0.15">
      <c r="F176"/>
      <c r="G176"/>
      <c r="H176"/>
      <c r="I176"/>
      <c r="J176"/>
      <c r="K176"/>
      <c r="L176"/>
      <c r="M176"/>
      <c r="N176"/>
      <c r="O176"/>
      <c r="P176"/>
      <c r="Q176"/>
      <c r="R176"/>
    </row>
    <row r="177" spans="6:18" s="68" customFormat="1" ht="15" customHeight="1" x14ac:dyDescent="0.15">
      <c r="F177"/>
      <c r="G177"/>
      <c r="H177"/>
      <c r="I177"/>
      <c r="J177"/>
      <c r="K177"/>
      <c r="L177"/>
      <c r="M177"/>
      <c r="N177"/>
      <c r="O177"/>
      <c r="P177"/>
      <c r="Q177"/>
      <c r="R177"/>
    </row>
    <row r="178" spans="6:18" s="68" customFormat="1" ht="15" customHeight="1" x14ac:dyDescent="0.15">
      <c r="F178"/>
      <c r="G178"/>
      <c r="H178"/>
      <c r="I178"/>
      <c r="J178"/>
      <c r="K178"/>
      <c r="L178"/>
      <c r="M178"/>
      <c r="N178"/>
      <c r="O178"/>
      <c r="P178"/>
      <c r="Q178"/>
      <c r="R178"/>
    </row>
    <row r="179" spans="6:18" s="68" customFormat="1" ht="15" customHeight="1" x14ac:dyDescent="0.15">
      <c r="F179"/>
      <c r="G179"/>
      <c r="H179"/>
      <c r="I179"/>
      <c r="J179"/>
      <c r="K179"/>
      <c r="L179"/>
      <c r="M179"/>
      <c r="N179"/>
      <c r="O179"/>
      <c r="P179"/>
      <c r="Q179"/>
      <c r="R179"/>
    </row>
    <row r="180" spans="6:18" s="68" customFormat="1" ht="15" customHeight="1" x14ac:dyDescent="0.15">
      <c r="F180"/>
      <c r="G180"/>
      <c r="H180"/>
      <c r="I180"/>
      <c r="J180"/>
      <c r="K180"/>
      <c r="L180"/>
      <c r="M180"/>
      <c r="N180"/>
      <c r="O180"/>
      <c r="P180"/>
      <c r="Q180"/>
      <c r="R180"/>
    </row>
    <row r="181" spans="6:18" s="68" customFormat="1" ht="15" customHeight="1" x14ac:dyDescent="0.15">
      <c r="F181"/>
      <c r="G181"/>
      <c r="H181"/>
      <c r="I181"/>
      <c r="J181"/>
      <c r="K181"/>
      <c r="L181"/>
      <c r="M181"/>
      <c r="N181"/>
      <c r="O181"/>
      <c r="P181"/>
      <c r="Q181"/>
      <c r="R181"/>
    </row>
    <row r="182" spans="6:18" s="68" customFormat="1" ht="15" customHeight="1" x14ac:dyDescent="0.15">
      <c r="F182"/>
      <c r="G182"/>
      <c r="H182"/>
      <c r="I182"/>
      <c r="J182"/>
      <c r="K182"/>
      <c r="L182"/>
      <c r="M182"/>
      <c r="N182"/>
      <c r="O182"/>
      <c r="P182"/>
      <c r="Q182"/>
      <c r="R182"/>
    </row>
    <row r="183" spans="6:18" s="68" customFormat="1" ht="15" customHeight="1" x14ac:dyDescent="0.15">
      <c r="F183"/>
      <c r="G183"/>
      <c r="H183"/>
      <c r="I183"/>
      <c r="J183"/>
      <c r="K183"/>
      <c r="L183"/>
      <c r="M183"/>
      <c r="N183"/>
      <c r="O183"/>
      <c r="P183"/>
      <c r="Q183"/>
      <c r="R183"/>
    </row>
    <row r="184" spans="6:18" s="68" customFormat="1" ht="15" customHeight="1" x14ac:dyDescent="0.15">
      <c r="F184"/>
      <c r="G184"/>
      <c r="H184"/>
      <c r="I184"/>
      <c r="J184"/>
      <c r="K184"/>
      <c r="L184"/>
      <c r="M184"/>
      <c r="N184"/>
      <c r="O184"/>
      <c r="P184"/>
      <c r="Q184"/>
      <c r="R184"/>
    </row>
    <row r="185" spans="6:18" s="68" customFormat="1" ht="15" customHeight="1" x14ac:dyDescent="0.15">
      <c r="F185"/>
      <c r="G185"/>
      <c r="H185"/>
      <c r="I185"/>
      <c r="J185"/>
      <c r="K185"/>
      <c r="L185"/>
      <c r="M185"/>
      <c r="N185"/>
      <c r="O185"/>
      <c r="P185"/>
      <c r="Q185"/>
      <c r="R185"/>
    </row>
    <row r="186" spans="6:18" s="68" customFormat="1" ht="15" customHeight="1" x14ac:dyDescent="0.15">
      <c r="F186"/>
      <c r="G186"/>
      <c r="H186"/>
      <c r="I186"/>
      <c r="J186"/>
      <c r="K186"/>
      <c r="L186"/>
      <c r="M186"/>
      <c r="N186"/>
      <c r="O186"/>
      <c r="P186"/>
      <c r="Q186"/>
      <c r="R186"/>
    </row>
    <row r="187" spans="6:18" s="68" customFormat="1" ht="15" customHeight="1" x14ac:dyDescent="0.15">
      <c r="F187"/>
      <c r="G187"/>
      <c r="H187"/>
      <c r="I187"/>
      <c r="J187"/>
      <c r="K187"/>
      <c r="L187"/>
      <c r="M187"/>
      <c r="N187"/>
      <c r="O187"/>
      <c r="P187"/>
      <c r="Q187"/>
      <c r="R187"/>
    </row>
    <row r="188" spans="6:18" s="68"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AL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21.6640625" bestFit="1" customWidth="1"/>
    <col min="2" max="2" width="2.33203125" style="93" customWidth="1"/>
    <col min="3" max="5" width="7.83203125" style="93" customWidth="1"/>
    <col min="6" max="8" width="8.83203125" style="6"/>
    <col min="9" max="9" width="12.5" style="6" customWidth="1"/>
    <col min="10" max="10" width="10.1640625" style="6" customWidth="1"/>
    <col min="11" max="11" width="16.5" style="6" customWidth="1"/>
    <col min="12" max="12" width="13.5" style="6" customWidth="1"/>
    <col min="13" max="13" width="10.33203125" style="6" customWidth="1"/>
    <col min="14" max="14" width="13.33203125" style="6" customWidth="1"/>
    <col min="15" max="15" width="13.83203125" style="6" customWidth="1"/>
    <col min="16" max="16" width="13" style="6" customWidth="1"/>
    <col min="17" max="17" width="11.6640625" style="6" customWidth="1"/>
    <col min="18" max="19" width="8.5" style="6" customWidth="1"/>
    <col min="20" max="20" width="13.33203125" style="6" customWidth="1"/>
    <col min="21" max="21" width="20" style="6" customWidth="1"/>
    <col min="22" max="22" width="20.5" style="6" customWidth="1"/>
    <col min="23" max="23" width="7.1640625" style="6" customWidth="1"/>
    <col min="24" max="24" width="5.5" style="6" customWidth="1"/>
    <col min="25" max="25" width="12.6640625" style="6" customWidth="1"/>
    <col min="26" max="26" width="15.6640625" style="6" customWidth="1"/>
    <col min="27" max="27" width="8.5" style="6" customWidth="1"/>
    <col min="28" max="28" width="19.83203125" style="6" customWidth="1"/>
    <col min="29" max="29" width="12" style="6" customWidth="1"/>
    <col min="30" max="30" width="11.6640625" style="6" customWidth="1"/>
    <col min="31" max="31" width="8.1640625" style="6" customWidth="1"/>
    <col min="32" max="32" width="16.33203125" style="6" customWidth="1"/>
    <col min="33" max="33" width="11.33203125" style="6" customWidth="1"/>
    <col min="34" max="34" width="13.1640625" style="6" customWidth="1"/>
    <col min="35" max="35" width="7.6640625" style="6" customWidth="1"/>
    <col min="36" max="36" width="21.6640625" style="6" customWidth="1"/>
    <col min="37" max="37" width="10.6640625" style="6" customWidth="1"/>
    <col min="38" max="38" width="12.5" style="6" customWidth="1"/>
    <col min="81" max="81" width="22.1640625" bestFit="1" customWidth="1"/>
  </cols>
  <sheetData>
    <row r="1" spans="1:38" x14ac:dyDescent="0.15">
      <c r="A1" s="4" t="s">
        <v>156</v>
      </c>
      <c r="B1" s="30" t="s">
        <v>157</v>
      </c>
      <c r="C1" s="30" t="s">
        <v>17</v>
      </c>
      <c r="D1" s="30" t="s">
        <v>158</v>
      </c>
      <c r="E1" s="30" t="s">
        <v>159</v>
      </c>
      <c r="F1" t="s">
        <v>38</v>
      </c>
      <c r="G1" t="s">
        <v>40</v>
      </c>
      <c r="H1" t="s">
        <v>41</v>
      </c>
      <c r="I1" s="179" t="s">
        <v>192</v>
      </c>
      <c r="J1" s="179" t="s">
        <v>193</v>
      </c>
      <c r="K1" s="179" t="s">
        <v>194</v>
      </c>
      <c r="L1" s="179" t="s">
        <v>195</v>
      </c>
      <c r="M1" s="179" t="s">
        <v>196</v>
      </c>
      <c r="N1" s="179" t="s">
        <v>197</v>
      </c>
      <c r="O1" s="179" t="s">
        <v>198</v>
      </c>
      <c r="P1" s="179" t="s">
        <v>199</v>
      </c>
      <c r="Q1" s="179" t="s">
        <v>200</v>
      </c>
      <c r="R1" s="179" t="s">
        <v>201</v>
      </c>
      <c r="S1" s="179" t="s">
        <v>202</v>
      </c>
      <c r="T1" s="179" t="s">
        <v>203</v>
      </c>
      <c r="U1" s="179" t="s">
        <v>204</v>
      </c>
      <c r="V1" s="179" t="s">
        <v>205</v>
      </c>
      <c r="W1" s="179" t="s">
        <v>206</v>
      </c>
      <c r="X1" s="179" t="s">
        <v>207</v>
      </c>
      <c r="Y1" s="179" t="s">
        <v>208</v>
      </c>
      <c r="Z1" s="179" t="s">
        <v>209</v>
      </c>
      <c r="AA1" s="179" t="s">
        <v>210</v>
      </c>
      <c r="AB1" s="179" t="s">
        <v>211</v>
      </c>
      <c r="AC1" s="179" t="s">
        <v>212</v>
      </c>
      <c r="AD1" s="179" t="s">
        <v>213</v>
      </c>
      <c r="AE1" s="179" t="s">
        <v>214</v>
      </c>
      <c r="AF1" s="179" t="s">
        <v>215</v>
      </c>
      <c r="AG1" s="179" t="s">
        <v>216</v>
      </c>
      <c r="AH1" s="179" t="s">
        <v>217</v>
      </c>
      <c r="AI1" s="179" t="s">
        <v>218</v>
      </c>
      <c r="AJ1" s="179" t="s">
        <v>219</v>
      </c>
      <c r="AK1" s="179" t="s">
        <v>220</v>
      </c>
      <c r="AL1" s="179" t="s">
        <v>221</v>
      </c>
    </row>
    <row r="2" spans="1:38" x14ac:dyDescent="0.15">
      <c r="A2" t="s">
        <v>38</v>
      </c>
      <c r="B2" s="93">
        <v>0</v>
      </c>
      <c r="C2"/>
      <c r="D2"/>
      <c r="E2"/>
      <c r="F2"/>
      <c r="G2"/>
      <c r="H2"/>
      <c r="I2"/>
      <c r="J2"/>
      <c r="K2"/>
      <c r="L2"/>
      <c r="M2"/>
      <c r="N2"/>
      <c r="O2"/>
      <c r="P2"/>
      <c r="Q2"/>
      <c r="R2"/>
      <c r="S2"/>
      <c r="T2"/>
      <c r="U2"/>
      <c r="V2"/>
      <c r="W2"/>
      <c r="X2"/>
      <c r="Y2"/>
      <c r="Z2"/>
      <c r="AA2"/>
      <c r="AB2"/>
      <c r="AC2"/>
      <c r="AD2"/>
      <c r="AE2"/>
      <c r="AF2"/>
      <c r="AG2"/>
      <c r="AH2"/>
      <c r="AI2"/>
      <c r="AJ2"/>
      <c r="AK2"/>
      <c r="AL2"/>
    </row>
    <row r="3" spans="1:38" x14ac:dyDescent="0.15">
      <c r="A3" t="s">
        <v>40</v>
      </c>
      <c r="B3" s="93">
        <v>0</v>
      </c>
      <c r="C3"/>
      <c r="D3"/>
      <c r="E3"/>
      <c r="F3"/>
      <c r="G3"/>
      <c r="H3"/>
      <c r="I3"/>
      <c r="J3"/>
      <c r="K3"/>
      <c r="L3"/>
      <c r="M3"/>
      <c r="N3"/>
      <c r="O3"/>
      <c r="P3"/>
      <c r="Q3"/>
      <c r="R3"/>
      <c r="S3"/>
      <c r="T3"/>
      <c r="U3"/>
      <c r="V3"/>
      <c r="W3"/>
      <c r="X3"/>
      <c r="Y3"/>
      <c r="Z3"/>
      <c r="AA3"/>
      <c r="AB3"/>
      <c r="AC3"/>
      <c r="AD3"/>
      <c r="AE3"/>
      <c r="AF3"/>
      <c r="AG3"/>
      <c r="AH3"/>
      <c r="AI3"/>
      <c r="AJ3"/>
      <c r="AK3"/>
      <c r="AL3"/>
    </row>
    <row r="4" spans="1:38" x14ac:dyDescent="0.15">
      <c r="A4" t="s">
        <v>41</v>
      </c>
      <c r="B4" s="93">
        <v>0</v>
      </c>
      <c r="C4"/>
      <c r="D4"/>
      <c r="E4"/>
      <c r="F4"/>
      <c r="G4"/>
      <c r="H4"/>
      <c r="I4"/>
      <c r="J4"/>
      <c r="K4"/>
      <c r="L4"/>
      <c r="M4"/>
      <c r="N4"/>
      <c r="O4"/>
      <c r="P4"/>
      <c r="Q4"/>
      <c r="R4"/>
      <c r="S4"/>
      <c r="T4"/>
      <c r="U4"/>
      <c r="V4"/>
      <c r="W4"/>
      <c r="X4"/>
      <c r="Y4"/>
      <c r="Z4"/>
      <c r="AA4"/>
      <c r="AB4"/>
      <c r="AC4"/>
      <c r="AD4"/>
      <c r="AE4"/>
      <c r="AF4"/>
      <c r="AG4"/>
      <c r="AH4"/>
      <c r="AI4"/>
      <c r="AJ4"/>
      <c r="AK4"/>
      <c r="AL4"/>
    </row>
    <row r="5" spans="1:38" x14ac:dyDescent="0.15">
      <c r="A5" s="178" t="s">
        <v>192</v>
      </c>
      <c r="B5" s="93">
        <v>0</v>
      </c>
      <c r="C5"/>
      <c r="D5"/>
      <c r="E5"/>
      <c r="F5"/>
      <c r="G5"/>
      <c r="H5"/>
      <c r="I5"/>
      <c r="J5"/>
      <c r="K5"/>
      <c r="L5"/>
      <c r="M5"/>
      <c r="N5"/>
      <c r="O5"/>
      <c r="P5"/>
      <c r="Q5"/>
      <c r="R5"/>
      <c r="S5"/>
      <c r="T5"/>
      <c r="U5"/>
      <c r="V5"/>
      <c r="W5"/>
      <c r="X5"/>
      <c r="Y5"/>
      <c r="Z5"/>
      <c r="AA5"/>
      <c r="AB5"/>
      <c r="AC5"/>
      <c r="AD5"/>
      <c r="AE5"/>
      <c r="AF5"/>
      <c r="AG5"/>
      <c r="AH5"/>
      <c r="AI5"/>
      <c r="AJ5"/>
      <c r="AK5"/>
      <c r="AL5"/>
    </row>
    <row r="6" spans="1:38" x14ac:dyDescent="0.15">
      <c r="A6" s="178" t="s">
        <v>193</v>
      </c>
      <c r="B6" s="93">
        <v>0</v>
      </c>
      <c r="C6"/>
      <c r="D6"/>
      <c r="E6"/>
      <c r="F6"/>
      <c r="G6"/>
      <c r="H6"/>
      <c r="I6"/>
      <c r="J6"/>
      <c r="K6"/>
      <c r="L6"/>
      <c r="M6"/>
      <c r="N6"/>
      <c r="O6"/>
      <c r="P6"/>
      <c r="Q6"/>
      <c r="R6"/>
      <c r="S6"/>
      <c r="T6"/>
      <c r="U6"/>
      <c r="V6"/>
      <c r="W6"/>
      <c r="X6"/>
      <c r="Y6"/>
      <c r="Z6"/>
      <c r="AA6"/>
      <c r="AB6"/>
      <c r="AC6"/>
      <c r="AD6"/>
      <c r="AE6"/>
      <c r="AF6"/>
      <c r="AG6"/>
      <c r="AH6"/>
      <c r="AI6"/>
      <c r="AJ6"/>
      <c r="AK6"/>
      <c r="AL6"/>
    </row>
    <row r="7" spans="1:38" x14ac:dyDescent="0.15">
      <c r="A7" s="178" t="s">
        <v>194</v>
      </c>
      <c r="B7" s="93">
        <v>0</v>
      </c>
      <c r="C7"/>
      <c r="D7"/>
      <c r="E7"/>
      <c r="F7"/>
      <c r="G7"/>
      <c r="H7"/>
      <c r="I7"/>
      <c r="J7"/>
      <c r="K7"/>
      <c r="L7"/>
      <c r="M7"/>
      <c r="N7"/>
      <c r="O7"/>
      <c r="P7"/>
      <c r="Q7"/>
      <c r="R7"/>
      <c r="S7"/>
      <c r="T7"/>
      <c r="U7"/>
      <c r="V7"/>
      <c r="W7"/>
      <c r="X7"/>
      <c r="Y7"/>
      <c r="Z7"/>
      <c r="AA7"/>
      <c r="AB7"/>
      <c r="AC7"/>
      <c r="AD7"/>
      <c r="AE7"/>
      <c r="AF7"/>
      <c r="AG7"/>
      <c r="AH7"/>
      <c r="AI7"/>
      <c r="AJ7"/>
      <c r="AK7"/>
      <c r="AL7"/>
    </row>
    <row r="8" spans="1:38" x14ac:dyDescent="0.15">
      <c r="A8" s="178" t="s">
        <v>195</v>
      </c>
      <c r="B8" s="93">
        <v>0</v>
      </c>
      <c r="C8"/>
      <c r="D8"/>
      <c r="E8"/>
      <c r="F8"/>
      <c r="G8"/>
      <c r="H8"/>
      <c r="I8"/>
      <c r="J8"/>
      <c r="K8"/>
      <c r="L8"/>
      <c r="M8"/>
      <c r="N8"/>
      <c r="O8"/>
      <c r="P8"/>
      <c r="Q8"/>
      <c r="R8"/>
      <c r="S8"/>
      <c r="T8"/>
      <c r="U8"/>
      <c r="V8"/>
      <c r="W8"/>
      <c r="X8"/>
      <c r="Y8"/>
      <c r="Z8"/>
      <c r="AA8"/>
      <c r="AB8"/>
      <c r="AC8"/>
      <c r="AD8"/>
      <c r="AE8"/>
      <c r="AF8"/>
      <c r="AG8"/>
      <c r="AH8"/>
      <c r="AI8"/>
      <c r="AJ8"/>
      <c r="AK8"/>
      <c r="AL8"/>
    </row>
    <row r="9" spans="1:38" x14ac:dyDescent="0.15">
      <c r="A9" s="178" t="s">
        <v>196</v>
      </c>
      <c r="B9" s="93">
        <v>0</v>
      </c>
      <c r="C9"/>
      <c r="D9"/>
      <c r="E9"/>
      <c r="F9"/>
      <c r="G9"/>
      <c r="H9"/>
      <c r="I9"/>
      <c r="J9"/>
      <c r="K9"/>
      <c r="L9"/>
      <c r="M9"/>
      <c r="N9"/>
      <c r="O9"/>
      <c r="P9"/>
      <c r="Q9"/>
      <c r="R9"/>
      <c r="S9"/>
      <c r="T9"/>
      <c r="U9"/>
      <c r="V9"/>
      <c r="W9"/>
      <c r="X9"/>
      <c r="Y9"/>
      <c r="Z9"/>
      <c r="AA9"/>
      <c r="AB9"/>
      <c r="AC9"/>
      <c r="AD9"/>
      <c r="AE9"/>
      <c r="AF9"/>
      <c r="AG9"/>
      <c r="AH9"/>
      <c r="AI9"/>
      <c r="AJ9"/>
      <c r="AK9"/>
      <c r="AL9"/>
    </row>
    <row r="10" spans="1:38" x14ac:dyDescent="0.15">
      <c r="A10" s="178" t="s">
        <v>197</v>
      </c>
      <c r="B10" s="93">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38" x14ac:dyDescent="0.15">
      <c r="A11" s="178" t="s">
        <v>198</v>
      </c>
      <c r="B11" s="93">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38" x14ac:dyDescent="0.15">
      <c r="A12" s="178" t="s">
        <v>199</v>
      </c>
      <c r="B12" s="93">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38" x14ac:dyDescent="0.15">
      <c r="A13" s="178" t="s">
        <v>200</v>
      </c>
      <c r="B13" s="93">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38" x14ac:dyDescent="0.15">
      <c r="A14" s="178" t="s">
        <v>201</v>
      </c>
      <c r="B14" s="93">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38" x14ac:dyDescent="0.15">
      <c r="A15" s="178" t="s">
        <v>202</v>
      </c>
      <c r="B15" s="93">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38" x14ac:dyDescent="0.15">
      <c r="A16" s="178" t="s">
        <v>203</v>
      </c>
      <c r="B16" s="93">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178" t="s">
        <v>204</v>
      </c>
      <c r="B17" s="93">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178" t="s">
        <v>205</v>
      </c>
      <c r="B18" s="93">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178" t="s">
        <v>206</v>
      </c>
      <c r="B19" s="93">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178" t="s">
        <v>207</v>
      </c>
      <c r="B20" s="93">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178" t="s">
        <v>208</v>
      </c>
      <c r="B21" s="93">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178" t="s">
        <v>209</v>
      </c>
      <c r="B22" s="93">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178" t="s">
        <v>210</v>
      </c>
      <c r="B23" s="93">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178" t="s">
        <v>211</v>
      </c>
      <c r="B24" s="93">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178" t="s">
        <v>212</v>
      </c>
      <c r="B25" s="93">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178" t="s">
        <v>213</v>
      </c>
      <c r="B26" s="93">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178" t="s">
        <v>214</v>
      </c>
      <c r="B27" s="93">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178" t="s">
        <v>215</v>
      </c>
      <c r="B28" s="93">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178" t="s">
        <v>216</v>
      </c>
      <c r="B29" s="93">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178" t="s">
        <v>217</v>
      </c>
      <c r="B30" s="93">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178" t="s">
        <v>218</v>
      </c>
      <c r="B31" s="93">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178" t="s">
        <v>219</v>
      </c>
      <c r="B32" s="93">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178" t="s">
        <v>220</v>
      </c>
      <c r="B33" s="93">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178" t="s">
        <v>221</v>
      </c>
      <c r="B34" s="93">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B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B36"/>
      <c r="C36"/>
      <c r="D36"/>
    </row>
    <row r="37" spans="1:38" ht="15" customHeight="1" x14ac:dyDescent="0.15">
      <c r="B37"/>
      <c r="C37"/>
      <c r="D37"/>
    </row>
    <row r="38" spans="1:38" ht="15" customHeight="1" x14ac:dyDescent="0.15">
      <c r="B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B39"/>
      <c r="C39"/>
      <c r="D39"/>
    </row>
    <row r="40" spans="1:38" ht="15" customHeight="1" x14ac:dyDescent="0.15">
      <c r="B40"/>
      <c r="C40"/>
      <c r="D40"/>
    </row>
    <row r="41" spans="1:38" ht="15" customHeight="1" x14ac:dyDescent="0.15">
      <c r="B41"/>
      <c r="C41"/>
      <c r="D41"/>
    </row>
    <row r="42" spans="1:38" ht="15" customHeight="1" x14ac:dyDescent="0.15"/>
    <row r="43" spans="1:38" ht="15" customHeight="1" x14ac:dyDescent="0.15"/>
    <row r="44" spans="1:38" ht="15" customHeight="1" x14ac:dyDescent="0.15"/>
    <row r="45" spans="1:38" ht="15" customHeight="1" x14ac:dyDescent="0.15"/>
    <row r="46" spans="1:38" ht="15" customHeight="1" x14ac:dyDescent="0.15"/>
    <row r="47" spans="1:38" ht="15" customHeight="1" x14ac:dyDescent="0.15"/>
    <row r="48" spans="1:38" ht="15" customHeight="1" x14ac:dyDescent="0.15"/>
    <row r="49" spans="2:38" ht="15" customHeight="1" x14ac:dyDescent="0.15"/>
    <row r="50" spans="2:38" ht="15" customHeight="1" x14ac:dyDescent="0.15"/>
    <row r="51" spans="2:38" ht="15" customHeight="1" x14ac:dyDescent="0.15"/>
    <row r="52" spans="2:38" ht="15" customHeight="1" x14ac:dyDescent="0.15">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2:38" ht="15" customHeight="1" x14ac:dyDescent="0.15">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2: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2: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2: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2: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2: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2: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2: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2: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2: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2: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2: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2022-10-24T04:19:10Z</dcterms:modified>
</cp:coreProperties>
</file>