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Atlantic/Atlantic_ECOTRAN_K-path_versions/"/>
    </mc:Choice>
  </mc:AlternateContent>
  <xr:revisionPtr revIDLastSave="0" documentId="13_ncr:1_{330EEB5C-0D5D-F84B-933E-D3F5076F2606}" xr6:coauthVersionLast="45" xr6:coauthVersionMax="45" xr10:uidLastSave="{00000000-0000-0000-0000-000000000000}"/>
  <bookViews>
    <workbookView xWindow="0" yWindow="460" windowWidth="25600" windowHeight="14240" tabRatio="728" firstSheet="7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Main!$C$2:$N$24</definedName>
    <definedName name="matDetritus">Detritus!$C$2:$E$24</definedName>
    <definedName name="matDiet">Diets!$B$2:$U$24</definedName>
    <definedName name="matDiscards">Discards!$C$2:$C$23</definedName>
    <definedName name="matFishery">Fishing!$C$2:$C$23</definedName>
    <definedName name="matFishing">Fishing!#REF!</definedName>
    <definedName name="matMort">Mortalities!$A$1:$Z$23</definedName>
    <definedName name="matOut">MainOutputs!$A$2:$I$24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" i="1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<sst xmlns="http://schemas.openxmlformats.org/spreadsheetml/2006/main" count="785" uniqueCount="222">
  <si>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</si>
  <si>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</si>
  <si>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</si>
  <si>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</si>
  <si>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</si>
  <si>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</si>
  <si>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</si>
  <si>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</si>
  <si>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</si>
  <si>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</si>
  <si>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</si>
  <si>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</si>
  <si>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</si>
  <si>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</si>
  <si>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</si>
  <si>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</si>
  <si>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</si>
  <si>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</si>
  <si>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</si>
  <si>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</si>
  <si>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</si>
  <si>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</si>
  <si>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</si>
  <si>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</si>
  <si>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</si>
  <si>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</si>
  <si>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</si>
  <si>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</si>
  <si>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</si>
  <si>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</si>
  <si>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</si>
  <si>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</si>
  <si>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</si>
  <si>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</si>
  <si>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</si>
  <si>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</si>
  <si>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</si>
  <si>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</si>
  <si>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</si>
  <si>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</si>
  <si>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</si>
  <si>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</si>
  <si>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</si>
  <si>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</si>
  <si>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</si>
  <si>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</si>
  <si>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</si>
  <si>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</si>
  <si>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</si>
  <si>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</si>
  <si>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</si>
  <si>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</si>
  <si>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</si>
  <si>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</si>
  <si>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</si>
  <si>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</si>
  <si>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</si>
  <si>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</si>
  <si>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</si>
  <si>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</si>
  <si>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</si>
  <si>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</si>
  <si>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</si>
  <si>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</si>
  <si>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</si>
  <si>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</si>
  <si>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</si>
  <si>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</si>
  <si>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</si>
  <si>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</si>
  <si>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</si>
  <si>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</si>
  <si>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</si>
  <si>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</si>
  <si>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</si>
  <si>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</si>
  <si>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</si>
  <si>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</si>
  <si>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</si>
  <si>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</si>
  <si>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</si>
  <si>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</si>
  <si>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</si>
  <si>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</si>
  <si>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</si>
  <si>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</si>
  <si>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</si>
  <si>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</si>
  <si>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</si>
  <si>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</si>
  <si>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</si>
  <si>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</si>
  <si>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</si>
  <si>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</si>
  <si>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</si>
  <si>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</si>
  <si>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</si>
  <si>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</si>
  <si>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</si>
  <si>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</si>
  <si>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</si>
  <si>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</si>
  <si>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</si>
  <si>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</si>
  <si>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</si>
  <si>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</si>
  <si>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</si>
  <si>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</si>
  <si>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</si>
  <si>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</si>
  <si>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</si>
  <si>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</si>
  <si>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</si>
  <si>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</si>
  <si>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</si>
  <si>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</si>
  <si>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</si>
  <si>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</si>
  <si>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</si>
  <si>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</si>
  <si>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</si>
  <si>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</si>
  <si>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</si>
  <si>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</si>
  <si>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</si>
  <si>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</si>
  <si>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</si>
  <si>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</si>
  <si>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</si>
  <si>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</si>
  <si>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</si>
  <si>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</si>
  <si>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</si>
  <si>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</si>
  <si>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</si>
  <si>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</si>
  <si>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</si>
  <si>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</si>
  <si>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</si>
  <si>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</si>
  <si>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</si>
  <si>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</si>
  <si>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</si>
  <si>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</si>
  <si>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</si>
  <si>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</si>
  <si>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</si>
  <si>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</si>
  <si>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</si>
  <si>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</si>
  <si>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</si>
  <si>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</si>
  <si>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</si>
  <si>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</si>
  <si>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</si>
  <si>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</si>
  <si>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</si>
  <si>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</si>
  <si>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</si>
  <si>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</si>
  <si>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</si>
  <si>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</si>
  <si>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</si>
  <si>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</si>
  <si>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</si>
  <si>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</si>
  <si>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</si>
  <si>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</si>
  <si>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</si>
  <si>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</si>
  <si>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</si>
  <si>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</si>
  <si>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</si>
  <si>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</si>
  <si>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</si>
  <si>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</si>
  <si>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</si>
  <si>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</si>
  <si>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</si>
  <si>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</si>
  <si>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</si>
  <si>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</si>
  <si>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</si>
  <si>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</si>
  <si>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</si>
  <si>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Virgin Islands</t>
  </si>
  <si>
    <t>British Virgin Islands</t>
  </si>
  <si>
    <t>BOX(-65.7241257117464 17.3733453761806,-63.7241257117464 19.3733453761806)</t>
  </si>
  <si>
    <t>coral reef</t>
  </si>
  <si>
    <t>WetWeight</t>
  </si>
  <si>
    <t>; 01/07/2006 06:12:42 p.m.; 01/07/2006 06:13:16 p.m.; 20/07/2006 11:43:28 p.m.; 8/30/2006 3:18:24 PM; 8/30/2006 3:18:58 PM</t>
  </si>
  <si>
    <t xml:space="preserve">Opitz  S.(1996). Trophic Interactions in Caribbean Coral Reefs ICLARM Tech. Rep. 43, 341 p. </t>
  </si>
  <si>
    <t>B1 Sea birds</t>
  </si>
  <si>
    <t>F7 Biggroupers</t>
  </si>
  <si>
    <t>I1 Cephalopods</t>
  </si>
  <si>
    <t>F2 Scombr/Jacks</t>
  </si>
  <si>
    <t>F1 Sharks/Rays</t>
  </si>
  <si>
    <t>F5 Schoolfish2</t>
  </si>
  <si>
    <t>F3 Schoolfish1</t>
  </si>
  <si>
    <t>F4 ReefcarnBG</t>
  </si>
  <si>
    <t>I3 Crustacea</t>
  </si>
  <si>
    <t>F6 ReefomniSM</t>
  </si>
  <si>
    <t>I6 Zoopankton</t>
  </si>
  <si>
    <t>R1 Sea turtles</t>
  </si>
  <si>
    <t>I2 Echinoderms</t>
  </si>
  <si>
    <t>I4 Worm/Mollusc</t>
  </si>
  <si>
    <t>I5 Sess.Animals</t>
  </si>
  <si>
    <t>F8 ReefherbSM</t>
  </si>
  <si>
    <t>F9 ReefherbBG</t>
  </si>
  <si>
    <t>I7 Decom/Microf</t>
  </si>
  <si>
    <t>Phytoplankton</t>
  </si>
  <si>
    <t>Benthic prod.</t>
  </si>
  <si>
    <t>Detritus</t>
  </si>
  <si>
    <t>detritus_TerminalBenthic</t>
  </si>
  <si>
    <t>Import</t>
  </si>
  <si>
    <t>export</t>
  </si>
  <si>
    <t>sum</t>
  </si>
  <si>
    <t>TOTAL</t>
  </si>
  <si>
    <t>dummy fleet</t>
  </si>
  <si>
    <t>&lt;&lt;--no fleet in model; Jruz added dummy model</t>
  </si>
  <si>
    <t>F dummy fleet</t>
  </si>
  <si>
    <t>&lt;&lt;--Jruz changed from -99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</si>
</sst>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0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1" fillId="0" borderId="0" xfId="0" applyFont="1" applyAlignment="1">
      <alignment horizontal="center"/>
    </xf>
    <xf numFmtId="0" fontId="0" fillId="31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 applyAlignment="1">
      <alignment horizontal="center"/>
    </xf>
    <xf numFmtId="0" fontId="0" fillId="34" borderId="0" xfId="0" applyFill="1"/>
    <xf numFmtId="0" fontId="0" fillId="3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2" borderId="3" xfId="0" applyNumberFormat="1" applyFont="1" applyFill="1" applyBorder="1"/>
    <xf numFmtId="0" fontId="0" fillId="32" borderId="2" xfId="0" applyFont="1" applyFill="1" applyBorder="1"/>
    <xf numFmtId="0" fontId="0" fillId="32" borderId="3" xfId="0" applyFont="1" applyFill="1" applyBorder="1"/>
    <xf numFmtId="0" fontId="0" fillId="3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9" borderId="0" xfId="0" applyFill="1"/>
    <xf numFmtId="0" fontId="0" fillId="4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0" borderId="52" xfId="0" applyFont="1" applyFill="1" applyBorder="1"/>
    <xf numFmtId="49" fontId="0" fillId="0" borderId="52" xfId="0" applyNumberFormat="1" applyFont="1" applyFill="1" applyBorder="1"/>
    <xf numFmtId="49" fontId="0" fillId="0" borderId="52" xfId="0" applyNumberFormat="1" applyBorder="1"/>
    <xf numFmtId="49" fontId="13" fillId="0" borderId="52" xfId="0" applyNumberFormat="1" applyFont="1" applyBorder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topLeftCell="A46"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07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164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165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3" x14ac:dyDescent="0.15">
      <c r="B49" s="45" t="s">
        <v>44</v>
      </c>
      <c r="C49" s="29">
        <v>5</v>
      </c>
    </row>
    <row r="50" spans="2:3" x14ac:dyDescent="0.15">
      <c r="B50" s="45"/>
      <c r="C50" s="29"/>
    </row>
    <row r="51" spans="2:3" ht="14" thickBot="1" x14ac:dyDescent="0.2">
      <c r="B51" s="46" t="s">
        <v>73</v>
      </c>
      <c r="C51" s="30">
        <v>7</v>
      </c>
    </row>
    <row r="53" spans="2:3" x14ac:dyDescent="0.15">
      <c r="B53" s="147" t="s">
        <v>171</v>
      </c>
      <c r="C53">
        <v>324</v>
      </c>
    </row>
    <row r="54" spans="2:3" x14ac:dyDescent="0.15">
      <c r="B54" s="147" t="s">
        <v>172</v>
      </c>
      <c r="C54" s="147" t="s">
        <v>185</v>
      </c>
    </row>
    <row r="55" spans="2:3" x14ac:dyDescent="0.15">
      <c r="B55" s="147" t="s">
        <v>173</v>
      </c>
      <c r="C55" s="147" t="s">
        <v>186</v>
      </c>
    </row>
    <row r="56" spans="2:3" x14ac:dyDescent="0.15">
      <c r="B56" s="147" t="s">
        <v>174</v>
      </c>
    </row>
    <row r="57" spans="2:3" x14ac:dyDescent="0.15">
      <c r="B57" s="147" t="s">
        <v>175</v>
      </c>
      <c r="C57" s="147" t="s">
        <v>187</v>
      </c>
    </row>
    <row r="58" spans="2:3" x14ac:dyDescent="0.15">
      <c r="B58" s="147" t="s">
        <v>176</v>
      </c>
      <c r="C58" s="147" t="s">
        <v>188</v>
      </c>
    </row>
    <row r="59" spans="2:3" x14ac:dyDescent="0.15">
      <c r="B59" s="147" t="s">
        <v>177</v>
      </c>
      <c r="C59" s="147" t="s">
        <v>189</v>
      </c>
    </row>
    <row r="60" spans="2:3" x14ac:dyDescent="0.15">
      <c r="B60" s="147" t="s">
        <v>178</v>
      </c>
      <c r="C60" s="147" t="s">
        <v>190</v>
      </c>
    </row>
    <row r="61" spans="2:3" x14ac:dyDescent="0.15">
      <c r="B61" s="147" t="s">
        <v>179</v>
      </c>
      <c r="C61">
        <v>21</v>
      </c>
    </row>
    <row r="62" spans="2:3" x14ac:dyDescent="0.15">
      <c r="B62" s="147" t="s">
        <v>180</v>
      </c>
      <c r="C62">
        <v>0</v>
      </c>
    </row>
    <row r="63" spans="2:3" x14ac:dyDescent="0.15">
      <c r="B63" s="147" t="s">
        <v>181</v>
      </c>
      <c r="C63">
        <v>1960</v>
      </c>
    </row>
    <row r="64" spans="2:3" x14ac:dyDescent="0.15">
      <c r="B64" s="147" t="s">
        <v>182</v>
      </c>
      <c r="C64">
        <v>39</v>
      </c>
    </row>
    <row r="65" spans="2:3" x14ac:dyDescent="0.15">
      <c r="B65" s="147" t="s">
        <v>183</v>
      </c>
      <c r="C65" s="147" t="s">
        <v>191</v>
      </c>
    </row>
    <row r="66" spans="2:3" x14ac:dyDescent="0.15">
      <c r="B66" s="147" t="s">
        <v>184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29" sqref="E29"/>
    </sheetView>
  </sheetViews>
  <sheetFormatPr baseColWidth="10" defaultColWidth="8.83203125" defaultRowHeight="15" customHeight="1" x14ac:dyDescent="0.15"/>
  <cols>
    <col min="1" max="1" width="22.5" style="76" customWidth="1"/>
    <col min="2" max="3" width="8.1640625" style="76" customWidth="1"/>
    <col min="4" max="4" width="14.33203125" style="76" customWidth="1"/>
    <col min="5" max="5" width="15.83203125" style="76" bestFit="1" customWidth="1"/>
    <col min="6" max="6" width="2.33203125" style="76" bestFit="1" customWidth="1"/>
    <col min="7" max="7" width="5.83203125" style="76" bestFit="1" customWidth="1"/>
    <col min="8" max="9" width="5.83203125" style="76" customWidth="1"/>
    <col min="10" max="10" width="11.83203125" style="76" customWidth="1"/>
    <col min="11" max="11" width="12.83203125" style="76" customWidth="1"/>
    <col min="12" max="12" width="7.5" style="76" customWidth="1"/>
    <col min="13" max="14" width="3.83203125" style="76" customWidth="1"/>
    <col min="16" max="25" width="8.83203125" style="7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6"/>
  </cols>
  <sheetData>
    <row r="1" spans="1:46" s="93" customFormat="1" ht="15" customHeight="1" x14ac:dyDescent="0.15">
      <c r="A1" s="72" t="s">
        <v>18</v>
      </c>
      <c r="C1" s="73" t="s">
        <v>8</v>
      </c>
      <c r="D1" s="72" t="s">
        <v>23</v>
      </c>
      <c r="E1" s="72" t="s">
        <v>0</v>
      </c>
      <c r="F1" s="72" t="s">
        <v>7</v>
      </c>
      <c r="G1" s="74" t="s">
        <v>13</v>
      </c>
      <c r="H1" s="72" t="s">
        <v>1</v>
      </c>
      <c r="I1" s="72" t="s">
        <v>2</v>
      </c>
      <c r="J1" s="72" t="s">
        <v>14</v>
      </c>
      <c r="K1" s="72" t="s">
        <v>3</v>
      </c>
      <c r="L1" s="72" t="s">
        <v>4</v>
      </c>
      <c r="M1" s="72" t="s">
        <v>5</v>
      </c>
      <c r="N1" s="7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3">
        <v>1</v>
      </c>
      <c r="D2"/>
      <c r="E2" s="148" t="s">
        <v>192</v>
      </c>
      <c r="F2" s="76">
        <v>0</v>
      </c>
      <c r="G2" s="76">
        <v>1.4999999999999999E-2</v>
      </c>
      <c r="H2" s="76">
        <v>5.4</v>
      </c>
      <c r="I2" s="6">
        <v>80</v>
      </c>
      <c r="J2" s="6">
        <v>0.18148149999999999</v>
      </c>
      <c r="K2" s="6">
        <v>6.7500000000000004E-2</v>
      </c>
      <c r="L2" s="6">
        <v>0</v>
      </c>
      <c r="M2" s="76">
        <v>0.2</v>
      </c>
      <c r="N2" s="57">
        <v>0</v>
      </c>
      <c r="P2" s="57" t="s">
        <v>221</v>
      </c>
    </row>
    <row r="3" spans="1:46" ht="15" customHeight="1" x14ac:dyDescent="0.15">
      <c r="A3" s="1" t="s">
        <v>9</v>
      </c>
      <c r="B3" s="4">
        <v>20</v>
      </c>
      <c r="C3" s="76">
        <v>2</v>
      </c>
      <c r="D3"/>
      <c r="E3" s="148" t="s">
        <v>193</v>
      </c>
      <c r="F3" s="76">
        <v>0</v>
      </c>
      <c r="G3" s="76">
        <v>4</v>
      </c>
      <c r="H3" s="76">
        <v>0.37</v>
      </c>
      <c r="I3" s="76">
        <v>2.2999999999999998</v>
      </c>
      <c r="J3" s="76">
        <v>0.112567589</v>
      </c>
      <c r="K3" s="76">
        <v>0.16086956899999999</v>
      </c>
      <c r="L3" s="76">
        <v>0</v>
      </c>
      <c r="M3" s="76">
        <v>0.2</v>
      </c>
      <c r="N3" s="57">
        <v>0</v>
      </c>
      <c r="P3" s="57" t="s">
        <v>221</v>
      </c>
    </row>
    <row r="4" spans="1:46" ht="15" customHeight="1" x14ac:dyDescent="0.15">
      <c r="A4" s="1" t="s">
        <v>10</v>
      </c>
      <c r="B4" s="4">
        <v>2</v>
      </c>
      <c r="C4" s="76">
        <v>3</v>
      </c>
      <c r="D4"/>
      <c r="E4" s="148" t="s">
        <v>194</v>
      </c>
      <c r="F4" s="76">
        <v>0</v>
      </c>
      <c r="G4" s="76">
        <v>8</v>
      </c>
      <c r="H4" s="76">
        <v>3.1</v>
      </c>
      <c r="I4" s="76">
        <v>11.7</v>
      </c>
      <c r="J4" s="76">
        <v>0.77060324000000002</v>
      </c>
      <c r="K4" s="76">
        <v>0.26495724900000001</v>
      </c>
      <c r="L4" s="76">
        <v>0</v>
      </c>
      <c r="M4" s="76">
        <v>0.2</v>
      </c>
      <c r="N4" s="57">
        <v>0</v>
      </c>
      <c r="P4" s="57" t="s">
        <v>221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6">
        <v>4</v>
      </c>
      <c r="D5"/>
      <c r="E5" s="148" t="s">
        <v>195</v>
      </c>
      <c r="F5" s="76">
        <v>0</v>
      </c>
      <c r="G5" s="76">
        <v>4.4000000000000004</v>
      </c>
      <c r="H5" s="76">
        <v>0.48</v>
      </c>
      <c r="I5" s="76">
        <v>8.9</v>
      </c>
      <c r="J5" s="76">
        <v>0.47805872599999999</v>
      </c>
      <c r="K5" s="76">
        <v>5.3932584800000002E-2</v>
      </c>
      <c r="L5" s="76">
        <v>0</v>
      </c>
      <c r="M5" s="76">
        <v>0.2</v>
      </c>
      <c r="N5" s="57">
        <v>0</v>
      </c>
      <c r="P5" s="57" t="s">
        <v>221</v>
      </c>
      <c r="Q5" s="66"/>
      <c r="R5" s="66"/>
    </row>
    <row r="6" spans="1:46" ht="15" customHeight="1" thickBot="1" x14ac:dyDescent="0.2">
      <c r="B6" s="1"/>
      <c r="C6" s="76">
        <v>5</v>
      </c>
      <c r="D6"/>
      <c r="E6" s="148" t="s">
        <v>196</v>
      </c>
      <c r="F6" s="76">
        <v>0</v>
      </c>
      <c r="G6" s="76">
        <v>1</v>
      </c>
      <c r="H6" s="76">
        <v>0.24</v>
      </c>
      <c r="I6" s="76">
        <v>4.9000000000000004</v>
      </c>
      <c r="J6" s="76">
        <v>0.587500036</v>
      </c>
      <c r="K6" s="76">
        <v>4.8979590000000003E-2</v>
      </c>
      <c r="L6" s="76">
        <v>0</v>
      </c>
      <c r="M6" s="76">
        <v>0.2</v>
      </c>
      <c r="N6" s="57">
        <v>0</v>
      </c>
      <c r="P6" s="57" t="s">
        <v>221</v>
      </c>
      <c r="Q6" s="66"/>
      <c r="R6" s="66"/>
      <c r="W6" s="32" t="s">
        <v>31</v>
      </c>
      <c r="X6" s="48">
        <f>MAX(MainOutputs!G:G)</f>
        <v>0.99307143688201904</v>
      </c>
    </row>
    <row r="7" spans="1:46" ht="15" customHeight="1" x14ac:dyDescent="0.15">
      <c r="A7" s="2" t="s">
        <v>27</v>
      </c>
      <c r="B7" s="76">
        <f ca="1">COUNTIF(OFFSET(cornerDiets,1,1,NumLiving+NumDead+1,NumLiving+NumDead),"&gt;0")+NumLiving+NumDead+1</f>
        <v>164</v>
      </c>
      <c r="C7" s="76">
        <v>6</v>
      </c>
      <c r="D7"/>
      <c r="E7" s="148" t="s">
        <v>197</v>
      </c>
      <c r="F7" s="76">
        <v>0</v>
      </c>
      <c r="G7" s="76">
        <v>30</v>
      </c>
      <c r="H7" s="76">
        <v>1.8</v>
      </c>
      <c r="I7" s="76">
        <v>20.05</v>
      </c>
      <c r="J7" s="76">
        <v>0.933144152</v>
      </c>
      <c r="K7" s="76">
        <v>8.9775560000000004E-2</v>
      </c>
      <c r="L7" s="76">
        <v>0</v>
      </c>
      <c r="M7" s="76">
        <v>0.2</v>
      </c>
      <c r="N7" s="57">
        <v>0</v>
      </c>
      <c r="P7" s="57" t="s">
        <v>221</v>
      </c>
      <c r="Q7" s="66"/>
      <c r="R7" s="66"/>
    </row>
    <row r="8" spans="1:46" ht="15" customHeight="1" x14ac:dyDescent="0.15">
      <c r="A8" s="2" t="s">
        <v>28</v>
      </c>
      <c r="B8" s="76">
        <f ca="1">COUNTIF(OFFSET(cornerFishing,1,2,NumLiving+NumDead,NumGears),"&gt;0")+NumDead*COUNTIF(OFFSET(cornerDiscards,1,2,NumLiving+NumDead,NumGears),"&gt;0")+NumLiving+NumDead+1</f>
        <v>23</v>
      </c>
      <c r="C8" s="76">
        <v>7</v>
      </c>
      <c r="D8"/>
      <c r="E8" s="148" t="s">
        <v>198</v>
      </c>
      <c r="F8" s="76">
        <v>0</v>
      </c>
      <c r="G8" s="76">
        <v>20</v>
      </c>
      <c r="H8" s="76">
        <v>0.83</v>
      </c>
      <c r="I8" s="76">
        <v>12.7</v>
      </c>
      <c r="J8" s="76">
        <v>0.72751206199999996</v>
      </c>
      <c r="K8" s="76">
        <v>6.5354330000000002E-2</v>
      </c>
      <c r="L8" s="76">
        <v>0</v>
      </c>
      <c r="M8" s="76">
        <v>0.2</v>
      </c>
      <c r="N8" s="57">
        <v>0</v>
      </c>
      <c r="P8" s="57" t="s">
        <v>221</v>
      </c>
      <c r="Q8" s="66"/>
      <c r="R8" s="66"/>
    </row>
    <row r="9" spans="1:46" ht="15" customHeight="1" x14ac:dyDescent="0.15">
      <c r="B9" s="1"/>
      <c r="C9" s="76">
        <v>8</v>
      </c>
      <c r="D9"/>
      <c r="E9" s="148" t="s">
        <v>199</v>
      </c>
      <c r="F9" s="76">
        <v>0</v>
      </c>
      <c r="G9" s="76">
        <v>75</v>
      </c>
      <c r="H9" s="76">
        <v>0.64</v>
      </c>
      <c r="I9" s="76">
        <v>7.3</v>
      </c>
      <c r="J9" s="76">
        <v>0.94630000000000003</v>
      </c>
      <c r="K9" s="76">
        <v>8.7671230000000003E-2</v>
      </c>
      <c r="L9" s="76">
        <v>0</v>
      </c>
      <c r="M9" s="76">
        <v>0.2</v>
      </c>
      <c r="N9" s="57">
        <v>0</v>
      </c>
      <c r="P9" s="57" t="s">
        <v>221</v>
      </c>
      <c r="Q9" s="66"/>
      <c r="R9" s="66"/>
    </row>
    <row r="10" spans="1:46" ht="15" customHeight="1" x14ac:dyDescent="0.15">
      <c r="B10" s="1"/>
      <c r="C10" s="76">
        <v>9</v>
      </c>
      <c r="D10"/>
      <c r="E10" s="148" t="s">
        <v>200</v>
      </c>
      <c r="F10" s="76">
        <v>0</v>
      </c>
      <c r="G10" s="76">
        <v>120</v>
      </c>
      <c r="H10" s="76">
        <v>1.6</v>
      </c>
      <c r="I10" s="76">
        <v>10</v>
      </c>
      <c r="J10" s="76">
        <v>0.84589803200000002</v>
      </c>
      <c r="K10" s="76">
        <v>0.16</v>
      </c>
      <c r="L10" s="76">
        <v>0</v>
      </c>
      <c r="M10" s="76">
        <v>0.2</v>
      </c>
      <c r="N10" s="57">
        <v>0</v>
      </c>
      <c r="P10" s="57" t="s">
        <v>221</v>
      </c>
    </row>
    <row r="11" spans="1:46" ht="15" customHeight="1" x14ac:dyDescent="0.15">
      <c r="C11" s="76">
        <v>10</v>
      </c>
      <c r="D11"/>
      <c r="E11" s="148" t="s">
        <v>201</v>
      </c>
      <c r="F11" s="76">
        <v>0</v>
      </c>
      <c r="G11" s="76">
        <v>10</v>
      </c>
      <c r="H11" s="76">
        <v>1.6</v>
      </c>
      <c r="I11" s="76">
        <v>12.8</v>
      </c>
      <c r="J11" s="76">
        <v>0.86603754799999999</v>
      </c>
      <c r="K11" s="76">
        <v>0.125</v>
      </c>
      <c r="L11" s="76">
        <v>0</v>
      </c>
      <c r="M11" s="76">
        <v>0.2</v>
      </c>
      <c r="N11" s="57">
        <v>0</v>
      </c>
      <c r="P11" s="57" t="s">
        <v>221</v>
      </c>
    </row>
    <row r="12" spans="1:46" ht="15" customHeight="1" x14ac:dyDescent="0.15">
      <c r="C12" s="76">
        <v>11</v>
      </c>
      <c r="D12"/>
      <c r="E12" s="148" t="s">
        <v>202</v>
      </c>
      <c r="F12" s="76">
        <v>0</v>
      </c>
      <c r="G12" s="76">
        <v>30</v>
      </c>
      <c r="H12" s="76">
        <v>45</v>
      </c>
      <c r="I12" s="76">
        <v>165</v>
      </c>
      <c r="J12" s="76">
        <v>0.89647580000000004</v>
      </c>
      <c r="K12" s="76">
        <v>0.27272728099999999</v>
      </c>
      <c r="L12" s="76">
        <v>0</v>
      </c>
      <c r="M12" s="76">
        <v>0.2</v>
      </c>
      <c r="N12" s="57">
        <v>0</v>
      </c>
      <c r="P12" s="57" t="s">
        <v>221</v>
      </c>
    </row>
    <row r="13" spans="1:46" ht="15" customHeight="1" x14ac:dyDescent="0.15">
      <c r="C13" s="76">
        <v>12</v>
      </c>
      <c r="D13"/>
      <c r="E13" s="148" t="s">
        <v>203</v>
      </c>
      <c r="F13" s="76">
        <v>0</v>
      </c>
      <c r="G13" s="76">
        <v>7.0000000000000007E-2</v>
      </c>
      <c r="H13" s="76">
        <v>0.2</v>
      </c>
      <c r="I13" s="76">
        <v>3.5</v>
      </c>
      <c r="J13" s="76">
        <v>0</v>
      </c>
      <c r="K13" s="76">
        <v>5.7142857499999998E-2</v>
      </c>
      <c r="L13" s="76">
        <v>0</v>
      </c>
      <c r="M13" s="76">
        <v>0.2</v>
      </c>
      <c r="N13" s="57">
        <v>0</v>
      </c>
      <c r="P13" s="57" t="s">
        <v>221</v>
      </c>
    </row>
    <row r="14" spans="1:46" ht="15" customHeight="1" x14ac:dyDescent="0.15">
      <c r="C14" s="76">
        <v>13</v>
      </c>
      <c r="D14"/>
      <c r="E14" s="148" t="s">
        <v>204</v>
      </c>
      <c r="F14" s="76">
        <v>0</v>
      </c>
      <c r="G14" s="76">
        <v>600</v>
      </c>
      <c r="H14" s="76">
        <v>1.2</v>
      </c>
      <c r="I14" s="76">
        <v>4</v>
      </c>
      <c r="J14" s="76">
        <v>0.52126550000000005</v>
      </c>
      <c r="K14" s="76">
        <v>0.3</v>
      </c>
      <c r="L14" s="76">
        <v>0</v>
      </c>
      <c r="M14" s="76">
        <v>0.2</v>
      </c>
      <c r="N14" s="57">
        <v>0</v>
      </c>
      <c r="P14" s="57" t="s">
        <v>221</v>
      </c>
    </row>
    <row r="15" spans="1:46" ht="15" customHeight="1" x14ac:dyDescent="0.15">
      <c r="C15" s="76">
        <v>14</v>
      </c>
      <c r="D15"/>
      <c r="E15" s="148" t="s">
        <v>205</v>
      </c>
      <c r="F15" s="76">
        <v>0</v>
      </c>
      <c r="G15" s="76">
        <v>430</v>
      </c>
      <c r="H15" s="76">
        <v>2.5</v>
      </c>
      <c r="I15" s="76">
        <v>7</v>
      </c>
      <c r="J15" s="76">
        <v>0.93468790000000002</v>
      </c>
      <c r="K15" s="76">
        <v>0.357142866</v>
      </c>
      <c r="L15" s="76">
        <v>0</v>
      </c>
      <c r="M15" s="76">
        <v>0.2</v>
      </c>
      <c r="N15" s="57">
        <v>0</v>
      </c>
      <c r="P15" s="57" t="s">
        <v>221</v>
      </c>
    </row>
    <row r="16" spans="1:46" ht="15" customHeight="1" x14ac:dyDescent="0.15">
      <c r="C16" s="76">
        <v>15</v>
      </c>
      <c r="D16"/>
      <c r="E16" s="148" t="s">
        <v>206</v>
      </c>
      <c r="F16" s="76">
        <v>0</v>
      </c>
      <c r="G16" s="76">
        <v>1000</v>
      </c>
      <c r="H16" s="76">
        <v>0.8</v>
      </c>
      <c r="I16" s="76">
        <v>9</v>
      </c>
      <c r="J16" s="76">
        <v>0.94034490000000004</v>
      </c>
      <c r="K16" s="76">
        <v>8.8888889999999998E-2</v>
      </c>
      <c r="L16" s="76">
        <v>0</v>
      </c>
      <c r="M16" s="76">
        <v>0.2</v>
      </c>
      <c r="N16" s="57">
        <v>0</v>
      </c>
      <c r="P16" s="57" t="s">
        <v>221</v>
      </c>
    </row>
    <row r="17" spans="1:22" ht="15" customHeight="1" x14ac:dyDescent="0.15">
      <c r="C17" s="76">
        <v>16</v>
      </c>
      <c r="D17"/>
      <c r="E17" s="148" t="s">
        <v>207</v>
      </c>
      <c r="F17" s="76">
        <v>0</v>
      </c>
      <c r="G17" s="76">
        <v>10</v>
      </c>
      <c r="H17" s="76">
        <v>1.82</v>
      </c>
      <c r="I17" s="76">
        <v>37.450000000000003</v>
      </c>
      <c r="J17" s="76">
        <v>0.89961093700000005</v>
      </c>
      <c r="K17" s="76">
        <v>4.8598133000000002E-2</v>
      </c>
      <c r="L17" s="76">
        <v>0</v>
      </c>
      <c r="M17" s="76">
        <v>0.2</v>
      </c>
      <c r="N17" s="57">
        <v>0</v>
      </c>
      <c r="P17" s="57" t="s">
        <v>221</v>
      </c>
      <c r="V17" s="1" t="s">
        <v>30</v>
      </c>
    </row>
    <row r="18" spans="1:22" ht="15" customHeight="1" x14ac:dyDescent="0.15">
      <c r="C18" s="76">
        <v>17</v>
      </c>
      <c r="D18"/>
      <c r="E18" s="148" t="s">
        <v>208</v>
      </c>
      <c r="F18" s="76">
        <v>0</v>
      </c>
      <c r="G18" s="76">
        <v>100</v>
      </c>
      <c r="H18" s="76">
        <v>1.05</v>
      </c>
      <c r="I18" s="76">
        <v>22.8</v>
      </c>
      <c r="J18" s="76">
        <v>0.97086673999999995</v>
      </c>
      <c r="K18" s="76">
        <v>4.6052629999999997E-2</v>
      </c>
      <c r="L18" s="76">
        <v>0</v>
      </c>
      <c r="M18" s="76">
        <v>0.2</v>
      </c>
      <c r="N18" s="57">
        <v>0</v>
      </c>
      <c r="P18" s="57" t="s">
        <v>221</v>
      </c>
      <c r="V18" s="1"/>
    </row>
    <row r="19" spans="1:22" ht="15" customHeight="1" x14ac:dyDescent="0.15">
      <c r="C19" s="76">
        <v>18</v>
      </c>
      <c r="D19"/>
      <c r="E19" s="148" t="s">
        <v>209</v>
      </c>
      <c r="F19" s="76">
        <v>0</v>
      </c>
      <c r="G19" s="76">
        <v>60</v>
      </c>
      <c r="H19" s="76">
        <v>100</v>
      </c>
      <c r="I19" s="76">
        <v>215</v>
      </c>
      <c r="J19" s="76">
        <v>0.79278385600000001</v>
      </c>
      <c r="K19" s="76">
        <v>0.46511629999999998</v>
      </c>
      <c r="L19" s="76">
        <v>0</v>
      </c>
      <c r="M19" s="76">
        <v>0.2</v>
      </c>
      <c r="N19" s="57">
        <v>0</v>
      </c>
      <c r="P19" s="57" t="s">
        <v>221</v>
      </c>
    </row>
    <row r="20" spans="1:22" ht="15" customHeight="1" thickBot="1" x14ac:dyDescent="0.2">
      <c r="C20" s="76">
        <v>19</v>
      </c>
      <c r="D20"/>
      <c r="E20" s="148" t="s">
        <v>210</v>
      </c>
      <c r="F20" s="76">
        <v>1</v>
      </c>
      <c r="G20" s="76">
        <v>25</v>
      </c>
      <c r="H20" s="76">
        <v>70</v>
      </c>
      <c r="I20" s="76">
        <v>0</v>
      </c>
      <c r="J20" s="76">
        <v>0.77499604200000005</v>
      </c>
      <c r="K20" s="76">
        <v>0</v>
      </c>
      <c r="L20" s="76">
        <v>0</v>
      </c>
      <c r="M20" s="76">
        <v>0</v>
      </c>
      <c r="N20" s="57">
        <v>0</v>
      </c>
      <c r="P20" s="57" t="s">
        <v>221</v>
      </c>
    </row>
    <row r="21" spans="1:22" ht="15" customHeight="1" thickBot="1" x14ac:dyDescent="0.2">
      <c r="A21" s="43" t="s">
        <v>137</v>
      </c>
      <c r="B21" s="94"/>
      <c r="C21" s="76">
        <v>20</v>
      </c>
      <c r="D21"/>
      <c r="E21" s="148" t="s">
        <v>211</v>
      </c>
      <c r="F21" s="76">
        <v>1</v>
      </c>
      <c r="G21" s="76">
        <v>1375</v>
      </c>
      <c r="H21" s="76">
        <v>13.25</v>
      </c>
      <c r="I21" s="76">
        <v>0</v>
      </c>
      <c r="J21" s="76">
        <v>0.29525968400000002</v>
      </c>
      <c r="K21" s="76">
        <v>0</v>
      </c>
      <c r="L21" s="76">
        <v>0</v>
      </c>
      <c r="M21" s="76">
        <v>0</v>
      </c>
      <c r="N21" s="57">
        <v>0</v>
      </c>
      <c r="P21" s="57" t="s">
        <v>221</v>
      </c>
    </row>
    <row r="22" spans="1:22" ht="15" customHeight="1" x14ac:dyDescent="0.15">
      <c r="A22" s="95" t="s">
        <v>58</v>
      </c>
      <c r="B22" s="96">
        <v>0</v>
      </c>
      <c r="C22" s="76">
        <v>21</v>
      </c>
      <c r="D22"/>
      <c r="E22" s="148" t="s">
        <v>212</v>
      </c>
      <c r="F22" s="76">
        <v>2</v>
      </c>
      <c r="G22" s="76">
        <v>2000</v>
      </c>
      <c r="H22" s="76">
        <v>0</v>
      </c>
      <c r="I22" s="76">
        <v>0</v>
      </c>
      <c r="J22" s="76">
        <v>0.993071437</v>
      </c>
      <c r="K22" s="76">
        <v>0</v>
      </c>
      <c r="L22" s="76">
        <v>-4.4999999999999997E-3</v>
      </c>
      <c r="M22" s="76">
        <v>0</v>
      </c>
      <c r="N22" s="76">
        <v>0</v>
      </c>
    </row>
    <row r="23" spans="1:22" ht="15" customHeight="1" x14ac:dyDescent="0.15">
      <c r="A23" s="95" t="s">
        <v>59</v>
      </c>
      <c r="B23" s="96">
        <v>1</v>
      </c>
      <c r="C23" s="76">
        <v>22</v>
      </c>
      <c r="D23"/>
      <c r="E23" s="148" t="s">
        <v>213</v>
      </c>
      <c r="F23" s="76">
        <v>2</v>
      </c>
      <c r="G23" s="76">
        <v>5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</row>
    <row r="24" spans="1:22" ht="15" customHeight="1" x14ac:dyDescent="0.15">
      <c r="A24" s="95" t="s">
        <v>60</v>
      </c>
      <c r="B24" s="96">
        <v>2</v>
      </c>
      <c r="C24" s="172">
        <v>23</v>
      </c>
      <c r="D24"/>
      <c r="E24" s="173" t="s">
        <v>218</v>
      </c>
      <c r="F24" s="76">
        <v>3</v>
      </c>
      <c r="G24"/>
      <c r="H24"/>
      <c r="I24"/>
      <c r="J24"/>
      <c r="K24"/>
      <c r="L24"/>
      <c r="M24"/>
      <c r="N24"/>
      <c r="P24" s="57" t="s">
        <v>219</v>
      </c>
    </row>
    <row r="25" spans="1:22" ht="15" customHeight="1" thickBot="1" x14ac:dyDescent="0.2">
      <c r="A25" s="97" t="s">
        <v>44</v>
      </c>
      <c r="B25" s="98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9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7" sqref="A7:XFD8"/>
    </sheetView>
  </sheetViews>
  <sheetFormatPr baseColWidth="10" defaultColWidth="8.83203125" defaultRowHeight="13" x14ac:dyDescent="0.15"/>
  <cols>
    <col min="1" max="1" width="21.6640625" style="135" bestFit="1" customWidth="1"/>
    <col min="2" max="23" width="12" style="135" customWidth="1"/>
    <col min="24" max="29" width="9" style="135" bestFit="1" customWidth="1"/>
    <col min="30" max="16384" width="8.83203125" style="135"/>
  </cols>
  <sheetData>
    <row r="1" spans="1:34" x14ac:dyDescent="0.15">
      <c r="A1" s="134" t="s">
        <v>19</v>
      </c>
      <c r="B1" s="150" t="s">
        <v>192</v>
      </c>
      <c r="C1" s="150" t="s">
        <v>193</v>
      </c>
      <c r="D1" s="150" t="s">
        <v>194</v>
      </c>
      <c r="E1" s="150" t="s">
        <v>195</v>
      </c>
      <c r="F1" s="150" t="s">
        <v>196</v>
      </c>
      <c r="G1" s="150" t="s">
        <v>197</v>
      </c>
      <c r="H1" s="150" t="s">
        <v>198</v>
      </c>
      <c r="I1" s="150" t="s">
        <v>199</v>
      </c>
      <c r="J1" s="150" t="s">
        <v>200</v>
      </c>
      <c r="K1" s="150" t="s">
        <v>201</v>
      </c>
      <c r="L1" s="150" t="s">
        <v>202</v>
      </c>
      <c r="M1" s="150" t="s">
        <v>203</v>
      </c>
      <c r="N1" s="150" t="s">
        <v>204</v>
      </c>
      <c r="O1" s="150" t="s">
        <v>205</v>
      </c>
      <c r="P1" s="150" t="s">
        <v>206</v>
      </c>
      <c r="Q1" s="150" t="s">
        <v>207</v>
      </c>
      <c r="R1" s="150" t="s">
        <v>208</v>
      </c>
      <c r="S1" s="150" t="s">
        <v>209</v>
      </c>
      <c r="T1" s="150" t="s">
        <v>210</v>
      </c>
      <c r="U1" s="150" t="s">
        <v>211</v>
      </c>
      <c r="V1" s="150" t="s">
        <v>212</v>
      </c>
      <c r="W1" s="150" t="s">
        <v>213</v>
      </c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49" t="s">
        <v>192</v>
      </c>
      <c r="B2" s="135">
        <v>0</v>
      </c>
      <c r="C2" s="135">
        <v>0</v>
      </c>
      <c r="D2" s="135">
        <v>0</v>
      </c>
      <c r="E2" s="135">
        <v>0</v>
      </c>
      <c r="F2" s="135">
        <v>2.999999987720001E-3</v>
      </c>
      <c r="G2" s="135">
        <v>0</v>
      </c>
      <c r="H2" s="135">
        <v>0</v>
      </c>
      <c r="I2" s="135">
        <v>0</v>
      </c>
      <c r="J2" s="135">
        <v>0</v>
      </c>
      <c r="K2" s="135">
        <v>0</v>
      </c>
      <c r="L2" s="135">
        <v>0</v>
      </c>
      <c r="M2" s="135">
        <v>0</v>
      </c>
      <c r="N2" s="135">
        <v>0</v>
      </c>
      <c r="O2" s="135">
        <v>0</v>
      </c>
      <c r="P2" s="135">
        <v>0</v>
      </c>
      <c r="Q2" s="135">
        <v>0</v>
      </c>
      <c r="R2" s="135">
        <v>0</v>
      </c>
      <c r="S2" s="135">
        <v>0</v>
      </c>
      <c r="T2" s="135">
        <v>0</v>
      </c>
      <c r="U2" s="135">
        <v>0</v>
      </c>
      <c r="V2" s="135">
        <v>0</v>
      </c>
      <c r="W2" s="135">
        <v>0</v>
      </c>
    </row>
    <row r="3" spans="1:34" customFormat="1" x14ac:dyDescent="0.15">
      <c r="A3" s="149" t="s">
        <v>193</v>
      </c>
      <c r="B3" s="135">
        <v>0</v>
      </c>
      <c r="C3" s="135">
        <v>0</v>
      </c>
      <c r="D3" s="135">
        <v>0</v>
      </c>
      <c r="E3" s="135">
        <v>0</v>
      </c>
      <c r="F3" s="135">
        <v>3.4000002514159772E-2</v>
      </c>
      <c r="G3" s="135">
        <v>0</v>
      </c>
      <c r="H3" s="135">
        <v>0</v>
      </c>
      <c r="I3" s="135">
        <v>0</v>
      </c>
      <c r="J3" s="135">
        <v>0</v>
      </c>
      <c r="K3" s="135">
        <v>0</v>
      </c>
      <c r="L3" s="135">
        <v>0</v>
      </c>
      <c r="M3" s="135">
        <v>0</v>
      </c>
      <c r="N3" s="135">
        <v>0</v>
      </c>
      <c r="O3" s="135">
        <v>0</v>
      </c>
      <c r="P3" s="135">
        <v>0</v>
      </c>
      <c r="Q3" s="135">
        <v>0</v>
      </c>
      <c r="R3" s="135">
        <v>0</v>
      </c>
      <c r="S3" s="135">
        <v>0</v>
      </c>
      <c r="T3" s="135">
        <v>0</v>
      </c>
      <c r="U3" s="135">
        <v>0</v>
      </c>
      <c r="V3" s="135">
        <v>0</v>
      </c>
      <c r="W3" s="135">
        <v>0</v>
      </c>
    </row>
    <row r="4" spans="1:34" customFormat="1" x14ac:dyDescent="0.15">
      <c r="A4" s="149" t="s">
        <v>194</v>
      </c>
      <c r="B4" s="135">
        <v>0</v>
      </c>
      <c r="C4" s="135">
        <v>0</v>
      </c>
      <c r="D4" s="135">
        <v>0.10999999949250004</v>
      </c>
      <c r="E4" s="135">
        <v>2.1000000749700102E-2</v>
      </c>
      <c r="F4" s="135">
        <v>2.399999992176001E-2</v>
      </c>
      <c r="G4" s="135">
        <v>0</v>
      </c>
      <c r="H4" s="135">
        <v>0</v>
      </c>
      <c r="I4" s="135">
        <v>9.9999999999999985E-3</v>
      </c>
      <c r="J4" s="135">
        <v>1.9999999999999996E-3</v>
      </c>
      <c r="K4" s="135">
        <v>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</row>
    <row r="5" spans="1:34" customFormat="1" x14ac:dyDescent="0.15">
      <c r="A5" s="149" t="s">
        <v>195</v>
      </c>
      <c r="B5" s="135">
        <v>0.1</v>
      </c>
      <c r="C5" s="135">
        <v>0</v>
      </c>
      <c r="D5" s="135">
        <v>0</v>
      </c>
      <c r="E5" s="135">
        <v>1.0000000357000048E-3</v>
      </c>
      <c r="F5" s="135">
        <v>9.9999997924000179E-3</v>
      </c>
      <c r="G5" s="135">
        <v>0</v>
      </c>
      <c r="H5" s="135">
        <v>1E-3</v>
      </c>
      <c r="I5" s="135">
        <v>9.999999999999998E-4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</row>
    <row r="6" spans="1:34" customFormat="1" x14ac:dyDescent="0.15">
      <c r="A6" s="149" t="s">
        <v>196</v>
      </c>
      <c r="B6" s="135">
        <v>0</v>
      </c>
      <c r="C6" s="135">
        <v>0.01</v>
      </c>
      <c r="D6" s="135">
        <v>0</v>
      </c>
      <c r="E6" s="135">
        <v>0</v>
      </c>
      <c r="F6" s="135">
        <v>9.9999997924000179E-3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</row>
    <row r="7" spans="1:34" customFormat="1" x14ac:dyDescent="0.15">
      <c r="A7" s="149" t="s">
        <v>197</v>
      </c>
      <c r="B7" s="135">
        <v>0.3</v>
      </c>
      <c r="C7" s="135">
        <v>0</v>
      </c>
      <c r="D7" s="135">
        <v>6.500000066374996E-2</v>
      </c>
      <c r="E7" s="135">
        <v>0.21299999890409987</v>
      </c>
      <c r="F7" s="135">
        <v>7.3000003374519701E-2</v>
      </c>
      <c r="G7" s="135">
        <v>4.0000005006399792E-3</v>
      </c>
      <c r="H7" s="135">
        <v>0.04</v>
      </c>
      <c r="I7" s="135">
        <v>2.9999999999999992E-2</v>
      </c>
      <c r="J7" s="135">
        <v>4.9999999999999992E-3</v>
      </c>
      <c r="K7" s="135">
        <v>2.000000112320014E-3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</row>
    <row r="8" spans="1:34" customFormat="1" x14ac:dyDescent="0.15">
      <c r="A8" s="149" t="s">
        <v>198</v>
      </c>
      <c r="B8" s="135">
        <v>0.4</v>
      </c>
      <c r="C8" s="135">
        <v>0</v>
      </c>
      <c r="D8" s="135">
        <v>6.500000066374996E-2</v>
      </c>
      <c r="E8" s="135">
        <v>6.9999999498999932E-2</v>
      </c>
      <c r="F8" s="135">
        <v>1.499999923860007E-2</v>
      </c>
      <c r="G8" s="135">
        <v>0</v>
      </c>
      <c r="H8" s="135">
        <v>2E-3</v>
      </c>
      <c r="I8" s="135">
        <v>3.9999999999999992E-3</v>
      </c>
      <c r="J8" s="135">
        <v>0</v>
      </c>
      <c r="K8" s="135">
        <v>0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5"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</row>
    <row r="9" spans="1:34" customFormat="1" x14ac:dyDescent="0.15">
      <c r="A9" s="149" t="s">
        <v>199</v>
      </c>
      <c r="B9" s="135">
        <v>0.09</v>
      </c>
      <c r="C9" s="135">
        <v>0.49199999999999999</v>
      </c>
      <c r="D9" s="135">
        <v>1.00000000175E-2</v>
      </c>
      <c r="E9" s="135">
        <v>0.12500000196250027</v>
      </c>
      <c r="F9" s="135">
        <v>0.1400000022935998</v>
      </c>
      <c r="G9" s="135">
        <v>0</v>
      </c>
      <c r="H9" s="135">
        <v>0</v>
      </c>
      <c r="I9" s="135">
        <v>4.9999999999999989E-2</v>
      </c>
      <c r="J9" s="135">
        <v>4.9999999999999992E-3</v>
      </c>
      <c r="K9" s="135">
        <v>7.0000001631200202E-3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</row>
    <row r="10" spans="1:34" customFormat="1" x14ac:dyDescent="0.15">
      <c r="A10" s="149" t="s">
        <v>200</v>
      </c>
      <c r="B10" s="135">
        <v>0</v>
      </c>
      <c r="C10" s="135">
        <v>0.40200000000000002</v>
      </c>
      <c r="D10" s="135">
        <v>0.12500000646874956</v>
      </c>
      <c r="E10" s="135">
        <v>4.0000000828000114E-2</v>
      </c>
      <c r="F10" s="135">
        <v>0.15999999647840032</v>
      </c>
      <c r="G10" s="135">
        <v>1.2000000521919976E-2</v>
      </c>
      <c r="H10" s="135">
        <v>5.0000000000000001E-3</v>
      </c>
      <c r="I10" s="135">
        <v>6.9999999999999993E-2</v>
      </c>
      <c r="J10" s="135">
        <v>3.9999999999999994E-2</v>
      </c>
      <c r="K10" s="135">
        <v>8.0000000092800005E-2</v>
      </c>
      <c r="L10" s="135">
        <v>0</v>
      </c>
      <c r="M10" s="135">
        <v>0.125</v>
      </c>
      <c r="N10" s="135">
        <v>3.0000000000000001E-3</v>
      </c>
      <c r="O10" s="135">
        <v>0.01</v>
      </c>
      <c r="P10" s="135">
        <v>0</v>
      </c>
      <c r="Q10" s="135">
        <v>0</v>
      </c>
      <c r="R10" s="135">
        <v>1E-3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</row>
    <row r="11" spans="1:34" customFormat="1" x14ac:dyDescent="0.15">
      <c r="A11" s="149" t="s">
        <v>201</v>
      </c>
      <c r="B11" s="135">
        <v>4.1000000000000002E-2</v>
      </c>
      <c r="C11" s="135">
        <v>0</v>
      </c>
      <c r="D11" s="135">
        <v>5.00000000875E-3</v>
      </c>
      <c r="E11" s="135">
        <v>8.000000085600012E-2</v>
      </c>
      <c r="F11" s="135">
        <v>8.4000002376159788E-2</v>
      </c>
      <c r="G11" s="135">
        <v>0</v>
      </c>
      <c r="H11" s="135">
        <v>0</v>
      </c>
      <c r="I11" s="135">
        <v>9.9999999999999985E-3</v>
      </c>
      <c r="J11" s="135">
        <v>1.9999999999999996E-3</v>
      </c>
      <c r="K11" s="135">
        <v>1.4999999692399959E-2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</row>
    <row r="12" spans="1:34" customFormat="1" x14ac:dyDescent="0.15">
      <c r="A12" s="149" t="s">
        <v>202</v>
      </c>
      <c r="B12" s="135">
        <v>0.05</v>
      </c>
      <c r="C12" s="135">
        <v>0</v>
      </c>
      <c r="D12" s="135">
        <v>0.20000000434999973</v>
      </c>
      <c r="E12" s="135">
        <v>2.0000000414000057E-2</v>
      </c>
      <c r="F12" s="135">
        <v>0</v>
      </c>
      <c r="G12" s="135">
        <v>0.97399999819583993</v>
      </c>
      <c r="H12" s="135">
        <v>0.72</v>
      </c>
      <c r="I12" s="135">
        <v>0.11999999999999997</v>
      </c>
      <c r="J12" s="135">
        <v>6.9999999999999993E-2</v>
      </c>
      <c r="K12" s="135">
        <v>0.16000000218560026</v>
      </c>
      <c r="L12" s="135">
        <v>0</v>
      </c>
      <c r="M12" s="135">
        <v>0</v>
      </c>
      <c r="N12" s="135">
        <v>3.0000000000000001E-3</v>
      </c>
      <c r="O12" s="135">
        <v>6.0000000000000001E-3</v>
      </c>
      <c r="P12" s="135">
        <v>2.5000000000000001E-2</v>
      </c>
      <c r="Q12" s="135">
        <v>4.0000005139999815E-3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</row>
    <row r="13" spans="1:34" customFormat="1" x14ac:dyDescent="0.15">
      <c r="A13" s="149" t="s">
        <v>203</v>
      </c>
      <c r="B13" s="135">
        <v>0</v>
      </c>
      <c r="C13" s="135">
        <v>0</v>
      </c>
      <c r="D13" s="135">
        <v>0</v>
      </c>
      <c r="E13" s="135">
        <v>0</v>
      </c>
      <c r="F13" s="135">
        <v>0</v>
      </c>
      <c r="G13" s="135">
        <v>0</v>
      </c>
      <c r="H13" s="135">
        <v>0</v>
      </c>
      <c r="I13" s="135">
        <v>0</v>
      </c>
      <c r="J13" s="135">
        <v>0</v>
      </c>
      <c r="K13" s="135">
        <v>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</row>
    <row r="14" spans="1:34" customFormat="1" x14ac:dyDescent="0.15">
      <c r="A14" s="149" t="s">
        <v>204</v>
      </c>
      <c r="B14" s="135">
        <v>0</v>
      </c>
      <c r="C14" s="135">
        <v>0</v>
      </c>
      <c r="D14" s="135">
        <v>0</v>
      </c>
      <c r="E14" s="135">
        <v>0</v>
      </c>
      <c r="F14" s="135">
        <v>2.0999999694040029E-2</v>
      </c>
      <c r="G14" s="135">
        <v>0</v>
      </c>
      <c r="H14" s="135">
        <v>0</v>
      </c>
      <c r="I14" s="135">
        <v>0.11999999999999997</v>
      </c>
      <c r="J14" s="135">
        <v>0.12999999999999998</v>
      </c>
      <c r="K14" s="135">
        <v>4.3000003124880393E-2</v>
      </c>
      <c r="L14" s="135">
        <v>0</v>
      </c>
      <c r="M14" s="135">
        <v>0.04</v>
      </c>
      <c r="N14" s="135">
        <v>5.8999999999999997E-2</v>
      </c>
      <c r="O14" s="135">
        <v>2E-3</v>
      </c>
      <c r="P14" s="135">
        <v>0</v>
      </c>
      <c r="Q14" s="135">
        <v>1.0000001234999956E-3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</row>
    <row r="15" spans="1:34" customFormat="1" x14ac:dyDescent="0.15">
      <c r="A15" s="149" t="s">
        <v>205</v>
      </c>
      <c r="B15" s="135">
        <v>0</v>
      </c>
      <c r="C15" s="135">
        <v>0</v>
      </c>
      <c r="D15" s="135">
        <v>0.41999998833500085</v>
      </c>
      <c r="E15" s="135">
        <v>1.7999999842599979E-2</v>
      </c>
      <c r="F15" s="135">
        <v>0.26899999958556003</v>
      </c>
      <c r="G15" s="135">
        <v>0</v>
      </c>
      <c r="H15" s="135">
        <v>0.19600000000000001</v>
      </c>
      <c r="I15" s="135">
        <v>0.32999999999999996</v>
      </c>
      <c r="J15" s="135">
        <v>0.31999999999999995</v>
      </c>
      <c r="K15" s="135">
        <v>0.21999999675519955</v>
      </c>
      <c r="L15" s="135">
        <v>0</v>
      </c>
      <c r="M15" s="135">
        <v>4.4999999999999998E-2</v>
      </c>
      <c r="N15" s="135">
        <v>5.1999999999999998E-2</v>
      </c>
      <c r="O15" s="135">
        <v>6.5000000000000002E-2</v>
      </c>
      <c r="P15" s="135">
        <v>0</v>
      </c>
      <c r="Q15" s="135">
        <v>1.0000001234999956E-3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</row>
    <row r="16" spans="1:34" customFormat="1" x14ac:dyDescent="0.15">
      <c r="A16" s="149" t="s">
        <v>206</v>
      </c>
      <c r="B16" s="135">
        <v>0</v>
      </c>
      <c r="C16" s="135">
        <v>0</v>
      </c>
      <c r="D16" s="135">
        <v>0</v>
      </c>
      <c r="E16" s="135">
        <v>0</v>
      </c>
      <c r="F16" s="135">
        <v>1.0999999901640009E-2</v>
      </c>
      <c r="G16" s="135">
        <v>6.0000002809599872E-3</v>
      </c>
      <c r="H16" s="135">
        <v>0</v>
      </c>
      <c r="I16" s="135">
        <v>6.9999999999999993E-2</v>
      </c>
      <c r="J16" s="135">
        <v>3.4999999999999996E-2</v>
      </c>
      <c r="K16" s="135">
        <v>4.9999999607999938E-2</v>
      </c>
      <c r="L16" s="135">
        <v>0</v>
      </c>
      <c r="M16" s="135">
        <v>0.4</v>
      </c>
      <c r="N16" s="135">
        <v>0.19700000000000001</v>
      </c>
      <c r="O16" s="135">
        <v>5.8999999999999997E-2</v>
      </c>
      <c r="P16" s="135">
        <v>0</v>
      </c>
      <c r="Q16" s="135">
        <v>0</v>
      </c>
      <c r="R16" s="135">
        <v>5.0000000000000001E-3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</row>
    <row r="17" spans="1:23" customFormat="1" x14ac:dyDescent="0.15">
      <c r="A17" s="149" t="s">
        <v>207</v>
      </c>
      <c r="B17" s="135">
        <v>2E-3</v>
      </c>
      <c r="C17" s="135">
        <v>0</v>
      </c>
      <c r="D17" s="135">
        <v>0</v>
      </c>
      <c r="E17" s="135">
        <v>0.22200000312540041</v>
      </c>
      <c r="F17" s="135">
        <v>9.9999997924000179E-3</v>
      </c>
      <c r="G17" s="135">
        <v>0</v>
      </c>
      <c r="H17" s="135">
        <v>0</v>
      </c>
      <c r="I17" s="135">
        <v>7.9999999999999984E-3</v>
      </c>
      <c r="J17" s="135">
        <v>9.999999999999998E-4</v>
      </c>
      <c r="K17" s="135">
        <v>1.6000000918560114E-2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</row>
    <row r="18" spans="1:23" customFormat="1" x14ac:dyDescent="0.15">
      <c r="A18" s="149" t="s">
        <v>208</v>
      </c>
      <c r="B18" s="135">
        <v>1.7000000000000001E-2</v>
      </c>
      <c r="C18" s="135">
        <v>9.6000000000000002E-2</v>
      </c>
      <c r="D18" s="135">
        <v>0</v>
      </c>
      <c r="E18" s="135">
        <v>0.18999999378299914</v>
      </c>
      <c r="F18" s="135">
        <v>0.11999999410880055</v>
      </c>
      <c r="G18" s="135">
        <v>0</v>
      </c>
      <c r="H18" s="135">
        <v>2.1000000000000001E-2</v>
      </c>
      <c r="I18" s="135">
        <v>8.9999999999999983E-2</v>
      </c>
      <c r="J18" s="135">
        <v>3.1999999999999994E-2</v>
      </c>
      <c r="K18" s="135">
        <v>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</row>
    <row r="19" spans="1:23" customFormat="1" x14ac:dyDescent="0.15">
      <c r="A19" s="149" t="s">
        <v>209</v>
      </c>
      <c r="B19" s="135">
        <v>0</v>
      </c>
      <c r="C19" s="135">
        <v>0</v>
      </c>
      <c r="D19" s="135">
        <v>0</v>
      </c>
      <c r="E19" s="135">
        <v>0</v>
      </c>
      <c r="F19" s="135">
        <v>0</v>
      </c>
      <c r="G19" s="135">
        <v>2.0000002503199896E-3</v>
      </c>
      <c r="H19" s="135">
        <v>0</v>
      </c>
      <c r="I19" s="135">
        <v>0</v>
      </c>
      <c r="J19" s="135">
        <v>4.9999999999999989E-2</v>
      </c>
      <c r="K19" s="135">
        <v>0</v>
      </c>
      <c r="L19" s="135">
        <v>0.8</v>
      </c>
      <c r="M19" s="135">
        <v>0</v>
      </c>
      <c r="N19" s="135">
        <v>2.1999999999999999E-2</v>
      </c>
      <c r="O19" s="135">
        <v>0.17</v>
      </c>
      <c r="P19" s="135">
        <v>1.9E-2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</row>
    <row r="20" spans="1:23" customFormat="1" x14ac:dyDescent="0.15">
      <c r="A20" s="149" t="s">
        <v>210</v>
      </c>
      <c r="B20" s="135">
        <v>0</v>
      </c>
      <c r="C20" s="135">
        <v>0</v>
      </c>
      <c r="D20" s="135">
        <v>0</v>
      </c>
      <c r="E20" s="135">
        <v>0</v>
      </c>
      <c r="F20" s="135">
        <v>0</v>
      </c>
      <c r="G20" s="135">
        <v>2.0000002503199896E-3</v>
      </c>
      <c r="H20" s="135">
        <v>0</v>
      </c>
      <c r="I20" s="135">
        <v>0</v>
      </c>
      <c r="J20" s="135">
        <v>4.9999999999999992E-3</v>
      </c>
      <c r="K20" s="135">
        <v>0</v>
      </c>
      <c r="L20" s="135">
        <v>0.2</v>
      </c>
      <c r="M20" s="135">
        <v>0</v>
      </c>
      <c r="N20" s="135">
        <v>3.0000000000000001E-3</v>
      </c>
      <c r="O20" s="135">
        <v>8.4000000000000005E-2</v>
      </c>
      <c r="P20" s="135">
        <v>1.0999999999999999E-2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</row>
    <row r="21" spans="1:23" customFormat="1" x14ac:dyDescent="0.15">
      <c r="A21" s="149" t="s">
        <v>211</v>
      </c>
      <c r="B21" s="135">
        <v>0</v>
      </c>
      <c r="C21" s="135">
        <v>0</v>
      </c>
      <c r="D21" s="135">
        <v>0</v>
      </c>
      <c r="E21" s="135">
        <v>0</v>
      </c>
      <c r="F21" s="135">
        <v>0</v>
      </c>
      <c r="G21" s="135">
        <v>0</v>
      </c>
      <c r="H21" s="135">
        <v>1.4999999999999999E-2</v>
      </c>
      <c r="I21" s="135">
        <v>8.699999999999998E-2</v>
      </c>
      <c r="J21" s="135">
        <v>0.19999999999999996</v>
      </c>
      <c r="K21" s="135">
        <v>0.2160000032505604</v>
      </c>
      <c r="L21" s="135">
        <v>0</v>
      </c>
      <c r="M21" s="135">
        <v>0.39</v>
      </c>
      <c r="N21" s="135">
        <v>0.55400000000000005</v>
      </c>
      <c r="O21" s="135">
        <v>0.17899999999999999</v>
      </c>
      <c r="P21" s="135">
        <v>8.4000000000000005E-2</v>
      </c>
      <c r="Q21" s="135">
        <v>0.98799999893800017</v>
      </c>
      <c r="R21" s="135">
        <v>0.90600000000000003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</row>
    <row r="22" spans="1:23" customFormat="1" x14ac:dyDescent="0.15">
      <c r="A22" s="149" t="s">
        <v>212</v>
      </c>
      <c r="B22" s="135">
        <v>0</v>
      </c>
      <c r="C22" s="135">
        <v>0</v>
      </c>
      <c r="D22" s="135">
        <v>0</v>
      </c>
      <c r="E22" s="135">
        <v>0</v>
      </c>
      <c r="F22" s="135">
        <v>1.6000001147839896E-2</v>
      </c>
      <c r="G22" s="135">
        <v>0</v>
      </c>
      <c r="H22" s="135">
        <v>0</v>
      </c>
      <c r="I22" s="135">
        <v>0</v>
      </c>
      <c r="J22" s="135">
        <v>0.10299999999999997</v>
      </c>
      <c r="K22" s="135">
        <v>0.19099999409655924</v>
      </c>
      <c r="L22" s="135">
        <v>0</v>
      </c>
      <c r="M22" s="135">
        <v>0</v>
      </c>
      <c r="N22" s="135">
        <v>0.107</v>
      </c>
      <c r="O22" s="135">
        <v>0.42499999999999999</v>
      </c>
      <c r="P22" s="135">
        <v>0.86099999999999999</v>
      </c>
      <c r="Q22" s="135">
        <v>6.0000003009999889E-3</v>
      </c>
      <c r="R22" s="135">
        <v>8.7999999999999995E-2</v>
      </c>
      <c r="S22" s="135">
        <v>1</v>
      </c>
      <c r="T22" s="135">
        <v>0</v>
      </c>
      <c r="U22" s="135">
        <v>0</v>
      </c>
      <c r="V22" s="135">
        <v>0</v>
      </c>
      <c r="W22" s="135">
        <v>0</v>
      </c>
    </row>
    <row r="23" spans="1:23" customFormat="1" x14ac:dyDescent="0.15">
      <c r="A23" s="149" t="s">
        <v>213</v>
      </c>
      <c r="B23" s="135">
        <v>0</v>
      </c>
      <c r="C23" s="135">
        <v>0</v>
      </c>
      <c r="D23" s="135">
        <v>0</v>
      </c>
      <c r="E23" s="135">
        <v>0</v>
      </c>
      <c r="F23" s="135">
        <v>0</v>
      </c>
      <c r="G23" s="135">
        <v>0</v>
      </c>
      <c r="H23" s="135">
        <v>0</v>
      </c>
      <c r="I23" s="135">
        <v>0</v>
      </c>
      <c r="J23" s="135">
        <v>0</v>
      </c>
      <c r="K23" s="135">
        <v>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</row>
    <row r="24" spans="1:23" customFormat="1" x14ac:dyDescent="0.15">
      <c r="A24" s="149" t="s">
        <v>214</v>
      </c>
      <c r="B24" s="135">
        <v>0</v>
      </c>
      <c r="C24" s="135">
        <v>0</v>
      </c>
      <c r="D24" s="135">
        <v>0</v>
      </c>
      <c r="E24" s="135">
        <v>0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4" sqref="B24"/>
    </sheetView>
  </sheetViews>
  <sheetFormatPr baseColWidth="10" defaultColWidth="8.83203125" defaultRowHeight="13" x14ac:dyDescent="0.15"/>
  <cols>
    <col min="1" max="1" width="3.33203125" customWidth="1"/>
    <col min="2" max="2" width="15.83203125" customWidth="1"/>
    <col min="3" max="4" width="13.83203125" style="105" customWidth="1"/>
    <col min="5" max="6" width="13.83203125" style="104" customWidth="1"/>
    <col min="7" max="8" width="8.83203125" style="105"/>
  </cols>
  <sheetData>
    <row r="1" spans="1:8" ht="70" x14ac:dyDescent="0.15">
      <c r="A1" s="5" t="s">
        <v>20</v>
      </c>
      <c r="B1" s="1" t="s">
        <v>0</v>
      </c>
      <c r="C1" s="152" t="s">
        <v>212</v>
      </c>
      <c r="D1" s="152" t="s">
        <v>213</v>
      </c>
      <c r="E1" s="152" t="s">
        <v>215</v>
      </c>
      <c r="F1" s="152" t="s">
        <v>216</v>
      </c>
      <c r="G1"/>
      <c r="H1"/>
    </row>
    <row r="2" spans="1:8" x14ac:dyDescent="0.15">
      <c r="A2">
        <v>1</v>
      </c>
      <c r="B2" s="151" t="s">
        <v>192</v>
      </c>
      <c r="C2" s="105">
        <v>1</v>
      </c>
      <c r="D2" s="105">
        <v>0</v>
      </c>
      <c r="E2" s="104">
        <v>0</v>
      </c>
      <c r="F2" s="104">
        <f>SUM(C2:E2)</f>
        <v>1</v>
      </c>
      <c r="G2"/>
      <c r="H2"/>
    </row>
    <row r="3" spans="1:8" x14ac:dyDescent="0.15">
      <c r="A3">
        <v>2</v>
      </c>
      <c r="B3" s="151" t="s">
        <v>193</v>
      </c>
      <c r="C3" s="105">
        <v>1</v>
      </c>
      <c r="D3" s="105">
        <v>0</v>
      </c>
      <c r="E3" s="104">
        <v>0</v>
      </c>
      <c r="F3" s="104">
        <f t="shared" ref="F3:F24" si="0">SUM(C3:E3)</f>
        <v>1</v>
      </c>
      <c r="G3"/>
      <c r="H3"/>
    </row>
    <row r="4" spans="1:8" x14ac:dyDescent="0.15">
      <c r="A4">
        <v>3</v>
      </c>
      <c r="B4" s="151" t="s">
        <v>194</v>
      </c>
      <c r="C4" s="105">
        <v>1</v>
      </c>
      <c r="D4" s="105">
        <v>0</v>
      </c>
      <c r="E4" s="104">
        <v>0</v>
      </c>
      <c r="F4" s="104">
        <f t="shared" si="0"/>
        <v>1</v>
      </c>
      <c r="G4"/>
      <c r="H4"/>
    </row>
    <row r="5" spans="1:8" x14ac:dyDescent="0.15">
      <c r="A5">
        <v>4</v>
      </c>
      <c r="B5" s="151" t="s">
        <v>195</v>
      </c>
      <c r="C5" s="105">
        <v>1</v>
      </c>
      <c r="D5" s="105">
        <v>0</v>
      </c>
      <c r="E5" s="104">
        <v>0</v>
      </c>
      <c r="F5" s="104">
        <f t="shared" si="0"/>
        <v>1</v>
      </c>
      <c r="G5"/>
      <c r="H5"/>
    </row>
    <row r="6" spans="1:8" x14ac:dyDescent="0.15">
      <c r="A6">
        <v>5</v>
      </c>
      <c r="B6" s="151" t="s">
        <v>196</v>
      </c>
      <c r="C6" s="105">
        <v>1</v>
      </c>
      <c r="D6" s="105">
        <v>0</v>
      </c>
      <c r="E6" s="104">
        <v>0</v>
      </c>
      <c r="F6" s="104">
        <f t="shared" si="0"/>
        <v>1</v>
      </c>
      <c r="G6"/>
      <c r="H6"/>
    </row>
    <row r="7" spans="1:8" x14ac:dyDescent="0.15">
      <c r="A7">
        <v>6</v>
      </c>
      <c r="B7" s="151" t="s">
        <v>197</v>
      </c>
      <c r="C7" s="105">
        <v>1</v>
      </c>
      <c r="D7" s="105">
        <v>0</v>
      </c>
      <c r="E7" s="104">
        <v>0</v>
      </c>
      <c r="F7" s="104">
        <f t="shared" si="0"/>
        <v>1</v>
      </c>
      <c r="G7"/>
      <c r="H7"/>
    </row>
    <row r="8" spans="1:8" x14ac:dyDescent="0.15">
      <c r="A8">
        <v>7</v>
      </c>
      <c r="B8" s="151" t="s">
        <v>198</v>
      </c>
      <c r="C8" s="105">
        <v>1</v>
      </c>
      <c r="D8" s="105">
        <v>0</v>
      </c>
      <c r="E8" s="104">
        <v>0</v>
      </c>
      <c r="F8" s="104">
        <f t="shared" si="0"/>
        <v>1</v>
      </c>
      <c r="G8"/>
      <c r="H8"/>
    </row>
    <row r="9" spans="1:8" x14ac:dyDescent="0.15">
      <c r="A9">
        <v>8</v>
      </c>
      <c r="B9" s="151" t="s">
        <v>199</v>
      </c>
      <c r="C9" s="105">
        <v>1</v>
      </c>
      <c r="D9" s="105">
        <v>0</v>
      </c>
      <c r="E9" s="104">
        <v>0</v>
      </c>
      <c r="F9" s="104">
        <f t="shared" si="0"/>
        <v>1</v>
      </c>
      <c r="G9"/>
      <c r="H9"/>
    </row>
    <row r="10" spans="1:8" x14ac:dyDescent="0.15">
      <c r="A10">
        <v>9</v>
      </c>
      <c r="B10" s="151" t="s">
        <v>200</v>
      </c>
      <c r="C10" s="105">
        <v>1</v>
      </c>
      <c r="D10" s="105">
        <v>0</v>
      </c>
      <c r="E10" s="104">
        <v>0</v>
      </c>
      <c r="F10" s="104">
        <f t="shared" si="0"/>
        <v>1</v>
      </c>
      <c r="G10"/>
      <c r="H10"/>
    </row>
    <row r="11" spans="1:8" x14ac:dyDescent="0.15">
      <c r="A11">
        <v>10</v>
      </c>
      <c r="B11" s="151" t="s">
        <v>201</v>
      </c>
      <c r="C11" s="105">
        <v>1</v>
      </c>
      <c r="D11" s="105">
        <v>0</v>
      </c>
      <c r="E11" s="104">
        <v>0</v>
      </c>
      <c r="F11" s="104">
        <f t="shared" si="0"/>
        <v>1</v>
      </c>
      <c r="G11"/>
      <c r="H11"/>
    </row>
    <row r="12" spans="1:8" x14ac:dyDescent="0.15">
      <c r="A12">
        <v>11</v>
      </c>
      <c r="B12" s="151" t="s">
        <v>202</v>
      </c>
      <c r="C12" s="105">
        <v>1</v>
      </c>
      <c r="D12" s="105">
        <v>0</v>
      </c>
      <c r="E12" s="104">
        <v>0</v>
      </c>
      <c r="F12" s="104">
        <f t="shared" si="0"/>
        <v>1</v>
      </c>
      <c r="G12"/>
      <c r="H12"/>
    </row>
    <row r="13" spans="1:8" x14ac:dyDescent="0.15">
      <c r="A13">
        <v>12</v>
      </c>
      <c r="B13" s="151" t="s">
        <v>203</v>
      </c>
      <c r="C13" s="105">
        <v>1</v>
      </c>
      <c r="D13" s="105">
        <v>0</v>
      </c>
      <c r="E13" s="104">
        <v>0</v>
      </c>
      <c r="F13" s="104">
        <f t="shared" si="0"/>
        <v>1</v>
      </c>
      <c r="G13"/>
      <c r="H13"/>
    </row>
    <row r="14" spans="1:8" x14ac:dyDescent="0.15">
      <c r="A14">
        <v>13</v>
      </c>
      <c r="B14" s="151" t="s">
        <v>204</v>
      </c>
      <c r="C14" s="105">
        <v>1</v>
      </c>
      <c r="D14" s="105">
        <v>0</v>
      </c>
      <c r="E14" s="104">
        <v>0</v>
      </c>
      <c r="F14" s="104">
        <f t="shared" si="0"/>
        <v>1</v>
      </c>
      <c r="G14"/>
      <c r="H14"/>
    </row>
    <row r="15" spans="1:8" x14ac:dyDescent="0.15">
      <c r="A15">
        <v>14</v>
      </c>
      <c r="B15" s="151" t="s">
        <v>205</v>
      </c>
      <c r="C15" s="105">
        <v>1</v>
      </c>
      <c r="D15" s="105">
        <v>0</v>
      </c>
      <c r="E15" s="104">
        <v>0</v>
      </c>
      <c r="F15" s="104">
        <f t="shared" si="0"/>
        <v>1</v>
      </c>
      <c r="G15"/>
      <c r="H15"/>
    </row>
    <row r="16" spans="1:8" x14ac:dyDescent="0.15">
      <c r="A16">
        <v>15</v>
      </c>
      <c r="B16" s="151" t="s">
        <v>206</v>
      </c>
      <c r="C16" s="105">
        <v>1</v>
      </c>
      <c r="D16" s="105">
        <v>0</v>
      </c>
      <c r="E16" s="104">
        <v>0</v>
      </c>
      <c r="F16" s="104">
        <f t="shared" si="0"/>
        <v>1</v>
      </c>
      <c r="G16"/>
      <c r="H16"/>
    </row>
    <row r="17" spans="1:8" ht="15" customHeight="1" x14ac:dyDescent="0.15">
      <c r="A17">
        <v>16</v>
      </c>
      <c r="B17" s="151" t="s">
        <v>207</v>
      </c>
      <c r="C17" s="105">
        <v>1</v>
      </c>
      <c r="D17" s="105">
        <v>0</v>
      </c>
      <c r="E17" s="104">
        <v>0</v>
      </c>
      <c r="F17" s="104">
        <f t="shared" si="0"/>
        <v>1</v>
      </c>
      <c r="G17"/>
      <c r="H17"/>
    </row>
    <row r="18" spans="1:8" ht="15" customHeight="1" x14ac:dyDescent="0.15">
      <c r="A18">
        <v>17</v>
      </c>
      <c r="B18" s="151" t="s">
        <v>208</v>
      </c>
      <c r="C18" s="105">
        <v>1</v>
      </c>
      <c r="D18" s="105">
        <v>0</v>
      </c>
      <c r="E18" s="104">
        <v>0</v>
      </c>
      <c r="F18" s="104">
        <f t="shared" si="0"/>
        <v>1</v>
      </c>
      <c r="G18"/>
      <c r="H18"/>
    </row>
    <row r="19" spans="1:8" ht="15" customHeight="1" x14ac:dyDescent="0.15">
      <c r="A19">
        <v>18</v>
      </c>
      <c r="B19" s="151" t="s">
        <v>209</v>
      </c>
      <c r="C19" s="105">
        <v>1</v>
      </c>
      <c r="D19" s="105">
        <v>0</v>
      </c>
      <c r="E19" s="104">
        <v>0</v>
      </c>
      <c r="F19" s="104">
        <f t="shared" si="0"/>
        <v>1</v>
      </c>
      <c r="G19"/>
      <c r="H19"/>
    </row>
    <row r="20" spans="1:8" ht="15" customHeight="1" x14ac:dyDescent="0.15">
      <c r="A20">
        <v>19</v>
      </c>
      <c r="B20" s="151" t="s">
        <v>210</v>
      </c>
      <c r="C20" s="105">
        <v>1</v>
      </c>
      <c r="D20" s="105">
        <v>0</v>
      </c>
      <c r="E20" s="104">
        <v>0</v>
      </c>
      <c r="F20" s="104">
        <f t="shared" si="0"/>
        <v>1</v>
      </c>
      <c r="G20"/>
      <c r="H20"/>
    </row>
    <row r="21" spans="1:8" ht="15" customHeight="1" x14ac:dyDescent="0.15">
      <c r="A21">
        <v>20</v>
      </c>
      <c r="B21" s="151" t="s">
        <v>211</v>
      </c>
      <c r="C21" s="105">
        <v>1</v>
      </c>
      <c r="D21" s="105">
        <v>0</v>
      </c>
      <c r="E21" s="104">
        <v>0</v>
      </c>
      <c r="F21" s="104">
        <f t="shared" si="0"/>
        <v>1</v>
      </c>
      <c r="G21"/>
      <c r="H21"/>
    </row>
    <row r="22" spans="1:8" ht="15" customHeight="1" x14ac:dyDescent="0.15">
      <c r="A22">
        <v>21</v>
      </c>
      <c r="B22" s="151" t="s">
        <v>212</v>
      </c>
      <c r="C22" s="105">
        <v>0</v>
      </c>
      <c r="D22" s="105">
        <v>1</v>
      </c>
      <c r="E22" s="104">
        <v>0</v>
      </c>
      <c r="F22" s="104">
        <f t="shared" si="0"/>
        <v>1</v>
      </c>
      <c r="G22"/>
      <c r="H22"/>
    </row>
    <row r="23" spans="1:8" ht="15" customHeight="1" x14ac:dyDescent="0.15">
      <c r="A23">
        <v>22</v>
      </c>
      <c r="B23" s="151" t="s">
        <v>213</v>
      </c>
      <c r="C23" s="105">
        <v>0</v>
      </c>
      <c r="D23" s="105">
        <v>0</v>
      </c>
      <c r="E23" s="104">
        <v>1</v>
      </c>
      <c r="F23" s="104">
        <f t="shared" si="0"/>
        <v>1</v>
      </c>
      <c r="G23"/>
      <c r="H23"/>
    </row>
    <row r="24" spans="1:8" ht="15" customHeight="1" x14ac:dyDescent="0.15">
      <c r="A24">
        <v>23</v>
      </c>
      <c r="B24" s="173" t="s">
        <v>218</v>
      </c>
      <c r="C24" s="105">
        <v>1</v>
      </c>
      <c r="D24" s="105">
        <v>0</v>
      </c>
      <c r="E24" s="104">
        <v>0</v>
      </c>
      <c r="F24" s="104">
        <f t="shared" si="0"/>
        <v>1</v>
      </c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5"/>
      <c r="F36" s="105"/>
      <c r="G36"/>
      <c r="H36"/>
    </row>
    <row r="37" spans="3:8" ht="15" customHeight="1" x14ac:dyDescent="0.15">
      <c r="C37"/>
      <c r="D37"/>
      <c r="E37" s="105"/>
      <c r="F37" s="105"/>
      <c r="G37"/>
      <c r="H37"/>
    </row>
    <row r="38" spans="3:8" ht="15" customHeight="1" x14ac:dyDescent="0.15">
      <c r="C38"/>
      <c r="D38"/>
      <c r="E38" s="105"/>
      <c r="F38" s="105"/>
      <c r="G38"/>
      <c r="H38"/>
    </row>
    <row r="39" spans="3:8" ht="15" customHeight="1" x14ac:dyDescent="0.15">
      <c r="C39"/>
      <c r="D39"/>
      <c r="E39" s="105"/>
      <c r="F39" s="105"/>
      <c r="G39"/>
      <c r="H39"/>
    </row>
    <row r="40" spans="3:8" ht="15" customHeight="1" x14ac:dyDescent="0.15">
      <c r="C40"/>
      <c r="D40"/>
      <c r="E40" s="105"/>
      <c r="F40" s="105"/>
      <c r="G40"/>
      <c r="H40"/>
    </row>
    <row r="41" spans="3:8" ht="15" customHeight="1" x14ac:dyDescent="0.15">
      <c r="C41"/>
      <c r="D41"/>
      <c r="E41" s="105"/>
      <c r="F41" s="105"/>
      <c r="G41"/>
      <c r="H41"/>
    </row>
    <row r="42" spans="3:8" ht="15" customHeight="1" x14ac:dyDescent="0.15">
      <c r="C42"/>
      <c r="D42"/>
      <c r="E42" s="105"/>
      <c r="F42" s="105"/>
      <c r="G42"/>
      <c r="H42"/>
    </row>
    <row r="43" spans="3:8" ht="15" customHeight="1" x14ac:dyDescent="0.15">
      <c r="C43"/>
      <c r="D43"/>
      <c r="E43" s="105"/>
      <c r="F43" s="105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5"/>
      <c r="F46" s="105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C1" sqref="C1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4" width="25.33203125" customWidth="1"/>
    <col min="5" max="5" width="12.1640625" bestFit="1" customWidth="1"/>
  </cols>
  <sheetData>
    <row r="1" spans="1:5" s="106" customFormat="1" ht="112" x14ac:dyDescent="0.15">
      <c r="A1" s="5" t="s">
        <v>21</v>
      </c>
      <c r="B1" s="3" t="s">
        <v>0</v>
      </c>
      <c r="C1" s="173" t="s">
        <v>218</v>
      </c>
      <c r="D1" s="154" t="s">
        <v>217</v>
      </c>
      <c r="E1"/>
    </row>
    <row r="2" spans="1:5" ht="15" customHeight="1" x14ac:dyDescent="0.15">
      <c r="A2">
        <v>1</v>
      </c>
      <c r="B2" s="153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53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53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53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53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53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53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53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53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53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53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53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53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53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53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53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53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53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53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53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53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53" t="s">
        <v>213</v>
      </c>
      <c r="C23">
        <v>0</v>
      </c>
      <c r="D23">
        <v>0</v>
      </c>
    </row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4" sqref="F14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4" width="11.6640625" customWidth="1"/>
    <col min="5" max="5" width="12.1640625" bestFit="1" customWidth="1"/>
  </cols>
  <sheetData>
    <row r="1" spans="1:4" s="106" customFormat="1" ht="112" x14ac:dyDescent="0.15">
      <c r="A1" s="5" t="s">
        <v>22</v>
      </c>
      <c r="B1" s="3" t="s">
        <v>0</v>
      </c>
      <c r="C1" s="173" t="s">
        <v>218</v>
      </c>
      <c r="D1" s="156" t="s">
        <v>217</v>
      </c>
    </row>
    <row r="2" spans="1:4" x14ac:dyDescent="0.15">
      <c r="A2">
        <v>1</v>
      </c>
      <c r="B2" s="155" t="s">
        <v>192</v>
      </c>
      <c r="C2">
        <v>0</v>
      </c>
      <c r="D2">
        <v>0</v>
      </c>
    </row>
    <row r="3" spans="1:4" x14ac:dyDescent="0.15">
      <c r="A3">
        <v>2</v>
      </c>
      <c r="B3" s="155" t="s">
        <v>193</v>
      </c>
      <c r="C3">
        <v>0</v>
      </c>
      <c r="D3">
        <v>0</v>
      </c>
    </row>
    <row r="4" spans="1:4" x14ac:dyDescent="0.15">
      <c r="A4">
        <v>3</v>
      </c>
      <c r="B4" s="155" t="s">
        <v>194</v>
      </c>
      <c r="C4">
        <v>0</v>
      </c>
      <c r="D4">
        <v>0</v>
      </c>
    </row>
    <row r="5" spans="1:4" x14ac:dyDescent="0.15">
      <c r="A5">
        <v>4</v>
      </c>
      <c r="B5" s="155" t="s">
        <v>195</v>
      </c>
      <c r="C5">
        <v>0</v>
      </c>
      <c r="D5">
        <v>0</v>
      </c>
    </row>
    <row r="6" spans="1:4" x14ac:dyDescent="0.15">
      <c r="A6">
        <v>5</v>
      </c>
      <c r="B6" s="155" t="s">
        <v>196</v>
      </c>
      <c r="C6">
        <v>0</v>
      </c>
      <c r="D6">
        <v>0</v>
      </c>
    </row>
    <row r="7" spans="1:4" x14ac:dyDescent="0.15">
      <c r="A7">
        <v>6</v>
      </c>
      <c r="B7" s="155" t="s">
        <v>197</v>
      </c>
      <c r="C7">
        <v>0</v>
      </c>
      <c r="D7">
        <v>0</v>
      </c>
    </row>
    <row r="8" spans="1:4" x14ac:dyDescent="0.15">
      <c r="A8">
        <v>7</v>
      </c>
      <c r="B8" s="155" t="s">
        <v>198</v>
      </c>
      <c r="C8">
        <v>0</v>
      </c>
      <c r="D8">
        <v>0</v>
      </c>
    </row>
    <row r="9" spans="1:4" x14ac:dyDescent="0.15">
      <c r="A9">
        <v>8</v>
      </c>
      <c r="B9" s="155" t="s">
        <v>199</v>
      </c>
      <c r="C9">
        <v>0</v>
      </c>
      <c r="D9">
        <v>0</v>
      </c>
    </row>
    <row r="10" spans="1:4" x14ac:dyDescent="0.15">
      <c r="A10">
        <v>9</v>
      </c>
      <c r="B10" s="155" t="s">
        <v>200</v>
      </c>
      <c r="C10">
        <v>0</v>
      </c>
      <c r="D10">
        <v>0</v>
      </c>
    </row>
    <row r="11" spans="1:4" x14ac:dyDescent="0.15">
      <c r="A11">
        <v>10</v>
      </c>
      <c r="B11" s="155" t="s">
        <v>201</v>
      </c>
      <c r="C11">
        <v>0</v>
      </c>
      <c r="D11">
        <v>0</v>
      </c>
    </row>
    <row r="12" spans="1:4" x14ac:dyDescent="0.15">
      <c r="A12">
        <v>11</v>
      </c>
      <c r="B12" s="155" t="s">
        <v>202</v>
      </c>
      <c r="C12">
        <v>0</v>
      </c>
      <c r="D12">
        <v>0</v>
      </c>
    </row>
    <row r="13" spans="1:4" x14ac:dyDescent="0.15">
      <c r="A13">
        <v>12</v>
      </c>
      <c r="B13" s="155" t="s">
        <v>203</v>
      </c>
      <c r="C13">
        <v>0</v>
      </c>
      <c r="D13">
        <v>0</v>
      </c>
    </row>
    <row r="14" spans="1:4" x14ac:dyDescent="0.15">
      <c r="A14">
        <v>13</v>
      </c>
      <c r="B14" s="155" t="s">
        <v>204</v>
      </c>
      <c r="C14">
        <v>0</v>
      </c>
      <c r="D14">
        <v>0</v>
      </c>
    </row>
    <row r="15" spans="1:4" x14ac:dyDescent="0.15">
      <c r="A15">
        <v>14</v>
      </c>
      <c r="B15" s="155" t="s">
        <v>205</v>
      </c>
      <c r="C15">
        <v>0</v>
      </c>
      <c r="D15">
        <v>0</v>
      </c>
    </row>
    <row r="16" spans="1:4" x14ac:dyDescent="0.15">
      <c r="A16">
        <v>15</v>
      </c>
      <c r="B16" s="155" t="s">
        <v>206</v>
      </c>
      <c r="C16">
        <v>0</v>
      </c>
      <c r="D16">
        <v>0</v>
      </c>
    </row>
    <row r="17" spans="1:4" x14ac:dyDescent="0.15">
      <c r="A17">
        <v>16</v>
      </c>
      <c r="B17" s="155" t="s">
        <v>207</v>
      </c>
      <c r="C17">
        <v>0</v>
      </c>
      <c r="D17">
        <v>0</v>
      </c>
    </row>
    <row r="18" spans="1:4" x14ac:dyDescent="0.15">
      <c r="A18">
        <v>17</v>
      </c>
      <c r="B18" s="155" t="s">
        <v>208</v>
      </c>
      <c r="C18">
        <v>0</v>
      </c>
      <c r="D18">
        <v>0</v>
      </c>
    </row>
    <row r="19" spans="1:4" x14ac:dyDescent="0.15">
      <c r="A19">
        <v>18</v>
      </c>
      <c r="B19" s="155" t="s">
        <v>209</v>
      </c>
      <c r="C19">
        <v>0</v>
      </c>
      <c r="D19">
        <v>0</v>
      </c>
    </row>
    <row r="20" spans="1:4" x14ac:dyDescent="0.15">
      <c r="A20">
        <v>19</v>
      </c>
      <c r="B20" s="155" t="s">
        <v>210</v>
      </c>
      <c r="C20">
        <v>0</v>
      </c>
      <c r="D20">
        <v>0</v>
      </c>
    </row>
    <row r="21" spans="1:4" x14ac:dyDescent="0.15">
      <c r="A21">
        <v>20</v>
      </c>
      <c r="B21" s="155" t="s">
        <v>211</v>
      </c>
      <c r="C21">
        <v>0</v>
      </c>
      <c r="D21">
        <v>0</v>
      </c>
    </row>
    <row r="22" spans="1:4" x14ac:dyDescent="0.15">
      <c r="A22">
        <v>21</v>
      </c>
      <c r="B22" s="155" t="s">
        <v>212</v>
      </c>
      <c r="C22">
        <v>0</v>
      </c>
      <c r="D22">
        <v>0</v>
      </c>
    </row>
    <row r="23" spans="1:4" x14ac:dyDescent="0.15">
      <c r="A23">
        <v>22</v>
      </c>
      <c r="B23" s="155" t="s">
        <v>213</v>
      </c>
      <c r="C23">
        <v>0</v>
      </c>
      <c r="D2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10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7" customFormat="1" ht="14" thickBot="1" x14ac:dyDescent="0.2">
      <c r="D1" s="108" t="s">
        <v>8</v>
      </c>
      <c r="E1" s="108" t="s">
        <v>0</v>
      </c>
      <c r="F1" s="109" t="s">
        <v>99</v>
      </c>
      <c r="G1" s="110" t="s">
        <v>84</v>
      </c>
      <c r="H1" s="110" t="s">
        <v>85</v>
      </c>
      <c r="I1" s="110" t="s">
        <v>86</v>
      </c>
      <c r="J1" s="110" t="s">
        <v>87</v>
      </c>
      <c r="K1" s="110" t="s">
        <v>88</v>
      </c>
      <c r="L1" s="111" t="s">
        <v>89</v>
      </c>
      <c r="M1" s="111" t="s">
        <v>93</v>
      </c>
      <c r="N1" s="111" t="s">
        <v>92</v>
      </c>
      <c r="O1" s="111" t="s">
        <v>90</v>
      </c>
      <c r="P1" s="111" t="s">
        <v>91</v>
      </c>
      <c r="Q1" s="112" t="s">
        <v>94</v>
      </c>
      <c r="R1" s="112" t="s">
        <v>95</v>
      </c>
      <c r="S1" s="112" t="s">
        <v>96</v>
      </c>
      <c r="T1" s="112" t="s">
        <v>97</v>
      </c>
      <c r="U1" s="112" t="s">
        <v>98</v>
      </c>
      <c r="V1" s="110" t="s">
        <v>100</v>
      </c>
      <c r="W1" s="110" t="s">
        <v>101</v>
      </c>
      <c r="X1" s="110" t="s">
        <v>102</v>
      </c>
      <c r="Y1" s="110" t="s">
        <v>134</v>
      </c>
      <c r="Z1" s="111" t="s">
        <v>103</v>
      </c>
      <c r="AA1" s="111" t="s">
        <v>104</v>
      </c>
      <c r="AB1" s="111" t="s">
        <v>105</v>
      </c>
      <c r="AC1" s="113" t="s">
        <v>135</v>
      </c>
      <c r="AD1" s="112" t="s">
        <v>106</v>
      </c>
      <c r="AE1" s="112" t="s">
        <v>107</v>
      </c>
      <c r="AF1" s="112" t="s">
        <v>108</v>
      </c>
      <c r="AG1" s="112" t="s">
        <v>136</v>
      </c>
      <c r="AH1" s="110" t="s">
        <v>109</v>
      </c>
      <c r="AI1" s="110" t="s">
        <v>111</v>
      </c>
      <c r="AJ1" s="110" t="s">
        <v>110</v>
      </c>
      <c r="AK1" s="111" t="s">
        <v>115</v>
      </c>
      <c r="AL1" s="111" t="s">
        <v>116</v>
      </c>
      <c r="AM1" s="111" t="s">
        <v>117</v>
      </c>
      <c r="AN1" s="112" t="s">
        <v>112</v>
      </c>
      <c r="AO1" s="112" t="s">
        <v>113</v>
      </c>
      <c r="AP1" s="112" t="s">
        <v>114</v>
      </c>
    </row>
    <row r="2" spans="1:42" x14ac:dyDescent="0.15">
      <c r="A2" s="114" t="s">
        <v>74</v>
      </c>
      <c r="B2" s="115">
        <v>1</v>
      </c>
      <c r="D2">
        <v>1</v>
      </c>
      <c r="E2" s="157" t="s">
        <v>192</v>
      </c>
      <c r="F2">
        <v>0.98</v>
      </c>
      <c r="G2">
        <v>0.8</v>
      </c>
      <c r="H2">
        <v>0.8</v>
      </c>
      <c r="I2">
        <v>0.8</v>
      </c>
      <c r="J2" s="105">
        <v>0.25</v>
      </c>
      <c r="K2" s="105">
        <v>0.05</v>
      </c>
    </row>
    <row r="3" spans="1:42" x14ac:dyDescent="0.15">
      <c r="A3" s="114" t="s">
        <v>75</v>
      </c>
      <c r="B3" s="116">
        <v>1</v>
      </c>
      <c r="D3">
        <v>2</v>
      </c>
      <c r="E3" s="157" t="s">
        <v>193</v>
      </c>
      <c r="F3">
        <v>0.98</v>
      </c>
      <c r="G3">
        <v>0.8</v>
      </c>
      <c r="H3">
        <v>0.8</v>
      </c>
      <c r="I3">
        <v>0.8</v>
      </c>
      <c r="J3" s="105">
        <v>0.25</v>
      </c>
      <c r="K3" s="105">
        <v>0.05</v>
      </c>
    </row>
    <row r="4" spans="1:42" x14ac:dyDescent="0.15">
      <c r="A4" s="114" t="s">
        <v>76</v>
      </c>
      <c r="B4" s="116">
        <v>1</v>
      </c>
      <c r="D4">
        <v>3</v>
      </c>
      <c r="E4" s="157" t="s">
        <v>194</v>
      </c>
      <c r="F4">
        <v>0.98</v>
      </c>
      <c r="G4">
        <v>0.8</v>
      </c>
      <c r="H4">
        <v>0.8</v>
      </c>
      <c r="I4">
        <v>0.8</v>
      </c>
      <c r="J4" s="105">
        <v>0.25</v>
      </c>
      <c r="K4" s="105">
        <v>0.05</v>
      </c>
    </row>
    <row r="5" spans="1:42" x14ac:dyDescent="0.15">
      <c r="A5" s="114" t="s">
        <v>77</v>
      </c>
      <c r="B5" s="116">
        <v>1</v>
      </c>
      <c r="D5">
        <v>4</v>
      </c>
      <c r="E5" s="157" t="s">
        <v>195</v>
      </c>
      <c r="F5">
        <v>0.98</v>
      </c>
      <c r="G5">
        <v>0.8</v>
      </c>
      <c r="H5">
        <v>0.8</v>
      </c>
      <c r="I5">
        <v>0.8</v>
      </c>
      <c r="J5" s="105">
        <v>0.25</v>
      </c>
      <c r="K5" s="105">
        <v>0.05</v>
      </c>
    </row>
    <row r="6" spans="1:42" x14ac:dyDescent="0.15">
      <c r="A6" s="114" t="s">
        <v>78</v>
      </c>
      <c r="B6" s="116">
        <v>1</v>
      </c>
      <c r="D6">
        <v>5</v>
      </c>
      <c r="E6" s="157" t="s">
        <v>196</v>
      </c>
      <c r="F6">
        <v>0.98</v>
      </c>
      <c r="G6">
        <v>0.8</v>
      </c>
      <c r="H6">
        <v>0.8</v>
      </c>
      <c r="I6">
        <v>0.8</v>
      </c>
      <c r="J6" s="105">
        <v>0.25</v>
      </c>
      <c r="K6" s="105">
        <v>0.05</v>
      </c>
    </row>
    <row r="7" spans="1:42" x14ac:dyDescent="0.15">
      <c r="A7" s="114" t="s">
        <v>79</v>
      </c>
      <c r="B7" s="116">
        <v>1</v>
      </c>
      <c r="D7">
        <v>6</v>
      </c>
      <c r="E7" s="157" t="s">
        <v>197</v>
      </c>
      <c r="F7">
        <v>0.98</v>
      </c>
      <c r="G7">
        <v>0.8</v>
      </c>
      <c r="H7">
        <v>0.8</v>
      </c>
      <c r="I7">
        <v>0.8</v>
      </c>
      <c r="J7" s="105">
        <v>0.25</v>
      </c>
      <c r="K7" s="105">
        <v>0.05</v>
      </c>
    </row>
    <row r="8" spans="1:42" x14ac:dyDescent="0.15">
      <c r="A8" s="114" t="s">
        <v>80</v>
      </c>
      <c r="B8" s="116">
        <v>1</v>
      </c>
      <c r="D8">
        <v>7</v>
      </c>
      <c r="E8" s="157" t="s">
        <v>198</v>
      </c>
      <c r="F8">
        <v>0.98</v>
      </c>
      <c r="G8">
        <v>0.8</v>
      </c>
      <c r="H8">
        <v>0.8</v>
      </c>
      <c r="I8">
        <v>0.8</v>
      </c>
      <c r="J8" s="105">
        <v>0.25</v>
      </c>
      <c r="K8" s="105">
        <v>0.05</v>
      </c>
    </row>
    <row r="9" spans="1:42" x14ac:dyDescent="0.15">
      <c r="A9" s="114" t="s">
        <v>81</v>
      </c>
      <c r="B9" s="116">
        <v>0.1</v>
      </c>
      <c r="C9" s="57" t="s">
        <v>150</v>
      </c>
      <c r="D9">
        <v>8</v>
      </c>
      <c r="E9" s="157" t="s">
        <v>199</v>
      </c>
      <c r="F9">
        <v>0.98</v>
      </c>
      <c r="G9">
        <v>0.8</v>
      </c>
      <c r="H9">
        <v>0.8</v>
      </c>
      <c r="I9">
        <v>0.8</v>
      </c>
      <c r="J9" s="105">
        <v>0.25</v>
      </c>
      <c r="K9" s="105">
        <v>0.05</v>
      </c>
    </row>
    <row r="10" spans="1:42" ht="14" thickBot="1" x14ac:dyDescent="0.2">
      <c r="A10" s="114" t="s">
        <v>149</v>
      </c>
      <c r="B10" s="117">
        <f>1/3</f>
        <v>0.33333333333333331</v>
      </c>
      <c r="C10" s="57" t="s">
        <v>150</v>
      </c>
      <c r="D10">
        <v>9</v>
      </c>
      <c r="E10" s="157" t="s">
        <v>200</v>
      </c>
      <c r="F10">
        <v>0.98</v>
      </c>
      <c r="G10">
        <v>0.8</v>
      </c>
      <c r="H10">
        <v>0.8</v>
      </c>
      <c r="I10">
        <v>0.8</v>
      </c>
      <c r="J10" s="105">
        <v>0.25</v>
      </c>
      <c r="K10" s="105">
        <v>0.05</v>
      </c>
    </row>
    <row r="11" spans="1:42" x14ac:dyDescent="0.15">
      <c r="D11">
        <v>10</v>
      </c>
      <c r="E11" s="157" t="s">
        <v>201</v>
      </c>
      <c r="F11">
        <v>0.98</v>
      </c>
      <c r="G11">
        <v>0.8</v>
      </c>
      <c r="H11">
        <v>0.8</v>
      </c>
      <c r="I11">
        <v>0.8</v>
      </c>
      <c r="J11" s="105">
        <v>0.25</v>
      </c>
      <c r="K11" s="105">
        <v>0.05</v>
      </c>
    </row>
    <row r="12" spans="1:42" x14ac:dyDescent="0.15">
      <c r="D12">
        <v>11</v>
      </c>
      <c r="E12" s="157" t="s">
        <v>202</v>
      </c>
      <c r="F12">
        <v>0.98</v>
      </c>
      <c r="G12">
        <v>0.8</v>
      </c>
      <c r="H12">
        <v>0.8</v>
      </c>
      <c r="I12">
        <v>0.8</v>
      </c>
      <c r="J12" s="105">
        <v>0.25</v>
      </c>
      <c r="K12" s="105">
        <v>0.05</v>
      </c>
    </row>
    <row r="13" spans="1:42" x14ac:dyDescent="0.15">
      <c r="D13">
        <v>12</v>
      </c>
      <c r="E13" s="157" t="s">
        <v>203</v>
      </c>
      <c r="F13">
        <v>0.98</v>
      </c>
      <c r="G13">
        <v>0.8</v>
      </c>
      <c r="H13">
        <v>0.8</v>
      </c>
      <c r="I13">
        <v>0.8</v>
      </c>
      <c r="J13" s="105">
        <v>0.25</v>
      </c>
      <c r="K13" s="105">
        <v>0.05</v>
      </c>
    </row>
    <row r="14" spans="1:42" x14ac:dyDescent="0.15">
      <c r="D14">
        <v>13</v>
      </c>
      <c r="E14" s="157" t="s">
        <v>204</v>
      </c>
      <c r="F14">
        <v>0.98</v>
      </c>
      <c r="G14">
        <v>0.8</v>
      </c>
      <c r="H14">
        <v>0.8</v>
      </c>
      <c r="I14">
        <v>0.8</v>
      </c>
      <c r="J14" s="105">
        <v>0.25</v>
      </c>
      <c r="K14" s="105">
        <v>0.05</v>
      </c>
    </row>
    <row r="15" spans="1:42" x14ac:dyDescent="0.15">
      <c r="D15">
        <v>14</v>
      </c>
      <c r="E15" s="157" t="s">
        <v>205</v>
      </c>
      <c r="F15">
        <v>0.98</v>
      </c>
      <c r="G15">
        <v>0.8</v>
      </c>
      <c r="H15">
        <v>0.8</v>
      </c>
      <c r="I15">
        <v>0.8</v>
      </c>
      <c r="J15" s="105">
        <v>0.25</v>
      </c>
      <c r="K15" s="105">
        <v>0.05</v>
      </c>
    </row>
    <row r="16" spans="1:42" x14ac:dyDescent="0.15">
      <c r="D16">
        <v>15</v>
      </c>
      <c r="E16" s="157" t="s">
        <v>206</v>
      </c>
      <c r="F16">
        <v>0.98</v>
      </c>
      <c r="G16">
        <v>0.8</v>
      </c>
      <c r="H16">
        <v>0.8</v>
      </c>
      <c r="I16">
        <v>0.8</v>
      </c>
      <c r="J16" s="105">
        <v>0.25</v>
      </c>
      <c r="K16" s="105">
        <v>0.05</v>
      </c>
    </row>
    <row r="17" spans="4:33" ht="15" customHeight="1" x14ac:dyDescent="0.15">
      <c r="D17">
        <v>16</v>
      </c>
      <c r="E17" s="157" t="s">
        <v>207</v>
      </c>
      <c r="F17">
        <v>0.98</v>
      </c>
      <c r="G17">
        <v>0.8</v>
      </c>
      <c r="H17">
        <v>0.8</v>
      </c>
      <c r="I17">
        <v>0.8</v>
      </c>
      <c r="J17" s="105">
        <v>0.25</v>
      </c>
      <c r="K17" s="105">
        <v>0.05</v>
      </c>
    </row>
    <row r="18" spans="4:33" ht="15" customHeight="1" x14ac:dyDescent="0.15">
      <c r="D18">
        <v>17</v>
      </c>
      <c r="E18" s="157" t="s">
        <v>208</v>
      </c>
      <c r="F18">
        <v>0.98</v>
      </c>
      <c r="G18">
        <v>0.8</v>
      </c>
      <c r="H18">
        <v>0.8</v>
      </c>
      <c r="I18">
        <v>0.8</v>
      </c>
      <c r="J18" s="105">
        <v>0.25</v>
      </c>
      <c r="K18" s="105">
        <v>0.05</v>
      </c>
    </row>
    <row r="19" spans="4:33" ht="15" customHeight="1" x14ac:dyDescent="0.15">
      <c r="D19">
        <v>18</v>
      </c>
      <c r="E19" s="157" t="s">
        <v>209</v>
      </c>
      <c r="F19">
        <v>0.98</v>
      </c>
      <c r="G19">
        <v>0.8</v>
      </c>
      <c r="H19">
        <v>0.8</v>
      </c>
      <c r="I19">
        <v>0.8</v>
      </c>
      <c r="J19" s="105">
        <v>0.25</v>
      </c>
      <c r="K19" s="105">
        <v>0.05</v>
      </c>
    </row>
    <row r="20" spans="4:33" ht="15" customHeight="1" x14ac:dyDescent="0.15">
      <c r="D20">
        <v>19</v>
      </c>
      <c r="E20" s="157" t="s">
        <v>210</v>
      </c>
      <c r="F20">
        <v>0.98</v>
      </c>
      <c r="G20">
        <v>0.8</v>
      </c>
      <c r="H20">
        <v>0.8</v>
      </c>
      <c r="I20">
        <v>0</v>
      </c>
      <c r="J20" s="105">
        <v>0</v>
      </c>
      <c r="K20" s="105">
        <v>0</v>
      </c>
    </row>
    <row r="21" spans="4:33" ht="15" customHeight="1" x14ac:dyDescent="0.15">
      <c r="D21">
        <v>20</v>
      </c>
      <c r="E21" s="157" t="s">
        <v>211</v>
      </c>
      <c r="F21">
        <v>0.98</v>
      </c>
      <c r="G21">
        <v>0.8</v>
      </c>
      <c r="H21">
        <v>0.8</v>
      </c>
      <c r="I21">
        <v>0</v>
      </c>
      <c r="J21" s="105">
        <v>0</v>
      </c>
      <c r="K21" s="105">
        <v>0</v>
      </c>
    </row>
    <row r="22" spans="4:33" ht="15" customHeight="1" x14ac:dyDescent="0.15">
      <c r="D22">
        <v>21</v>
      </c>
      <c r="E22" s="157" t="s">
        <v>212</v>
      </c>
      <c r="F22">
        <v>0.98</v>
      </c>
      <c r="G22">
        <v>0.8</v>
      </c>
      <c r="H22">
        <v>0</v>
      </c>
      <c r="I22">
        <v>0</v>
      </c>
      <c r="J22" s="105">
        <v>0</v>
      </c>
      <c r="K22" s="105">
        <v>0</v>
      </c>
    </row>
    <row r="23" spans="4:33" ht="15" customHeight="1" x14ac:dyDescent="0.15">
      <c r="D23">
        <v>22</v>
      </c>
      <c r="E23" s="157" t="s">
        <v>213</v>
      </c>
      <c r="F23">
        <v>0.98</v>
      </c>
      <c r="G23">
        <v>0.8</v>
      </c>
      <c r="H23">
        <v>0</v>
      </c>
      <c r="I23">
        <v>0</v>
      </c>
      <c r="J23" s="105">
        <v>0</v>
      </c>
      <c r="K23" s="105">
        <v>0</v>
      </c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19" width="3.83203125" style="103" customWidth="1"/>
    <col min="20" max="23" width="2.33203125" style="103" customWidth="1"/>
    <col min="24" max="16384" width="10.83203125" style="103"/>
  </cols>
  <sheetData>
    <row r="1" spans="1:30" x14ac:dyDescent="0.15">
      <c r="A1" s="59" t="s">
        <v>118</v>
      </c>
      <c r="B1" s="159" t="s">
        <v>192</v>
      </c>
      <c r="C1" s="159" t="s">
        <v>193</v>
      </c>
      <c r="D1" s="159" t="s">
        <v>194</v>
      </c>
      <c r="E1" s="159" t="s">
        <v>195</v>
      </c>
      <c r="F1" s="159" t="s">
        <v>196</v>
      </c>
      <c r="G1" s="159" t="s">
        <v>197</v>
      </c>
      <c r="H1" s="159" t="s">
        <v>198</v>
      </c>
      <c r="I1" s="159" t="s">
        <v>199</v>
      </c>
      <c r="J1" s="159" t="s">
        <v>200</v>
      </c>
      <c r="K1" s="159" t="s">
        <v>201</v>
      </c>
      <c r="L1" s="159" t="s">
        <v>202</v>
      </c>
      <c r="M1" s="159" t="s">
        <v>203</v>
      </c>
      <c r="N1" s="159" t="s">
        <v>204</v>
      </c>
      <c r="O1" s="159" t="s">
        <v>205</v>
      </c>
      <c r="P1" s="159" t="s">
        <v>206</v>
      </c>
      <c r="Q1" s="159" t="s">
        <v>207</v>
      </c>
      <c r="R1" s="159" t="s">
        <v>208</v>
      </c>
      <c r="S1" s="159" t="s">
        <v>209</v>
      </c>
      <c r="T1" s="159" t="s">
        <v>210</v>
      </c>
      <c r="U1" s="159" t="s">
        <v>211</v>
      </c>
      <c r="V1" s="159" t="s">
        <v>212</v>
      </c>
      <c r="W1" s="159" t="s">
        <v>213</v>
      </c>
      <c r="X1"/>
      <c r="Y1"/>
      <c r="Z1"/>
      <c r="AA1"/>
      <c r="AB1"/>
      <c r="AC1"/>
      <c r="AD1"/>
    </row>
    <row r="2" spans="1:30" customFormat="1" x14ac:dyDescent="0.15">
      <c r="A2" s="158" t="s">
        <v>192</v>
      </c>
      <c r="B2" s="103">
        <v>0</v>
      </c>
      <c r="C2" s="103">
        <v>0</v>
      </c>
      <c r="D2" s="103">
        <v>0</v>
      </c>
      <c r="E2" s="103">
        <v>0</v>
      </c>
      <c r="F2" s="103">
        <v>0.8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</row>
    <row r="3" spans="1:30" customFormat="1" x14ac:dyDescent="0.15">
      <c r="A3" s="158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0.8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</row>
    <row r="4" spans="1:30" customFormat="1" x14ac:dyDescent="0.15">
      <c r="A4" s="158" t="s">
        <v>194</v>
      </c>
      <c r="B4" s="103">
        <v>0</v>
      </c>
      <c r="C4" s="103">
        <v>0</v>
      </c>
      <c r="D4" s="103">
        <v>0.8</v>
      </c>
      <c r="E4" s="103">
        <v>0.8</v>
      </c>
      <c r="F4" s="103">
        <v>0.8</v>
      </c>
      <c r="G4" s="103">
        <v>0</v>
      </c>
      <c r="H4" s="103">
        <v>0</v>
      </c>
      <c r="I4" s="103">
        <v>0.8</v>
      </c>
      <c r="J4" s="103">
        <v>0.8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</row>
    <row r="5" spans="1:30" customFormat="1" x14ac:dyDescent="0.15">
      <c r="A5" s="158" t="s">
        <v>195</v>
      </c>
      <c r="B5" s="103">
        <v>0.8</v>
      </c>
      <c r="C5" s="103">
        <v>0</v>
      </c>
      <c r="D5" s="103">
        <v>0</v>
      </c>
      <c r="E5" s="103">
        <v>0.8</v>
      </c>
      <c r="F5" s="103">
        <v>0.8</v>
      </c>
      <c r="G5" s="103">
        <v>0</v>
      </c>
      <c r="H5" s="103">
        <v>0.8</v>
      </c>
      <c r="I5" s="103">
        <v>0.8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</row>
    <row r="6" spans="1:30" customFormat="1" x14ac:dyDescent="0.15">
      <c r="A6" s="158" t="s">
        <v>196</v>
      </c>
      <c r="B6" s="103">
        <v>0</v>
      </c>
      <c r="C6" s="103">
        <v>0.8</v>
      </c>
      <c r="D6" s="103">
        <v>0</v>
      </c>
      <c r="E6" s="103">
        <v>0</v>
      </c>
      <c r="F6" s="103">
        <v>0.8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</row>
    <row r="7" spans="1:30" customFormat="1" x14ac:dyDescent="0.15">
      <c r="A7" s="158" t="s">
        <v>197</v>
      </c>
      <c r="B7" s="103">
        <v>0.8</v>
      </c>
      <c r="C7" s="103">
        <v>0</v>
      </c>
      <c r="D7" s="103">
        <v>0.8</v>
      </c>
      <c r="E7" s="103">
        <v>0.8</v>
      </c>
      <c r="F7" s="103">
        <v>0.8</v>
      </c>
      <c r="G7" s="103">
        <v>0.8</v>
      </c>
      <c r="H7" s="103">
        <v>0.8</v>
      </c>
      <c r="I7" s="103">
        <v>0.8</v>
      </c>
      <c r="J7" s="103">
        <v>0.8</v>
      </c>
      <c r="K7" s="103">
        <v>0.8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</row>
    <row r="8" spans="1:30" customFormat="1" x14ac:dyDescent="0.15">
      <c r="A8" s="158" t="s">
        <v>198</v>
      </c>
      <c r="B8" s="103">
        <v>0.8</v>
      </c>
      <c r="C8" s="103">
        <v>0</v>
      </c>
      <c r="D8" s="103">
        <v>0.8</v>
      </c>
      <c r="E8" s="103">
        <v>0.8</v>
      </c>
      <c r="F8" s="103">
        <v>0.8</v>
      </c>
      <c r="G8" s="103">
        <v>0</v>
      </c>
      <c r="H8" s="103">
        <v>0.8</v>
      </c>
      <c r="I8" s="103">
        <v>0.8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</row>
    <row r="9" spans="1:30" customFormat="1" x14ac:dyDescent="0.15">
      <c r="A9" s="158" t="s">
        <v>199</v>
      </c>
      <c r="B9" s="103">
        <v>0.8</v>
      </c>
      <c r="C9" s="103">
        <v>0.8</v>
      </c>
      <c r="D9" s="103">
        <v>0.8</v>
      </c>
      <c r="E9" s="103">
        <v>0.8</v>
      </c>
      <c r="F9" s="103">
        <v>0.8</v>
      </c>
      <c r="G9" s="103">
        <v>0</v>
      </c>
      <c r="H9" s="103">
        <v>0</v>
      </c>
      <c r="I9" s="103">
        <v>0.8</v>
      </c>
      <c r="J9" s="103">
        <v>0.8</v>
      </c>
      <c r="K9" s="103">
        <v>0.8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</row>
    <row r="10" spans="1:30" customFormat="1" x14ac:dyDescent="0.15">
      <c r="A10" s="158" t="s">
        <v>200</v>
      </c>
      <c r="B10" s="103">
        <v>0</v>
      </c>
      <c r="C10" s="103">
        <v>0.8</v>
      </c>
      <c r="D10" s="103">
        <v>0.8</v>
      </c>
      <c r="E10" s="103">
        <v>0.8</v>
      </c>
      <c r="F10" s="103">
        <v>0.8</v>
      </c>
      <c r="G10" s="103">
        <v>0.8</v>
      </c>
      <c r="H10" s="103">
        <v>0.8</v>
      </c>
      <c r="I10" s="103">
        <v>0.8</v>
      </c>
      <c r="J10" s="103">
        <v>0.8</v>
      </c>
      <c r="K10" s="103">
        <v>0.8</v>
      </c>
      <c r="L10" s="103">
        <v>0</v>
      </c>
      <c r="M10" s="103">
        <v>0.8</v>
      </c>
      <c r="N10" s="103">
        <v>0.8</v>
      </c>
      <c r="O10" s="103">
        <v>0.8</v>
      </c>
      <c r="P10" s="103">
        <v>0</v>
      </c>
      <c r="Q10" s="103">
        <v>0</v>
      </c>
      <c r="R10" s="103">
        <v>0.8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</row>
    <row r="11" spans="1:30" customFormat="1" x14ac:dyDescent="0.15">
      <c r="A11" s="158" t="s">
        <v>201</v>
      </c>
      <c r="B11" s="103">
        <v>0.8</v>
      </c>
      <c r="C11" s="103">
        <v>0</v>
      </c>
      <c r="D11" s="103">
        <v>0.8</v>
      </c>
      <c r="E11" s="103">
        <v>0.8</v>
      </c>
      <c r="F11" s="103">
        <v>0.8</v>
      </c>
      <c r="G11" s="103">
        <v>0</v>
      </c>
      <c r="H11" s="103">
        <v>0</v>
      </c>
      <c r="I11" s="103">
        <v>0.8</v>
      </c>
      <c r="J11" s="103">
        <v>0.8</v>
      </c>
      <c r="K11" s="103">
        <v>0.8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</row>
    <row r="12" spans="1:30" customFormat="1" x14ac:dyDescent="0.15">
      <c r="A12" s="158" t="s">
        <v>202</v>
      </c>
      <c r="B12" s="103">
        <v>0.8</v>
      </c>
      <c r="C12" s="103">
        <v>0</v>
      </c>
      <c r="D12" s="103">
        <v>0.8</v>
      </c>
      <c r="E12" s="103">
        <v>0.8</v>
      </c>
      <c r="F12" s="103">
        <v>0</v>
      </c>
      <c r="G12" s="103">
        <v>0.8</v>
      </c>
      <c r="H12" s="103">
        <v>0.8</v>
      </c>
      <c r="I12" s="103">
        <v>0.8</v>
      </c>
      <c r="J12" s="103">
        <v>0.8</v>
      </c>
      <c r="K12" s="103">
        <v>0.8</v>
      </c>
      <c r="L12" s="103">
        <v>0</v>
      </c>
      <c r="M12" s="103">
        <v>0</v>
      </c>
      <c r="N12" s="103">
        <v>0.8</v>
      </c>
      <c r="O12" s="103">
        <v>0.8</v>
      </c>
      <c r="P12" s="103">
        <v>0.8</v>
      </c>
      <c r="Q12" s="103">
        <v>0.8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</row>
    <row r="13" spans="1:30" customFormat="1" x14ac:dyDescent="0.15">
      <c r="A13" s="158" t="s">
        <v>203</v>
      </c>
      <c r="B13" s="103">
        <v>0</v>
      </c>
      <c r="C13" s="103">
        <v>0</v>
      </c>
      <c r="D13" s="103">
        <v>0</v>
      </c>
      <c r="E13" s="103">
        <v>0</v>
      </c>
      <c r="F13" s="103">
        <v>0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</row>
    <row r="14" spans="1:30" customFormat="1" x14ac:dyDescent="0.15">
      <c r="A14" s="158" t="s">
        <v>204</v>
      </c>
      <c r="B14" s="103">
        <v>0</v>
      </c>
      <c r="C14" s="103">
        <v>0</v>
      </c>
      <c r="D14" s="103">
        <v>0</v>
      </c>
      <c r="E14" s="103">
        <v>0</v>
      </c>
      <c r="F14" s="103">
        <v>0.8</v>
      </c>
      <c r="G14" s="103">
        <v>0</v>
      </c>
      <c r="H14" s="103">
        <v>0</v>
      </c>
      <c r="I14" s="103">
        <v>0.8</v>
      </c>
      <c r="J14" s="103">
        <v>0.8</v>
      </c>
      <c r="K14" s="103">
        <v>0.8</v>
      </c>
      <c r="L14" s="103">
        <v>0</v>
      </c>
      <c r="M14" s="103">
        <v>0.8</v>
      </c>
      <c r="N14" s="103">
        <v>0.8</v>
      </c>
      <c r="O14" s="103">
        <v>0.8</v>
      </c>
      <c r="P14" s="103">
        <v>0</v>
      </c>
      <c r="Q14" s="103">
        <v>0.8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</row>
    <row r="15" spans="1:30" customFormat="1" x14ac:dyDescent="0.15">
      <c r="A15" s="158" t="s">
        <v>205</v>
      </c>
      <c r="B15" s="103">
        <v>0</v>
      </c>
      <c r="C15" s="103">
        <v>0</v>
      </c>
      <c r="D15" s="103">
        <v>0.8</v>
      </c>
      <c r="E15" s="103">
        <v>0.8</v>
      </c>
      <c r="F15" s="103">
        <v>0.8</v>
      </c>
      <c r="G15" s="103">
        <v>0</v>
      </c>
      <c r="H15" s="103">
        <v>0.8</v>
      </c>
      <c r="I15" s="103">
        <v>0.8</v>
      </c>
      <c r="J15" s="103">
        <v>0.8</v>
      </c>
      <c r="K15" s="103">
        <v>0.8</v>
      </c>
      <c r="L15" s="103">
        <v>0</v>
      </c>
      <c r="M15" s="103">
        <v>0.8</v>
      </c>
      <c r="N15" s="103">
        <v>0.8</v>
      </c>
      <c r="O15" s="103">
        <v>0.8</v>
      </c>
      <c r="P15" s="103">
        <v>0</v>
      </c>
      <c r="Q15" s="103">
        <v>0.8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</row>
    <row r="16" spans="1:30" customFormat="1" x14ac:dyDescent="0.15">
      <c r="A16" s="158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0.8</v>
      </c>
      <c r="G16" s="103">
        <v>0.8</v>
      </c>
      <c r="H16" s="103">
        <v>0</v>
      </c>
      <c r="I16" s="103">
        <v>0.8</v>
      </c>
      <c r="J16" s="103">
        <v>0.8</v>
      </c>
      <c r="K16" s="103">
        <v>0.8</v>
      </c>
      <c r="L16" s="103">
        <v>0</v>
      </c>
      <c r="M16" s="103">
        <v>0.8</v>
      </c>
      <c r="N16" s="103">
        <v>0.8</v>
      </c>
      <c r="O16" s="103">
        <v>0.8</v>
      </c>
      <c r="P16" s="103">
        <v>0</v>
      </c>
      <c r="Q16" s="103">
        <v>0</v>
      </c>
      <c r="R16" s="103">
        <v>0.8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</row>
    <row r="17" spans="1:23" customFormat="1" x14ac:dyDescent="0.15">
      <c r="A17" s="158" t="s">
        <v>207</v>
      </c>
      <c r="B17" s="103">
        <v>0.8</v>
      </c>
      <c r="C17" s="103">
        <v>0</v>
      </c>
      <c r="D17" s="103">
        <v>0</v>
      </c>
      <c r="E17" s="103">
        <v>0.8</v>
      </c>
      <c r="F17" s="103">
        <v>0.8</v>
      </c>
      <c r="G17" s="103">
        <v>0</v>
      </c>
      <c r="H17" s="103">
        <v>0</v>
      </c>
      <c r="I17" s="103">
        <v>0.8</v>
      </c>
      <c r="J17" s="103">
        <v>0.8</v>
      </c>
      <c r="K17" s="103">
        <v>0.8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</row>
    <row r="18" spans="1:23" customFormat="1" x14ac:dyDescent="0.15">
      <c r="A18" s="158" t="s">
        <v>208</v>
      </c>
      <c r="B18" s="103">
        <v>0.8</v>
      </c>
      <c r="C18" s="103">
        <v>0.8</v>
      </c>
      <c r="D18" s="103">
        <v>0</v>
      </c>
      <c r="E18" s="103">
        <v>0.8</v>
      </c>
      <c r="F18" s="103">
        <v>0.8</v>
      </c>
      <c r="G18" s="103">
        <v>0</v>
      </c>
      <c r="H18" s="103">
        <v>0.8</v>
      </c>
      <c r="I18" s="103">
        <v>0.8</v>
      </c>
      <c r="J18" s="103">
        <v>0.8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</row>
    <row r="19" spans="1:23" customFormat="1" x14ac:dyDescent="0.15">
      <c r="A19" s="158" t="s">
        <v>209</v>
      </c>
      <c r="B19" s="103">
        <v>0</v>
      </c>
      <c r="C19" s="103">
        <v>0</v>
      </c>
      <c r="D19" s="103">
        <v>0</v>
      </c>
      <c r="E19" s="103">
        <v>0</v>
      </c>
      <c r="F19" s="103">
        <v>0</v>
      </c>
      <c r="G19" s="103">
        <v>0.8</v>
      </c>
      <c r="H19" s="103">
        <v>0</v>
      </c>
      <c r="I19" s="103">
        <v>0</v>
      </c>
      <c r="J19" s="103">
        <v>0.8</v>
      </c>
      <c r="K19" s="103">
        <v>0</v>
      </c>
      <c r="L19" s="103">
        <v>0.8</v>
      </c>
      <c r="M19" s="103">
        <v>0</v>
      </c>
      <c r="N19" s="103">
        <v>0.8</v>
      </c>
      <c r="O19" s="103">
        <v>0.8</v>
      </c>
      <c r="P19" s="103">
        <v>0.8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</row>
    <row r="20" spans="1:23" customFormat="1" x14ac:dyDescent="0.15">
      <c r="A20" s="158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0.8</v>
      </c>
      <c r="H20" s="103">
        <v>0</v>
      </c>
      <c r="I20" s="103">
        <v>0</v>
      </c>
      <c r="J20" s="103">
        <v>0.8</v>
      </c>
      <c r="K20" s="103">
        <v>0</v>
      </c>
      <c r="L20" s="103">
        <v>0.8</v>
      </c>
      <c r="M20" s="103">
        <v>0</v>
      </c>
      <c r="N20" s="103">
        <v>0.8</v>
      </c>
      <c r="O20" s="103">
        <v>0.8</v>
      </c>
      <c r="P20" s="103">
        <v>0.8</v>
      </c>
      <c r="Q20" s="103">
        <v>0</v>
      </c>
      <c r="R20" s="103">
        <v>0</v>
      </c>
      <c r="S20" s="103">
        <v>0</v>
      </c>
      <c r="T20" s="103">
        <v>0</v>
      </c>
      <c r="U20" s="103">
        <v>0</v>
      </c>
      <c r="V20" s="103">
        <v>0</v>
      </c>
      <c r="W20" s="103">
        <v>0</v>
      </c>
    </row>
    <row r="21" spans="1:23" customFormat="1" x14ac:dyDescent="0.15">
      <c r="A21" s="158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0.8</v>
      </c>
      <c r="I21" s="103">
        <v>0.8</v>
      </c>
      <c r="J21" s="103">
        <v>0.8</v>
      </c>
      <c r="K21" s="103">
        <v>0.8</v>
      </c>
      <c r="L21" s="103">
        <v>0</v>
      </c>
      <c r="M21" s="103">
        <v>0.8</v>
      </c>
      <c r="N21" s="103">
        <v>0.8</v>
      </c>
      <c r="O21" s="103">
        <v>0.8</v>
      </c>
      <c r="P21" s="103">
        <v>0.8</v>
      </c>
      <c r="Q21" s="103">
        <v>0.8</v>
      </c>
      <c r="R21" s="103">
        <v>0.8</v>
      </c>
      <c r="S21" s="103">
        <v>0</v>
      </c>
      <c r="T21" s="103">
        <v>0</v>
      </c>
      <c r="U21" s="103">
        <v>0</v>
      </c>
      <c r="V21" s="103">
        <v>0</v>
      </c>
      <c r="W21" s="103">
        <v>0</v>
      </c>
    </row>
    <row r="22" spans="1:23" customFormat="1" x14ac:dyDescent="0.15">
      <c r="A22" s="158" t="s">
        <v>212</v>
      </c>
      <c r="B22" s="103">
        <v>0</v>
      </c>
      <c r="C22" s="103">
        <v>0</v>
      </c>
      <c r="D22" s="103">
        <v>0</v>
      </c>
      <c r="E22" s="103">
        <v>0</v>
      </c>
      <c r="F22" s="103">
        <v>0.8</v>
      </c>
      <c r="G22" s="103">
        <v>0</v>
      </c>
      <c r="H22" s="103">
        <v>0</v>
      </c>
      <c r="I22" s="103">
        <v>0</v>
      </c>
      <c r="J22" s="103">
        <v>0.8</v>
      </c>
      <c r="K22" s="103">
        <v>0.8</v>
      </c>
      <c r="L22" s="103">
        <v>0</v>
      </c>
      <c r="M22" s="103">
        <v>0</v>
      </c>
      <c r="N22" s="103">
        <v>0.8</v>
      </c>
      <c r="O22" s="103">
        <v>0.8</v>
      </c>
      <c r="P22" s="103">
        <v>0.8</v>
      </c>
      <c r="Q22" s="103">
        <v>0.8</v>
      </c>
      <c r="R22" s="103">
        <v>0.8</v>
      </c>
      <c r="S22" s="103">
        <v>0.8</v>
      </c>
      <c r="T22" s="103">
        <v>0</v>
      </c>
      <c r="U22" s="103">
        <v>0</v>
      </c>
      <c r="V22" s="103">
        <v>0</v>
      </c>
      <c r="W22" s="103">
        <v>0</v>
      </c>
    </row>
    <row r="23" spans="1:23" customFormat="1" x14ac:dyDescent="0.15">
      <c r="A23" s="158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</row>
    <row r="24" spans="1:23" customFormat="1" x14ac:dyDescent="0.15">
      <c r="A24" s="158" t="s">
        <v>214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3" bestFit="1" customWidth="1"/>
    <col min="2" max="23" width="2.33203125" style="103" customWidth="1"/>
    <col min="24" max="16384" width="10.83203125" style="103"/>
  </cols>
  <sheetData>
    <row r="1" spans="1:31" x14ac:dyDescent="0.15">
      <c r="A1" s="59" t="s">
        <v>139</v>
      </c>
      <c r="B1" s="161" t="s">
        <v>192</v>
      </c>
      <c r="C1" s="161" t="s">
        <v>193</v>
      </c>
      <c r="D1" s="161" t="s">
        <v>194</v>
      </c>
      <c r="E1" s="161" t="s">
        <v>195</v>
      </c>
      <c r="F1" s="161" t="s">
        <v>196</v>
      </c>
      <c r="G1" s="161" t="s">
        <v>197</v>
      </c>
      <c r="H1" s="161" t="s">
        <v>198</v>
      </c>
      <c r="I1" s="161" t="s">
        <v>199</v>
      </c>
      <c r="J1" s="161" t="s">
        <v>200</v>
      </c>
      <c r="K1" s="161" t="s">
        <v>201</v>
      </c>
      <c r="L1" s="161" t="s">
        <v>202</v>
      </c>
      <c r="M1" s="161" t="s">
        <v>203</v>
      </c>
      <c r="N1" s="161" t="s">
        <v>204</v>
      </c>
      <c r="O1" s="161" t="s">
        <v>205</v>
      </c>
      <c r="P1" s="161" t="s">
        <v>206</v>
      </c>
      <c r="Q1" s="161" t="s">
        <v>207</v>
      </c>
      <c r="R1" s="161" t="s">
        <v>208</v>
      </c>
      <c r="S1" s="161" t="s">
        <v>209</v>
      </c>
      <c r="T1" s="161" t="s">
        <v>210</v>
      </c>
      <c r="U1" s="161" t="s">
        <v>211</v>
      </c>
      <c r="V1" s="161" t="s">
        <v>212</v>
      </c>
      <c r="W1" s="161" t="s">
        <v>213</v>
      </c>
      <c r="X1"/>
      <c r="Y1"/>
      <c r="Z1"/>
      <c r="AA1"/>
      <c r="AB1"/>
      <c r="AC1"/>
      <c r="AD1"/>
      <c r="AE1"/>
    </row>
    <row r="2" spans="1:31" customFormat="1" x14ac:dyDescent="0.15">
      <c r="A2" s="160" t="s">
        <v>192</v>
      </c>
      <c r="B2" s="103">
        <v>0</v>
      </c>
      <c r="C2" s="103">
        <v>0</v>
      </c>
      <c r="D2" s="103">
        <v>0</v>
      </c>
      <c r="E2" s="103">
        <v>0</v>
      </c>
      <c r="F2" s="103">
        <v>1</v>
      </c>
      <c r="G2" s="103">
        <v>0</v>
      </c>
      <c r="H2" s="103">
        <v>0</v>
      </c>
      <c r="I2" s="103">
        <v>0</v>
      </c>
      <c r="J2" s="103">
        <v>0</v>
      </c>
      <c r="K2" s="103">
        <v>0</v>
      </c>
      <c r="L2" s="103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3">
        <v>0</v>
      </c>
      <c r="S2" s="103">
        <v>0</v>
      </c>
      <c r="T2" s="103">
        <v>0</v>
      </c>
      <c r="U2" s="103">
        <v>0</v>
      </c>
      <c r="V2" s="103">
        <v>0</v>
      </c>
      <c r="W2" s="103">
        <v>0</v>
      </c>
    </row>
    <row r="3" spans="1:31" customFormat="1" x14ac:dyDescent="0.15">
      <c r="A3" s="160" t="s">
        <v>193</v>
      </c>
      <c r="B3" s="103">
        <v>0</v>
      </c>
      <c r="C3" s="103">
        <v>0</v>
      </c>
      <c r="D3" s="103">
        <v>0</v>
      </c>
      <c r="E3" s="103">
        <v>0</v>
      </c>
      <c r="F3" s="103">
        <v>1</v>
      </c>
      <c r="G3" s="103">
        <v>0</v>
      </c>
      <c r="H3" s="103">
        <v>0</v>
      </c>
      <c r="I3" s="103">
        <v>0</v>
      </c>
      <c r="J3" s="103">
        <v>0</v>
      </c>
      <c r="K3" s="103">
        <v>0</v>
      </c>
      <c r="L3" s="103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3">
        <v>0</v>
      </c>
      <c r="S3" s="103">
        <v>0</v>
      </c>
      <c r="T3" s="103">
        <v>0</v>
      </c>
      <c r="U3" s="103">
        <v>0</v>
      </c>
      <c r="V3" s="103">
        <v>0</v>
      </c>
      <c r="W3" s="103">
        <v>0</v>
      </c>
    </row>
    <row r="4" spans="1:31" customFormat="1" x14ac:dyDescent="0.15">
      <c r="A4" s="160" t="s">
        <v>194</v>
      </c>
      <c r="B4" s="103">
        <v>0</v>
      </c>
      <c r="C4" s="103">
        <v>0</v>
      </c>
      <c r="D4" s="103">
        <v>1</v>
      </c>
      <c r="E4" s="103">
        <v>1</v>
      </c>
      <c r="F4" s="103">
        <v>1</v>
      </c>
      <c r="G4" s="103">
        <v>0</v>
      </c>
      <c r="H4" s="103">
        <v>0</v>
      </c>
      <c r="I4" s="103">
        <v>1</v>
      </c>
      <c r="J4" s="103">
        <v>1</v>
      </c>
      <c r="K4" s="103">
        <v>0</v>
      </c>
      <c r="L4" s="103">
        <v>0</v>
      </c>
      <c r="M4" s="103">
        <v>0</v>
      </c>
      <c r="N4" s="103">
        <v>0</v>
      </c>
      <c r="O4" s="103">
        <v>0</v>
      </c>
      <c r="P4" s="103">
        <v>0</v>
      </c>
      <c r="Q4" s="103">
        <v>0</v>
      </c>
      <c r="R4" s="103">
        <v>0</v>
      </c>
      <c r="S4" s="103">
        <v>0</v>
      </c>
      <c r="T4" s="103">
        <v>0</v>
      </c>
      <c r="U4" s="103">
        <v>0</v>
      </c>
      <c r="V4" s="103">
        <v>0</v>
      </c>
      <c r="W4" s="103">
        <v>0</v>
      </c>
    </row>
    <row r="5" spans="1:31" customFormat="1" x14ac:dyDescent="0.15">
      <c r="A5" s="160" t="s">
        <v>195</v>
      </c>
      <c r="B5" s="103">
        <v>1</v>
      </c>
      <c r="C5" s="103">
        <v>0</v>
      </c>
      <c r="D5" s="103">
        <v>0</v>
      </c>
      <c r="E5" s="103">
        <v>1</v>
      </c>
      <c r="F5" s="103">
        <v>1</v>
      </c>
      <c r="G5" s="103">
        <v>0</v>
      </c>
      <c r="H5" s="103">
        <v>1</v>
      </c>
      <c r="I5" s="103">
        <v>1</v>
      </c>
      <c r="J5" s="103">
        <v>0</v>
      </c>
      <c r="K5" s="103">
        <v>0</v>
      </c>
      <c r="L5" s="103">
        <v>0</v>
      </c>
      <c r="M5" s="103">
        <v>0</v>
      </c>
      <c r="N5" s="103">
        <v>0</v>
      </c>
      <c r="O5" s="103">
        <v>0</v>
      </c>
      <c r="P5" s="103">
        <v>0</v>
      </c>
      <c r="Q5" s="103">
        <v>0</v>
      </c>
      <c r="R5" s="103">
        <v>0</v>
      </c>
      <c r="S5" s="103">
        <v>0</v>
      </c>
      <c r="T5" s="103">
        <v>0</v>
      </c>
      <c r="U5" s="103">
        <v>0</v>
      </c>
      <c r="V5" s="103">
        <v>0</v>
      </c>
      <c r="W5" s="103">
        <v>0</v>
      </c>
    </row>
    <row r="6" spans="1:31" customFormat="1" x14ac:dyDescent="0.15">
      <c r="A6" s="160" t="s">
        <v>196</v>
      </c>
      <c r="B6" s="103">
        <v>0</v>
      </c>
      <c r="C6" s="103">
        <v>1</v>
      </c>
      <c r="D6" s="103">
        <v>0</v>
      </c>
      <c r="E6" s="103">
        <v>0</v>
      </c>
      <c r="F6" s="103">
        <v>1</v>
      </c>
      <c r="G6" s="103">
        <v>0</v>
      </c>
      <c r="H6" s="103">
        <v>0</v>
      </c>
      <c r="I6" s="103">
        <v>0</v>
      </c>
      <c r="J6" s="103">
        <v>0</v>
      </c>
      <c r="K6" s="103">
        <v>0</v>
      </c>
      <c r="L6" s="103">
        <v>0</v>
      </c>
      <c r="M6" s="103">
        <v>0</v>
      </c>
      <c r="N6" s="103">
        <v>0</v>
      </c>
      <c r="O6" s="103">
        <v>0</v>
      </c>
      <c r="P6" s="103">
        <v>0</v>
      </c>
      <c r="Q6" s="103">
        <v>0</v>
      </c>
      <c r="R6" s="103">
        <v>0</v>
      </c>
      <c r="S6" s="103">
        <v>0</v>
      </c>
      <c r="T6" s="103">
        <v>0</v>
      </c>
      <c r="U6" s="103">
        <v>0</v>
      </c>
      <c r="V6" s="103">
        <v>0</v>
      </c>
      <c r="W6" s="103">
        <v>0</v>
      </c>
    </row>
    <row r="7" spans="1:31" customFormat="1" x14ac:dyDescent="0.15">
      <c r="A7" s="160" t="s">
        <v>197</v>
      </c>
      <c r="B7" s="103">
        <v>1</v>
      </c>
      <c r="C7" s="103">
        <v>0</v>
      </c>
      <c r="D7" s="103">
        <v>1</v>
      </c>
      <c r="E7" s="103">
        <v>1</v>
      </c>
      <c r="F7" s="103">
        <v>1</v>
      </c>
      <c r="G7" s="103">
        <v>1</v>
      </c>
      <c r="H7" s="103">
        <v>1</v>
      </c>
      <c r="I7" s="103">
        <v>1</v>
      </c>
      <c r="J7" s="103">
        <v>1</v>
      </c>
      <c r="K7" s="103">
        <v>1</v>
      </c>
      <c r="L7" s="103">
        <v>0</v>
      </c>
      <c r="M7" s="103">
        <v>0</v>
      </c>
      <c r="N7" s="103">
        <v>0</v>
      </c>
      <c r="O7" s="103">
        <v>0</v>
      </c>
      <c r="P7" s="103">
        <v>0</v>
      </c>
      <c r="Q7" s="103">
        <v>0</v>
      </c>
      <c r="R7" s="103">
        <v>0</v>
      </c>
      <c r="S7" s="103">
        <v>0</v>
      </c>
      <c r="T7" s="103">
        <v>0</v>
      </c>
      <c r="U7" s="103">
        <v>0</v>
      </c>
      <c r="V7" s="103">
        <v>0</v>
      </c>
      <c r="W7" s="103">
        <v>0</v>
      </c>
    </row>
    <row r="8" spans="1:31" customFormat="1" x14ac:dyDescent="0.15">
      <c r="A8" s="160" t="s">
        <v>198</v>
      </c>
      <c r="B8" s="103">
        <v>1</v>
      </c>
      <c r="C8" s="103">
        <v>0</v>
      </c>
      <c r="D8" s="103">
        <v>1</v>
      </c>
      <c r="E8" s="103">
        <v>1</v>
      </c>
      <c r="F8" s="103">
        <v>1</v>
      </c>
      <c r="G8" s="103">
        <v>0</v>
      </c>
      <c r="H8" s="103">
        <v>1</v>
      </c>
      <c r="I8" s="103">
        <v>1</v>
      </c>
      <c r="J8" s="103">
        <v>0</v>
      </c>
      <c r="K8" s="103">
        <v>0</v>
      </c>
      <c r="L8" s="103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3">
        <v>0</v>
      </c>
      <c r="S8" s="103">
        <v>0</v>
      </c>
      <c r="T8" s="103">
        <v>0</v>
      </c>
      <c r="U8" s="103">
        <v>0</v>
      </c>
      <c r="V8" s="103">
        <v>0</v>
      </c>
      <c r="W8" s="103">
        <v>0</v>
      </c>
    </row>
    <row r="9" spans="1:31" customFormat="1" x14ac:dyDescent="0.15">
      <c r="A9" s="160" t="s">
        <v>199</v>
      </c>
      <c r="B9" s="103">
        <v>1</v>
      </c>
      <c r="C9" s="103">
        <v>1</v>
      </c>
      <c r="D9" s="103">
        <v>1</v>
      </c>
      <c r="E9" s="103">
        <v>1</v>
      </c>
      <c r="F9" s="103">
        <v>1</v>
      </c>
      <c r="G9" s="103">
        <v>0</v>
      </c>
      <c r="H9" s="103">
        <v>0</v>
      </c>
      <c r="I9" s="103">
        <v>1</v>
      </c>
      <c r="J9" s="103">
        <v>1</v>
      </c>
      <c r="K9" s="103">
        <v>1</v>
      </c>
      <c r="L9" s="103">
        <v>0</v>
      </c>
      <c r="M9" s="103">
        <v>0</v>
      </c>
      <c r="N9" s="103">
        <v>0</v>
      </c>
      <c r="O9" s="103">
        <v>0</v>
      </c>
      <c r="P9" s="103">
        <v>0</v>
      </c>
      <c r="Q9" s="103">
        <v>0</v>
      </c>
      <c r="R9" s="103">
        <v>0</v>
      </c>
      <c r="S9" s="103">
        <v>0</v>
      </c>
      <c r="T9" s="103">
        <v>0</v>
      </c>
      <c r="U9" s="103">
        <v>0</v>
      </c>
      <c r="V9" s="103">
        <v>0</v>
      </c>
      <c r="W9" s="103">
        <v>0</v>
      </c>
    </row>
    <row r="10" spans="1:31" customFormat="1" x14ac:dyDescent="0.15">
      <c r="A10" s="160" t="s">
        <v>200</v>
      </c>
      <c r="B10" s="103">
        <v>0</v>
      </c>
      <c r="C10" s="103">
        <v>1</v>
      </c>
      <c r="D10" s="103">
        <v>1</v>
      </c>
      <c r="E10" s="103">
        <v>1</v>
      </c>
      <c r="F10" s="103">
        <v>1</v>
      </c>
      <c r="G10" s="103">
        <v>1</v>
      </c>
      <c r="H10" s="103">
        <v>1</v>
      </c>
      <c r="I10" s="103">
        <v>1</v>
      </c>
      <c r="J10" s="103">
        <v>1</v>
      </c>
      <c r="K10" s="103">
        <v>1</v>
      </c>
      <c r="L10" s="103">
        <v>0</v>
      </c>
      <c r="M10" s="103">
        <v>1</v>
      </c>
      <c r="N10" s="103">
        <v>1</v>
      </c>
      <c r="O10" s="103">
        <v>1</v>
      </c>
      <c r="P10" s="103">
        <v>0</v>
      </c>
      <c r="Q10" s="103">
        <v>0</v>
      </c>
      <c r="R10" s="103">
        <v>1</v>
      </c>
      <c r="S10" s="103">
        <v>0</v>
      </c>
      <c r="T10" s="103">
        <v>0</v>
      </c>
      <c r="U10" s="103">
        <v>0</v>
      </c>
      <c r="V10" s="103">
        <v>0</v>
      </c>
      <c r="W10" s="103">
        <v>0</v>
      </c>
    </row>
    <row r="11" spans="1:31" customFormat="1" x14ac:dyDescent="0.15">
      <c r="A11" s="160" t="s">
        <v>201</v>
      </c>
      <c r="B11" s="103">
        <v>1</v>
      </c>
      <c r="C11" s="103">
        <v>0</v>
      </c>
      <c r="D11" s="103">
        <v>1</v>
      </c>
      <c r="E11" s="103">
        <v>1</v>
      </c>
      <c r="F11" s="103">
        <v>1</v>
      </c>
      <c r="G11" s="103">
        <v>0</v>
      </c>
      <c r="H11" s="103">
        <v>0</v>
      </c>
      <c r="I11" s="103">
        <v>1</v>
      </c>
      <c r="J11" s="103">
        <v>1</v>
      </c>
      <c r="K11" s="103">
        <v>1</v>
      </c>
      <c r="L11" s="103">
        <v>0</v>
      </c>
      <c r="M11" s="103">
        <v>0</v>
      </c>
      <c r="N11" s="103">
        <v>0</v>
      </c>
      <c r="O11" s="103">
        <v>0</v>
      </c>
      <c r="P11" s="103">
        <v>0</v>
      </c>
      <c r="Q11" s="103">
        <v>0</v>
      </c>
      <c r="R11" s="103">
        <v>0</v>
      </c>
      <c r="S11" s="103">
        <v>0</v>
      </c>
      <c r="T11" s="103">
        <v>0</v>
      </c>
      <c r="U11" s="103">
        <v>0</v>
      </c>
      <c r="V11" s="103">
        <v>0</v>
      </c>
      <c r="W11" s="103">
        <v>0</v>
      </c>
    </row>
    <row r="12" spans="1:31" customFormat="1" x14ac:dyDescent="0.15">
      <c r="A12" s="160" t="s">
        <v>202</v>
      </c>
      <c r="B12" s="103">
        <v>1</v>
      </c>
      <c r="C12" s="103">
        <v>0</v>
      </c>
      <c r="D12" s="103">
        <v>1</v>
      </c>
      <c r="E12" s="103">
        <v>1</v>
      </c>
      <c r="F12" s="103">
        <v>0</v>
      </c>
      <c r="G12" s="103">
        <v>1</v>
      </c>
      <c r="H12" s="103">
        <v>1</v>
      </c>
      <c r="I12" s="103">
        <v>1</v>
      </c>
      <c r="J12" s="103">
        <v>1</v>
      </c>
      <c r="K12" s="103">
        <v>1</v>
      </c>
      <c r="L12" s="103">
        <v>0</v>
      </c>
      <c r="M12" s="103">
        <v>0</v>
      </c>
      <c r="N12" s="103">
        <v>1</v>
      </c>
      <c r="O12" s="103">
        <v>1</v>
      </c>
      <c r="P12" s="103">
        <v>1</v>
      </c>
      <c r="Q12" s="103">
        <v>1</v>
      </c>
      <c r="R12" s="103">
        <v>0</v>
      </c>
      <c r="S12" s="103">
        <v>0</v>
      </c>
      <c r="T12" s="103">
        <v>0</v>
      </c>
      <c r="U12" s="103">
        <v>0</v>
      </c>
      <c r="V12" s="103">
        <v>0</v>
      </c>
      <c r="W12" s="103">
        <v>0</v>
      </c>
    </row>
    <row r="13" spans="1:31" customFormat="1" x14ac:dyDescent="0.15">
      <c r="A13" s="160" t="s">
        <v>203</v>
      </c>
      <c r="B13" s="103">
        <v>0</v>
      </c>
      <c r="C13" s="103">
        <v>0</v>
      </c>
      <c r="D13" s="103">
        <v>0</v>
      </c>
      <c r="E13" s="103">
        <v>0</v>
      </c>
      <c r="F13" s="103">
        <v>0</v>
      </c>
      <c r="G13" s="103">
        <v>0</v>
      </c>
      <c r="H13" s="103">
        <v>0</v>
      </c>
      <c r="I13" s="103">
        <v>0</v>
      </c>
      <c r="J13" s="103">
        <v>0</v>
      </c>
      <c r="K13" s="103">
        <v>0</v>
      </c>
      <c r="L13" s="103">
        <v>0</v>
      </c>
      <c r="M13" s="103">
        <v>0</v>
      </c>
      <c r="N13" s="103">
        <v>0</v>
      </c>
      <c r="O13" s="103">
        <v>0</v>
      </c>
      <c r="P13" s="103">
        <v>0</v>
      </c>
      <c r="Q13" s="103">
        <v>0</v>
      </c>
      <c r="R13" s="103">
        <v>0</v>
      </c>
      <c r="S13" s="103">
        <v>0</v>
      </c>
      <c r="T13" s="103">
        <v>0</v>
      </c>
      <c r="U13" s="103">
        <v>0</v>
      </c>
      <c r="V13" s="103">
        <v>0</v>
      </c>
      <c r="W13" s="103">
        <v>0</v>
      </c>
    </row>
    <row r="14" spans="1:31" customFormat="1" x14ac:dyDescent="0.15">
      <c r="A14" s="160" t="s">
        <v>204</v>
      </c>
      <c r="B14" s="103">
        <v>0</v>
      </c>
      <c r="C14" s="103">
        <v>0</v>
      </c>
      <c r="D14" s="103">
        <v>0</v>
      </c>
      <c r="E14" s="103">
        <v>0</v>
      </c>
      <c r="F14" s="103">
        <v>1</v>
      </c>
      <c r="G14" s="103">
        <v>0</v>
      </c>
      <c r="H14" s="103">
        <v>0</v>
      </c>
      <c r="I14" s="103">
        <v>1</v>
      </c>
      <c r="J14" s="103">
        <v>1</v>
      </c>
      <c r="K14" s="103">
        <v>1</v>
      </c>
      <c r="L14" s="103">
        <v>0</v>
      </c>
      <c r="M14" s="103">
        <v>1</v>
      </c>
      <c r="N14" s="103">
        <v>1</v>
      </c>
      <c r="O14" s="103">
        <v>1</v>
      </c>
      <c r="P14" s="103">
        <v>0</v>
      </c>
      <c r="Q14" s="103">
        <v>1</v>
      </c>
      <c r="R14" s="103">
        <v>0</v>
      </c>
      <c r="S14" s="103">
        <v>0</v>
      </c>
      <c r="T14" s="103">
        <v>0</v>
      </c>
      <c r="U14" s="103">
        <v>0</v>
      </c>
      <c r="V14" s="103">
        <v>0</v>
      </c>
      <c r="W14" s="103">
        <v>0</v>
      </c>
    </row>
    <row r="15" spans="1:31" customFormat="1" x14ac:dyDescent="0.15">
      <c r="A15" s="160" t="s">
        <v>205</v>
      </c>
      <c r="B15" s="103">
        <v>0</v>
      </c>
      <c r="C15" s="103">
        <v>0</v>
      </c>
      <c r="D15" s="103">
        <v>1</v>
      </c>
      <c r="E15" s="103">
        <v>1</v>
      </c>
      <c r="F15" s="103">
        <v>1</v>
      </c>
      <c r="G15" s="103">
        <v>0</v>
      </c>
      <c r="H15" s="103">
        <v>1</v>
      </c>
      <c r="I15" s="103">
        <v>1</v>
      </c>
      <c r="J15" s="103">
        <v>1</v>
      </c>
      <c r="K15" s="103">
        <v>1</v>
      </c>
      <c r="L15" s="103">
        <v>0</v>
      </c>
      <c r="M15" s="103">
        <v>1</v>
      </c>
      <c r="N15" s="103">
        <v>1</v>
      </c>
      <c r="O15" s="103">
        <v>1</v>
      </c>
      <c r="P15" s="103">
        <v>0</v>
      </c>
      <c r="Q15" s="103">
        <v>1</v>
      </c>
      <c r="R15" s="103">
        <v>0</v>
      </c>
      <c r="S15" s="103">
        <v>0</v>
      </c>
      <c r="T15" s="103">
        <v>0</v>
      </c>
      <c r="U15" s="103">
        <v>0</v>
      </c>
      <c r="V15" s="103">
        <v>0</v>
      </c>
      <c r="W15" s="103">
        <v>0</v>
      </c>
    </row>
    <row r="16" spans="1:31" customFormat="1" x14ac:dyDescent="0.15">
      <c r="A16" s="160" t="s">
        <v>206</v>
      </c>
      <c r="B16" s="103">
        <v>0</v>
      </c>
      <c r="C16" s="103">
        <v>0</v>
      </c>
      <c r="D16" s="103">
        <v>0</v>
      </c>
      <c r="E16" s="103">
        <v>0</v>
      </c>
      <c r="F16" s="103">
        <v>1</v>
      </c>
      <c r="G16" s="103">
        <v>1</v>
      </c>
      <c r="H16" s="103">
        <v>0</v>
      </c>
      <c r="I16" s="103">
        <v>1</v>
      </c>
      <c r="J16" s="103">
        <v>1</v>
      </c>
      <c r="K16" s="103">
        <v>1</v>
      </c>
      <c r="L16" s="103">
        <v>0</v>
      </c>
      <c r="M16" s="103">
        <v>1</v>
      </c>
      <c r="N16" s="103">
        <v>1</v>
      </c>
      <c r="O16" s="103">
        <v>1</v>
      </c>
      <c r="P16" s="103">
        <v>0</v>
      </c>
      <c r="Q16" s="103">
        <v>0</v>
      </c>
      <c r="R16" s="103">
        <v>1</v>
      </c>
      <c r="S16" s="103">
        <v>0</v>
      </c>
      <c r="T16" s="103">
        <v>0</v>
      </c>
      <c r="U16" s="103">
        <v>0</v>
      </c>
      <c r="V16" s="103">
        <v>0</v>
      </c>
      <c r="W16" s="103">
        <v>0</v>
      </c>
    </row>
    <row r="17" spans="1:23" customFormat="1" x14ac:dyDescent="0.15">
      <c r="A17" s="160" t="s">
        <v>207</v>
      </c>
      <c r="B17" s="103">
        <v>1</v>
      </c>
      <c r="C17" s="103">
        <v>0</v>
      </c>
      <c r="D17" s="103">
        <v>0</v>
      </c>
      <c r="E17" s="103">
        <v>1</v>
      </c>
      <c r="F17" s="103">
        <v>1</v>
      </c>
      <c r="G17" s="103">
        <v>0</v>
      </c>
      <c r="H17" s="103">
        <v>0</v>
      </c>
      <c r="I17" s="103">
        <v>1</v>
      </c>
      <c r="J17" s="103">
        <v>1</v>
      </c>
      <c r="K17" s="103">
        <v>1</v>
      </c>
      <c r="L17" s="103">
        <v>0</v>
      </c>
      <c r="M17" s="103">
        <v>0</v>
      </c>
      <c r="N17" s="103">
        <v>0</v>
      </c>
      <c r="O17" s="103">
        <v>0</v>
      </c>
      <c r="P17" s="103">
        <v>0</v>
      </c>
      <c r="Q17" s="103">
        <v>0</v>
      </c>
      <c r="R17" s="103">
        <v>0</v>
      </c>
      <c r="S17" s="103">
        <v>0</v>
      </c>
      <c r="T17" s="103">
        <v>0</v>
      </c>
      <c r="U17" s="103">
        <v>0</v>
      </c>
      <c r="V17" s="103">
        <v>0</v>
      </c>
      <c r="W17" s="103">
        <v>0</v>
      </c>
    </row>
    <row r="18" spans="1:23" customFormat="1" x14ac:dyDescent="0.15">
      <c r="A18" s="160" t="s">
        <v>208</v>
      </c>
      <c r="B18" s="103">
        <v>1</v>
      </c>
      <c r="C18" s="103">
        <v>1</v>
      </c>
      <c r="D18" s="103">
        <v>0</v>
      </c>
      <c r="E18" s="103">
        <v>1</v>
      </c>
      <c r="F18" s="103">
        <v>1</v>
      </c>
      <c r="G18" s="103">
        <v>0</v>
      </c>
      <c r="H18" s="103">
        <v>1</v>
      </c>
      <c r="I18" s="103">
        <v>1</v>
      </c>
      <c r="J18" s="103">
        <v>1</v>
      </c>
      <c r="K18" s="103">
        <v>0</v>
      </c>
      <c r="L18" s="103">
        <v>0</v>
      </c>
      <c r="M18" s="103">
        <v>0</v>
      </c>
      <c r="N18" s="103">
        <v>0</v>
      </c>
      <c r="O18" s="103">
        <v>0</v>
      </c>
      <c r="P18" s="103">
        <v>0</v>
      </c>
      <c r="Q18" s="103">
        <v>0</v>
      </c>
      <c r="R18" s="103">
        <v>0</v>
      </c>
      <c r="S18" s="103">
        <v>0</v>
      </c>
      <c r="T18" s="103">
        <v>0</v>
      </c>
      <c r="U18" s="103">
        <v>0</v>
      </c>
      <c r="V18" s="103">
        <v>0</v>
      </c>
      <c r="W18" s="103">
        <v>0</v>
      </c>
    </row>
    <row r="19" spans="1:23" customFormat="1" x14ac:dyDescent="0.15">
      <c r="A19" s="160" t="s">
        <v>209</v>
      </c>
      <c r="B19" s="103">
        <v>0</v>
      </c>
      <c r="C19" s="103">
        <v>0</v>
      </c>
      <c r="D19" s="103">
        <v>0</v>
      </c>
      <c r="E19" s="103">
        <v>0</v>
      </c>
      <c r="F19" s="103">
        <v>0</v>
      </c>
      <c r="G19" s="103">
        <v>1</v>
      </c>
      <c r="H19" s="103">
        <v>0</v>
      </c>
      <c r="I19" s="103">
        <v>0</v>
      </c>
      <c r="J19" s="103">
        <v>1</v>
      </c>
      <c r="K19" s="103">
        <v>0</v>
      </c>
      <c r="L19" s="103">
        <v>1</v>
      </c>
      <c r="M19" s="103">
        <v>0</v>
      </c>
      <c r="N19" s="103">
        <v>1</v>
      </c>
      <c r="O19" s="103">
        <v>1</v>
      </c>
      <c r="P19" s="103">
        <v>1</v>
      </c>
      <c r="Q19" s="103">
        <v>0</v>
      </c>
      <c r="R19" s="103">
        <v>0</v>
      </c>
      <c r="S19" s="103">
        <v>0</v>
      </c>
      <c r="T19" s="103">
        <v>0</v>
      </c>
      <c r="U19" s="103">
        <v>0</v>
      </c>
      <c r="V19" s="103">
        <v>0</v>
      </c>
      <c r="W19" s="103">
        <v>0</v>
      </c>
    </row>
    <row r="20" spans="1:23" customFormat="1" x14ac:dyDescent="0.15">
      <c r="A20" s="160" t="s">
        <v>210</v>
      </c>
      <c r="B20" s="103">
        <v>0</v>
      </c>
      <c r="C20" s="103">
        <v>0</v>
      </c>
      <c r="D20" s="103">
        <v>0</v>
      </c>
      <c r="E20" s="103">
        <v>0</v>
      </c>
      <c r="F20" s="103">
        <v>0</v>
      </c>
      <c r="G20" s="103">
        <v>1</v>
      </c>
      <c r="H20" s="103">
        <v>0</v>
      </c>
      <c r="I20" s="103">
        <v>0</v>
      </c>
      <c r="J20" s="103">
        <v>1</v>
      </c>
      <c r="K20" s="103">
        <v>0</v>
      </c>
      <c r="L20" s="103">
        <v>1</v>
      </c>
      <c r="M20" s="103">
        <v>0</v>
      </c>
      <c r="N20" s="103">
        <v>1</v>
      </c>
      <c r="O20" s="103">
        <v>1</v>
      </c>
      <c r="P20" s="103">
        <v>1</v>
      </c>
      <c r="Q20" s="103">
        <v>0</v>
      </c>
      <c r="R20" s="103">
        <v>0</v>
      </c>
      <c r="S20" s="103">
        <v>0</v>
      </c>
      <c r="T20" s="103">
        <v>0</v>
      </c>
      <c r="U20" s="103">
        <v>0</v>
      </c>
      <c r="V20" s="103">
        <v>0</v>
      </c>
      <c r="W20" s="103">
        <v>0</v>
      </c>
    </row>
    <row r="21" spans="1:23" customFormat="1" x14ac:dyDescent="0.15">
      <c r="A21" s="160" t="s">
        <v>211</v>
      </c>
      <c r="B21" s="103">
        <v>0</v>
      </c>
      <c r="C21" s="103">
        <v>0</v>
      </c>
      <c r="D21" s="103">
        <v>0</v>
      </c>
      <c r="E21" s="103">
        <v>0</v>
      </c>
      <c r="F21" s="103">
        <v>0</v>
      </c>
      <c r="G21" s="103">
        <v>0</v>
      </c>
      <c r="H21" s="103">
        <v>1</v>
      </c>
      <c r="I21" s="103">
        <v>1</v>
      </c>
      <c r="J21" s="103">
        <v>1</v>
      </c>
      <c r="K21" s="103">
        <v>1</v>
      </c>
      <c r="L21" s="103">
        <v>0</v>
      </c>
      <c r="M21" s="103">
        <v>1</v>
      </c>
      <c r="N21" s="103">
        <v>1</v>
      </c>
      <c r="O21" s="103">
        <v>1</v>
      </c>
      <c r="P21" s="103">
        <v>1</v>
      </c>
      <c r="Q21" s="103">
        <v>1</v>
      </c>
      <c r="R21" s="103">
        <v>1</v>
      </c>
      <c r="S21" s="103">
        <v>0</v>
      </c>
      <c r="T21" s="103">
        <v>0</v>
      </c>
      <c r="U21" s="103">
        <v>0</v>
      </c>
      <c r="V21" s="103">
        <v>0</v>
      </c>
      <c r="W21" s="103">
        <v>0</v>
      </c>
    </row>
    <row r="22" spans="1:23" customFormat="1" x14ac:dyDescent="0.15">
      <c r="A22" s="160" t="s">
        <v>212</v>
      </c>
      <c r="B22" s="103">
        <v>0</v>
      </c>
      <c r="C22" s="103">
        <v>0</v>
      </c>
      <c r="D22" s="103">
        <v>0</v>
      </c>
      <c r="E22" s="103">
        <v>0</v>
      </c>
      <c r="F22" s="103">
        <v>1</v>
      </c>
      <c r="G22" s="103">
        <v>0</v>
      </c>
      <c r="H22" s="103">
        <v>0</v>
      </c>
      <c r="I22" s="103">
        <v>0</v>
      </c>
      <c r="J22" s="103">
        <v>1</v>
      </c>
      <c r="K22" s="103">
        <v>1</v>
      </c>
      <c r="L22" s="103">
        <v>0</v>
      </c>
      <c r="M22" s="103">
        <v>0</v>
      </c>
      <c r="N22" s="103">
        <v>1</v>
      </c>
      <c r="O22" s="103">
        <v>1</v>
      </c>
      <c r="P22" s="103">
        <v>1</v>
      </c>
      <c r="Q22" s="103">
        <v>1</v>
      </c>
      <c r="R22" s="103">
        <v>1</v>
      </c>
      <c r="S22" s="103">
        <v>1</v>
      </c>
      <c r="T22" s="103">
        <v>0</v>
      </c>
      <c r="U22" s="103">
        <v>0</v>
      </c>
      <c r="V22" s="103">
        <v>0</v>
      </c>
      <c r="W22" s="103">
        <v>0</v>
      </c>
    </row>
    <row r="23" spans="1:23" customFormat="1" x14ac:dyDescent="0.15">
      <c r="A23" s="160" t="s">
        <v>213</v>
      </c>
      <c r="B23" s="103">
        <v>0</v>
      </c>
      <c r="C23" s="103">
        <v>0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  <c r="J23" s="103">
        <v>0</v>
      </c>
      <c r="K23" s="103">
        <v>0</v>
      </c>
      <c r="L23" s="103">
        <v>0</v>
      </c>
      <c r="M23" s="103">
        <v>0</v>
      </c>
      <c r="N23" s="103">
        <v>0</v>
      </c>
      <c r="O23" s="103">
        <v>0</v>
      </c>
      <c r="P23" s="103">
        <v>0</v>
      </c>
      <c r="Q23" s="103">
        <v>0</v>
      </c>
      <c r="R23" s="103">
        <v>0</v>
      </c>
      <c r="S23" s="103">
        <v>0</v>
      </c>
      <c r="T23" s="103">
        <v>0</v>
      </c>
      <c r="U23" s="103">
        <v>0</v>
      </c>
      <c r="V23" s="103">
        <v>0</v>
      </c>
      <c r="W23" s="103">
        <v>0</v>
      </c>
    </row>
    <row r="24" spans="1:23" customFormat="1" x14ac:dyDescent="0.15">
      <c r="A24" s="160" t="s">
        <v>214</v>
      </c>
      <c r="B24" s="103">
        <v>0</v>
      </c>
      <c r="C24" s="103">
        <v>0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  <c r="J24" s="103">
        <v>0</v>
      </c>
      <c r="K24" s="103">
        <v>0</v>
      </c>
      <c r="L24" s="103">
        <v>0</v>
      </c>
      <c r="M24" s="103">
        <v>0</v>
      </c>
      <c r="N24" s="103">
        <v>0</v>
      </c>
      <c r="O24" s="103">
        <v>0</v>
      </c>
      <c r="P24" s="103">
        <v>0</v>
      </c>
      <c r="Q24" s="103">
        <v>0</v>
      </c>
      <c r="R24" s="103">
        <v>0</v>
      </c>
      <c r="S24" s="103">
        <v>0</v>
      </c>
      <c r="T24" s="103">
        <v>0</v>
      </c>
      <c r="U24" s="103">
        <v>0</v>
      </c>
      <c r="V24" s="103">
        <v>0</v>
      </c>
      <c r="W24" s="103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C23" sqref="C1:C2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3" t="s">
        <v>218</v>
      </c>
    </row>
    <row r="2" spans="1:3" x14ac:dyDescent="0.15">
      <c r="A2">
        <v>1</v>
      </c>
      <c r="B2" s="162" t="s">
        <v>192</v>
      </c>
      <c r="C2">
        <v>0</v>
      </c>
    </row>
    <row r="3" spans="1:3" x14ac:dyDescent="0.15">
      <c r="A3">
        <v>2</v>
      </c>
      <c r="B3" s="162" t="s">
        <v>193</v>
      </c>
      <c r="C3">
        <v>0</v>
      </c>
    </row>
    <row r="4" spans="1:3" x14ac:dyDescent="0.15">
      <c r="A4">
        <v>3</v>
      </c>
      <c r="B4" s="162" t="s">
        <v>194</v>
      </c>
      <c r="C4">
        <v>0</v>
      </c>
    </row>
    <row r="5" spans="1:3" x14ac:dyDescent="0.15">
      <c r="A5">
        <v>4</v>
      </c>
      <c r="B5" s="162" t="s">
        <v>195</v>
      </c>
      <c r="C5">
        <v>0</v>
      </c>
    </row>
    <row r="6" spans="1:3" x14ac:dyDescent="0.15">
      <c r="A6">
        <v>5</v>
      </c>
      <c r="B6" s="162" t="s">
        <v>196</v>
      </c>
      <c r="C6">
        <v>0</v>
      </c>
    </row>
    <row r="7" spans="1:3" x14ac:dyDescent="0.15">
      <c r="A7">
        <v>6</v>
      </c>
      <c r="B7" s="162" t="s">
        <v>197</v>
      </c>
      <c r="C7">
        <v>0</v>
      </c>
    </row>
    <row r="8" spans="1:3" x14ac:dyDescent="0.15">
      <c r="A8">
        <v>7</v>
      </c>
      <c r="B8" s="162" t="s">
        <v>198</v>
      </c>
      <c r="C8">
        <v>0</v>
      </c>
    </row>
    <row r="9" spans="1:3" x14ac:dyDescent="0.15">
      <c r="A9">
        <v>8</v>
      </c>
      <c r="B9" s="162" t="s">
        <v>199</v>
      </c>
      <c r="C9">
        <v>0</v>
      </c>
    </row>
    <row r="10" spans="1:3" x14ac:dyDescent="0.15">
      <c r="A10">
        <v>9</v>
      </c>
      <c r="B10" s="162" t="s">
        <v>200</v>
      </c>
      <c r="C10">
        <v>0</v>
      </c>
    </row>
    <row r="11" spans="1:3" x14ac:dyDescent="0.15">
      <c r="A11">
        <v>10</v>
      </c>
      <c r="B11" s="162" t="s">
        <v>201</v>
      </c>
      <c r="C11">
        <v>0</v>
      </c>
    </row>
    <row r="12" spans="1:3" x14ac:dyDescent="0.15">
      <c r="A12">
        <v>11</v>
      </c>
      <c r="B12" s="162" t="s">
        <v>202</v>
      </c>
      <c r="C12">
        <v>0</v>
      </c>
    </row>
    <row r="13" spans="1:3" x14ac:dyDescent="0.15">
      <c r="A13">
        <v>12</v>
      </c>
      <c r="B13" s="162" t="s">
        <v>203</v>
      </c>
      <c r="C13">
        <v>0</v>
      </c>
    </row>
    <row r="14" spans="1:3" x14ac:dyDescent="0.15">
      <c r="A14">
        <v>13</v>
      </c>
      <c r="B14" s="162" t="s">
        <v>204</v>
      </c>
      <c r="C14">
        <v>0</v>
      </c>
    </row>
    <row r="15" spans="1:3" x14ac:dyDescent="0.15">
      <c r="A15">
        <v>14</v>
      </c>
      <c r="B15" s="162" t="s">
        <v>205</v>
      </c>
      <c r="C15">
        <v>0</v>
      </c>
    </row>
    <row r="16" spans="1:3" x14ac:dyDescent="0.15">
      <c r="A16">
        <v>15</v>
      </c>
      <c r="B16" s="162" t="s">
        <v>206</v>
      </c>
      <c r="C16">
        <v>0</v>
      </c>
    </row>
    <row r="17" spans="1:3" x14ac:dyDescent="0.15">
      <c r="A17">
        <v>16</v>
      </c>
      <c r="B17" s="162" t="s">
        <v>207</v>
      </c>
      <c r="C17">
        <v>0</v>
      </c>
    </row>
    <row r="18" spans="1:3" x14ac:dyDescent="0.15">
      <c r="A18">
        <v>17</v>
      </c>
      <c r="B18" s="162" t="s">
        <v>208</v>
      </c>
      <c r="C18">
        <v>0</v>
      </c>
    </row>
    <row r="19" spans="1:3" x14ac:dyDescent="0.15">
      <c r="A19">
        <v>18</v>
      </c>
      <c r="B19" s="162" t="s">
        <v>209</v>
      </c>
      <c r="C19">
        <v>0</v>
      </c>
    </row>
    <row r="20" spans="1:3" x14ac:dyDescent="0.15">
      <c r="A20">
        <v>19</v>
      </c>
      <c r="B20" s="162" t="s">
        <v>210</v>
      </c>
      <c r="C20">
        <v>0</v>
      </c>
    </row>
    <row r="21" spans="1:3" x14ac:dyDescent="0.15">
      <c r="A21">
        <v>20</v>
      </c>
      <c r="B21" s="162" t="s">
        <v>211</v>
      </c>
      <c r="C21">
        <v>0</v>
      </c>
    </row>
    <row r="22" spans="1:3" x14ac:dyDescent="0.15">
      <c r="A22">
        <v>21</v>
      </c>
      <c r="B22" s="162" t="s">
        <v>212</v>
      </c>
      <c r="C22">
        <v>0</v>
      </c>
    </row>
    <row r="23" spans="1:3" x14ac:dyDescent="0.15">
      <c r="A23">
        <v>22</v>
      </c>
      <c r="B23" s="162" t="s">
        <v>213</v>
      </c>
      <c r="C2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3"/>
  <sheetViews>
    <sheetView workbookViewId="0">
      <selection activeCell="C1" sqref="C1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3" t="s">
        <v>218</v>
      </c>
    </row>
    <row r="2" spans="1:3" x14ac:dyDescent="0.15">
      <c r="A2">
        <v>1</v>
      </c>
      <c r="B2" s="163" t="s">
        <v>192</v>
      </c>
      <c r="C2">
        <v>0</v>
      </c>
    </row>
    <row r="3" spans="1:3" x14ac:dyDescent="0.15">
      <c r="A3">
        <v>2</v>
      </c>
      <c r="B3" s="163" t="s">
        <v>193</v>
      </c>
      <c r="C3">
        <v>0</v>
      </c>
    </row>
    <row r="4" spans="1:3" x14ac:dyDescent="0.15">
      <c r="A4">
        <v>3</v>
      </c>
      <c r="B4" s="163" t="s">
        <v>194</v>
      </c>
      <c r="C4">
        <v>0</v>
      </c>
    </row>
    <row r="5" spans="1:3" x14ac:dyDescent="0.15">
      <c r="A5">
        <v>4</v>
      </c>
      <c r="B5" s="163" t="s">
        <v>195</v>
      </c>
      <c r="C5">
        <v>0</v>
      </c>
    </row>
    <row r="6" spans="1:3" x14ac:dyDescent="0.15">
      <c r="A6">
        <v>5</v>
      </c>
      <c r="B6" s="163" t="s">
        <v>196</v>
      </c>
      <c r="C6">
        <v>0</v>
      </c>
    </row>
    <row r="7" spans="1:3" x14ac:dyDescent="0.15">
      <c r="A7">
        <v>6</v>
      </c>
      <c r="B7" s="163" t="s">
        <v>197</v>
      </c>
      <c r="C7">
        <v>0</v>
      </c>
    </row>
    <row r="8" spans="1:3" x14ac:dyDescent="0.15">
      <c r="A8">
        <v>7</v>
      </c>
      <c r="B8" s="163" t="s">
        <v>198</v>
      </c>
      <c r="C8">
        <v>0</v>
      </c>
    </row>
    <row r="9" spans="1:3" x14ac:dyDescent="0.15">
      <c r="A9">
        <v>8</v>
      </c>
      <c r="B9" s="163" t="s">
        <v>199</v>
      </c>
      <c r="C9">
        <v>0</v>
      </c>
    </row>
    <row r="10" spans="1:3" x14ac:dyDescent="0.15">
      <c r="A10">
        <v>9</v>
      </c>
      <c r="B10" s="163" t="s">
        <v>200</v>
      </c>
      <c r="C10">
        <v>0</v>
      </c>
    </row>
    <row r="11" spans="1:3" x14ac:dyDescent="0.15">
      <c r="A11">
        <v>10</v>
      </c>
      <c r="B11" s="163" t="s">
        <v>201</v>
      </c>
      <c r="C11">
        <v>0</v>
      </c>
    </row>
    <row r="12" spans="1:3" x14ac:dyDescent="0.15">
      <c r="A12">
        <v>11</v>
      </c>
      <c r="B12" s="163" t="s">
        <v>202</v>
      </c>
      <c r="C12">
        <v>0</v>
      </c>
    </row>
    <row r="13" spans="1:3" x14ac:dyDescent="0.15">
      <c r="A13">
        <v>12</v>
      </c>
      <c r="B13" s="163" t="s">
        <v>203</v>
      </c>
      <c r="C13">
        <v>0</v>
      </c>
    </row>
    <row r="14" spans="1:3" x14ac:dyDescent="0.15">
      <c r="A14">
        <v>13</v>
      </c>
      <c r="B14" s="163" t="s">
        <v>204</v>
      </c>
      <c r="C14">
        <v>0</v>
      </c>
    </row>
    <row r="15" spans="1:3" x14ac:dyDescent="0.15">
      <c r="A15">
        <v>14</v>
      </c>
      <c r="B15" s="163" t="s">
        <v>205</v>
      </c>
      <c r="C15">
        <v>0</v>
      </c>
    </row>
    <row r="16" spans="1:3" x14ac:dyDescent="0.15">
      <c r="A16">
        <v>15</v>
      </c>
      <c r="B16" s="163" t="s">
        <v>206</v>
      </c>
      <c r="C16">
        <v>0</v>
      </c>
    </row>
    <row r="17" spans="1:3" x14ac:dyDescent="0.15">
      <c r="A17">
        <v>16</v>
      </c>
      <c r="B17" s="163" t="s">
        <v>207</v>
      </c>
      <c r="C17">
        <v>0</v>
      </c>
    </row>
    <row r="18" spans="1:3" x14ac:dyDescent="0.15">
      <c r="A18">
        <v>17</v>
      </c>
      <c r="B18" s="163" t="s">
        <v>208</v>
      </c>
      <c r="C18">
        <v>0</v>
      </c>
    </row>
    <row r="19" spans="1:3" x14ac:dyDescent="0.15">
      <c r="A19">
        <v>18</v>
      </c>
      <c r="B19" s="163" t="s">
        <v>209</v>
      </c>
      <c r="C19">
        <v>0</v>
      </c>
    </row>
    <row r="20" spans="1:3" x14ac:dyDescent="0.15">
      <c r="A20">
        <v>19</v>
      </c>
      <c r="B20" s="163" t="s">
        <v>210</v>
      </c>
      <c r="C20">
        <v>0</v>
      </c>
    </row>
    <row r="21" spans="1:3" x14ac:dyDescent="0.15">
      <c r="A21">
        <v>20</v>
      </c>
      <c r="B21" s="163" t="s">
        <v>211</v>
      </c>
      <c r="C21">
        <v>0</v>
      </c>
    </row>
    <row r="22" spans="1:3" x14ac:dyDescent="0.15">
      <c r="A22">
        <v>21</v>
      </c>
      <c r="B22" s="163" t="s">
        <v>212</v>
      </c>
      <c r="C22">
        <v>0</v>
      </c>
    </row>
    <row r="23" spans="1:3" x14ac:dyDescent="0.15">
      <c r="A23">
        <v>22</v>
      </c>
      <c r="B23" s="163" t="s">
        <v>213</v>
      </c>
      <c r="C2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29" sqref="B29"/>
    </sheetView>
  </sheetViews>
  <sheetFormatPr baseColWidth="10" defaultColWidth="8.83203125" defaultRowHeight="15" customHeight="1" x14ac:dyDescent="0.15"/>
  <cols>
    <col min="1" max="1" width="8.83203125" style="76"/>
    <col min="2" max="2" width="41.83203125" style="76" bestFit="1" customWidth="1"/>
    <col min="3" max="3" width="9.33203125" style="76" bestFit="1" customWidth="1"/>
    <col min="4" max="4" width="13" style="76" bestFit="1" customWidth="1"/>
    <col min="5" max="6" width="9.33203125" style="76" bestFit="1" customWidth="1"/>
    <col min="7" max="7" width="9.33203125" style="92" bestFit="1" customWidth="1"/>
    <col min="8" max="8" width="9.33203125" style="76" bestFit="1" customWidth="1"/>
    <col min="9" max="9" width="11" style="76" customWidth="1"/>
    <col min="10" max="10" width="8.83203125" style="76"/>
    <col min="15" max="16384" width="8.83203125" style="7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140">
        <v>1</v>
      </c>
      <c r="B2" s="140" t="s">
        <v>192</v>
      </c>
      <c r="C2" s="8">
        <v>4.6146502494812012</v>
      </c>
      <c r="D2" s="9">
        <v>1.4999999664723873E-2</v>
      </c>
      <c r="E2" s="9">
        <v>5.4000000953674316</v>
      </c>
      <c r="F2" s="9">
        <v>80</v>
      </c>
      <c r="G2" s="9">
        <v>0.18148148059844971</v>
      </c>
      <c r="H2" s="9">
        <v>6.7500002682209015E-2</v>
      </c>
      <c r="I2">
        <v>0</v>
      </c>
      <c r="J2"/>
    </row>
    <row r="3" spans="1:10" ht="15" customHeight="1" x14ac:dyDescent="0.15">
      <c r="A3" s="141">
        <v>2</v>
      </c>
      <c r="B3" s="141" t="s">
        <v>193</v>
      </c>
      <c r="C3" s="8">
        <v>4.1041374206542969</v>
      </c>
      <c r="D3" s="9">
        <v>4</v>
      </c>
      <c r="E3" s="9">
        <v>0.37000000476837158</v>
      </c>
      <c r="F3" s="9">
        <v>2.2999999523162842</v>
      </c>
      <c r="G3" s="9">
        <v>0.11256758123636246</v>
      </c>
      <c r="H3" s="9">
        <v>0.16086956858634949</v>
      </c>
      <c r="I3">
        <v>0</v>
      </c>
      <c r="J3"/>
    </row>
    <row r="4" spans="1:10" ht="15" customHeight="1" x14ac:dyDescent="0.15">
      <c r="A4" s="142">
        <v>3</v>
      </c>
      <c r="B4" s="142" t="s">
        <v>194</v>
      </c>
      <c r="C4" s="8">
        <v>3.8848602771759033</v>
      </c>
      <c r="D4" s="9">
        <v>8</v>
      </c>
      <c r="E4" s="9">
        <v>3.0999999046325684</v>
      </c>
      <c r="F4" s="9">
        <v>11.699999809265137</v>
      </c>
      <c r="G4" s="9">
        <v>0.7706032395362854</v>
      </c>
      <c r="H4" s="9">
        <v>0.2649572491645813</v>
      </c>
      <c r="I4">
        <v>0</v>
      </c>
      <c r="J4"/>
    </row>
    <row r="5" spans="1:10" ht="15" customHeight="1" x14ac:dyDescent="0.15">
      <c r="A5" s="143">
        <v>4</v>
      </c>
      <c r="B5" s="143" t="s">
        <v>195</v>
      </c>
      <c r="C5" s="8">
        <v>3.8589520454406738</v>
      </c>
      <c r="D5" s="9">
        <v>4.4000000953674316</v>
      </c>
      <c r="E5" s="9">
        <v>0.47999998927116394</v>
      </c>
      <c r="F5" s="9">
        <v>8.8999996185302734</v>
      </c>
      <c r="G5" s="9">
        <v>0.47805872559547424</v>
      </c>
      <c r="H5" s="9">
        <v>5.3932584822177887E-2</v>
      </c>
      <c r="I5">
        <v>0</v>
      </c>
      <c r="J5"/>
    </row>
    <row r="6" spans="1:10" ht="15" customHeight="1" x14ac:dyDescent="0.15">
      <c r="A6" s="144">
        <v>5</v>
      </c>
      <c r="B6" s="144" t="s">
        <v>196</v>
      </c>
      <c r="C6" s="8">
        <v>3.8386223316192627</v>
      </c>
      <c r="D6" s="9">
        <v>1</v>
      </c>
      <c r="E6" s="9">
        <v>0.23999999463558197</v>
      </c>
      <c r="F6" s="9">
        <v>4.9000000953674316</v>
      </c>
      <c r="G6" s="9">
        <v>0.58749997615814209</v>
      </c>
      <c r="H6" s="9">
        <v>4.8979591578245163E-2</v>
      </c>
      <c r="I6">
        <v>0</v>
      </c>
      <c r="J6"/>
    </row>
    <row r="7" spans="1:10" ht="15" customHeight="1" x14ac:dyDescent="0.15">
      <c r="A7" s="145">
        <v>6</v>
      </c>
      <c r="B7" s="145" t="s">
        <v>197</v>
      </c>
      <c r="C7" s="8">
        <v>3.7964816093444824</v>
      </c>
      <c r="D7" s="9">
        <v>30</v>
      </c>
      <c r="E7" s="9">
        <v>1.7999999523162842</v>
      </c>
      <c r="F7" s="9">
        <v>20.049999237060547</v>
      </c>
      <c r="G7" s="9">
        <v>0.93314415216445923</v>
      </c>
      <c r="H7" s="9">
        <v>8.9775562286376953E-2</v>
      </c>
      <c r="I7">
        <v>0</v>
      </c>
      <c r="J7"/>
    </row>
    <row r="8" spans="1:10" ht="15" customHeight="1" x14ac:dyDescent="0.15">
      <c r="A8" s="146">
        <v>7</v>
      </c>
      <c r="B8" s="146" t="s">
        <v>198</v>
      </c>
      <c r="C8" s="8">
        <v>3.7125890254974365</v>
      </c>
      <c r="D8" s="9">
        <v>20</v>
      </c>
      <c r="E8" s="9">
        <v>0.82999998331069946</v>
      </c>
      <c r="F8" s="9">
        <v>12.699999809265137</v>
      </c>
      <c r="G8" s="9">
        <v>0.72751206159591675</v>
      </c>
      <c r="H8" s="9">
        <v>6.5354332327842712E-2</v>
      </c>
      <c r="I8">
        <v>0</v>
      </c>
      <c r="J8"/>
    </row>
    <row r="9" spans="1:10" ht="15" customHeight="1" x14ac:dyDescent="0.15">
      <c r="A9" s="215">
        <v>8</v>
      </c>
      <c r="B9" s="215" t="s">
        <v>199</v>
      </c>
      <c r="C9" s="8">
        <v>3.4079821109771729</v>
      </c>
      <c r="D9" s="9">
        <v>75</v>
      </c>
      <c r="E9" s="9">
        <v>0.63999998569488525</v>
      </c>
      <c r="F9" s="9">
        <v>7.3000001907348633</v>
      </c>
      <c r="G9" s="9">
        <v>0.94630002975463867</v>
      </c>
      <c r="H9" s="9">
        <v>8.7671227753162384E-2</v>
      </c>
      <c r="I9">
        <v>0</v>
      </c>
      <c r="J9"/>
    </row>
    <row r="10" spans="1:10" ht="15" customHeight="1" x14ac:dyDescent="0.15">
      <c r="A10" s="216">
        <v>9</v>
      </c>
      <c r="B10" s="216" t="s">
        <v>200</v>
      </c>
      <c r="C10" s="8">
        <v>2.9759297370910645</v>
      </c>
      <c r="D10" s="9">
        <v>120</v>
      </c>
      <c r="E10" s="9">
        <v>1.6000000238418579</v>
      </c>
      <c r="F10" s="9">
        <v>10</v>
      </c>
      <c r="G10" s="9">
        <v>0.84589803218841553</v>
      </c>
      <c r="H10" s="9">
        <v>0.15999999642372131</v>
      </c>
      <c r="I10">
        <v>0</v>
      </c>
      <c r="J10"/>
    </row>
    <row r="11" spans="1:10" ht="15" customHeight="1" x14ac:dyDescent="0.15">
      <c r="A11" s="217">
        <v>10</v>
      </c>
      <c r="B11" s="217" t="s">
        <v>201</v>
      </c>
      <c r="C11" s="8">
        <v>2.9246795177459717</v>
      </c>
      <c r="D11" s="9">
        <v>10</v>
      </c>
      <c r="E11" s="9">
        <v>1.6000000238418579</v>
      </c>
      <c r="F11" s="9">
        <v>12.800000190734863</v>
      </c>
      <c r="G11" s="9">
        <v>0.86603754758834839</v>
      </c>
      <c r="H11" s="9">
        <v>0.125</v>
      </c>
      <c r="I11">
        <v>0</v>
      </c>
      <c r="J11"/>
    </row>
    <row r="12" spans="1:10" ht="15" customHeight="1" x14ac:dyDescent="0.15">
      <c r="A12" s="218">
        <v>11</v>
      </c>
      <c r="B12" s="218" t="s">
        <v>202</v>
      </c>
      <c r="C12" s="8">
        <v>2.8000001907348633</v>
      </c>
      <c r="D12" s="9">
        <v>30</v>
      </c>
      <c r="E12" s="9">
        <v>45</v>
      </c>
      <c r="F12" s="9">
        <v>165</v>
      </c>
      <c r="G12" s="9">
        <v>0.89647579193115234</v>
      </c>
      <c r="H12" s="9">
        <v>0.27272728085517883</v>
      </c>
      <c r="I12">
        <v>0</v>
      </c>
      <c r="J12"/>
    </row>
    <row r="13" spans="1:10" ht="15" customHeight="1" x14ac:dyDescent="0.15">
      <c r="A13" s="219">
        <v>12</v>
      </c>
      <c r="B13" s="219" t="s">
        <v>203</v>
      </c>
      <c r="C13" s="8">
        <v>2.7893555164337158</v>
      </c>
      <c r="D13" s="9">
        <v>7.0000000298023224E-2</v>
      </c>
      <c r="E13" s="9">
        <v>0.20000000298023224</v>
      </c>
      <c r="F13" s="9">
        <v>3.5</v>
      </c>
      <c r="G13" s="7">
        <v>0</v>
      </c>
      <c r="H13" s="9">
        <v>5.714285746216774E-2</v>
      </c>
      <c r="I13">
        <v>0</v>
      </c>
      <c r="J13"/>
    </row>
    <row r="14" spans="1:10" ht="15" customHeight="1" x14ac:dyDescent="0.15">
      <c r="A14" s="220">
        <v>13</v>
      </c>
      <c r="B14" s="220" t="s">
        <v>204</v>
      </c>
      <c r="C14" s="8">
        <v>2.3956978321075439</v>
      </c>
      <c r="D14" s="9">
        <v>600</v>
      </c>
      <c r="E14" s="9">
        <v>1.2000000476837158</v>
      </c>
      <c r="F14" s="9">
        <v>4</v>
      </c>
      <c r="G14" s="9">
        <v>0.52126550674438477</v>
      </c>
      <c r="H14" s="9">
        <v>0.30000001192092896</v>
      </c>
      <c r="I14">
        <v>0</v>
      </c>
      <c r="J14"/>
    </row>
    <row r="15" spans="1:10" ht="15" customHeight="1" x14ac:dyDescent="0.15">
      <c r="A15" s="221">
        <v>14</v>
      </c>
      <c r="B15" s="221" t="s">
        <v>205</v>
      </c>
      <c r="C15" s="8">
        <v>2.3541462421417236</v>
      </c>
      <c r="D15" s="9">
        <v>430</v>
      </c>
      <c r="E15" s="9">
        <v>2.5</v>
      </c>
      <c r="F15" s="9">
        <v>7</v>
      </c>
      <c r="G15" s="9">
        <v>0.93468785285949707</v>
      </c>
      <c r="H15" s="9">
        <v>0.3571428656578064</v>
      </c>
      <c r="I15">
        <v>0</v>
      </c>
      <c r="J15"/>
    </row>
    <row r="16" spans="1:10" ht="15" customHeight="1" x14ac:dyDescent="0.15">
      <c r="A16" s="222">
        <v>15</v>
      </c>
      <c r="B16" s="222" t="s">
        <v>206</v>
      </c>
      <c r="C16" s="8">
        <v>2.064000129699707</v>
      </c>
      <c r="D16" s="9">
        <v>1000</v>
      </c>
      <c r="E16" s="9">
        <v>0.80000001192092896</v>
      </c>
      <c r="F16" s="9">
        <v>9</v>
      </c>
      <c r="G16" s="9">
        <v>0.94034492969512939</v>
      </c>
      <c r="H16" s="9">
        <v>8.8888891041278839E-2</v>
      </c>
      <c r="I16">
        <v>0</v>
      </c>
      <c r="J16"/>
    </row>
    <row r="17" spans="1:10" ht="15" customHeight="1" x14ac:dyDescent="0.15">
      <c r="A17" s="223">
        <v>16</v>
      </c>
      <c r="B17" s="223" t="s">
        <v>207</v>
      </c>
      <c r="C17" s="8">
        <v>2.0099496841430664</v>
      </c>
      <c r="D17" s="9">
        <v>10</v>
      </c>
      <c r="E17" s="9">
        <v>1.8200000524520874</v>
      </c>
      <c r="F17" s="9">
        <v>37.450000762939453</v>
      </c>
      <c r="G17" s="9">
        <v>0.89961093664169312</v>
      </c>
      <c r="H17" s="9">
        <v>4.8598133027553558E-2</v>
      </c>
      <c r="I17">
        <v>0</v>
      </c>
      <c r="J17"/>
    </row>
    <row r="18" spans="1:10" ht="15" customHeight="1" x14ac:dyDescent="0.15">
      <c r="A18" s="224">
        <v>17</v>
      </c>
      <c r="B18" s="224" t="s">
        <v>208</v>
      </c>
      <c r="C18" s="8">
        <v>2.0072958469390869</v>
      </c>
      <c r="D18" s="9">
        <v>100</v>
      </c>
      <c r="E18" s="9">
        <v>1.0499999523162842</v>
      </c>
      <c r="F18" s="9">
        <v>22.799999237060547</v>
      </c>
      <c r="G18" s="9">
        <v>0.97086679935455322</v>
      </c>
      <c r="H18" s="9">
        <v>4.6052630990743637E-2</v>
      </c>
      <c r="I18">
        <v>0</v>
      </c>
      <c r="J18"/>
    </row>
    <row r="19" spans="1:10" ht="15" customHeight="1" x14ac:dyDescent="0.15">
      <c r="A19" s="225">
        <v>18</v>
      </c>
      <c r="B19" s="225" t="s">
        <v>209</v>
      </c>
      <c r="C19" s="8">
        <v>2</v>
      </c>
      <c r="D19" s="9">
        <v>60</v>
      </c>
      <c r="E19" s="9">
        <v>100</v>
      </c>
      <c r="F19" s="9">
        <v>215</v>
      </c>
      <c r="G19" s="9">
        <v>0.79278385639190674</v>
      </c>
      <c r="H19" s="9">
        <v>0.46511629223823547</v>
      </c>
      <c r="I19">
        <v>0</v>
      </c>
      <c r="J19"/>
    </row>
    <row r="20" spans="1:10" ht="15" customHeight="1" x14ac:dyDescent="0.15">
      <c r="A20" s="226">
        <v>19</v>
      </c>
      <c r="B20" s="226" t="s">
        <v>210</v>
      </c>
      <c r="C20" s="8">
        <v>1</v>
      </c>
      <c r="D20" s="9">
        <v>25</v>
      </c>
      <c r="E20" s="9">
        <v>70</v>
      </c>
      <c r="F20" s="10"/>
      <c r="G20" s="9">
        <v>0.77499604225158691</v>
      </c>
      <c r="H20" s="10"/>
      <c r="I20">
        <v>0</v>
      </c>
      <c r="J20"/>
    </row>
    <row r="21" spans="1:10" ht="15" customHeight="1" x14ac:dyDescent="0.15">
      <c r="A21" s="227">
        <v>20</v>
      </c>
      <c r="B21" s="227" t="s">
        <v>211</v>
      </c>
      <c r="C21" s="8">
        <v>1</v>
      </c>
      <c r="D21" s="9">
        <v>1375</v>
      </c>
      <c r="E21" s="9">
        <v>13.25</v>
      </c>
      <c r="F21" s="10"/>
      <c r="G21" s="9">
        <v>0.29525968432426453</v>
      </c>
      <c r="H21" s="10"/>
      <c r="I21">
        <v>0</v>
      </c>
      <c r="J21"/>
    </row>
    <row r="22" spans="1:10" ht="15" customHeight="1" x14ac:dyDescent="0.15">
      <c r="A22" s="228">
        <v>21</v>
      </c>
      <c r="B22" s="228" t="s">
        <v>212</v>
      </c>
      <c r="C22" s="8">
        <v>1</v>
      </c>
      <c r="D22" s="9">
        <v>2000</v>
      </c>
      <c r="E22" s="10"/>
      <c r="F22" s="10"/>
      <c r="G22" s="9">
        <v>0.99307143688201904</v>
      </c>
      <c r="H22" s="10"/>
      <c r="I22">
        <v>0</v>
      </c>
      <c r="J22"/>
    </row>
    <row r="23" spans="1:10" ht="15" customHeight="1" x14ac:dyDescent="0.15">
      <c r="A23" s="229">
        <v>22</v>
      </c>
      <c r="B23" s="229" t="s">
        <v>213</v>
      </c>
      <c r="C23" s="8">
        <v>1</v>
      </c>
      <c r="D23" s="9">
        <v>5</v>
      </c>
      <c r="E23" s="10"/>
      <c r="F23" s="10"/>
      <c r="G23" s="7">
        <v>0</v>
      </c>
      <c r="H23" s="10"/>
      <c r="I23">
        <v>0</v>
      </c>
      <c r="J23"/>
    </row>
    <row r="24" spans="1:10" ht="15" customHeight="1" x14ac:dyDescent="0.15">
      <c r="A24" s="230">
        <v>23</v>
      </c>
      <c r="B24" s="230" t="s">
        <v>218</v>
      </c>
      <c r="C24" s="8">
        <v>1</v>
      </c>
      <c r="D24" s="10"/>
      <c r="E24" s="10"/>
      <c r="F24" s="10"/>
      <c r="G24" s="10"/>
      <c r="H24" s="10"/>
      <c r="I24">
        <v>0</v>
      </c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6" bestFit="1" customWidth="1"/>
    <col min="2" max="4" width="9.5" style="76" bestFit="1" customWidth="1"/>
    <col min="5" max="7" width="9" style="76" bestFit="1" customWidth="1"/>
    <col min="8" max="16" width="12.6640625" style="76" bestFit="1" customWidth="1"/>
    <col min="17" max="17" width="12.33203125" style="76" bestFit="1" customWidth="1"/>
    <col min="18" max="18" width="8.83203125" style="76"/>
    <col min="19" max="21" width="9.33203125" style="76" bestFit="1" customWidth="1"/>
    <col min="22" max="23" width="8.83203125" style="76"/>
    <col min="24" max="24" width="9.33203125" style="76" bestFit="1" customWidth="1"/>
    <col min="25" max="27" width="8.83203125" style="76"/>
    <col min="28" max="58" width="9" style="76" bestFit="1" customWidth="1"/>
    <col min="59" max="59" width="12.33203125" style="76" bestFit="1" customWidth="1"/>
    <col min="60" max="60" width="9" style="76" bestFit="1" customWidth="1"/>
    <col min="61" max="61" width="11.33203125" style="76" bestFit="1" customWidth="1"/>
    <col min="62" max="77" width="9" style="76" bestFit="1" customWidth="1"/>
    <col min="78" max="78" width="12.33203125" style="76" bestFit="1" customWidth="1"/>
    <col min="79" max="79" width="9" style="76" bestFit="1" customWidth="1"/>
    <col min="80" max="80" width="12.33203125" style="76" bestFit="1" customWidth="1"/>
    <col min="81" max="107" width="9" style="76" bestFit="1" customWidth="1"/>
    <col min="108" max="108" width="11.33203125" style="76" bestFit="1" customWidth="1"/>
    <col min="109" max="124" width="9" style="76" bestFit="1" customWidth="1"/>
    <col min="125" max="125" width="10.33203125" style="76" bestFit="1" customWidth="1"/>
    <col min="126" max="129" width="9.33203125" style="76" bestFit="1" customWidth="1"/>
    <col min="130" max="130" width="9" style="76" bestFit="1" customWidth="1"/>
    <col min="131" max="134" width="9.33203125" style="76" bestFit="1" customWidth="1"/>
    <col min="135" max="165" width="9" style="76" bestFit="1" customWidth="1"/>
    <col min="166" max="166" width="12.33203125" style="76" bestFit="1" customWidth="1"/>
    <col min="167" max="170" width="9" style="76" bestFit="1" customWidth="1"/>
    <col min="171" max="176" width="8.83203125" style="76"/>
    <col min="177" max="177" width="13.83203125" style="76" bestFit="1" customWidth="1"/>
    <col min="178" max="16384" width="8.83203125" style="7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220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5.4000000953674316</v>
      </c>
      <c r="C2">
        <v>4.4200000762939453</v>
      </c>
      <c r="D2"/>
      <c r="E2"/>
      <c r="F2"/>
      <c r="G2"/>
      <c r="H2"/>
      <c r="I2" s="102">
        <v>0.98000001907348633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0.37000000476837158</v>
      </c>
      <c r="C3">
        <v>0.3283500075340271</v>
      </c>
      <c r="D3"/>
      <c r="E3"/>
      <c r="F3"/>
      <c r="G3"/>
      <c r="H3"/>
      <c r="I3" s="180">
        <v>4.1650004684925079E-2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3.0999999046325684</v>
      </c>
      <c r="C4">
        <v>0.71112996339797974</v>
      </c>
      <c r="D4"/>
      <c r="E4"/>
      <c r="F4"/>
      <c r="G4" s="198">
        <v>1.2869999408721924</v>
      </c>
      <c r="H4" s="182">
        <v>0.10279500484466553</v>
      </c>
      <c r="I4" s="12">
        <v>1.4700000174343586E-2</v>
      </c>
      <c r="J4"/>
      <c r="K4"/>
      <c r="L4" s="70">
        <v>0.68437498807907104</v>
      </c>
      <c r="M4" s="185">
        <v>0.30000001192092896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0.47999998927116394</v>
      </c>
      <c r="C5">
        <v>0.25053179264068604</v>
      </c>
      <c r="D5"/>
      <c r="E5" s="179">
        <v>2.7272725477814674E-2</v>
      </c>
      <c r="F5"/>
      <c r="G5"/>
      <c r="H5" s="19">
        <v>8.9000007137656212E-3</v>
      </c>
      <c r="I5" s="177">
        <v>1.1136363260447979E-2</v>
      </c>
      <c r="J5"/>
      <c r="K5" s="132">
        <v>5.7727273553609848E-2</v>
      </c>
      <c r="L5" s="181">
        <v>0.12443181872367859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0.23999999463558197</v>
      </c>
      <c r="C6">
        <v>9.9000006914138794E-2</v>
      </c>
      <c r="D6"/>
      <c r="E6"/>
      <c r="F6" s="178">
        <v>9.1999992728233337E-2</v>
      </c>
      <c r="G6"/>
      <c r="H6"/>
      <c r="I6" s="176">
        <v>4.8999998718500137E-2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1.7999999523162842</v>
      </c>
      <c r="C7">
        <v>0.12034052610397339</v>
      </c>
      <c r="D7"/>
      <c r="E7" s="22">
        <v>1.2000000104308128E-2</v>
      </c>
      <c r="F7"/>
      <c r="G7" s="180">
        <v>0.20279999077320099</v>
      </c>
      <c r="H7" s="194">
        <v>0.27803599834442139</v>
      </c>
      <c r="I7" s="22">
        <v>1.1923334561288357E-2</v>
      </c>
      <c r="J7" s="186">
        <v>8.0200009047985077E-2</v>
      </c>
      <c r="K7" s="196">
        <v>0.3386666476726532</v>
      </c>
      <c r="L7" s="199">
        <v>0.54749995470046997</v>
      </c>
      <c r="M7" s="180">
        <v>0.20000000298023224</v>
      </c>
      <c r="N7" s="12">
        <v>8.5333334282040596E-3</v>
      </c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0.82999998331069946</v>
      </c>
      <c r="C8">
        <v>0.22616498172283173</v>
      </c>
      <c r="D8"/>
      <c r="E8" s="136">
        <v>2.4000000208616257E-2</v>
      </c>
      <c r="F8"/>
      <c r="G8" s="193">
        <v>0.30419999361038208</v>
      </c>
      <c r="H8" s="187">
        <v>0.13706000149250031</v>
      </c>
      <c r="I8" s="12">
        <v>3.6750000435858965E-3</v>
      </c>
      <c r="J8"/>
      <c r="K8" s="23">
        <v>2.5400001555681229E-2</v>
      </c>
      <c r="L8" s="183">
        <v>0.10950000584125519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0.63999998569488525</v>
      </c>
      <c r="C9">
        <v>3.4367978572845459E-2</v>
      </c>
      <c r="D9"/>
      <c r="E9" s="14">
        <v>1.4400000218302011E-3</v>
      </c>
      <c r="F9" s="68">
        <v>6.0352001339197159E-2</v>
      </c>
      <c r="G9" s="20">
        <v>1.2480000033974648E-2</v>
      </c>
      <c r="H9" s="190">
        <v>6.5266668796539307E-2</v>
      </c>
      <c r="I9" s="17">
        <v>9.1466661542654037E-3</v>
      </c>
      <c r="J9"/>
      <c r="K9"/>
      <c r="L9" s="200">
        <v>0.36500003933906555</v>
      </c>
      <c r="M9" s="192">
        <v>7.9999998211860657E-2</v>
      </c>
      <c r="N9" s="20">
        <v>1.1946666985750198E-2</v>
      </c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1.6000000238418579</v>
      </c>
      <c r="C10">
        <v>0.2465631514787674</v>
      </c>
      <c r="D10"/>
      <c r="E10"/>
      <c r="F10" s="20">
        <v>3.0820000916719437E-2</v>
      </c>
      <c r="G10" s="137">
        <v>9.7499996423721313E-2</v>
      </c>
      <c r="H10" s="21">
        <v>1.3053332455456257E-2</v>
      </c>
      <c r="I10" s="12">
        <v>6.5333331003785133E-3</v>
      </c>
      <c r="J10" s="13">
        <v>6.015000119805336E-2</v>
      </c>
      <c r="K10" s="22">
        <v>1.0583332739770412E-2</v>
      </c>
      <c r="L10" s="201">
        <v>0.31937500834465027</v>
      </c>
      <c r="M10" s="138">
        <v>0.40000000596046448</v>
      </c>
      <c r="N10" s="197">
        <v>8.5333332419395447E-2</v>
      </c>
      <c r="O10"/>
      <c r="P10" s="11">
        <v>2.5520834606140852E-4</v>
      </c>
      <c r="Q10" s="13">
        <v>6.0000002384185791E-2</v>
      </c>
      <c r="R10" s="100">
        <v>0.25083333253860474</v>
      </c>
      <c r="S10"/>
      <c r="T10"/>
      <c r="U10" s="18">
        <v>1.8999999389052391E-2</v>
      </c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1.6000000238418579</v>
      </c>
      <c r="C11">
        <v>0.21433992683887482</v>
      </c>
      <c r="D11"/>
      <c r="E11" s="12">
        <v>4.9200002104043961E-3</v>
      </c>
      <c r="F11"/>
      <c r="G11" s="136">
        <v>4.6799998730421066E-2</v>
      </c>
      <c r="H11" s="188">
        <v>0.31327998638153076</v>
      </c>
      <c r="I11" s="24">
        <v>4.1159998625516891E-2</v>
      </c>
      <c r="J11"/>
      <c r="K11"/>
      <c r="L11" s="191">
        <v>0.54750001430511475</v>
      </c>
      <c r="M11" s="184">
        <v>0.24000000953674316</v>
      </c>
      <c r="N11" s="132">
        <v>0.19200000166893005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45</v>
      </c>
      <c r="C12">
        <v>4.6585893630981445</v>
      </c>
      <c r="D12"/>
      <c r="E12" s="11">
        <v>1.999999862164259E-3</v>
      </c>
      <c r="F12"/>
      <c r="G12" s="17">
        <v>0.6239999532699585</v>
      </c>
      <c r="H12" s="11">
        <v>2.6106664910912514E-2</v>
      </c>
      <c r="I12"/>
      <c r="J12" s="210">
        <v>19.528697967529297</v>
      </c>
      <c r="K12" s="205">
        <v>6.0960001945495605</v>
      </c>
      <c r="L12" s="203">
        <v>2.1899998188018799</v>
      </c>
      <c r="M12" s="61">
        <v>2.7999999523162842</v>
      </c>
      <c r="N12" s="16">
        <v>0.68266665935516357</v>
      </c>
      <c r="O12"/>
      <c r="P12"/>
      <c r="Q12" s="22">
        <v>0.24000000953674316</v>
      </c>
      <c r="R12" s="17">
        <v>0.60199999809265137</v>
      </c>
      <c r="S12" s="206">
        <v>7.5</v>
      </c>
      <c r="T12" s="14">
        <v>4.9933351576328278E-2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0.20000000298023224</v>
      </c>
      <c r="C13">
        <v>0.20000000298023224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1.2000000476837158</v>
      </c>
      <c r="C14">
        <v>0.57448142766952515</v>
      </c>
      <c r="D14"/>
      <c r="E14"/>
      <c r="F14"/>
      <c r="G14"/>
      <c r="H14"/>
      <c r="I14" s="11">
        <v>1.7149999621324241E-4</v>
      </c>
      <c r="J14"/>
      <c r="K14"/>
      <c r="L14" s="62">
        <v>0.10949999839067459</v>
      </c>
      <c r="M14" s="133">
        <v>0.25999999046325684</v>
      </c>
      <c r="N14" s="21">
        <v>9.1733336448669434E-3</v>
      </c>
      <c r="O14"/>
      <c r="P14" s="11">
        <v>1.6333333405782469E-5</v>
      </c>
      <c r="Q14" s="188">
        <v>0.23600001633167267</v>
      </c>
      <c r="R14" s="21">
        <v>1.0033333674073219E-2</v>
      </c>
      <c r="S14"/>
      <c r="T14" s="11">
        <v>6.2416685977950692E-4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2.5</v>
      </c>
      <c r="C15">
        <v>0.16328036785125732</v>
      </c>
      <c r="D15"/>
      <c r="E15"/>
      <c r="F15"/>
      <c r="G15" s="13">
        <v>9.1423250734806061E-2</v>
      </c>
      <c r="H15" s="11">
        <v>1.63925567176193E-3</v>
      </c>
      <c r="I15" s="14">
        <v>3.0653488356620073E-3</v>
      </c>
      <c r="J15"/>
      <c r="K15" s="25">
        <v>0.11577673256397247</v>
      </c>
      <c r="L15" s="71">
        <v>0.42017444968223572</v>
      </c>
      <c r="M15" s="139">
        <v>0.89302325248718262</v>
      </c>
      <c r="N15" s="24">
        <v>6.5488368272781372E-2</v>
      </c>
      <c r="O15"/>
      <c r="P15" s="11">
        <v>2.5639536033850163E-5</v>
      </c>
      <c r="Q15" s="204">
        <v>0.29023256897926331</v>
      </c>
      <c r="R15" s="102">
        <v>0.45499998331069946</v>
      </c>
      <c r="S15"/>
      <c r="T15" s="11">
        <v>8.709304966032505E-4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0.80000001192092896</v>
      </c>
      <c r="C16">
        <v>4.7724056988954544E-2</v>
      </c>
      <c r="D16"/>
      <c r="E16"/>
      <c r="F16"/>
      <c r="G16"/>
      <c r="H16"/>
      <c r="I16" s="11">
        <v>5.3899999329587445E-5</v>
      </c>
      <c r="J16" s="12">
        <v>3.6090000066906214E-3</v>
      </c>
      <c r="K16"/>
      <c r="L16" s="25">
        <v>3.8325000554323196E-2</v>
      </c>
      <c r="M16" s="197">
        <v>4.1999999433755875E-2</v>
      </c>
      <c r="N16" s="21">
        <v>6.4000003039836884E-3</v>
      </c>
      <c r="O16"/>
      <c r="P16" s="11">
        <v>9.8000004072673619E-5</v>
      </c>
      <c r="Q16" s="208">
        <v>0.47279998660087585</v>
      </c>
      <c r="R16" s="70">
        <v>0.17758999764919281</v>
      </c>
      <c r="S16"/>
      <c r="T16"/>
      <c r="U16" s="17">
        <v>1.1399999260902405E-2</v>
      </c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1.8200000524520874</v>
      </c>
      <c r="C17">
        <v>0.18270809948444366</v>
      </c>
      <c r="D17"/>
      <c r="E17" s="11">
        <v>2.4000000848900527E-4</v>
      </c>
      <c r="F17"/>
      <c r="G17"/>
      <c r="H17" s="195">
        <v>0.86935198307037354</v>
      </c>
      <c r="I17" s="14">
        <v>4.9000000581145287E-3</v>
      </c>
      <c r="J17"/>
      <c r="K17"/>
      <c r="L17" s="189">
        <v>0.43800002336502075</v>
      </c>
      <c r="M17" s="101">
        <v>0.12000000476837158</v>
      </c>
      <c r="N17" s="180">
        <v>0.20480000972747803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1.0499999523162842</v>
      </c>
      <c r="C18">
        <v>3.0589859932661057E-2</v>
      </c>
      <c r="D18"/>
      <c r="E18" s="11">
        <v>2.0400001085363328E-4</v>
      </c>
      <c r="F18" s="21">
        <v>8.832000195980072E-3</v>
      </c>
      <c r="G18"/>
      <c r="H18" s="65">
        <v>7.4403993785381317E-2</v>
      </c>
      <c r="I18" s="22">
        <v>5.8800000697374344E-3</v>
      </c>
      <c r="J18"/>
      <c r="K18" s="63">
        <v>5.3339995443820953E-2</v>
      </c>
      <c r="L18" s="202">
        <v>0.49275001883506775</v>
      </c>
      <c r="M18" s="193">
        <v>0.38400000333786011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100</v>
      </c>
      <c r="C19">
        <v>20.721614837646484</v>
      </c>
      <c r="D19"/>
      <c r="E19"/>
      <c r="F19"/>
      <c r="G19"/>
      <c r="H19"/>
      <c r="I19"/>
      <c r="J19" s="11">
        <v>2.0050002261996269E-2</v>
      </c>
      <c r="K19"/>
      <c r="L19"/>
      <c r="M19" s="15">
        <v>1</v>
      </c>
      <c r="N19"/>
      <c r="O19" s="214">
        <v>66</v>
      </c>
      <c r="P19"/>
      <c r="Q19" s="21">
        <v>0.87999999523162842</v>
      </c>
      <c r="R19" s="209">
        <v>8.5283336639404297</v>
      </c>
      <c r="S19" s="136">
        <v>2.8499999046325684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70</v>
      </c>
      <c r="C20">
        <v>15.750276565551758</v>
      </c>
      <c r="D20"/>
      <c r="E20"/>
      <c r="F20"/>
      <c r="G20"/>
      <c r="H20"/>
      <c r="I20"/>
      <c r="J20" s="11">
        <v>4.8120006918907166E-2</v>
      </c>
      <c r="K20"/>
      <c r="L20"/>
      <c r="M20" s="12">
        <v>0.23999999463558197</v>
      </c>
      <c r="N20"/>
      <c r="O20" s="211">
        <v>39.599998474121094</v>
      </c>
      <c r="P20"/>
      <c r="Q20" s="12">
        <v>0.28800001740455627</v>
      </c>
      <c r="R20" s="207">
        <v>10.11359977722168</v>
      </c>
      <c r="S20" s="179">
        <v>3.9600000381469727</v>
      </c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13.25</v>
      </c>
      <c r="C21">
        <v>9.3378095626831055</v>
      </c>
      <c r="D21"/>
      <c r="E21"/>
      <c r="F21"/>
      <c r="G21"/>
      <c r="H21"/>
      <c r="I21"/>
      <c r="J21"/>
      <c r="K21" s="11">
        <v>2.7709091082215309E-3</v>
      </c>
      <c r="L21" s="14">
        <v>3.4641817212104797E-2</v>
      </c>
      <c r="M21" s="17">
        <v>0.17454545199871063</v>
      </c>
      <c r="N21" s="14">
        <v>2.0107636228203773E-2</v>
      </c>
      <c r="O21"/>
      <c r="P21" s="11">
        <v>6.9490903115365654E-5</v>
      </c>
      <c r="Q21" s="212">
        <v>0.96698188781738281</v>
      </c>
      <c r="R21" s="136">
        <v>0.39184731245040894</v>
      </c>
      <c r="S21" s="60">
        <v>0.54981815814971924</v>
      </c>
      <c r="T21" s="20">
        <v>0.26909527182579041</v>
      </c>
      <c r="U21" s="213">
        <v>1.5023126602172852</v>
      </c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0.99307143688201904</v>
      </c>
      <c r="D22"/>
      <c r="E22"/>
      <c r="F22"/>
      <c r="G22"/>
      <c r="H22"/>
      <c r="I22" s="9">
        <v>7.8400008380413055E-2</v>
      </c>
      <c r="J22"/>
      <c r="K22"/>
      <c r="L22"/>
      <c r="M22" s="9">
        <v>123.59999847412109</v>
      </c>
      <c r="N22" s="9">
        <v>24.447999954223633</v>
      </c>
      <c r="O22"/>
      <c r="P22"/>
      <c r="Q22" s="9">
        <v>256.79998779296875</v>
      </c>
      <c r="R22" s="9">
        <v>1279.25</v>
      </c>
      <c r="S22" s="9">
        <v>7749</v>
      </c>
      <c r="T22" s="9">
        <v>2.2470004558563232</v>
      </c>
      <c r="U22" s="9">
        <v>200.63999938964844</v>
      </c>
      <c r="V22" s="9">
        <v>12900</v>
      </c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/>
      <c r="C23">
        <v>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workbookViewId="0">
      <selection activeCell="D33" sqref="D33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7" width="10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166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167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64" t="s">
        <v>192</v>
      </c>
      <c r="E5">
        <v>4</v>
      </c>
      <c r="F5">
        <v>0</v>
      </c>
      <c r="G5">
        <v>4</v>
      </c>
      <c r="H5" s="165" t="s">
        <v>192</v>
      </c>
      <c r="J5" s="53"/>
      <c r="K5" s="54"/>
    </row>
    <row r="6" spans="1:12" ht="14" thickBot="1" x14ac:dyDescent="0.2">
      <c r="A6" s="37" t="s">
        <v>121</v>
      </c>
      <c r="D6" s="164" t="s">
        <v>193</v>
      </c>
      <c r="E6">
        <v>5</v>
      </c>
      <c r="F6">
        <v>0</v>
      </c>
      <c r="G6">
        <v>5</v>
      </c>
      <c r="H6" s="165" t="s">
        <v>193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64" t="s">
        <v>194</v>
      </c>
      <c r="E7">
        <v>6</v>
      </c>
      <c r="F7">
        <v>0</v>
      </c>
      <c r="G7">
        <v>6</v>
      </c>
      <c r="H7" s="165" t="s">
        <v>194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64" t="s">
        <v>195</v>
      </c>
      <c r="E8">
        <v>7</v>
      </c>
      <c r="F8">
        <v>0</v>
      </c>
      <c r="G8">
        <v>7</v>
      </c>
      <c r="H8" s="165" t="s">
        <v>195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64" t="s">
        <v>196</v>
      </c>
      <c r="E9">
        <v>8</v>
      </c>
      <c r="F9">
        <v>0</v>
      </c>
      <c r="G9">
        <v>8</v>
      </c>
      <c r="H9" s="165" t="s">
        <v>196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64" t="s">
        <v>197</v>
      </c>
      <c r="E10">
        <v>9</v>
      </c>
      <c r="F10">
        <v>0</v>
      </c>
      <c r="G10">
        <v>9</v>
      </c>
      <c r="H10" s="165" t="s">
        <v>197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64" t="s">
        <v>198</v>
      </c>
      <c r="E11">
        <v>10</v>
      </c>
      <c r="F11">
        <v>0</v>
      </c>
      <c r="G11">
        <v>10</v>
      </c>
      <c r="H11" s="165" t="s">
        <v>198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64" t="s">
        <v>199</v>
      </c>
      <c r="E12">
        <v>11</v>
      </c>
      <c r="F12">
        <v>0</v>
      </c>
      <c r="G12">
        <v>11</v>
      </c>
      <c r="H12" s="165" t="s">
        <v>199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64" t="s">
        <v>200</v>
      </c>
      <c r="E13">
        <v>12</v>
      </c>
      <c r="F13">
        <v>0</v>
      </c>
      <c r="G13">
        <v>12</v>
      </c>
      <c r="H13" s="165" t="s">
        <v>200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64" t="s">
        <v>201</v>
      </c>
      <c r="E14">
        <v>13</v>
      </c>
      <c r="F14">
        <v>0</v>
      </c>
      <c r="G14">
        <v>13</v>
      </c>
      <c r="H14" s="165" t="s">
        <v>201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64" t="s">
        <v>202</v>
      </c>
      <c r="E15">
        <v>14</v>
      </c>
      <c r="F15">
        <v>0</v>
      </c>
      <c r="G15">
        <v>14</v>
      </c>
      <c r="H15" s="165" t="s">
        <v>202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64" t="s">
        <v>203</v>
      </c>
      <c r="E16">
        <v>15</v>
      </c>
      <c r="F16">
        <v>0</v>
      </c>
      <c r="G16">
        <v>15</v>
      </c>
      <c r="H16" s="165" t="s">
        <v>203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64" t="s">
        <v>204</v>
      </c>
      <c r="E17">
        <v>16</v>
      </c>
      <c r="F17">
        <v>0</v>
      </c>
      <c r="G17">
        <v>16</v>
      </c>
      <c r="H17" s="165" t="s">
        <v>204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64" t="s">
        <v>205</v>
      </c>
      <c r="E18">
        <v>17</v>
      </c>
      <c r="F18">
        <v>0</v>
      </c>
      <c r="G18">
        <v>17</v>
      </c>
      <c r="H18" s="165" t="s">
        <v>205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64" t="s">
        <v>206</v>
      </c>
      <c r="E19">
        <v>18</v>
      </c>
      <c r="F19">
        <v>0</v>
      </c>
      <c r="G19">
        <v>18</v>
      </c>
      <c r="H19" s="165" t="s">
        <v>206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64" t="s">
        <v>207</v>
      </c>
      <c r="E20">
        <v>19</v>
      </c>
      <c r="F20">
        <v>0</v>
      </c>
      <c r="G20">
        <v>19</v>
      </c>
      <c r="H20" s="165" t="s">
        <v>207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64" t="s">
        <v>208</v>
      </c>
      <c r="E21">
        <v>20</v>
      </c>
      <c r="F21">
        <v>0</v>
      </c>
      <c r="G21">
        <v>20</v>
      </c>
      <c r="H21" s="165" t="s">
        <v>208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64" t="s">
        <v>209</v>
      </c>
      <c r="E22">
        <v>21</v>
      </c>
      <c r="F22">
        <v>0</v>
      </c>
      <c r="G22">
        <v>21</v>
      </c>
      <c r="H22" s="165" t="s">
        <v>209</v>
      </c>
    </row>
    <row r="23" spans="1:12" x14ac:dyDescent="0.15">
      <c r="A23" s="32" t="s">
        <v>129</v>
      </c>
      <c r="B23" s="40">
        <v>4</v>
      </c>
      <c r="C23" s="34"/>
      <c r="D23" s="164" t="s">
        <v>210</v>
      </c>
      <c r="E23">
        <v>22</v>
      </c>
      <c r="F23">
        <v>2.1</v>
      </c>
      <c r="G23">
        <v>22</v>
      </c>
      <c r="H23" s="165" t="s">
        <v>210</v>
      </c>
    </row>
    <row r="24" spans="1:12" x14ac:dyDescent="0.15">
      <c r="A24" s="32" t="s">
        <v>122</v>
      </c>
      <c r="B24" s="40">
        <v>4.0999999999999996</v>
      </c>
      <c r="C24" s="34"/>
      <c r="D24" s="164" t="s">
        <v>211</v>
      </c>
      <c r="E24">
        <v>23</v>
      </c>
      <c r="F24">
        <v>2.2000000000000002</v>
      </c>
      <c r="G24">
        <v>23</v>
      </c>
      <c r="H24" s="165" t="s">
        <v>211</v>
      </c>
    </row>
    <row r="25" spans="1:12" x14ac:dyDescent="0.15">
      <c r="A25" s="32" t="s">
        <v>70</v>
      </c>
      <c r="B25" s="40">
        <v>4.2</v>
      </c>
      <c r="C25" s="34"/>
      <c r="D25" s="164" t="s">
        <v>212</v>
      </c>
      <c r="E25">
        <v>24</v>
      </c>
      <c r="F25">
        <v>4.0999999999999996</v>
      </c>
      <c r="G25">
        <v>24</v>
      </c>
      <c r="H25" s="165" t="s">
        <v>212</v>
      </c>
    </row>
    <row r="26" spans="1:12" x14ac:dyDescent="0.15">
      <c r="A26" s="32" t="s">
        <v>123</v>
      </c>
      <c r="B26" s="40">
        <v>4.3</v>
      </c>
      <c r="C26" s="34"/>
      <c r="D26" s="164" t="s">
        <v>213</v>
      </c>
      <c r="E26">
        <v>25</v>
      </c>
      <c r="F26">
        <v>4.3</v>
      </c>
      <c r="G26">
        <v>25</v>
      </c>
      <c r="H26" s="165" t="s">
        <v>213</v>
      </c>
    </row>
    <row r="27" spans="1:12" x14ac:dyDescent="0.15">
      <c r="A27" s="32" t="s">
        <v>125</v>
      </c>
      <c r="B27" s="40">
        <v>6.1</v>
      </c>
      <c r="D27" s="173" t="s">
        <v>218</v>
      </c>
      <c r="E27">
        <v>26</v>
      </c>
      <c r="F27">
        <v>5</v>
      </c>
      <c r="G27">
        <v>26</v>
      </c>
      <c r="H27" s="173" t="s">
        <v>218</v>
      </c>
    </row>
    <row r="28" spans="1:12" x14ac:dyDescent="0.15">
      <c r="A28" s="32" t="s">
        <v>124</v>
      </c>
      <c r="B28" s="40">
        <v>6.2</v>
      </c>
      <c r="D28" s="164" t="s">
        <v>138</v>
      </c>
      <c r="E28">
        <v>27</v>
      </c>
      <c r="F28">
        <v>6.1</v>
      </c>
      <c r="G28">
        <v>27</v>
      </c>
      <c r="H28" s="165" t="s">
        <v>138</v>
      </c>
    </row>
    <row r="29" spans="1:12" x14ac:dyDescent="0.15">
      <c r="A29" s="32" t="s">
        <v>44</v>
      </c>
      <c r="B29" s="40">
        <v>5</v>
      </c>
      <c r="D29" s="164" t="s">
        <v>45</v>
      </c>
      <c r="E29">
        <v>28</v>
      </c>
      <c r="F29">
        <v>6.2</v>
      </c>
      <c r="G29">
        <v>28</v>
      </c>
      <c r="H29" s="165" t="s">
        <v>45</v>
      </c>
    </row>
    <row r="30" spans="1:12" x14ac:dyDescent="0.15">
      <c r="A30" s="32" t="s">
        <v>73</v>
      </c>
      <c r="B30" s="40">
        <v>7</v>
      </c>
    </row>
    <row r="31" spans="1:12" x14ac:dyDescent="0.15">
      <c r="A31" s="32" t="s">
        <v>169</v>
      </c>
      <c r="B31" s="40">
        <v>3.14</v>
      </c>
    </row>
    <row r="32" spans="1:12" ht="12" customHeight="1" thickBot="1" x14ac:dyDescent="0.2">
      <c r="A32" s="38" t="s">
        <v>170</v>
      </c>
      <c r="B32" s="41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3" activePane="bottomLeft" state="frozen"/>
      <selection pane="bottomLeft" activeCell="F28" sqref="F28"/>
    </sheetView>
  </sheetViews>
  <sheetFormatPr baseColWidth="10" defaultColWidth="11.5" defaultRowHeight="15" customHeight="1" x14ac:dyDescent="0.15"/>
  <cols>
    <col min="1" max="1" width="13.1640625" style="77" bestFit="1" customWidth="1"/>
    <col min="2" max="2" width="13.83203125" style="76" customWidth="1"/>
    <col min="3" max="3" width="13.1640625" style="76" customWidth="1"/>
    <col min="4" max="4" width="5.33203125" style="76" customWidth="1"/>
    <col min="5" max="5" width="13.83203125" style="76" customWidth="1"/>
    <col min="6" max="6" width="15.83203125" style="76" bestFit="1" customWidth="1"/>
    <col min="7" max="9" width="2.33203125" style="76" customWidth="1"/>
    <col min="10" max="10" width="2.33203125" style="76" bestFit="1" customWidth="1"/>
    <col min="11" max="15" width="2.33203125" style="76" customWidth="1"/>
    <col min="16" max="16" width="2.33203125" style="66" customWidth="1"/>
    <col min="17" max="17" width="2.33203125" style="76" customWidth="1"/>
    <col min="18" max="18" width="2.33203125" style="67" customWidth="1"/>
    <col min="19" max="16384" width="11.5" style="76"/>
  </cols>
  <sheetData>
    <row r="1" spans="1:23" ht="15" customHeight="1" thickBot="1" x14ac:dyDescent="0.2">
      <c r="F1" s="1"/>
      <c r="G1" s="64" t="s">
        <v>46</v>
      </c>
      <c r="H1" s="64" t="s">
        <v>47</v>
      </c>
      <c r="I1" s="64" t="s">
        <v>120</v>
      </c>
      <c r="J1" s="64" t="s">
        <v>132</v>
      </c>
      <c r="K1" s="78" t="s">
        <v>48</v>
      </c>
      <c r="L1" s="67"/>
      <c r="M1" s="78" t="s">
        <v>119</v>
      </c>
      <c r="N1" s="67"/>
      <c r="O1" s="78" t="s">
        <v>49</v>
      </c>
      <c r="P1" s="69"/>
      <c r="Q1" s="78" t="s">
        <v>50</v>
      </c>
      <c r="R1" s="64" t="s">
        <v>154</v>
      </c>
    </row>
    <row r="2" spans="1:23" ht="15" customHeight="1" x14ac:dyDescent="0.15">
      <c r="A2" s="78" t="s">
        <v>51</v>
      </c>
      <c r="B2" s="79">
        <v>0.5</v>
      </c>
      <c r="C2" s="77" t="s">
        <v>52</v>
      </c>
      <c r="D2" s="80"/>
      <c r="F2" s="1"/>
      <c r="G2" s="81"/>
      <c r="H2" s="81"/>
      <c r="I2" s="81" t="s">
        <v>133</v>
      </c>
      <c r="J2" s="81" t="s">
        <v>133</v>
      </c>
      <c r="K2" s="81" t="s">
        <v>52</v>
      </c>
      <c r="L2" s="81" t="s">
        <v>53</v>
      </c>
      <c r="M2" s="81" t="s">
        <v>52</v>
      </c>
      <c r="N2" s="81" t="s">
        <v>53</v>
      </c>
      <c r="O2" s="81" t="s">
        <v>52</v>
      </c>
      <c r="P2" s="82" t="s">
        <v>53</v>
      </c>
      <c r="Q2" s="81"/>
      <c r="R2" s="83" t="s">
        <v>155</v>
      </c>
    </row>
    <row r="3" spans="1:23" ht="15" customHeight="1" thickBot="1" x14ac:dyDescent="0.2">
      <c r="A3" s="78" t="s">
        <v>54</v>
      </c>
      <c r="B3" s="84">
        <v>0.5</v>
      </c>
      <c r="C3" s="77" t="s">
        <v>53</v>
      </c>
      <c r="D3" s="8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1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1">
        <v>0</v>
      </c>
      <c r="R4" s="104">
        <v>0</v>
      </c>
    </row>
    <row r="5" spans="1:23" ht="15" customHeight="1" x14ac:dyDescent="0.15">
      <c r="A5" s="78" t="s">
        <v>55</v>
      </c>
      <c r="B5" s="85">
        <v>0.5</v>
      </c>
      <c r="C5" s="77" t="s">
        <v>52</v>
      </c>
      <c r="D5" s="8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1">
        <v>0</v>
      </c>
      <c r="R5" s="104">
        <v>0</v>
      </c>
    </row>
    <row r="6" spans="1:23" ht="15" customHeight="1" thickBot="1" x14ac:dyDescent="0.2">
      <c r="A6" s="78"/>
      <c r="B6" s="86">
        <v>0.5</v>
      </c>
      <c r="C6" s="77" t="s">
        <v>53</v>
      </c>
      <c r="D6" s="80"/>
      <c r="F6" s="166" t="s">
        <v>192</v>
      </c>
      <c r="G6" s="76">
        <v>0</v>
      </c>
      <c r="H6" s="76">
        <v>0</v>
      </c>
      <c r="I6" s="76">
        <v>0</v>
      </c>
      <c r="J6" s="76">
        <v>0</v>
      </c>
      <c r="K6" s="76">
        <v>1</v>
      </c>
      <c r="L6" s="76">
        <v>0</v>
      </c>
      <c r="M6" s="76">
        <v>1</v>
      </c>
      <c r="N6" s="76">
        <v>0</v>
      </c>
      <c r="O6" s="76">
        <v>1</v>
      </c>
      <c r="P6" s="66">
        <v>0</v>
      </c>
      <c r="Q6" s="76">
        <v>0</v>
      </c>
      <c r="R6" s="67">
        <v>1</v>
      </c>
      <c r="S6"/>
      <c r="T6"/>
    </row>
    <row r="7" spans="1:23" ht="15" customHeight="1" thickBot="1" x14ac:dyDescent="0.2">
      <c r="F7" s="166" t="s">
        <v>193</v>
      </c>
      <c r="G7" s="76">
        <v>0</v>
      </c>
      <c r="H7" s="76">
        <v>0</v>
      </c>
      <c r="I7" s="76">
        <v>0</v>
      </c>
      <c r="J7" s="76">
        <v>0</v>
      </c>
      <c r="K7" s="76">
        <v>1</v>
      </c>
      <c r="L7" s="76">
        <v>0</v>
      </c>
      <c r="M7" s="76">
        <v>1</v>
      </c>
      <c r="N7" s="76">
        <v>0</v>
      </c>
      <c r="O7" s="76">
        <v>1</v>
      </c>
      <c r="P7" s="66">
        <v>0</v>
      </c>
      <c r="Q7" s="76">
        <v>0</v>
      </c>
      <c r="R7" s="67">
        <v>1</v>
      </c>
      <c r="S7"/>
      <c r="T7"/>
    </row>
    <row r="8" spans="1:23" ht="15" customHeight="1" x14ac:dyDescent="0.15">
      <c r="A8" s="78" t="s">
        <v>56</v>
      </c>
      <c r="B8" s="85">
        <v>8.7636932707355245E-2</v>
      </c>
      <c r="C8" s="167" t="s">
        <v>210</v>
      </c>
      <c r="D8" s="80" t="s">
        <v>160</v>
      </c>
      <c r="F8" s="166" t="s">
        <v>194</v>
      </c>
      <c r="G8" s="76">
        <v>0</v>
      </c>
      <c r="H8" s="76">
        <v>0</v>
      </c>
      <c r="I8" s="76">
        <v>0</v>
      </c>
      <c r="J8" s="76">
        <v>0</v>
      </c>
      <c r="K8" s="76">
        <v>1</v>
      </c>
      <c r="L8" s="76">
        <v>0</v>
      </c>
      <c r="M8" s="76">
        <v>1</v>
      </c>
      <c r="N8" s="76">
        <v>0</v>
      </c>
      <c r="O8" s="76">
        <v>1</v>
      </c>
      <c r="P8" s="66">
        <v>0</v>
      </c>
      <c r="Q8" s="76">
        <v>0</v>
      </c>
      <c r="R8" s="67">
        <v>1</v>
      </c>
      <c r="S8"/>
      <c r="T8"/>
      <c r="W8"/>
    </row>
    <row r="9" spans="1:23" ht="15" customHeight="1" x14ac:dyDescent="0.15">
      <c r="A9" s="118" t="s">
        <v>168</v>
      </c>
      <c r="B9" s="87">
        <v>0.91236306729264471</v>
      </c>
      <c r="C9" s="167" t="s">
        <v>211</v>
      </c>
      <c r="D9" s="80" t="s">
        <v>160</v>
      </c>
      <c r="F9" s="166" t="s">
        <v>195</v>
      </c>
      <c r="G9" s="76">
        <v>0</v>
      </c>
      <c r="H9" s="76">
        <v>0</v>
      </c>
      <c r="I9" s="76">
        <v>0</v>
      </c>
      <c r="J9" s="76">
        <v>0</v>
      </c>
      <c r="K9" s="76">
        <v>1</v>
      </c>
      <c r="L9" s="76">
        <v>0</v>
      </c>
      <c r="M9" s="76">
        <v>1</v>
      </c>
      <c r="N9" s="76">
        <v>0</v>
      </c>
      <c r="O9" s="76">
        <v>1</v>
      </c>
      <c r="P9" s="66">
        <v>0</v>
      </c>
      <c r="Q9" s="76">
        <v>0</v>
      </c>
      <c r="R9" s="67">
        <v>1</v>
      </c>
      <c r="S9"/>
      <c r="T9"/>
      <c r="W9"/>
    </row>
    <row r="10" spans="1:23" ht="15" customHeight="1" x14ac:dyDescent="0.15">
      <c r="B10" s="87"/>
      <c r="C10" s="75"/>
      <c r="D10" s="80" t="s">
        <v>160</v>
      </c>
      <c r="F10" s="166" t="s">
        <v>196</v>
      </c>
      <c r="G10" s="76">
        <v>0</v>
      </c>
      <c r="H10" s="76">
        <v>0</v>
      </c>
      <c r="I10" s="76">
        <v>0</v>
      </c>
      <c r="J10" s="76">
        <v>0</v>
      </c>
      <c r="K10" s="76">
        <v>1</v>
      </c>
      <c r="L10" s="76">
        <v>0</v>
      </c>
      <c r="M10" s="76">
        <v>1</v>
      </c>
      <c r="N10" s="76">
        <v>0</v>
      </c>
      <c r="O10" s="76">
        <v>1</v>
      </c>
      <c r="P10" s="66">
        <v>0</v>
      </c>
      <c r="Q10" s="76">
        <v>0</v>
      </c>
      <c r="R10" s="67">
        <v>1</v>
      </c>
      <c r="S10"/>
      <c r="T10"/>
      <c r="W10"/>
    </row>
    <row r="11" spans="1:23" ht="15" customHeight="1" x14ac:dyDescent="0.15">
      <c r="A11" s="78"/>
      <c r="B11" s="87"/>
      <c r="C11" s="90"/>
      <c r="D11" s="80" t="s">
        <v>160</v>
      </c>
      <c r="F11" s="166" t="s">
        <v>197</v>
      </c>
      <c r="G11" s="76">
        <v>0</v>
      </c>
      <c r="H11" s="76">
        <v>0</v>
      </c>
      <c r="I11" s="76">
        <v>0</v>
      </c>
      <c r="J11" s="76">
        <v>0</v>
      </c>
      <c r="K11" s="76">
        <v>1</v>
      </c>
      <c r="L11" s="76">
        <v>0</v>
      </c>
      <c r="M11" s="76">
        <v>1</v>
      </c>
      <c r="N11" s="76">
        <v>0</v>
      </c>
      <c r="O11" s="76">
        <v>1</v>
      </c>
      <c r="P11" s="66">
        <v>0</v>
      </c>
      <c r="Q11" s="76">
        <v>0</v>
      </c>
      <c r="R11" s="67">
        <v>1</v>
      </c>
      <c r="S11"/>
      <c r="T11"/>
      <c r="W11"/>
    </row>
    <row r="12" spans="1:23" ht="15" customHeight="1" x14ac:dyDescent="0.15">
      <c r="B12" s="87"/>
      <c r="C12" s="91"/>
      <c r="D12" s="80" t="s">
        <v>160</v>
      </c>
      <c r="F12" s="166" t="s">
        <v>198</v>
      </c>
      <c r="G12" s="76">
        <v>0</v>
      </c>
      <c r="H12" s="76">
        <v>0</v>
      </c>
      <c r="I12" s="76">
        <v>0</v>
      </c>
      <c r="J12" s="76">
        <v>0</v>
      </c>
      <c r="K12" s="76">
        <v>1</v>
      </c>
      <c r="L12" s="76">
        <v>0</v>
      </c>
      <c r="M12" s="76">
        <v>1</v>
      </c>
      <c r="N12" s="76">
        <v>0</v>
      </c>
      <c r="O12" s="76">
        <v>1</v>
      </c>
      <c r="P12" s="66">
        <v>0</v>
      </c>
      <c r="Q12" s="76">
        <v>0</v>
      </c>
      <c r="R12" s="67">
        <v>1</v>
      </c>
      <c r="S12"/>
      <c r="T12"/>
      <c r="W12"/>
    </row>
    <row r="13" spans="1:23" ht="15" customHeight="1" x14ac:dyDescent="0.15">
      <c r="B13" s="87"/>
      <c r="C13" s="91"/>
      <c r="D13" s="80" t="s">
        <v>160</v>
      </c>
      <c r="F13" s="166" t="s">
        <v>199</v>
      </c>
      <c r="G13" s="76">
        <v>0</v>
      </c>
      <c r="H13" s="76">
        <v>0</v>
      </c>
      <c r="I13" s="76">
        <v>0</v>
      </c>
      <c r="J13" s="76">
        <v>0</v>
      </c>
      <c r="K13" s="76">
        <v>1</v>
      </c>
      <c r="L13" s="76">
        <v>0</v>
      </c>
      <c r="M13" s="76">
        <v>1</v>
      </c>
      <c r="N13" s="76">
        <v>0</v>
      </c>
      <c r="O13" s="76">
        <v>1</v>
      </c>
      <c r="P13" s="66">
        <v>0</v>
      </c>
      <c r="Q13" s="76">
        <v>0</v>
      </c>
      <c r="R13" s="67">
        <v>1</v>
      </c>
      <c r="S13"/>
      <c r="T13"/>
      <c r="W13"/>
    </row>
    <row r="14" spans="1:23" ht="15" customHeight="1" x14ac:dyDescent="0.15">
      <c r="B14" s="87"/>
      <c r="C14" s="75"/>
      <c r="D14" s="80" t="s">
        <v>160</v>
      </c>
      <c r="F14" s="166" t="s">
        <v>200</v>
      </c>
      <c r="G14" s="76">
        <v>0</v>
      </c>
      <c r="H14" s="76">
        <v>0</v>
      </c>
      <c r="I14" s="76">
        <v>0</v>
      </c>
      <c r="J14" s="76">
        <v>0</v>
      </c>
      <c r="K14" s="76">
        <v>1</v>
      </c>
      <c r="L14" s="76">
        <v>0</v>
      </c>
      <c r="M14" s="76">
        <v>1</v>
      </c>
      <c r="N14" s="76">
        <v>0</v>
      </c>
      <c r="O14" s="76">
        <v>1</v>
      </c>
      <c r="P14" s="66">
        <v>0</v>
      </c>
      <c r="Q14" s="76">
        <v>0</v>
      </c>
      <c r="R14" s="67">
        <v>1</v>
      </c>
      <c r="S14"/>
      <c r="T14"/>
      <c r="W14"/>
    </row>
    <row r="15" spans="1:23" ht="15" customHeight="1" x14ac:dyDescent="0.15">
      <c r="B15" s="87"/>
      <c r="C15" s="75"/>
      <c r="D15" s="80" t="s">
        <v>160</v>
      </c>
      <c r="F15" s="166" t="s">
        <v>201</v>
      </c>
      <c r="G15" s="76">
        <v>0</v>
      </c>
      <c r="H15" s="76">
        <v>0</v>
      </c>
      <c r="I15" s="76">
        <v>0</v>
      </c>
      <c r="J15" s="76">
        <v>0</v>
      </c>
      <c r="K15" s="76">
        <v>1</v>
      </c>
      <c r="L15" s="76">
        <v>0</v>
      </c>
      <c r="M15" s="76">
        <v>1</v>
      </c>
      <c r="N15" s="76">
        <v>0</v>
      </c>
      <c r="O15" s="76">
        <v>1</v>
      </c>
      <c r="P15" s="66">
        <v>0</v>
      </c>
      <c r="Q15" s="76">
        <v>0</v>
      </c>
      <c r="R15" s="67">
        <v>1</v>
      </c>
      <c r="S15"/>
      <c r="T15"/>
      <c r="W15"/>
    </row>
    <row r="16" spans="1:23" ht="15" customHeight="1" x14ac:dyDescent="0.15">
      <c r="B16" s="87"/>
      <c r="C16" s="75"/>
      <c r="D16" s="80" t="s">
        <v>160</v>
      </c>
      <c r="F16" s="166" t="s">
        <v>202</v>
      </c>
      <c r="G16" s="76">
        <v>0</v>
      </c>
      <c r="H16" s="76">
        <v>0</v>
      </c>
      <c r="I16" s="76">
        <v>0</v>
      </c>
      <c r="J16" s="76">
        <v>0</v>
      </c>
      <c r="K16" s="76">
        <v>1</v>
      </c>
      <c r="L16" s="76">
        <v>0</v>
      </c>
      <c r="M16" s="76">
        <v>1</v>
      </c>
      <c r="N16" s="76">
        <v>0</v>
      </c>
      <c r="O16" s="76">
        <v>1</v>
      </c>
      <c r="P16" s="66">
        <v>0</v>
      </c>
      <c r="Q16" s="76">
        <v>0</v>
      </c>
      <c r="R16" s="67">
        <v>1</v>
      </c>
      <c r="S16"/>
      <c r="T16"/>
    </row>
    <row r="17" spans="1:20" ht="15" customHeight="1" thickBot="1" x14ac:dyDescent="0.2">
      <c r="B17" s="86"/>
      <c r="C17" s="75"/>
      <c r="D17" s="80" t="s">
        <v>160</v>
      </c>
      <c r="F17" s="166" t="s">
        <v>203</v>
      </c>
      <c r="G17" s="76">
        <v>0</v>
      </c>
      <c r="H17" s="76">
        <v>0</v>
      </c>
      <c r="I17" s="76">
        <v>0</v>
      </c>
      <c r="J17" s="76">
        <v>0</v>
      </c>
      <c r="K17" s="76">
        <v>1</v>
      </c>
      <c r="L17" s="76">
        <v>0</v>
      </c>
      <c r="M17" s="76">
        <v>1</v>
      </c>
      <c r="N17" s="76">
        <v>0</v>
      </c>
      <c r="O17" s="76">
        <v>1</v>
      </c>
      <c r="P17" s="66">
        <v>0</v>
      </c>
      <c r="Q17" s="76">
        <v>0</v>
      </c>
      <c r="R17" s="67">
        <v>1</v>
      </c>
      <c r="S17"/>
      <c r="T17"/>
    </row>
    <row r="18" spans="1:20" ht="15" customHeight="1" thickBot="1" x14ac:dyDescent="0.2">
      <c r="B18" s="88"/>
      <c r="F18" s="166" t="s">
        <v>204</v>
      </c>
      <c r="G18" s="76">
        <v>0</v>
      </c>
      <c r="H18" s="76">
        <v>0</v>
      </c>
      <c r="I18" s="76">
        <v>0</v>
      </c>
      <c r="J18" s="76">
        <v>0</v>
      </c>
      <c r="K18" s="76">
        <v>1</v>
      </c>
      <c r="L18" s="76">
        <v>0</v>
      </c>
      <c r="M18" s="76">
        <v>1</v>
      </c>
      <c r="N18" s="76">
        <v>0</v>
      </c>
      <c r="O18" s="76">
        <v>1</v>
      </c>
      <c r="P18" s="66">
        <v>0</v>
      </c>
      <c r="Q18" s="76">
        <v>0</v>
      </c>
      <c r="R18" s="67">
        <v>1</v>
      </c>
      <c r="S18"/>
      <c r="T18"/>
    </row>
    <row r="19" spans="1:20" ht="15" customHeight="1" x14ac:dyDescent="0.15">
      <c r="A19" s="78" t="s">
        <v>57</v>
      </c>
      <c r="B19" s="85">
        <v>8.7636932707355245E-2</v>
      </c>
      <c r="C19" s="168" t="s">
        <v>210</v>
      </c>
      <c r="D19" s="80" t="s">
        <v>160</v>
      </c>
      <c r="F19" s="166" t="s">
        <v>205</v>
      </c>
      <c r="G19" s="76">
        <v>0</v>
      </c>
      <c r="H19" s="76">
        <v>0</v>
      </c>
      <c r="I19" s="76">
        <v>0</v>
      </c>
      <c r="J19" s="76">
        <v>0</v>
      </c>
      <c r="K19" s="76">
        <v>1</v>
      </c>
      <c r="L19" s="76">
        <v>0</v>
      </c>
      <c r="M19" s="76">
        <v>1</v>
      </c>
      <c r="N19" s="76">
        <v>0</v>
      </c>
      <c r="O19" s="76">
        <v>1</v>
      </c>
      <c r="P19" s="66">
        <v>0</v>
      </c>
      <c r="Q19" s="76">
        <v>0</v>
      </c>
      <c r="R19" s="67">
        <v>1</v>
      </c>
      <c r="S19"/>
      <c r="T19"/>
    </row>
    <row r="20" spans="1:20" ht="15" customHeight="1" x14ac:dyDescent="0.15">
      <c r="A20" s="118" t="s">
        <v>168</v>
      </c>
      <c r="B20" s="87">
        <v>0.91236306729264471</v>
      </c>
      <c r="C20" s="168" t="s">
        <v>211</v>
      </c>
      <c r="D20" s="80" t="s">
        <v>160</v>
      </c>
      <c r="F20" s="166" t="s">
        <v>206</v>
      </c>
      <c r="G20" s="76">
        <v>0</v>
      </c>
      <c r="H20" s="76">
        <v>0</v>
      </c>
      <c r="I20" s="76">
        <v>0</v>
      </c>
      <c r="J20" s="76">
        <v>0</v>
      </c>
      <c r="K20" s="76">
        <v>1</v>
      </c>
      <c r="L20" s="76">
        <v>0</v>
      </c>
      <c r="M20" s="76">
        <v>1</v>
      </c>
      <c r="N20" s="76">
        <v>0</v>
      </c>
      <c r="O20" s="76">
        <v>1</v>
      </c>
      <c r="P20" s="66">
        <v>0</v>
      </c>
      <c r="Q20" s="76">
        <v>0</v>
      </c>
      <c r="R20" s="67">
        <v>1</v>
      </c>
      <c r="S20"/>
      <c r="T20"/>
    </row>
    <row r="21" spans="1:20" ht="15" customHeight="1" x14ac:dyDescent="0.15">
      <c r="B21" s="87"/>
      <c r="C21" s="75"/>
      <c r="D21" s="80" t="s">
        <v>160</v>
      </c>
      <c r="F21" s="166" t="s">
        <v>207</v>
      </c>
      <c r="G21" s="76">
        <v>0</v>
      </c>
      <c r="H21" s="76">
        <v>0</v>
      </c>
      <c r="I21" s="76">
        <v>0</v>
      </c>
      <c r="J21" s="76">
        <v>0</v>
      </c>
      <c r="K21" s="76">
        <v>1</v>
      </c>
      <c r="L21" s="76">
        <v>0</v>
      </c>
      <c r="M21" s="76">
        <v>1</v>
      </c>
      <c r="N21" s="76">
        <v>0</v>
      </c>
      <c r="O21" s="76">
        <v>1</v>
      </c>
      <c r="P21" s="66">
        <v>0</v>
      </c>
      <c r="Q21" s="76">
        <v>0</v>
      </c>
      <c r="R21" s="67">
        <v>1</v>
      </c>
      <c r="S21"/>
      <c r="T21"/>
    </row>
    <row r="22" spans="1:20" ht="15" customHeight="1" x14ac:dyDescent="0.15">
      <c r="A22" s="76"/>
      <c r="B22" s="87"/>
      <c r="C22" s="90"/>
      <c r="D22" s="80" t="s">
        <v>160</v>
      </c>
      <c r="F22" s="166" t="s">
        <v>208</v>
      </c>
      <c r="G22" s="76">
        <v>0</v>
      </c>
      <c r="H22" s="76">
        <v>0</v>
      </c>
      <c r="I22" s="76">
        <v>0</v>
      </c>
      <c r="J22" s="76">
        <v>0</v>
      </c>
      <c r="K22" s="76">
        <v>1</v>
      </c>
      <c r="L22" s="76">
        <v>0</v>
      </c>
      <c r="M22" s="76">
        <v>1</v>
      </c>
      <c r="N22" s="76">
        <v>0</v>
      </c>
      <c r="O22" s="76">
        <v>1</v>
      </c>
      <c r="P22" s="66">
        <v>0</v>
      </c>
      <c r="Q22" s="76">
        <v>0</v>
      </c>
      <c r="R22" s="67">
        <v>1</v>
      </c>
      <c r="S22"/>
      <c r="T22"/>
    </row>
    <row r="23" spans="1:20" ht="15" customHeight="1" x14ac:dyDescent="0.15">
      <c r="A23" s="76"/>
      <c r="B23" s="87"/>
      <c r="C23" s="91"/>
      <c r="D23" s="80" t="s">
        <v>160</v>
      </c>
      <c r="F23" s="166" t="s">
        <v>209</v>
      </c>
      <c r="G23" s="76">
        <v>0</v>
      </c>
      <c r="H23" s="76">
        <v>0</v>
      </c>
      <c r="I23" s="76">
        <v>0</v>
      </c>
      <c r="J23" s="76">
        <v>0</v>
      </c>
      <c r="K23" s="76">
        <v>1</v>
      </c>
      <c r="L23" s="76">
        <v>0</v>
      </c>
      <c r="M23" s="76">
        <v>1</v>
      </c>
      <c r="N23" s="76">
        <v>0</v>
      </c>
      <c r="O23" s="76">
        <v>1</v>
      </c>
      <c r="P23" s="66">
        <v>0</v>
      </c>
      <c r="Q23" s="76">
        <v>0</v>
      </c>
      <c r="R23" s="67">
        <v>1</v>
      </c>
      <c r="S23"/>
      <c r="T23"/>
    </row>
    <row r="24" spans="1:20" ht="15" customHeight="1" x14ac:dyDescent="0.15">
      <c r="A24" s="76"/>
      <c r="B24" s="87"/>
      <c r="C24" s="91"/>
      <c r="D24" s="80" t="s">
        <v>160</v>
      </c>
      <c r="F24" s="166" t="s">
        <v>210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1</v>
      </c>
      <c r="N24" s="76">
        <v>0</v>
      </c>
      <c r="O24" s="76">
        <v>0</v>
      </c>
      <c r="P24" s="66">
        <v>0</v>
      </c>
      <c r="Q24" s="76">
        <v>0</v>
      </c>
      <c r="R24" s="67">
        <v>1</v>
      </c>
      <c r="S24"/>
      <c r="T24"/>
    </row>
    <row r="25" spans="1:20" ht="15" customHeight="1" x14ac:dyDescent="0.15">
      <c r="A25" s="76"/>
      <c r="B25" s="87"/>
      <c r="C25" s="75"/>
      <c r="D25" s="80" t="s">
        <v>160</v>
      </c>
      <c r="F25" s="166" t="s">
        <v>211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1</v>
      </c>
      <c r="N25" s="76">
        <v>0</v>
      </c>
      <c r="O25" s="76">
        <v>0</v>
      </c>
      <c r="P25" s="66">
        <v>0</v>
      </c>
      <c r="Q25" s="76">
        <v>0</v>
      </c>
      <c r="R25" s="67">
        <v>1</v>
      </c>
      <c r="S25"/>
      <c r="T25"/>
    </row>
    <row r="26" spans="1:20" ht="15" customHeight="1" x14ac:dyDescent="0.15">
      <c r="B26" s="87"/>
      <c r="C26" s="75"/>
      <c r="D26" s="80" t="s">
        <v>160</v>
      </c>
      <c r="F26" s="166" t="s">
        <v>212</v>
      </c>
      <c r="G26" s="76">
        <v>0</v>
      </c>
      <c r="H26" s="76">
        <v>0</v>
      </c>
      <c r="I26" s="76">
        <v>0</v>
      </c>
      <c r="J26" s="76">
        <v>0</v>
      </c>
      <c r="K26" s="76">
        <v>0</v>
      </c>
      <c r="L26" s="76">
        <v>1</v>
      </c>
      <c r="M26" s="76">
        <v>0</v>
      </c>
      <c r="N26" s="76">
        <v>1</v>
      </c>
      <c r="O26" s="76">
        <v>0</v>
      </c>
      <c r="P26" s="66">
        <v>1</v>
      </c>
      <c r="Q26" s="76">
        <v>0</v>
      </c>
      <c r="R26" s="67">
        <v>1</v>
      </c>
      <c r="S26"/>
      <c r="T26"/>
    </row>
    <row r="27" spans="1:20" ht="15" customHeight="1" x14ac:dyDescent="0.15">
      <c r="B27" s="87"/>
      <c r="C27" s="75"/>
      <c r="D27" s="80" t="s">
        <v>160</v>
      </c>
      <c r="F27" s="166" t="s">
        <v>213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1</v>
      </c>
      <c r="M27" s="76">
        <v>0</v>
      </c>
      <c r="N27" s="76">
        <v>1</v>
      </c>
      <c r="O27" s="76">
        <v>0</v>
      </c>
      <c r="P27" s="66">
        <v>1</v>
      </c>
      <c r="Q27" s="76">
        <v>0</v>
      </c>
      <c r="R27" s="67">
        <v>1</v>
      </c>
      <c r="S27"/>
      <c r="T27"/>
    </row>
    <row r="28" spans="1:20" ht="15" customHeight="1" thickBot="1" x14ac:dyDescent="0.2">
      <c r="B28" s="86"/>
      <c r="C28" s="75"/>
      <c r="D28" s="80" t="s">
        <v>160</v>
      </c>
      <c r="F28" s="174" t="s">
        <v>218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 s="105">
        <v>1</v>
      </c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9"/>
      <c r="B31" s="129" t="s">
        <v>17</v>
      </c>
      <c r="C31" s="129" t="s">
        <v>1</v>
      </c>
      <c r="D31" s="129" t="s">
        <v>161</v>
      </c>
      <c r="E31" s="130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69" t="s">
        <v>210</v>
      </c>
      <c r="B32" s="88">
        <v>25</v>
      </c>
      <c r="C32" s="88">
        <v>70</v>
      </c>
      <c r="D32" s="88">
        <v>1750</v>
      </c>
      <c r="E32" s="120">
        <v>8.7636932707355245E-2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69" t="s">
        <v>211</v>
      </c>
      <c r="B33" s="88">
        <v>1375</v>
      </c>
      <c r="C33" s="88">
        <v>13.25</v>
      </c>
      <c r="D33" s="88">
        <v>18218.75</v>
      </c>
      <c r="E33" s="120">
        <v>0.91236306729264471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1"/>
      <c r="B34" s="88"/>
      <c r="C34" s="88"/>
      <c r="D34" s="88"/>
      <c r="E34" s="120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2"/>
      <c r="B35" s="88"/>
      <c r="C35" s="88"/>
      <c r="D35" s="88"/>
      <c r="E35" s="12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3"/>
      <c r="B36" s="88"/>
      <c r="C36" s="88"/>
      <c r="D36" s="88"/>
      <c r="E36" s="12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3"/>
      <c r="B37" s="88"/>
      <c r="C37" s="88"/>
      <c r="D37" s="88"/>
      <c r="E37" s="12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4"/>
      <c r="B38" s="88"/>
      <c r="C38" s="88"/>
      <c r="D38" s="88"/>
      <c r="E38" s="12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4"/>
      <c r="B39" s="88"/>
      <c r="C39" s="88"/>
      <c r="D39" s="88"/>
      <c r="E39" s="12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4"/>
      <c r="B40" s="88"/>
      <c r="C40" s="88"/>
      <c r="D40" s="88"/>
      <c r="E40" s="12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4"/>
      <c r="B41" s="88"/>
      <c r="C41" s="88"/>
      <c r="D41" s="89"/>
      <c r="E41" s="125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6"/>
      <c r="B42" s="127"/>
      <c r="C42" s="127" t="s">
        <v>162</v>
      </c>
      <c r="D42" s="127">
        <f>SUM(D32:D41)</f>
        <v>19968.75</v>
      </c>
      <c r="E42" s="128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E8" sqref="AE8"/>
    </sheetView>
  </sheetViews>
  <sheetFormatPr baseColWidth="10" defaultColWidth="8.83203125" defaultRowHeight="13" x14ac:dyDescent="0.15"/>
  <cols>
    <col min="1" max="1" width="15.83203125" bestFit="1" customWidth="1"/>
    <col min="2" max="2" width="2.33203125" style="104" customWidth="1"/>
    <col min="3" max="5" width="7.83203125" style="104" customWidth="1"/>
    <col min="6" max="8" width="8.83203125" style="6"/>
    <col min="9" max="9" width="12" style="6" customWidth="1"/>
    <col min="10" max="10" width="13.83203125" style="6" customWidth="1"/>
    <col min="11" max="11" width="14" style="6" customWidth="1"/>
    <col min="12" max="12" width="15.83203125" style="6" customWidth="1"/>
    <col min="13" max="13" width="14.6640625" style="6" customWidth="1"/>
    <col min="14" max="15" width="13.5" style="6" customWidth="1"/>
    <col min="16" max="16" width="14" style="6" customWidth="1"/>
    <col min="17" max="17" width="11.6640625" style="6" customWidth="1"/>
    <col min="18" max="18" width="14.5" style="6" customWidth="1"/>
    <col min="19" max="19" width="12.83203125" style="6" customWidth="1"/>
    <col min="20" max="20" width="13.1640625" style="6" customWidth="1"/>
    <col min="21" max="21" width="14.1640625" style="6" customWidth="1"/>
    <col min="22" max="22" width="15.33203125" style="6" customWidth="1"/>
    <col min="23" max="23" width="14.83203125" style="6" customWidth="1"/>
    <col min="24" max="24" width="14.1640625" style="6" customWidth="1"/>
    <col min="25" max="25" width="14" style="6" customWidth="1"/>
    <col min="26" max="26" width="14.6640625" style="6" customWidth="1"/>
    <col min="27" max="27" width="13.1640625" style="6" customWidth="1"/>
    <col min="28" max="28" width="12.33203125" style="6" customWidth="1"/>
    <col min="29" max="29" width="7.6640625" style="6" customWidth="1"/>
    <col min="30" max="30" width="21.6640625" style="6" customWidth="1"/>
    <col min="31" max="38" width="8.83203125" style="6"/>
    <col min="81" max="81" width="22.1640625" bestFit="1" customWidth="1"/>
  </cols>
  <sheetData>
    <row r="1" spans="1:38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/>
      <c r="G1"/>
      <c r="H1"/>
      <c r="I1" s="171" t="s">
        <v>192</v>
      </c>
      <c r="J1" s="171" t="s">
        <v>193</v>
      </c>
      <c r="K1" s="171" t="s">
        <v>194</v>
      </c>
      <c r="L1" s="171" t="s">
        <v>195</v>
      </c>
      <c r="M1" s="171" t="s">
        <v>196</v>
      </c>
      <c r="N1" s="171" t="s">
        <v>197</v>
      </c>
      <c r="O1" s="171" t="s">
        <v>198</v>
      </c>
      <c r="P1" s="171" t="s">
        <v>199</v>
      </c>
      <c r="Q1" s="171" t="s">
        <v>200</v>
      </c>
      <c r="R1" s="171" t="s">
        <v>201</v>
      </c>
      <c r="S1" s="171" t="s">
        <v>202</v>
      </c>
      <c r="T1" s="171" t="s">
        <v>203</v>
      </c>
      <c r="U1" s="171" t="s">
        <v>204</v>
      </c>
      <c r="V1" s="171" t="s">
        <v>205</v>
      </c>
      <c r="W1" s="171" t="s">
        <v>206</v>
      </c>
      <c r="X1" s="171" t="s">
        <v>207</v>
      </c>
      <c r="Y1" s="171" t="s">
        <v>208</v>
      </c>
      <c r="Z1" s="171" t="s">
        <v>209</v>
      </c>
      <c r="AA1" s="171" t="s">
        <v>210</v>
      </c>
      <c r="AB1" s="171" t="s">
        <v>211</v>
      </c>
      <c r="AC1" s="171" t="s">
        <v>212</v>
      </c>
      <c r="AD1" s="171" t="s">
        <v>213</v>
      </c>
      <c r="AE1" s="175" t="s">
        <v>218</v>
      </c>
      <c r="AF1"/>
      <c r="AG1"/>
      <c r="AH1"/>
      <c r="AI1"/>
      <c r="AJ1"/>
      <c r="AK1"/>
      <c r="AL1"/>
    </row>
    <row r="2" spans="1:38" x14ac:dyDescent="0.15">
      <c r="A2" t="s">
        <v>38</v>
      </c>
      <c r="B2" s="10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0" t="s">
        <v>192</v>
      </c>
      <c r="B5" s="10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0" t="s">
        <v>193</v>
      </c>
      <c r="B6" s="10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0" t="s">
        <v>194</v>
      </c>
      <c r="B7" s="10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0" t="s">
        <v>195</v>
      </c>
      <c r="B8" s="10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0" t="s">
        <v>196</v>
      </c>
      <c r="B9" s="10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0" t="s">
        <v>197</v>
      </c>
      <c r="B10" s="10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0" t="s">
        <v>198</v>
      </c>
      <c r="B11" s="10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0" t="s">
        <v>199</v>
      </c>
      <c r="B12" s="10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0" t="s">
        <v>200</v>
      </c>
      <c r="B13" s="10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0" t="s">
        <v>201</v>
      </c>
      <c r="B14" s="10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0" t="s">
        <v>202</v>
      </c>
      <c r="B15" s="10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0" t="s">
        <v>203</v>
      </c>
      <c r="B16" s="10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0" t="s">
        <v>204</v>
      </c>
      <c r="B17" s="10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0" t="s">
        <v>205</v>
      </c>
      <c r="B18" s="10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0" t="s">
        <v>206</v>
      </c>
      <c r="B19" s="10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0" t="s">
        <v>207</v>
      </c>
      <c r="B20" s="10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0" t="s">
        <v>208</v>
      </c>
      <c r="B21" s="10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0" t="s">
        <v>209</v>
      </c>
      <c r="B22" s="10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0" t="s">
        <v>210</v>
      </c>
      <c r="B23" s="10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0" t="s">
        <v>211</v>
      </c>
      <c r="B24" s="10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0" t="s">
        <v>212</v>
      </c>
      <c r="B25" s="10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0" t="s">
        <v>213</v>
      </c>
      <c r="B26" s="10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4" t="s">
        <v>218</v>
      </c>
      <c r="B27" s="10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2023-08-14T21:56:41Z</dcterms:modified>
</cp:coreProperties>
</file>