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83276895-51B7-5442-9426-BD0A0EA59C02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Detritus!$C$2:$F$22</definedName>
    <definedName name="matDiet">Diets!$B$2:$Q$21</definedName>
    <definedName name="matDiscards">Discards!$C$2:$D$20</definedName>
    <definedName name="matFishery">Fishing!$C$2:$D$20</definedName>
    <definedName name="matFishing">Fishing!#REF!</definedName>
    <definedName name="matMort">Mortalities!$A$1:$X$20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/>
  <c r="D3" i="3"/>
  <c r="C4" i="3"/>
  <c r="E4" i="3" s="1"/>
  <c r="D4" i="3"/>
  <c r="C5" i="3"/>
  <c r="E5" i="3" s="1"/>
  <c r="D5" i="3"/>
  <c r="C6" i="3"/>
  <c r="E6" i="3" s="1"/>
  <c r="D6" i="3"/>
  <c r="C7" i="3"/>
  <c r="E7" i="3" s="1"/>
  <c r="D7" i="3"/>
  <c r="C8" i="3"/>
  <c r="E8" i="3" s="1"/>
  <c r="D8" i="3"/>
  <c r="C9" i="3"/>
  <c r="E9" i="3" s="1"/>
  <c r="D9" i="3"/>
  <c r="C10" i="3"/>
  <c r="E10" i="3" s="1"/>
  <c r="D10" i="3"/>
  <c r="C11" i="3"/>
  <c r="E11" i="3" s="1"/>
  <c r="D11" i="3"/>
  <c r="C12" i="3"/>
  <c r="E12" i="3" s="1"/>
  <c r="D12" i="3"/>
  <c r="C13" i="3"/>
  <c r="E13" i="3" s="1"/>
  <c r="D13" i="3"/>
  <c r="C14" i="3"/>
  <c r="E14" i="3" s="1"/>
  <c r="D14" i="3"/>
  <c r="C15" i="3"/>
  <c r="E15" i="3" s="1"/>
  <c r="D15" i="3"/>
  <c r="C16" i="3"/>
  <c r="E16" i="3" s="1"/>
  <c r="D16" i="3"/>
  <c r="C17" i="3"/>
  <c r="E17" i="3" s="1"/>
  <c r="D17" i="3"/>
  <c r="C18" i="3"/>
  <c r="E18" i="3" s="1"/>
  <c r="D18" i="3"/>
  <c r="C19" i="3"/>
  <c r="E19" i="3" s="1"/>
  <c r="D19" i="3"/>
  <c r="C20" i="3"/>
  <c r="E20" i="3" s="1"/>
  <c r="D20" i="3"/>
  <c r="D2" i="3"/>
  <c r="C2" i="3"/>
  <c r="C3" i="2"/>
  <c r="E3" i="2" s="1"/>
  <c r="D3" i="2"/>
  <c r="C4" i="2"/>
  <c r="E4" i="2" s="1"/>
  <c r="D4" i="2"/>
  <c r="C5" i="2"/>
  <c r="E5" i="2" s="1"/>
  <c r="D5" i="2"/>
  <c r="C6" i="2"/>
  <c r="E6" i="2" s="1"/>
  <c r="D6" i="2"/>
  <c r="C7" i="2"/>
  <c r="E7" i="2" s="1"/>
  <c r="D7" i="2"/>
  <c r="C8" i="2"/>
  <c r="E8" i="2" s="1"/>
  <c r="D8" i="2"/>
  <c r="C9" i="2"/>
  <c r="E9" i="2" s="1"/>
  <c r="D9" i="2"/>
  <c r="C10" i="2"/>
  <c r="E10" i="2" s="1"/>
  <c r="D10" i="2"/>
  <c r="C11" i="2"/>
  <c r="E11" i="2" s="1"/>
  <c r="D11" i="2"/>
  <c r="C12" i="2"/>
  <c r="E12" i="2" s="1"/>
  <c r="D12" i="2"/>
  <c r="C13" i="2"/>
  <c r="E13" i="2" s="1"/>
  <c r="D13" i="2"/>
  <c r="C14" i="2"/>
  <c r="E14" i="2" s="1"/>
  <c r="D14" i="2"/>
  <c r="C15" i="2"/>
  <c r="E15" i="2" s="1"/>
  <c r="D15" i="2"/>
  <c r="C16" i="2"/>
  <c r="E16" i="2" s="1"/>
  <c r="D16" i="2"/>
  <c r="C17" i="2"/>
  <c r="E17" i="2" s="1"/>
  <c r="D17" i="2"/>
  <c r="C18" i="2"/>
  <c r="E18" i="2" s="1"/>
  <c r="D18" i="2"/>
  <c r="C19" i="2"/>
  <c r="E19" i="2" s="1"/>
  <c r="D19" i="2"/>
  <c r="C20" i="2"/>
  <c r="E20" i="2" s="1"/>
  <c r="D20" i="2"/>
  <c r="D2" i="2"/>
  <c r="C2" i="2"/>
  <c r="E3" i="3" l="1"/>
  <c r="E2" i="2"/>
  <c r="E2" i="3"/>
  <c r="C24" i="78"/>
  <c r="D24" i="78"/>
  <c r="E24" i="78"/>
  <c r="F24" i="78"/>
  <c r="G24" i="78"/>
  <c r="H24" i="78"/>
  <c r="I24" i="78"/>
  <c r="J24" i="78"/>
  <c r="K24" i="78"/>
  <c r="L24" i="78"/>
  <c r="M24" i="78"/>
  <c r="N24" i="78"/>
  <c r="O24" i="78"/>
  <c r="P24" i="78"/>
  <c r="Q24" i="78"/>
  <c r="R24" i="78"/>
  <c r="S24" i="78"/>
  <c r="T24" i="78"/>
  <c r="B24" i="78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<sst xmlns="http://schemas.openxmlformats.org/spreadsheetml/2006/main" count="723" uniqueCount="225">
  <si>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</si>
  <si>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</si>
  <si>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</si>
  <si>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</si>
  <si>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</si>
  <si>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</si>
  <si>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</si>
  <si>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</si>
  <si>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</si>
  <si>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</si>
  <si>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</si>
  <si>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</si>
  <si>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</si>
  <si>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</si>
  <si>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</si>
  <si>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</si>
  <si>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</si>
  <si>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</si>
  <si>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</si>
  <si>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</si>
  <si>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</si>
  <si>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</si>
  <si>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</si>
  <si>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</si>
  <si>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</si>
  <si>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</si>
  <si>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</si>
  <si>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</si>
  <si>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</si>
  <si>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</si>
  <si>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</si>
  <si>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</si>
  <si>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</si>
  <si>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</si>
  <si>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</si>
  <si>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</si>
  <si>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</si>
  <si>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</si>
  <si>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</si>
  <si>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</si>
  <si>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</si>
  <si>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</si>
  <si>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</si>
  <si>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</si>
  <si>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</si>
  <si>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</si>
  <si>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</si>
  <si>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</si>
  <si>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</si>
  <si>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</si>
  <si>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</si>
  <si>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</si>
  <si>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</si>
  <si>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</si>
  <si>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</si>
  <si>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</si>
  <si>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</si>
  <si>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</si>
  <si>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</si>
  <si>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</si>
  <si>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</si>
  <si>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</si>
  <si>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</si>
  <si>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</si>
  <si>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</si>
  <si>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</si>
  <si>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</si>
  <si>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</si>
  <si>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</si>
  <si>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</si>
  <si>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</si>
  <si>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</si>
  <si>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</si>
  <si>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</si>
  <si>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</si>
  <si>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</si>
  <si>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</si>
  <si>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</si>
  <si>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</si>
  <si>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</si>
  <si>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</si>
  <si>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</si>
  <si>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</si>
  <si>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</si>
  <si>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</si>
  <si>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</si>
  <si>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</si>
  <si>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</si>
  <si>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</si>
  <si>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</si>
  <si>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</si>
  <si>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</si>
  <si>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</si>
  <si>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</si>
  <si>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</si>
  <si>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</si>
  <si>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</si>
  <si>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</si>
  <si>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</si>
  <si>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</si>
  <si>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</si>
  <si>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</si>
  <si>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</si>
  <si>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</si>
  <si>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</si>
  <si>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</si>
  <si>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</si>
  <si>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</si>
  <si>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</si>
  <si>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</si>
  <si>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</si>
  <si>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</si>
  <si>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</si>
  <si>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</si>
  <si>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</si>
  <si>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</si>
  <si>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</si>
  <si>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</si>
  <si>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</si>
  <si>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</si>
  <si>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</si>
  <si>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</si>
  <si>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</si>
  <si>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</si>
  <si>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</si>
  <si>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</si>
  <si>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</si>
  <si>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</si>
  <si>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</si>
  <si>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</si>
  <si>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</si>
  <si>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</si>
  <si>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</si>
  <si>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</si>
  <si>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</si>
  <si>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</si>
  <si>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</si>
  <si>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</si>
  <si>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</si>
  <si>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</si>
  <si>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</si>
  <si>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</si>
  <si>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</si>
  <si>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</si>
  <si>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</si>
  <si>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</si>
  <si>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</si>
  <si>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</si>
  <si>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</si>
  <si>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</si>
  <si>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</si>
  <si>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</si>
  <si>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</si>
  <si>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</si>
  <si>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</si>
  <si>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</si>
  <si>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</si>
  <si>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</si>
  <si>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</si>
  <si>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</si>
  <si>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</si>
  <si>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</si>
  <si>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</si>
  <si>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</si>
  <si>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</si>
  <si>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</si>
  <si>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</si>
  <si>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</si>
  <si>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</si>
  <si>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</si>
  <si>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</si>
  <si>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</si>
  <si>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</si>
  <si>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</si>
  <si>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</si>
  <si>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</si>
  <si>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</si>
  <si>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</si>
  <si>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</si>
  <si>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</si>
  <si>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</si>
  <si>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</si>
  <si>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</si>
  <si>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</si>
  <si>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</si>
  <si>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Senegambia</t>
  </si>
  <si>
    <t>Senegal,Gambia</t>
  </si>
  <si>
    <t>BOX(-17.8375217914901 12.3139791196959,-16.1064414106433 16.0737135057052)</t>
  </si>
  <si>
    <t>continental shelf</t>
  </si>
  <si>
    <t>WetWeight</t>
  </si>
  <si>
    <t>No description</t>
  </si>
  <si>
    <t>Samb B.,Mendy A.(2004). Dynamique du réseau trophique de l'écosystème sénégambien en 1990 West African marine ecosystems: models and fisheries impacts. pp 57-70. In Palomares M.L.D.,Pauly D.</t>
  </si>
  <si>
    <t>Oiseaux marins</t>
  </si>
  <si>
    <t>Mammiferes mari</t>
  </si>
  <si>
    <t>Thonides du lar</t>
  </si>
  <si>
    <t>Thonides cotier</t>
  </si>
  <si>
    <t>Requins</t>
  </si>
  <si>
    <t>Raies</t>
  </si>
  <si>
    <t>Cephalopodes</t>
  </si>
  <si>
    <t>Demersaux cotie</t>
  </si>
  <si>
    <t>Sardinelle rond</t>
  </si>
  <si>
    <t>Sardinelle plat</t>
  </si>
  <si>
    <t>Autres pelagiqu</t>
  </si>
  <si>
    <t>Zooplancton</t>
  </si>
  <si>
    <t>Meiobenthos</t>
  </si>
  <si>
    <t>Macrobenthos</t>
  </si>
  <si>
    <t>Producteurs ben</t>
  </si>
  <si>
    <t>Phytoplancton</t>
  </si>
  <si>
    <t>Rejets</t>
  </si>
  <si>
    <t>Detritus</t>
  </si>
  <si>
    <t>detritus_TerminalBenthic</t>
  </si>
  <si>
    <t>Peche industrielle</t>
  </si>
  <si>
    <t>Peche artisanale</t>
  </si>
  <si>
    <t>Import</t>
  </si>
  <si>
    <t>export</t>
  </si>
  <si>
    <t>sum</t>
  </si>
  <si>
    <t>TOTAL</t>
  </si>
  <si>
    <t>sum--&gt;&gt;</t>
  </si>
  <si>
    <t>F Peche industrielle</t>
  </si>
  <si>
    <t>F Peche artisanale</t>
  </si>
  <si>
    <t>Needs descard rates; then it should work</t>
  </si>
  <si>
    <t>original parameters--&gt;&gt;</t>
  </si>
  <si>
    <t>landings &amp; discard fractions assumed; assumed that values provided in Ecobase are total catch</t>
  </si>
  <si>
    <t>assumed landings fraction--&gt;&gt;</t>
  </si>
  <si>
    <t>landings (0.8) &amp; discard (0.2) fractions are assumed (as necessary to balance discard consumption); assumed that values provided in Ecobase are total catch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</si>
</sst>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4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5" borderId="3" xfId="0" applyNumberFormat="1" applyFont="1" applyFill="1" applyBorder="1"/>
    <xf numFmtId="0" fontId="0" fillId="25" borderId="2" xfId="0" applyFont="1" applyFill="1" applyBorder="1"/>
    <xf numFmtId="0" fontId="0" fillId="25" borderId="3" xfId="0" applyFont="1" applyFill="1" applyBorder="1"/>
    <xf numFmtId="0" fontId="0" fillId="2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2" xfId="0" applyNumberFormat="1" applyFont="1" applyFill="1" applyBorder="1"/>
    <xf numFmtId="0" fontId="8" fillId="30" borderId="0" xfId="0" applyFont="1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30" borderId="0" xfId="0" applyFill="1"/>
    <xf numFmtId="0" fontId="0" fillId="49" borderId="0" xfId="0" applyFill="1"/>
    <xf numFmtId="0" fontId="0" fillId="50" borderId="0" xfId="0" applyFill="1"/>
    <xf numFmtId="0" fontId="8" fillId="0" borderId="0" xfId="0" applyFont="1" applyAlignment="1">
      <alignment horizontal="right"/>
    </xf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9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25" t="s">
        <v>171</v>
      </c>
      <c r="C53" s="93">
        <v>133</v>
      </c>
      <c r="D53" s="93"/>
    </row>
    <row r="54" spans="2:4" x14ac:dyDescent="0.15">
      <c r="B54" s="125" t="s">
        <v>172</v>
      </c>
      <c r="C54" s="125" t="s">
        <v>185</v>
      </c>
      <c r="D54" s="93"/>
    </row>
    <row r="55" spans="2:4" x14ac:dyDescent="0.15">
      <c r="B55" s="125" t="s">
        <v>173</v>
      </c>
      <c r="C55" s="125" t="s">
        <v>186</v>
      </c>
      <c r="D55" s="93"/>
    </row>
    <row r="56" spans="2:4" x14ac:dyDescent="0.15">
      <c r="B56" s="125" t="s">
        <v>174</v>
      </c>
      <c r="C56" s="93">
        <v>27600</v>
      </c>
      <c r="D56" s="93"/>
    </row>
    <row r="57" spans="2:4" x14ac:dyDescent="0.15">
      <c r="B57" s="125" t="s">
        <v>175</v>
      </c>
      <c r="C57" s="125" t="s">
        <v>187</v>
      </c>
      <c r="D57" s="93"/>
    </row>
    <row r="58" spans="2:4" x14ac:dyDescent="0.15">
      <c r="B58" s="125" t="s">
        <v>176</v>
      </c>
      <c r="C58" s="125" t="s">
        <v>188</v>
      </c>
      <c r="D58" s="93"/>
    </row>
    <row r="59" spans="2:4" x14ac:dyDescent="0.15">
      <c r="B59" s="125" t="s">
        <v>177</v>
      </c>
      <c r="C59" s="125" t="s">
        <v>189</v>
      </c>
      <c r="D59" s="93"/>
    </row>
    <row r="60" spans="2:4" x14ac:dyDescent="0.15">
      <c r="B60" s="125" t="s">
        <v>178</v>
      </c>
      <c r="C60" s="125" t="s">
        <v>190</v>
      </c>
      <c r="D60" s="93"/>
    </row>
    <row r="61" spans="2:4" x14ac:dyDescent="0.15">
      <c r="B61" s="125" t="s">
        <v>179</v>
      </c>
      <c r="C61" s="93">
        <v>18</v>
      </c>
      <c r="D61" s="93"/>
    </row>
    <row r="62" spans="2:4" x14ac:dyDescent="0.15">
      <c r="B62" s="125" t="s">
        <v>180</v>
      </c>
      <c r="C62" s="93">
        <v>2</v>
      </c>
      <c r="D62" s="93"/>
    </row>
    <row r="63" spans="2:4" x14ac:dyDescent="0.15">
      <c r="B63" s="125" t="s">
        <v>181</v>
      </c>
      <c r="C63" s="93">
        <v>1990</v>
      </c>
      <c r="D63" s="93"/>
    </row>
    <row r="64" spans="2:4" x14ac:dyDescent="0.15">
      <c r="B64" s="125" t="s">
        <v>182</v>
      </c>
      <c r="C64" s="93">
        <v>1</v>
      </c>
      <c r="D64" s="93"/>
    </row>
    <row r="65" spans="2:4" x14ac:dyDescent="0.15">
      <c r="B65" s="125" t="s">
        <v>183</v>
      </c>
      <c r="C65" s="125" t="s">
        <v>191</v>
      </c>
      <c r="D65" s="93"/>
    </row>
    <row r="66" spans="2:4" x14ac:dyDescent="0.15">
      <c r="B66" s="125" t="s">
        <v>184</v>
      </c>
      <c r="D66" s="93"/>
    </row>
    <row r="67" spans="2:4" x14ac:dyDescent="0.15">
      <c r="B67" s="93"/>
      <c r="C67" s="93"/>
      <c r="D67" s="93"/>
    </row>
    <row r="68" spans="2:4" x14ac:dyDescent="0.15">
      <c r="B68" s="93"/>
      <c r="C68" s="93"/>
      <c r="D68" s="9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25" sqref="E25"/>
    </sheetView>
  </sheetViews>
  <sheetFormatPr baseColWidth="10" defaultColWidth="8.83203125" defaultRowHeight="15" customHeight="1" x14ac:dyDescent="0.15"/>
  <cols>
    <col min="1" max="1" width="22.5" style="66" customWidth="1"/>
    <col min="2" max="3" width="3.33203125" style="66" customWidth="1"/>
    <col min="4" max="4" width="14.33203125" style="66" customWidth="1"/>
    <col min="5" max="5" width="21.6640625" style="66" bestFit="1" customWidth="1"/>
    <col min="6" max="6" width="5.1640625" style="66" bestFit="1" customWidth="1"/>
    <col min="7" max="7" width="6.83203125" style="66" bestFit="1" customWidth="1"/>
    <col min="8" max="9" width="7.83203125" style="66" customWidth="1"/>
    <col min="10" max="10" width="11.83203125" style="66" customWidth="1"/>
    <col min="11" max="11" width="13.83203125" style="66" customWidth="1"/>
    <col min="12" max="14" width="8" style="66" customWidth="1"/>
    <col min="16" max="25" width="8.83203125" style="6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6"/>
  </cols>
  <sheetData>
    <row r="1" spans="1:46" s="83" customFormat="1" ht="15" customHeight="1" x14ac:dyDescent="0.15">
      <c r="A1" s="62" t="s">
        <v>18</v>
      </c>
      <c r="C1" s="63" t="s">
        <v>8</v>
      </c>
      <c r="D1" s="62" t="s">
        <v>23</v>
      </c>
      <c r="E1" s="62" t="s">
        <v>0</v>
      </c>
      <c r="F1" s="62" t="s">
        <v>7</v>
      </c>
      <c r="G1" s="64" t="s">
        <v>13</v>
      </c>
      <c r="H1" s="62" t="s">
        <v>1</v>
      </c>
      <c r="I1" s="62" t="s">
        <v>2</v>
      </c>
      <c r="J1" s="62" t="s">
        <v>14</v>
      </c>
      <c r="K1" s="62" t="s">
        <v>3</v>
      </c>
      <c r="L1" s="62" t="s">
        <v>4</v>
      </c>
      <c r="M1" s="62" t="s">
        <v>5</v>
      </c>
      <c r="N1" s="6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3">
        <v>1</v>
      </c>
      <c r="D2"/>
      <c r="E2" s="126" t="s">
        <v>192</v>
      </c>
      <c r="F2" s="66">
        <v>0</v>
      </c>
      <c r="G2" s="66">
        <v>0.11799999999999999</v>
      </c>
      <c r="H2" s="66">
        <v>0.12</v>
      </c>
      <c r="I2" s="6">
        <v>118</v>
      </c>
      <c r="J2" s="6">
        <v>0</v>
      </c>
      <c r="K2" s="6">
        <v>1.01694919E-3</v>
      </c>
      <c r="L2" s="6">
        <v>0</v>
      </c>
      <c r="M2" s="66">
        <v>0.2</v>
      </c>
      <c r="N2" s="66">
        <v>0</v>
      </c>
    </row>
    <row r="3" spans="1:46" ht="15" customHeight="1" x14ac:dyDescent="0.15">
      <c r="A3" s="1" t="s">
        <v>9</v>
      </c>
      <c r="B3" s="4">
        <v>16</v>
      </c>
      <c r="C3" s="66">
        <v>2</v>
      </c>
      <c r="D3"/>
      <c r="E3" s="126" t="s">
        <v>193</v>
      </c>
      <c r="F3" s="66">
        <v>0</v>
      </c>
      <c r="G3" s="66">
        <v>3.9E-2</v>
      </c>
      <c r="H3" s="66">
        <v>4.7E-2</v>
      </c>
      <c r="I3" s="66">
        <v>17.265000000000001</v>
      </c>
      <c r="J3" s="66">
        <v>0</v>
      </c>
      <c r="K3" s="66">
        <v>2.7222705500000001E-3</v>
      </c>
      <c r="L3" s="66">
        <v>0</v>
      </c>
      <c r="M3" s="66">
        <v>0.2</v>
      </c>
      <c r="N3" s="66">
        <v>0</v>
      </c>
    </row>
    <row r="4" spans="1:46" ht="15" customHeight="1" x14ac:dyDescent="0.15">
      <c r="A4" s="1" t="s">
        <v>10</v>
      </c>
      <c r="B4" s="4">
        <v>3</v>
      </c>
      <c r="C4" s="66">
        <v>3</v>
      </c>
      <c r="D4"/>
      <c r="E4" s="126" t="s">
        <v>194</v>
      </c>
      <c r="F4" s="66">
        <v>0</v>
      </c>
      <c r="G4" s="66">
        <v>2.54</v>
      </c>
      <c r="H4" s="66">
        <v>1.6</v>
      </c>
      <c r="I4" s="66">
        <v>4.7690000000000001</v>
      </c>
      <c r="J4" s="66">
        <v>0.37189339999999999</v>
      </c>
      <c r="K4" s="66">
        <v>0.33550010000000002</v>
      </c>
      <c r="L4" s="66">
        <v>0</v>
      </c>
      <c r="M4" s="66">
        <v>0.2</v>
      </c>
      <c r="N4" s="6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66">
        <v>4</v>
      </c>
      <c r="D5"/>
      <c r="E5" s="126" t="s">
        <v>195</v>
      </c>
      <c r="F5" s="66">
        <v>0</v>
      </c>
      <c r="G5" s="66">
        <v>2.89</v>
      </c>
      <c r="H5" s="66">
        <v>0.8</v>
      </c>
      <c r="I5" s="66">
        <v>9.5</v>
      </c>
      <c r="J5" s="66">
        <v>0.38927331599999998</v>
      </c>
      <c r="K5" s="66">
        <v>8.4210530000000006E-2</v>
      </c>
      <c r="L5" s="66">
        <v>0</v>
      </c>
      <c r="M5" s="66">
        <v>0.2</v>
      </c>
      <c r="N5" s="66">
        <v>0</v>
      </c>
      <c r="P5" s="59"/>
      <c r="Q5" s="59"/>
      <c r="R5" s="59"/>
    </row>
    <row r="6" spans="1:46" ht="15" customHeight="1" thickBot="1" x14ac:dyDescent="0.2">
      <c r="B6" s="1"/>
      <c r="C6" s="66">
        <v>5</v>
      </c>
      <c r="D6"/>
      <c r="E6" s="126" t="s">
        <v>196</v>
      </c>
      <c r="F6" s="66">
        <v>0</v>
      </c>
      <c r="G6" s="66">
        <v>0.20300000000000001</v>
      </c>
      <c r="H6" s="66">
        <v>0.90500000000000003</v>
      </c>
      <c r="I6" s="66">
        <v>3.516</v>
      </c>
      <c r="J6" s="66">
        <v>0.70761779999999996</v>
      </c>
      <c r="K6" s="66">
        <v>0.25739476100000003</v>
      </c>
      <c r="L6" s="66">
        <v>0</v>
      </c>
      <c r="M6" s="66">
        <v>0.2</v>
      </c>
      <c r="N6" s="66">
        <v>0</v>
      </c>
      <c r="P6" s="59"/>
      <c r="Q6" s="59"/>
      <c r="R6" s="59"/>
      <c r="W6" s="29" t="s">
        <v>31</v>
      </c>
      <c r="X6" s="45">
        <f>MAX(MainOutputs!G:G)</f>
        <v>0.99167871475219727</v>
      </c>
    </row>
    <row r="7" spans="1:46" ht="15" customHeight="1" x14ac:dyDescent="0.15">
      <c r="A7" s="2" t="s">
        <v>27</v>
      </c>
      <c r="B7" s="66">
        <f ca="1">COUNTIF(OFFSET(cornerDiets,1,1,NumLiving+NumDead+1,NumLiving+NumDead),"&gt;0")+NumLiving+NumDead+1</f>
        <v>83</v>
      </c>
      <c r="C7" s="66">
        <v>6</v>
      </c>
      <c r="D7"/>
      <c r="E7" s="126" t="s">
        <v>197</v>
      </c>
      <c r="F7" s="66">
        <v>0</v>
      </c>
      <c r="G7" s="66">
        <v>0.112</v>
      </c>
      <c r="H7" s="66">
        <v>1</v>
      </c>
      <c r="I7" s="66">
        <v>6</v>
      </c>
      <c r="J7" s="66">
        <v>0.80357134299999999</v>
      </c>
      <c r="K7" s="66">
        <v>0.16666667199999999</v>
      </c>
      <c r="L7" s="66">
        <v>0</v>
      </c>
      <c r="M7" s="66">
        <v>0.2</v>
      </c>
      <c r="N7" s="66">
        <v>0</v>
      </c>
      <c r="P7" s="59"/>
      <c r="Q7" s="59"/>
      <c r="R7" s="59"/>
    </row>
    <row r="8" spans="1:46" ht="15" customHeight="1" x14ac:dyDescent="0.15">
      <c r="A8" s="2" t="s">
        <v>28</v>
      </c>
      <c r="B8" s="66">
        <f ca="1">COUNTIF(OFFSET(cornerFishing,1,2,NumLiving+NumDead,NumGears),"&gt;0")+NumDead*COUNTIF(OFFSET(cornerDiscards,1,2,NumLiving+NumDead,NumGears),"&gt;0")+NumLiving+NumDead+1</f>
        <v>84</v>
      </c>
      <c r="C8" s="66">
        <v>7</v>
      </c>
      <c r="D8"/>
      <c r="E8" s="126" t="s">
        <v>198</v>
      </c>
      <c r="F8" s="66">
        <v>0</v>
      </c>
      <c r="G8" s="66">
        <v>1.087</v>
      </c>
      <c r="H8" s="66">
        <v>1.9</v>
      </c>
      <c r="I8" s="66">
        <v>11.7</v>
      </c>
      <c r="J8" s="66">
        <v>0.85978966999999995</v>
      </c>
      <c r="K8" s="66">
        <v>0.162393168</v>
      </c>
      <c r="L8" s="66">
        <v>0</v>
      </c>
      <c r="M8" s="66">
        <v>0.2</v>
      </c>
      <c r="N8" s="66">
        <v>0</v>
      </c>
      <c r="P8" s="59"/>
      <c r="Q8" s="59"/>
      <c r="R8" s="59"/>
    </row>
    <row r="9" spans="1:46" ht="15" customHeight="1" x14ac:dyDescent="0.15">
      <c r="B9" s="1"/>
      <c r="C9" s="66">
        <v>8</v>
      </c>
      <c r="D9"/>
      <c r="E9" s="126" t="s">
        <v>199</v>
      </c>
      <c r="F9" s="66">
        <v>0</v>
      </c>
      <c r="G9" s="66">
        <v>4.6959999999999997</v>
      </c>
      <c r="H9" s="66">
        <v>1.2</v>
      </c>
      <c r="I9" s="66">
        <v>6</v>
      </c>
      <c r="J9" s="66">
        <v>0.69734589999999996</v>
      </c>
      <c r="K9" s="66">
        <v>0.2</v>
      </c>
      <c r="L9" s="66">
        <v>0</v>
      </c>
      <c r="M9" s="66">
        <v>0.2</v>
      </c>
      <c r="N9" s="66">
        <v>0</v>
      </c>
      <c r="P9" s="59"/>
      <c r="Q9" s="59"/>
      <c r="R9" s="59"/>
    </row>
    <row r="10" spans="1:46" ht="15" customHeight="1" x14ac:dyDescent="0.15">
      <c r="B10" s="1"/>
      <c r="C10" s="66">
        <v>9</v>
      </c>
      <c r="D10"/>
      <c r="E10" s="126" t="s">
        <v>200</v>
      </c>
      <c r="F10" s="66">
        <v>0</v>
      </c>
      <c r="G10" s="66">
        <v>8.5939999999999994</v>
      </c>
      <c r="H10" s="66">
        <v>1.54</v>
      </c>
      <c r="I10" s="66">
        <v>20.2</v>
      </c>
      <c r="J10" s="66">
        <v>0.99167870000000002</v>
      </c>
      <c r="K10" s="66">
        <v>7.6237620000000006E-2</v>
      </c>
      <c r="L10" s="66">
        <v>0</v>
      </c>
      <c r="M10" s="66">
        <v>0.2</v>
      </c>
      <c r="N10" s="66">
        <v>0</v>
      </c>
    </row>
    <row r="11" spans="1:46" ht="15" customHeight="1" x14ac:dyDescent="0.15">
      <c r="C11" s="66">
        <v>10</v>
      </c>
      <c r="D11"/>
      <c r="E11" s="126" t="s">
        <v>201</v>
      </c>
      <c r="F11" s="66">
        <v>0</v>
      </c>
      <c r="G11" s="66">
        <v>13.536</v>
      </c>
      <c r="H11" s="66">
        <v>1.2</v>
      </c>
      <c r="I11" s="66">
        <v>13.9</v>
      </c>
      <c r="J11" s="66">
        <v>0.93777739999999998</v>
      </c>
      <c r="K11" s="66">
        <v>8.6330939999999995E-2</v>
      </c>
      <c r="L11" s="66">
        <v>0</v>
      </c>
      <c r="M11" s="66">
        <v>0.2</v>
      </c>
      <c r="N11" s="66">
        <v>0</v>
      </c>
    </row>
    <row r="12" spans="1:46" ht="15" customHeight="1" x14ac:dyDescent="0.15">
      <c r="C12" s="66">
        <v>11</v>
      </c>
      <c r="D12"/>
      <c r="E12" s="126" t="s">
        <v>202</v>
      </c>
      <c r="F12" s="66">
        <v>0</v>
      </c>
      <c r="G12" s="66">
        <v>13.116</v>
      </c>
      <c r="H12" s="66">
        <v>1.1000000000000001</v>
      </c>
      <c r="I12" s="66">
        <v>10.635</v>
      </c>
      <c r="J12" s="66">
        <v>0.83972190000000002</v>
      </c>
      <c r="K12" s="66">
        <v>0.103432067</v>
      </c>
      <c r="L12" s="66">
        <v>0</v>
      </c>
      <c r="M12" s="66">
        <v>0.2</v>
      </c>
      <c r="N12" s="66">
        <v>0</v>
      </c>
    </row>
    <row r="13" spans="1:46" ht="15" customHeight="1" x14ac:dyDescent="0.15">
      <c r="C13" s="66">
        <v>12</v>
      </c>
      <c r="D13"/>
      <c r="E13" s="126" t="s">
        <v>203</v>
      </c>
      <c r="F13" s="66">
        <v>0</v>
      </c>
      <c r="G13" s="66">
        <v>20.635999999999999</v>
      </c>
      <c r="H13" s="66">
        <v>58.356000000000002</v>
      </c>
      <c r="I13" s="66">
        <v>274.80500000000001</v>
      </c>
      <c r="J13" s="66">
        <v>0.35352090000000003</v>
      </c>
      <c r="K13" s="66">
        <v>0.21235421299999999</v>
      </c>
      <c r="L13" s="66">
        <v>0</v>
      </c>
      <c r="M13" s="66">
        <v>0.2</v>
      </c>
      <c r="N13" s="66">
        <v>0</v>
      </c>
    </row>
    <row r="14" spans="1:46" ht="15" customHeight="1" x14ac:dyDescent="0.15">
      <c r="C14" s="66">
        <v>13</v>
      </c>
      <c r="D14"/>
      <c r="E14" s="126" t="s">
        <v>204</v>
      </c>
      <c r="F14" s="66">
        <v>0</v>
      </c>
      <c r="G14" s="66">
        <v>19.600000000000001</v>
      </c>
      <c r="H14" s="66">
        <v>4</v>
      </c>
      <c r="I14" s="66">
        <v>30</v>
      </c>
      <c r="J14" s="66">
        <v>0.95869284899999996</v>
      </c>
      <c r="K14" s="66">
        <v>0.13333333999999999</v>
      </c>
      <c r="L14" s="66">
        <v>0</v>
      </c>
      <c r="M14" s="66">
        <v>0.2</v>
      </c>
      <c r="N14" s="66">
        <v>0</v>
      </c>
    </row>
    <row r="15" spans="1:46" ht="15" customHeight="1" x14ac:dyDescent="0.15">
      <c r="C15" s="66">
        <v>14</v>
      </c>
      <c r="D15"/>
      <c r="E15" s="126" t="s">
        <v>205</v>
      </c>
      <c r="F15" s="66">
        <v>0</v>
      </c>
      <c r="G15" s="66">
        <v>93</v>
      </c>
      <c r="H15" s="66">
        <v>1.2</v>
      </c>
      <c r="I15" s="66">
        <v>10</v>
      </c>
      <c r="J15" s="66">
        <v>0.90276944599999998</v>
      </c>
      <c r="K15" s="66">
        <v>0.12000000500000001</v>
      </c>
      <c r="L15" s="66">
        <v>0</v>
      </c>
      <c r="M15" s="66">
        <v>0.2</v>
      </c>
      <c r="N15" s="66">
        <v>0</v>
      </c>
    </row>
    <row r="16" spans="1:46" ht="15" customHeight="1" x14ac:dyDescent="0.15">
      <c r="C16" s="66">
        <v>15</v>
      </c>
      <c r="D16"/>
      <c r="E16" s="126" t="s">
        <v>206</v>
      </c>
      <c r="F16" s="66">
        <v>1</v>
      </c>
      <c r="G16" s="66">
        <v>10.5</v>
      </c>
      <c r="H16" s="66">
        <v>15</v>
      </c>
      <c r="I16" s="66">
        <v>0</v>
      </c>
      <c r="J16" s="66">
        <v>0.55069714800000003</v>
      </c>
      <c r="K16" s="66">
        <v>0</v>
      </c>
      <c r="L16" s="66">
        <v>0</v>
      </c>
      <c r="M16" s="66">
        <v>0</v>
      </c>
      <c r="N16" s="66">
        <v>0</v>
      </c>
    </row>
    <row r="17" spans="1:22" ht="15" customHeight="1" x14ac:dyDescent="0.15">
      <c r="C17" s="66">
        <v>16</v>
      </c>
      <c r="D17"/>
      <c r="E17" s="126" t="s">
        <v>207</v>
      </c>
      <c r="F17" s="66">
        <v>1</v>
      </c>
      <c r="G17" s="66">
        <v>82.013999999999996</v>
      </c>
      <c r="H17" s="66">
        <v>138.18899999999999</v>
      </c>
      <c r="I17" s="66">
        <v>0</v>
      </c>
      <c r="J17" s="66">
        <v>0.51042770000000004</v>
      </c>
      <c r="K17" s="66">
        <v>0</v>
      </c>
      <c r="L17" s="66">
        <v>0</v>
      </c>
      <c r="M17" s="66">
        <v>0</v>
      </c>
      <c r="N17" s="66">
        <v>0</v>
      </c>
      <c r="V17" s="1" t="s">
        <v>30</v>
      </c>
    </row>
    <row r="18" spans="1:22" ht="15" customHeight="1" x14ac:dyDescent="0.15">
      <c r="C18" s="66">
        <v>17</v>
      </c>
      <c r="D18"/>
      <c r="E18" s="126" t="s">
        <v>208</v>
      </c>
      <c r="F18" s="66">
        <v>2</v>
      </c>
      <c r="G18" s="66">
        <v>1E-3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66">
        <v>0</v>
      </c>
      <c r="V18" s="1"/>
    </row>
    <row r="19" spans="1:22" ht="15" customHeight="1" x14ac:dyDescent="0.15">
      <c r="C19" s="66">
        <v>18</v>
      </c>
      <c r="D19"/>
      <c r="E19" s="126" t="s">
        <v>209</v>
      </c>
      <c r="F19" s="66">
        <v>2</v>
      </c>
      <c r="G19" s="66">
        <v>10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0</v>
      </c>
      <c r="N19" s="66">
        <v>0</v>
      </c>
    </row>
    <row r="20" spans="1:22" ht="15" customHeight="1" thickBot="1" x14ac:dyDescent="0.2">
      <c r="C20" s="66">
        <v>19</v>
      </c>
      <c r="D20"/>
      <c r="E20" s="126" t="s">
        <v>210</v>
      </c>
      <c r="F20" s="66">
        <v>2</v>
      </c>
      <c r="G20" s="66">
        <v>5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0</v>
      </c>
      <c r="N20" s="66">
        <v>0</v>
      </c>
    </row>
    <row r="21" spans="1:22" ht="15" customHeight="1" thickBot="1" x14ac:dyDescent="0.2">
      <c r="A21" s="40" t="s">
        <v>137</v>
      </c>
      <c r="B21" s="84"/>
      <c r="C21" s="66">
        <v>20</v>
      </c>
      <c r="D21"/>
      <c r="E21" s="126" t="s">
        <v>211</v>
      </c>
      <c r="F21" s="66">
        <v>3</v>
      </c>
      <c r="G21" s="66">
        <v>0</v>
      </c>
      <c r="H21" s="66">
        <v>0</v>
      </c>
      <c r="I21" s="66">
        <v>0</v>
      </c>
      <c r="J21" s="66">
        <v>0</v>
      </c>
      <c r="K21" s="66">
        <v>0</v>
      </c>
      <c r="L21" s="66">
        <v>0</v>
      </c>
      <c r="M21" s="66">
        <v>0</v>
      </c>
      <c r="N21" s="66">
        <v>0</v>
      </c>
    </row>
    <row r="22" spans="1:22" ht="15" customHeight="1" x14ac:dyDescent="0.15">
      <c r="A22" s="85" t="s">
        <v>58</v>
      </c>
      <c r="B22" s="86">
        <v>0</v>
      </c>
      <c r="C22" s="66">
        <v>21</v>
      </c>
      <c r="D22"/>
      <c r="E22" s="126" t="s">
        <v>212</v>
      </c>
      <c r="F22" s="66">
        <v>3</v>
      </c>
      <c r="G22" s="66">
        <v>0</v>
      </c>
      <c r="H22" s="66">
        <v>0</v>
      </c>
      <c r="I22" s="66">
        <v>0</v>
      </c>
      <c r="J22" s="66">
        <v>0</v>
      </c>
      <c r="K22" s="66">
        <v>0</v>
      </c>
      <c r="L22" s="66">
        <v>0</v>
      </c>
      <c r="M22" s="66">
        <v>0</v>
      </c>
      <c r="N22" s="66">
        <v>0</v>
      </c>
    </row>
    <row r="23" spans="1:22" ht="15" customHeight="1" x14ac:dyDescent="0.15">
      <c r="A23" s="85" t="s">
        <v>59</v>
      </c>
      <c r="B23" s="86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5" t="s">
        <v>60</v>
      </c>
      <c r="B24" s="86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7" t="s">
        <v>44</v>
      </c>
      <c r="B25" s="8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>
      <c r="E31" s="54" t="s">
        <v>224</v>
      </c>
    </row>
    <row r="32" spans="1:22" customFormat="1" ht="15" customHeight="1" x14ac:dyDescent="0.15"/>
    <row r="33" spans="5:5" customFormat="1" ht="15" customHeight="1" x14ac:dyDescent="0.15"/>
    <row r="34" spans="5:5" customFormat="1" ht="15" customHeight="1" x14ac:dyDescent="0.15"/>
    <row r="35" spans="5:5" customFormat="1" ht="15" customHeight="1" x14ac:dyDescent="0.15">
      <c r="E35" s="54" t="s">
        <v>220</v>
      </c>
    </row>
    <row r="36" spans="5:5" customFormat="1" ht="15" customHeight="1" x14ac:dyDescent="0.15"/>
    <row r="37" spans="5:5" customFormat="1" ht="15" customHeight="1" x14ac:dyDescent="0.15"/>
    <row r="38" spans="5:5" customFormat="1" ht="15" customHeight="1" x14ac:dyDescent="0.15"/>
    <row r="39" spans="5:5" customFormat="1" ht="15" customHeight="1" x14ac:dyDescent="0.15"/>
    <row r="40" spans="5:5" customFormat="1" ht="15" customHeight="1" x14ac:dyDescent="0.15"/>
    <row r="41" spans="5:5" customFormat="1" ht="15" customHeight="1" x14ac:dyDescent="0.15"/>
    <row r="42" spans="5:5" customFormat="1" ht="15" customHeight="1" x14ac:dyDescent="0.15"/>
    <row r="43" spans="5:5" customFormat="1" ht="15" customHeight="1" x14ac:dyDescent="0.15"/>
    <row r="44" spans="5:5" customFormat="1" ht="15" customHeight="1" x14ac:dyDescent="0.15"/>
    <row r="45" spans="5:5" customFormat="1" ht="15" customHeight="1" x14ac:dyDescent="0.15"/>
    <row r="46" spans="5:5" customFormat="1" ht="15" customHeight="1" x14ac:dyDescent="0.15"/>
    <row r="47" spans="5:5" customFormat="1" ht="15" customHeight="1" x14ac:dyDescent="0.15"/>
    <row r="48" spans="5:5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2" sqref="F32"/>
    </sheetView>
  </sheetViews>
  <sheetFormatPr baseColWidth="10" defaultColWidth="8.83203125" defaultRowHeight="13" x14ac:dyDescent="0.15"/>
  <cols>
    <col min="1" max="1" width="21.6640625" style="123" bestFit="1" customWidth="1"/>
    <col min="2" max="20" width="13.1640625" style="123" customWidth="1"/>
    <col min="21" max="29" width="9" style="123" bestFit="1" customWidth="1"/>
    <col min="30" max="16384" width="8.83203125" style="123"/>
  </cols>
  <sheetData>
    <row r="1" spans="1:34" x14ac:dyDescent="0.15">
      <c r="A1" s="122" t="s">
        <v>19</v>
      </c>
      <c r="B1" s="128" t="s">
        <v>192</v>
      </c>
      <c r="C1" s="128" t="s">
        <v>193</v>
      </c>
      <c r="D1" s="128" t="s">
        <v>194</v>
      </c>
      <c r="E1" s="128" t="s">
        <v>195</v>
      </c>
      <c r="F1" s="128" t="s">
        <v>196</v>
      </c>
      <c r="G1" s="128" t="s">
        <v>197</v>
      </c>
      <c r="H1" s="128" t="s">
        <v>198</v>
      </c>
      <c r="I1" s="128" t="s">
        <v>199</v>
      </c>
      <c r="J1" s="128" t="s">
        <v>200</v>
      </c>
      <c r="K1" s="128" t="s">
        <v>201</v>
      </c>
      <c r="L1" s="128" t="s">
        <v>202</v>
      </c>
      <c r="M1" s="128" t="s">
        <v>203</v>
      </c>
      <c r="N1" s="128" t="s">
        <v>204</v>
      </c>
      <c r="O1" s="128" t="s">
        <v>205</v>
      </c>
      <c r="P1" s="128" t="s">
        <v>206</v>
      </c>
      <c r="Q1" s="128" t="s">
        <v>207</v>
      </c>
      <c r="R1" s="128" t="s">
        <v>208</v>
      </c>
      <c r="S1" s="128" t="s">
        <v>209</v>
      </c>
      <c r="T1" s="128" t="s">
        <v>210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7" t="s">
        <v>192</v>
      </c>
      <c r="B2" s="123">
        <v>0</v>
      </c>
      <c r="C2" s="123">
        <v>0</v>
      </c>
      <c r="D2" s="123">
        <v>0</v>
      </c>
      <c r="E2" s="123">
        <v>0</v>
      </c>
      <c r="F2" s="123">
        <v>0</v>
      </c>
      <c r="G2" s="123">
        <v>0</v>
      </c>
      <c r="H2" s="123">
        <v>0</v>
      </c>
      <c r="I2" s="123">
        <v>0</v>
      </c>
      <c r="J2" s="123">
        <v>0</v>
      </c>
      <c r="K2" s="123">
        <v>0</v>
      </c>
      <c r="L2" s="123">
        <v>0</v>
      </c>
      <c r="M2" s="123">
        <v>0</v>
      </c>
      <c r="N2" s="123">
        <v>0</v>
      </c>
      <c r="O2" s="123">
        <v>0</v>
      </c>
      <c r="P2" s="123">
        <v>0</v>
      </c>
      <c r="Q2" s="123">
        <v>0</v>
      </c>
      <c r="R2" s="123">
        <v>0</v>
      </c>
      <c r="S2" s="123">
        <v>0</v>
      </c>
      <c r="T2" s="123">
        <v>0</v>
      </c>
    </row>
    <row r="3" spans="1:34" customFormat="1" x14ac:dyDescent="0.15">
      <c r="A3" s="127" t="s">
        <v>193</v>
      </c>
      <c r="B3" s="123">
        <v>0</v>
      </c>
      <c r="C3" s="123">
        <v>0</v>
      </c>
      <c r="D3" s="123">
        <v>0</v>
      </c>
      <c r="E3" s="123">
        <v>0</v>
      </c>
      <c r="F3" s="123">
        <v>0</v>
      </c>
      <c r="G3" s="123">
        <v>0</v>
      </c>
      <c r="H3" s="123">
        <v>0</v>
      </c>
      <c r="I3" s="123">
        <v>0</v>
      </c>
      <c r="J3" s="123">
        <v>0</v>
      </c>
      <c r="K3" s="123">
        <v>0</v>
      </c>
      <c r="L3" s="123">
        <v>0</v>
      </c>
      <c r="M3" s="123">
        <v>0</v>
      </c>
      <c r="N3" s="123">
        <v>0</v>
      </c>
      <c r="O3" s="123">
        <v>0</v>
      </c>
      <c r="P3" s="123">
        <v>0</v>
      </c>
      <c r="Q3" s="123">
        <v>0</v>
      </c>
      <c r="R3" s="123">
        <v>0</v>
      </c>
      <c r="S3" s="123">
        <v>0</v>
      </c>
      <c r="T3" s="123">
        <v>0</v>
      </c>
    </row>
    <row r="4" spans="1:34" customFormat="1" x14ac:dyDescent="0.15">
      <c r="A4" s="127" t="s">
        <v>194</v>
      </c>
      <c r="B4" s="123">
        <v>0</v>
      </c>
      <c r="C4" s="123">
        <v>0</v>
      </c>
      <c r="D4" s="123">
        <v>0</v>
      </c>
      <c r="E4" s="123">
        <v>0</v>
      </c>
      <c r="F4" s="123">
        <v>0.1</v>
      </c>
      <c r="G4" s="123">
        <v>0</v>
      </c>
      <c r="H4" s="123">
        <v>0</v>
      </c>
      <c r="I4" s="123">
        <v>0</v>
      </c>
      <c r="J4" s="123">
        <v>0</v>
      </c>
      <c r="K4" s="123">
        <v>0</v>
      </c>
      <c r="L4" s="123">
        <v>0</v>
      </c>
      <c r="M4" s="123">
        <v>0</v>
      </c>
      <c r="N4" s="123">
        <v>0</v>
      </c>
      <c r="O4" s="123">
        <v>0</v>
      </c>
      <c r="P4" s="123">
        <v>0</v>
      </c>
      <c r="Q4" s="123">
        <v>0</v>
      </c>
      <c r="R4" s="123">
        <v>0</v>
      </c>
      <c r="S4" s="123">
        <v>0</v>
      </c>
      <c r="T4" s="123">
        <v>0</v>
      </c>
    </row>
    <row r="5" spans="1:34" customFormat="1" x14ac:dyDescent="0.15">
      <c r="A5" s="127" t="s">
        <v>195</v>
      </c>
      <c r="B5" s="123">
        <v>0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  <c r="N5" s="123">
        <v>0</v>
      </c>
      <c r="O5" s="123">
        <v>0</v>
      </c>
      <c r="P5" s="123">
        <v>0</v>
      </c>
      <c r="Q5" s="123">
        <v>0</v>
      </c>
      <c r="R5" s="123">
        <v>0</v>
      </c>
      <c r="S5" s="123">
        <v>0</v>
      </c>
      <c r="T5" s="123">
        <v>0</v>
      </c>
    </row>
    <row r="6" spans="1:34" customFormat="1" x14ac:dyDescent="0.15">
      <c r="A6" s="127" t="s">
        <v>196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3">
        <v>0</v>
      </c>
      <c r="K6" s="123">
        <v>0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T6" s="123">
        <v>0</v>
      </c>
    </row>
    <row r="7" spans="1:34" customFormat="1" x14ac:dyDescent="0.15">
      <c r="A7" s="127" t="s">
        <v>197</v>
      </c>
      <c r="B7" s="123">
        <v>0</v>
      </c>
      <c r="C7" s="123">
        <v>0</v>
      </c>
      <c r="D7" s="123">
        <v>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0</v>
      </c>
      <c r="L7" s="123">
        <v>0</v>
      </c>
      <c r="M7" s="123">
        <v>0</v>
      </c>
      <c r="N7" s="123">
        <v>0</v>
      </c>
      <c r="O7" s="123">
        <v>0</v>
      </c>
      <c r="P7" s="123">
        <v>0</v>
      </c>
      <c r="Q7" s="123">
        <v>0</v>
      </c>
      <c r="R7" s="123">
        <v>0</v>
      </c>
      <c r="S7" s="123">
        <v>0</v>
      </c>
      <c r="T7" s="123">
        <v>0</v>
      </c>
    </row>
    <row r="8" spans="1:34" customFormat="1" x14ac:dyDescent="0.15">
      <c r="A8" s="127" t="s">
        <v>198</v>
      </c>
      <c r="B8" s="123">
        <v>0</v>
      </c>
      <c r="C8" s="123">
        <v>0.1</v>
      </c>
      <c r="D8" s="123">
        <v>0.05</v>
      </c>
      <c r="E8" s="123">
        <v>2.5000000000000001E-2</v>
      </c>
      <c r="F8" s="123">
        <v>0</v>
      </c>
      <c r="G8" s="123">
        <v>0</v>
      </c>
      <c r="H8" s="123">
        <v>0</v>
      </c>
      <c r="I8" s="123">
        <v>2E-3</v>
      </c>
      <c r="J8" s="123">
        <v>0</v>
      </c>
      <c r="K8" s="123">
        <v>0</v>
      </c>
      <c r="L8" s="123">
        <v>0</v>
      </c>
      <c r="M8" s="123">
        <v>0</v>
      </c>
      <c r="N8" s="123">
        <v>0</v>
      </c>
      <c r="O8" s="123">
        <v>0</v>
      </c>
      <c r="P8" s="123">
        <v>0</v>
      </c>
      <c r="Q8" s="123">
        <v>0</v>
      </c>
      <c r="R8" s="123">
        <v>0</v>
      </c>
      <c r="S8" s="123">
        <v>0</v>
      </c>
      <c r="T8" s="123">
        <v>0</v>
      </c>
    </row>
    <row r="9" spans="1:34" customFormat="1" x14ac:dyDescent="0.15">
      <c r="A9" s="127" t="s">
        <v>199</v>
      </c>
      <c r="B9" s="123">
        <v>0</v>
      </c>
      <c r="C9" s="123">
        <v>0.05</v>
      </c>
      <c r="D9" s="123">
        <v>0</v>
      </c>
      <c r="E9" s="123">
        <v>0</v>
      </c>
      <c r="F9" s="123">
        <v>0.1</v>
      </c>
      <c r="G9" s="123">
        <v>0.14000000000000001</v>
      </c>
      <c r="H9" s="123">
        <v>3.6999999999999998E-2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</row>
    <row r="10" spans="1:34" customFormat="1" x14ac:dyDescent="0.15">
      <c r="A10" s="127" t="s">
        <v>200</v>
      </c>
      <c r="B10" s="123">
        <v>0.30000000000000004</v>
      </c>
      <c r="C10" s="123">
        <v>0.1</v>
      </c>
      <c r="D10" s="123">
        <v>0.05</v>
      </c>
      <c r="E10" s="123">
        <v>0.1</v>
      </c>
      <c r="F10" s="123">
        <v>0.125</v>
      </c>
      <c r="G10" s="123">
        <v>0</v>
      </c>
      <c r="H10" s="123">
        <v>0.03</v>
      </c>
      <c r="I10" s="123">
        <v>1E-3</v>
      </c>
      <c r="J10" s="123">
        <v>0</v>
      </c>
      <c r="K10" s="123">
        <v>0</v>
      </c>
      <c r="L10" s="123">
        <v>0</v>
      </c>
      <c r="M10" s="123">
        <v>0</v>
      </c>
      <c r="N10" s="123">
        <v>0</v>
      </c>
      <c r="O10" s="123">
        <v>0</v>
      </c>
      <c r="P10" s="123">
        <v>0</v>
      </c>
      <c r="Q10" s="123">
        <v>0</v>
      </c>
      <c r="R10" s="123">
        <v>0</v>
      </c>
      <c r="S10" s="123">
        <v>0</v>
      </c>
      <c r="T10" s="123">
        <v>0</v>
      </c>
    </row>
    <row r="11" spans="1:34" customFormat="1" x14ac:dyDescent="0.15">
      <c r="A11" s="127" t="s">
        <v>201</v>
      </c>
      <c r="B11" s="123">
        <v>0.30000000000000004</v>
      </c>
      <c r="C11" s="123">
        <v>0.2</v>
      </c>
      <c r="D11" s="123">
        <v>0.1</v>
      </c>
      <c r="E11" s="123">
        <v>0.2</v>
      </c>
      <c r="F11" s="123">
        <v>0.15</v>
      </c>
      <c r="G11" s="123">
        <v>0</v>
      </c>
      <c r="H11" s="123">
        <v>0.06</v>
      </c>
      <c r="I11" s="123">
        <v>1E-3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</row>
    <row r="12" spans="1:34" customFormat="1" x14ac:dyDescent="0.15">
      <c r="A12" s="127" t="s">
        <v>202</v>
      </c>
      <c r="B12" s="123">
        <v>0.30000000000000004</v>
      </c>
      <c r="C12" s="123">
        <v>0.1</v>
      </c>
      <c r="D12" s="123">
        <v>0.15</v>
      </c>
      <c r="E12" s="123">
        <v>0.1</v>
      </c>
      <c r="F12" s="123">
        <v>0.1</v>
      </c>
      <c r="G12" s="123">
        <v>0</v>
      </c>
      <c r="H12" s="123">
        <v>0.05</v>
      </c>
      <c r="I12" s="123">
        <v>5.0000000000000001E-3</v>
      </c>
      <c r="J12" s="123">
        <v>0</v>
      </c>
      <c r="K12" s="123">
        <v>0</v>
      </c>
      <c r="L12" s="123">
        <v>0</v>
      </c>
      <c r="M12" s="123">
        <v>0</v>
      </c>
      <c r="N12" s="123">
        <v>0</v>
      </c>
      <c r="O12" s="123">
        <v>0</v>
      </c>
      <c r="P12" s="123">
        <v>0</v>
      </c>
      <c r="Q12" s="123">
        <v>0</v>
      </c>
      <c r="R12" s="123">
        <v>0</v>
      </c>
      <c r="S12" s="123">
        <v>0</v>
      </c>
      <c r="T12" s="123">
        <v>0</v>
      </c>
    </row>
    <row r="13" spans="1:34" customFormat="1" x14ac:dyDescent="0.15">
      <c r="A13" s="127" t="s">
        <v>203</v>
      </c>
      <c r="B13" s="123">
        <v>0</v>
      </c>
      <c r="C13" s="123">
        <v>0.35</v>
      </c>
      <c r="D13" s="123">
        <v>0.6</v>
      </c>
      <c r="E13" s="123">
        <v>0.55000000000000004</v>
      </c>
      <c r="F13" s="123">
        <v>0.42499999999999999</v>
      </c>
      <c r="G13" s="123">
        <v>0</v>
      </c>
      <c r="H13" s="123">
        <v>0.57299999999999995</v>
      </c>
      <c r="I13" s="123">
        <v>0.14000000000000001</v>
      </c>
      <c r="J13" s="123">
        <v>0.8</v>
      </c>
      <c r="K13" s="123">
        <v>0.75</v>
      </c>
      <c r="L13" s="123">
        <v>0.8</v>
      </c>
      <c r="M13" s="123">
        <v>0</v>
      </c>
      <c r="N13" s="123">
        <v>0</v>
      </c>
      <c r="O13" s="123">
        <v>0</v>
      </c>
      <c r="P13" s="123">
        <v>0</v>
      </c>
      <c r="Q13" s="123">
        <v>0</v>
      </c>
      <c r="R13" s="123">
        <v>0</v>
      </c>
      <c r="S13" s="123">
        <v>0</v>
      </c>
      <c r="T13" s="123">
        <v>0</v>
      </c>
    </row>
    <row r="14" spans="1:34" customFormat="1" x14ac:dyDescent="0.15">
      <c r="A14" s="127" t="s">
        <v>204</v>
      </c>
      <c r="B14" s="123">
        <v>0</v>
      </c>
      <c r="C14" s="123">
        <v>0</v>
      </c>
      <c r="D14" s="123">
        <v>0</v>
      </c>
      <c r="E14" s="123">
        <v>0</v>
      </c>
      <c r="F14" s="123">
        <v>0</v>
      </c>
      <c r="G14" s="123">
        <v>8.5000000000000006E-2</v>
      </c>
      <c r="H14" s="123">
        <v>0</v>
      </c>
      <c r="I14" s="123">
        <v>2.5000000000000001E-2</v>
      </c>
      <c r="J14" s="123">
        <v>0</v>
      </c>
      <c r="K14" s="123">
        <v>0</v>
      </c>
      <c r="L14" s="123">
        <v>0</v>
      </c>
      <c r="M14" s="123">
        <v>0</v>
      </c>
      <c r="N14" s="123">
        <v>0</v>
      </c>
      <c r="O14" s="123">
        <v>0.08</v>
      </c>
      <c r="P14" s="123">
        <v>0</v>
      </c>
      <c r="Q14" s="123">
        <v>0</v>
      </c>
      <c r="R14" s="123">
        <v>0</v>
      </c>
      <c r="S14" s="123">
        <v>0</v>
      </c>
      <c r="T14" s="123">
        <v>0</v>
      </c>
    </row>
    <row r="15" spans="1:34" customFormat="1" x14ac:dyDescent="0.15">
      <c r="A15" s="127" t="s">
        <v>205</v>
      </c>
      <c r="B15" s="123">
        <v>0</v>
      </c>
      <c r="C15" s="123">
        <v>0</v>
      </c>
      <c r="D15" s="123">
        <v>0</v>
      </c>
      <c r="E15" s="123">
        <v>0</v>
      </c>
      <c r="F15" s="123">
        <v>0</v>
      </c>
      <c r="G15" s="123">
        <v>0.375</v>
      </c>
      <c r="H15" s="123">
        <v>0.25</v>
      </c>
      <c r="I15" s="123">
        <v>0.1</v>
      </c>
      <c r="J15" s="123">
        <v>0</v>
      </c>
      <c r="K15" s="123">
        <v>0</v>
      </c>
      <c r="L15" s="123">
        <v>0</v>
      </c>
      <c r="M15" s="123">
        <v>0</v>
      </c>
      <c r="N15" s="123">
        <v>0.05</v>
      </c>
      <c r="O15" s="123">
        <v>7.0000000000000007E-2</v>
      </c>
      <c r="P15" s="123">
        <v>0</v>
      </c>
      <c r="Q15" s="123">
        <v>0</v>
      </c>
      <c r="R15" s="123">
        <v>0</v>
      </c>
      <c r="S15" s="123">
        <v>0</v>
      </c>
      <c r="T15" s="123">
        <v>0</v>
      </c>
    </row>
    <row r="16" spans="1:34" customFormat="1" x14ac:dyDescent="0.15">
      <c r="A16" s="127" t="s">
        <v>206</v>
      </c>
      <c r="B16" s="123">
        <v>0</v>
      </c>
      <c r="C16" s="123">
        <v>0</v>
      </c>
      <c r="D16" s="123">
        <v>0</v>
      </c>
      <c r="E16" s="123">
        <v>0</v>
      </c>
      <c r="F16" s="123">
        <v>0</v>
      </c>
      <c r="G16" s="123">
        <v>0.4</v>
      </c>
      <c r="H16" s="123">
        <v>0</v>
      </c>
      <c r="I16" s="123">
        <v>0.375</v>
      </c>
      <c r="J16" s="123">
        <v>0</v>
      </c>
      <c r="K16" s="123">
        <v>0</v>
      </c>
      <c r="L16" s="123">
        <v>0</v>
      </c>
      <c r="M16" s="123">
        <v>0</v>
      </c>
      <c r="N16" s="123">
        <v>0.05</v>
      </c>
      <c r="O16" s="123">
        <v>0.05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</row>
    <row r="17" spans="1:20" customFormat="1" x14ac:dyDescent="0.15">
      <c r="A17" s="127" t="s">
        <v>207</v>
      </c>
      <c r="B17" s="123">
        <v>0</v>
      </c>
      <c r="C17" s="123">
        <v>0</v>
      </c>
      <c r="D17" s="123">
        <v>0</v>
      </c>
      <c r="E17" s="123">
        <v>0</v>
      </c>
      <c r="F17" s="123">
        <v>0</v>
      </c>
      <c r="G17" s="123">
        <v>0</v>
      </c>
      <c r="H17" s="123">
        <v>0</v>
      </c>
      <c r="I17" s="123">
        <v>0.155</v>
      </c>
      <c r="J17" s="123">
        <v>0.2</v>
      </c>
      <c r="K17" s="123">
        <v>0.25</v>
      </c>
      <c r="L17" s="123">
        <v>0.2</v>
      </c>
      <c r="M17" s="123">
        <v>1</v>
      </c>
      <c r="N17" s="123">
        <v>0</v>
      </c>
      <c r="O17" s="123">
        <v>0</v>
      </c>
      <c r="P17" s="123">
        <v>0</v>
      </c>
      <c r="Q17" s="123">
        <v>0</v>
      </c>
      <c r="R17" s="123">
        <v>0</v>
      </c>
      <c r="S17" s="123">
        <v>0</v>
      </c>
      <c r="T17" s="123">
        <v>0</v>
      </c>
    </row>
    <row r="18" spans="1:20" customFormat="1" x14ac:dyDescent="0.15">
      <c r="A18" s="127" t="s">
        <v>208</v>
      </c>
      <c r="B18" s="123">
        <v>0.10000000000000002</v>
      </c>
      <c r="C18" s="123">
        <v>0.1</v>
      </c>
      <c r="D18" s="123">
        <v>0.05</v>
      </c>
      <c r="E18" s="123">
        <v>2.5000000000000001E-2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123">
        <v>0</v>
      </c>
      <c r="O18" s="123">
        <v>0</v>
      </c>
      <c r="P18" s="123">
        <v>0</v>
      </c>
      <c r="Q18" s="123">
        <v>0</v>
      </c>
      <c r="R18" s="123">
        <v>0</v>
      </c>
      <c r="S18" s="123">
        <v>0</v>
      </c>
      <c r="T18" s="123">
        <v>0</v>
      </c>
    </row>
    <row r="19" spans="1:20" customFormat="1" x14ac:dyDescent="0.15">
      <c r="A19" s="127" t="s">
        <v>209</v>
      </c>
      <c r="B19" s="123">
        <v>0</v>
      </c>
      <c r="C19" s="123">
        <v>0</v>
      </c>
      <c r="D19" s="123">
        <v>0</v>
      </c>
      <c r="E19" s="123">
        <v>0</v>
      </c>
      <c r="F19" s="123">
        <v>0</v>
      </c>
      <c r="G19" s="123">
        <v>0</v>
      </c>
      <c r="H19" s="123">
        <v>0</v>
      </c>
      <c r="I19" s="123">
        <v>0.19600000000000001</v>
      </c>
      <c r="J19" s="123">
        <v>0</v>
      </c>
      <c r="K19" s="123">
        <v>0</v>
      </c>
      <c r="L19" s="123">
        <v>0</v>
      </c>
      <c r="M19" s="123">
        <v>0</v>
      </c>
      <c r="N19" s="123">
        <v>0.9</v>
      </c>
      <c r="O19" s="123">
        <v>0.8</v>
      </c>
      <c r="P19" s="123">
        <v>0</v>
      </c>
      <c r="Q19" s="123">
        <v>0</v>
      </c>
      <c r="R19" s="123">
        <v>0</v>
      </c>
      <c r="S19" s="123">
        <v>0</v>
      </c>
      <c r="T19" s="123">
        <v>0</v>
      </c>
    </row>
    <row r="20" spans="1:20" customFormat="1" x14ac:dyDescent="0.15">
      <c r="A20" s="127" t="s">
        <v>210</v>
      </c>
      <c r="B20" s="123">
        <v>0</v>
      </c>
      <c r="C20" s="123">
        <v>0</v>
      </c>
      <c r="D20" s="123">
        <v>0</v>
      </c>
      <c r="E20" s="123">
        <v>0</v>
      </c>
      <c r="F20" s="123">
        <v>0</v>
      </c>
      <c r="G20" s="123">
        <v>0</v>
      </c>
      <c r="H20" s="123">
        <v>0</v>
      </c>
      <c r="I20" s="123">
        <v>0</v>
      </c>
      <c r="J20" s="123">
        <v>0</v>
      </c>
      <c r="K20" s="123">
        <v>0</v>
      </c>
      <c r="L20" s="123">
        <v>0</v>
      </c>
      <c r="M20" s="123">
        <v>0</v>
      </c>
      <c r="N20" s="123">
        <v>0</v>
      </c>
      <c r="O20" s="123">
        <v>0</v>
      </c>
      <c r="P20" s="123">
        <v>0</v>
      </c>
      <c r="Q20" s="123">
        <v>0</v>
      </c>
      <c r="R20" s="123">
        <v>0</v>
      </c>
      <c r="S20" s="123">
        <v>0</v>
      </c>
      <c r="T20" s="123">
        <v>0</v>
      </c>
    </row>
    <row r="21" spans="1:20" customFormat="1" x14ac:dyDescent="0.15">
      <c r="A21" s="127" t="s">
        <v>213</v>
      </c>
      <c r="B21" s="123">
        <v>0</v>
      </c>
      <c r="C21" s="123">
        <v>0</v>
      </c>
      <c r="D21" s="123">
        <v>0</v>
      </c>
      <c r="E21" s="123">
        <v>0</v>
      </c>
      <c r="F21" s="123">
        <v>0</v>
      </c>
      <c r="G21" s="123">
        <v>0</v>
      </c>
      <c r="H21" s="123">
        <v>0</v>
      </c>
      <c r="I21" s="123">
        <v>0</v>
      </c>
      <c r="J21" s="123">
        <v>0</v>
      </c>
      <c r="K21" s="123">
        <v>0</v>
      </c>
      <c r="L21" s="123">
        <v>0</v>
      </c>
      <c r="M21" s="123">
        <v>0</v>
      </c>
      <c r="N21" s="123">
        <v>0</v>
      </c>
      <c r="O21" s="123">
        <v>0</v>
      </c>
      <c r="P21" s="123">
        <v>0</v>
      </c>
      <c r="Q21" s="123">
        <v>0</v>
      </c>
      <c r="R21" s="123">
        <v>0</v>
      </c>
      <c r="S21" s="123">
        <v>0</v>
      </c>
      <c r="T21" s="123">
        <v>0</v>
      </c>
    </row>
    <row r="22" spans="1:20" customFormat="1" x14ac:dyDescent="0.15"/>
    <row r="23" spans="1:20" customFormat="1" x14ac:dyDescent="0.15"/>
    <row r="24" spans="1:20" customFormat="1" x14ac:dyDescent="0.15">
      <c r="A24" s="151" t="s">
        <v>217</v>
      </c>
      <c r="B24">
        <f>SUM(B2:B21)</f>
        <v>1.0000000000000002</v>
      </c>
      <c r="C24">
        <f t="shared" ref="C24:T24" si="0">SUM(C2:C21)</f>
        <v>1</v>
      </c>
      <c r="D24">
        <f t="shared" si="0"/>
        <v>1</v>
      </c>
      <c r="E24">
        <f t="shared" si="0"/>
        <v>1</v>
      </c>
      <c r="F24">
        <f t="shared" si="0"/>
        <v>1</v>
      </c>
      <c r="G24">
        <f t="shared" si="0"/>
        <v>1</v>
      </c>
      <c r="H24">
        <f t="shared" si="0"/>
        <v>1</v>
      </c>
      <c r="I24">
        <f t="shared" si="0"/>
        <v>1</v>
      </c>
      <c r="J24">
        <f t="shared" si="0"/>
        <v>1</v>
      </c>
      <c r="K24">
        <f t="shared" si="0"/>
        <v>1</v>
      </c>
      <c r="L24">
        <f t="shared" si="0"/>
        <v>1</v>
      </c>
      <c r="M24">
        <f t="shared" si="0"/>
        <v>1</v>
      </c>
      <c r="N24">
        <f t="shared" si="0"/>
        <v>1</v>
      </c>
      <c r="O24">
        <f t="shared" si="0"/>
        <v>1</v>
      </c>
      <c r="P24">
        <f t="shared" si="0"/>
        <v>0</v>
      </c>
      <c r="Q24">
        <f t="shared" si="0"/>
        <v>0</v>
      </c>
      <c r="R24">
        <f t="shared" si="0"/>
        <v>0</v>
      </c>
      <c r="S24">
        <f t="shared" si="0"/>
        <v>0</v>
      </c>
      <c r="T24">
        <f t="shared" si="0"/>
        <v>0</v>
      </c>
    </row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4" sqref="C24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8.5" style="95" customWidth="1"/>
    <col min="5" max="6" width="18.5" style="94" customWidth="1"/>
    <col min="7" max="7" width="18.5" style="95" customWidth="1"/>
    <col min="8" max="8" width="8.83203125" style="95"/>
  </cols>
  <sheetData>
    <row r="1" spans="1:8" ht="70" x14ac:dyDescent="0.15">
      <c r="A1" s="5" t="s">
        <v>20</v>
      </c>
      <c r="B1" s="1" t="s">
        <v>0</v>
      </c>
      <c r="C1" s="130" t="s">
        <v>208</v>
      </c>
      <c r="D1" s="130" t="s">
        <v>209</v>
      </c>
      <c r="E1" s="130" t="s">
        <v>210</v>
      </c>
      <c r="F1" s="130" t="s">
        <v>214</v>
      </c>
      <c r="G1" s="130" t="s">
        <v>215</v>
      </c>
      <c r="H1"/>
    </row>
    <row r="2" spans="1:8" x14ac:dyDescent="0.15">
      <c r="A2">
        <v>1</v>
      </c>
      <c r="B2" s="129" t="s">
        <v>192</v>
      </c>
      <c r="C2" s="95">
        <v>0</v>
      </c>
      <c r="D2" s="95">
        <v>1</v>
      </c>
      <c r="E2" s="94">
        <v>0</v>
      </c>
      <c r="F2" s="94">
        <v>0</v>
      </c>
      <c r="G2" s="95">
        <v>1</v>
      </c>
      <c r="H2"/>
    </row>
    <row r="3" spans="1:8" x14ac:dyDescent="0.15">
      <c r="A3">
        <v>2</v>
      </c>
      <c r="B3" s="129" t="s">
        <v>193</v>
      </c>
      <c r="C3" s="95">
        <v>0</v>
      </c>
      <c r="D3" s="95">
        <v>1</v>
      </c>
      <c r="E3" s="94">
        <v>0</v>
      </c>
      <c r="F3" s="94">
        <v>0</v>
      </c>
      <c r="G3" s="95">
        <v>1</v>
      </c>
      <c r="H3"/>
    </row>
    <row r="4" spans="1:8" x14ac:dyDescent="0.15">
      <c r="A4">
        <v>3</v>
      </c>
      <c r="B4" s="129" t="s">
        <v>194</v>
      </c>
      <c r="C4" s="95">
        <v>0</v>
      </c>
      <c r="D4" s="95">
        <v>1</v>
      </c>
      <c r="E4" s="94">
        <v>0</v>
      </c>
      <c r="F4" s="94">
        <v>0</v>
      </c>
      <c r="G4" s="95">
        <v>1</v>
      </c>
      <c r="H4"/>
    </row>
    <row r="5" spans="1:8" x14ac:dyDescent="0.15">
      <c r="A5">
        <v>4</v>
      </c>
      <c r="B5" s="129" t="s">
        <v>195</v>
      </c>
      <c r="C5" s="95">
        <v>0</v>
      </c>
      <c r="D5" s="95">
        <v>1</v>
      </c>
      <c r="E5" s="94">
        <v>0</v>
      </c>
      <c r="F5" s="94">
        <v>0</v>
      </c>
      <c r="G5" s="95">
        <v>1</v>
      </c>
      <c r="H5"/>
    </row>
    <row r="6" spans="1:8" x14ac:dyDescent="0.15">
      <c r="A6">
        <v>5</v>
      </c>
      <c r="B6" s="129" t="s">
        <v>196</v>
      </c>
      <c r="C6" s="95">
        <v>0</v>
      </c>
      <c r="D6" s="95">
        <v>1</v>
      </c>
      <c r="E6" s="94">
        <v>0</v>
      </c>
      <c r="F6" s="94">
        <v>0</v>
      </c>
      <c r="G6" s="95">
        <v>1</v>
      </c>
      <c r="H6"/>
    </row>
    <row r="7" spans="1:8" x14ac:dyDescent="0.15">
      <c r="A7">
        <v>6</v>
      </c>
      <c r="B7" s="129" t="s">
        <v>197</v>
      </c>
      <c r="C7" s="95">
        <v>0</v>
      </c>
      <c r="D7" s="95">
        <v>1</v>
      </c>
      <c r="E7" s="94">
        <v>0</v>
      </c>
      <c r="F7" s="94">
        <v>0</v>
      </c>
      <c r="G7" s="95">
        <v>1</v>
      </c>
      <c r="H7"/>
    </row>
    <row r="8" spans="1:8" x14ac:dyDescent="0.15">
      <c r="A8">
        <v>7</v>
      </c>
      <c r="B8" s="129" t="s">
        <v>198</v>
      </c>
      <c r="C8" s="95">
        <v>0</v>
      </c>
      <c r="D8" s="95">
        <v>1</v>
      </c>
      <c r="E8" s="94">
        <v>0</v>
      </c>
      <c r="F8" s="94">
        <v>0</v>
      </c>
      <c r="G8" s="95">
        <v>1</v>
      </c>
      <c r="H8"/>
    </row>
    <row r="9" spans="1:8" x14ac:dyDescent="0.15">
      <c r="A9">
        <v>8</v>
      </c>
      <c r="B9" s="129" t="s">
        <v>199</v>
      </c>
      <c r="C9" s="95">
        <v>0</v>
      </c>
      <c r="D9" s="95">
        <v>1</v>
      </c>
      <c r="E9" s="94">
        <v>0</v>
      </c>
      <c r="F9" s="94">
        <v>0</v>
      </c>
      <c r="G9" s="95">
        <v>1</v>
      </c>
      <c r="H9"/>
    </row>
    <row r="10" spans="1:8" x14ac:dyDescent="0.15">
      <c r="A10">
        <v>9</v>
      </c>
      <c r="B10" s="129" t="s">
        <v>200</v>
      </c>
      <c r="C10" s="95">
        <v>0</v>
      </c>
      <c r="D10" s="95">
        <v>1</v>
      </c>
      <c r="E10" s="94">
        <v>0</v>
      </c>
      <c r="F10" s="94">
        <v>0</v>
      </c>
      <c r="G10" s="95">
        <v>1</v>
      </c>
      <c r="H10"/>
    </row>
    <row r="11" spans="1:8" x14ac:dyDescent="0.15">
      <c r="A11">
        <v>10</v>
      </c>
      <c r="B11" s="129" t="s">
        <v>201</v>
      </c>
      <c r="C11" s="95">
        <v>0</v>
      </c>
      <c r="D11" s="95">
        <v>1</v>
      </c>
      <c r="E11" s="94">
        <v>0</v>
      </c>
      <c r="F11" s="94">
        <v>0</v>
      </c>
      <c r="G11" s="95">
        <v>1</v>
      </c>
      <c r="H11"/>
    </row>
    <row r="12" spans="1:8" x14ac:dyDescent="0.15">
      <c r="A12">
        <v>11</v>
      </c>
      <c r="B12" s="129" t="s">
        <v>202</v>
      </c>
      <c r="C12" s="95">
        <v>0</v>
      </c>
      <c r="D12" s="95">
        <v>1</v>
      </c>
      <c r="E12" s="94">
        <v>0</v>
      </c>
      <c r="F12" s="94">
        <v>0</v>
      </c>
      <c r="G12" s="95">
        <v>1</v>
      </c>
      <c r="H12"/>
    </row>
    <row r="13" spans="1:8" x14ac:dyDescent="0.15">
      <c r="A13">
        <v>12</v>
      </c>
      <c r="B13" s="129" t="s">
        <v>203</v>
      </c>
      <c r="C13" s="95">
        <v>0</v>
      </c>
      <c r="D13" s="95">
        <v>1</v>
      </c>
      <c r="E13" s="94">
        <v>0</v>
      </c>
      <c r="F13" s="94">
        <v>0</v>
      </c>
      <c r="G13" s="95">
        <v>1</v>
      </c>
      <c r="H13"/>
    </row>
    <row r="14" spans="1:8" x14ac:dyDescent="0.15">
      <c r="A14">
        <v>13</v>
      </c>
      <c r="B14" s="129" t="s">
        <v>204</v>
      </c>
      <c r="C14" s="95">
        <v>0</v>
      </c>
      <c r="D14" s="95">
        <v>1</v>
      </c>
      <c r="E14" s="94">
        <v>0</v>
      </c>
      <c r="F14" s="94">
        <v>0</v>
      </c>
      <c r="G14" s="95">
        <v>1</v>
      </c>
      <c r="H14"/>
    </row>
    <row r="15" spans="1:8" x14ac:dyDescent="0.15">
      <c r="A15">
        <v>14</v>
      </c>
      <c r="B15" s="129" t="s">
        <v>205</v>
      </c>
      <c r="C15" s="95">
        <v>0</v>
      </c>
      <c r="D15" s="95">
        <v>1</v>
      </c>
      <c r="E15" s="94">
        <v>0</v>
      </c>
      <c r="F15" s="94">
        <v>0</v>
      </c>
      <c r="G15" s="95">
        <v>1</v>
      </c>
      <c r="H15"/>
    </row>
    <row r="16" spans="1:8" x14ac:dyDescent="0.15">
      <c r="A16">
        <v>15</v>
      </c>
      <c r="B16" s="129" t="s">
        <v>206</v>
      </c>
      <c r="C16" s="95">
        <v>0</v>
      </c>
      <c r="D16" s="95">
        <v>1</v>
      </c>
      <c r="E16" s="94">
        <v>0</v>
      </c>
      <c r="F16" s="94">
        <v>0</v>
      </c>
      <c r="G16" s="95">
        <v>1</v>
      </c>
      <c r="H16"/>
    </row>
    <row r="17" spans="1:8" ht="15" customHeight="1" x14ac:dyDescent="0.15">
      <c r="A17">
        <v>16</v>
      </c>
      <c r="B17" s="129" t="s">
        <v>207</v>
      </c>
      <c r="C17" s="95">
        <v>0</v>
      </c>
      <c r="D17" s="95">
        <v>1</v>
      </c>
      <c r="E17" s="94">
        <v>0</v>
      </c>
      <c r="F17" s="94">
        <v>0</v>
      </c>
      <c r="G17" s="95">
        <v>1</v>
      </c>
      <c r="H17"/>
    </row>
    <row r="18" spans="1:8" ht="15" customHeight="1" x14ac:dyDescent="0.15">
      <c r="A18">
        <v>17</v>
      </c>
      <c r="B18" s="129" t="s">
        <v>208</v>
      </c>
      <c r="C18" s="95">
        <v>0</v>
      </c>
      <c r="D18" s="95">
        <v>0</v>
      </c>
      <c r="E18" s="94">
        <v>0</v>
      </c>
      <c r="F18" s="94">
        <v>1</v>
      </c>
      <c r="G18" s="95">
        <v>1</v>
      </c>
      <c r="H18"/>
    </row>
    <row r="19" spans="1:8" ht="15" customHeight="1" x14ac:dyDescent="0.15">
      <c r="A19">
        <v>18</v>
      </c>
      <c r="B19" s="129" t="s">
        <v>209</v>
      </c>
      <c r="C19" s="95">
        <v>0</v>
      </c>
      <c r="D19" s="95">
        <v>0</v>
      </c>
      <c r="E19" s="94">
        <v>1</v>
      </c>
      <c r="F19" s="94">
        <v>0</v>
      </c>
      <c r="G19" s="95">
        <v>1</v>
      </c>
      <c r="H19"/>
    </row>
    <row r="20" spans="1:8" ht="15" customHeight="1" x14ac:dyDescent="0.15">
      <c r="A20">
        <v>19</v>
      </c>
      <c r="B20" s="129" t="s">
        <v>210</v>
      </c>
      <c r="C20" s="95">
        <v>0</v>
      </c>
      <c r="D20" s="95">
        <v>0</v>
      </c>
      <c r="E20" s="94">
        <v>0</v>
      </c>
      <c r="F20" s="94">
        <v>1</v>
      </c>
      <c r="G20" s="95">
        <v>1</v>
      </c>
      <c r="H20"/>
    </row>
    <row r="21" spans="1:8" ht="15" customHeight="1" x14ac:dyDescent="0.15">
      <c r="A21">
        <v>20</v>
      </c>
      <c r="B21" s="129" t="s">
        <v>211</v>
      </c>
      <c r="C21" s="95">
        <v>1</v>
      </c>
      <c r="D21" s="95">
        <v>0</v>
      </c>
      <c r="E21" s="94">
        <v>0</v>
      </c>
      <c r="F21" s="94">
        <v>0</v>
      </c>
      <c r="G21" s="95">
        <v>1</v>
      </c>
      <c r="H21"/>
    </row>
    <row r="22" spans="1:8" ht="15" customHeight="1" x14ac:dyDescent="0.15">
      <c r="A22">
        <v>21</v>
      </c>
      <c r="B22" s="129" t="s">
        <v>212</v>
      </c>
      <c r="C22" s="95">
        <v>1</v>
      </c>
      <c r="D22" s="95">
        <v>0</v>
      </c>
      <c r="E22" s="94">
        <v>0</v>
      </c>
      <c r="F22" s="94">
        <v>0</v>
      </c>
      <c r="G22" s="95">
        <v>1</v>
      </c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5"/>
      <c r="F36" s="95"/>
      <c r="G36"/>
      <c r="H36"/>
    </row>
    <row r="37" spans="3:8" ht="15" customHeight="1" x14ac:dyDescent="0.15">
      <c r="C37"/>
      <c r="D37"/>
      <c r="E37" s="95"/>
      <c r="F37" s="95"/>
      <c r="G37"/>
      <c r="H37"/>
    </row>
    <row r="38" spans="3:8" ht="15" customHeight="1" x14ac:dyDescent="0.15">
      <c r="C38"/>
      <c r="D38"/>
      <c r="E38" s="95"/>
      <c r="F38" s="95"/>
      <c r="G38"/>
      <c r="H38"/>
    </row>
    <row r="39" spans="3:8" ht="15" customHeight="1" x14ac:dyDescent="0.15">
      <c r="C39"/>
      <c r="D39"/>
      <c r="E39" s="95"/>
      <c r="F39" s="95"/>
      <c r="G39"/>
      <c r="H39"/>
    </row>
    <row r="40" spans="3:8" ht="15" customHeight="1" x14ac:dyDescent="0.15">
      <c r="C40"/>
      <c r="D40"/>
      <c r="E40" s="95"/>
      <c r="F40" s="95"/>
      <c r="G40"/>
      <c r="H40"/>
    </row>
    <row r="41" spans="3:8" ht="15" customHeight="1" x14ac:dyDescent="0.15">
      <c r="C41"/>
      <c r="D41"/>
      <c r="E41" s="95"/>
      <c r="F41" s="95"/>
      <c r="G41"/>
      <c r="H41"/>
    </row>
    <row r="42" spans="3:8" ht="15" customHeight="1" x14ac:dyDescent="0.15">
      <c r="C42"/>
      <c r="D42"/>
      <c r="E42" s="95"/>
      <c r="F42" s="95"/>
      <c r="G42"/>
      <c r="H42"/>
    </row>
    <row r="43" spans="3:8" ht="15" customHeight="1" x14ac:dyDescent="0.15">
      <c r="C43"/>
      <c r="D43"/>
      <c r="E43" s="95"/>
      <c r="F43" s="9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5"/>
      <c r="F46" s="9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Q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23" sqref="C2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3" width="14.83203125" bestFit="1" customWidth="1"/>
    <col min="4" max="4" width="14.1640625" bestFit="1" customWidth="1"/>
    <col min="5" max="5" width="6.6640625" bestFit="1" customWidth="1"/>
  </cols>
  <sheetData>
    <row r="1" spans="1:17" s="96" customFormat="1" ht="112" x14ac:dyDescent="0.15">
      <c r="A1" s="5" t="s">
        <v>21</v>
      </c>
      <c r="B1" s="3" t="s">
        <v>0</v>
      </c>
      <c r="C1" s="132" t="s">
        <v>211</v>
      </c>
      <c r="D1" s="132" t="s">
        <v>212</v>
      </c>
      <c r="E1" s="132" t="s">
        <v>216</v>
      </c>
    </row>
    <row r="2" spans="1:17" ht="15" customHeight="1" x14ac:dyDescent="0.15">
      <c r="A2">
        <v>1</v>
      </c>
      <c r="B2" s="131" t="s">
        <v>192</v>
      </c>
      <c r="C2" s="152">
        <f>P2*$K$2</f>
        <v>0</v>
      </c>
      <c r="D2" s="152">
        <f>Q2*$K$2</f>
        <v>0</v>
      </c>
      <c r="E2">
        <f>SUM(C2:D2)</f>
        <v>0</v>
      </c>
      <c r="J2" s="174" t="s">
        <v>223</v>
      </c>
      <c r="K2" s="173">
        <v>0.8</v>
      </c>
      <c r="O2" s="174" t="s">
        <v>221</v>
      </c>
      <c r="P2" s="173">
        <v>0</v>
      </c>
      <c r="Q2" s="173">
        <v>0</v>
      </c>
    </row>
    <row r="3" spans="1:17" ht="15" customHeight="1" x14ac:dyDescent="0.15">
      <c r="A3">
        <v>2</v>
      </c>
      <c r="B3" s="131" t="s">
        <v>193</v>
      </c>
      <c r="C3" s="152">
        <f t="shared" ref="C3:C20" si="0">P3*$K$2</f>
        <v>0</v>
      </c>
      <c r="D3" s="152">
        <f t="shared" ref="D3:D20" si="1">Q3*$K$2</f>
        <v>0</v>
      </c>
      <c r="E3">
        <f t="shared" ref="E3:E20" si="2">SUM(C3:D3)</f>
        <v>0</v>
      </c>
      <c r="P3" s="173">
        <v>0</v>
      </c>
      <c r="Q3" s="173">
        <v>0</v>
      </c>
    </row>
    <row r="4" spans="1:17" ht="15" customHeight="1" x14ac:dyDescent="0.15">
      <c r="A4">
        <v>3</v>
      </c>
      <c r="B4" s="131" t="s">
        <v>194</v>
      </c>
      <c r="C4" s="152">
        <f t="shared" si="0"/>
        <v>1.1519999999999999</v>
      </c>
      <c r="D4" s="152">
        <f t="shared" si="1"/>
        <v>0</v>
      </c>
      <c r="E4">
        <f t="shared" si="2"/>
        <v>1.1519999999999999</v>
      </c>
      <c r="P4" s="173">
        <v>1.44</v>
      </c>
      <c r="Q4" s="173">
        <v>0</v>
      </c>
    </row>
    <row r="5" spans="1:17" ht="15" customHeight="1" x14ac:dyDescent="0.15">
      <c r="A5">
        <v>4</v>
      </c>
      <c r="B5" s="131" t="s">
        <v>195</v>
      </c>
      <c r="C5" s="152">
        <f t="shared" si="0"/>
        <v>0</v>
      </c>
      <c r="D5" s="152">
        <f t="shared" si="1"/>
        <v>0.72000000000000008</v>
      </c>
      <c r="E5">
        <f t="shared" si="2"/>
        <v>0.72000000000000008</v>
      </c>
      <c r="P5" s="173">
        <v>0</v>
      </c>
      <c r="Q5" s="173">
        <v>0.9</v>
      </c>
    </row>
    <row r="6" spans="1:17" ht="15" customHeight="1" x14ac:dyDescent="0.15">
      <c r="A6">
        <v>5</v>
      </c>
      <c r="B6" s="131" t="s">
        <v>196</v>
      </c>
      <c r="C6" s="152">
        <f t="shared" si="0"/>
        <v>8.0000000000000002E-3</v>
      </c>
      <c r="D6" s="152">
        <f t="shared" si="1"/>
        <v>9.6000000000000002E-2</v>
      </c>
      <c r="E6">
        <f t="shared" si="2"/>
        <v>0.10400000000000001</v>
      </c>
      <c r="P6" s="173">
        <v>0.01</v>
      </c>
      <c r="Q6" s="173">
        <v>0.12</v>
      </c>
    </row>
    <row r="7" spans="1:17" ht="15" customHeight="1" x14ac:dyDescent="0.15">
      <c r="A7">
        <v>6</v>
      </c>
      <c r="B7" s="131" t="s">
        <v>197</v>
      </c>
      <c r="C7" s="152">
        <f t="shared" si="0"/>
        <v>8.0000000000000002E-3</v>
      </c>
      <c r="D7" s="152">
        <f t="shared" si="1"/>
        <v>6.4000000000000001E-2</v>
      </c>
      <c r="E7">
        <f t="shared" si="2"/>
        <v>7.2000000000000008E-2</v>
      </c>
      <c r="P7" s="173">
        <v>0.01</v>
      </c>
      <c r="Q7" s="173">
        <v>0.08</v>
      </c>
    </row>
    <row r="8" spans="1:17" ht="15" customHeight="1" x14ac:dyDescent="0.15">
      <c r="A8">
        <v>7</v>
      </c>
      <c r="B8" s="131" t="s">
        <v>198</v>
      </c>
      <c r="C8" s="152">
        <f t="shared" si="0"/>
        <v>0.192</v>
      </c>
      <c r="D8" s="152">
        <f t="shared" si="1"/>
        <v>9.6000000000000002E-2</v>
      </c>
      <c r="E8">
        <f t="shared" si="2"/>
        <v>0.28800000000000003</v>
      </c>
      <c r="P8" s="173">
        <v>0.24</v>
      </c>
      <c r="Q8" s="173">
        <v>0.12</v>
      </c>
    </row>
    <row r="9" spans="1:17" ht="15" customHeight="1" x14ac:dyDescent="0.15">
      <c r="A9">
        <v>8</v>
      </c>
      <c r="B9" s="131" t="s">
        <v>199</v>
      </c>
      <c r="C9" s="152">
        <f t="shared" si="0"/>
        <v>1.36</v>
      </c>
      <c r="D9" s="152">
        <f t="shared" si="1"/>
        <v>1.2480000000000002</v>
      </c>
      <c r="E9">
        <f t="shared" si="2"/>
        <v>2.6080000000000005</v>
      </c>
      <c r="P9" s="173">
        <v>1.7</v>
      </c>
      <c r="Q9" s="173">
        <v>1.56</v>
      </c>
    </row>
    <row r="10" spans="1:17" ht="15" customHeight="1" x14ac:dyDescent="0.15">
      <c r="A10">
        <v>9</v>
      </c>
      <c r="B10" s="131" t="s">
        <v>200</v>
      </c>
      <c r="C10" s="152">
        <f t="shared" si="0"/>
        <v>0.21600000000000003</v>
      </c>
      <c r="D10" s="152">
        <f t="shared" si="1"/>
        <v>3.8079999999999998</v>
      </c>
      <c r="E10">
        <f t="shared" si="2"/>
        <v>4.024</v>
      </c>
      <c r="P10" s="173">
        <v>0.27</v>
      </c>
      <c r="Q10" s="173">
        <v>4.76</v>
      </c>
    </row>
    <row r="11" spans="1:17" ht="15" customHeight="1" x14ac:dyDescent="0.15">
      <c r="A11">
        <v>10</v>
      </c>
      <c r="B11" s="131" t="s">
        <v>201</v>
      </c>
      <c r="C11" s="152">
        <f t="shared" si="0"/>
        <v>0.32000000000000006</v>
      </c>
      <c r="D11" s="152">
        <f t="shared" si="1"/>
        <v>2.3359999999999999</v>
      </c>
      <c r="E11">
        <f t="shared" si="2"/>
        <v>2.6559999999999997</v>
      </c>
      <c r="P11" s="173">
        <v>0.4</v>
      </c>
      <c r="Q11" s="173">
        <v>2.92</v>
      </c>
    </row>
    <row r="12" spans="1:17" ht="15" customHeight="1" x14ac:dyDescent="0.15">
      <c r="A12">
        <v>11</v>
      </c>
      <c r="B12" s="131" t="s">
        <v>202</v>
      </c>
      <c r="C12" s="152">
        <f t="shared" si="0"/>
        <v>1.008</v>
      </c>
      <c r="D12" s="152">
        <f t="shared" si="1"/>
        <v>0.96</v>
      </c>
      <c r="E12">
        <f t="shared" si="2"/>
        <v>1.968</v>
      </c>
      <c r="P12" s="173">
        <v>1.26</v>
      </c>
      <c r="Q12" s="173">
        <v>1.2</v>
      </c>
    </row>
    <row r="13" spans="1:17" ht="15" customHeight="1" x14ac:dyDescent="0.15">
      <c r="A13">
        <v>12</v>
      </c>
      <c r="B13" s="131" t="s">
        <v>203</v>
      </c>
      <c r="C13" s="152">
        <f t="shared" si="0"/>
        <v>0</v>
      </c>
      <c r="D13" s="152">
        <f t="shared" si="1"/>
        <v>0</v>
      </c>
      <c r="E13">
        <f t="shared" si="2"/>
        <v>0</v>
      </c>
      <c r="P13" s="173">
        <v>0</v>
      </c>
      <c r="Q13" s="173">
        <v>0</v>
      </c>
    </row>
    <row r="14" spans="1:17" ht="15" customHeight="1" x14ac:dyDescent="0.15">
      <c r="A14">
        <v>13</v>
      </c>
      <c r="B14" s="131" t="s">
        <v>204</v>
      </c>
      <c r="C14" s="152">
        <f t="shared" si="0"/>
        <v>0</v>
      </c>
      <c r="D14" s="152">
        <f t="shared" si="1"/>
        <v>0</v>
      </c>
      <c r="E14">
        <f t="shared" si="2"/>
        <v>0</v>
      </c>
      <c r="P14" s="173">
        <v>0</v>
      </c>
      <c r="Q14" s="173">
        <v>0</v>
      </c>
    </row>
    <row r="15" spans="1:17" ht="15" customHeight="1" x14ac:dyDescent="0.15">
      <c r="A15">
        <v>14</v>
      </c>
      <c r="B15" s="131" t="s">
        <v>205</v>
      </c>
      <c r="C15" s="152">
        <f t="shared" si="0"/>
        <v>0</v>
      </c>
      <c r="D15" s="152">
        <f t="shared" si="1"/>
        <v>0</v>
      </c>
      <c r="E15">
        <f t="shared" si="2"/>
        <v>0</v>
      </c>
      <c r="P15" s="173">
        <v>0</v>
      </c>
      <c r="Q15" s="173">
        <v>0</v>
      </c>
    </row>
    <row r="16" spans="1:17" ht="15" customHeight="1" x14ac:dyDescent="0.15">
      <c r="A16">
        <v>15</v>
      </c>
      <c r="B16" s="131" t="s">
        <v>206</v>
      </c>
      <c r="C16" s="152">
        <f t="shared" si="0"/>
        <v>0</v>
      </c>
      <c r="D16" s="152">
        <f t="shared" si="1"/>
        <v>0</v>
      </c>
      <c r="E16">
        <f t="shared" si="2"/>
        <v>0</v>
      </c>
      <c r="P16" s="173">
        <v>0</v>
      </c>
      <c r="Q16" s="173">
        <v>0</v>
      </c>
    </row>
    <row r="17" spans="1:17" ht="15" customHeight="1" x14ac:dyDescent="0.15">
      <c r="A17">
        <v>16</v>
      </c>
      <c r="B17" s="131" t="s">
        <v>207</v>
      </c>
      <c r="C17" s="152">
        <f t="shared" si="0"/>
        <v>0</v>
      </c>
      <c r="D17" s="152">
        <f t="shared" si="1"/>
        <v>0</v>
      </c>
      <c r="E17">
        <f t="shared" si="2"/>
        <v>0</v>
      </c>
      <c r="P17" s="173">
        <v>0</v>
      </c>
      <c r="Q17" s="173">
        <v>0</v>
      </c>
    </row>
    <row r="18" spans="1:17" ht="15" customHeight="1" x14ac:dyDescent="0.15">
      <c r="A18">
        <v>17</v>
      </c>
      <c r="B18" s="131" t="s">
        <v>208</v>
      </c>
      <c r="C18" s="152">
        <f t="shared" si="0"/>
        <v>0</v>
      </c>
      <c r="D18" s="152">
        <f t="shared" si="1"/>
        <v>0</v>
      </c>
      <c r="E18">
        <f t="shared" si="2"/>
        <v>0</v>
      </c>
      <c r="P18" s="173">
        <v>0</v>
      </c>
      <c r="Q18" s="173">
        <v>0</v>
      </c>
    </row>
    <row r="19" spans="1:17" ht="15" customHeight="1" x14ac:dyDescent="0.15">
      <c r="A19">
        <v>18</v>
      </c>
      <c r="B19" s="131" t="s">
        <v>209</v>
      </c>
      <c r="C19" s="152">
        <f t="shared" si="0"/>
        <v>0</v>
      </c>
      <c r="D19" s="152">
        <f t="shared" si="1"/>
        <v>0</v>
      </c>
      <c r="E19">
        <f t="shared" si="2"/>
        <v>0</v>
      </c>
      <c r="P19" s="173">
        <v>0</v>
      </c>
      <c r="Q19" s="173">
        <v>0</v>
      </c>
    </row>
    <row r="20" spans="1:17" ht="15" customHeight="1" x14ac:dyDescent="0.15">
      <c r="A20">
        <v>19</v>
      </c>
      <c r="B20" s="131" t="s">
        <v>210</v>
      </c>
      <c r="C20" s="152">
        <f t="shared" si="0"/>
        <v>0</v>
      </c>
      <c r="D20" s="152">
        <f t="shared" si="1"/>
        <v>0</v>
      </c>
      <c r="E20">
        <f t="shared" si="2"/>
        <v>0</v>
      </c>
      <c r="P20" s="173">
        <v>0</v>
      </c>
      <c r="Q20" s="173">
        <v>0</v>
      </c>
    </row>
    <row r="21" spans="1:17" ht="15" customHeight="1" x14ac:dyDescent="0.15"/>
    <row r="22" spans="1:17" ht="15" customHeight="1" x14ac:dyDescent="0.15"/>
    <row r="23" spans="1:17" ht="15" customHeight="1" x14ac:dyDescent="0.15">
      <c r="C23" s="54" t="s">
        <v>222</v>
      </c>
    </row>
    <row r="24" spans="1:17" ht="15" customHeight="1" x14ac:dyDescent="0.15"/>
    <row r="25" spans="1:17" ht="15" customHeight="1" x14ac:dyDescent="0.15"/>
    <row r="26" spans="1:17" ht="15" customHeight="1" x14ac:dyDescent="0.15"/>
    <row r="27" spans="1:17" ht="15" customHeight="1" x14ac:dyDescent="0.15"/>
    <row r="28" spans="1:17" ht="15" customHeight="1" x14ac:dyDescent="0.15"/>
    <row r="29" spans="1:17" ht="15" customHeight="1" x14ac:dyDescent="0.15"/>
    <row r="30" spans="1:17" ht="15" customHeight="1" x14ac:dyDescent="0.15"/>
    <row r="31" spans="1:17" ht="15" customHeight="1" x14ac:dyDescent="0.15"/>
    <row r="32" spans="1:17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2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2" sqref="C2:D20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3" width="14.83203125" bestFit="1" customWidth="1"/>
    <col min="4" max="4" width="14.1640625" bestFit="1" customWidth="1"/>
    <col min="5" max="5" width="6.6640625" bestFit="1" customWidth="1"/>
  </cols>
  <sheetData>
    <row r="1" spans="1:5" s="96" customFormat="1" ht="112" x14ac:dyDescent="0.15">
      <c r="A1" s="5" t="s">
        <v>22</v>
      </c>
      <c r="B1" s="3" t="s">
        <v>0</v>
      </c>
      <c r="C1" s="132" t="s">
        <v>211</v>
      </c>
      <c r="D1" s="132" t="s">
        <v>212</v>
      </c>
      <c r="E1" s="132" t="s">
        <v>216</v>
      </c>
    </row>
    <row r="2" spans="1:5" x14ac:dyDescent="0.15">
      <c r="A2">
        <v>1</v>
      </c>
      <c r="B2" s="133" t="s">
        <v>192</v>
      </c>
      <c r="C2" s="152">
        <f>(1-Fishing!$K$2)*Fishing!P2</f>
        <v>0</v>
      </c>
      <c r="D2" s="152">
        <f>(1-Fishing!$K$2)*Fishing!Q2</f>
        <v>0</v>
      </c>
      <c r="E2">
        <f>SUM(C2:D2)</f>
        <v>0</v>
      </c>
    </row>
    <row r="3" spans="1:5" x14ac:dyDescent="0.15">
      <c r="A3">
        <v>2</v>
      </c>
      <c r="B3" s="133" t="s">
        <v>193</v>
      </c>
      <c r="C3" s="152">
        <f>(1-Fishing!$K$2)*Fishing!P3</f>
        <v>0</v>
      </c>
      <c r="D3" s="152">
        <f>(1-Fishing!$K$2)*Fishing!Q3</f>
        <v>0</v>
      </c>
      <c r="E3">
        <f t="shared" ref="E3:E20" si="0">SUM(C3:D3)</f>
        <v>0</v>
      </c>
    </row>
    <row r="4" spans="1:5" x14ac:dyDescent="0.15">
      <c r="A4">
        <v>3</v>
      </c>
      <c r="B4" s="133" t="s">
        <v>194</v>
      </c>
      <c r="C4" s="152">
        <f>(1-Fishing!$K$2)*Fishing!P4</f>
        <v>0.28799999999999992</v>
      </c>
      <c r="D4" s="152">
        <f>(1-Fishing!$K$2)*Fishing!Q4</f>
        <v>0</v>
      </c>
      <c r="E4">
        <f t="shared" si="0"/>
        <v>0.28799999999999992</v>
      </c>
    </row>
    <row r="5" spans="1:5" x14ac:dyDescent="0.15">
      <c r="A5">
        <v>4</v>
      </c>
      <c r="B5" s="133" t="s">
        <v>195</v>
      </c>
      <c r="C5" s="152">
        <f>(1-Fishing!$K$2)*Fishing!P5</f>
        <v>0</v>
      </c>
      <c r="D5" s="152">
        <f>(1-Fishing!$K$2)*Fishing!Q5</f>
        <v>0.17999999999999997</v>
      </c>
      <c r="E5">
        <f t="shared" si="0"/>
        <v>0.17999999999999997</v>
      </c>
    </row>
    <row r="6" spans="1:5" x14ac:dyDescent="0.15">
      <c r="A6">
        <v>5</v>
      </c>
      <c r="B6" s="133" t="s">
        <v>196</v>
      </c>
      <c r="C6" s="152">
        <f>(1-Fishing!$K$2)*Fishing!P6</f>
        <v>1.9999999999999996E-3</v>
      </c>
      <c r="D6" s="152">
        <f>(1-Fishing!$K$2)*Fishing!Q6</f>
        <v>2.3999999999999994E-2</v>
      </c>
      <c r="E6">
        <f t="shared" si="0"/>
        <v>2.5999999999999992E-2</v>
      </c>
    </row>
    <row r="7" spans="1:5" x14ac:dyDescent="0.15">
      <c r="A7">
        <v>6</v>
      </c>
      <c r="B7" s="133" t="s">
        <v>197</v>
      </c>
      <c r="C7" s="152">
        <f>(1-Fishing!$K$2)*Fishing!P7</f>
        <v>1.9999999999999996E-3</v>
      </c>
      <c r="D7" s="152">
        <f>(1-Fishing!$K$2)*Fishing!Q7</f>
        <v>1.5999999999999997E-2</v>
      </c>
      <c r="E7">
        <f t="shared" si="0"/>
        <v>1.7999999999999995E-2</v>
      </c>
    </row>
    <row r="8" spans="1:5" x14ac:dyDescent="0.15">
      <c r="A8">
        <v>7</v>
      </c>
      <c r="B8" s="133" t="s">
        <v>198</v>
      </c>
      <c r="C8" s="152">
        <f>(1-Fishing!$K$2)*Fishing!P8</f>
        <v>4.7999999999999987E-2</v>
      </c>
      <c r="D8" s="152">
        <f>(1-Fishing!$K$2)*Fishing!Q8</f>
        <v>2.3999999999999994E-2</v>
      </c>
      <c r="E8">
        <f t="shared" si="0"/>
        <v>7.1999999999999981E-2</v>
      </c>
    </row>
    <row r="9" spans="1:5" x14ac:dyDescent="0.15">
      <c r="A9">
        <v>8</v>
      </c>
      <c r="B9" s="133" t="s">
        <v>199</v>
      </c>
      <c r="C9" s="152">
        <f>(1-Fishing!$K$2)*Fishing!P9</f>
        <v>0.33999999999999991</v>
      </c>
      <c r="D9" s="152">
        <f>(1-Fishing!$K$2)*Fishing!Q9</f>
        <v>0.31199999999999994</v>
      </c>
      <c r="E9">
        <f t="shared" si="0"/>
        <v>0.65199999999999991</v>
      </c>
    </row>
    <row r="10" spans="1:5" x14ac:dyDescent="0.15">
      <c r="A10">
        <v>9</v>
      </c>
      <c r="B10" s="133" t="s">
        <v>200</v>
      </c>
      <c r="C10" s="152">
        <f>(1-Fishing!$K$2)*Fishing!P10</f>
        <v>5.3999999999999992E-2</v>
      </c>
      <c r="D10" s="152">
        <f>(1-Fishing!$K$2)*Fishing!Q10</f>
        <v>0.95199999999999974</v>
      </c>
      <c r="E10">
        <f t="shared" si="0"/>
        <v>1.0059999999999998</v>
      </c>
    </row>
    <row r="11" spans="1:5" x14ac:dyDescent="0.15">
      <c r="A11">
        <v>10</v>
      </c>
      <c r="B11" s="133" t="s">
        <v>201</v>
      </c>
      <c r="C11" s="152">
        <f>(1-Fishing!$K$2)*Fishing!P11</f>
        <v>7.9999999999999988E-2</v>
      </c>
      <c r="D11" s="152">
        <f>(1-Fishing!$K$2)*Fishing!Q11</f>
        <v>0.58399999999999985</v>
      </c>
      <c r="E11">
        <f t="shared" si="0"/>
        <v>0.66399999999999981</v>
      </c>
    </row>
    <row r="12" spans="1:5" x14ac:dyDescent="0.15">
      <c r="A12">
        <v>11</v>
      </c>
      <c r="B12" s="133" t="s">
        <v>202</v>
      </c>
      <c r="C12" s="152">
        <f>(1-Fishing!$K$2)*Fishing!P12</f>
        <v>0.25199999999999995</v>
      </c>
      <c r="D12" s="152">
        <f>(1-Fishing!$K$2)*Fishing!Q12</f>
        <v>0.23999999999999994</v>
      </c>
      <c r="E12">
        <f t="shared" si="0"/>
        <v>0.49199999999999988</v>
      </c>
    </row>
    <row r="13" spans="1:5" x14ac:dyDescent="0.15">
      <c r="A13">
        <v>12</v>
      </c>
      <c r="B13" s="133" t="s">
        <v>203</v>
      </c>
      <c r="C13" s="152">
        <f>(1-Fishing!$K$2)*Fishing!P13</f>
        <v>0</v>
      </c>
      <c r="D13" s="152">
        <f>(1-Fishing!$K$2)*Fishing!Q13</f>
        <v>0</v>
      </c>
      <c r="E13">
        <f t="shared" si="0"/>
        <v>0</v>
      </c>
    </row>
    <row r="14" spans="1:5" x14ac:dyDescent="0.15">
      <c r="A14">
        <v>13</v>
      </c>
      <c r="B14" s="133" t="s">
        <v>204</v>
      </c>
      <c r="C14" s="152">
        <f>(1-Fishing!$K$2)*Fishing!P14</f>
        <v>0</v>
      </c>
      <c r="D14" s="152">
        <f>(1-Fishing!$K$2)*Fishing!Q14</f>
        <v>0</v>
      </c>
      <c r="E14">
        <f t="shared" si="0"/>
        <v>0</v>
      </c>
    </row>
    <row r="15" spans="1:5" x14ac:dyDescent="0.15">
      <c r="A15">
        <v>14</v>
      </c>
      <c r="B15" s="133" t="s">
        <v>205</v>
      </c>
      <c r="C15" s="152">
        <f>(1-Fishing!$K$2)*Fishing!P15</f>
        <v>0</v>
      </c>
      <c r="D15" s="152">
        <f>(1-Fishing!$K$2)*Fishing!Q15</f>
        <v>0</v>
      </c>
      <c r="E15">
        <f t="shared" si="0"/>
        <v>0</v>
      </c>
    </row>
    <row r="16" spans="1:5" x14ac:dyDescent="0.15">
      <c r="A16">
        <v>15</v>
      </c>
      <c r="B16" s="133" t="s">
        <v>206</v>
      </c>
      <c r="C16" s="152">
        <f>(1-Fishing!$K$2)*Fishing!P16</f>
        <v>0</v>
      </c>
      <c r="D16" s="152">
        <f>(1-Fishing!$K$2)*Fishing!Q16</f>
        <v>0</v>
      </c>
      <c r="E16">
        <f t="shared" si="0"/>
        <v>0</v>
      </c>
    </row>
    <row r="17" spans="1:5" x14ac:dyDescent="0.15">
      <c r="A17">
        <v>16</v>
      </c>
      <c r="B17" s="133" t="s">
        <v>207</v>
      </c>
      <c r="C17" s="152">
        <f>(1-Fishing!$K$2)*Fishing!P17</f>
        <v>0</v>
      </c>
      <c r="D17" s="152">
        <f>(1-Fishing!$K$2)*Fishing!Q17</f>
        <v>0</v>
      </c>
      <c r="E17">
        <f t="shared" si="0"/>
        <v>0</v>
      </c>
    </row>
    <row r="18" spans="1:5" x14ac:dyDescent="0.15">
      <c r="A18">
        <v>17</v>
      </c>
      <c r="B18" s="133" t="s">
        <v>208</v>
      </c>
      <c r="C18" s="152">
        <f>(1-Fishing!$K$2)*Fishing!P18</f>
        <v>0</v>
      </c>
      <c r="D18" s="152">
        <f>(1-Fishing!$K$2)*Fishing!Q18</f>
        <v>0</v>
      </c>
      <c r="E18">
        <f t="shared" si="0"/>
        <v>0</v>
      </c>
    </row>
    <row r="19" spans="1:5" x14ac:dyDescent="0.15">
      <c r="A19">
        <v>18</v>
      </c>
      <c r="B19" s="133" t="s">
        <v>209</v>
      </c>
      <c r="C19" s="152">
        <f>(1-Fishing!$K$2)*Fishing!P19</f>
        <v>0</v>
      </c>
      <c r="D19" s="152">
        <f>(1-Fishing!$K$2)*Fishing!Q19</f>
        <v>0</v>
      </c>
      <c r="E19">
        <f t="shared" si="0"/>
        <v>0</v>
      </c>
    </row>
    <row r="20" spans="1:5" x14ac:dyDescent="0.15">
      <c r="A20">
        <v>19</v>
      </c>
      <c r="B20" s="133" t="s">
        <v>210</v>
      </c>
      <c r="C20" s="152">
        <f>(1-Fishing!$K$2)*Fishing!P20</f>
        <v>0</v>
      </c>
      <c r="D20" s="152">
        <f>(1-Fishing!$K$2)*Fishing!Q20</f>
        <v>0</v>
      </c>
      <c r="E20">
        <f t="shared" si="0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9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7" customFormat="1" ht="14" thickBot="1" x14ac:dyDescent="0.2">
      <c r="D1" s="98" t="s">
        <v>8</v>
      </c>
      <c r="E1" s="98" t="s">
        <v>0</v>
      </c>
      <c r="F1" s="99" t="s">
        <v>99</v>
      </c>
      <c r="G1" s="100" t="s">
        <v>84</v>
      </c>
      <c r="H1" s="100" t="s">
        <v>85</v>
      </c>
      <c r="I1" s="100" t="s">
        <v>86</v>
      </c>
      <c r="J1" s="100" t="s">
        <v>87</v>
      </c>
      <c r="K1" s="100" t="s">
        <v>88</v>
      </c>
      <c r="L1" s="101" t="s">
        <v>89</v>
      </c>
      <c r="M1" s="101" t="s">
        <v>93</v>
      </c>
      <c r="N1" s="101" t="s">
        <v>92</v>
      </c>
      <c r="O1" s="101" t="s">
        <v>90</v>
      </c>
      <c r="P1" s="101" t="s">
        <v>91</v>
      </c>
      <c r="Q1" s="102" t="s">
        <v>94</v>
      </c>
      <c r="R1" s="102" t="s">
        <v>95</v>
      </c>
      <c r="S1" s="102" t="s">
        <v>96</v>
      </c>
      <c r="T1" s="102" t="s">
        <v>97</v>
      </c>
      <c r="U1" s="102" t="s">
        <v>98</v>
      </c>
      <c r="V1" s="100" t="s">
        <v>100</v>
      </c>
      <c r="W1" s="100" t="s">
        <v>101</v>
      </c>
      <c r="X1" s="100" t="s">
        <v>102</v>
      </c>
      <c r="Y1" s="100" t="s">
        <v>134</v>
      </c>
      <c r="Z1" s="101" t="s">
        <v>103</v>
      </c>
      <c r="AA1" s="101" t="s">
        <v>104</v>
      </c>
      <c r="AB1" s="101" t="s">
        <v>105</v>
      </c>
      <c r="AC1" s="103" t="s">
        <v>135</v>
      </c>
      <c r="AD1" s="102" t="s">
        <v>106</v>
      </c>
      <c r="AE1" s="102" t="s">
        <v>107</v>
      </c>
      <c r="AF1" s="102" t="s">
        <v>108</v>
      </c>
      <c r="AG1" s="102" t="s">
        <v>136</v>
      </c>
      <c r="AH1" s="100" t="s">
        <v>109</v>
      </c>
      <c r="AI1" s="100" t="s">
        <v>111</v>
      </c>
      <c r="AJ1" s="100" t="s">
        <v>110</v>
      </c>
      <c r="AK1" s="101" t="s">
        <v>115</v>
      </c>
      <c r="AL1" s="101" t="s">
        <v>116</v>
      </c>
      <c r="AM1" s="101" t="s">
        <v>117</v>
      </c>
      <c r="AN1" s="102" t="s">
        <v>112</v>
      </c>
      <c r="AO1" s="102" t="s">
        <v>113</v>
      </c>
      <c r="AP1" s="102" t="s">
        <v>114</v>
      </c>
    </row>
    <row r="2" spans="1:42" x14ac:dyDescent="0.15">
      <c r="A2" s="104" t="s">
        <v>74</v>
      </c>
      <c r="B2" s="105">
        <v>1</v>
      </c>
      <c r="D2">
        <v>1</v>
      </c>
      <c r="E2" s="134" t="s">
        <v>192</v>
      </c>
      <c r="F2">
        <v>0.98</v>
      </c>
      <c r="G2">
        <v>0.8</v>
      </c>
      <c r="H2">
        <v>0.8</v>
      </c>
      <c r="I2">
        <v>0.8</v>
      </c>
      <c r="J2" s="95">
        <v>0.25</v>
      </c>
      <c r="K2" s="95">
        <v>0.05</v>
      </c>
    </row>
    <row r="3" spans="1:42" x14ac:dyDescent="0.15">
      <c r="A3" s="104" t="s">
        <v>75</v>
      </c>
      <c r="B3" s="106">
        <v>1</v>
      </c>
      <c r="D3">
        <v>2</v>
      </c>
      <c r="E3" s="134" t="s">
        <v>193</v>
      </c>
      <c r="F3">
        <v>0.98</v>
      </c>
      <c r="G3">
        <v>0.8</v>
      </c>
      <c r="H3">
        <v>0.8</v>
      </c>
      <c r="I3">
        <v>0.8</v>
      </c>
      <c r="J3" s="95">
        <v>0.25</v>
      </c>
      <c r="K3" s="95">
        <v>0.05</v>
      </c>
    </row>
    <row r="4" spans="1:42" x14ac:dyDescent="0.15">
      <c r="A4" s="104" t="s">
        <v>76</v>
      </c>
      <c r="B4" s="106">
        <v>1</v>
      </c>
      <c r="D4">
        <v>3</v>
      </c>
      <c r="E4" s="134" t="s">
        <v>194</v>
      </c>
      <c r="F4">
        <v>0.98</v>
      </c>
      <c r="G4">
        <v>0.8</v>
      </c>
      <c r="H4">
        <v>0.8</v>
      </c>
      <c r="I4">
        <v>0.8</v>
      </c>
      <c r="J4" s="95">
        <v>0.25</v>
      </c>
      <c r="K4" s="95">
        <v>0.05</v>
      </c>
    </row>
    <row r="5" spans="1:42" x14ac:dyDescent="0.15">
      <c r="A5" s="104" t="s">
        <v>77</v>
      </c>
      <c r="B5" s="106">
        <v>1</v>
      </c>
      <c r="D5">
        <v>4</v>
      </c>
      <c r="E5" s="134" t="s">
        <v>195</v>
      </c>
      <c r="F5">
        <v>0.98</v>
      </c>
      <c r="G5">
        <v>0.8</v>
      </c>
      <c r="H5">
        <v>0.8</v>
      </c>
      <c r="I5">
        <v>0.8</v>
      </c>
      <c r="J5" s="95">
        <v>0.25</v>
      </c>
      <c r="K5" s="95">
        <v>0.05</v>
      </c>
    </row>
    <row r="6" spans="1:42" x14ac:dyDescent="0.15">
      <c r="A6" s="104" t="s">
        <v>78</v>
      </c>
      <c r="B6" s="106">
        <v>1</v>
      </c>
      <c r="D6">
        <v>5</v>
      </c>
      <c r="E6" s="134" t="s">
        <v>196</v>
      </c>
      <c r="F6">
        <v>0.98</v>
      </c>
      <c r="G6">
        <v>0.8</v>
      </c>
      <c r="H6">
        <v>0.8</v>
      </c>
      <c r="I6">
        <v>0.8</v>
      </c>
      <c r="J6" s="95">
        <v>0.25</v>
      </c>
      <c r="K6" s="95">
        <v>0.05</v>
      </c>
    </row>
    <row r="7" spans="1:42" x14ac:dyDescent="0.15">
      <c r="A7" s="104" t="s">
        <v>79</v>
      </c>
      <c r="B7" s="106">
        <v>1</v>
      </c>
      <c r="D7">
        <v>6</v>
      </c>
      <c r="E7" s="134" t="s">
        <v>197</v>
      </c>
      <c r="F7">
        <v>0.98</v>
      </c>
      <c r="G7">
        <v>0.8</v>
      </c>
      <c r="H7">
        <v>0.8</v>
      </c>
      <c r="I7">
        <v>0.8</v>
      </c>
      <c r="J7" s="95">
        <v>0.25</v>
      </c>
      <c r="K7" s="95">
        <v>0.05</v>
      </c>
    </row>
    <row r="8" spans="1:42" x14ac:dyDescent="0.15">
      <c r="A8" s="104" t="s">
        <v>80</v>
      </c>
      <c r="B8" s="106">
        <v>1</v>
      </c>
      <c r="D8">
        <v>7</v>
      </c>
      <c r="E8" s="134" t="s">
        <v>198</v>
      </c>
      <c r="F8">
        <v>0.98</v>
      </c>
      <c r="G8">
        <v>0.8</v>
      </c>
      <c r="H8">
        <v>0.8</v>
      </c>
      <c r="I8">
        <v>0.8</v>
      </c>
      <c r="J8" s="95">
        <v>0.25</v>
      </c>
      <c r="K8" s="95">
        <v>0.05</v>
      </c>
    </row>
    <row r="9" spans="1:42" x14ac:dyDescent="0.15">
      <c r="A9" s="104" t="s">
        <v>81</v>
      </c>
      <c r="B9" s="106">
        <v>0.1</v>
      </c>
      <c r="C9" s="54" t="s">
        <v>150</v>
      </c>
      <c r="D9">
        <v>8</v>
      </c>
      <c r="E9" s="134" t="s">
        <v>199</v>
      </c>
      <c r="F9">
        <v>0.98</v>
      </c>
      <c r="G9">
        <v>0.8</v>
      </c>
      <c r="H9">
        <v>0.8</v>
      </c>
      <c r="I9">
        <v>0.8</v>
      </c>
      <c r="J9" s="95">
        <v>0.25</v>
      </c>
      <c r="K9" s="95">
        <v>0.05</v>
      </c>
    </row>
    <row r="10" spans="1:42" ht="14" thickBot="1" x14ac:dyDescent="0.2">
      <c r="A10" s="104" t="s">
        <v>149</v>
      </c>
      <c r="B10" s="107">
        <f>1/3</f>
        <v>0.33333333333333331</v>
      </c>
      <c r="C10" s="54" t="s">
        <v>150</v>
      </c>
      <c r="D10">
        <v>9</v>
      </c>
      <c r="E10" s="134" t="s">
        <v>200</v>
      </c>
      <c r="F10">
        <v>0.98</v>
      </c>
      <c r="G10">
        <v>0.8</v>
      </c>
      <c r="H10">
        <v>0.8</v>
      </c>
      <c r="I10">
        <v>0.8</v>
      </c>
      <c r="J10" s="95">
        <v>0.25</v>
      </c>
      <c r="K10" s="95">
        <v>0.05</v>
      </c>
    </row>
    <row r="11" spans="1:42" x14ac:dyDescent="0.15">
      <c r="D11">
        <v>10</v>
      </c>
      <c r="E11" s="134" t="s">
        <v>201</v>
      </c>
      <c r="F11">
        <v>0.98</v>
      </c>
      <c r="G11">
        <v>0.8</v>
      </c>
      <c r="H11">
        <v>0.8</v>
      </c>
      <c r="I11">
        <v>0.8</v>
      </c>
      <c r="J11" s="95">
        <v>0.25</v>
      </c>
      <c r="K11" s="95">
        <v>0.05</v>
      </c>
    </row>
    <row r="12" spans="1:42" x14ac:dyDescent="0.15">
      <c r="D12">
        <v>11</v>
      </c>
      <c r="E12" s="134" t="s">
        <v>202</v>
      </c>
      <c r="F12">
        <v>0.98</v>
      </c>
      <c r="G12">
        <v>0.8</v>
      </c>
      <c r="H12">
        <v>0.8</v>
      </c>
      <c r="I12">
        <v>0.8</v>
      </c>
      <c r="J12" s="95">
        <v>0.25</v>
      </c>
      <c r="K12" s="95">
        <v>0.05</v>
      </c>
    </row>
    <row r="13" spans="1:42" x14ac:dyDescent="0.15">
      <c r="D13">
        <v>12</v>
      </c>
      <c r="E13" s="134" t="s">
        <v>203</v>
      </c>
      <c r="F13">
        <v>0.98</v>
      </c>
      <c r="G13">
        <v>0.8</v>
      </c>
      <c r="H13">
        <v>0.8</v>
      </c>
      <c r="I13">
        <v>0.8</v>
      </c>
      <c r="J13" s="95">
        <v>0.25</v>
      </c>
      <c r="K13" s="95">
        <v>0.05</v>
      </c>
    </row>
    <row r="14" spans="1:42" x14ac:dyDescent="0.15">
      <c r="D14">
        <v>13</v>
      </c>
      <c r="E14" s="134" t="s">
        <v>204</v>
      </c>
      <c r="F14">
        <v>0.98</v>
      </c>
      <c r="G14">
        <v>0.8</v>
      </c>
      <c r="H14">
        <v>0.8</v>
      </c>
      <c r="I14">
        <v>0.8</v>
      </c>
      <c r="J14" s="95">
        <v>0.25</v>
      </c>
      <c r="K14" s="95">
        <v>0.05</v>
      </c>
    </row>
    <row r="15" spans="1:42" x14ac:dyDescent="0.15">
      <c r="D15">
        <v>14</v>
      </c>
      <c r="E15" s="134" t="s">
        <v>205</v>
      </c>
      <c r="F15">
        <v>0.98</v>
      </c>
      <c r="G15">
        <v>0.8</v>
      </c>
      <c r="H15">
        <v>0.8</v>
      </c>
      <c r="I15">
        <v>0.8</v>
      </c>
      <c r="J15" s="95">
        <v>0.25</v>
      </c>
      <c r="K15" s="95">
        <v>0.05</v>
      </c>
    </row>
    <row r="16" spans="1:42" x14ac:dyDescent="0.15">
      <c r="D16">
        <v>15</v>
      </c>
      <c r="E16" s="134" t="s">
        <v>206</v>
      </c>
      <c r="F16">
        <v>0.98</v>
      </c>
      <c r="G16">
        <v>0.8</v>
      </c>
      <c r="H16">
        <v>0.8</v>
      </c>
      <c r="I16">
        <v>0</v>
      </c>
      <c r="J16" s="95">
        <v>0</v>
      </c>
      <c r="K16" s="95">
        <v>0</v>
      </c>
    </row>
    <row r="17" spans="4:33" ht="15" customHeight="1" x14ac:dyDescent="0.15">
      <c r="D17">
        <v>16</v>
      </c>
      <c r="E17" s="134" t="s">
        <v>207</v>
      </c>
      <c r="F17">
        <v>0.98</v>
      </c>
      <c r="G17">
        <v>0.8</v>
      </c>
      <c r="H17">
        <v>0.8</v>
      </c>
      <c r="I17">
        <v>0</v>
      </c>
      <c r="J17" s="95">
        <v>0</v>
      </c>
      <c r="K17" s="95">
        <v>0</v>
      </c>
    </row>
    <row r="18" spans="4:33" ht="15" customHeight="1" x14ac:dyDescent="0.15">
      <c r="D18">
        <v>17</v>
      </c>
      <c r="E18" s="134" t="s">
        <v>208</v>
      </c>
      <c r="F18">
        <v>0.98</v>
      </c>
      <c r="G18">
        <v>0.8</v>
      </c>
      <c r="H18">
        <v>0</v>
      </c>
      <c r="I18">
        <v>0</v>
      </c>
      <c r="J18" s="95">
        <v>0</v>
      </c>
      <c r="K18" s="95">
        <v>0</v>
      </c>
    </row>
    <row r="19" spans="4:33" ht="15" customHeight="1" x14ac:dyDescent="0.15">
      <c r="D19">
        <v>18</v>
      </c>
      <c r="E19" s="134" t="s">
        <v>209</v>
      </c>
      <c r="F19">
        <v>0.98</v>
      </c>
      <c r="G19">
        <v>0.8</v>
      </c>
      <c r="H19">
        <v>0</v>
      </c>
      <c r="I19">
        <v>0</v>
      </c>
      <c r="J19" s="95">
        <v>0</v>
      </c>
      <c r="K19" s="95">
        <v>0</v>
      </c>
    </row>
    <row r="20" spans="4:33" ht="15" customHeight="1" x14ac:dyDescent="0.15">
      <c r="D20">
        <v>19</v>
      </c>
      <c r="E20" s="134" t="s">
        <v>210</v>
      </c>
      <c r="F20">
        <v>0.98</v>
      </c>
      <c r="G20">
        <v>0.8</v>
      </c>
      <c r="H20">
        <v>0</v>
      </c>
      <c r="I20">
        <v>0</v>
      </c>
      <c r="J20" s="95">
        <v>0</v>
      </c>
      <c r="K20" s="95">
        <v>0</v>
      </c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3" bestFit="1" customWidth="1"/>
    <col min="2" max="15" width="3.83203125" style="93" customWidth="1"/>
    <col min="16" max="20" width="2.33203125" style="93" customWidth="1"/>
    <col min="21" max="16384" width="10.83203125" style="93"/>
  </cols>
  <sheetData>
    <row r="1" spans="1:30" x14ac:dyDescent="0.15">
      <c r="A1" s="56" t="s">
        <v>118</v>
      </c>
      <c r="B1" s="136" t="s">
        <v>192</v>
      </c>
      <c r="C1" s="136" t="s">
        <v>193</v>
      </c>
      <c r="D1" s="136" t="s">
        <v>194</v>
      </c>
      <c r="E1" s="136" t="s">
        <v>195</v>
      </c>
      <c r="F1" s="136" t="s">
        <v>196</v>
      </c>
      <c r="G1" s="136" t="s">
        <v>197</v>
      </c>
      <c r="H1" s="136" t="s">
        <v>198</v>
      </c>
      <c r="I1" s="136" t="s">
        <v>199</v>
      </c>
      <c r="J1" s="136" t="s">
        <v>200</v>
      </c>
      <c r="K1" s="136" t="s">
        <v>201</v>
      </c>
      <c r="L1" s="136" t="s">
        <v>202</v>
      </c>
      <c r="M1" s="136" t="s">
        <v>203</v>
      </c>
      <c r="N1" s="136" t="s">
        <v>204</v>
      </c>
      <c r="O1" s="136" t="s">
        <v>205</v>
      </c>
      <c r="P1" s="136" t="s">
        <v>206</v>
      </c>
      <c r="Q1" s="136" t="s">
        <v>207</v>
      </c>
      <c r="R1" s="136" t="s">
        <v>208</v>
      </c>
      <c r="S1" s="136" t="s">
        <v>209</v>
      </c>
      <c r="T1" s="136" t="s">
        <v>210</v>
      </c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5" t="s">
        <v>192</v>
      </c>
      <c r="B2" s="93">
        <v>0</v>
      </c>
      <c r="C2" s="93">
        <v>0</v>
      </c>
      <c r="D2" s="93">
        <v>0</v>
      </c>
      <c r="E2" s="93">
        <v>0</v>
      </c>
      <c r="F2" s="93">
        <v>0</v>
      </c>
      <c r="G2" s="93">
        <v>0</v>
      </c>
      <c r="H2" s="93">
        <v>0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</row>
    <row r="3" spans="1:30" customFormat="1" x14ac:dyDescent="0.15">
      <c r="A3" s="135" t="s">
        <v>193</v>
      </c>
      <c r="B3" s="93">
        <v>0</v>
      </c>
      <c r="C3" s="93">
        <v>0</v>
      </c>
      <c r="D3" s="93">
        <v>0</v>
      </c>
      <c r="E3" s="93">
        <v>0</v>
      </c>
      <c r="F3" s="93">
        <v>0</v>
      </c>
      <c r="G3" s="93">
        <v>0</v>
      </c>
      <c r="H3" s="93">
        <v>0</v>
      </c>
      <c r="I3" s="93">
        <v>0</v>
      </c>
      <c r="J3" s="93">
        <v>0</v>
      </c>
      <c r="K3" s="93">
        <v>0</v>
      </c>
      <c r="L3" s="93">
        <v>0</v>
      </c>
      <c r="M3" s="93">
        <v>0</v>
      </c>
      <c r="N3" s="93">
        <v>0</v>
      </c>
      <c r="O3" s="93">
        <v>0</v>
      </c>
      <c r="P3" s="93">
        <v>0</v>
      </c>
      <c r="Q3" s="93">
        <v>0</v>
      </c>
      <c r="R3" s="93">
        <v>0</v>
      </c>
      <c r="S3" s="93">
        <v>0</v>
      </c>
      <c r="T3" s="93">
        <v>0</v>
      </c>
    </row>
    <row r="4" spans="1:30" customFormat="1" x14ac:dyDescent="0.15">
      <c r="A4" s="135" t="s">
        <v>194</v>
      </c>
      <c r="B4" s="93">
        <v>0</v>
      </c>
      <c r="C4" s="93">
        <v>0</v>
      </c>
      <c r="D4" s="93">
        <v>0</v>
      </c>
      <c r="E4" s="93">
        <v>0</v>
      </c>
      <c r="F4" s="93">
        <v>0.8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M4" s="93">
        <v>0</v>
      </c>
      <c r="N4" s="93">
        <v>0</v>
      </c>
      <c r="O4" s="93">
        <v>0</v>
      </c>
      <c r="P4" s="93">
        <v>0</v>
      </c>
      <c r="Q4" s="93">
        <v>0</v>
      </c>
      <c r="R4" s="93">
        <v>0</v>
      </c>
      <c r="S4" s="93">
        <v>0</v>
      </c>
      <c r="T4" s="93">
        <v>0</v>
      </c>
    </row>
    <row r="5" spans="1:30" customFormat="1" x14ac:dyDescent="0.15">
      <c r="A5" s="135" t="s">
        <v>195</v>
      </c>
      <c r="B5" s="93">
        <v>0</v>
      </c>
      <c r="C5" s="93">
        <v>0</v>
      </c>
      <c r="D5" s="93">
        <v>0</v>
      </c>
      <c r="E5" s="93">
        <v>0</v>
      </c>
      <c r="F5" s="93">
        <v>0</v>
      </c>
      <c r="G5" s="93">
        <v>0</v>
      </c>
      <c r="H5" s="93">
        <v>0</v>
      </c>
      <c r="I5" s="93">
        <v>0</v>
      </c>
      <c r="J5" s="93">
        <v>0</v>
      </c>
      <c r="K5" s="93">
        <v>0</v>
      </c>
      <c r="L5" s="93">
        <v>0</v>
      </c>
      <c r="M5" s="93">
        <v>0</v>
      </c>
      <c r="N5" s="93">
        <v>0</v>
      </c>
      <c r="O5" s="93">
        <v>0</v>
      </c>
      <c r="P5" s="93">
        <v>0</v>
      </c>
      <c r="Q5" s="93">
        <v>0</v>
      </c>
      <c r="R5" s="93">
        <v>0</v>
      </c>
      <c r="S5" s="93">
        <v>0</v>
      </c>
      <c r="T5" s="93">
        <v>0</v>
      </c>
    </row>
    <row r="6" spans="1:30" customFormat="1" x14ac:dyDescent="0.15">
      <c r="A6" s="135" t="s">
        <v>196</v>
      </c>
      <c r="B6" s="93">
        <v>0</v>
      </c>
      <c r="C6" s="93">
        <v>0</v>
      </c>
      <c r="D6" s="93">
        <v>0</v>
      </c>
      <c r="E6" s="93">
        <v>0</v>
      </c>
      <c r="F6" s="93">
        <v>0</v>
      </c>
      <c r="G6" s="93">
        <v>0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</row>
    <row r="7" spans="1:30" customFormat="1" x14ac:dyDescent="0.15">
      <c r="A7" s="135" t="s">
        <v>197</v>
      </c>
      <c r="B7" s="93">
        <v>0</v>
      </c>
      <c r="C7" s="93">
        <v>0</v>
      </c>
      <c r="D7" s="93">
        <v>0</v>
      </c>
      <c r="E7" s="93">
        <v>0</v>
      </c>
      <c r="F7" s="93">
        <v>0</v>
      </c>
      <c r="G7" s="93">
        <v>0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</row>
    <row r="8" spans="1:30" customFormat="1" x14ac:dyDescent="0.15">
      <c r="A8" s="135" t="s">
        <v>198</v>
      </c>
      <c r="B8" s="93">
        <v>0</v>
      </c>
      <c r="C8" s="93">
        <v>0.8</v>
      </c>
      <c r="D8" s="93">
        <v>0.8</v>
      </c>
      <c r="E8" s="93">
        <v>0.8</v>
      </c>
      <c r="F8" s="93">
        <v>0</v>
      </c>
      <c r="G8" s="93">
        <v>0</v>
      </c>
      <c r="H8" s="93">
        <v>0</v>
      </c>
      <c r="I8" s="93">
        <v>0.8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</row>
    <row r="9" spans="1:30" customFormat="1" x14ac:dyDescent="0.15">
      <c r="A9" s="135" t="s">
        <v>199</v>
      </c>
      <c r="B9" s="93">
        <v>0</v>
      </c>
      <c r="C9" s="93">
        <v>0.8</v>
      </c>
      <c r="D9" s="93">
        <v>0</v>
      </c>
      <c r="E9" s="93">
        <v>0</v>
      </c>
      <c r="F9" s="93">
        <v>0.8</v>
      </c>
      <c r="G9" s="93">
        <v>0.8</v>
      </c>
      <c r="H9" s="93">
        <v>0.8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</row>
    <row r="10" spans="1:30" customFormat="1" x14ac:dyDescent="0.15">
      <c r="A10" s="135" t="s">
        <v>200</v>
      </c>
      <c r="B10" s="93">
        <v>0.8</v>
      </c>
      <c r="C10" s="93">
        <v>0.8</v>
      </c>
      <c r="D10" s="93">
        <v>0.8</v>
      </c>
      <c r="E10" s="93">
        <v>0.8</v>
      </c>
      <c r="F10" s="93">
        <v>0.8</v>
      </c>
      <c r="G10" s="93">
        <v>0</v>
      </c>
      <c r="H10" s="93">
        <v>0.8</v>
      </c>
      <c r="I10" s="93">
        <v>0.8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</row>
    <row r="11" spans="1:30" customFormat="1" x14ac:dyDescent="0.15">
      <c r="A11" s="135" t="s">
        <v>201</v>
      </c>
      <c r="B11" s="93">
        <v>0.8</v>
      </c>
      <c r="C11" s="93">
        <v>0.8</v>
      </c>
      <c r="D11" s="93">
        <v>0.8</v>
      </c>
      <c r="E11" s="93">
        <v>0.8</v>
      </c>
      <c r="F11" s="93">
        <v>0.8</v>
      </c>
      <c r="G11" s="93">
        <v>0</v>
      </c>
      <c r="H11" s="93">
        <v>0.8</v>
      </c>
      <c r="I11" s="93">
        <v>0.8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</row>
    <row r="12" spans="1:30" customFormat="1" x14ac:dyDescent="0.15">
      <c r="A12" s="135" t="s">
        <v>202</v>
      </c>
      <c r="B12" s="93">
        <v>0.8</v>
      </c>
      <c r="C12" s="93">
        <v>0.8</v>
      </c>
      <c r="D12" s="93">
        <v>0.8</v>
      </c>
      <c r="E12" s="93">
        <v>0.8</v>
      </c>
      <c r="F12" s="93">
        <v>0.8</v>
      </c>
      <c r="G12" s="93">
        <v>0</v>
      </c>
      <c r="H12" s="93">
        <v>0.8</v>
      </c>
      <c r="I12" s="93">
        <v>0.8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</row>
    <row r="13" spans="1:30" customFormat="1" x14ac:dyDescent="0.15">
      <c r="A13" s="135" t="s">
        <v>203</v>
      </c>
      <c r="B13" s="93">
        <v>0</v>
      </c>
      <c r="C13" s="93">
        <v>0.8</v>
      </c>
      <c r="D13" s="93">
        <v>0.8</v>
      </c>
      <c r="E13" s="93">
        <v>0.8</v>
      </c>
      <c r="F13" s="93">
        <v>0.8</v>
      </c>
      <c r="G13" s="93">
        <v>0</v>
      </c>
      <c r="H13" s="93">
        <v>0.8</v>
      </c>
      <c r="I13" s="93">
        <v>0.8</v>
      </c>
      <c r="J13" s="93">
        <v>0.8</v>
      </c>
      <c r="K13" s="93">
        <v>0.8</v>
      </c>
      <c r="L13" s="93">
        <v>0.8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</row>
    <row r="14" spans="1:30" customFormat="1" x14ac:dyDescent="0.15">
      <c r="A14" s="135" t="s">
        <v>204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0.8</v>
      </c>
      <c r="H14" s="93">
        <v>0</v>
      </c>
      <c r="I14" s="93">
        <v>0.8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0.8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</row>
    <row r="15" spans="1:30" customFormat="1" x14ac:dyDescent="0.15">
      <c r="A15" s="135" t="s">
        <v>205</v>
      </c>
      <c r="B15" s="93">
        <v>0</v>
      </c>
      <c r="C15" s="93">
        <v>0</v>
      </c>
      <c r="D15" s="93">
        <v>0</v>
      </c>
      <c r="E15" s="93">
        <v>0</v>
      </c>
      <c r="F15" s="93">
        <v>0</v>
      </c>
      <c r="G15" s="93">
        <v>0.8</v>
      </c>
      <c r="H15" s="93">
        <v>0.8</v>
      </c>
      <c r="I15" s="93">
        <v>0.8</v>
      </c>
      <c r="J15" s="93">
        <v>0</v>
      </c>
      <c r="K15" s="93">
        <v>0</v>
      </c>
      <c r="L15" s="93">
        <v>0</v>
      </c>
      <c r="M15" s="93">
        <v>0</v>
      </c>
      <c r="N15" s="93">
        <v>0.8</v>
      </c>
      <c r="O15" s="93">
        <v>0.8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</row>
    <row r="16" spans="1:30" customFormat="1" x14ac:dyDescent="0.15">
      <c r="A16" s="135" t="s">
        <v>206</v>
      </c>
      <c r="B16" s="93">
        <v>0</v>
      </c>
      <c r="C16" s="93">
        <v>0</v>
      </c>
      <c r="D16" s="93">
        <v>0</v>
      </c>
      <c r="E16" s="93">
        <v>0</v>
      </c>
      <c r="F16" s="93">
        <v>0</v>
      </c>
      <c r="G16" s="93">
        <v>0.8</v>
      </c>
      <c r="H16" s="93">
        <v>0</v>
      </c>
      <c r="I16" s="93">
        <v>0.8</v>
      </c>
      <c r="J16" s="93">
        <v>0</v>
      </c>
      <c r="K16" s="93">
        <v>0</v>
      </c>
      <c r="L16" s="93">
        <v>0</v>
      </c>
      <c r="M16" s="93">
        <v>0</v>
      </c>
      <c r="N16" s="93">
        <v>0.8</v>
      </c>
      <c r="O16" s="93">
        <v>0.8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</row>
    <row r="17" spans="1:20" customFormat="1" x14ac:dyDescent="0.15">
      <c r="A17" s="135" t="s">
        <v>207</v>
      </c>
      <c r="B17" s="93">
        <v>0</v>
      </c>
      <c r="C17" s="93">
        <v>0</v>
      </c>
      <c r="D17" s="93">
        <v>0</v>
      </c>
      <c r="E17" s="93">
        <v>0</v>
      </c>
      <c r="F17" s="93">
        <v>0</v>
      </c>
      <c r="G17" s="93">
        <v>0</v>
      </c>
      <c r="H17" s="93">
        <v>0</v>
      </c>
      <c r="I17" s="93">
        <v>0.8</v>
      </c>
      <c r="J17" s="93">
        <v>0.8</v>
      </c>
      <c r="K17" s="93">
        <v>0.8</v>
      </c>
      <c r="L17" s="93">
        <v>0.8</v>
      </c>
      <c r="M17" s="93">
        <v>0.8</v>
      </c>
      <c r="N17" s="93">
        <v>0</v>
      </c>
      <c r="O17" s="93">
        <v>0</v>
      </c>
      <c r="P17" s="93">
        <v>0</v>
      </c>
      <c r="Q17" s="93">
        <v>0</v>
      </c>
      <c r="R17" s="93">
        <v>0</v>
      </c>
      <c r="S17" s="93">
        <v>0</v>
      </c>
      <c r="T17" s="93">
        <v>0</v>
      </c>
    </row>
    <row r="18" spans="1:20" customFormat="1" x14ac:dyDescent="0.15">
      <c r="A18" s="135" t="s">
        <v>208</v>
      </c>
      <c r="B18" s="93">
        <v>0.8</v>
      </c>
      <c r="C18" s="93">
        <v>0.8</v>
      </c>
      <c r="D18" s="93">
        <v>0.8</v>
      </c>
      <c r="E18" s="93">
        <v>0.8</v>
      </c>
      <c r="F18" s="93">
        <v>0</v>
      </c>
      <c r="G18" s="93">
        <v>0</v>
      </c>
      <c r="H18" s="93">
        <v>0</v>
      </c>
      <c r="I18" s="93">
        <v>0</v>
      </c>
      <c r="J18" s="93">
        <v>0</v>
      </c>
      <c r="K18" s="93">
        <v>0</v>
      </c>
      <c r="L18" s="93">
        <v>0</v>
      </c>
      <c r="M18" s="93">
        <v>0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</row>
    <row r="19" spans="1:20" customFormat="1" x14ac:dyDescent="0.15">
      <c r="A19" s="135" t="s">
        <v>209</v>
      </c>
      <c r="B19" s="93">
        <v>0</v>
      </c>
      <c r="C19" s="93">
        <v>0</v>
      </c>
      <c r="D19" s="93">
        <v>0</v>
      </c>
      <c r="E19" s="93">
        <v>0</v>
      </c>
      <c r="F19" s="93">
        <v>0</v>
      </c>
      <c r="G19" s="93">
        <v>0</v>
      </c>
      <c r="H19" s="93">
        <v>0</v>
      </c>
      <c r="I19" s="93">
        <v>0.8</v>
      </c>
      <c r="J19" s="93">
        <v>0</v>
      </c>
      <c r="K19" s="93">
        <v>0</v>
      </c>
      <c r="L19" s="93">
        <v>0</v>
      </c>
      <c r="M19" s="93">
        <v>0</v>
      </c>
      <c r="N19" s="93">
        <v>0.8</v>
      </c>
      <c r="O19" s="93">
        <v>0.8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</row>
    <row r="20" spans="1:20" customFormat="1" x14ac:dyDescent="0.15">
      <c r="A20" s="135" t="s">
        <v>210</v>
      </c>
      <c r="B20" s="93">
        <v>0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</v>
      </c>
      <c r="R20" s="93">
        <v>0</v>
      </c>
      <c r="S20" s="93">
        <v>0</v>
      </c>
      <c r="T20" s="93">
        <v>0</v>
      </c>
    </row>
    <row r="21" spans="1:20" customFormat="1" x14ac:dyDescent="0.15">
      <c r="A21" s="135" t="s">
        <v>213</v>
      </c>
      <c r="B21" s="93">
        <v>0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3" bestFit="1" customWidth="1"/>
    <col min="2" max="20" width="2.33203125" style="93" customWidth="1"/>
    <col min="21" max="16384" width="10.83203125" style="93"/>
  </cols>
  <sheetData>
    <row r="1" spans="1:31" x14ac:dyDescent="0.15">
      <c r="A1" s="56" t="s">
        <v>139</v>
      </c>
      <c r="B1" s="138" t="s">
        <v>192</v>
      </c>
      <c r="C1" s="138" t="s">
        <v>193</v>
      </c>
      <c r="D1" s="138" t="s">
        <v>194</v>
      </c>
      <c r="E1" s="138" t="s">
        <v>195</v>
      </c>
      <c r="F1" s="138" t="s">
        <v>196</v>
      </c>
      <c r="G1" s="138" t="s">
        <v>197</v>
      </c>
      <c r="H1" s="138" t="s">
        <v>198</v>
      </c>
      <c r="I1" s="138" t="s">
        <v>199</v>
      </c>
      <c r="J1" s="138" t="s">
        <v>200</v>
      </c>
      <c r="K1" s="138" t="s">
        <v>201</v>
      </c>
      <c r="L1" s="138" t="s">
        <v>202</v>
      </c>
      <c r="M1" s="138" t="s">
        <v>203</v>
      </c>
      <c r="N1" s="138" t="s">
        <v>204</v>
      </c>
      <c r="O1" s="138" t="s">
        <v>205</v>
      </c>
      <c r="P1" s="138" t="s">
        <v>206</v>
      </c>
      <c r="Q1" s="138" t="s">
        <v>207</v>
      </c>
      <c r="R1" s="138" t="s">
        <v>208</v>
      </c>
      <c r="S1" s="138" t="s">
        <v>209</v>
      </c>
      <c r="T1" s="138" t="s">
        <v>210</v>
      </c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7" t="s">
        <v>192</v>
      </c>
      <c r="B2" s="93">
        <v>0</v>
      </c>
      <c r="C2" s="93">
        <v>0</v>
      </c>
      <c r="D2" s="93">
        <v>0</v>
      </c>
      <c r="E2" s="93">
        <v>0</v>
      </c>
      <c r="F2" s="93">
        <v>0</v>
      </c>
      <c r="G2" s="93">
        <v>0</v>
      </c>
      <c r="H2" s="93">
        <v>0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</row>
    <row r="3" spans="1:31" customFormat="1" x14ac:dyDescent="0.15">
      <c r="A3" s="137" t="s">
        <v>193</v>
      </c>
      <c r="B3" s="93">
        <v>0</v>
      </c>
      <c r="C3" s="93">
        <v>0</v>
      </c>
      <c r="D3" s="93">
        <v>0</v>
      </c>
      <c r="E3" s="93">
        <v>0</v>
      </c>
      <c r="F3" s="93">
        <v>0</v>
      </c>
      <c r="G3" s="93">
        <v>0</v>
      </c>
      <c r="H3" s="93">
        <v>0</v>
      </c>
      <c r="I3" s="93">
        <v>0</v>
      </c>
      <c r="J3" s="93">
        <v>0</v>
      </c>
      <c r="K3" s="93">
        <v>0</v>
      </c>
      <c r="L3" s="93">
        <v>0</v>
      </c>
      <c r="M3" s="93">
        <v>0</v>
      </c>
      <c r="N3" s="93">
        <v>0</v>
      </c>
      <c r="O3" s="93">
        <v>0</v>
      </c>
      <c r="P3" s="93">
        <v>0</v>
      </c>
      <c r="Q3" s="93">
        <v>0</v>
      </c>
      <c r="R3" s="93">
        <v>0</v>
      </c>
      <c r="S3" s="93">
        <v>0</v>
      </c>
      <c r="T3" s="93">
        <v>0</v>
      </c>
    </row>
    <row r="4" spans="1:31" customFormat="1" x14ac:dyDescent="0.15">
      <c r="A4" s="137" t="s">
        <v>194</v>
      </c>
      <c r="B4" s="93">
        <v>0</v>
      </c>
      <c r="C4" s="93">
        <v>0</v>
      </c>
      <c r="D4" s="93">
        <v>0</v>
      </c>
      <c r="E4" s="93">
        <v>0</v>
      </c>
      <c r="F4" s="93">
        <v>1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M4" s="93">
        <v>0</v>
      </c>
      <c r="N4" s="93">
        <v>0</v>
      </c>
      <c r="O4" s="93">
        <v>0</v>
      </c>
      <c r="P4" s="93">
        <v>0</v>
      </c>
      <c r="Q4" s="93">
        <v>0</v>
      </c>
      <c r="R4" s="93">
        <v>0</v>
      </c>
      <c r="S4" s="93">
        <v>0</v>
      </c>
      <c r="T4" s="93">
        <v>0</v>
      </c>
    </row>
    <row r="5" spans="1:31" customFormat="1" x14ac:dyDescent="0.15">
      <c r="A5" s="137" t="s">
        <v>195</v>
      </c>
      <c r="B5" s="93">
        <v>0</v>
      </c>
      <c r="C5" s="93">
        <v>0</v>
      </c>
      <c r="D5" s="93">
        <v>0</v>
      </c>
      <c r="E5" s="93">
        <v>0</v>
      </c>
      <c r="F5" s="93">
        <v>0</v>
      </c>
      <c r="G5" s="93">
        <v>0</v>
      </c>
      <c r="H5" s="93">
        <v>0</v>
      </c>
      <c r="I5" s="93">
        <v>0</v>
      </c>
      <c r="J5" s="93">
        <v>0</v>
      </c>
      <c r="K5" s="93">
        <v>0</v>
      </c>
      <c r="L5" s="93">
        <v>0</v>
      </c>
      <c r="M5" s="93">
        <v>0</v>
      </c>
      <c r="N5" s="93">
        <v>0</v>
      </c>
      <c r="O5" s="93">
        <v>0</v>
      </c>
      <c r="P5" s="93">
        <v>0</v>
      </c>
      <c r="Q5" s="93">
        <v>0</v>
      </c>
      <c r="R5" s="93">
        <v>0</v>
      </c>
      <c r="S5" s="93">
        <v>0</v>
      </c>
      <c r="T5" s="93">
        <v>0</v>
      </c>
    </row>
    <row r="6" spans="1:31" customFormat="1" x14ac:dyDescent="0.15">
      <c r="A6" s="137" t="s">
        <v>196</v>
      </c>
      <c r="B6" s="93">
        <v>0</v>
      </c>
      <c r="C6" s="93">
        <v>0</v>
      </c>
      <c r="D6" s="93">
        <v>0</v>
      </c>
      <c r="E6" s="93">
        <v>0</v>
      </c>
      <c r="F6" s="93">
        <v>0</v>
      </c>
      <c r="G6" s="93">
        <v>0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</row>
    <row r="7" spans="1:31" customFormat="1" x14ac:dyDescent="0.15">
      <c r="A7" s="137" t="s">
        <v>197</v>
      </c>
      <c r="B7" s="93">
        <v>0</v>
      </c>
      <c r="C7" s="93">
        <v>0</v>
      </c>
      <c r="D7" s="93">
        <v>0</v>
      </c>
      <c r="E7" s="93">
        <v>0</v>
      </c>
      <c r="F7" s="93">
        <v>0</v>
      </c>
      <c r="G7" s="93">
        <v>0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</row>
    <row r="8" spans="1:31" customFormat="1" x14ac:dyDescent="0.15">
      <c r="A8" s="137" t="s">
        <v>198</v>
      </c>
      <c r="B8" s="93">
        <v>0</v>
      </c>
      <c r="C8" s="93">
        <v>1</v>
      </c>
      <c r="D8" s="93">
        <v>1</v>
      </c>
      <c r="E8" s="93">
        <v>1</v>
      </c>
      <c r="F8" s="93">
        <v>0</v>
      </c>
      <c r="G8" s="93">
        <v>0</v>
      </c>
      <c r="H8" s="93">
        <v>0</v>
      </c>
      <c r="I8" s="93">
        <v>1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</row>
    <row r="9" spans="1:31" customFormat="1" x14ac:dyDescent="0.15">
      <c r="A9" s="137" t="s">
        <v>199</v>
      </c>
      <c r="B9" s="93">
        <v>0</v>
      </c>
      <c r="C9" s="93">
        <v>1</v>
      </c>
      <c r="D9" s="93">
        <v>0</v>
      </c>
      <c r="E9" s="93">
        <v>0</v>
      </c>
      <c r="F9" s="93">
        <v>1</v>
      </c>
      <c r="G9" s="93">
        <v>1</v>
      </c>
      <c r="H9" s="93">
        <v>1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</row>
    <row r="10" spans="1:31" customFormat="1" x14ac:dyDescent="0.15">
      <c r="A10" s="137" t="s">
        <v>200</v>
      </c>
      <c r="B10" s="93">
        <v>1</v>
      </c>
      <c r="C10" s="93">
        <v>1</v>
      </c>
      <c r="D10" s="93">
        <v>1</v>
      </c>
      <c r="E10" s="93">
        <v>1</v>
      </c>
      <c r="F10" s="93">
        <v>1</v>
      </c>
      <c r="G10" s="93">
        <v>0</v>
      </c>
      <c r="H10" s="93">
        <v>1</v>
      </c>
      <c r="I10" s="93">
        <v>1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</row>
    <row r="11" spans="1:31" customFormat="1" x14ac:dyDescent="0.15">
      <c r="A11" s="137" t="s">
        <v>201</v>
      </c>
      <c r="B11" s="93">
        <v>1</v>
      </c>
      <c r="C11" s="93">
        <v>1</v>
      </c>
      <c r="D11" s="93">
        <v>1</v>
      </c>
      <c r="E11" s="93">
        <v>1</v>
      </c>
      <c r="F11" s="93">
        <v>1</v>
      </c>
      <c r="G11" s="93">
        <v>0</v>
      </c>
      <c r="H11" s="93">
        <v>1</v>
      </c>
      <c r="I11" s="93">
        <v>1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</row>
    <row r="12" spans="1:31" customFormat="1" x14ac:dyDescent="0.15">
      <c r="A12" s="137" t="s">
        <v>202</v>
      </c>
      <c r="B12" s="93">
        <v>1</v>
      </c>
      <c r="C12" s="93">
        <v>1</v>
      </c>
      <c r="D12" s="93">
        <v>1</v>
      </c>
      <c r="E12" s="93">
        <v>1</v>
      </c>
      <c r="F12" s="93">
        <v>1</v>
      </c>
      <c r="G12" s="93">
        <v>0</v>
      </c>
      <c r="H12" s="93">
        <v>1</v>
      </c>
      <c r="I12" s="93">
        <v>1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</row>
    <row r="13" spans="1:31" customFormat="1" x14ac:dyDescent="0.15">
      <c r="A13" s="137" t="s">
        <v>203</v>
      </c>
      <c r="B13" s="93">
        <v>0</v>
      </c>
      <c r="C13" s="93">
        <v>1</v>
      </c>
      <c r="D13" s="93">
        <v>1</v>
      </c>
      <c r="E13" s="93">
        <v>1</v>
      </c>
      <c r="F13" s="93">
        <v>1</v>
      </c>
      <c r="G13" s="93">
        <v>0</v>
      </c>
      <c r="H13" s="93">
        <v>1</v>
      </c>
      <c r="I13" s="93">
        <v>1</v>
      </c>
      <c r="J13" s="93">
        <v>1</v>
      </c>
      <c r="K13" s="93">
        <v>1</v>
      </c>
      <c r="L13" s="93">
        <v>1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</row>
    <row r="14" spans="1:31" customFormat="1" x14ac:dyDescent="0.15">
      <c r="A14" s="137" t="s">
        <v>204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1</v>
      </c>
      <c r="H14" s="93">
        <v>0</v>
      </c>
      <c r="I14" s="93">
        <v>1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1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</row>
    <row r="15" spans="1:31" customFormat="1" x14ac:dyDescent="0.15">
      <c r="A15" s="137" t="s">
        <v>205</v>
      </c>
      <c r="B15" s="93">
        <v>0</v>
      </c>
      <c r="C15" s="93">
        <v>0</v>
      </c>
      <c r="D15" s="93">
        <v>0</v>
      </c>
      <c r="E15" s="93">
        <v>0</v>
      </c>
      <c r="F15" s="93">
        <v>0</v>
      </c>
      <c r="G15" s="93">
        <v>1</v>
      </c>
      <c r="H15" s="93">
        <v>1</v>
      </c>
      <c r="I15" s="93">
        <v>1</v>
      </c>
      <c r="J15" s="93">
        <v>0</v>
      </c>
      <c r="K15" s="93">
        <v>0</v>
      </c>
      <c r="L15" s="93">
        <v>0</v>
      </c>
      <c r="M15" s="93">
        <v>0</v>
      </c>
      <c r="N15" s="93">
        <v>1</v>
      </c>
      <c r="O15" s="93">
        <v>1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</row>
    <row r="16" spans="1:31" customFormat="1" x14ac:dyDescent="0.15">
      <c r="A16" s="137" t="s">
        <v>206</v>
      </c>
      <c r="B16" s="93">
        <v>0</v>
      </c>
      <c r="C16" s="93">
        <v>0</v>
      </c>
      <c r="D16" s="93">
        <v>0</v>
      </c>
      <c r="E16" s="93">
        <v>0</v>
      </c>
      <c r="F16" s="93">
        <v>0</v>
      </c>
      <c r="G16" s="93">
        <v>1</v>
      </c>
      <c r="H16" s="93">
        <v>0</v>
      </c>
      <c r="I16" s="93">
        <v>1</v>
      </c>
      <c r="J16" s="93">
        <v>0</v>
      </c>
      <c r="K16" s="93">
        <v>0</v>
      </c>
      <c r="L16" s="93">
        <v>0</v>
      </c>
      <c r="M16" s="93">
        <v>0</v>
      </c>
      <c r="N16" s="93">
        <v>1</v>
      </c>
      <c r="O16" s="93">
        <v>1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</row>
    <row r="17" spans="1:20" customFormat="1" x14ac:dyDescent="0.15">
      <c r="A17" s="137" t="s">
        <v>207</v>
      </c>
      <c r="B17" s="93">
        <v>0</v>
      </c>
      <c r="C17" s="93">
        <v>0</v>
      </c>
      <c r="D17" s="93">
        <v>0</v>
      </c>
      <c r="E17" s="93">
        <v>0</v>
      </c>
      <c r="F17" s="93">
        <v>0</v>
      </c>
      <c r="G17" s="93">
        <v>0</v>
      </c>
      <c r="H17" s="93">
        <v>0</v>
      </c>
      <c r="I17" s="93">
        <v>1</v>
      </c>
      <c r="J17" s="93">
        <v>1</v>
      </c>
      <c r="K17" s="93">
        <v>1</v>
      </c>
      <c r="L17" s="93">
        <v>1</v>
      </c>
      <c r="M17" s="93">
        <v>1</v>
      </c>
      <c r="N17" s="93">
        <v>0</v>
      </c>
      <c r="O17" s="93">
        <v>0</v>
      </c>
      <c r="P17" s="93">
        <v>0</v>
      </c>
      <c r="Q17" s="93">
        <v>0</v>
      </c>
      <c r="R17" s="93">
        <v>0</v>
      </c>
      <c r="S17" s="93">
        <v>0</v>
      </c>
      <c r="T17" s="93">
        <v>0</v>
      </c>
    </row>
    <row r="18" spans="1:20" customFormat="1" x14ac:dyDescent="0.15">
      <c r="A18" s="137" t="s">
        <v>208</v>
      </c>
      <c r="B18" s="93">
        <v>1</v>
      </c>
      <c r="C18" s="93">
        <v>1</v>
      </c>
      <c r="D18" s="93">
        <v>1</v>
      </c>
      <c r="E18" s="93">
        <v>1</v>
      </c>
      <c r="F18" s="93">
        <v>0</v>
      </c>
      <c r="G18" s="93">
        <v>0</v>
      </c>
      <c r="H18" s="93">
        <v>0</v>
      </c>
      <c r="I18" s="93">
        <v>0</v>
      </c>
      <c r="J18" s="93">
        <v>0</v>
      </c>
      <c r="K18" s="93">
        <v>0</v>
      </c>
      <c r="L18" s="93">
        <v>0</v>
      </c>
      <c r="M18" s="93">
        <v>0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</row>
    <row r="19" spans="1:20" customFormat="1" x14ac:dyDescent="0.15">
      <c r="A19" s="137" t="s">
        <v>209</v>
      </c>
      <c r="B19" s="93">
        <v>0</v>
      </c>
      <c r="C19" s="93">
        <v>0</v>
      </c>
      <c r="D19" s="93">
        <v>0</v>
      </c>
      <c r="E19" s="93">
        <v>0</v>
      </c>
      <c r="F19" s="93">
        <v>0</v>
      </c>
      <c r="G19" s="93">
        <v>0</v>
      </c>
      <c r="H19" s="93">
        <v>0</v>
      </c>
      <c r="I19" s="93">
        <v>1</v>
      </c>
      <c r="J19" s="93">
        <v>0</v>
      </c>
      <c r="K19" s="93">
        <v>0</v>
      </c>
      <c r="L19" s="93">
        <v>0</v>
      </c>
      <c r="M19" s="93">
        <v>0</v>
      </c>
      <c r="N19" s="93">
        <v>1</v>
      </c>
      <c r="O19" s="93">
        <v>1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</row>
    <row r="20" spans="1:20" customFormat="1" x14ac:dyDescent="0.15">
      <c r="A20" s="137" t="s">
        <v>210</v>
      </c>
      <c r="B20" s="93">
        <v>0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</v>
      </c>
      <c r="R20" s="93">
        <v>0</v>
      </c>
      <c r="S20" s="93">
        <v>0</v>
      </c>
      <c r="T20" s="93">
        <v>0</v>
      </c>
    </row>
    <row r="21" spans="1:20" customFormat="1" x14ac:dyDescent="0.15">
      <c r="A21" s="137" t="s">
        <v>213</v>
      </c>
      <c r="B21" s="93">
        <v>0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40" t="s">
        <v>211</v>
      </c>
      <c r="D1" s="140" t="s">
        <v>212</v>
      </c>
    </row>
    <row r="2" spans="1:4" x14ac:dyDescent="0.15">
      <c r="A2">
        <v>1</v>
      </c>
      <c r="B2" s="139" t="s">
        <v>192</v>
      </c>
      <c r="C2">
        <v>0</v>
      </c>
      <c r="D2">
        <v>0</v>
      </c>
    </row>
    <row r="3" spans="1:4" x14ac:dyDescent="0.15">
      <c r="A3">
        <v>2</v>
      </c>
      <c r="B3" s="139" t="s">
        <v>193</v>
      </c>
      <c r="C3">
        <v>0</v>
      </c>
      <c r="D3">
        <v>0</v>
      </c>
    </row>
    <row r="4" spans="1:4" x14ac:dyDescent="0.15">
      <c r="A4">
        <v>3</v>
      </c>
      <c r="B4" s="139" t="s">
        <v>194</v>
      </c>
      <c r="C4">
        <v>0.8</v>
      </c>
      <c r="D4">
        <v>0</v>
      </c>
    </row>
    <row r="5" spans="1:4" x14ac:dyDescent="0.15">
      <c r="A5">
        <v>4</v>
      </c>
      <c r="B5" s="139" t="s">
        <v>195</v>
      </c>
      <c r="C5">
        <v>0</v>
      </c>
      <c r="D5">
        <v>0.8</v>
      </c>
    </row>
    <row r="6" spans="1:4" x14ac:dyDescent="0.15">
      <c r="A6">
        <v>5</v>
      </c>
      <c r="B6" s="139" t="s">
        <v>196</v>
      </c>
      <c r="C6">
        <v>0.8</v>
      </c>
      <c r="D6">
        <v>0.8</v>
      </c>
    </row>
    <row r="7" spans="1:4" x14ac:dyDescent="0.15">
      <c r="A7">
        <v>6</v>
      </c>
      <c r="B7" s="139" t="s">
        <v>197</v>
      </c>
      <c r="C7">
        <v>0.8</v>
      </c>
      <c r="D7">
        <v>0.8</v>
      </c>
    </row>
    <row r="8" spans="1:4" x14ac:dyDescent="0.15">
      <c r="A8">
        <v>7</v>
      </c>
      <c r="B8" s="139" t="s">
        <v>198</v>
      </c>
      <c r="C8">
        <v>0.8</v>
      </c>
      <c r="D8">
        <v>0.8</v>
      </c>
    </row>
    <row r="9" spans="1:4" x14ac:dyDescent="0.15">
      <c r="A9">
        <v>8</v>
      </c>
      <c r="B9" s="139" t="s">
        <v>199</v>
      </c>
      <c r="C9">
        <v>0.8</v>
      </c>
      <c r="D9">
        <v>0.8</v>
      </c>
    </row>
    <row r="10" spans="1:4" x14ac:dyDescent="0.15">
      <c r="A10">
        <v>9</v>
      </c>
      <c r="B10" s="139" t="s">
        <v>200</v>
      </c>
      <c r="C10">
        <v>0.8</v>
      </c>
      <c r="D10">
        <v>0.8</v>
      </c>
    </row>
    <row r="11" spans="1:4" x14ac:dyDescent="0.15">
      <c r="A11">
        <v>10</v>
      </c>
      <c r="B11" s="139" t="s">
        <v>201</v>
      </c>
      <c r="C11">
        <v>0.8</v>
      </c>
      <c r="D11">
        <v>0.8</v>
      </c>
    </row>
    <row r="12" spans="1:4" x14ac:dyDescent="0.15">
      <c r="A12">
        <v>11</v>
      </c>
      <c r="B12" s="139" t="s">
        <v>202</v>
      </c>
      <c r="C12">
        <v>0.8</v>
      </c>
      <c r="D12">
        <v>0.8</v>
      </c>
    </row>
    <row r="13" spans="1:4" x14ac:dyDescent="0.15">
      <c r="A13">
        <v>12</v>
      </c>
      <c r="B13" s="139" t="s">
        <v>203</v>
      </c>
      <c r="C13">
        <v>0</v>
      </c>
      <c r="D13">
        <v>0</v>
      </c>
    </row>
    <row r="14" spans="1:4" x14ac:dyDescent="0.15">
      <c r="A14">
        <v>13</v>
      </c>
      <c r="B14" s="139" t="s">
        <v>204</v>
      </c>
      <c r="C14">
        <v>0</v>
      </c>
      <c r="D14">
        <v>0</v>
      </c>
    </row>
    <row r="15" spans="1:4" x14ac:dyDescent="0.15">
      <c r="A15">
        <v>14</v>
      </c>
      <c r="B15" s="139" t="s">
        <v>205</v>
      </c>
      <c r="C15">
        <v>0</v>
      </c>
      <c r="D15">
        <v>0</v>
      </c>
    </row>
    <row r="16" spans="1:4" x14ac:dyDescent="0.15">
      <c r="A16">
        <v>15</v>
      </c>
      <c r="B16" s="139" t="s">
        <v>206</v>
      </c>
      <c r="C16">
        <v>0</v>
      </c>
      <c r="D16">
        <v>0</v>
      </c>
    </row>
    <row r="17" spans="1:4" x14ac:dyDescent="0.15">
      <c r="A17">
        <v>16</v>
      </c>
      <c r="B17" s="139" t="s">
        <v>207</v>
      </c>
      <c r="C17">
        <v>0</v>
      </c>
      <c r="D17">
        <v>0</v>
      </c>
    </row>
    <row r="18" spans="1:4" x14ac:dyDescent="0.15">
      <c r="A18">
        <v>17</v>
      </c>
      <c r="B18" s="139" t="s">
        <v>208</v>
      </c>
      <c r="C18">
        <v>0</v>
      </c>
      <c r="D18">
        <v>0</v>
      </c>
    </row>
    <row r="19" spans="1:4" x14ac:dyDescent="0.15">
      <c r="A19">
        <v>18</v>
      </c>
      <c r="B19" s="139" t="s">
        <v>209</v>
      </c>
      <c r="C19">
        <v>0</v>
      </c>
      <c r="D19">
        <v>0</v>
      </c>
    </row>
    <row r="20" spans="1:4" x14ac:dyDescent="0.15">
      <c r="A20">
        <v>19</v>
      </c>
      <c r="B20" s="139" t="s">
        <v>210</v>
      </c>
      <c r="C20">
        <v>0</v>
      </c>
      <c r="D2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2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42" t="s">
        <v>211</v>
      </c>
      <c r="D1" s="142" t="s">
        <v>212</v>
      </c>
    </row>
    <row r="2" spans="1:4" x14ac:dyDescent="0.15">
      <c r="A2">
        <v>1</v>
      </c>
      <c r="B2" s="141" t="s">
        <v>192</v>
      </c>
      <c r="C2">
        <v>0</v>
      </c>
      <c r="D2">
        <v>0</v>
      </c>
    </row>
    <row r="3" spans="1:4" x14ac:dyDescent="0.15">
      <c r="A3">
        <v>2</v>
      </c>
      <c r="B3" s="141" t="s">
        <v>193</v>
      </c>
      <c r="C3">
        <v>0</v>
      </c>
      <c r="D3">
        <v>0</v>
      </c>
    </row>
    <row r="4" spans="1:4" x14ac:dyDescent="0.15">
      <c r="A4">
        <v>3</v>
      </c>
      <c r="B4" s="141" t="s">
        <v>194</v>
      </c>
      <c r="C4">
        <v>0.8</v>
      </c>
      <c r="D4">
        <v>0</v>
      </c>
    </row>
    <row r="5" spans="1:4" x14ac:dyDescent="0.15">
      <c r="A5">
        <v>4</v>
      </c>
      <c r="B5" s="141" t="s">
        <v>195</v>
      </c>
      <c r="C5">
        <v>0</v>
      </c>
      <c r="D5">
        <v>0.8</v>
      </c>
    </row>
    <row r="6" spans="1:4" x14ac:dyDescent="0.15">
      <c r="A6">
        <v>5</v>
      </c>
      <c r="B6" s="141" t="s">
        <v>196</v>
      </c>
      <c r="C6">
        <v>0.8</v>
      </c>
      <c r="D6">
        <v>0.8</v>
      </c>
    </row>
    <row r="7" spans="1:4" x14ac:dyDescent="0.15">
      <c r="A7">
        <v>6</v>
      </c>
      <c r="B7" s="141" t="s">
        <v>197</v>
      </c>
      <c r="C7">
        <v>0.8</v>
      </c>
      <c r="D7">
        <v>0.8</v>
      </c>
    </row>
    <row r="8" spans="1:4" x14ac:dyDescent="0.15">
      <c r="A8">
        <v>7</v>
      </c>
      <c r="B8" s="141" t="s">
        <v>198</v>
      </c>
      <c r="C8">
        <v>0.8</v>
      </c>
      <c r="D8">
        <v>0.8</v>
      </c>
    </row>
    <row r="9" spans="1:4" x14ac:dyDescent="0.15">
      <c r="A9">
        <v>8</v>
      </c>
      <c r="B9" s="141" t="s">
        <v>199</v>
      </c>
      <c r="C9">
        <v>0.8</v>
      </c>
      <c r="D9">
        <v>0.8</v>
      </c>
    </row>
    <row r="10" spans="1:4" x14ac:dyDescent="0.15">
      <c r="A10">
        <v>9</v>
      </c>
      <c r="B10" s="141" t="s">
        <v>200</v>
      </c>
      <c r="C10">
        <v>0.8</v>
      </c>
      <c r="D10">
        <v>0.8</v>
      </c>
    </row>
    <row r="11" spans="1:4" x14ac:dyDescent="0.15">
      <c r="A11">
        <v>10</v>
      </c>
      <c r="B11" s="141" t="s">
        <v>201</v>
      </c>
      <c r="C11">
        <v>0.8</v>
      </c>
      <c r="D11">
        <v>0.8</v>
      </c>
    </row>
    <row r="12" spans="1:4" x14ac:dyDescent="0.15">
      <c r="A12">
        <v>11</v>
      </c>
      <c r="B12" s="141" t="s">
        <v>202</v>
      </c>
      <c r="C12">
        <v>0.8</v>
      </c>
      <c r="D12">
        <v>0.8</v>
      </c>
    </row>
    <row r="13" spans="1:4" x14ac:dyDescent="0.15">
      <c r="A13">
        <v>12</v>
      </c>
      <c r="B13" s="141" t="s">
        <v>203</v>
      </c>
      <c r="C13">
        <v>0</v>
      </c>
      <c r="D13">
        <v>0</v>
      </c>
    </row>
    <row r="14" spans="1:4" x14ac:dyDescent="0.15">
      <c r="A14">
        <v>13</v>
      </c>
      <c r="B14" s="141" t="s">
        <v>204</v>
      </c>
      <c r="C14">
        <v>0</v>
      </c>
      <c r="D14">
        <v>0</v>
      </c>
    </row>
    <row r="15" spans="1:4" x14ac:dyDescent="0.15">
      <c r="A15">
        <v>14</v>
      </c>
      <c r="B15" s="141" t="s">
        <v>205</v>
      </c>
      <c r="C15">
        <v>0</v>
      </c>
      <c r="D15">
        <v>0</v>
      </c>
    </row>
    <row r="16" spans="1:4" x14ac:dyDescent="0.15">
      <c r="A16">
        <v>15</v>
      </c>
      <c r="B16" s="141" t="s">
        <v>206</v>
      </c>
      <c r="C16">
        <v>0</v>
      </c>
      <c r="D16">
        <v>0</v>
      </c>
    </row>
    <row r="17" spans="1:4" x14ac:dyDescent="0.15">
      <c r="A17">
        <v>16</v>
      </c>
      <c r="B17" s="141" t="s">
        <v>207</v>
      </c>
      <c r="C17">
        <v>0</v>
      </c>
      <c r="D17">
        <v>0</v>
      </c>
    </row>
    <row r="18" spans="1:4" x14ac:dyDescent="0.15">
      <c r="A18">
        <v>17</v>
      </c>
      <c r="B18" s="141" t="s">
        <v>208</v>
      </c>
      <c r="C18">
        <v>0</v>
      </c>
      <c r="D18">
        <v>0</v>
      </c>
    </row>
    <row r="19" spans="1:4" x14ac:dyDescent="0.15">
      <c r="A19">
        <v>18</v>
      </c>
      <c r="B19" s="141" t="s">
        <v>209</v>
      </c>
      <c r="C19">
        <v>0</v>
      </c>
      <c r="D19">
        <v>0</v>
      </c>
    </row>
    <row r="20" spans="1:4" x14ac:dyDescent="0.15">
      <c r="A20">
        <v>19</v>
      </c>
      <c r="B20" s="141" t="s">
        <v>210</v>
      </c>
      <c r="C20">
        <v>0</v>
      </c>
      <c r="D2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D25" sqref="D25"/>
    </sheetView>
  </sheetViews>
  <sheetFormatPr baseColWidth="10" defaultColWidth="8.83203125" defaultRowHeight="15" customHeight="1" x14ac:dyDescent="0.15"/>
  <cols>
    <col min="1" max="1" width="8.83203125" style="66"/>
    <col min="2" max="2" width="41.83203125" style="66" bestFit="1" customWidth="1"/>
    <col min="3" max="3" width="9.33203125" style="66" bestFit="1" customWidth="1"/>
    <col min="4" max="4" width="13" style="66" bestFit="1" customWidth="1"/>
    <col min="5" max="6" width="9.33203125" style="66" bestFit="1" customWidth="1"/>
    <col min="7" max="7" width="9.33203125" style="82" bestFit="1" customWidth="1"/>
    <col min="8" max="8" width="9.33203125" style="66" bestFit="1" customWidth="1"/>
    <col min="9" max="9" width="11" style="66" customWidth="1"/>
    <col min="10" max="10" width="8.83203125" style="66"/>
    <col min="15" max="16384" width="8.83203125" style="6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88">
        <v>1</v>
      </c>
      <c r="B2" s="188" t="s">
        <v>192</v>
      </c>
      <c r="C2" s="8">
        <v>3.6050002574920654</v>
      </c>
      <c r="D2" s="9">
        <v>0.11800000071525574</v>
      </c>
      <c r="E2" s="9">
        <v>0.11999999731779099</v>
      </c>
      <c r="F2" s="9">
        <v>118</v>
      </c>
      <c r="G2" s="7">
        <v>0</v>
      </c>
      <c r="H2" s="9">
        <v>1.0169491870328784E-3</v>
      </c>
      <c r="I2">
        <v>0</v>
      </c>
      <c r="J2"/>
    </row>
    <row r="3" spans="1:10" ht="15" customHeight="1" x14ac:dyDescent="0.15">
      <c r="A3" s="189">
        <v>2</v>
      </c>
      <c r="B3" s="189" t="s">
        <v>193</v>
      </c>
      <c r="C3" s="8">
        <v>3.3411657810211182</v>
      </c>
      <c r="D3" s="9">
        <v>3.9000000804662704E-2</v>
      </c>
      <c r="E3" s="9">
        <v>4.6999998390674591E-2</v>
      </c>
      <c r="F3" s="9">
        <v>17.264999389648438</v>
      </c>
      <c r="G3" s="7">
        <v>0</v>
      </c>
      <c r="H3" s="9">
        <v>2.7222705539315939E-3</v>
      </c>
      <c r="I3">
        <v>0</v>
      </c>
      <c r="J3"/>
    </row>
    <row r="4" spans="1:10" ht="15" customHeight="1" x14ac:dyDescent="0.15">
      <c r="A4" s="190">
        <v>3</v>
      </c>
      <c r="B4" s="190" t="s">
        <v>194</v>
      </c>
      <c r="C4" s="8">
        <v>3.2430837154388428</v>
      </c>
      <c r="D4" s="9">
        <v>2.5399999618530273</v>
      </c>
      <c r="E4" s="9">
        <v>1.6000000238418579</v>
      </c>
      <c r="F4" s="9">
        <v>4.7690000534057617</v>
      </c>
      <c r="G4" s="9">
        <v>0.37189337611198425</v>
      </c>
      <c r="H4" s="9">
        <v>0.3355000913143158</v>
      </c>
      <c r="I4">
        <v>1.4399999380111694</v>
      </c>
      <c r="J4"/>
    </row>
    <row r="5" spans="1:10" ht="15" customHeight="1" x14ac:dyDescent="0.15">
      <c r="A5" s="191">
        <v>4</v>
      </c>
      <c r="B5" s="191" t="s">
        <v>195</v>
      </c>
      <c r="C5" s="8">
        <v>3.3140418529510498</v>
      </c>
      <c r="D5" s="9">
        <v>2.8900001049041748</v>
      </c>
      <c r="E5" s="9">
        <v>0.80000001192092896</v>
      </c>
      <c r="F5" s="9">
        <v>9.5</v>
      </c>
      <c r="G5" s="9">
        <v>0.38927334547042847</v>
      </c>
      <c r="H5" s="9">
        <v>8.4210529923439026E-2</v>
      </c>
      <c r="I5">
        <v>0.90000003576278687</v>
      </c>
      <c r="J5"/>
    </row>
    <row r="6" spans="1:10" ht="15" customHeight="1" x14ac:dyDescent="0.15">
      <c r="A6" s="192">
        <v>5</v>
      </c>
      <c r="B6" s="192" t="s">
        <v>196</v>
      </c>
      <c r="C6" s="8">
        <v>3.4468047618865967</v>
      </c>
      <c r="D6" s="9">
        <v>0.20299999415874481</v>
      </c>
      <c r="E6" s="9">
        <v>0.90499997138977051</v>
      </c>
      <c r="F6" s="9">
        <v>3.5160000324249268</v>
      </c>
      <c r="G6" s="9">
        <v>0.70761781930923462</v>
      </c>
      <c r="H6" s="9">
        <v>0.25739476084709167</v>
      </c>
      <c r="I6">
        <v>0.12999999523162842</v>
      </c>
      <c r="J6"/>
    </row>
    <row r="7" spans="1:10" ht="15" customHeight="1" x14ac:dyDescent="0.15">
      <c r="A7" s="193">
        <v>6</v>
      </c>
      <c r="B7" s="193" t="s">
        <v>197</v>
      </c>
      <c r="C7" s="8">
        <v>2.7093164920806885</v>
      </c>
      <c r="D7" s="9">
        <v>0.1120000034570694</v>
      </c>
      <c r="E7" s="9">
        <v>1</v>
      </c>
      <c r="F7" s="9">
        <v>6</v>
      </c>
      <c r="G7" s="9">
        <v>0.80357146263122559</v>
      </c>
      <c r="H7" s="9">
        <v>0.1666666716337204</v>
      </c>
      <c r="I7">
        <v>9.0000003576278687E-2</v>
      </c>
      <c r="J7"/>
    </row>
    <row r="8" spans="1:10" ht="15" customHeight="1" x14ac:dyDescent="0.15">
      <c r="A8" s="194">
        <v>7</v>
      </c>
      <c r="B8" s="194" t="s">
        <v>198</v>
      </c>
      <c r="C8" s="8">
        <v>3.1616752147674561</v>
      </c>
      <c r="D8" s="9">
        <v>1.0870000123977661</v>
      </c>
      <c r="E8" s="9">
        <v>1.8999999761581421</v>
      </c>
      <c r="F8" s="9">
        <v>11.699999809265137</v>
      </c>
      <c r="G8" s="9">
        <v>0.85978966951370239</v>
      </c>
      <c r="H8" s="9">
        <v>0.16239316761493683</v>
      </c>
      <c r="I8">
        <v>0.36000001430511475</v>
      </c>
      <c r="J8"/>
    </row>
    <row r="9" spans="1:10" ht="15" customHeight="1" x14ac:dyDescent="0.15">
      <c r="A9" s="195">
        <v>8</v>
      </c>
      <c r="B9" s="195" t="s">
        <v>199</v>
      </c>
      <c r="C9" s="8">
        <v>2.299962043762207</v>
      </c>
      <c r="D9" s="9">
        <v>4.6960000991821289</v>
      </c>
      <c r="E9" s="9">
        <v>1.2000000476837158</v>
      </c>
      <c r="F9" s="9">
        <v>6</v>
      </c>
      <c r="G9" s="9">
        <v>0.69734591245651245</v>
      </c>
      <c r="H9" s="9">
        <v>0.20000000298023224</v>
      </c>
      <c r="I9">
        <v>3.2599999904632568</v>
      </c>
      <c r="J9"/>
    </row>
    <row r="10" spans="1:10" ht="15" customHeight="1" x14ac:dyDescent="0.15">
      <c r="A10" s="196">
        <v>9</v>
      </c>
      <c r="B10" s="196" t="s">
        <v>200</v>
      </c>
      <c r="C10" s="8">
        <v>2.8000001907348633</v>
      </c>
      <c r="D10" s="9">
        <v>8.5939998626708984</v>
      </c>
      <c r="E10" s="9">
        <v>1.5399999618530273</v>
      </c>
      <c r="F10" s="9">
        <v>20.200000762939453</v>
      </c>
      <c r="G10" s="9">
        <v>0.99167871475219727</v>
      </c>
      <c r="H10" s="9">
        <v>7.6237618923187256E-2</v>
      </c>
      <c r="I10">
        <v>5.0300002098083496</v>
      </c>
      <c r="J10"/>
    </row>
    <row r="11" spans="1:10" ht="15" customHeight="1" x14ac:dyDescent="0.15">
      <c r="A11" s="197">
        <v>10</v>
      </c>
      <c r="B11" s="197" t="s">
        <v>201</v>
      </c>
      <c r="C11" s="8">
        <v>2.75</v>
      </c>
      <c r="D11" s="9">
        <v>13.53600025177002</v>
      </c>
      <c r="E11" s="9">
        <v>1.2000000476837158</v>
      </c>
      <c r="F11" s="9">
        <v>13.899999618530273</v>
      </c>
      <c r="G11" s="9">
        <v>0.93777734041213989</v>
      </c>
      <c r="H11" s="9">
        <v>8.6330942809581757E-2</v>
      </c>
      <c r="I11">
        <v>3.3199999332427979</v>
      </c>
      <c r="J11"/>
    </row>
    <row r="12" spans="1:10" ht="15" customHeight="1" x14ac:dyDescent="0.15">
      <c r="A12" s="198">
        <v>11</v>
      </c>
      <c r="B12" s="198" t="s">
        <v>202</v>
      </c>
      <c r="C12" s="8">
        <v>2.8000001907348633</v>
      </c>
      <c r="D12" s="9">
        <v>13.116000175476074</v>
      </c>
      <c r="E12" s="9">
        <v>1.1000000238418579</v>
      </c>
      <c r="F12" s="9">
        <v>10.635000228881836</v>
      </c>
      <c r="G12" s="9">
        <v>0.8397219181060791</v>
      </c>
      <c r="H12" s="9">
        <v>0.1034320667386055</v>
      </c>
      <c r="I12">
        <v>2.4600000381469727</v>
      </c>
      <c r="J12"/>
    </row>
    <row r="13" spans="1:10" ht="15" customHeight="1" x14ac:dyDescent="0.15">
      <c r="A13" s="199">
        <v>12</v>
      </c>
      <c r="B13" s="199" t="s">
        <v>203</v>
      </c>
      <c r="C13" s="8">
        <v>2</v>
      </c>
      <c r="D13" s="9">
        <v>20.63599967956543</v>
      </c>
      <c r="E13" s="9">
        <v>58.355998992919922</v>
      </c>
      <c r="F13" s="9">
        <v>274.80499267578125</v>
      </c>
      <c r="G13" s="9">
        <v>0.35352090001106262</v>
      </c>
      <c r="H13" s="9">
        <v>0.21235421299934387</v>
      </c>
      <c r="I13">
        <v>0</v>
      </c>
      <c r="J13"/>
    </row>
    <row r="14" spans="1:10" ht="15" customHeight="1" x14ac:dyDescent="0.15">
      <c r="A14" s="200">
        <v>13</v>
      </c>
      <c r="B14" s="200" t="s">
        <v>204</v>
      </c>
      <c r="C14" s="8">
        <v>2.0583152770996094</v>
      </c>
      <c r="D14" s="9">
        <v>19.600000381469727</v>
      </c>
      <c r="E14" s="9">
        <v>4</v>
      </c>
      <c r="F14" s="9">
        <v>30</v>
      </c>
      <c r="G14" s="9">
        <v>0.95869284868240356</v>
      </c>
      <c r="H14" s="9">
        <v>0.13333334028720856</v>
      </c>
      <c r="I14">
        <v>0</v>
      </c>
      <c r="J14"/>
    </row>
    <row r="15" spans="1:10" ht="15" customHeight="1" x14ac:dyDescent="0.15">
      <c r="A15" s="201">
        <v>14</v>
      </c>
      <c r="B15" s="201" t="s">
        <v>205</v>
      </c>
      <c r="C15" s="8">
        <v>2.1663064956665039</v>
      </c>
      <c r="D15" s="9">
        <v>93</v>
      </c>
      <c r="E15" s="9">
        <v>1.2000000476837158</v>
      </c>
      <c r="F15" s="9">
        <v>10</v>
      </c>
      <c r="G15" s="9">
        <v>0.90276944637298584</v>
      </c>
      <c r="H15" s="9">
        <v>0.12000000476837158</v>
      </c>
      <c r="I15">
        <v>0</v>
      </c>
      <c r="J15"/>
    </row>
    <row r="16" spans="1:10" ht="15" customHeight="1" x14ac:dyDescent="0.15">
      <c r="A16" s="202">
        <v>15</v>
      </c>
      <c r="B16" s="202" t="s">
        <v>206</v>
      </c>
      <c r="C16" s="8">
        <v>1</v>
      </c>
      <c r="D16" s="9">
        <v>10.5</v>
      </c>
      <c r="E16" s="9">
        <v>15</v>
      </c>
      <c r="F16" s="10"/>
      <c r="G16" s="9">
        <v>0.55069714784622192</v>
      </c>
      <c r="H16" s="10"/>
      <c r="I16">
        <v>0</v>
      </c>
      <c r="J16"/>
    </row>
    <row r="17" spans="1:10" ht="15" customHeight="1" x14ac:dyDescent="0.15">
      <c r="A17" s="203">
        <v>16</v>
      </c>
      <c r="B17" s="203" t="s">
        <v>207</v>
      </c>
      <c r="C17" s="8">
        <v>1</v>
      </c>
      <c r="D17" s="9">
        <v>82.013999938964844</v>
      </c>
      <c r="E17" s="9">
        <v>138.18899536132812</v>
      </c>
      <c r="F17" s="10"/>
      <c r="G17" s="9">
        <v>0.51042771339416504</v>
      </c>
      <c r="H17" s="10"/>
      <c r="I17">
        <v>0</v>
      </c>
      <c r="J17"/>
    </row>
    <row r="18" spans="1:10" ht="15" customHeight="1" x14ac:dyDescent="0.15">
      <c r="A18" s="204">
        <v>17</v>
      </c>
      <c r="B18" s="204" t="s">
        <v>208</v>
      </c>
      <c r="C18" s="8">
        <v>1</v>
      </c>
      <c r="D18" s="9">
        <v>1.0000000474974513E-3</v>
      </c>
      <c r="E18" s="10"/>
      <c r="F18" s="10"/>
      <c r="G18" s="7">
        <v>0.80982089042663574</v>
      </c>
      <c r="H18" s="10"/>
      <c r="I18">
        <v>0</v>
      </c>
      <c r="J18"/>
    </row>
    <row r="19" spans="1:10" ht="15" customHeight="1" x14ac:dyDescent="0.15">
      <c r="A19" s="205">
        <v>18</v>
      </c>
      <c r="B19" s="205" t="s">
        <v>209</v>
      </c>
      <c r="C19" s="8">
        <v>1</v>
      </c>
      <c r="D19" s="9">
        <v>10</v>
      </c>
      <c r="E19" s="10"/>
      <c r="F19" s="10"/>
      <c r="G19" s="7">
        <v>0.16026708483695984</v>
      </c>
      <c r="H19" s="10"/>
      <c r="I19">
        <v>0</v>
      </c>
      <c r="J19"/>
    </row>
    <row r="20" spans="1:10" ht="15" customHeight="1" x14ac:dyDescent="0.15">
      <c r="A20" s="206">
        <v>19</v>
      </c>
      <c r="B20" s="206" t="s">
        <v>210</v>
      </c>
      <c r="C20" s="8">
        <v>1</v>
      </c>
      <c r="D20" s="9">
        <v>5</v>
      </c>
      <c r="E20" s="10"/>
      <c r="F20" s="10"/>
      <c r="G20" s="7">
        <v>0</v>
      </c>
      <c r="H20" s="10"/>
      <c r="I20">
        <v>0</v>
      </c>
      <c r="J20"/>
    </row>
    <row r="21" spans="1:10" ht="15" customHeight="1" x14ac:dyDescent="0.15">
      <c r="A21" s="207">
        <v>20</v>
      </c>
      <c r="B21" s="207" t="s">
        <v>211</v>
      </c>
      <c r="C21" s="8">
        <v>3.7737970352172852</v>
      </c>
      <c r="D21" s="10"/>
      <c r="E21" s="10"/>
      <c r="F21" s="10"/>
      <c r="G21" s="10"/>
      <c r="H21" s="10"/>
      <c r="I21">
        <v>5.3299999237060547</v>
      </c>
      <c r="J21"/>
    </row>
    <row r="22" spans="1:10" ht="15" customHeight="1" x14ac:dyDescent="0.15">
      <c r="A22" s="208">
        <v>21</v>
      </c>
      <c r="B22" s="208" t="s">
        <v>212</v>
      </c>
      <c r="C22" s="8">
        <v>3.7700121402740479</v>
      </c>
      <c r="D22" s="10"/>
      <c r="E22" s="10"/>
      <c r="F22" s="10"/>
      <c r="G22" s="10"/>
      <c r="H22" s="10"/>
      <c r="I22">
        <v>11.659999847412109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6" bestFit="1" customWidth="1"/>
    <col min="2" max="4" width="9.5" style="66" bestFit="1" customWidth="1"/>
    <col min="5" max="7" width="9" style="66" bestFit="1" customWidth="1"/>
    <col min="8" max="16" width="12.6640625" style="66" bestFit="1" customWidth="1"/>
    <col min="17" max="17" width="12.33203125" style="66" bestFit="1" customWidth="1"/>
    <col min="18" max="18" width="8.83203125" style="66"/>
    <col min="19" max="21" width="9.33203125" style="66" bestFit="1" customWidth="1"/>
    <col min="22" max="23" width="8.83203125" style="66"/>
    <col min="24" max="24" width="9.33203125" style="66" bestFit="1" customWidth="1"/>
    <col min="25" max="27" width="8.83203125" style="66"/>
    <col min="28" max="58" width="9" style="66" bestFit="1" customWidth="1"/>
    <col min="59" max="59" width="12.33203125" style="66" bestFit="1" customWidth="1"/>
    <col min="60" max="60" width="9" style="66" bestFit="1" customWidth="1"/>
    <col min="61" max="61" width="11.33203125" style="66" bestFit="1" customWidth="1"/>
    <col min="62" max="77" width="9" style="66" bestFit="1" customWidth="1"/>
    <col min="78" max="78" width="12.33203125" style="66" bestFit="1" customWidth="1"/>
    <col min="79" max="79" width="9" style="66" bestFit="1" customWidth="1"/>
    <col min="80" max="80" width="12.33203125" style="66" bestFit="1" customWidth="1"/>
    <col min="81" max="107" width="9" style="66" bestFit="1" customWidth="1"/>
    <col min="108" max="108" width="11.33203125" style="66" bestFit="1" customWidth="1"/>
    <col min="109" max="124" width="9" style="66" bestFit="1" customWidth="1"/>
    <col min="125" max="125" width="10.33203125" style="66" bestFit="1" customWidth="1"/>
    <col min="126" max="129" width="9.33203125" style="66" bestFit="1" customWidth="1"/>
    <col min="130" max="130" width="9" style="66" bestFit="1" customWidth="1"/>
    <col min="131" max="134" width="9.33203125" style="66" bestFit="1" customWidth="1"/>
    <col min="135" max="165" width="9" style="66" bestFit="1" customWidth="1"/>
    <col min="166" max="166" width="12.33203125" style="66" bestFit="1" customWidth="1"/>
    <col min="167" max="170" width="9" style="66" bestFit="1" customWidth="1"/>
    <col min="171" max="176" width="8.83203125" style="66"/>
    <col min="177" max="177" width="13.83203125" style="66" bestFit="1" customWidth="1"/>
    <col min="178" max="16384" width="8.83203125" style="6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218</v>
      </c>
      <c r="E1" t="s">
        <v>219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0.11999999731779099</v>
      </c>
      <c r="C2">
        <v>0.11999999731779099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4.6999998390674591E-2</v>
      </c>
      <c r="C3">
        <v>4.6999998390674591E-2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1.6000000238418579</v>
      </c>
      <c r="C4">
        <v>1.0049706697463989</v>
      </c>
      <c r="D4" s="175">
        <v>0.56692910194396973</v>
      </c>
      <c r="E4"/>
      <c r="F4"/>
      <c r="G4"/>
      <c r="H4"/>
      <c r="I4"/>
      <c r="J4" s="16">
        <v>2.8100313618779182E-2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0.80000001192092896</v>
      </c>
      <c r="C5">
        <v>0.4885813295841217</v>
      </c>
      <c r="D5"/>
      <c r="E5" s="180">
        <v>0.31141868233680725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0.90499997138977051</v>
      </c>
      <c r="C6">
        <v>0.26460587978363037</v>
      </c>
      <c r="D6" s="176">
        <v>4.9261085689067841E-2</v>
      </c>
      <c r="E6" s="181">
        <v>0.5911329984664917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</v>
      </c>
      <c r="C7">
        <v>0.19642853736877441</v>
      </c>
      <c r="D7" s="177">
        <v>8.9285716414451599E-2</v>
      </c>
      <c r="E7" s="182">
        <v>0.71428573131561279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1.8999999761581421</v>
      </c>
      <c r="C8">
        <v>0.26639962196350098</v>
      </c>
      <c r="D8" s="153">
        <v>0.22079116106033325</v>
      </c>
      <c r="E8" s="183">
        <v>0.11039558053016663</v>
      </c>
      <c r="F8"/>
      <c r="G8" s="154">
        <v>6.1944339424371719E-2</v>
      </c>
      <c r="H8" s="157">
        <v>0.55718767642974854</v>
      </c>
      <c r="I8" s="158">
        <v>0.63143974542617798</v>
      </c>
      <c r="J8"/>
      <c r="K8"/>
      <c r="L8"/>
      <c r="M8" s="20">
        <v>5.1841769367456436E-2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1.2000000476837158</v>
      </c>
      <c r="C9">
        <v>0.36318492889404297</v>
      </c>
      <c r="D9" s="178">
        <v>0.36201021075248718</v>
      </c>
      <c r="E9" s="184">
        <v>0.33219760656356812</v>
      </c>
      <c r="F9"/>
      <c r="G9" s="19">
        <v>7.1692392230033875E-3</v>
      </c>
      <c r="H9"/>
      <c r="I9"/>
      <c r="J9" s="15">
        <v>1.519906148314476E-2</v>
      </c>
      <c r="K9" s="16">
        <v>2.0034071058034897E-2</v>
      </c>
      <c r="L9" s="155">
        <v>0.10020492225885391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1.5399999618530273</v>
      </c>
      <c r="C10">
        <v>1.2814778834581375E-2</v>
      </c>
      <c r="D10" s="179">
        <v>3.1417269259691238E-2</v>
      </c>
      <c r="E10" s="185">
        <v>0.55387479066848755</v>
      </c>
      <c r="F10" s="163">
        <v>0.48606008291244507</v>
      </c>
      <c r="G10" s="19">
        <v>7.8349430114030838E-3</v>
      </c>
      <c r="H10" s="156">
        <v>7.0475101470947266E-2</v>
      </c>
      <c r="I10" s="162">
        <v>0.31946709752082825</v>
      </c>
      <c r="J10" s="19">
        <v>1.0381487198174E-2</v>
      </c>
      <c r="K10"/>
      <c r="L10" s="124">
        <v>4.4395741075277328E-2</v>
      </c>
      <c r="M10" s="13">
        <v>3.2785667572170496E-3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1.2000000476837158</v>
      </c>
      <c r="C11">
        <v>7.4667192995548248E-2</v>
      </c>
      <c r="D11" s="21">
        <v>2.9550826177000999E-2</v>
      </c>
      <c r="E11" s="186">
        <v>0.21572102606296539</v>
      </c>
      <c r="F11" s="164">
        <v>0.3085993230342865</v>
      </c>
      <c r="G11" s="18">
        <v>9.9488021805882454E-3</v>
      </c>
      <c r="H11" s="159">
        <v>8.948921412229538E-2</v>
      </c>
      <c r="I11" s="165">
        <v>0.40565899014472961</v>
      </c>
      <c r="J11" s="19">
        <v>7.9094413667917252E-3</v>
      </c>
      <c r="K11"/>
      <c r="L11" s="22">
        <v>5.6373666971921921E-2</v>
      </c>
      <c r="M11" s="13">
        <v>2.0815604366362095E-3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1.1000000238418579</v>
      </c>
      <c r="C12">
        <v>0.17630589008331299</v>
      </c>
      <c r="D12" s="172">
        <v>9.606587141752243E-2</v>
      </c>
      <c r="E12" s="187">
        <v>9.1491304337978363E-2</v>
      </c>
      <c r="F12" s="90">
        <v>0.31848126649856567</v>
      </c>
      <c r="G12" s="12">
        <v>5.133691243827343E-3</v>
      </c>
      <c r="H12" s="160">
        <v>0.13853225111961365</v>
      </c>
      <c r="I12" s="161">
        <v>0.20932449400424957</v>
      </c>
      <c r="J12" s="19">
        <v>5.4418114013969898E-3</v>
      </c>
      <c r="K12"/>
      <c r="L12" s="17">
        <v>4.8482388257980347E-2</v>
      </c>
      <c r="M12" s="14">
        <v>1.0741080157458782E-2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58.355998992919922</v>
      </c>
      <c r="C13">
        <v>37.725933074951172</v>
      </c>
      <c r="D13"/>
      <c r="E13"/>
      <c r="F13"/>
      <c r="G13" s="11">
        <v>1.1420199647545815E-2</v>
      </c>
      <c r="H13" s="19">
        <v>0.35219791531562805</v>
      </c>
      <c r="I13" s="15">
        <v>0.73174315690994263</v>
      </c>
      <c r="J13" s="11">
        <v>1.4699695631861687E-2</v>
      </c>
      <c r="K13"/>
      <c r="L13" s="19">
        <v>0.35313805937767029</v>
      </c>
      <c r="M13" s="12">
        <v>0.19115333259105682</v>
      </c>
      <c r="N13" s="153">
        <v>6.7299404144287109</v>
      </c>
      <c r="O13" s="170">
        <v>6.8381853103637695</v>
      </c>
      <c r="P13" s="57">
        <v>5.407585620880127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4</v>
      </c>
      <c r="C14">
        <v>0.16522860527038574</v>
      </c>
      <c r="D14"/>
      <c r="E14"/>
      <c r="F14"/>
      <c r="G14"/>
      <c r="H14"/>
      <c r="I14"/>
      <c r="J14"/>
      <c r="K14" s="11">
        <v>2.9142857529222965E-3</v>
      </c>
      <c r="L14"/>
      <c r="M14" s="14">
        <v>3.5938773304224014E-2</v>
      </c>
      <c r="N14"/>
      <c r="O14"/>
      <c r="P14"/>
      <c r="Q14"/>
      <c r="R14"/>
      <c r="S14" s="169">
        <v>3.7959184646606445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0.11667666584253311</v>
      </c>
      <c r="D15"/>
      <c r="E15"/>
      <c r="F15"/>
      <c r="G15"/>
      <c r="H15"/>
      <c r="I15"/>
      <c r="J15"/>
      <c r="K15" s="13">
        <v>2.709677442908287E-3</v>
      </c>
      <c r="L15" s="124">
        <v>3.4187905490398407E-2</v>
      </c>
      <c r="M15" s="21">
        <v>3.0296774581074715E-2</v>
      </c>
      <c r="N15"/>
      <c r="O15"/>
      <c r="P15"/>
      <c r="Q15"/>
      <c r="R15" s="167">
        <v>0.31612905859947205</v>
      </c>
      <c r="S15" s="168">
        <v>0.69999998807907104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15</v>
      </c>
      <c r="C16">
        <v>6.7395429611206055</v>
      </c>
      <c r="D16"/>
      <c r="E16"/>
      <c r="F16"/>
      <c r="G16"/>
      <c r="H16"/>
      <c r="I16"/>
      <c r="J16"/>
      <c r="K16" s="13">
        <v>2.5600001215934753E-2</v>
      </c>
      <c r="L16"/>
      <c r="M16" s="91">
        <v>1.0062856674194336</v>
      </c>
      <c r="N16"/>
      <c r="O16"/>
      <c r="P16"/>
      <c r="Q16"/>
      <c r="R16" s="166">
        <v>2.8000001907348633</v>
      </c>
      <c r="S16" s="92">
        <v>4.4285712242126465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138.18899536132812</v>
      </c>
      <c r="C17">
        <v>67.65350341796875</v>
      </c>
      <c r="D17"/>
      <c r="E17"/>
      <c r="F17"/>
      <c r="G17"/>
      <c r="H17"/>
      <c r="I17"/>
      <c r="J17"/>
      <c r="K17"/>
      <c r="L17"/>
      <c r="M17" s="11">
        <v>5.3250420838594437E-2</v>
      </c>
      <c r="N17" s="12">
        <v>0.42333942651748657</v>
      </c>
      <c r="O17" s="12">
        <v>0.5735313892364502</v>
      </c>
      <c r="P17" s="13">
        <v>0.34015819430351257</v>
      </c>
      <c r="Q17" s="171">
        <v>69.145217895507812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/>
      <c r="C18">
        <v>0.80982089042663574</v>
      </c>
      <c r="D18"/>
      <c r="E18"/>
      <c r="F18" s="9">
        <v>1.3924000263214111</v>
      </c>
      <c r="G18" s="9">
        <v>6.7333497107028961E-2</v>
      </c>
      <c r="H18" s="9">
        <v>0.605663001537323</v>
      </c>
      <c r="I18" s="9">
        <v>0.68637502193450928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/>
      <c r="C19">
        <v>0.16026708483695984</v>
      </c>
      <c r="D19"/>
      <c r="E19"/>
      <c r="F19"/>
      <c r="G19"/>
      <c r="H19"/>
      <c r="I19"/>
      <c r="J19"/>
      <c r="K19"/>
      <c r="L19"/>
      <c r="M19" s="9">
        <v>5.5224957466125488</v>
      </c>
      <c r="N19"/>
      <c r="O19"/>
      <c r="P19"/>
      <c r="Q19"/>
      <c r="R19" s="9">
        <v>529.20001220703125</v>
      </c>
      <c r="S19" s="9">
        <v>744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166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167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43" t="s">
        <v>192</v>
      </c>
      <c r="E5">
        <v>4</v>
      </c>
      <c r="F5">
        <v>3.13</v>
      </c>
      <c r="G5">
        <v>4</v>
      </c>
      <c r="H5" s="144" t="s">
        <v>192</v>
      </c>
      <c r="J5" s="50"/>
      <c r="K5" s="51"/>
    </row>
    <row r="6" spans="1:12" ht="14" thickBot="1" x14ac:dyDescent="0.2">
      <c r="A6" s="34" t="s">
        <v>121</v>
      </c>
      <c r="D6" s="143" t="s">
        <v>193</v>
      </c>
      <c r="E6">
        <v>5</v>
      </c>
      <c r="F6">
        <v>3.13</v>
      </c>
      <c r="G6">
        <v>5</v>
      </c>
      <c r="H6" s="144" t="s">
        <v>193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43" t="s">
        <v>194</v>
      </c>
      <c r="E7">
        <v>6</v>
      </c>
      <c r="F7">
        <v>3.12</v>
      </c>
      <c r="G7">
        <v>6</v>
      </c>
      <c r="H7" s="144" t="s">
        <v>194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43" t="s">
        <v>195</v>
      </c>
      <c r="E8">
        <v>7</v>
      </c>
      <c r="F8">
        <v>3.12</v>
      </c>
      <c r="G8">
        <v>7</v>
      </c>
      <c r="H8" s="144" t="s">
        <v>195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43" t="s">
        <v>196</v>
      </c>
      <c r="E9">
        <v>8</v>
      </c>
      <c r="F9">
        <v>3.12</v>
      </c>
      <c r="G9">
        <v>8</v>
      </c>
      <c r="H9" s="144" t="s">
        <v>196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43" t="s">
        <v>197</v>
      </c>
      <c r="E10">
        <v>9</v>
      </c>
      <c r="F10">
        <v>3.22</v>
      </c>
      <c r="G10">
        <v>9</v>
      </c>
      <c r="H10" s="144" t="s">
        <v>197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43" t="s">
        <v>198</v>
      </c>
      <c r="E11">
        <v>10</v>
      </c>
      <c r="F11">
        <v>3.12</v>
      </c>
      <c r="G11">
        <v>10</v>
      </c>
      <c r="H11" s="144" t="s">
        <v>198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43" t="s">
        <v>199</v>
      </c>
      <c r="E12">
        <v>11</v>
      </c>
      <c r="F12">
        <v>3.2</v>
      </c>
      <c r="G12">
        <v>11</v>
      </c>
      <c r="H12" s="144" t="s">
        <v>199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43" t="s">
        <v>200</v>
      </c>
      <c r="E13">
        <v>12</v>
      </c>
      <c r="F13">
        <v>3.12</v>
      </c>
      <c r="G13">
        <v>12</v>
      </c>
      <c r="H13" s="144" t="s">
        <v>200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43" t="s">
        <v>201</v>
      </c>
      <c r="E14">
        <v>13</v>
      </c>
      <c r="F14">
        <v>3.12</v>
      </c>
      <c r="G14">
        <v>13</v>
      </c>
      <c r="H14" s="144" t="s">
        <v>201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43" t="s">
        <v>202</v>
      </c>
      <c r="E15">
        <v>14</v>
      </c>
      <c r="F15">
        <v>3.1</v>
      </c>
      <c r="G15">
        <v>14</v>
      </c>
      <c r="H15" s="144" t="s">
        <v>202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43" t="s">
        <v>203</v>
      </c>
      <c r="E16">
        <v>15</v>
      </c>
      <c r="F16">
        <v>3.11</v>
      </c>
      <c r="G16">
        <v>15</v>
      </c>
      <c r="H16" s="144" t="s">
        <v>203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43" t="s">
        <v>204</v>
      </c>
      <c r="E17">
        <v>16</v>
      </c>
      <c r="F17">
        <v>3.21</v>
      </c>
      <c r="G17">
        <v>16</v>
      </c>
      <c r="H17" s="144" t="s">
        <v>204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43" t="s">
        <v>205</v>
      </c>
      <c r="E18">
        <v>17</v>
      </c>
      <c r="F18">
        <v>3.21</v>
      </c>
      <c r="G18">
        <v>17</v>
      </c>
      <c r="H18" s="144" t="s">
        <v>205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43" t="s">
        <v>206</v>
      </c>
      <c r="E19">
        <v>18</v>
      </c>
      <c r="F19">
        <v>2</v>
      </c>
      <c r="G19">
        <v>18</v>
      </c>
      <c r="H19" s="144" t="s">
        <v>206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43" t="s">
        <v>207</v>
      </c>
      <c r="E20">
        <v>19</v>
      </c>
      <c r="F20">
        <v>2</v>
      </c>
      <c r="G20">
        <v>19</v>
      </c>
      <c r="H20" s="144" t="s">
        <v>207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43" t="s">
        <v>208</v>
      </c>
      <c r="E21">
        <v>20</v>
      </c>
      <c r="F21">
        <v>4.2</v>
      </c>
      <c r="G21">
        <v>20</v>
      </c>
      <c r="H21" s="144" t="s">
        <v>208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43" t="s">
        <v>209</v>
      </c>
      <c r="E22">
        <v>21</v>
      </c>
      <c r="F22">
        <v>4.0999999999999996</v>
      </c>
      <c r="G22">
        <v>21</v>
      </c>
      <c r="H22" s="144" t="s">
        <v>209</v>
      </c>
    </row>
    <row r="23" spans="1:12" x14ac:dyDescent="0.15">
      <c r="A23" s="29" t="s">
        <v>129</v>
      </c>
      <c r="B23" s="37">
        <v>4</v>
      </c>
      <c r="C23" s="31"/>
      <c r="D23" s="143" t="s">
        <v>210</v>
      </c>
      <c r="E23">
        <v>22</v>
      </c>
      <c r="F23">
        <v>4.3</v>
      </c>
      <c r="G23">
        <v>22</v>
      </c>
      <c r="H23" s="144" t="s">
        <v>210</v>
      </c>
    </row>
    <row r="24" spans="1:12" x14ac:dyDescent="0.15">
      <c r="A24" s="29" t="s">
        <v>122</v>
      </c>
      <c r="B24" s="37">
        <v>4.0999999999999996</v>
      </c>
      <c r="C24" s="31"/>
      <c r="D24" s="143" t="s">
        <v>211</v>
      </c>
      <c r="E24">
        <v>23</v>
      </c>
      <c r="F24">
        <v>5</v>
      </c>
      <c r="G24">
        <v>23</v>
      </c>
      <c r="H24" s="144" t="s">
        <v>211</v>
      </c>
    </row>
    <row r="25" spans="1:12" x14ac:dyDescent="0.15">
      <c r="A25" s="29" t="s">
        <v>70</v>
      </c>
      <c r="B25" s="37">
        <v>4.2</v>
      </c>
      <c r="C25" s="31"/>
      <c r="D25" s="143" t="s">
        <v>212</v>
      </c>
      <c r="E25">
        <v>24</v>
      </c>
      <c r="F25">
        <v>5</v>
      </c>
      <c r="G25">
        <v>24</v>
      </c>
      <c r="H25" s="144" t="s">
        <v>212</v>
      </c>
    </row>
    <row r="26" spans="1:12" x14ac:dyDescent="0.15">
      <c r="A26" s="29" t="s">
        <v>123</v>
      </c>
      <c r="B26" s="37">
        <v>4.3</v>
      </c>
      <c r="C26" s="31"/>
      <c r="D26" s="143" t="s">
        <v>138</v>
      </c>
      <c r="E26">
        <v>25</v>
      </c>
      <c r="F26">
        <v>6.1</v>
      </c>
      <c r="G26">
        <v>25</v>
      </c>
      <c r="H26" s="144" t="s">
        <v>138</v>
      </c>
    </row>
    <row r="27" spans="1:12" x14ac:dyDescent="0.15">
      <c r="A27" s="29" t="s">
        <v>125</v>
      </c>
      <c r="B27" s="37">
        <v>6.1</v>
      </c>
      <c r="D27" s="143" t="s">
        <v>45</v>
      </c>
      <c r="E27">
        <v>26</v>
      </c>
      <c r="F27">
        <v>6.2</v>
      </c>
      <c r="G27">
        <v>26</v>
      </c>
      <c r="H27" s="144" t="s">
        <v>45</v>
      </c>
    </row>
    <row r="28" spans="1:12" x14ac:dyDescent="0.15">
      <c r="A28" s="29" t="s">
        <v>124</v>
      </c>
      <c r="B28" s="37">
        <v>6.2</v>
      </c>
    </row>
    <row r="29" spans="1:12" x14ac:dyDescent="0.15">
      <c r="A29" s="29" t="s">
        <v>44</v>
      </c>
      <c r="B29" s="37">
        <v>5</v>
      </c>
    </row>
    <row r="30" spans="1:12" x14ac:dyDescent="0.15">
      <c r="A30" s="29" t="s">
        <v>73</v>
      </c>
      <c r="B30" s="37">
        <v>7</v>
      </c>
    </row>
    <row r="31" spans="1:12" x14ac:dyDescent="0.15">
      <c r="A31" s="29" t="s">
        <v>169</v>
      </c>
      <c r="B31" s="37">
        <v>3.14</v>
      </c>
    </row>
    <row r="32" spans="1:12" ht="12" customHeight="1" thickBot="1" x14ac:dyDescent="0.2">
      <c r="A32" s="35" t="s">
        <v>170</v>
      </c>
      <c r="B32" s="3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topLeftCell="B1" workbookViewId="0">
      <pane ySplit="2" topLeftCell="A3" activePane="bottomLeft" state="frozen"/>
      <selection pane="bottomLeft" activeCell="U26" sqref="U26"/>
    </sheetView>
  </sheetViews>
  <sheetFormatPr baseColWidth="10" defaultColWidth="11.5" defaultRowHeight="15" customHeight="1" x14ac:dyDescent="0.15"/>
  <cols>
    <col min="1" max="1" width="14.83203125" style="67" bestFit="1" customWidth="1"/>
    <col min="2" max="2" width="13.83203125" style="66" customWidth="1"/>
    <col min="3" max="3" width="14.83203125" style="66" customWidth="1"/>
    <col min="4" max="4" width="5.83203125" style="66" customWidth="1"/>
    <col min="5" max="5" width="13.83203125" style="66" customWidth="1"/>
    <col min="6" max="6" width="21.6640625" style="66" bestFit="1" customWidth="1"/>
    <col min="7" max="9" width="2.33203125" style="66" customWidth="1"/>
    <col min="10" max="10" width="2.33203125" style="66" bestFit="1" customWidth="1"/>
    <col min="11" max="15" width="2.33203125" style="66" customWidth="1"/>
    <col min="16" max="16" width="2.33203125" style="59" customWidth="1"/>
    <col min="17" max="17" width="2.33203125" style="66" customWidth="1"/>
    <col min="18" max="18" width="2.33203125" style="60" customWidth="1"/>
    <col min="19" max="16384" width="11.5" style="66"/>
  </cols>
  <sheetData>
    <row r="1" spans="1:23" ht="15" customHeight="1" thickBot="1" x14ac:dyDescent="0.2">
      <c r="F1" s="1"/>
      <c r="G1" s="58" t="s">
        <v>46</v>
      </c>
      <c r="H1" s="58" t="s">
        <v>47</v>
      </c>
      <c r="I1" s="58" t="s">
        <v>120</v>
      </c>
      <c r="J1" s="58" t="s">
        <v>132</v>
      </c>
      <c r="K1" s="68" t="s">
        <v>48</v>
      </c>
      <c r="L1" s="60"/>
      <c r="M1" s="68" t="s">
        <v>119</v>
      </c>
      <c r="N1" s="60"/>
      <c r="O1" s="68" t="s">
        <v>49</v>
      </c>
      <c r="P1" s="61"/>
      <c r="Q1" s="68" t="s">
        <v>50</v>
      </c>
      <c r="R1" s="58" t="s">
        <v>154</v>
      </c>
    </row>
    <row r="2" spans="1:23" ht="15" customHeight="1" x14ac:dyDescent="0.15">
      <c r="A2" s="68" t="s">
        <v>51</v>
      </c>
      <c r="B2" s="69">
        <v>0.5</v>
      </c>
      <c r="C2" s="67" t="s">
        <v>52</v>
      </c>
      <c r="D2" s="70"/>
      <c r="F2" s="1"/>
      <c r="G2" s="71"/>
      <c r="H2" s="71"/>
      <c r="I2" s="71" t="s">
        <v>133</v>
      </c>
      <c r="J2" s="71" t="s">
        <v>133</v>
      </c>
      <c r="K2" s="71" t="s">
        <v>52</v>
      </c>
      <c r="L2" s="71" t="s">
        <v>53</v>
      </c>
      <c r="M2" s="71" t="s">
        <v>52</v>
      </c>
      <c r="N2" s="71" t="s">
        <v>53</v>
      </c>
      <c r="O2" s="71" t="s">
        <v>52</v>
      </c>
      <c r="P2" s="72" t="s">
        <v>53</v>
      </c>
      <c r="Q2" s="71"/>
      <c r="R2" s="73" t="s">
        <v>155</v>
      </c>
    </row>
    <row r="3" spans="1:23" ht="15" customHeight="1" thickBot="1" x14ac:dyDescent="0.2">
      <c r="A3" s="68" t="s">
        <v>54</v>
      </c>
      <c r="B3" s="74">
        <v>0.5</v>
      </c>
      <c r="C3" s="67" t="s">
        <v>53</v>
      </c>
      <c r="D3" s="7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1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1">
        <v>0</v>
      </c>
      <c r="R4" s="94">
        <v>0</v>
      </c>
    </row>
    <row r="5" spans="1:23" ht="15" customHeight="1" x14ac:dyDescent="0.15">
      <c r="A5" s="68" t="s">
        <v>55</v>
      </c>
      <c r="B5" s="75">
        <v>0.5</v>
      </c>
      <c r="C5" s="67" t="s">
        <v>52</v>
      </c>
      <c r="D5" s="7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1">
        <v>0</v>
      </c>
      <c r="R5" s="94">
        <v>0</v>
      </c>
    </row>
    <row r="6" spans="1:23" ht="15" customHeight="1" thickBot="1" x14ac:dyDescent="0.2">
      <c r="A6" s="68"/>
      <c r="B6" s="76">
        <v>0.5</v>
      </c>
      <c r="C6" s="67" t="s">
        <v>53</v>
      </c>
      <c r="D6" s="70"/>
      <c r="F6" s="145" t="s">
        <v>192</v>
      </c>
      <c r="G6" s="66">
        <v>0</v>
      </c>
      <c r="H6" s="66">
        <v>0</v>
      </c>
      <c r="I6" s="66">
        <v>0</v>
      </c>
      <c r="J6" s="66">
        <v>0</v>
      </c>
      <c r="K6" s="66">
        <v>1</v>
      </c>
      <c r="L6" s="66">
        <v>0</v>
      </c>
      <c r="M6" s="66">
        <v>1</v>
      </c>
      <c r="N6" s="66">
        <v>0</v>
      </c>
      <c r="O6" s="66">
        <v>1</v>
      </c>
      <c r="P6" s="59">
        <v>0</v>
      </c>
      <c r="Q6" s="66">
        <v>0</v>
      </c>
      <c r="R6" s="60">
        <v>1</v>
      </c>
      <c r="S6"/>
      <c r="T6"/>
    </row>
    <row r="7" spans="1:23" ht="15" customHeight="1" thickBot="1" x14ac:dyDescent="0.2">
      <c r="F7" s="145" t="s">
        <v>193</v>
      </c>
      <c r="G7" s="66">
        <v>0</v>
      </c>
      <c r="H7" s="66">
        <v>0</v>
      </c>
      <c r="I7" s="66">
        <v>0</v>
      </c>
      <c r="J7" s="66">
        <v>0</v>
      </c>
      <c r="K7" s="66">
        <v>1</v>
      </c>
      <c r="L7" s="66">
        <v>0</v>
      </c>
      <c r="M7" s="66">
        <v>1</v>
      </c>
      <c r="N7" s="66">
        <v>0</v>
      </c>
      <c r="O7" s="66">
        <v>1</v>
      </c>
      <c r="P7" s="59">
        <v>0</v>
      </c>
      <c r="Q7" s="66">
        <v>0</v>
      </c>
      <c r="R7" s="60">
        <v>1</v>
      </c>
      <c r="S7"/>
      <c r="T7"/>
    </row>
    <row r="8" spans="1:23" ht="15" customHeight="1" x14ac:dyDescent="0.15">
      <c r="A8" s="68" t="s">
        <v>56</v>
      </c>
      <c r="B8" s="75">
        <v>1.370645924504882E-2</v>
      </c>
      <c r="C8" s="146" t="s">
        <v>206</v>
      </c>
      <c r="D8" s="70" t="s">
        <v>160</v>
      </c>
      <c r="F8" s="145" t="s">
        <v>194</v>
      </c>
      <c r="G8" s="66">
        <v>0</v>
      </c>
      <c r="H8" s="66">
        <v>0</v>
      </c>
      <c r="I8" s="66">
        <v>0</v>
      </c>
      <c r="J8" s="66">
        <v>0</v>
      </c>
      <c r="K8" s="66">
        <v>1</v>
      </c>
      <c r="L8" s="66">
        <v>0</v>
      </c>
      <c r="M8" s="66">
        <v>1</v>
      </c>
      <c r="N8" s="66">
        <v>0</v>
      </c>
      <c r="O8" s="66">
        <v>1</v>
      </c>
      <c r="P8" s="59">
        <v>0</v>
      </c>
      <c r="Q8" s="66">
        <v>0</v>
      </c>
      <c r="R8" s="60">
        <v>1</v>
      </c>
      <c r="S8"/>
      <c r="T8"/>
      <c r="W8"/>
    </row>
    <row r="9" spans="1:23" ht="15" customHeight="1" x14ac:dyDescent="0.15">
      <c r="A9" s="108" t="s">
        <v>168</v>
      </c>
      <c r="B9" s="77">
        <v>0.98629354075495113</v>
      </c>
      <c r="C9" s="146" t="s">
        <v>207</v>
      </c>
      <c r="D9" s="70" t="s">
        <v>160</v>
      </c>
      <c r="F9" s="145" t="s">
        <v>195</v>
      </c>
      <c r="G9" s="66">
        <v>0</v>
      </c>
      <c r="H9" s="66">
        <v>0</v>
      </c>
      <c r="I9" s="66">
        <v>0</v>
      </c>
      <c r="J9" s="66">
        <v>0</v>
      </c>
      <c r="K9" s="66">
        <v>1</v>
      </c>
      <c r="L9" s="66">
        <v>0</v>
      </c>
      <c r="M9" s="66">
        <v>1</v>
      </c>
      <c r="N9" s="66">
        <v>0</v>
      </c>
      <c r="O9" s="66">
        <v>1</v>
      </c>
      <c r="P9" s="59">
        <v>0</v>
      </c>
      <c r="Q9" s="66">
        <v>0</v>
      </c>
      <c r="R9" s="60">
        <v>1</v>
      </c>
      <c r="S9"/>
      <c r="T9"/>
      <c r="W9"/>
    </row>
    <row r="10" spans="1:23" ht="15" customHeight="1" x14ac:dyDescent="0.15">
      <c r="B10" s="77"/>
      <c r="C10" s="65"/>
      <c r="D10" s="70" t="s">
        <v>160</v>
      </c>
      <c r="F10" s="145" t="s">
        <v>196</v>
      </c>
      <c r="G10" s="66">
        <v>0</v>
      </c>
      <c r="H10" s="66">
        <v>0</v>
      </c>
      <c r="I10" s="66">
        <v>0</v>
      </c>
      <c r="J10" s="66">
        <v>0</v>
      </c>
      <c r="K10" s="66">
        <v>1</v>
      </c>
      <c r="L10" s="66">
        <v>0</v>
      </c>
      <c r="M10" s="66">
        <v>1</v>
      </c>
      <c r="N10" s="66">
        <v>0</v>
      </c>
      <c r="O10" s="66">
        <v>1</v>
      </c>
      <c r="P10" s="59">
        <v>0</v>
      </c>
      <c r="Q10" s="66">
        <v>0</v>
      </c>
      <c r="R10" s="60">
        <v>1</v>
      </c>
      <c r="S10"/>
      <c r="T10"/>
      <c r="W10"/>
    </row>
    <row r="11" spans="1:23" ht="15" customHeight="1" x14ac:dyDescent="0.15">
      <c r="A11" s="68"/>
      <c r="B11" s="77"/>
      <c r="C11" s="80"/>
      <c r="D11" s="70" t="s">
        <v>160</v>
      </c>
      <c r="F11" s="145" t="s">
        <v>197</v>
      </c>
      <c r="G11" s="66">
        <v>0</v>
      </c>
      <c r="H11" s="66">
        <v>0</v>
      </c>
      <c r="I11" s="66">
        <v>0</v>
      </c>
      <c r="J11" s="66">
        <v>0</v>
      </c>
      <c r="K11" s="66">
        <v>1</v>
      </c>
      <c r="L11" s="66">
        <v>0</v>
      </c>
      <c r="M11" s="66">
        <v>1</v>
      </c>
      <c r="N11" s="66">
        <v>0</v>
      </c>
      <c r="O11" s="66">
        <v>1</v>
      </c>
      <c r="P11" s="59">
        <v>0</v>
      </c>
      <c r="Q11" s="66">
        <v>0</v>
      </c>
      <c r="R11" s="60">
        <v>1</v>
      </c>
      <c r="S11"/>
      <c r="T11"/>
      <c r="W11"/>
    </row>
    <row r="12" spans="1:23" ht="15" customHeight="1" x14ac:dyDescent="0.15">
      <c r="B12" s="77"/>
      <c r="C12" s="81"/>
      <c r="D12" s="70" t="s">
        <v>160</v>
      </c>
      <c r="F12" s="145" t="s">
        <v>198</v>
      </c>
      <c r="G12" s="66">
        <v>0</v>
      </c>
      <c r="H12" s="66">
        <v>0</v>
      </c>
      <c r="I12" s="66">
        <v>0</v>
      </c>
      <c r="J12" s="66">
        <v>0</v>
      </c>
      <c r="K12" s="66">
        <v>1</v>
      </c>
      <c r="L12" s="66">
        <v>0</v>
      </c>
      <c r="M12" s="66">
        <v>1</v>
      </c>
      <c r="N12" s="66">
        <v>0</v>
      </c>
      <c r="O12" s="66">
        <v>1</v>
      </c>
      <c r="P12" s="59">
        <v>0</v>
      </c>
      <c r="Q12" s="66">
        <v>0</v>
      </c>
      <c r="R12" s="60">
        <v>1</v>
      </c>
      <c r="S12"/>
      <c r="T12"/>
      <c r="W12"/>
    </row>
    <row r="13" spans="1:23" ht="15" customHeight="1" x14ac:dyDescent="0.15">
      <c r="B13" s="77"/>
      <c r="C13" s="81"/>
      <c r="D13" s="70" t="s">
        <v>160</v>
      </c>
      <c r="F13" s="145" t="s">
        <v>199</v>
      </c>
      <c r="G13" s="66">
        <v>0</v>
      </c>
      <c r="H13" s="66">
        <v>0</v>
      </c>
      <c r="I13" s="66">
        <v>0</v>
      </c>
      <c r="J13" s="66">
        <v>0</v>
      </c>
      <c r="K13" s="66">
        <v>1</v>
      </c>
      <c r="L13" s="66">
        <v>0</v>
      </c>
      <c r="M13" s="66">
        <v>1</v>
      </c>
      <c r="N13" s="66">
        <v>0</v>
      </c>
      <c r="O13" s="66">
        <v>1</v>
      </c>
      <c r="P13" s="59">
        <v>0</v>
      </c>
      <c r="Q13" s="66">
        <v>0</v>
      </c>
      <c r="R13" s="60">
        <v>1</v>
      </c>
      <c r="S13"/>
      <c r="T13"/>
      <c r="W13"/>
    </row>
    <row r="14" spans="1:23" ht="15" customHeight="1" x14ac:dyDescent="0.15">
      <c r="B14" s="77"/>
      <c r="C14" s="65"/>
      <c r="D14" s="70" t="s">
        <v>160</v>
      </c>
      <c r="F14" s="145" t="s">
        <v>200</v>
      </c>
      <c r="G14" s="66">
        <v>0</v>
      </c>
      <c r="H14" s="66">
        <v>0</v>
      </c>
      <c r="I14" s="66">
        <v>0</v>
      </c>
      <c r="J14" s="66">
        <v>0</v>
      </c>
      <c r="K14" s="66">
        <v>1</v>
      </c>
      <c r="L14" s="66">
        <v>0</v>
      </c>
      <c r="M14" s="66">
        <v>1</v>
      </c>
      <c r="N14" s="66">
        <v>0</v>
      </c>
      <c r="O14" s="66">
        <v>1</v>
      </c>
      <c r="P14" s="59">
        <v>0</v>
      </c>
      <c r="Q14" s="66">
        <v>0</v>
      </c>
      <c r="R14" s="60">
        <v>1</v>
      </c>
      <c r="S14"/>
      <c r="T14"/>
      <c r="W14"/>
    </row>
    <row r="15" spans="1:23" ht="15" customHeight="1" x14ac:dyDescent="0.15">
      <c r="B15" s="77"/>
      <c r="C15" s="65"/>
      <c r="D15" s="70" t="s">
        <v>160</v>
      </c>
      <c r="F15" s="145" t="s">
        <v>201</v>
      </c>
      <c r="G15" s="66">
        <v>0</v>
      </c>
      <c r="H15" s="66">
        <v>0</v>
      </c>
      <c r="I15" s="66">
        <v>0</v>
      </c>
      <c r="J15" s="66">
        <v>0</v>
      </c>
      <c r="K15" s="66">
        <v>1</v>
      </c>
      <c r="L15" s="66">
        <v>0</v>
      </c>
      <c r="M15" s="66">
        <v>1</v>
      </c>
      <c r="N15" s="66">
        <v>0</v>
      </c>
      <c r="O15" s="66">
        <v>1</v>
      </c>
      <c r="P15" s="59">
        <v>0</v>
      </c>
      <c r="Q15" s="66">
        <v>0</v>
      </c>
      <c r="R15" s="60">
        <v>1</v>
      </c>
      <c r="S15"/>
      <c r="T15"/>
      <c r="W15"/>
    </row>
    <row r="16" spans="1:23" ht="15" customHeight="1" x14ac:dyDescent="0.15">
      <c r="B16" s="77"/>
      <c r="C16" s="65"/>
      <c r="D16" s="70" t="s">
        <v>160</v>
      </c>
      <c r="F16" s="145" t="s">
        <v>202</v>
      </c>
      <c r="G16" s="66">
        <v>0</v>
      </c>
      <c r="H16" s="66">
        <v>0</v>
      </c>
      <c r="I16" s="66">
        <v>0</v>
      </c>
      <c r="J16" s="66">
        <v>0</v>
      </c>
      <c r="K16" s="66">
        <v>1</v>
      </c>
      <c r="L16" s="66">
        <v>0</v>
      </c>
      <c r="M16" s="66">
        <v>1</v>
      </c>
      <c r="N16" s="66">
        <v>0</v>
      </c>
      <c r="O16" s="66">
        <v>1</v>
      </c>
      <c r="P16" s="59">
        <v>0</v>
      </c>
      <c r="Q16" s="66">
        <v>0</v>
      </c>
      <c r="R16" s="60">
        <v>1</v>
      </c>
      <c r="S16"/>
      <c r="T16"/>
    </row>
    <row r="17" spans="1:20" ht="15" customHeight="1" thickBot="1" x14ac:dyDescent="0.2">
      <c r="B17" s="76"/>
      <c r="C17" s="65"/>
      <c r="D17" s="70" t="s">
        <v>160</v>
      </c>
      <c r="F17" s="145" t="s">
        <v>203</v>
      </c>
      <c r="G17" s="66">
        <v>0</v>
      </c>
      <c r="H17" s="66">
        <v>0</v>
      </c>
      <c r="I17" s="66">
        <v>0</v>
      </c>
      <c r="J17" s="66">
        <v>0</v>
      </c>
      <c r="K17" s="66">
        <v>1</v>
      </c>
      <c r="L17" s="66">
        <v>0</v>
      </c>
      <c r="M17" s="66">
        <v>1</v>
      </c>
      <c r="N17" s="66">
        <v>0</v>
      </c>
      <c r="O17" s="66">
        <v>1</v>
      </c>
      <c r="P17" s="59">
        <v>0</v>
      </c>
      <c r="Q17" s="66">
        <v>0</v>
      </c>
      <c r="R17" s="60">
        <v>1</v>
      </c>
      <c r="S17"/>
      <c r="T17"/>
    </row>
    <row r="18" spans="1:20" ht="15" customHeight="1" thickBot="1" x14ac:dyDescent="0.2">
      <c r="B18" s="78"/>
      <c r="F18" s="145" t="s">
        <v>204</v>
      </c>
      <c r="G18" s="66">
        <v>0</v>
      </c>
      <c r="H18" s="66">
        <v>0</v>
      </c>
      <c r="I18" s="66">
        <v>0</v>
      </c>
      <c r="J18" s="66">
        <v>0</v>
      </c>
      <c r="K18" s="66">
        <v>1</v>
      </c>
      <c r="L18" s="66">
        <v>0</v>
      </c>
      <c r="M18" s="66">
        <v>1</v>
      </c>
      <c r="N18" s="66">
        <v>0</v>
      </c>
      <c r="O18" s="66">
        <v>1</v>
      </c>
      <c r="P18" s="59">
        <v>0</v>
      </c>
      <c r="Q18" s="66">
        <v>0</v>
      </c>
      <c r="R18" s="60">
        <v>1</v>
      </c>
      <c r="S18"/>
      <c r="T18"/>
    </row>
    <row r="19" spans="1:20" ht="15" customHeight="1" x14ac:dyDescent="0.15">
      <c r="A19" s="68" t="s">
        <v>57</v>
      </c>
      <c r="B19" s="75">
        <v>1.370645924504882E-2</v>
      </c>
      <c r="C19" s="147" t="s">
        <v>206</v>
      </c>
      <c r="D19" s="70" t="s">
        <v>160</v>
      </c>
      <c r="F19" s="145" t="s">
        <v>205</v>
      </c>
      <c r="G19" s="66">
        <v>0</v>
      </c>
      <c r="H19" s="66">
        <v>0</v>
      </c>
      <c r="I19" s="66">
        <v>0</v>
      </c>
      <c r="J19" s="66">
        <v>0</v>
      </c>
      <c r="K19" s="66">
        <v>1</v>
      </c>
      <c r="L19" s="66">
        <v>0</v>
      </c>
      <c r="M19" s="66">
        <v>1</v>
      </c>
      <c r="N19" s="66">
        <v>0</v>
      </c>
      <c r="O19" s="66">
        <v>1</v>
      </c>
      <c r="P19" s="59">
        <v>0</v>
      </c>
      <c r="Q19" s="66">
        <v>0</v>
      </c>
      <c r="R19" s="60">
        <v>1</v>
      </c>
      <c r="S19"/>
      <c r="T19"/>
    </row>
    <row r="20" spans="1:20" ht="15" customHeight="1" x14ac:dyDescent="0.15">
      <c r="A20" s="108" t="s">
        <v>168</v>
      </c>
      <c r="B20" s="77">
        <v>0.98629354075495113</v>
      </c>
      <c r="C20" s="147" t="s">
        <v>207</v>
      </c>
      <c r="D20" s="70" t="s">
        <v>160</v>
      </c>
      <c r="F20" s="145" t="s">
        <v>206</v>
      </c>
      <c r="G20" s="66">
        <v>0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1</v>
      </c>
      <c r="N20" s="66">
        <v>0</v>
      </c>
      <c r="O20" s="66">
        <v>0</v>
      </c>
      <c r="P20" s="59">
        <v>0</v>
      </c>
      <c r="Q20" s="66">
        <v>0</v>
      </c>
      <c r="R20" s="60">
        <v>1</v>
      </c>
      <c r="S20"/>
      <c r="T20"/>
    </row>
    <row r="21" spans="1:20" ht="15" customHeight="1" x14ac:dyDescent="0.15">
      <c r="B21" s="77"/>
      <c r="C21" s="65"/>
      <c r="D21" s="70" t="s">
        <v>160</v>
      </c>
      <c r="F21" s="145" t="s">
        <v>207</v>
      </c>
      <c r="G21" s="66">
        <v>0</v>
      </c>
      <c r="H21" s="66">
        <v>0</v>
      </c>
      <c r="I21" s="66">
        <v>0</v>
      </c>
      <c r="J21" s="66">
        <v>0</v>
      </c>
      <c r="K21" s="66">
        <v>0</v>
      </c>
      <c r="L21" s="66">
        <v>0</v>
      </c>
      <c r="M21" s="66">
        <v>1</v>
      </c>
      <c r="N21" s="66">
        <v>0</v>
      </c>
      <c r="O21" s="66">
        <v>0</v>
      </c>
      <c r="P21" s="59">
        <v>0</v>
      </c>
      <c r="Q21" s="66">
        <v>0</v>
      </c>
      <c r="R21" s="60">
        <v>1</v>
      </c>
      <c r="S21"/>
      <c r="T21"/>
    </row>
    <row r="22" spans="1:20" ht="15" customHeight="1" x14ac:dyDescent="0.15">
      <c r="A22" s="66"/>
      <c r="B22" s="77"/>
      <c r="C22" s="80"/>
      <c r="D22" s="70" t="s">
        <v>160</v>
      </c>
      <c r="F22" s="145" t="s">
        <v>208</v>
      </c>
      <c r="G22" s="66">
        <v>0</v>
      </c>
      <c r="H22" s="66">
        <v>0</v>
      </c>
      <c r="I22" s="66">
        <v>0</v>
      </c>
      <c r="J22" s="66">
        <v>0</v>
      </c>
      <c r="K22" s="66">
        <v>0</v>
      </c>
      <c r="L22" s="66">
        <v>1</v>
      </c>
      <c r="M22" s="66">
        <v>0</v>
      </c>
      <c r="N22" s="66">
        <v>1</v>
      </c>
      <c r="O22" s="66">
        <v>0</v>
      </c>
      <c r="P22" s="59">
        <v>1</v>
      </c>
      <c r="Q22" s="66">
        <v>0</v>
      </c>
      <c r="R22" s="60">
        <v>1</v>
      </c>
      <c r="S22"/>
      <c r="T22"/>
    </row>
    <row r="23" spans="1:20" ht="15" customHeight="1" x14ac:dyDescent="0.15">
      <c r="A23" s="66"/>
      <c r="B23" s="77"/>
      <c r="C23" s="81"/>
      <c r="D23" s="70" t="s">
        <v>160</v>
      </c>
      <c r="F23" s="145" t="s">
        <v>209</v>
      </c>
      <c r="G23" s="66">
        <v>0</v>
      </c>
      <c r="H23" s="66">
        <v>0</v>
      </c>
      <c r="I23" s="66">
        <v>0</v>
      </c>
      <c r="J23" s="66">
        <v>0</v>
      </c>
      <c r="K23" s="66">
        <v>0</v>
      </c>
      <c r="L23" s="66">
        <v>1</v>
      </c>
      <c r="M23" s="66">
        <v>0</v>
      </c>
      <c r="N23" s="66">
        <v>1</v>
      </c>
      <c r="O23" s="66">
        <v>0</v>
      </c>
      <c r="P23" s="59">
        <v>1</v>
      </c>
      <c r="Q23" s="66">
        <v>0</v>
      </c>
      <c r="R23" s="60">
        <v>1</v>
      </c>
      <c r="S23"/>
      <c r="T23"/>
    </row>
    <row r="24" spans="1:20" ht="15" customHeight="1" x14ac:dyDescent="0.15">
      <c r="A24" s="66"/>
      <c r="B24" s="77"/>
      <c r="C24" s="81"/>
      <c r="D24" s="70" t="s">
        <v>160</v>
      </c>
      <c r="F24" s="145" t="s">
        <v>210</v>
      </c>
      <c r="G24" s="66">
        <v>0</v>
      </c>
      <c r="H24" s="66">
        <v>0</v>
      </c>
      <c r="I24" s="66">
        <v>0</v>
      </c>
      <c r="J24" s="66">
        <v>0</v>
      </c>
      <c r="K24" s="66">
        <v>0</v>
      </c>
      <c r="L24" s="66">
        <v>1</v>
      </c>
      <c r="M24" s="66">
        <v>0</v>
      </c>
      <c r="N24" s="66">
        <v>1</v>
      </c>
      <c r="O24" s="66">
        <v>0</v>
      </c>
      <c r="P24" s="59">
        <v>1</v>
      </c>
      <c r="Q24" s="66">
        <v>0</v>
      </c>
      <c r="R24" s="60">
        <v>1</v>
      </c>
      <c r="S24"/>
      <c r="T24"/>
    </row>
    <row r="25" spans="1:20" ht="15" customHeight="1" x14ac:dyDescent="0.15">
      <c r="A25" s="66"/>
      <c r="B25" s="77"/>
      <c r="C25" s="65"/>
      <c r="D25" s="70" t="s">
        <v>160</v>
      </c>
      <c r="F25" s="145" t="s">
        <v>211</v>
      </c>
      <c r="G25" s="66">
        <v>0</v>
      </c>
      <c r="H25" s="66">
        <v>0</v>
      </c>
      <c r="I25" s="66">
        <v>0</v>
      </c>
      <c r="J25" s="66">
        <v>0</v>
      </c>
      <c r="K25" s="66">
        <v>0</v>
      </c>
      <c r="L25" s="66">
        <v>1</v>
      </c>
      <c r="M25" s="66">
        <v>0</v>
      </c>
      <c r="N25" s="66">
        <v>0</v>
      </c>
      <c r="O25" s="66">
        <v>0</v>
      </c>
      <c r="P25" s="59">
        <v>0</v>
      </c>
      <c r="Q25" s="66">
        <v>0</v>
      </c>
      <c r="R25" s="60">
        <v>1</v>
      </c>
      <c r="S25"/>
      <c r="T25"/>
    </row>
    <row r="26" spans="1:20" ht="15" customHeight="1" x14ac:dyDescent="0.15">
      <c r="B26" s="77"/>
      <c r="C26" s="65"/>
      <c r="D26" s="70" t="s">
        <v>160</v>
      </c>
      <c r="F26" s="145" t="s">
        <v>212</v>
      </c>
      <c r="G26" s="66">
        <v>0</v>
      </c>
      <c r="H26" s="66">
        <v>0</v>
      </c>
      <c r="I26" s="66">
        <v>0</v>
      </c>
      <c r="J26" s="66">
        <v>0</v>
      </c>
      <c r="K26" s="66">
        <v>0</v>
      </c>
      <c r="L26" s="66">
        <v>1</v>
      </c>
      <c r="M26" s="66">
        <v>0</v>
      </c>
      <c r="N26" s="66">
        <v>0</v>
      </c>
      <c r="O26" s="66">
        <v>0</v>
      </c>
      <c r="P26" s="59">
        <v>0</v>
      </c>
      <c r="Q26" s="66">
        <v>0</v>
      </c>
      <c r="R26" s="60">
        <v>1</v>
      </c>
      <c r="S26"/>
      <c r="T26"/>
    </row>
    <row r="27" spans="1:20" ht="15" customHeight="1" x14ac:dyDescent="0.15">
      <c r="B27" s="77"/>
      <c r="C27" s="65"/>
      <c r="D27" s="70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6"/>
      <c r="C28" s="65"/>
      <c r="D28" s="70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9"/>
      <c r="B31" s="119" t="s">
        <v>17</v>
      </c>
      <c r="C31" s="119" t="s">
        <v>1</v>
      </c>
      <c r="D31" s="119" t="s">
        <v>161</v>
      </c>
      <c r="E31" s="120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48" t="s">
        <v>206</v>
      </c>
      <c r="B32" s="78">
        <v>10.5</v>
      </c>
      <c r="C32" s="78">
        <v>15</v>
      </c>
      <c r="D32" s="78">
        <v>157.5</v>
      </c>
      <c r="E32" s="110">
        <v>1.370645924504882E-2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48" t="s">
        <v>207</v>
      </c>
      <c r="B33" s="78">
        <v>82.013999999999996</v>
      </c>
      <c r="C33" s="78">
        <v>138.18899999999999</v>
      </c>
      <c r="D33" s="78">
        <v>11333.432645999999</v>
      </c>
      <c r="E33" s="110">
        <v>0.98629354075495113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1"/>
      <c r="B34" s="78"/>
      <c r="C34" s="78"/>
      <c r="D34" s="78"/>
      <c r="E34" s="11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2"/>
      <c r="B35" s="78"/>
      <c r="C35" s="78"/>
      <c r="D35" s="78"/>
      <c r="E35" s="11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3"/>
      <c r="B36" s="78"/>
      <c r="C36" s="78"/>
      <c r="D36" s="78"/>
      <c r="E36" s="11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3"/>
      <c r="B37" s="78"/>
      <c r="C37" s="78"/>
      <c r="D37" s="78"/>
      <c r="E37" s="11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4"/>
      <c r="B38" s="78"/>
      <c r="C38" s="78"/>
      <c r="D38" s="78"/>
      <c r="E38" s="11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4"/>
      <c r="B39" s="78"/>
      <c r="C39" s="78"/>
      <c r="D39" s="78"/>
      <c r="E39" s="11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4"/>
      <c r="B40" s="78"/>
      <c r="C40" s="78"/>
      <c r="D40" s="78"/>
      <c r="E40" s="11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4"/>
      <c r="B41" s="78"/>
      <c r="C41" s="78"/>
      <c r="D41" s="79"/>
      <c r="E41" s="11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6"/>
      <c r="B42" s="117"/>
      <c r="C42" s="117" t="s">
        <v>162</v>
      </c>
      <c r="D42" s="117">
        <f>SUM(D32:D41)</f>
        <v>11490.932645999999</v>
      </c>
      <c r="E42" s="11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4" customWidth="1"/>
    <col min="3" max="5" width="7.83203125" style="94" customWidth="1"/>
    <col min="6" max="8" width="8.83203125" style="6"/>
    <col min="9" max="9" width="14.33203125" style="6" customWidth="1"/>
    <col min="10" max="10" width="15.5" style="6" customWidth="1"/>
    <col min="11" max="12" width="13.83203125" style="6" customWidth="1"/>
    <col min="13" max="13" width="8" style="6" customWidth="1"/>
    <col min="14" max="14" width="6" style="6" customWidth="1"/>
    <col min="15" max="15" width="13" style="6" customWidth="1"/>
    <col min="16" max="16" width="15.33203125" style="6" customWidth="1"/>
    <col min="17" max="17" width="13.5" style="6" customWidth="1"/>
    <col min="18" max="18" width="13" style="6" customWidth="1"/>
    <col min="19" max="19" width="14.1640625" style="6" customWidth="1"/>
    <col min="20" max="20" width="11.33203125" style="6" customWidth="1"/>
    <col min="21" max="21" width="11.83203125" style="6" customWidth="1"/>
    <col min="22" max="22" width="13" style="6" customWidth="1"/>
    <col min="23" max="23" width="14.83203125" style="6" customWidth="1"/>
    <col min="24" max="24" width="13.1640625" style="6" customWidth="1"/>
    <col min="25" max="25" width="6.5" style="6" customWidth="1"/>
    <col min="26" max="26" width="7.6640625" style="6" customWidth="1"/>
    <col min="27" max="27" width="21.6640625" style="6" customWidth="1"/>
    <col min="28" max="28" width="16" style="6" customWidth="1"/>
    <col min="29" max="29" width="15.164062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50" t="s">
        <v>192</v>
      </c>
      <c r="J1" s="150" t="s">
        <v>193</v>
      </c>
      <c r="K1" s="150" t="s">
        <v>194</v>
      </c>
      <c r="L1" s="150" t="s">
        <v>195</v>
      </c>
      <c r="M1" s="150" t="s">
        <v>196</v>
      </c>
      <c r="N1" s="150" t="s">
        <v>197</v>
      </c>
      <c r="O1" s="150" t="s">
        <v>198</v>
      </c>
      <c r="P1" s="150" t="s">
        <v>199</v>
      </c>
      <c r="Q1" s="150" t="s">
        <v>200</v>
      </c>
      <c r="R1" s="150" t="s">
        <v>201</v>
      </c>
      <c r="S1" s="150" t="s">
        <v>202</v>
      </c>
      <c r="T1" s="150" t="s">
        <v>203</v>
      </c>
      <c r="U1" s="150" t="s">
        <v>204</v>
      </c>
      <c r="V1" s="150" t="s">
        <v>205</v>
      </c>
      <c r="W1" s="150" t="s">
        <v>206</v>
      </c>
      <c r="X1" s="150" t="s">
        <v>207</v>
      </c>
      <c r="Y1" s="150" t="s">
        <v>208</v>
      </c>
      <c r="Z1" s="150" t="s">
        <v>209</v>
      </c>
      <c r="AA1" s="150" t="s">
        <v>210</v>
      </c>
      <c r="AB1" s="150" t="s">
        <v>211</v>
      </c>
      <c r="AC1" s="150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49" t="s">
        <v>192</v>
      </c>
      <c r="B5" s="9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49" t="s">
        <v>193</v>
      </c>
      <c r="B6" s="9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49" t="s">
        <v>194</v>
      </c>
      <c r="B7" s="9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49" t="s">
        <v>195</v>
      </c>
      <c r="B8" s="9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49" t="s">
        <v>196</v>
      </c>
      <c r="B9" s="9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49" t="s">
        <v>197</v>
      </c>
      <c r="B10" s="9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49" t="s">
        <v>198</v>
      </c>
      <c r="B11" s="9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49" t="s">
        <v>199</v>
      </c>
      <c r="B12" s="9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49" t="s">
        <v>200</v>
      </c>
      <c r="B13" s="9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49" t="s">
        <v>201</v>
      </c>
      <c r="B14" s="9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49" t="s">
        <v>202</v>
      </c>
      <c r="B15" s="9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49" t="s">
        <v>203</v>
      </c>
      <c r="B16" s="9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49" t="s">
        <v>204</v>
      </c>
      <c r="B17" s="9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49" t="s">
        <v>205</v>
      </c>
      <c r="B18" s="9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49" t="s">
        <v>206</v>
      </c>
      <c r="B19" s="9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49" t="s">
        <v>207</v>
      </c>
      <c r="B20" s="9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49" t="s">
        <v>208</v>
      </c>
      <c r="B21" s="9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49" t="s">
        <v>209</v>
      </c>
      <c r="B22" s="9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49" t="s">
        <v>210</v>
      </c>
      <c r="B23" s="9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49" t="s">
        <v>211</v>
      </c>
      <c r="B24" s="9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49" t="s">
        <v>212</v>
      </c>
      <c r="B25" s="9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2023-08-14T21:56:12Z</dcterms:modified>
</cp:coreProperties>
</file>