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4E7E3BF2-2496-E242-A81E-A94BB4A11E1F}" xr6:coauthVersionLast="45" xr6:coauthVersionMax="45" xr10:uidLastSave="{00000000-0000-0000-0000-000000000000}"/>
  <bookViews>
    <workbookView xWindow="0" yWindow="460" windowWidth="25600" windowHeight="14240" tabRatio="728" firstSheet="8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Main!$C$2:$N$34</definedName>
    <definedName name="matDetritus">Detritus!$C$2:$E$34</definedName>
    <definedName name="matDiet">Diets!$B$2:$AE$34</definedName>
    <definedName name="matDiscards">Discards!$C$2:$C$33</definedName>
    <definedName name="matFishery">Fishing!$C$2:$C$33</definedName>
    <definedName name="matFishing">Fishing!#REF!</definedName>
    <definedName name="matMort">Mortalities!$A$1:$AJ$33</definedName>
    <definedName name="matOut">MainOutputs!$A$2:$I$34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2" i="1"/>
  <c r="C39" i="78"/>
  <c r="D39" i="78"/>
  <c r="E39" i="78"/>
  <c r="F39" i="78"/>
  <c r="G39" i="78"/>
  <c r="H39" i="78"/>
  <c r="I39" i="78"/>
  <c r="J39" i="78"/>
  <c r="K39" i="78"/>
  <c r="L39" i="78"/>
  <c r="M39" i="78"/>
  <c r="N39" i="78"/>
  <c r="O39" i="78"/>
  <c r="P39" i="78"/>
  <c r="Q39" i="78"/>
  <c r="R39" i="78"/>
  <c r="S39" i="78"/>
  <c r="T39" i="78"/>
  <c r="U39" i="78"/>
  <c r="V39" i="78"/>
  <c r="W39" i="78"/>
  <c r="X39" i="78"/>
  <c r="Y39" i="78"/>
  <c r="Z39" i="78"/>
  <c r="AA39" i="78"/>
  <c r="AB39" i="78"/>
  <c r="AC39" i="78"/>
  <c r="AD39" i="78"/>
  <c r="AE39" i="78"/>
  <c r="AF39" i="78"/>
  <c r="AG39" i="78"/>
  <c r="B39" i="78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<sst xmlns="http://schemas.openxmlformats.org/spreadsheetml/2006/main" count="1003" uniqueCount="232">
  <si>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</si>
  <si>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</si>
  <si>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</si>
  <si>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</si>
  <si>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</si>
  <si>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</si>
  <si>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</si>
  <si>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</si>
  <si>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</si>
  <si>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</si>
  <si>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</si>
  <si>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</si>
  <si>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</si>
  <si>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</si>
  <si>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</si>
  <si>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</si>
  <si>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</si>
  <si>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</si>
  <si>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</si>
  <si>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</si>
  <si>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</si>
  <si>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</si>
  <si>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</si>
  <si>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</si>
  <si>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</si>
  <si>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</si>
  <si>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</si>
  <si>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</si>
  <si>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</si>
  <si>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</si>
  <si>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</si>
  <si>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</si>
  <si>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</si>
  <si>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</si>
  <si>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</si>
  <si>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</si>
  <si>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</si>
  <si>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</si>
  <si>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</si>
  <si>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</si>
  <si>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</si>
  <si>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</si>
  <si>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</si>
  <si>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</si>
  <si>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</si>
  <si>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</si>
  <si>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</si>
  <si>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</si>
  <si>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</si>
  <si>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</si>
  <si>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</si>
  <si>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</si>
  <si>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</si>
  <si>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</si>
  <si>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</si>
  <si>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</si>
  <si>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</si>
  <si>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</si>
  <si>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</si>
  <si>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</si>
  <si>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</si>
  <si>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</si>
  <si>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</si>
  <si>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</si>
  <si>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</si>
  <si>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</si>
  <si>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</si>
  <si>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</si>
  <si>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</si>
  <si>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</si>
  <si>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</si>
  <si>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</si>
  <si>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</si>
  <si>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</si>
  <si>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</si>
  <si>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</si>
  <si>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</si>
  <si>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</si>
  <si>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</si>
  <si>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</si>
  <si>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</si>
  <si>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</si>
  <si>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</si>
  <si>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</si>
  <si>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</si>
  <si>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</si>
  <si>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</si>
  <si>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</si>
  <si>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</si>
  <si>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</si>
  <si>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</si>
  <si>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</si>
  <si>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</si>
  <si>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</si>
  <si>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</si>
  <si>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</si>
  <si>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</si>
  <si>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</si>
  <si>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</si>
  <si>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</si>
  <si>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</si>
  <si>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</si>
  <si>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</si>
  <si>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</si>
  <si>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</si>
  <si>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</si>
  <si>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</si>
  <si>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</si>
  <si>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</si>
  <si>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</si>
  <si>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</si>
  <si>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</si>
  <si>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</si>
  <si>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</si>
  <si>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</si>
  <si>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</si>
  <si>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</si>
  <si>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</si>
  <si>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</si>
  <si>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</si>
  <si>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</si>
  <si>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</si>
  <si>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</si>
  <si>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</si>
  <si>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</si>
  <si>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</si>
  <si>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</si>
  <si>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</si>
  <si>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</si>
  <si>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</si>
  <si>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</si>
  <si>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</si>
  <si>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</si>
  <si>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</si>
  <si>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</si>
  <si>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</si>
  <si>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</si>
  <si>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</si>
  <si>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</si>
  <si>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</si>
  <si>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</si>
  <si>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</si>
  <si>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</si>
  <si>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</si>
  <si>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</si>
  <si>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</si>
  <si>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</si>
  <si>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</si>
  <si>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</si>
  <si>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</si>
  <si>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</si>
  <si>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</si>
  <si>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</si>
  <si>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</si>
  <si>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</si>
  <si>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</si>
  <si>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</si>
  <si>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</si>
  <si>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</si>
  <si>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</si>
  <si>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</si>
  <si>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</si>
  <si>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</si>
  <si>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</si>
  <si>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</si>
  <si>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</si>
  <si>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</si>
  <si>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</si>
  <si>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</si>
  <si>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</si>
  <si>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</si>
  <si>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</si>
  <si>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</si>
  <si>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</si>
  <si>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</si>
  <si>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</si>
  <si>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</si>
  <si>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</si>
  <si>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</si>
  <si>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</si>
  <si>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</si>
  <si>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</si>
  <si>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</si>
  <si>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</si>
  <si>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</si>
  <si>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Bamboung</t>
  </si>
  <si>
    <t>Senegal</t>
  </si>
  <si>
    <t>BOX(-16.5672635795825 13.7442346816745,-16.4970523691589 13.838990954842)</t>
  </si>
  <si>
    <t>coastal lagoon</t>
  </si>
  <si>
    <t>WetWeight</t>
  </si>
  <si>
    <t>; 08/06/2011 10:16:43; 08/06/2011 15:50:20; 08/06/2011 15:50:59; 08/06/2011 15:51:47; 08/06/2011 15:52:45; 08/06/2011 15:54:39; 08/06/2011 15:55:32; 08/06/2011 16:06:59; 10/06/2011 11:13:45</t>
  </si>
  <si>
    <t>Colléter M.,Gascuel D.,Ecoutin J.-M.,Tito de Morais L.(2012). Modelling trophic flows in ecosystems to assess the efficiency of marine protected area (MPA), a case study on the coast of Senegal Ecological Modelling. pp 1-13</t>
  </si>
  <si>
    <t>Requins</t>
  </si>
  <si>
    <t>Dauphins</t>
  </si>
  <si>
    <t>Oiseaux</t>
  </si>
  <si>
    <t>Raies</t>
  </si>
  <si>
    <t>Otolithes +</t>
  </si>
  <si>
    <t>Barracudas +</t>
  </si>
  <si>
    <t>Grand capitaine</t>
  </si>
  <si>
    <t>Vivaneaux +</t>
  </si>
  <si>
    <t>Tétrodon +</t>
  </si>
  <si>
    <t>Diagramme +</t>
  </si>
  <si>
    <t>Pompaneau +</t>
  </si>
  <si>
    <t>Carangues</t>
  </si>
  <si>
    <t>Mâchoirons mari</t>
  </si>
  <si>
    <t>Elops</t>
  </si>
  <si>
    <t>Breton africain</t>
  </si>
  <si>
    <t>Sole-langue +</t>
  </si>
  <si>
    <t>Sardinelle +</t>
  </si>
  <si>
    <t>Gerres</t>
  </si>
  <si>
    <t>Ethmalose</t>
  </si>
  <si>
    <t>Mulets</t>
  </si>
  <si>
    <t>Pomadasys</t>
  </si>
  <si>
    <t>Tilapias</t>
  </si>
  <si>
    <t>Petits benthoph</t>
  </si>
  <si>
    <t>Crevettes</t>
  </si>
  <si>
    <t>Crabes</t>
  </si>
  <si>
    <t>Macrobenthos</t>
  </si>
  <si>
    <t>Meiobenthos</t>
  </si>
  <si>
    <t>Zooplancton</t>
  </si>
  <si>
    <t>Phytoplancton</t>
  </si>
  <si>
    <t>Microphytobenth</t>
  </si>
  <si>
    <t>Detritus</t>
  </si>
  <si>
    <t>detritus_TerminalBenthic</t>
  </si>
  <si>
    <t>Fleet1</t>
  </si>
  <si>
    <t>Import</t>
  </si>
  <si>
    <t>export</t>
  </si>
  <si>
    <t>sum</t>
  </si>
  <si>
    <t>TOTAL</t>
  </si>
  <si>
    <t>sum--&gt;&gt;</t>
  </si>
  <si>
    <t>F Fleet1</t>
  </si>
  <si>
    <t>&lt;&lt;--assimilation fraction not provided; (Jruz assumption)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</si>
</sst>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3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theme="0" tint="-0.249977111117893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0" fillId="4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13" fillId="0" borderId="0" xfId="0" applyNumberFormat="1" applyFont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topLeftCell="A50"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87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3" x14ac:dyDescent="0.15">
      <c r="B49" s="48" t="s">
        <v>44</v>
      </c>
      <c r="C49" s="32">
        <v>5</v>
      </c>
    </row>
    <row r="50" spans="2:3" x14ac:dyDescent="0.15">
      <c r="B50" s="48"/>
      <c r="C50" s="32"/>
    </row>
    <row r="51" spans="2:3" ht="14" thickBot="1" x14ac:dyDescent="0.2">
      <c r="B51" s="49" t="s">
        <v>73</v>
      </c>
      <c r="C51" s="33">
        <v>7</v>
      </c>
    </row>
    <row r="53" spans="2:3" x14ac:dyDescent="0.15">
      <c r="B53" s="174" t="s">
        <v>171</v>
      </c>
      <c r="C53">
        <v>179</v>
      </c>
    </row>
    <row r="54" spans="2:3" x14ac:dyDescent="0.15">
      <c r="B54" s="174" t="s">
        <v>172</v>
      </c>
      <c r="C54" s="174" t="s">
        <v>185</v>
      </c>
    </row>
    <row r="55" spans="2:3" x14ac:dyDescent="0.15">
      <c r="B55" s="174" t="s">
        <v>173</v>
      </c>
      <c r="C55" s="174" t="s">
        <v>186</v>
      </c>
    </row>
    <row r="56" spans="2:3" x14ac:dyDescent="0.15">
      <c r="B56" s="174" t="s">
        <v>174</v>
      </c>
      <c r="C56">
        <v>4.7</v>
      </c>
    </row>
    <row r="57" spans="2:3" x14ac:dyDescent="0.15">
      <c r="B57" s="174" t="s">
        <v>175</v>
      </c>
      <c r="C57" s="174" t="s">
        <v>187</v>
      </c>
    </row>
    <row r="58" spans="2:3" x14ac:dyDescent="0.15">
      <c r="B58" s="174" t="s">
        <v>176</v>
      </c>
      <c r="C58" s="174" t="s">
        <v>188</v>
      </c>
    </row>
    <row r="59" spans="2:3" x14ac:dyDescent="0.15">
      <c r="B59" s="174" t="s">
        <v>177</v>
      </c>
      <c r="C59" s="174" t="s">
        <v>189</v>
      </c>
    </row>
    <row r="60" spans="2:3" x14ac:dyDescent="0.15">
      <c r="B60" s="174" t="s">
        <v>178</v>
      </c>
      <c r="C60" s="174" t="s">
        <v>190</v>
      </c>
    </row>
    <row r="61" spans="2:3" x14ac:dyDescent="0.15">
      <c r="B61" s="174" t="s">
        <v>179</v>
      </c>
      <c r="C61">
        <v>31</v>
      </c>
    </row>
    <row r="62" spans="2:3" x14ac:dyDescent="0.15">
      <c r="B62" s="174" t="s">
        <v>180</v>
      </c>
      <c r="C62">
        <v>1</v>
      </c>
    </row>
    <row r="63" spans="2:3" x14ac:dyDescent="0.15">
      <c r="B63" s="174" t="s">
        <v>181</v>
      </c>
      <c r="C63">
        <v>2003</v>
      </c>
    </row>
    <row r="64" spans="2:3" x14ac:dyDescent="0.15">
      <c r="B64" s="174" t="s">
        <v>182</v>
      </c>
      <c r="C64">
        <v>0</v>
      </c>
    </row>
    <row r="65" spans="2:3" x14ac:dyDescent="0.15">
      <c r="B65" s="174" t="s">
        <v>183</v>
      </c>
      <c r="C65" s="174" t="s">
        <v>191</v>
      </c>
    </row>
    <row r="66" spans="2:3" x14ac:dyDescent="0.15">
      <c r="B66" s="174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0" activePane="bottomLeft" state="frozenSplit"/>
      <selection activeCell="E1" sqref="E1"/>
      <selection pane="bottomLeft" activeCell="E30" sqref="E30:F31"/>
    </sheetView>
  </sheetViews>
  <sheetFormatPr baseColWidth="10" defaultColWidth="8.83203125" defaultRowHeight="15" customHeight="1" x14ac:dyDescent="0.15"/>
  <cols>
    <col min="1" max="1" width="22.5" style="79" customWidth="1"/>
    <col min="2" max="3" width="9.6640625" style="79" customWidth="1"/>
    <col min="4" max="4" width="14.33203125" style="79" customWidth="1"/>
    <col min="5" max="5" width="21.6640625" style="79" bestFit="1" customWidth="1"/>
    <col min="6" max="14" width="8.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75" t="s">
        <v>192</v>
      </c>
      <c r="F2" s="79">
        <v>0</v>
      </c>
      <c r="G2" s="79">
        <v>1E-3</v>
      </c>
      <c r="H2" s="79">
        <v>0.32900000000000001</v>
      </c>
      <c r="I2" s="6">
        <v>4.9909999999999997</v>
      </c>
      <c r="J2"/>
      <c r="K2"/>
      <c r="L2" s="6">
        <v>0</v>
      </c>
      <c r="M2" s="60">
        <v>0.2</v>
      </c>
      <c r="N2" s="79">
        <v>0</v>
      </c>
      <c r="P2" s="60" t="s">
        <v>231</v>
      </c>
    </row>
    <row r="3" spans="1:46" ht="15" customHeight="1" x14ac:dyDescent="0.15">
      <c r="A3" s="1" t="s">
        <v>9</v>
      </c>
      <c r="B3" s="4">
        <v>30</v>
      </c>
      <c r="C3" s="79">
        <v>2</v>
      </c>
      <c r="D3"/>
      <c r="E3" s="175" t="s">
        <v>193</v>
      </c>
      <c r="F3" s="79">
        <v>0</v>
      </c>
      <c r="G3" s="79">
        <v>4.75E-4</v>
      </c>
      <c r="H3" s="79">
        <v>7.0000000000000007E-2</v>
      </c>
      <c r="I3" s="79">
        <v>12.12</v>
      </c>
      <c r="J3"/>
      <c r="K3"/>
      <c r="L3" s="79">
        <v>0</v>
      </c>
      <c r="M3" s="60">
        <v>0.2</v>
      </c>
      <c r="N3" s="79">
        <v>0</v>
      </c>
      <c r="P3" s="60" t="s">
        <v>231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75" t="s">
        <v>194</v>
      </c>
      <c r="F4" s="79">
        <v>0</v>
      </c>
      <c r="G4" s="79">
        <v>2.3999999999999998E-3</v>
      </c>
      <c r="H4" s="79">
        <v>0.5</v>
      </c>
      <c r="I4" s="79">
        <v>79.5</v>
      </c>
      <c r="J4"/>
      <c r="K4"/>
      <c r="L4" s="79">
        <v>0</v>
      </c>
      <c r="M4" s="60">
        <v>0.2</v>
      </c>
      <c r="N4" s="79">
        <v>0</v>
      </c>
      <c r="P4" s="60" t="s">
        <v>231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9">
        <v>4</v>
      </c>
      <c r="D5"/>
      <c r="E5" s="175" t="s">
        <v>195</v>
      </c>
      <c r="F5" s="79">
        <v>0</v>
      </c>
      <c r="G5" s="79">
        <v>0.09</v>
      </c>
      <c r="H5" s="79">
        <v>0.51500000000000001</v>
      </c>
      <c r="I5" s="79">
        <v>3.391</v>
      </c>
      <c r="J5"/>
      <c r="K5"/>
      <c r="L5" s="79">
        <v>0</v>
      </c>
      <c r="M5" s="60">
        <v>0.2</v>
      </c>
      <c r="N5" s="79">
        <v>0</v>
      </c>
      <c r="P5" s="60" t="s">
        <v>231</v>
      </c>
      <c r="Q5" s="71"/>
      <c r="R5" s="71"/>
    </row>
    <row r="6" spans="1:46" ht="15" customHeight="1" thickBot="1" x14ac:dyDescent="0.2">
      <c r="B6" s="1"/>
      <c r="C6" s="79">
        <v>5</v>
      </c>
      <c r="D6"/>
      <c r="E6" s="175" t="s">
        <v>196</v>
      </c>
      <c r="F6" s="79">
        <v>0</v>
      </c>
      <c r="G6" s="79">
        <v>8.8999999999999996E-2</v>
      </c>
      <c r="H6" s="79">
        <v>0.55100000000000005</v>
      </c>
      <c r="I6" s="79">
        <v>7.1689999999999996</v>
      </c>
      <c r="J6"/>
      <c r="K6"/>
      <c r="L6" s="79">
        <v>0</v>
      </c>
      <c r="M6" s="60">
        <v>0.2</v>
      </c>
      <c r="N6" s="79">
        <v>0</v>
      </c>
      <c r="P6" s="60" t="s">
        <v>231</v>
      </c>
      <c r="Q6" s="71"/>
      <c r="R6" s="71"/>
      <c r="W6" s="35" t="s">
        <v>31</v>
      </c>
      <c r="X6" s="51">
        <f>MAX(MainOutputs!G:G)</f>
        <v>0.91029179096221924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336</v>
      </c>
      <c r="C7" s="79">
        <v>6</v>
      </c>
      <c r="D7"/>
      <c r="E7" s="175" t="s">
        <v>197</v>
      </c>
      <c r="F7" s="79">
        <v>0</v>
      </c>
      <c r="G7" s="79">
        <v>0.26400000000000001</v>
      </c>
      <c r="H7" s="79">
        <v>0.49</v>
      </c>
      <c r="I7" s="79">
        <v>6.1820000000000004</v>
      </c>
      <c r="J7"/>
      <c r="K7"/>
      <c r="L7" s="79">
        <v>0</v>
      </c>
      <c r="M7" s="60">
        <v>0.2</v>
      </c>
      <c r="N7" s="79">
        <v>0</v>
      </c>
      <c r="P7" s="60" t="s">
        <v>231</v>
      </c>
      <c r="Q7" s="71"/>
      <c r="R7" s="71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54</v>
      </c>
      <c r="C8" s="79">
        <v>7</v>
      </c>
      <c r="D8"/>
      <c r="E8" s="175" t="s">
        <v>198</v>
      </c>
      <c r="F8" s="79">
        <v>0</v>
      </c>
      <c r="G8" s="79">
        <v>0.15</v>
      </c>
      <c r="H8" s="79">
        <v>0.52100000000000002</v>
      </c>
      <c r="I8" s="79">
        <v>6.5350000000000001</v>
      </c>
      <c r="J8"/>
      <c r="K8"/>
      <c r="L8" s="79">
        <v>0</v>
      </c>
      <c r="M8" s="60">
        <v>0.2</v>
      </c>
      <c r="N8" s="79">
        <v>0</v>
      </c>
      <c r="P8" s="60" t="s">
        <v>231</v>
      </c>
      <c r="Q8" s="71"/>
      <c r="R8" s="71"/>
    </row>
    <row r="9" spans="1:46" ht="15" customHeight="1" x14ac:dyDescent="0.15">
      <c r="B9" s="1"/>
      <c r="C9" s="79">
        <v>8</v>
      </c>
      <c r="D9"/>
      <c r="E9" s="175" t="s">
        <v>199</v>
      </c>
      <c r="F9" s="79">
        <v>0</v>
      </c>
      <c r="G9" s="79">
        <v>3.4000000000000002E-2</v>
      </c>
      <c r="H9" s="79">
        <v>0.52900000000000003</v>
      </c>
      <c r="I9" s="79">
        <v>9.8870000000000005</v>
      </c>
      <c r="J9"/>
      <c r="K9"/>
      <c r="L9" s="79">
        <v>0</v>
      </c>
      <c r="M9" s="60">
        <v>0.2</v>
      </c>
      <c r="N9" s="79">
        <v>0</v>
      </c>
      <c r="P9" s="60" t="s">
        <v>231</v>
      </c>
      <c r="Q9" s="71"/>
      <c r="R9" s="71"/>
    </row>
    <row r="10" spans="1:46" ht="15" customHeight="1" x14ac:dyDescent="0.15">
      <c r="B10" s="1"/>
      <c r="C10" s="79">
        <v>9</v>
      </c>
      <c r="D10"/>
      <c r="E10" s="175" t="s">
        <v>200</v>
      </c>
      <c r="F10" s="79">
        <v>0</v>
      </c>
      <c r="G10" s="79">
        <v>4.4999999999999998E-2</v>
      </c>
      <c r="H10" s="79">
        <v>0.50900000000000001</v>
      </c>
      <c r="I10" s="79">
        <v>6.1340000000000003</v>
      </c>
      <c r="J10"/>
      <c r="K10"/>
      <c r="L10" s="79">
        <v>0</v>
      </c>
      <c r="M10" s="60">
        <v>0.2</v>
      </c>
      <c r="N10" s="79">
        <v>0</v>
      </c>
      <c r="P10" s="60" t="s">
        <v>231</v>
      </c>
    </row>
    <row r="11" spans="1:46" ht="15" customHeight="1" x14ac:dyDescent="0.15">
      <c r="C11" s="79">
        <v>10</v>
      </c>
      <c r="D11"/>
      <c r="E11" s="175" t="s">
        <v>201</v>
      </c>
      <c r="F11" s="79">
        <v>0</v>
      </c>
      <c r="G11" s="79">
        <v>8.1000000000000003E-2</v>
      </c>
      <c r="H11" s="79">
        <v>0.69</v>
      </c>
      <c r="I11" s="79">
        <v>10.625999999999999</v>
      </c>
      <c r="J11"/>
      <c r="K11"/>
      <c r="L11" s="79">
        <v>0</v>
      </c>
      <c r="M11" s="60">
        <v>0.2</v>
      </c>
      <c r="N11" s="79">
        <v>0</v>
      </c>
      <c r="P11" s="60" t="s">
        <v>231</v>
      </c>
    </row>
    <row r="12" spans="1:46" ht="15" customHeight="1" x14ac:dyDescent="0.15">
      <c r="C12" s="79">
        <v>11</v>
      </c>
      <c r="D12"/>
      <c r="E12" s="175" t="s">
        <v>202</v>
      </c>
      <c r="F12" s="79">
        <v>0</v>
      </c>
      <c r="G12" s="79">
        <v>0.113</v>
      </c>
      <c r="H12" s="79">
        <v>0.51700000000000002</v>
      </c>
      <c r="I12" s="79">
        <v>6.4119999999999999</v>
      </c>
      <c r="J12"/>
      <c r="K12"/>
      <c r="L12" s="79">
        <v>0</v>
      </c>
      <c r="M12" s="60">
        <v>0.2</v>
      </c>
      <c r="N12" s="79">
        <v>0</v>
      </c>
      <c r="P12" s="60" t="s">
        <v>231</v>
      </c>
    </row>
    <row r="13" spans="1:46" ht="15" customHeight="1" x14ac:dyDescent="0.15">
      <c r="C13" s="79">
        <v>12</v>
      </c>
      <c r="D13"/>
      <c r="E13" s="175" t="s">
        <v>203</v>
      </c>
      <c r="F13" s="79">
        <v>0</v>
      </c>
      <c r="G13" s="79">
        <v>3.4000000000000002E-2</v>
      </c>
      <c r="H13" s="79">
        <v>0.78700000000000003</v>
      </c>
      <c r="I13" s="79">
        <v>17.486999999999998</v>
      </c>
      <c r="J13"/>
      <c r="K13"/>
      <c r="L13" s="79">
        <v>0</v>
      </c>
      <c r="M13" s="60">
        <v>0.2</v>
      </c>
      <c r="N13" s="79">
        <v>0</v>
      </c>
      <c r="P13" s="60" t="s">
        <v>231</v>
      </c>
    </row>
    <row r="14" spans="1:46" ht="15" customHeight="1" x14ac:dyDescent="0.15">
      <c r="C14" s="79">
        <v>13</v>
      </c>
      <c r="D14"/>
      <c r="E14" s="175" t="s">
        <v>204</v>
      </c>
      <c r="F14" s="79">
        <v>0</v>
      </c>
      <c r="G14" s="79">
        <v>0.36099999999999999</v>
      </c>
      <c r="H14" s="79">
        <v>0.51200000000000001</v>
      </c>
      <c r="I14" s="79">
        <v>9.7390000000000008</v>
      </c>
      <c r="J14"/>
      <c r="K14"/>
      <c r="L14" s="79">
        <v>0</v>
      </c>
      <c r="M14" s="60">
        <v>0.2</v>
      </c>
      <c r="N14" s="79">
        <v>0</v>
      </c>
      <c r="P14" s="60" t="s">
        <v>231</v>
      </c>
    </row>
    <row r="15" spans="1:46" ht="15" customHeight="1" x14ac:dyDescent="0.15">
      <c r="C15" s="79">
        <v>14</v>
      </c>
      <c r="D15"/>
      <c r="E15" s="175" t="s">
        <v>205</v>
      </c>
      <c r="F15" s="79">
        <v>0</v>
      </c>
      <c r="G15" s="79">
        <v>0.11799999999999999</v>
      </c>
      <c r="H15" s="79">
        <v>0.58799999999999997</v>
      </c>
      <c r="I15" s="79">
        <v>10.292999999999999</v>
      </c>
      <c r="J15"/>
      <c r="K15"/>
      <c r="L15" s="79">
        <v>0</v>
      </c>
      <c r="M15" s="60">
        <v>0.2</v>
      </c>
      <c r="N15" s="79">
        <v>0</v>
      </c>
      <c r="P15" s="60" t="s">
        <v>231</v>
      </c>
    </row>
    <row r="16" spans="1:46" ht="15" customHeight="1" x14ac:dyDescent="0.15">
      <c r="C16" s="79">
        <v>15</v>
      </c>
      <c r="D16"/>
      <c r="E16" s="175" t="s">
        <v>206</v>
      </c>
      <c r="F16" s="79">
        <v>0</v>
      </c>
      <c r="G16" s="79">
        <v>0.04</v>
      </c>
      <c r="H16" s="79">
        <v>0.999</v>
      </c>
      <c r="I16" s="79">
        <v>18.268999999999998</v>
      </c>
      <c r="J16"/>
      <c r="K16"/>
      <c r="L16" s="79">
        <v>0</v>
      </c>
      <c r="M16" s="60">
        <v>0.2</v>
      </c>
      <c r="N16" s="79">
        <v>0</v>
      </c>
      <c r="P16" s="60" t="s">
        <v>231</v>
      </c>
    </row>
    <row r="17" spans="1:22" ht="15" customHeight="1" x14ac:dyDescent="0.15">
      <c r="C17" s="79">
        <v>16</v>
      </c>
      <c r="D17"/>
      <c r="E17" s="175" t="s">
        <v>207</v>
      </c>
      <c r="F17" s="79">
        <v>0</v>
      </c>
      <c r="G17" s="79">
        <v>0.10199999999999999</v>
      </c>
      <c r="H17" s="79">
        <v>0.502</v>
      </c>
      <c r="I17" s="79">
        <v>6.5129999999999999</v>
      </c>
      <c r="J17"/>
      <c r="K17"/>
      <c r="L17" s="79">
        <v>0</v>
      </c>
      <c r="M17" s="60">
        <v>0.2</v>
      </c>
      <c r="N17" s="79">
        <v>0</v>
      </c>
      <c r="P17" s="60" t="s">
        <v>231</v>
      </c>
      <c r="V17" s="1" t="s">
        <v>30</v>
      </c>
    </row>
    <row r="18" spans="1:22" ht="15" customHeight="1" x14ac:dyDescent="0.15">
      <c r="C18" s="79">
        <v>17</v>
      </c>
      <c r="D18"/>
      <c r="E18" s="175" t="s">
        <v>208</v>
      </c>
      <c r="F18" s="79">
        <v>0</v>
      </c>
      <c r="G18" s="79">
        <v>0.441</v>
      </c>
      <c r="H18" s="79">
        <v>0.83899999999999997</v>
      </c>
      <c r="I18" s="79">
        <v>18.119</v>
      </c>
      <c r="J18"/>
      <c r="K18"/>
      <c r="L18" s="79">
        <v>0</v>
      </c>
      <c r="M18" s="60">
        <v>0.2</v>
      </c>
      <c r="N18" s="79">
        <v>0</v>
      </c>
      <c r="P18" s="60" t="s">
        <v>231</v>
      </c>
      <c r="V18" s="1"/>
    </row>
    <row r="19" spans="1:22" ht="15" customHeight="1" x14ac:dyDescent="0.15">
      <c r="C19" s="79">
        <v>18</v>
      </c>
      <c r="D19"/>
      <c r="E19" s="175" t="s">
        <v>209</v>
      </c>
      <c r="F19" s="79">
        <v>0</v>
      </c>
      <c r="G19" s="79">
        <v>0.33</v>
      </c>
      <c r="H19" s="79">
        <v>0.79200000000000004</v>
      </c>
      <c r="I19" s="79">
        <v>13.635999999999999</v>
      </c>
      <c r="J19"/>
      <c r="K19"/>
      <c r="L19" s="79">
        <v>0</v>
      </c>
      <c r="M19" s="60">
        <v>0.2</v>
      </c>
      <c r="N19" s="79">
        <v>0</v>
      </c>
      <c r="P19" s="60" t="s">
        <v>231</v>
      </c>
    </row>
    <row r="20" spans="1:22" ht="15" customHeight="1" thickBot="1" x14ac:dyDescent="0.2">
      <c r="C20" s="79">
        <v>19</v>
      </c>
      <c r="D20"/>
      <c r="E20" s="175" t="s">
        <v>210</v>
      </c>
      <c r="F20" s="79">
        <v>0</v>
      </c>
      <c r="G20" s="79">
        <v>4.0439999999999996</v>
      </c>
      <c r="H20" s="79">
        <v>0.74299999999999999</v>
      </c>
      <c r="I20" s="79">
        <v>28.978000000000002</v>
      </c>
      <c r="J20"/>
      <c r="K20"/>
      <c r="L20" s="79">
        <v>0</v>
      </c>
      <c r="M20" s="60">
        <v>0.2</v>
      </c>
      <c r="N20" s="79">
        <v>0</v>
      </c>
      <c r="P20" s="60" t="s">
        <v>231</v>
      </c>
    </row>
    <row r="21" spans="1:22" ht="15" customHeight="1" thickBot="1" x14ac:dyDescent="0.2">
      <c r="A21" s="46" t="s">
        <v>137</v>
      </c>
      <c r="B21" s="97"/>
      <c r="C21" s="79">
        <v>20</v>
      </c>
      <c r="D21"/>
      <c r="E21" s="175" t="s">
        <v>211</v>
      </c>
      <c r="F21" s="79">
        <v>0</v>
      </c>
      <c r="G21" s="79">
        <v>2.4540000000000002</v>
      </c>
      <c r="H21" s="79">
        <v>0.70899999999999996</v>
      </c>
      <c r="I21" s="79">
        <v>28.478999999999999</v>
      </c>
      <c r="J21"/>
      <c r="K21"/>
      <c r="L21" s="79">
        <v>0</v>
      </c>
      <c r="M21" s="60">
        <v>0.2</v>
      </c>
      <c r="N21" s="79">
        <v>0</v>
      </c>
      <c r="P21" s="60" t="s">
        <v>231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75" t="s">
        <v>212</v>
      </c>
      <c r="F22" s="79">
        <v>0</v>
      </c>
      <c r="G22" s="79">
        <v>0.14099999999999999</v>
      </c>
      <c r="H22" s="79">
        <v>0.67300000000000004</v>
      </c>
      <c r="I22" s="79">
        <v>9.7119999999999997</v>
      </c>
      <c r="J22"/>
      <c r="K22"/>
      <c r="L22" s="79">
        <v>0</v>
      </c>
      <c r="M22" s="60">
        <v>0.2</v>
      </c>
      <c r="N22" s="79">
        <v>0</v>
      </c>
      <c r="P22" s="60" t="s">
        <v>231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75" t="s">
        <v>213</v>
      </c>
      <c r="F23" s="79">
        <v>0</v>
      </c>
      <c r="G23" s="79">
        <v>0.20200000000000001</v>
      </c>
      <c r="H23" s="79">
        <v>0.73699999999999999</v>
      </c>
      <c r="I23" s="79">
        <v>33.926000000000002</v>
      </c>
      <c r="J23"/>
      <c r="K23"/>
      <c r="L23" s="79">
        <v>0</v>
      </c>
      <c r="M23" s="60">
        <v>0.2</v>
      </c>
      <c r="N23" s="79">
        <v>0</v>
      </c>
      <c r="P23" s="60" t="s">
        <v>231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75" t="s">
        <v>214</v>
      </c>
      <c r="F24" s="79">
        <v>0</v>
      </c>
      <c r="G24" s="79">
        <v>0.69372343999999997</v>
      </c>
      <c r="H24" s="79">
        <v>1.9970000000000001</v>
      </c>
      <c r="I24" s="79">
        <v>19.887</v>
      </c>
      <c r="J24" s="79">
        <v>0.28000000000000003</v>
      </c>
      <c r="K24"/>
      <c r="L24" s="79">
        <v>0</v>
      </c>
      <c r="M24" s="60">
        <v>0.2</v>
      </c>
      <c r="N24" s="79">
        <v>0</v>
      </c>
      <c r="P24" s="60" t="s">
        <v>231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175" t="s">
        <v>215</v>
      </c>
      <c r="F25" s="79">
        <v>0</v>
      </c>
      <c r="G25" s="79">
        <v>3.1602269999999999</v>
      </c>
      <c r="H25" s="79">
        <v>4.6050000000000004</v>
      </c>
      <c r="I25" s="79">
        <v>22</v>
      </c>
      <c r="J25" s="79">
        <v>0.40500000000000003</v>
      </c>
      <c r="K25"/>
      <c r="L25" s="79">
        <v>0</v>
      </c>
      <c r="M25" s="60">
        <v>0.2</v>
      </c>
      <c r="N25" s="79">
        <v>0</v>
      </c>
      <c r="P25" s="60" t="s">
        <v>231</v>
      </c>
    </row>
    <row r="26" spans="1:22" ht="15" customHeight="1" x14ac:dyDescent="0.15">
      <c r="A26" s="102" t="s">
        <v>140</v>
      </c>
      <c r="C26" s="79">
        <v>25</v>
      </c>
      <c r="D26"/>
      <c r="E26" s="175" t="s">
        <v>216</v>
      </c>
      <c r="F26" s="79">
        <v>0</v>
      </c>
      <c r="G26" s="79">
        <v>3.98696685</v>
      </c>
      <c r="H26" s="79">
        <v>2.5</v>
      </c>
      <c r="I26" s="79">
        <v>8.5</v>
      </c>
      <c r="J26" s="79">
        <v>0.26</v>
      </c>
      <c r="K26"/>
      <c r="L26" s="79">
        <v>0</v>
      </c>
      <c r="M26" s="60">
        <v>0.2</v>
      </c>
      <c r="N26" s="79">
        <v>0</v>
      </c>
      <c r="P26" s="60" t="s">
        <v>231</v>
      </c>
    </row>
    <row r="27" spans="1:22" ht="15" customHeight="1" x14ac:dyDescent="0.15">
      <c r="C27" s="79">
        <v>26</v>
      </c>
      <c r="D27"/>
      <c r="E27" s="175" t="s">
        <v>217</v>
      </c>
      <c r="F27" s="79">
        <v>0</v>
      </c>
      <c r="G27" s="79">
        <v>59.556362200000002</v>
      </c>
      <c r="H27" s="79">
        <v>1.2</v>
      </c>
      <c r="I27" s="79">
        <v>10</v>
      </c>
      <c r="J27" s="79">
        <v>0.8</v>
      </c>
      <c r="K27"/>
      <c r="L27" s="79">
        <v>0</v>
      </c>
      <c r="M27" s="60">
        <v>0.2</v>
      </c>
      <c r="N27" s="79">
        <v>0</v>
      </c>
      <c r="P27" s="60" t="s">
        <v>231</v>
      </c>
    </row>
    <row r="28" spans="1:22" ht="15" customHeight="1" x14ac:dyDescent="0.15">
      <c r="C28" s="79">
        <v>27</v>
      </c>
      <c r="D28"/>
      <c r="E28" s="175" t="s">
        <v>218</v>
      </c>
      <c r="F28" s="79">
        <v>0</v>
      </c>
      <c r="G28" s="79">
        <v>8.2932050000000004</v>
      </c>
      <c r="H28" s="79">
        <v>4</v>
      </c>
      <c r="I28" s="79">
        <v>50</v>
      </c>
      <c r="J28" s="79">
        <v>0.8</v>
      </c>
      <c r="K28"/>
      <c r="L28" s="79">
        <v>0</v>
      </c>
      <c r="M28" s="60">
        <v>0.2</v>
      </c>
      <c r="N28" s="79">
        <v>0</v>
      </c>
      <c r="P28" s="60" t="s">
        <v>231</v>
      </c>
    </row>
    <row r="29" spans="1:22" customFormat="1" ht="15" customHeight="1" x14ac:dyDescent="0.15">
      <c r="C29" s="79">
        <v>28</v>
      </c>
      <c r="E29" s="175" t="s">
        <v>219</v>
      </c>
      <c r="F29" s="79">
        <v>0</v>
      </c>
      <c r="G29" s="79">
        <v>4.5468029999999997</v>
      </c>
      <c r="H29" s="79">
        <v>50</v>
      </c>
      <c r="I29" s="79">
        <v>150</v>
      </c>
      <c r="J29" s="79">
        <v>0.8</v>
      </c>
      <c r="L29" s="79">
        <v>0</v>
      </c>
      <c r="M29" s="60">
        <v>0.2</v>
      </c>
      <c r="N29" s="79">
        <v>0</v>
      </c>
      <c r="P29" s="60" t="s">
        <v>231</v>
      </c>
    </row>
    <row r="30" spans="1:22" customFormat="1" ht="15" customHeight="1" x14ac:dyDescent="0.15">
      <c r="C30" s="79">
        <v>29</v>
      </c>
      <c r="E30" s="175" t="s">
        <v>220</v>
      </c>
      <c r="F30" s="79">
        <v>1</v>
      </c>
      <c r="G30" s="79">
        <v>14.428255099999999</v>
      </c>
      <c r="H30" s="79">
        <v>138</v>
      </c>
      <c r="I30" s="79">
        <v>0</v>
      </c>
      <c r="J30" s="79">
        <v>0.5</v>
      </c>
      <c r="L30" s="79">
        <v>0</v>
      </c>
      <c r="M30" s="259"/>
      <c r="N30" s="79">
        <v>0</v>
      </c>
    </row>
    <row r="31" spans="1:22" customFormat="1" ht="15" customHeight="1" x14ac:dyDescent="0.15">
      <c r="C31" s="79">
        <v>30</v>
      </c>
      <c r="E31" s="175" t="s">
        <v>221</v>
      </c>
      <c r="F31" s="79">
        <v>1</v>
      </c>
      <c r="G31" s="79">
        <v>27.9742146</v>
      </c>
      <c r="H31" s="79">
        <v>15</v>
      </c>
      <c r="I31" s="79">
        <v>0</v>
      </c>
      <c r="J31" s="79">
        <v>0.5</v>
      </c>
      <c r="L31" s="79">
        <v>0</v>
      </c>
      <c r="M31" s="259"/>
      <c r="N31" s="79">
        <v>0</v>
      </c>
    </row>
    <row r="32" spans="1:22" customFormat="1" ht="15" customHeight="1" x14ac:dyDescent="0.15">
      <c r="C32" s="79">
        <v>31</v>
      </c>
      <c r="E32" s="175" t="s">
        <v>222</v>
      </c>
      <c r="F32" s="79">
        <v>2</v>
      </c>
      <c r="G32" s="79">
        <v>1</v>
      </c>
      <c r="H32" s="79">
        <v>0</v>
      </c>
      <c r="I32" s="79">
        <v>0</v>
      </c>
      <c r="J32" s="79">
        <v>0</v>
      </c>
      <c r="L32" s="79">
        <v>0</v>
      </c>
      <c r="M32" s="259"/>
      <c r="N32" s="79">
        <v>0</v>
      </c>
    </row>
    <row r="33" spans="3:14" customFormat="1" ht="15" customHeight="1" x14ac:dyDescent="0.15">
      <c r="C33" s="79">
        <v>32</v>
      </c>
      <c r="E33" s="175" t="s">
        <v>223</v>
      </c>
      <c r="F33" s="79">
        <v>2</v>
      </c>
      <c r="G33" s="79">
        <v>5</v>
      </c>
      <c r="H33" s="79">
        <v>0</v>
      </c>
      <c r="I33" s="79">
        <v>0</v>
      </c>
      <c r="J33" s="79">
        <v>0</v>
      </c>
      <c r="L33" s="79">
        <v>0</v>
      </c>
      <c r="M33" s="259"/>
      <c r="N33" s="79">
        <v>0</v>
      </c>
    </row>
    <row r="34" spans="3:14" customFormat="1" ht="15" customHeight="1" x14ac:dyDescent="0.15">
      <c r="C34" s="79">
        <v>33</v>
      </c>
      <c r="E34" s="175" t="s">
        <v>224</v>
      </c>
      <c r="F34" s="79">
        <v>3</v>
      </c>
      <c r="G34" s="79">
        <v>0</v>
      </c>
      <c r="H34" s="79">
        <v>0</v>
      </c>
      <c r="I34" s="79">
        <v>0</v>
      </c>
      <c r="J34" s="79">
        <v>0</v>
      </c>
      <c r="L34" s="79">
        <v>0</v>
      </c>
      <c r="M34" s="259"/>
      <c r="N34" s="79">
        <v>0</v>
      </c>
    </row>
    <row r="35" spans="3:14" customFormat="1" ht="15" customHeight="1" x14ac:dyDescent="0.15"/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46" sqref="J46"/>
    </sheetView>
  </sheetViews>
  <sheetFormatPr baseColWidth="10" defaultColWidth="8.83203125" defaultRowHeight="13" x14ac:dyDescent="0.15"/>
  <cols>
    <col min="1" max="1" width="21.6640625" style="139" bestFit="1" customWidth="1"/>
    <col min="2" max="33" width="13.6640625" style="139" customWidth="1"/>
    <col min="34" max="16384" width="8.83203125" style="139"/>
  </cols>
  <sheetData>
    <row r="1" spans="1:34" x14ac:dyDescent="0.15">
      <c r="A1" s="138" t="s">
        <v>19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/>
    </row>
    <row r="2" spans="1:34" customFormat="1" x14ac:dyDescent="0.15">
      <c r="A2" s="176" t="s">
        <v>192</v>
      </c>
      <c r="B2" s="139">
        <v>9.9989001209866918E-5</v>
      </c>
      <c r="C2" s="139">
        <v>0</v>
      </c>
      <c r="D2" s="139">
        <v>0</v>
      </c>
      <c r="E2" s="139">
        <v>0</v>
      </c>
      <c r="F2" s="139">
        <v>0</v>
      </c>
      <c r="G2" s="139">
        <v>0</v>
      </c>
      <c r="H2" s="139">
        <v>0</v>
      </c>
      <c r="I2" s="139">
        <v>0</v>
      </c>
      <c r="J2" s="139">
        <v>0</v>
      </c>
      <c r="K2" s="139">
        <v>0</v>
      </c>
      <c r="L2" s="139">
        <v>0</v>
      </c>
      <c r="M2" s="139">
        <v>0</v>
      </c>
      <c r="N2" s="139">
        <v>0</v>
      </c>
      <c r="O2" s="139">
        <v>0</v>
      </c>
      <c r="P2" s="139">
        <v>0</v>
      </c>
      <c r="Q2" s="139">
        <v>0</v>
      </c>
      <c r="R2" s="139">
        <v>0</v>
      </c>
      <c r="S2" s="139">
        <v>0</v>
      </c>
      <c r="T2" s="139">
        <v>0</v>
      </c>
      <c r="U2" s="139">
        <v>0</v>
      </c>
      <c r="V2" s="139">
        <v>0</v>
      </c>
      <c r="W2" s="139">
        <v>0</v>
      </c>
      <c r="X2" s="139">
        <v>0</v>
      </c>
      <c r="Y2" s="139">
        <v>0</v>
      </c>
      <c r="Z2" s="139">
        <v>0</v>
      </c>
      <c r="AA2" s="139">
        <v>0</v>
      </c>
      <c r="AB2" s="139">
        <v>0</v>
      </c>
      <c r="AC2" s="139">
        <v>0</v>
      </c>
      <c r="AD2" s="139">
        <v>0</v>
      </c>
      <c r="AE2" s="139">
        <v>0</v>
      </c>
      <c r="AF2" s="139">
        <v>0</v>
      </c>
      <c r="AG2" s="139">
        <v>0</v>
      </c>
    </row>
    <row r="3" spans="1:34" customFormat="1" x14ac:dyDescent="0.15">
      <c r="A3" s="176" t="s">
        <v>193</v>
      </c>
      <c r="B3" s="139">
        <v>0</v>
      </c>
      <c r="C3" s="139">
        <v>0</v>
      </c>
      <c r="D3" s="139">
        <v>0</v>
      </c>
      <c r="E3" s="139">
        <v>0</v>
      </c>
      <c r="F3" s="139">
        <v>0</v>
      </c>
      <c r="G3" s="139">
        <v>0</v>
      </c>
      <c r="H3" s="139">
        <v>0</v>
      </c>
      <c r="I3" s="139">
        <v>0</v>
      </c>
      <c r="J3" s="139">
        <v>0</v>
      </c>
      <c r="K3" s="139">
        <v>0</v>
      </c>
      <c r="L3" s="139">
        <v>0</v>
      </c>
      <c r="M3" s="139">
        <v>0</v>
      </c>
      <c r="N3" s="139">
        <v>0</v>
      </c>
      <c r="O3" s="139">
        <v>0</v>
      </c>
      <c r="P3" s="139">
        <v>0</v>
      </c>
      <c r="Q3" s="139">
        <v>0</v>
      </c>
      <c r="R3" s="139">
        <v>0</v>
      </c>
      <c r="S3" s="139">
        <v>0</v>
      </c>
      <c r="T3" s="139">
        <v>0</v>
      </c>
      <c r="U3" s="139">
        <v>0</v>
      </c>
      <c r="V3" s="139">
        <v>0</v>
      </c>
      <c r="W3" s="139">
        <v>0</v>
      </c>
      <c r="X3" s="139">
        <v>0</v>
      </c>
      <c r="Y3" s="139">
        <v>0</v>
      </c>
      <c r="Z3" s="139">
        <v>0</v>
      </c>
      <c r="AA3" s="139">
        <v>0</v>
      </c>
      <c r="AB3" s="139">
        <v>0</v>
      </c>
      <c r="AC3" s="139">
        <v>0</v>
      </c>
      <c r="AD3" s="139">
        <v>0</v>
      </c>
      <c r="AE3" s="139">
        <v>0</v>
      </c>
      <c r="AF3" s="139">
        <v>0</v>
      </c>
      <c r="AG3" s="139">
        <v>0</v>
      </c>
    </row>
    <row r="4" spans="1:34" customFormat="1" x14ac:dyDescent="0.15">
      <c r="A4" s="176" t="s">
        <v>194</v>
      </c>
      <c r="B4" s="139">
        <v>9.9989001209866914E-6</v>
      </c>
      <c r="C4" s="139">
        <v>0</v>
      </c>
      <c r="D4" s="139">
        <v>0</v>
      </c>
      <c r="E4" s="139">
        <v>0</v>
      </c>
      <c r="F4" s="139">
        <v>0</v>
      </c>
      <c r="G4" s="139">
        <v>0</v>
      </c>
      <c r="H4" s="139">
        <v>0</v>
      </c>
      <c r="I4" s="139">
        <v>0</v>
      </c>
      <c r="J4" s="139">
        <v>0</v>
      </c>
      <c r="K4" s="139">
        <v>0</v>
      </c>
      <c r="L4" s="139">
        <v>0</v>
      </c>
      <c r="M4" s="139">
        <v>0</v>
      </c>
      <c r="N4" s="139">
        <v>0</v>
      </c>
      <c r="O4" s="139">
        <v>0</v>
      </c>
      <c r="P4" s="139">
        <v>0</v>
      </c>
      <c r="Q4" s="139">
        <v>0</v>
      </c>
      <c r="R4" s="139">
        <v>0</v>
      </c>
      <c r="S4" s="139">
        <v>0</v>
      </c>
      <c r="T4" s="139">
        <v>0</v>
      </c>
      <c r="U4" s="139">
        <v>0</v>
      </c>
      <c r="V4" s="139">
        <v>0</v>
      </c>
      <c r="W4" s="139">
        <v>0</v>
      </c>
      <c r="X4" s="139">
        <v>0</v>
      </c>
      <c r="Y4" s="139">
        <v>0</v>
      </c>
      <c r="Z4" s="139">
        <v>0</v>
      </c>
      <c r="AA4" s="139">
        <v>0</v>
      </c>
      <c r="AB4" s="139">
        <v>0</v>
      </c>
      <c r="AC4" s="139">
        <v>0</v>
      </c>
      <c r="AD4" s="139">
        <v>0</v>
      </c>
      <c r="AE4" s="139">
        <v>0</v>
      </c>
      <c r="AF4" s="139">
        <v>0</v>
      </c>
      <c r="AG4" s="139">
        <v>0</v>
      </c>
    </row>
    <row r="5" spans="1:34" customFormat="1" x14ac:dyDescent="0.15">
      <c r="A5" s="176" t="s">
        <v>195</v>
      </c>
      <c r="B5" s="139">
        <v>7.9991200967893528E-2</v>
      </c>
      <c r="C5" s="139">
        <v>0</v>
      </c>
      <c r="D5" s="139">
        <v>0</v>
      </c>
      <c r="E5" s="139">
        <v>0</v>
      </c>
      <c r="F5" s="139">
        <v>1E-3</v>
      </c>
      <c r="G5" s="139">
        <v>1E-3</v>
      </c>
      <c r="H5" s="139">
        <v>4.0000000000000001E-3</v>
      </c>
      <c r="I5" s="139">
        <v>0</v>
      </c>
      <c r="J5" s="139">
        <v>0</v>
      </c>
      <c r="K5" s="139">
        <v>0</v>
      </c>
      <c r="L5" s="139">
        <v>0</v>
      </c>
      <c r="M5" s="139">
        <v>0</v>
      </c>
      <c r="N5" s="139">
        <v>0</v>
      </c>
      <c r="O5" s="139">
        <v>0</v>
      </c>
      <c r="P5" s="139">
        <v>0</v>
      </c>
      <c r="Q5" s="139">
        <v>0</v>
      </c>
      <c r="R5" s="139">
        <v>0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>
        <v>0</v>
      </c>
      <c r="AC5" s="139">
        <v>0</v>
      </c>
      <c r="AD5" s="139">
        <v>0</v>
      </c>
      <c r="AE5" s="139">
        <v>0</v>
      </c>
      <c r="AF5" s="139">
        <v>0</v>
      </c>
      <c r="AG5" s="139">
        <v>0</v>
      </c>
    </row>
    <row r="6" spans="1:34" customFormat="1" x14ac:dyDescent="0.15">
      <c r="A6" s="176" t="s">
        <v>196</v>
      </c>
      <c r="B6" s="139">
        <v>1.9997800241973382E-2</v>
      </c>
      <c r="C6" s="139">
        <v>0</v>
      </c>
      <c r="D6" s="139">
        <v>6.4002730783180081E-3</v>
      </c>
      <c r="E6" s="139">
        <v>0</v>
      </c>
      <c r="F6" s="139">
        <v>0</v>
      </c>
      <c r="G6" s="139">
        <v>8.0000000000000002E-3</v>
      </c>
      <c r="H6" s="139">
        <v>2E-3</v>
      </c>
      <c r="I6" s="139">
        <v>0</v>
      </c>
      <c r="J6" s="139">
        <v>0</v>
      </c>
      <c r="K6" s="139">
        <v>0</v>
      </c>
      <c r="L6" s="139">
        <v>0</v>
      </c>
      <c r="M6" s="139">
        <v>0</v>
      </c>
      <c r="N6" s="139">
        <v>0</v>
      </c>
      <c r="O6" s="139">
        <v>0</v>
      </c>
      <c r="P6" s="139">
        <v>0</v>
      </c>
      <c r="Q6" s="139">
        <v>0</v>
      </c>
      <c r="R6" s="139">
        <v>0</v>
      </c>
      <c r="S6" s="139">
        <v>0</v>
      </c>
      <c r="T6" s="139">
        <v>0</v>
      </c>
      <c r="U6" s="139">
        <v>0</v>
      </c>
      <c r="V6" s="139">
        <v>0</v>
      </c>
      <c r="W6" s="139">
        <v>0</v>
      </c>
      <c r="X6" s="139">
        <v>0</v>
      </c>
      <c r="Y6" s="139">
        <v>0</v>
      </c>
      <c r="Z6" s="139">
        <v>0</v>
      </c>
      <c r="AA6" s="139">
        <v>0</v>
      </c>
      <c r="AB6" s="139">
        <v>0</v>
      </c>
      <c r="AC6" s="139">
        <v>0</v>
      </c>
      <c r="AD6" s="139">
        <v>0</v>
      </c>
      <c r="AE6" s="139">
        <v>0</v>
      </c>
      <c r="AF6" s="139">
        <v>0</v>
      </c>
      <c r="AG6" s="139">
        <v>0</v>
      </c>
    </row>
    <row r="7" spans="1:34" customFormat="1" x14ac:dyDescent="0.15">
      <c r="A7" s="176" t="s">
        <v>197</v>
      </c>
      <c r="B7" s="139">
        <v>9.998900120986691E-3</v>
      </c>
      <c r="C7" s="139">
        <v>0</v>
      </c>
      <c r="D7" s="139">
        <v>2.133424359439336E-3</v>
      </c>
      <c r="E7" s="139">
        <v>0</v>
      </c>
      <c r="F7" s="139">
        <v>0</v>
      </c>
      <c r="G7" s="139">
        <v>0</v>
      </c>
      <c r="H7" s="139">
        <v>3.0000000000000001E-3</v>
      </c>
      <c r="I7" s="139">
        <v>0</v>
      </c>
      <c r="J7" s="139">
        <v>0</v>
      </c>
      <c r="K7" s="139">
        <v>0</v>
      </c>
      <c r="L7" s="139">
        <v>0</v>
      </c>
      <c r="M7" s="139">
        <v>0</v>
      </c>
      <c r="N7" s="139">
        <v>0</v>
      </c>
      <c r="O7" s="139">
        <v>0</v>
      </c>
      <c r="P7" s="139">
        <v>0</v>
      </c>
      <c r="Q7" s="139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139">
        <v>0</v>
      </c>
      <c r="X7" s="139">
        <v>0</v>
      </c>
      <c r="Y7" s="139">
        <v>0</v>
      </c>
      <c r="Z7" s="139">
        <v>0</v>
      </c>
      <c r="AA7" s="139">
        <v>0</v>
      </c>
      <c r="AB7" s="139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</row>
    <row r="8" spans="1:34" customFormat="1" x14ac:dyDescent="0.15">
      <c r="A8" s="176" t="s">
        <v>198</v>
      </c>
      <c r="B8" s="139">
        <v>9.998900120986691E-3</v>
      </c>
      <c r="C8" s="139">
        <v>0</v>
      </c>
      <c r="D8" s="139">
        <v>4.9068760267104725E-4</v>
      </c>
      <c r="E8" s="139">
        <v>0</v>
      </c>
      <c r="F8" s="139">
        <v>0</v>
      </c>
      <c r="G8" s="139">
        <v>5.0000000000000001E-3</v>
      </c>
      <c r="H8" s="139">
        <v>0</v>
      </c>
      <c r="I8" s="139">
        <v>0</v>
      </c>
      <c r="J8" s="139">
        <v>0</v>
      </c>
      <c r="K8" s="139">
        <v>0</v>
      </c>
      <c r="L8" s="139">
        <v>0</v>
      </c>
      <c r="M8" s="139">
        <v>0</v>
      </c>
      <c r="N8" s="139">
        <v>0</v>
      </c>
      <c r="O8" s="139">
        <v>0</v>
      </c>
      <c r="P8" s="139">
        <v>0</v>
      </c>
      <c r="Q8" s="139">
        <v>0</v>
      </c>
      <c r="R8" s="139">
        <v>0</v>
      </c>
      <c r="S8" s="139">
        <v>0</v>
      </c>
      <c r="T8" s="139">
        <v>0</v>
      </c>
      <c r="U8" s="139">
        <v>0</v>
      </c>
      <c r="V8" s="139">
        <v>0</v>
      </c>
      <c r="W8" s="139">
        <v>0</v>
      </c>
      <c r="X8" s="139">
        <v>0</v>
      </c>
      <c r="Y8" s="139">
        <v>0</v>
      </c>
      <c r="Z8" s="139">
        <v>0</v>
      </c>
      <c r="AA8" s="139">
        <v>0</v>
      </c>
      <c r="AB8" s="139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</row>
    <row r="9" spans="1:34" customFormat="1" x14ac:dyDescent="0.15">
      <c r="A9" s="176" t="s">
        <v>199</v>
      </c>
      <c r="B9" s="139">
        <v>5.8993510713821473E-2</v>
      </c>
      <c r="C9" s="139">
        <v>0.01</v>
      </c>
      <c r="D9" s="139">
        <v>0</v>
      </c>
      <c r="E9" s="139">
        <v>0</v>
      </c>
      <c r="F9" s="139">
        <v>2E-3</v>
      </c>
      <c r="G9" s="139">
        <v>1E-3</v>
      </c>
      <c r="H9" s="139">
        <v>1E-3</v>
      </c>
      <c r="I9" s="139">
        <v>0</v>
      </c>
      <c r="J9" s="139">
        <v>0</v>
      </c>
      <c r="K9" s="139">
        <v>0</v>
      </c>
      <c r="L9" s="139">
        <v>0</v>
      </c>
      <c r="M9" s="139">
        <v>0</v>
      </c>
      <c r="N9" s="139">
        <v>0</v>
      </c>
      <c r="O9" s="139">
        <v>0</v>
      </c>
      <c r="P9" s="139">
        <v>0</v>
      </c>
      <c r="Q9" s="139">
        <v>0</v>
      </c>
      <c r="R9" s="139">
        <v>0</v>
      </c>
      <c r="S9" s="139">
        <v>0</v>
      </c>
      <c r="T9" s="139">
        <v>0</v>
      </c>
      <c r="U9" s="139">
        <v>0</v>
      </c>
      <c r="V9" s="139">
        <v>2E-3</v>
      </c>
      <c r="W9" s="139">
        <v>0</v>
      </c>
      <c r="X9" s="139">
        <v>0</v>
      </c>
      <c r="Y9" s="139">
        <v>0</v>
      </c>
      <c r="Z9" s="139">
        <v>0</v>
      </c>
      <c r="AA9" s="139">
        <v>0</v>
      </c>
      <c r="AB9" s="139">
        <v>0</v>
      </c>
      <c r="AC9" s="139">
        <v>0</v>
      </c>
      <c r="AD9" s="139">
        <v>0</v>
      </c>
      <c r="AE9" s="139">
        <v>0</v>
      </c>
      <c r="AF9" s="139">
        <v>0</v>
      </c>
      <c r="AG9" s="139">
        <v>0</v>
      </c>
    </row>
    <row r="10" spans="1:34" customFormat="1" x14ac:dyDescent="0.15">
      <c r="A10" s="176" t="s">
        <v>200</v>
      </c>
      <c r="B10" s="139">
        <v>3.1996480387157411E-2</v>
      </c>
      <c r="C10" s="139">
        <v>0.01</v>
      </c>
      <c r="D10" s="139">
        <v>1.066712179719668E-3</v>
      </c>
      <c r="E10" s="139">
        <v>0</v>
      </c>
      <c r="F10" s="139">
        <v>0</v>
      </c>
      <c r="G10" s="139">
        <v>4.0000000000000001E-3</v>
      </c>
      <c r="H10" s="139">
        <v>5.0000000000000001E-3</v>
      </c>
      <c r="I10" s="139">
        <v>0</v>
      </c>
      <c r="J10" s="139">
        <v>0</v>
      </c>
      <c r="K10" s="139">
        <v>0</v>
      </c>
      <c r="L10" s="139">
        <v>0</v>
      </c>
      <c r="M10" s="139">
        <v>0</v>
      </c>
      <c r="N10" s="139">
        <v>0</v>
      </c>
      <c r="O10" s="139">
        <v>0</v>
      </c>
      <c r="P10" s="139">
        <v>0</v>
      </c>
      <c r="Q10" s="139">
        <v>0</v>
      </c>
      <c r="R10" s="139">
        <v>0</v>
      </c>
      <c r="S10" s="139">
        <v>0</v>
      </c>
      <c r="T10" s="139">
        <v>0</v>
      </c>
      <c r="U10" s="139">
        <v>0</v>
      </c>
      <c r="V10" s="139">
        <v>0</v>
      </c>
      <c r="W10" s="139">
        <v>0</v>
      </c>
      <c r="X10" s="139">
        <v>0</v>
      </c>
      <c r="Y10" s="139">
        <v>0</v>
      </c>
      <c r="Z10" s="139">
        <v>0</v>
      </c>
      <c r="AA10" s="139">
        <v>0</v>
      </c>
      <c r="AB10" s="139">
        <v>0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</row>
    <row r="11" spans="1:34" customFormat="1" x14ac:dyDescent="0.15">
      <c r="A11" s="176" t="s">
        <v>201</v>
      </c>
      <c r="B11" s="139">
        <v>5.9993400725920146E-2</v>
      </c>
      <c r="C11" s="139">
        <v>0.01</v>
      </c>
      <c r="D11" s="139">
        <v>1.066712179719668E-2</v>
      </c>
      <c r="E11" s="139">
        <v>0</v>
      </c>
      <c r="F11" s="139">
        <v>3.0000000000000001E-3</v>
      </c>
      <c r="G11" s="139">
        <v>5.0000000000000001E-3</v>
      </c>
      <c r="H11" s="139">
        <v>7.0000000000000001E-3</v>
      </c>
      <c r="I11" s="139">
        <v>0</v>
      </c>
      <c r="J11" s="139">
        <v>0</v>
      </c>
      <c r="K11" s="139">
        <v>0</v>
      </c>
      <c r="L11" s="139">
        <v>0</v>
      </c>
      <c r="M11" s="139">
        <v>0</v>
      </c>
      <c r="N11" s="139">
        <v>0</v>
      </c>
      <c r="O11" s="139">
        <v>2E-3</v>
      </c>
      <c r="P11" s="139">
        <v>0</v>
      </c>
      <c r="Q11" s="139">
        <v>0</v>
      </c>
      <c r="R11" s="139">
        <v>0</v>
      </c>
      <c r="S11" s="139">
        <v>0</v>
      </c>
      <c r="T11" s="139">
        <v>0</v>
      </c>
      <c r="U11" s="139">
        <v>0</v>
      </c>
      <c r="V11" s="139">
        <v>0</v>
      </c>
      <c r="W11" s="139">
        <v>0</v>
      </c>
      <c r="X11" s="139">
        <v>0</v>
      </c>
      <c r="Y11" s="139">
        <v>0</v>
      </c>
      <c r="Z11" s="139">
        <v>0</v>
      </c>
      <c r="AA11" s="139">
        <v>0</v>
      </c>
      <c r="AB11" s="139">
        <v>0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</row>
    <row r="12" spans="1:34" customFormat="1" x14ac:dyDescent="0.15">
      <c r="A12" s="176" t="s">
        <v>202</v>
      </c>
      <c r="B12" s="139">
        <v>4.1995380508144102E-2</v>
      </c>
      <c r="C12" s="139">
        <v>0</v>
      </c>
      <c r="D12" s="139">
        <v>0</v>
      </c>
      <c r="E12" s="139">
        <v>0</v>
      </c>
      <c r="F12" s="139">
        <v>3.0000000000000001E-3</v>
      </c>
      <c r="G12" s="139">
        <v>5.0000000000000001E-3</v>
      </c>
      <c r="H12" s="139">
        <v>5.0000000000000001E-3</v>
      </c>
      <c r="I12" s="139">
        <v>0</v>
      </c>
      <c r="J12" s="139">
        <v>0</v>
      </c>
      <c r="K12" s="139">
        <v>0</v>
      </c>
      <c r="L12" s="139">
        <v>0</v>
      </c>
      <c r="M12" s="139">
        <v>0</v>
      </c>
      <c r="N12" s="139">
        <v>0</v>
      </c>
      <c r="O12" s="139">
        <v>1E-3</v>
      </c>
      <c r="P12" s="139">
        <v>0</v>
      </c>
      <c r="Q12" s="139">
        <v>0</v>
      </c>
      <c r="R12" s="139">
        <v>0</v>
      </c>
      <c r="S12" s="139">
        <v>0</v>
      </c>
      <c r="T12" s="139">
        <v>0</v>
      </c>
      <c r="U12" s="139">
        <v>0</v>
      </c>
      <c r="V12" s="139">
        <v>0</v>
      </c>
      <c r="W12" s="139">
        <v>0</v>
      </c>
      <c r="X12" s="139">
        <v>0</v>
      </c>
      <c r="Y12" s="139">
        <v>0</v>
      </c>
      <c r="Z12" s="139">
        <v>0</v>
      </c>
      <c r="AA12" s="139">
        <v>0</v>
      </c>
      <c r="AB12" s="139">
        <v>0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</row>
    <row r="13" spans="1:34" customFormat="1" x14ac:dyDescent="0.15">
      <c r="A13" s="176" t="s">
        <v>203</v>
      </c>
      <c r="B13" s="139">
        <v>8.9990101088880212E-2</v>
      </c>
      <c r="C13" s="139">
        <v>0.01</v>
      </c>
      <c r="D13" s="139">
        <v>2.133424359439336E-2</v>
      </c>
      <c r="E13" s="139">
        <v>0</v>
      </c>
      <c r="F13" s="139">
        <v>3.0000000000000001E-3</v>
      </c>
      <c r="G13" s="139">
        <v>2E-3</v>
      </c>
      <c r="H13" s="139">
        <v>5.0000000000000001E-3</v>
      </c>
      <c r="I13" s="139">
        <v>0</v>
      </c>
      <c r="J13" s="139">
        <v>0</v>
      </c>
      <c r="K13" s="139">
        <v>0</v>
      </c>
      <c r="L13" s="139">
        <v>0</v>
      </c>
      <c r="M13" s="139">
        <v>0</v>
      </c>
      <c r="N13" s="139">
        <v>0</v>
      </c>
      <c r="O13" s="139">
        <v>1E-3</v>
      </c>
      <c r="P13" s="139">
        <v>0</v>
      </c>
      <c r="Q13" s="139">
        <v>0</v>
      </c>
      <c r="R13" s="139">
        <v>0</v>
      </c>
      <c r="S13" s="139">
        <v>0</v>
      </c>
      <c r="T13" s="139">
        <v>0</v>
      </c>
      <c r="U13" s="139">
        <v>0</v>
      </c>
      <c r="V13" s="139">
        <v>0</v>
      </c>
      <c r="W13" s="139">
        <v>0</v>
      </c>
      <c r="X13" s="139">
        <v>0</v>
      </c>
      <c r="Y13" s="139">
        <v>0</v>
      </c>
      <c r="Z13" s="139">
        <v>0</v>
      </c>
      <c r="AA13" s="139">
        <v>0</v>
      </c>
      <c r="AB13" s="139">
        <v>0</v>
      </c>
      <c r="AC13" s="139">
        <v>0</v>
      </c>
      <c r="AD13" s="139">
        <v>0</v>
      </c>
      <c r="AE13" s="139">
        <v>0</v>
      </c>
      <c r="AF13" s="139">
        <v>0</v>
      </c>
      <c r="AG13" s="139">
        <v>0</v>
      </c>
    </row>
    <row r="14" spans="1:34" customFormat="1" x14ac:dyDescent="0.15">
      <c r="A14" s="176" t="s">
        <v>204</v>
      </c>
      <c r="B14" s="139">
        <v>0.11998680145184029</v>
      </c>
      <c r="C14" s="139">
        <v>0</v>
      </c>
      <c r="D14" s="139">
        <v>1.2800546156636016E-2</v>
      </c>
      <c r="E14" s="139">
        <v>0</v>
      </c>
      <c r="F14" s="139">
        <v>0</v>
      </c>
      <c r="G14" s="139">
        <v>1.4999999999999999E-2</v>
      </c>
      <c r="H14" s="139">
        <v>0.01</v>
      </c>
      <c r="I14" s="139">
        <v>0.03</v>
      </c>
      <c r="J14" s="139">
        <v>0</v>
      </c>
      <c r="K14" s="139">
        <v>0</v>
      </c>
      <c r="L14" s="139">
        <v>0</v>
      </c>
      <c r="M14" s="139">
        <v>0</v>
      </c>
      <c r="N14" s="139">
        <v>0</v>
      </c>
      <c r="O14" s="139">
        <v>0</v>
      </c>
      <c r="P14" s="139">
        <v>0</v>
      </c>
      <c r="Q14" s="139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9">
        <v>0</v>
      </c>
      <c r="X14" s="139">
        <v>0</v>
      </c>
      <c r="Y14" s="139">
        <v>0</v>
      </c>
      <c r="Z14" s="139">
        <v>0</v>
      </c>
      <c r="AA14" s="139">
        <v>0</v>
      </c>
      <c r="AB14" s="139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</row>
    <row r="15" spans="1:34" customFormat="1" x14ac:dyDescent="0.15">
      <c r="A15" s="176" t="s">
        <v>205</v>
      </c>
      <c r="B15" s="139">
        <v>4.9994500604933455E-2</v>
      </c>
      <c r="C15" s="139">
        <v>0.01</v>
      </c>
      <c r="D15" s="139">
        <v>0</v>
      </c>
      <c r="E15" s="139">
        <v>0</v>
      </c>
      <c r="F15" s="139">
        <v>0</v>
      </c>
      <c r="G15" s="139">
        <v>0.01</v>
      </c>
      <c r="H15" s="139">
        <v>8.0000000000000002E-3</v>
      </c>
      <c r="I15" s="139">
        <v>0</v>
      </c>
      <c r="J15" s="139">
        <v>0</v>
      </c>
      <c r="K15" s="139">
        <v>0</v>
      </c>
      <c r="L15" s="139">
        <v>0</v>
      </c>
      <c r="M15" s="139">
        <v>0</v>
      </c>
      <c r="N15" s="139">
        <v>0</v>
      </c>
      <c r="O15" s="139">
        <v>0</v>
      </c>
      <c r="P15" s="139">
        <v>0</v>
      </c>
      <c r="Q15" s="139">
        <v>0</v>
      </c>
      <c r="R15" s="139">
        <v>0</v>
      </c>
      <c r="S15" s="139">
        <v>0</v>
      </c>
      <c r="T15" s="139">
        <v>0</v>
      </c>
      <c r="U15" s="139">
        <v>0</v>
      </c>
      <c r="V15" s="139">
        <v>0</v>
      </c>
      <c r="W15" s="139">
        <v>0</v>
      </c>
      <c r="X15" s="139">
        <v>0</v>
      </c>
      <c r="Y15" s="139">
        <v>0</v>
      </c>
      <c r="Z15" s="139">
        <v>0</v>
      </c>
      <c r="AA15" s="139">
        <v>0</v>
      </c>
      <c r="AB15" s="139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</row>
    <row r="16" spans="1:34" customFormat="1" x14ac:dyDescent="0.15">
      <c r="A16" s="176" t="s">
        <v>206</v>
      </c>
      <c r="B16" s="139">
        <v>9.998900120986691E-3</v>
      </c>
      <c r="C16" s="139">
        <v>0.01</v>
      </c>
      <c r="D16" s="139">
        <v>1.066712179719668E-2</v>
      </c>
      <c r="E16" s="139">
        <v>0</v>
      </c>
      <c r="F16" s="139">
        <v>8.9999999999999993E-3</v>
      </c>
      <c r="G16" s="139">
        <v>5.0000000000000001E-3</v>
      </c>
      <c r="H16" s="139">
        <v>0.01</v>
      </c>
      <c r="I16" s="139">
        <v>0</v>
      </c>
      <c r="J16" s="139">
        <v>0</v>
      </c>
      <c r="K16" s="139">
        <v>0</v>
      </c>
      <c r="L16" s="139">
        <v>0</v>
      </c>
      <c r="M16" s="139">
        <v>0</v>
      </c>
      <c r="N16" s="139">
        <v>0</v>
      </c>
      <c r="O16" s="139">
        <v>1E-3</v>
      </c>
      <c r="P16" s="139">
        <v>0</v>
      </c>
      <c r="Q16" s="139">
        <v>0</v>
      </c>
      <c r="R16" s="139">
        <v>0</v>
      </c>
      <c r="S16" s="139">
        <v>0</v>
      </c>
      <c r="T16" s="139">
        <v>0</v>
      </c>
      <c r="U16" s="139">
        <v>0</v>
      </c>
      <c r="V16" s="139">
        <v>0</v>
      </c>
      <c r="W16" s="139">
        <v>0</v>
      </c>
      <c r="X16" s="139">
        <v>0</v>
      </c>
      <c r="Y16" s="139">
        <v>0</v>
      </c>
      <c r="Z16" s="139">
        <v>0</v>
      </c>
      <c r="AA16" s="139">
        <v>0</v>
      </c>
      <c r="AB16" s="139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</row>
    <row r="17" spans="1:33" customFormat="1" x14ac:dyDescent="0.15">
      <c r="A17" s="176" t="s">
        <v>207</v>
      </c>
      <c r="B17" s="139">
        <v>9.998900120986691E-3</v>
      </c>
      <c r="C17" s="139">
        <v>0</v>
      </c>
      <c r="D17" s="139">
        <v>1.2800546156636016E-2</v>
      </c>
      <c r="E17" s="139">
        <v>0</v>
      </c>
      <c r="F17" s="139">
        <v>4.0000000000000001E-3</v>
      </c>
      <c r="G17" s="139">
        <v>5.0000000000000001E-3</v>
      </c>
      <c r="H17" s="139">
        <v>5.0000000000000001E-3</v>
      </c>
      <c r="I17" s="139">
        <v>0</v>
      </c>
      <c r="J17" s="139">
        <v>0</v>
      </c>
      <c r="K17" s="139">
        <v>0</v>
      </c>
      <c r="L17" s="139">
        <v>0</v>
      </c>
      <c r="M17" s="139">
        <v>0</v>
      </c>
      <c r="N17" s="139">
        <v>0</v>
      </c>
      <c r="O17" s="139">
        <v>0</v>
      </c>
      <c r="P17" s="139">
        <v>0</v>
      </c>
      <c r="Q17" s="139">
        <v>0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</row>
    <row r="18" spans="1:33" customFormat="1" x14ac:dyDescent="0.15">
      <c r="A18" s="176" t="s">
        <v>208</v>
      </c>
      <c r="B18" s="139">
        <v>3.9995600483946764E-2</v>
      </c>
      <c r="C18" s="139">
        <v>0.17</v>
      </c>
      <c r="D18" s="139">
        <v>7.4669852580376769E-2</v>
      </c>
      <c r="E18" s="139">
        <v>0</v>
      </c>
      <c r="F18" s="139">
        <v>2.5000000000000001E-2</v>
      </c>
      <c r="G18" s="139">
        <v>0.05</v>
      </c>
      <c r="H18" s="139">
        <v>0.03</v>
      </c>
      <c r="I18" s="139">
        <v>0.02</v>
      </c>
      <c r="J18" s="139">
        <v>1.4999999999999999E-2</v>
      </c>
      <c r="K18" s="139">
        <v>1.5000000000000001E-2</v>
      </c>
      <c r="L18" s="139">
        <v>1E-3</v>
      </c>
      <c r="M18" s="139">
        <v>1.2E-2</v>
      </c>
      <c r="N18" s="139">
        <v>2E-3</v>
      </c>
      <c r="O18" s="139">
        <v>2.1000000000000001E-2</v>
      </c>
      <c r="P18" s="139">
        <v>2E-3</v>
      </c>
      <c r="Q18" s="139">
        <v>0</v>
      </c>
      <c r="R18" s="139">
        <v>0</v>
      </c>
      <c r="S18" s="139">
        <v>0</v>
      </c>
      <c r="T18" s="139">
        <v>0</v>
      </c>
      <c r="U18" s="139">
        <v>0</v>
      </c>
      <c r="V18" s="139">
        <v>5.0000000000000001E-3</v>
      </c>
      <c r="W18" s="139">
        <v>0</v>
      </c>
      <c r="X18" s="139">
        <v>0</v>
      </c>
      <c r="Y18" s="139">
        <v>0</v>
      </c>
      <c r="Z18" s="139">
        <v>0</v>
      </c>
      <c r="AA18" s="139">
        <v>0</v>
      </c>
      <c r="AB18" s="139">
        <v>0</v>
      </c>
      <c r="AC18" s="139">
        <v>0</v>
      </c>
      <c r="AD18" s="139">
        <v>0</v>
      </c>
      <c r="AE18" s="139">
        <v>0</v>
      </c>
      <c r="AF18" s="139">
        <v>0</v>
      </c>
      <c r="AG18" s="139">
        <v>0</v>
      </c>
    </row>
    <row r="19" spans="1:33" customFormat="1" x14ac:dyDescent="0.15">
      <c r="A19" s="176" t="s">
        <v>209</v>
      </c>
      <c r="B19" s="139">
        <v>1.9997800241973382E-2</v>
      </c>
      <c r="C19" s="139">
        <v>0.09</v>
      </c>
      <c r="D19" s="139">
        <v>3.4134789751029376E-2</v>
      </c>
      <c r="E19" s="139">
        <v>0</v>
      </c>
      <c r="F19" s="139">
        <v>5.0000000000000001E-3</v>
      </c>
      <c r="G19" s="139">
        <v>3.2000000000000001E-2</v>
      </c>
      <c r="H19" s="139">
        <v>3.1E-2</v>
      </c>
      <c r="I19" s="139">
        <v>0.03</v>
      </c>
      <c r="J19" s="139">
        <v>0.03</v>
      </c>
      <c r="K19" s="139">
        <v>1.0000000000000002E-2</v>
      </c>
      <c r="L19" s="139">
        <v>2E-3</v>
      </c>
      <c r="M19" s="139">
        <v>4.0000000000000001E-3</v>
      </c>
      <c r="N19" s="139">
        <v>3.0000000000000001E-3</v>
      </c>
      <c r="O19" s="139">
        <v>0.01</v>
      </c>
      <c r="P19" s="139">
        <v>0</v>
      </c>
      <c r="Q19" s="139">
        <v>0</v>
      </c>
      <c r="R19" s="139">
        <v>0</v>
      </c>
      <c r="S19" s="139">
        <v>0</v>
      </c>
      <c r="T19" s="139">
        <v>0</v>
      </c>
      <c r="U19" s="139">
        <v>0</v>
      </c>
      <c r="V19" s="139">
        <v>0</v>
      </c>
      <c r="W19" s="139">
        <v>0</v>
      </c>
      <c r="X19" s="139">
        <v>0</v>
      </c>
      <c r="Y19" s="139">
        <v>0</v>
      </c>
      <c r="Z19" s="139">
        <v>0</v>
      </c>
      <c r="AA19" s="139">
        <v>0</v>
      </c>
      <c r="AB19" s="139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</row>
    <row r="20" spans="1:33" customFormat="1" x14ac:dyDescent="0.15">
      <c r="A20" s="176" t="s">
        <v>210</v>
      </c>
      <c r="B20" s="139">
        <v>0.10098889122196558</v>
      </c>
      <c r="C20" s="139">
        <v>0.19</v>
      </c>
      <c r="D20" s="139">
        <v>0.11733833976916348</v>
      </c>
      <c r="E20" s="139">
        <v>0</v>
      </c>
      <c r="F20" s="139">
        <v>0.16</v>
      </c>
      <c r="G20" s="139">
        <v>0.4</v>
      </c>
      <c r="H20" s="139">
        <v>0.18</v>
      </c>
      <c r="I20" s="139">
        <v>0.08</v>
      </c>
      <c r="J20" s="139">
        <v>5.5E-2</v>
      </c>
      <c r="K20" s="139">
        <v>4.5000000000000005E-2</v>
      </c>
      <c r="L20" s="139">
        <v>4.0000000000000001E-3</v>
      </c>
      <c r="M20" s="139">
        <v>6.7000000000000004E-2</v>
      </c>
      <c r="N20" s="139">
        <v>2.7E-2</v>
      </c>
      <c r="O20" s="139">
        <v>0.15</v>
      </c>
      <c r="P20" s="139">
        <v>2E-3</v>
      </c>
      <c r="Q20" s="139">
        <v>0</v>
      </c>
      <c r="R20" s="139">
        <v>0</v>
      </c>
      <c r="S20" s="139">
        <v>0</v>
      </c>
      <c r="T20" s="139">
        <v>0</v>
      </c>
      <c r="U20" s="139">
        <v>0</v>
      </c>
      <c r="V20" s="139">
        <v>0.02</v>
      </c>
      <c r="W20" s="139">
        <v>0</v>
      </c>
      <c r="X20" s="139">
        <v>0</v>
      </c>
      <c r="Y20" s="139">
        <v>0</v>
      </c>
      <c r="Z20" s="139">
        <v>0</v>
      </c>
      <c r="AA20" s="139">
        <v>0</v>
      </c>
      <c r="AB20" s="139">
        <v>0</v>
      </c>
      <c r="AC20" s="139">
        <v>0</v>
      </c>
      <c r="AD20" s="139">
        <v>0</v>
      </c>
      <c r="AE20" s="139">
        <v>0</v>
      </c>
      <c r="AF20" s="139">
        <v>0</v>
      </c>
      <c r="AG20" s="139">
        <v>0</v>
      </c>
    </row>
    <row r="21" spans="1:33" customFormat="1" x14ac:dyDescent="0.15">
      <c r="A21" s="176" t="s">
        <v>211</v>
      </c>
      <c r="B21" s="139">
        <v>0.10098889122196558</v>
      </c>
      <c r="C21" s="139">
        <v>0.21</v>
      </c>
      <c r="D21" s="139">
        <v>6.400273078318007E-2</v>
      </c>
      <c r="E21" s="139">
        <v>0</v>
      </c>
      <c r="F21" s="139">
        <v>0.01</v>
      </c>
      <c r="G21" s="139">
        <v>0.08</v>
      </c>
      <c r="H21" s="139">
        <v>0.02</v>
      </c>
      <c r="I21" s="139">
        <v>0</v>
      </c>
      <c r="J21" s="139">
        <v>0</v>
      </c>
      <c r="K21" s="139">
        <v>5.000000000000001E-2</v>
      </c>
      <c r="L21" s="139">
        <v>0</v>
      </c>
      <c r="M21" s="139">
        <v>2E-3</v>
      </c>
      <c r="N21" s="139">
        <v>5.0000000000000001E-3</v>
      </c>
      <c r="O21" s="139">
        <v>0.05</v>
      </c>
      <c r="P21" s="139">
        <v>8.9999999999999993E-3</v>
      </c>
      <c r="Q21" s="139">
        <v>1.0000000000000002E-2</v>
      </c>
      <c r="R21" s="139">
        <v>0</v>
      </c>
      <c r="S21" s="139">
        <v>0</v>
      </c>
      <c r="T21" s="139">
        <v>0</v>
      </c>
      <c r="U21" s="139">
        <v>0</v>
      </c>
      <c r="V21" s="139">
        <v>1.7000000000000001E-2</v>
      </c>
      <c r="W21" s="139">
        <v>0</v>
      </c>
      <c r="X21" s="139">
        <v>0</v>
      </c>
      <c r="Y21" s="139">
        <v>0</v>
      </c>
      <c r="Z21" s="139">
        <v>0</v>
      </c>
      <c r="AA21" s="139">
        <v>0</v>
      </c>
      <c r="AB21" s="139">
        <v>0</v>
      </c>
      <c r="AC21" s="139">
        <v>0</v>
      </c>
      <c r="AD21" s="139">
        <v>0</v>
      </c>
      <c r="AE21" s="139">
        <v>0</v>
      </c>
      <c r="AF21" s="139">
        <v>0</v>
      </c>
      <c r="AG21" s="139">
        <v>0</v>
      </c>
    </row>
    <row r="22" spans="1:33" customFormat="1" x14ac:dyDescent="0.15">
      <c r="A22" s="176" t="s">
        <v>212</v>
      </c>
      <c r="B22" s="139">
        <v>4.9994500604933455E-2</v>
      </c>
      <c r="C22" s="139">
        <v>0.06</v>
      </c>
      <c r="D22" s="139">
        <v>3.200136539159004E-3</v>
      </c>
      <c r="E22" s="139">
        <v>0</v>
      </c>
      <c r="F22" s="139">
        <v>3.0000000000000001E-3</v>
      </c>
      <c r="G22" s="139">
        <v>0.01</v>
      </c>
      <c r="H22" s="139">
        <v>5.0000000000000001E-3</v>
      </c>
      <c r="I22" s="139">
        <v>0</v>
      </c>
      <c r="J22" s="139">
        <v>0</v>
      </c>
      <c r="K22" s="139">
        <v>0</v>
      </c>
      <c r="L22" s="139">
        <v>0</v>
      </c>
      <c r="M22" s="139">
        <v>0</v>
      </c>
      <c r="N22" s="139">
        <v>0</v>
      </c>
      <c r="O22" s="139">
        <v>5.0000000000000001E-3</v>
      </c>
      <c r="P22" s="139">
        <v>0</v>
      </c>
      <c r="Q22" s="139">
        <v>0</v>
      </c>
      <c r="R22" s="139">
        <v>0</v>
      </c>
      <c r="S22" s="139">
        <v>0</v>
      </c>
      <c r="T22" s="139">
        <v>0</v>
      </c>
      <c r="U22" s="139">
        <v>0</v>
      </c>
      <c r="V22" s="139">
        <v>0</v>
      </c>
      <c r="W22" s="139">
        <v>0</v>
      </c>
      <c r="X22" s="139">
        <v>0</v>
      </c>
      <c r="Y22" s="139">
        <v>0</v>
      </c>
      <c r="Z22" s="139">
        <v>0</v>
      </c>
      <c r="AA22" s="139">
        <v>0</v>
      </c>
      <c r="AB22" s="139">
        <v>0</v>
      </c>
      <c r="AC22" s="139">
        <v>0</v>
      </c>
      <c r="AD22" s="139">
        <v>0</v>
      </c>
      <c r="AE22" s="139">
        <v>0</v>
      </c>
      <c r="AF22" s="139">
        <v>0</v>
      </c>
      <c r="AG22" s="139">
        <v>0</v>
      </c>
    </row>
    <row r="23" spans="1:33" customFormat="1" x14ac:dyDescent="0.15">
      <c r="A23" s="176" t="s">
        <v>213</v>
      </c>
      <c r="B23" s="139">
        <v>1.9997800241973382E-2</v>
      </c>
      <c r="C23" s="139">
        <v>0.01</v>
      </c>
      <c r="D23" s="139">
        <v>3.4134789751029376E-2</v>
      </c>
      <c r="E23" s="139">
        <v>0</v>
      </c>
      <c r="F23" s="139">
        <v>2E-3</v>
      </c>
      <c r="G23" s="139">
        <v>3.0000000000000001E-3</v>
      </c>
      <c r="H23" s="139">
        <v>2E-3</v>
      </c>
      <c r="I23" s="139">
        <v>5.0000000000000001E-3</v>
      </c>
      <c r="J23" s="139">
        <v>5.0000000000000001E-3</v>
      </c>
      <c r="K23" s="139">
        <v>5.000000000000001E-3</v>
      </c>
      <c r="L23" s="139">
        <v>1E-3</v>
      </c>
      <c r="M23" s="139">
        <v>3.0000000000000001E-3</v>
      </c>
      <c r="N23" s="139">
        <v>1E-3</v>
      </c>
      <c r="O23" s="139">
        <v>4.0000000000000001E-3</v>
      </c>
      <c r="P23" s="139">
        <v>0</v>
      </c>
      <c r="Q23" s="139">
        <v>0</v>
      </c>
      <c r="R23" s="139">
        <v>0</v>
      </c>
      <c r="S23" s="139">
        <v>0</v>
      </c>
      <c r="T23" s="139">
        <v>0</v>
      </c>
      <c r="U23" s="139">
        <v>0</v>
      </c>
      <c r="V23" s="139">
        <v>3.0000000000000001E-3</v>
      </c>
      <c r="W23" s="139">
        <v>0</v>
      </c>
      <c r="X23" s="139">
        <v>0</v>
      </c>
      <c r="Y23" s="139">
        <v>0</v>
      </c>
      <c r="Z23" s="139">
        <v>0</v>
      </c>
      <c r="AA23" s="139">
        <v>0</v>
      </c>
      <c r="AB23" s="139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</row>
    <row r="24" spans="1:33" customFormat="1" x14ac:dyDescent="0.15">
      <c r="A24" s="176" t="s">
        <v>214</v>
      </c>
      <c r="B24" s="139">
        <v>9.998900120986691E-3</v>
      </c>
      <c r="C24" s="139">
        <v>0.02</v>
      </c>
      <c r="D24" s="139">
        <v>8.4270262197853774E-2</v>
      </c>
      <c r="E24" s="139">
        <v>0</v>
      </c>
      <c r="F24" s="139">
        <v>0.03</v>
      </c>
      <c r="G24" s="139">
        <v>0.05</v>
      </c>
      <c r="H24" s="139">
        <v>0.05</v>
      </c>
      <c r="I24" s="139">
        <v>0.05</v>
      </c>
      <c r="J24" s="139">
        <v>0.01</v>
      </c>
      <c r="K24" s="139">
        <v>3.0000000000000002E-2</v>
      </c>
      <c r="L24" s="139">
        <v>0.01</v>
      </c>
      <c r="M24" s="139">
        <v>0.02</v>
      </c>
      <c r="N24" s="139">
        <v>2.3E-2</v>
      </c>
      <c r="O24" s="139">
        <v>0.03</v>
      </c>
      <c r="P24" s="139">
        <v>0</v>
      </c>
      <c r="Q24" s="139">
        <v>0</v>
      </c>
      <c r="R24" s="139">
        <v>0</v>
      </c>
      <c r="S24" s="139">
        <v>0</v>
      </c>
      <c r="T24" s="139">
        <v>0</v>
      </c>
      <c r="U24" s="139">
        <v>0</v>
      </c>
      <c r="V24" s="139">
        <v>0.03</v>
      </c>
      <c r="W24" s="139">
        <v>0</v>
      </c>
      <c r="X24" s="139">
        <v>0</v>
      </c>
      <c r="Y24" s="139">
        <v>0</v>
      </c>
      <c r="Z24" s="139">
        <v>0</v>
      </c>
      <c r="AA24" s="139">
        <v>0</v>
      </c>
      <c r="AB24" s="139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</row>
    <row r="25" spans="1:33" customFormat="1" x14ac:dyDescent="0.15">
      <c r="A25" s="176" t="s">
        <v>215</v>
      </c>
      <c r="B25" s="139">
        <v>9.998900120986691E-3</v>
      </c>
      <c r="C25" s="139">
        <v>0.09</v>
      </c>
      <c r="D25" s="139">
        <v>2.7734516672711367E-2</v>
      </c>
      <c r="E25" s="139">
        <v>0.5</v>
      </c>
      <c r="F25" s="139">
        <v>0.39</v>
      </c>
      <c r="G25" s="139">
        <v>0.29899999999999999</v>
      </c>
      <c r="H25" s="139">
        <v>0.28000000000000003</v>
      </c>
      <c r="I25" s="139">
        <v>0.185</v>
      </c>
      <c r="J25" s="139">
        <v>0.1</v>
      </c>
      <c r="K25" s="139">
        <v>0.18000000000000002</v>
      </c>
      <c r="L25" s="139">
        <v>0.29099999999999998</v>
      </c>
      <c r="M25" s="139">
        <v>0.38</v>
      </c>
      <c r="N25" s="139">
        <v>0.24</v>
      </c>
      <c r="O25" s="139">
        <v>0.58199999999999996</v>
      </c>
      <c r="P25" s="139">
        <v>0.1</v>
      </c>
      <c r="Q25" s="139">
        <v>0.11000000000000001</v>
      </c>
      <c r="R25" s="139">
        <v>0.05</v>
      </c>
      <c r="S25" s="139">
        <v>0.24</v>
      </c>
      <c r="T25" s="139">
        <v>0</v>
      </c>
      <c r="U25" s="139">
        <v>0</v>
      </c>
      <c r="V25" s="139">
        <v>0.121</v>
      </c>
      <c r="W25" s="139">
        <v>0</v>
      </c>
      <c r="X25" s="139">
        <v>5.0000000000000001E-3</v>
      </c>
      <c r="Y25" s="139">
        <v>0</v>
      </c>
      <c r="Z25" s="139">
        <v>0</v>
      </c>
      <c r="AA25" s="139">
        <v>0</v>
      </c>
      <c r="AB25" s="139">
        <v>0</v>
      </c>
      <c r="AC25" s="139">
        <v>0</v>
      </c>
      <c r="AD25" s="139">
        <v>0</v>
      </c>
      <c r="AE25" s="139">
        <v>0</v>
      </c>
      <c r="AF25" s="139">
        <v>0</v>
      </c>
      <c r="AG25" s="139">
        <v>0</v>
      </c>
    </row>
    <row r="26" spans="1:33" customFormat="1" x14ac:dyDescent="0.15">
      <c r="A26" s="176" t="s">
        <v>216</v>
      </c>
      <c r="B26" s="139">
        <v>3.9995600483946764E-2</v>
      </c>
      <c r="C26" s="139">
        <v>0.08</v>
      </c>
      <c r="D26" s="139">
        <v>7.4669852580376769E-2</v>
      </c>
      <c r="E26" s="139">
        <v>0</v>
      </c>
      <c r="F26" s="139">
        <v>0.25</v>
      </c>
      <c r="G26" s="139">
        <v>5.0000000000000001E-3</v>
      </c>
      <c r="H26" s="139">
        <v>0.15</v>
      </c>
      <c r="I26" s="139">
        <v>0.05</v>
      </c>
      <c r="J26" s="139">
        <v>0.28499999999999998</v>
      </c>
      <c r="K26" s="139">
        <v>0.19000000000000003</v>
      </c>
      <c r="L26" s="139">
        <v>0.18099999999999999</v>
      </c>
      <c r="M26" s="139">
        <v>0.18</v>
      </c>
      <c r="N26" s="139">
        <v>0.3</v>
      </c>
      <c r="O26" s="139">
        <v>0</v>
      </c>
      <c r="P26" s="139">
        <v>0.1</v>
      </c>
      <c r="Q26" s="139">
        <v>0.22000000000000003</v>
      </c>
      <c r="R26" s="139">
        <v>0</v>
      </c>
      <c r="S26" s="139">
        <v>0.05</v>
      </c>
      <c r="T26" s="139">
        <v>0</v>
      </c>
      <c r="U26" s="139">
        <v>0</v>
      </c>
      <c r="V26" s="139">
        <v>7.0999999999999994E-2</v>
      </c>
      <c r="W26" s="139">
        <v>0</v>
      </c>
      <c r="X26" s="139">
        <v>0</v>
      </c>
      <c r="Y26" s="139">
        <v>0</v>
      </c>
      <c r="Z26" s="139">
        <v>5.000000000000001E-3</v>
      </c>
      <c r="AA26" s="139">
        <v>0</v>
      </c>
      <c r="AB26" s="139">
        <v>0</v>
      </c>
      <c r="AC26" s="139">
        <v>0</v>
      </c>
      <c r="AD26" s="139">
        <v>0</v>
      </c>
      <c r="AE26" s="139">
        <v>0</v>
      </c>
      <c r="AF26" s="139">
        <v>0</v>
      </c>
      <c r="AG26" s="139">
        <v>0</v>
      </c>
    </row>
    <row r="27" spans="1:33" customFormat="1" x14ac:dyDescent="0.15">
      <c r="A27" s="176" t="s">
        <v>217</v>
      </c>
      <c r="B27" s="139">
        <v>9.998900120986691E-3</v>
      </c>
      <c r="C27" s="139">
        <v>0.02</v>
      </c>
      <c r="D27" s="139">
        <v>0.40748405265291315</v>
      </c>
      <c r="E27" s="139">
        <v>0.3</v>
      </c>
      <c r="F27" s="139">
        <v>0.04</v>
      </c>
      <c r="G27" s="139">
        <v>5.0000000000000001E-3</v>
      </c>
      <c r="H27" s="139">
        <v>0</v>
      </c>
      <c r="I27" s="139">
        <v>0.15</v>
      </c>
      <c r="J27" s="139">
        <v>0.5</v>
      </c>
      <c r="K27" s="139">
        <v>0.18000000000000002</v>
      </c>
      <c r="L27" s="139">
        <v>0.18</v>
      </c>
      <c r="M27" s="139">
        <v>0</v>
      </c>
      <c r="N27" s="139">
        <v>0.13400000000000001</v>
      </c>
      <c r="O27" s="139">
        <v>0.02</v>
      </c>
      <c r="P27" s="139">
        <v>0.21</v>
      </c>
      <c r="Q27" s="139">
        <v>0.36000000000000004</v>
      </c>
      <c r="R27" s="139">
        <v>0.25</v>
      </c>
      <c r="S27" s="139">
        <v>0.25</v>
      </c>
      <c r="T27" s="139">
        <v>0.14000000000000001</v>
      </c>
      <c r="U27" s="139">
        <v>0.30000000000000004</v>
      </c>
      <c r="V27" s="139">
        <v>0.371</v>
      </c>
      <c r="W27" s="139">
        <v>3.0000000000000001E-3</v>
      </c>
      <c r="X27" s="139">
        <v>7.4999999999999997E-2</v>
      </c>
      <c r="Y27" s="139">
        <v>0</v>
      </c>
      <c r="Z27" s="139">
        <v>0.40000000000000008</v>
      </c>
      <c r="AA27" s="139">
        <v>0</v>
      </c>
      <c r="AB27" s="139">
        <v>0</v>
      </c>
      <c r="AC27" s="139">
        <v>0</v>
      </c>
      <c r="AD27" s="139">
        <v>0</v>
      </c>
      <c r="AE27" s="139">
        <v>0</v>
      </c>
      <c r="AF27" s="139">
        <v>0</v>
      </c>
      <c r="AG27" s="139">
        <v>0</v>
      </c>
    </row>
    <row r="28" spans="1:33" customFormat="1" x14ac:dyDescent="0.15">
      <c r="A28" s="176" t="s">
        <v>218</v>
      </c>
      <c r="B28" s="139">
        <v>0</v>
      </c>
      <c r="C28" s="139">
        <v>0</v>
      </c>
      <c r="D28" s="139">
        <v>0</v>
      </c>
      <c r="E28" s="139">
        <v>0.15</v>
      </c>
      <c r="F28" s="139">
        <v>0.03</v>
      </c>
      <c r="G28" s="139">
        <v>0</v>
      </c>
      <c r="H28" s="139">
        <v>0.15</v>
      </c>
      <c r="I28" s="139">
        <v>0.15</v>
      </c>
      <c r="J28" s="139">
        <v>0</v>
      </c>
      <c r="K28" s="139">
        <v>6.0000000000000005E-2</v>
      </c>
      <c r="L28" s="139">
        <v>0.23</v>
      </c>
      <c r="M28" s="139">
        <v>5.8000000000000003E-2</v>
      </c>
      <c r="N28" s="139">
        <v>0.1</v>
      </c>
      <c r="O28" s="139">
        <v>0</v>
      </c>
      <c r="P28" s="139">
        <v>0.03</v>
      </c>
      <c r="Q28" s="139">
        <v>0.20000000000000004</v>
      </c>
      <c r="R28" s="139">
        <v>0.05</v>
      </c>
      <c r="S28" s="139">
        <v>0.2</v>
      </c>
      <c r="T28" s="139">
        <v>0.01</v>
      </c>
      <c r="U28" s="139">
        <v>5.000000000000001E-2</v>
      </c>
      <c r="V28" s="139">
        <v>0.2</v>
      </c>
      <c r="W28" s="139">
        <v>3.0000000000000001E-3</v>
      </c>
      <c r="X28" s="139">
        <v>0.1</v>
      </c>
      <c r="Y28" s="139">
        <v>0.1</v>
      </c>
      <c r="Z28" s="139">
        <v>0.20000000000000004</v>
      </c>
      <c r="AA28" s="139">
        <v>0</v>
      </c>
      <c r="AB28" s="139">
        <v>0.01</v>
      </c>
      <c r="AC28" s="139">
        <v>0</v>
      </c>
      <c r="AD28" s="139">
        <v>0</v>
      </c>
      <c r="AE28" s="139">
        <v>0</v>
      </c>
      <c r="AF28" s="139">
        <v>0</v>
      </c>
      <c r="AG28" s="139">
        <v>0</v>
      </c>
    </row>
    <row r="29" spans="1:33" customFormat="1" x14ac:dyDescent="0.15">
      <c r="A29" s="176" t="s">
        <v>219</v>
      </c>
      <c r="B29" s="139">
        <v>0</v>
      </c>
      <c r="C29" s="139">
        <v>0</v>
      </c>
      <c r="D29" s="139">
        <v>0</v>
      </c>
      <c r="E29" s="139">
        <v>0</v>
      </c>
      <c r="F29" s="139">
        <v>0.03</v>
      </c>
      <c r="G29" s="139">
        <v>0</v>
      </c>
      <c r="H29" s="139">
        <v>3.6999999999999998E-2</v>
      </c>
      <c r="I29" s="139">
        <v>0.25</v>
      </c>
      <c r="J29" s="139">
        <v>0</v>
      </c>
      <c r="K29" s="139">
        <v>9.0000000000000011E-2</v>
      </c>
      <c r="L29" s="139">
        <v>7.0000000000000007E-2</v>
      </c>
      <c r="M29" s="139">
        <v>0.254</v>
      </c>
      <c r="N29" s="139">
        <v>0.155</v>
      </c>
      <c r="O29" s="139">
        <v>0.123</v>
      </c>
      <c r="P29" s="139">
        <v>0.54700000000000004</v>
      </c>
      <c r="Q29" s="139">
        <v>0.10000000000000002</v>
      </c>
      <c r="R29" s="139">
        <v>0.35</v>
      </c>
      <c r="S29" s="139">
        <v>0.1</v>
      </c>
      <c r="T29" s="139">
        <v>0.4</v>
      </c>
      <c r="U29" s="139">
        <v>0.30000000000000004</v>
      </c>
      <c r="V29" s="139">
        <v>0.15</v>
      </c>
      <c r="W29" s="139">
        <v>2.4E-2</v>
      </c>
      <c r="X29" s="139">
        <v>0.15</v>
      </c>
      <c r="Y29" s="139">
        <v>0.4</v>
      </c>
      <c r="Z29" s="139">
        <v>0.10000000000000002</v>
      </c>
      <c r="AA29" s="139">
        <v>0</v>
      </c>
      <c r="AB29" s="139">
        <v>0.1</v>
      </c>
      <c r="AC29" s="139">
        <v>0.05</v>
      </c>
      <c r="AD29" s="139">
        <v>0</v>
      </c>
      <c r="AE29" s="139">
        <v>0</v>
      </c>
      <c r="AF29" s="139">
        <v>0</v>
      </c>
      <c r="AG29" s="139">
        <v>0</v>
      </c>
    </row>
    <row r="30" spans="1:33" customFormat="1" x14ac:dyDescent="0.15">
      <c r="A30" s="176" t="s">
        <v>220</v>
      </c>
      <c r="B30" s="139">
        <v>0</v>
      </c>
      <c r="C30" s="139">
        <v>0</v>
      </c>
      <c r="D30" s="139">
        <v>0</v>
      </c>
      <c r="E30" s="139">
        <v>0</v>
      </c>
      <c r="F30" s="139">
        <v>0</v>
      </c>
      <c r="G30" s="139">
        <v>0</v>
      </c>
      <c r="H30" s="139">
        <v>0</v>
      </c>
      <c r="I30" s="139">
        <v>0</v>
      </c>
      <c r="J30" s="139">
        <v>0</v>
      </c>
      <c r="K30" s="139">
        <v>2.0000000000000004E-2</v>
      </c>
      <c r="L30" s="139">
        <v>0.01</v>
      </c>
      <c r="M30" s="139">
        <v>0</v>
      </c>
      <c r="N30" s="139">
        <v>0</v>
      </c>
      <c r="O30" s="139">
        <v>0</v>
      </c>
      <c r="P30" s="139">
        <v>0</v>
      </c>
      <c r="Q30" s="139">
        <v>0</v>
      </c>
      <c r="R30" s="139">
        <v>0.2</v>
      </c>
      <c r="S30" s="139">
        <v>0.1</v>
      </c>
      <c r="T30" s="139">
        <v>0.3</v>
      </c>
      <c r="U30" s="139">
        <v>0.20000000000000004</v>
      </c>
      <c r="V30" s="139">
        <v>0</v>
      </c>
      <c r="W30" s="139">
        <v>0.31</v>
      </c>
      <c r="X30" s="139">
        <v>0.1</v>
      </c>
      <c r="Y30" s="139">
        <v>0.3</v>
      </c>
      <c r="Z30" s="139">
        <v>3.0000000000000002E-2</v>
      </c>
      <c r="AA30" s="139">
        <v>0.5</v>
      </c>
      <c r="AB30" s="139">
        <v>0.1</v>
      </c>
      <c r="AC30" s="139">
        <v>0.85</v>
      </c>
      <c r="AD30" s="139">
        <v>0</v>
      </c>
      <c r="AE30" s="139">
        <v>0</v>
      </c>
      <c r="AF30" s="139">
        <v>0</v>
      </c>
      <c r="AG30" s="139">
        <v>0</v>
      </c>
    </row>
    <row r="31" spans="1:33" customFormat="1" x14ac:dyDescent="0.15">
      <c r="A31" s="176" t="s">
        <v>221</v>
      </c>
      <c r="B31" s="139">
        <v>0</v>
      </c>
      <c r="C31" s="139">
        <v>0</v>
      </c>
      <c r="D31" s="139">
        <v>0</v>
      </c>
      <c r="E31" s="139">
        <v>0.03</v>
      </c>
      <c r="F31" s="139">
        <v>0</v>
      </c>
      <c r="G31" s="139">
        <v>0</v>
      </c>
      <c r="H31" s="139">
        <v>0</v>
      </c>
      <c r="I31" s="139">
        <v>0</v>
      </c>
      <c r="J31" s="139">
        <v>0</v>
      </c>
      <c r="K31" s="139">
        <v>4.5000000000000005E-2</v>
      </c>
      <c r="L31" s="139">
        <v>0.01</v>
      </c>
      <c r="M31" s="139">
        <v>0</v>
      </c>
      <c r="N31" s="139">
        <v>0</v>
      </c>
      <c r="O31" s="139">
        <v>0</v>
      </c>
      <c r="P31" s="139">
        <v>0</v>
      </c>
      <c r="Q31" s="139">
        <v>0</v>
      </c>
      <c r="R31" s="139">
        <v>0.05</v>
      </c>
      <c r="S31" s="139">
        <v>0.05</v>
      </c>
      <c r="T31" s="139">
        <v>0.1</v>
      </c>
      <c r="U31" s="139">
        <v>5.000000000000001E-2</v>
      </c>
      <c r="V31" s="139">
        <v>0</v>
      </c>
      <c r="W31" s="139">
        <v>0.2</v>
      </c>
      <c r="X31" s="139">
        <v>0.15</v>
      </c>
      <c r="Y31" s="139">
        <v>0.1</v>
      </c>
      <c r="Z31" s="139">
        <v>6.0000000000000005E-2</v>
      </c>
      <c r="AA31" s="139">
        <v>0.15</v>
      </c>
      <c r="AB31" s="139">
        <v>0.14000000000000001</v>
      </c>
      <c r="AC31" s="139">
        <v>0.05</v>
      </c>
      <c r="AD31" s="139">
        <v>0</v>
      </c>
      <c r="AE31" s="139">
        <v>0</v>
      </c>
      <c r="AF31" s="139">
        <v>0</v>
      </c>
      <c r="AG31" s="139">
        <v>0</v>
      </c>
    </row>
    <row r="32" spans="1:33" customFormat="1" x14ac:dyDescent="0.15">
      <c r="A32" s="176" t="s">
        <v>222</v>
      </c>
      <c r="B32" s="139">
        <v>4.9994500604933455E-3</v>
      </c>
      <c r="C32" s="139">
        <v>0</v>
      </c>
      <c r="D32" s="139">
        <v>0</v>
      </c>
      <c r="E32" s="139">
        <v>0.02</v>
      </c>
      <c r="F32" s="139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8.0000000000000016E-2</v>
      </c>
      <c r="L32" s="139">
        <v>0.01</v>
      </c>
      <c r="M32" s="139">
        <v>0.02</v>
      </c>
      <c r="N32" s="139">
        <v>0.01</v>
      </c>
      <c r="O32" s="139">
        <v>0</v>
      </c>
      <c r="P32" s="139">
        <v>0</v>
      </c>
      <c r="Q32" s="139">
        <v>0</v>
      </c>
      <c r="R32" s="139">
        <v>0.05</v>
      </c>
      <c r="S32" s="139">
        <v>0.01</v>
      </c>
      <c r="T32" s="139">
        <v>0.05</v>
      </c>
      <c r="U32" s="139">
        <v>0.10000000000000002</v>
      </c>
      <c r="V32" s="139">
        <v>0.01</v>
      </c>
      <c r="W32" s="139">
        <v>0.46</v>
      </c>
      <c r="X32" s="139">
        <v>0.42</v>
      </c>
      <c r="Y32" s="139">
        <v>0.1</v>
      </c>
      <c r="Z32" s="139">
        <v>0.20500000000000002</v>
      </c>
      <c r="AA32" s="139">
        <v>0.35</v>
      </c>
      <c r="AB32" s="139">
        <v>0.65</v>
      </c>
      <c r="AC32" s="139">
        <v>0.05</v>
      </c>
      <c r="AD32" s="139">
        <v>0</v>
      </c>
      <c r="AE32" s="139">
        <v>0</v>
      </c>
      <c r="AF32" s="139">
        <v>0</v>
      </c>
      <c r="AG32" s="139">
        <v>0</v>
      </c>
    </row>
    <row r="33" spans="1:33" customFormat="1" x14ac:dyDescent="0.15">
      <c r="A33" s="176" t="s">
        <v>223</v>
      </c>
      <c r="B33" s="139">
        <v>0</v>
      </c>
      <c r="C33" s="139">
        <v>0</v>
      </c>
      <c r="D33" s="139">
        <v>0</v>
      </c>
      <c r="E33" s="139">
        <v>0</v>
      </c>
      <c r="F33" s="139">
        <v>0</v>
      </c>
      <c r="G33" s="139">
        <v>0</v>
      </c>
      <c r="H33" s="139">
        <v>0</v>
      </c>
      <c r="I33" s="139">
        <v>0</v>
      </c>
      <c r="J33" s="139">
        <v>0</v>
      </c>
      <c r="K33" s="139">
        <v>0</v>
      </c>
      <c r="L33" s="139">
        <v>0</v>
      </c>
      <c r="M33" s="139">
        <v>0</v>
      </c>
      <c r="N33" s="139">
        <v>0</v>
      </c>
      <c r="O33" s="139">
        <v>0</v>
      </c>
      <c r="P33" s="139">
        <v>0</v>
      </c>
      <c r="Q33" s="139">
        <v>0</v>
      </c>
      <c r="R33" s="139">
        <v>0</v>
      </c>
      <c r="S33" s="139">
        <v>0</v>
      </c>
      <c r="T33" s="139">
        <v>0</v>
      </c>
      <c r="U33" s="139">
        <v>0</v>
      </c>
      <c r="V33" s="139">
        <v>0</v>
      </c>
      <c r="W33" s="139">
        <v>0</v>
      </c>
      <c r="X33" s="139">
        <v>0</v>
      </c>
      <c r="Y33" s="139">
        <v>0</v>
      </c>
      <c r="Z33" s="139">
        <v>0</v>
      </c>
      <c r="AA33" s="139">
        <v>0</v>
      </c>
      <c r="AB33" s="139">
        <v>0</v>
      </c>
      <c r="AC33" s="139">
        <v>0</v>
      </c>
      <c r="AD33" s="139">
        <v>0</v>
      </c>
      <c r="AE33" s="139">
        <v>0</v>
      </c>
      <c r="AF33" s="139">
        <v>0</v>
      </c>
      <c r="AG33" s="139">
        <v>0</v>
      </c>
    </row>
    <row r="34" spans="1:33" customFormat="1" x14ac:dyDescent="0.15">
      <c r="A34" s="176" t="s">
        <v>225</v>
      </c>
      <c r="B34" s="139">
        <v>0</v>
      </c>
      <c r="C34" s="139">
        <v>0</v>
      </c>
      <c r="D34" s="139">
        <v>0</v>
      </c>
      <c r="E34" s="139">
        <v>0</v>
      </c>
      <c r="F34" s="139">
        <v>0</v>
      </c>
      <c r="G34" s="139">
        <v>0</v>
      </c>
      <c r="H34" s="139">
        <v>0</v>
      </c>
      <c r="I34" s="139">
        <v>0</v>
      </c>
      <c r="J34" s="139">
        <v>0</v>
      </c>
      <c r="K34" s="139">
        <v>0</v>
      </c>
      <c r="L34" s="139">
        <v>0</v>
      </c>
      <c r="M34" s="139">
        <v>0</v>
      </c>
      <c r="N34" s="139">
        <v>0</v>
      </c>
      <c r="O34" s="139">
        <v>0</v>
      </c>
      <c r="P34" s="139">
        <v>0</v>
      </c>
      <c r="Q34" s="139">
        <v>0</v>
      </c>
      <c r="R34" s="139">
        <v>0</v>
      </c>
      <c r="S34" s="139">
        <v>0</v>
      </c>
      <c r="T34" s="139">
        <v>0</v>
      </c>
      <c r="U34" s="139">
        <v>0</v>
      </c>
      <c r="V34" s="139">
        <v>0</v>
      </c>
      <c r="W34" s="139">
        <v>0</v>
      </c>
      <c r="X34" s="139">
        <v>0</v>
      </c>
      <c r="Y34" s="139">
        <v>0</v>
      </c>
      <c r="Z34" s="139">
        <v>0</v>
      </c>
      <c r="AA34" s="139">
        <v>0</v>
      </c>
      <c r="AB34" s="139">
        <v>0</v>
      </c>
      <c r="AC34" s="139">
        <v>0</v>
      </c>
      <c r="AD34" s="139">
        <v>0</v>
      </c>
      <c r="AE34" s="139">
        <v>0</v>
      </c>
      <c r="AF34" s="139">
        <v>0</v>
      </c>
      <c r="AG34" s="139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39" spans="1:33" x14ac:dyDescent="0.15">
      <c r="A39" s="201" t="s">
        <v>229</v>
      </c>
      <c r="B39" s="139">
        <f>SUM(B2:B34)</f>
        <v>1.0000000000000002</v>
      </c>
      <c r="C39" s="139">
        <f t="shared" ref="C39:AG39" si="0">SUM(C2:C34)</f>
        <v>1</v>
      </c>
      <c r="D39" s="139">
        <f t="shared" si="0"/>
        <v>1</v>
      </c>
      <c r="E39" s="139">
        <f t="shared" si="0"/>
        <v>1</v>
      </c>
      <c r="F39" s="139">
        <f t="shared" si="0"/>
        <v>1</v>
      </c>
      <c r="G39" s="139">
        <f t="shared" si="0"/>
        <v>1</v>
      </c>
      <c r="H39" s="139">
        <f t="shared" si="0"/>
        <v>1</v>
      </c>
      <c r="I39" s="139">
        <f t="shared" si="0"/>
        <v>1</v>
      </c>
      <c r="J39" s="139">
        <f t="shared" si="0"/>
        <v>1</v>
      </c>
      <c r="K39" s="139">
        <f t="shared" si="0"/>
        <v>1.0000000000000002</v>
      </c>
      <c r="L39" s="139">
        <f t="shared" si="0"/>
        <v>1</v>
      </c>
      <c r="M39" s="139">
        <f t="shared" si="0"/>
        <v>1</v>
      </c>
      <c r="N39" s="139">
        <f t="shared" si="0"/>
        <v>1</v>
      </c>
      <c r="O39" s="139">
        <f t="shared" si="0"/>
        <v>1</v>
      </c>
      <c r="P39" s="139">
        <f t="shared" si="0"/>
        <v>1</v>
      </c>
      <c r="Q39" s="139">
        <f t="shared" si="0"/>
        <v>1.0000000000000002</v>
      </c>
      <c r="R39" s="139">
        <f t="shared" si="0"/>
        <v>1</v>
      </c>
      <c r="S39" s="139">
        <f t="shared" si="0"/>
        <v>1</v>
      </c>
      <c r="T39" s="139">
        <f t="shared" si="0"/>
        <v>1</v>
      </c>
      <c r="U39" s="139">
        <f t="shared" si="0"/>
        <v>1.0000000000000002</v>
      </c>
      <c r="V39" s="139">
        <f t="shared" si="0"/>
        <v>1</v>
      </c>
      <c r="W39" s="139">
        <f t="shared" si="0"/>
        <v>1</v>
      </c>
      <c r="X39" s="139">
        <f t="shared" si="0"/>
        <v>1</v>
      </c>
      <c r="Y39" s="139">
        <f t="shared" si="0"/>
        <v>1</v>
      </c>
      <c r="Z39" s="139">
        <f t="shared" si="0"/>
        <v>1.0000000000000002</v>
      </c>
      <c r="AA39" s="139">
        <f t="shared" si="0"/>
        <v>1</v>
      </c>
      <c r="AB39" s="139">
        <f t="shared" si="0"/>
        <v>1</v>
      </c>
      <c r="AC39" s="139">
        <f t="shared" si="0"/>
        <v>1</v>
      </c>
      <c r="AD39" s="139">
        <f t="shared" si="0"/>
        <v>0</v>
      </c>
      <c r="AE39" s="139">
        <f t="shared" si="0"/>
        <v>0</v>
      </c>
      <c r="AF39" s="139">
        <f t="shared" si="0"/>
        <v>0</v>
      </c>
      <c r="AG39" s="139">
        <f t="shared" si="0"/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D38" sqref="D38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5.83203125" style="109" customWidth="1"/>
    <col min="5" max="6" width="25.83203125" style="108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9" t="s">
        <v>222</v>
      </c>
      <c r="D1" s="179" t="s">
        <v>223</v>
      </c>
      <c r="E1" s="179" t="s">
        <v>226</v>
      </c>
      <c r="F1" s="179" t="s">
        <v>227</v>
      </c>
      <c r="G1"/>
      <c r="H1"/>
    </row>
    <row r="2" spans="1:8" x14ac:dyDescent="0.15">
      <c r="A2">
        <v>1</v>
      </c>
      <c r="B2" s="178" t="s">
        <v>192</v>
      </c>
      <c r="C2" s="109">
        <v>1</v>
      </c>
      <c r="D2" s="109">
        <v>0</v>
      </c>
      <c r="E2" s="108">
        <v>0</v>
      </c>
      <c r="F2" s="108">
        <f>SUM(C2:E2)</f>
        <v>1</v>
      </c>
      <c r="G2"/>
      <c r="H2"/>
    </row>
    <row r="3" spans="1:8" x14ac:dyDescent="0.15">
      <c r="A3">
        <v>2</v>
      </c>
      <c r="B3" s="178" t="s">
        <v>193</v>
      </c>
      <c r="C3" s="109">
        <v>1</v>
      </c>
      <c r="D3" s="109">
        <v>0</v>
      </c>
      <c r="E3" s="108">
        <v>0</v>
      </c>
      <c r="F3" s="108">
        <f t="shared" ref="F3:F34" si="0">SUM(C3:E3)</f>
        <v>1</v>
      </c>
      <c r="G3"/>
      <c r="H3"/>
    </row>
    <row r="4" spans="1:8" x14ac:dyDescent="0.15">
      <c r="A4">
        <v>3</v>
      </c>
      <c r="B4" s="178" t="s">
        <v>194</v>
      </c>
      <c r="C4" s="109">
        <v>1</v>
      </c>
      <c r="D4" s="109">
        <v>0</v>
      </c>
      <c r="E4" s="108">
        <v>0</v>
      </c>
      <c r="F4" s="108">
        <f t="shared" si="0"/>
        <v>1</v>
      </c>
      <c r="G4"/>
      <c r="H4"/>
    </row>
    <row r="5" spans="1:8" x14ac:dyDescent="0.15">
      <c r="A5">
        <v>4</v>
      </c>
      <c r="B5" s="178" t="s">
        <v>195</v>
      </c>
      <c r="C5" s="109">
        <v>1</v>
      </c>
      <c r="D5" s="109">
        <v>0</v>
      </c>
      <c r="E5" s="108">
        <v>0</v>
      </c>
      <c r="F5" s="108">
        <f t="shared" si="0"/>
        <v>1</v>
      </c>
      <c r="G5"/>
      <c r="H5"/>
    </row>
    <row r="6" spans="1:8" x14ac:dyDescent="0.15">
      <c r="A6">
        <v>5</v>
      </c>
      <c r="B6" s="178" t="s">
        <v>196</v>
      </c>
      <c r="C6" s="109">
        <v>1</v>
      </c>
      <c r="D6" s="109">
        <v>0</v>
      </c>
      <c r="E6" s="108">
        <v>0</v>
      </c>
      <c r="F6" s="108">
        <f t="shared" si="0"/>
        <v>1</v>
      </c>
      <c r="G6"/>
      <c r="H6"/>
    </row>
    <row r="7" spans="1:8" x14ac:dyDescent="0.15">
      <c r="A7">
        <v>6</v>
      </c>
      <c r="B7" s="178" t="s">
        <v>197</v>
      </c>
      <c r="C7" s="109">
        <v>1</v>
      </c>
      <c r="D7" s="109">
        <v>0</v>
      </c>
      <c r="E7" s="108">
        <v>0</v>
      </c>
      <c r="F7" s="108">
        <f t="shared" si="0"/>
        <v>1</v>
      </c>
      <c r="G7"/>
      <c r="H7"/>
    </row>
    <row r="8" spans="1:8" x14ac:dyDescent="0.15">
      <c r="A8">
        <v>7</v>
      </c>
      <c r="B8" s="178" t="s">
        <v>198</v>
      </c>
      <c r="C8" s="109">
        <v>1</v>
      </c>
      <c r="D8" s="109">
        <v>0</v>
      </c>
      <c r="E8" s="108">
        <v>0</v>
      </c>
      <c r="F8" s="108">
        <f t="shared" si="0"/>
        <v>1</v>
      </c>
      <c r="G8"/>
      <c r="H8"/>
    </row>
    <row r="9" spans="1:8" x14ac:dyDescent="0.15">
      <c r="A9">
        <v>8</v>
      </c>
      <c r="B9" s="178" t="s">
        <v>199</v>
      </c>
      <c r="C9" s="109">
        <v>1</v>
      </c>
      <c r="D9" s="109">
        <v>0</v>
      </c>
      <c r="E9" s="108">
        <v>0</v>
      </c>
      <c r="F9" s="108">
        <f t="shared" si="0"/>
        <v>1</v>
      </c>
      <c r="G9"/>
      <c r="H9"/>
    </row>
    <row r="10" spans="1:8" x14ac:dyDescent="0.15">
      <c r="A10">
        <v>9</v>
      </c>
      <c r="B10" s="178" t="s">
        <v>200</v>
      </c>
      <c r="C10" s="109">
        <v>1</v>
      </c>
      <c r="D10" s="109">
        <v>0</v>
      </c>
      <c r="E10" s="108">
        <v>0</v>
      </c>
      <c r="F10" s="108">
        <f t="shared" si="0"/>
        <v>1</v>
      </c>
      <c r="G10"/>
      <c r="H10"/>
    </row>
    <row r="11" spans="1:8" x14ac:dyDescent="0.15">
      <c r="A11">
        <v>10</v>
      </c>
      <c r="B11" s="178" t="s">
        <v>201</v>
      </c>
      <c r="C11" s="109">
        <v>1</v>
      </c>
      <c r="D11" s="109">
        <v>0</v>
      </c>
      <c r="E11" s="108">
        <v>0</v>
      </c>
      <c r="F11" s="108">
        <f t="shared" si="0"/>
        <v>1</v>
      </c>
      <c r="G11"/>
      <c r="H11"/>
    </row>
    <row r="12" spans="1:8" x14ac:dyDescent="0.15">
      <c r="A12">
        <v>11</v>
      </c>
      <c r="B12" s="178" t="s">
        <v>202</v>
      </c>
      <c r="C12" s="109">
        <v>1</v>
      </c>
      <c r="D12" s="109">
        <v>0</v>
      </c>
      <c r="E12" s="108">
        <v>0</v>
      </c>
      <c r="F12" s="108">
        <f t="shared" si="0"/>
        <v>1</v>
      </c>
      <c r="G12"/>
      <c r="H12"/>
    </row>
    <row r="13" spans="1:8" x14ac:dyDescent="0.15">
      <c r="A13">
        <v>12</v>
      </c>
      <c r="B13" s="178" t="s">
        <v>203</v>
      </c>
      <c r="C13" s="109">
        <v>1</v>
      </c>
      <c r="D13" s="109">
        <v>0</v>
      </c>
      <c r="E13" s="108">
        <v>0</v>
      </c>
      <c r="F13" s="108">
        <f t="shared" si="0"/>
        <v>1</v>
      </c>
      <c r="G13"/>
      <c r="H13"/>
    </row>
    <row r="14" spans="1:8" x14ac:dyDescent="0.15">
      <c r="A14">
        <v>13</v>
      </c>
      <c r="B14" s="178" t="s">
        <v>204</v>
      </c>
      <c r="C14" s="109">
        <v>1</v>
      </c>
      <c r="D14" s="109">
        <v>0</v>
      </c>
      <c r="E14" s="108">
        <v>0</v>
      </c>
      <c r="F14" s="108">
        <f t="shared" si="0"/>
        <v>1</v>
      </c>
      <c r="G14"/>
      <c r="H14"/>
    </row>
    <row r="15" spans="1:8" x14ac:dyDescent="0.15">
      <c r="A15">
        <v>14</v>
      </c>
      <c r="B15" s="178" t="s">
        <v>205</v>
      </c>
      <c r="C15" s="109">
        <v>1</v>
      </c>
      <c r="D15" s="109">
        <v>0</v>
      </c>
      <c r="E15" s="108">
        <v>0</v>
      </c>
      <c r="F15" s="108">
        <f t="shared" si="0"/>
        <v>1</v>
      </c>
      <c r="G15"/>
      <c r="H15"/>
    </row>
    <row r="16" spans="1:8" x14ac:dyDescent="0.15">
      <c r="A16">
        <v>15</v>
      </c>
      <c r="B16" s="178" t="s">
        <v>206</v>
      </c>
      <c r="C16" s="109">
        <v>1</v>
      </c>
      <c r="D16" s="109">
        <v>0</v>
      </c>
      <c r="E16" s="108">
        <v>0</v>
      </c>
      <c r="F16" s="108">
        <f t="shared" si="0"/>
        <v>1</v>
      </c>
      <c r="G16"/>
      <c r="H16"/>
    </row>
    <row r="17" spans="1:8" ht="15" customHeight="1" x14ac:dyDescent="0.15">
      <c r="A17">
        <v>16</v>
      </c>
      <c r="B17" s="178" t="s">
        <v>207</v>
      </c>
      <c r="C17" s="109">
        <v>1</v>
      </c>
      <c r="D17" s="109">
        <v>0</v>
      </c>
      <c r="E17" s="108">
        <v>0</v>
      </c>
      <c r="F17" s="108">
        <f t="shared" si="0"/>
        <v>1</v>
      </c>
      <c r="G17"/>
      <c r="H17"/>
    </row>
    <row r="18" spans="1:8" ht="15" customHeight="1" x14ac:dyDescent="0.15">
      <c r="A18">
        <v>17</v>
      </c>
      <c r="B18" s="178" t="s">
        <v>208</v>
      </c>
      <c r="C18" s="109">
        <v>1</v>
      </c>
      <c r="D18" s="109">
        <v>0</v>
      </c>
      <c r="E18" s="108">
        <v>0</v>
      </c>
      <c r="F18" s="108">
        <f t="shared" si="0"/>
        <v>1</v>
      </c>
      <c r="G18"/>
      <c r="H18"/>
    </row>
    <row r="19" spans="1:8" ht="15" customHeight="1" x14ac:dyDescent="0.15">
      <c r="A19">
        <v>18</v>
      </c>
      <c r="B19" s="178" t="s">
        <v>209</v>
      </c>
      <c r="C19" s="109">
        <v>1</v>
      </c>
      <c r="D19" s="109">
        <v>0</v>
      </c>
      <c r="E19" s="108">
        <v>0</v>
      </c>
      <c r="F19" s="108">
        <f t="shared" si="0"/>
        <v>1</v>
      </c>
      <c r="G19"/>
      <c r="H19"/>
    </row>
    <row r="20" spans="1:8" ht="15" customHeight="1" x14ac:dyDescent="0.15">
      <c r="A20">
        <v>19</v>
      </c>
      <c r="B20" s="178" t="s">
        <v>210</v>
      </c>
      <c r="C20" s="109">
        <v>1</v>
      </c>
      <c r="D20" s="109">
        <v>0</v>
      </c>
      <c r="E20" s="108">
        <v>0</v>
      </c>
      <c r="F20" s="108">
        <f t="shared" si="0"/>
        <v>1</v>
      </c>
      <c r="G20"/>
      <c r="H20"/>
    </row>
    <row r="21" spans="1:8" ht="15" customHeight="1" x14ac:dyDescent="0.15">
      <c r="A21">
        <v>20</v>
      </c>
      <c r="B21" s="178" t="s">
        <v>211</v>
      </c>
      <c r="C21" s="109">
        <v>1</v>
      </c>
      <c r="D21" s="109">
        <v>0</v>
      </c>
      <c r="E21" s="108">
        <v>0</v>
      </c>
      <c r="F21" s="108">
        <f t="shared" si="0"/>
        <v>1</v>
      </c>
      <c r="G21"/>
      <c r="H21"/>
    </row>
    <row r="22" spans="1:8" ht="15" customHeight="1" x14ac:dyDescent="0.15">
      <c r="A22">
        <v>21</v>
      </c>
      <c r="B22" s="178" t="s">
        <v>212</v>
      </c>
      <c r="C22" s="109">
        <v>1</v>
      </c>
      <c r="D22" s="109">
        <v>0</v>
      </c>
      <c r="E22" s="108">
        <v>0</v>
      </c>
      <c r="F22" s="108">
        <f t="shared" si="0"/>
        <v>1</v>
      </c>
      <c r="G22"/>
      <c r="H22"/>
    </row>
    <row r="23" spans="1:8" ht="15" customHeight="1" x14ac:dyDescent="0.15">
      <c r="A23">
        <v>22</v>
      </c>
      <c r="B23" s="178" t="s">
        <v>213</v>
      </c>
      <c r="C23" s="109">
        <v>1</v>
      </c>
      <c r="D23" s="109">
        <v>0</v>
      </c>
      <c r="E23" s="108">
        <v>0</v>
      </c>
      <c r="F23" s="108">
        <f t="shared" si="0"/>
        <v>1</v>
      </c>
      <c r="G23"/>
      <c r="H23"/>
    </row>
    <row r="24" spans="1:8" ht="15" customHeight="1" x14ac:dyDescent="0.15">
      <c r="A24">
        <v>23</v>
      </c>
      <c r="B24" s="178" t="s">
        <v>214</v>
      </c>
      <c r="C24" s="109">
        <v>1</v>
      </c>
      <c r="D24" s="109">
        <v>0</v>
      </c>
      <c r="E24" s="108">
        <v>0</v>
      </c>
      <c r="F24" s="108">
        <f t="shared" si="0"/>
        <v>1</v>
      </c>
      <c r="G24"/>
      <c r="H24"/>
    </row>
    <row r="25" spans="1:8" ht="15" customHeight="1" x14ac:dyDescent="0.15">
      <c r="A25">
        <v>24</v>
      </c>
      <c r="B25" s="178" t="s">
        <v>215</v>
      </c>
      <c r="C25" s="109">
        <v>1</v>
      </c>
      <c r="D25" s="109">
        <v>0</v>
      </c>
      <c r="E25" s="108">
        <v>0</v>
      </c>
      <c r="F25" s="108">
        <f t="shared" si="0"/>
        <v>1</v>
      </c>
      <c r="G25"/>
      <c r="H25"/>
    </row>
    <row r="26" spans="1:8" ht="15" customHeight="1" x14ac:dyDescent="0.15">
      <c r="A26">
        <v>25</v>
      </c>
      <c r="B26" s="178" t="s">
        <v>216</v>
      </c>
      <c r="C26" s="109">
        <v>1</v>
      </c>
      <c r="D26" s="109">
        <v>0</v>
      </c>
      <c r="E26" s="108">
        <v>0</v>
      </c>
      <c r="F26" s="108">
        <f t="shared" si="0"/>
        <v>1</v>
      </c>
      <c r="G26"/>
      <c r="H26"/>
    </row>
    <row r="27" spans="1:8" ht="15" customHeight="1" x14ac:dyDescent="0.15">
      <c r="A27">
        <v>26</v>
      </c>
      <c r="B27" s="178" t="s">
        <v>217</v>
      </c>
      <c r="C27" s="109">
        <v>1</v>
      </c>
      <c r="D27" s="109">
        <v>0</v>
      </c>
      <c r="E27" s="108">
        <v>0</v>
      </c>
      <c r="F27" s="108">
        <f t="shared" si="0"/>
        <v>1</v>
      </c>
      <c r="G27"/>
      <c r="H27"/>
    </row>
    <row r="28" spans="1:8" ht="15" customHeight="1" x14ac:dyDescent="0.15">
      <c r="A28">
        <v>27</v>
      </c>
      <c r="B28" s="178" t="s">
        <v>218</v>
      </c>
      <c r="C28" s="109">
        <v>1</v>
      </c>
      <c r="D28" s="109">
        <v>0</v>
      </c>
      <c r="E28" s="108">
        <v>0</v>
      </c>
      <c r="F28" s="108">
        <f t="shared" si="0"/>
        <v>1</v>
      </c>
      <c r="G28"/>
      <c r="H28"/>
    </row>
    <row r="29" spans="1:8" ht="15" customHeight="1" x14ac:dyDescent="0.15">
      <c r="A29">
        <v>28</v>
      </c>
      <c r="B29" s="178" t="s">
        <v>219</v>
      </c>
      <c r="C29" s="109">
        <v>1</v>
      </c>
      <c r="D29" s="109">
        <v>0</v>
      </c>
      <c r="E29" s="108">
        <v>0</v>
      </c>
      <c r="F29" s="108">
        <f t="shared" si="0"/>
        <v>1</v>
      </c>
      <c r="G29"/>
      <c r="H29"/>
    </row>
    <row r="30" spans="1:8" ht="15" customHeight="1" x14ac:dyDescent="0.15">
      <c r="A30">
        <v>29</v>
      </c>
      <c r="B30" s="178" t="s">
        <v>220</v>
      </c>
      <c r="C30" s="109">
        <v>1</v>
      </c>
      <c r="D30" s="109">
        <v>0</v>
      </c>
      <c r="E30" s="108">
        <v>0</v>
      </c>
      <c r="F30" s="108">
        <f t="shared" si="0"/>
        <v>1</v>
      </c>
      <c r="G30"/>
      <c r="H30"/>
    </row>
    <row r="31" spans="1:8" ht="15" customHeight="1" x14ac:dyDescent="0.15">
      <c r="A31">
        <v>30</v>
      </c>
      <c r="B31" s="178" t="s">
        <v>221</v>
      </c>
      <c r="C31" s="109">
        <v>1</v>
      </c>
      <c r="D31" s="109">
        <v>0</v>
      </c>
      <c r="E31" s="108">
        <v>0</v>
      </c>
      <c r="F31" s="108">
        <f t="shared" si="0"/>
        <v>1</v>
      </c>
      <c r="G31"/>
      <c r="H31"/>
    </row>
    <row r="32" spans="1:8" ht="15" customHeight="1" x14ac:dyDescent="0.15">
      <c r="A32">
        <v>31</v>
      </c>
      <c r="B32" s="178" t="s">
        <v>222</v>
      </c>
      <c r="C32" s="109">
        <v>0</v>
      </c>
      <c r="D32" s="109">
        <v>1</v>
      </c>
      <c r="E32" s="108">
        <v>0</v>
      </c>
      <c r="F32" s="108">
        <f t="shared" si="0"/>
        <v>1</v>
      </c>
    </row>
    <row r="33" spans="1:8" ht="15" customHeight="1" x14ac:dyDescent="0.15">
      <c r="A33">
        <v>32</v>
      </c>
      <c r="B33" s="178" t="s">
        <v>223</v>
      </c>
      <c r="C33" s="109">
        <v>0</v>
      </c>
      <c r="D33" s="109">
        <v>0</v>
      </c>
      <c r="E33" s="108">
        <v>1</v>
      </c>
      <c r="F33" s="108">
        <f t="shared" si="0"/>
        <v>1</v>
      </c>
    </row>
    <row r="34" spans="1:8" ht="15" customHeight="1" x14ac:dyDescent="0.15">
      <c r="A34">
        <v>33</v>
      </c>
      <c r="B34" s="178" t="s">
        <v>224</v>
      </c>
      <c r="C34" s="109">
        <v>1</v>
      </c>
      <c r="D34" s="109">
        <v>0</v>
      </c>
      <c r="E34" s="108">
        <v>0</v>
      </c>
      <c r="F34" s="108">
        <f t="shared" si="0"/>
        <v>1</v>
      </c>
    </row>
    <row r="35" spans="1:8" ht="15" customHeight="1" x14ac:dyDescent="0.15"/>
    <row r="36" spans="1:8" ht="15" customHeight="1" x14ac:dyDescent="0.15">
      <c r="C36"/>
      <c r="D36"/>
      <c r="E36" s="109"/>
      <c r="F36" s="109"/>
      <c r="G36"/>
      <c r="H36"/>
    </row>
    <row r="37" spans="1:8" ht="15" customHeight="1" x14ac:dyDescent="0.15">
      <c r="C37"/>
      <c r="D37"/>
      <c r="E37" s="109"/>
      <c r="F37" s="109"/>
      <c r="G37"/>
      <c r="H37"/>
    </row>
    <row r="38" spans="1:8" ht="15" customHeight="1" x14ac:dyDescent="0.15">
      <c r="C38"/>
      <c r="D38"/>
      <c r="E38" s="109"/>
      <c r="F38" s="109"/>
      <c r="G38"/>
      <c r="H38"/>
    </row>
    <row r="39" spans="1:8" ht="15" customHeight="1" x14ac:dyDescent="0.15">
      <c r="C39"/>
      <c r="D39"/>
      <c r="E39" s="109"/>
      <c r="F39" s="109"/>
      <c r="G39"/>
      <c r="H39"/>
    </row>
    <row r="40" spans="1:8" ht="15" customHeight="1" x14ac:dyDescent="0.15">
      <c r="C40"/>
      <c r="D40"/>
      <c r="E40" s="109"/>
      <c r="F40" s="109"/>
      <c r="G40"/>
      <c r="H40"/>
    </row>
    <row r="41" spans="1:8" ht="15" customHeight="1" x14ac:dyDescent="0.15">
      <c r="C41"/>
      <c r="D41"/>
      <c r="E41" s="109"/>
      <c r="F41" s="109"/>
      <c r="G41"/>
      <c r="H41"/>
    </row>
    <row r="42" spans="1:8" ht="15" customHeight="1" x14ac:dyDescent="0.15">
      <c r="C42"/>
      <c r="D42"/>
      <c r="E42" s="109"/>
      <c r="F42" s="109"/>
      <c r="G42"/>
      <c r="H42"/>
    </row>
    <row r="43" spans="1:8" ht="15" customHeight="1" x14ac:dyDescent="0.15">
      <c r="C43"/>
      <c r="D43"/>
      <c r="E43" s="109"/>
      <c r="F43" s="109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9"/>
      <c r="F46" s="109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16" activePane="bottomRight" state="frozen"/>
      <selection pane="topRight" activeCell="D1" sqref="D1"/>
      <selection pane="bottomLeft" activeCell="A2" sqref="A2"/>
      <selection pane="bottomRight" activeCell="F2" sqref="F2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18.33203125" customWidth="1"/>
    <col min="5" max="5" width="12.1640625" bestFit="1" customWidth="1"/>
  </cols>
  <sheetData>
    <row r="1" spans="1:5" s="110" customFormat="1" ht="112" x14ac:dyDescent="0.15">
      <c r="A1" s="5" t="s">
        <v>21</v>
      </c>
      <c r="B1" s="3" t="s">
        <v>0</v>
      </c>
      <c r="C1" s="181" t="s">
        <v>224</v>
      </c>
      <c r="D1" s="181" t="s">
        <v>228</v>
      </c>
      <c r="E1"/>
    </row>
    <row r="2" spans="1:5" ht="15" customHeight="1" x14ac:dyDescent="0.15">
      <c r="A2">
        <v>1</v>
      </c>
      <c r="B2" s="180" t="s">
        <v>192</v>
      </c>
      <c r="C2">
        <v>2.0000000000000001E-4</v>
      </c>
      <c r="D2">
        <v>2.0000000000000001E-4</v>
      </c>
    </row>
    <row r="3" spans="1:5" ht="15" customHeight="1" x14ac:dyDescent="0.15">
      <c r="A3">
        <v>2</v>
      </c>
      <c r="B3" s="180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80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80" t="s">
        <v>195</v>
      </c>
      <c r="C5">
        <v>1.7999999999999999E-2</v>
      </c>
      <c r="D5">
        <v>1.7999999999999999E-2</v>
      </c>
    </row>
    <row r="6" spans="1:5" ht="15" customHeight="1" x14ac:dyDescent="0.15">
      <c r="A6">
        <v>5</v>
      </c>
      <c r="B6" s="180" t="s">
        <v>196</v>
      </c>
      <c r="C6">
        <v>1.78E-2</v>
      </c>
      <c r="D6">
        <v>1.78E-2</v>
      </c>
    </row>
    <row r="7" spans="1:5" ht="15" customHeight="1" x14ac:dyDescent="0.15">
      <c r="A7">
        <v>6</v>
      </c>
      <c r="B7" s="180" t="s">
        <v>197</v>
      </c>
      <c r="C7">
        <v>5.28E-2</v>
      </c>
      <c r="D7">
        <v>5.28E-2</v>
      </c>
    </row>
    <row r="8" spans="1:5" ht="15" customHeight="1" x14ac:dyDescent="0.15">
      <c r="A8">
        <v>7</v>
      </c>
      <c r="B8" s="180" t="s">
        <v>198</v>
      </c>
      <c r="C8">
        <v>0.03</v>
      </c>
      <c r="D8">
        <v>0.03</v>
      </c>
    </row>
    <row r="9" spans="1:5" ht="15" customHeight="1" x14ac:dyDescent="0.15">
      <c r="A9">
        <v>8</v>
      </c>
      <c r="B9" s="180" t="s">
        <v>199</v>
      </c>
      <c r="C9">
        <v>6.7999999999999996E-3</v>
      </c>
      <c r="D9">
        <v>6.7999999999999996E-3</v>
      </c>
    </row>
    <row r="10" spans="1:5" ht="15" customHeight="1" x14ac:dyDescent="0.15">
      <c r="A10">
        <v>9</v>
      </c>
      <c r="B10" s="180" t="s">
        <v>200</v>
      </c>
      <c r="C10">
        <v>8.9999999999999993E-3</v>
      </c>
      <c r="D10">
        <v>8.9999999999999993E-3</v>
      </c>
    </row>
    <row r="11" spans="1:5" ht="15" customHeight="1" x14ac:dyDescent="0.15">
      <c r="A11">
        <v>10</v>
      </c>
      <c r="B11" s="180" t="s">
        <v>201</v>
      </c>
      <c r="C11">
        <v>1.6199999999999999E-2</v>
      </c>
      <c r="D11">
        <v>1.6199999999999999E-2</v>
      </c>
    </row>
    <row r="12" spans="1:5" ht="15" customHeight="1" x14ac:dyDescent="0.15">
      <c r="A12">
        <v>11</v>
      </c>
      <c r="B12" s="180" t="s">
        <v>202</v>
      </c>
      <c r="C12">
        <v>2.2599999999999999E-2</v>
      </c>
      <c r="D12">
        <v>2.2599999999999999E-2</v>
      </c>
    </row>
    <row r="13" spans="1:5" ht="15" customHeight="1" x14ac:dyDescent="0.15">
      <c r="A13">
        <v>12</v>
      </c>
      <c r="B13" s="180" t="s">
        <v>203</v>
      </c>
      <c r="C13">
        <v>6.7999999999999996E-3</v>
      </c>
      <c r="D13">
        <v>6.7999999999999996E-3</v>
      </c>
    </row>
    <row r="14" spans="1:5" ht="15" customHeight="1" x14ac:dyDescent="0.15">
      <c r="A14">
        <v>13</v>
      </c>
      <c r="B14" s="180" t="s">
        <v>204</v>
      </c>
      <c r="C14">
        <v>7.22E-2</v>
      </c>
      <c r="D14">
        <v>7.22E-2</v>
      </c>
    </row>
    <row r="15" spans="1:5" ht="15" customHeight="1" x14ac:dyDescent="0.15">
      <c r="A15">
        <v>14</v>
      </c>
      <c r="B15" s="180" t="s">
        <v>205</v>
      </c>
      <c r="C15">
        <v>2.3599999999999999E-2</v>
      </c>
      <c r="D15">
        <v>2.3599999999999999E-2</v>
      </c>
    </row>
    <row r="16" spans="1:5" ht="15" customHeight="1" x14ac:dyDescent="0.15">
      <c r="A16">
        <v>15</v>
      </c>
      <c r="B16" s="180" t="s">
        <v>206</v>
      </c>
      <c r="C16">
        <v>8.0000000000000002E-3</v>
      </c>
      <c r="D16">
        <v>8.0000000000000002E-3</v>
      </c>
    </row>
    <row r="17" spans="1:4" ht="15" customHeight="1" x14ac:dyDescent="0.15">
      <c r="A17">
        <v>16</v>
      </c>
      <c r="B17" s="180" t="s">
        <v>207</v>
      </c>
      <c r="C17">
        <v>2.0400000000000001E-2</v>
      </c>
      <c r="D17">
        <v>2.0400000000000001E-2</v>
      </c>
    </row>
    <row r="18" spans="1:4" ht="15" customHeight="1" x14ac:dyDescent="0.15">
      <c r="A18">
        <v>17</v>
      </c>
      <c r="B18" s="180" t="s">
        <v>208</v>
      </c>
      <c r="C18">
        <v>8.8200000000000001E-2</v>
      </c>
      <c r="D18">
        <v>8.8200000000000001E-2</v>
      </c>
    </row>
    <row r="19" spans="1:4" ht="15" customHeight="1" x14ac:dyDescent="0.15">
      <c r="A19">
        <v>18</v>
      </c>
      <c r="B19" s="180" t="s">
        <v>209</v>
      </c>
      <c r="C19">
        <v>6.6000000000000003E-2</v>
      </c>
      <c r="D19">
        <v>6.6000000000000003E-2</v>
      </c>
    </row>
    <row r="20" spans="1:4" ht="15" customHeight="1" x14ac:dyDescent="0.15">
      <c r="A20">
        <v>19</v>
      </c>
      <c r="B20" s="180" t="s">
        <v>210</v>
      </c>
      <c r="C20">
        <v>0.80879999999999996</v>
      </c>
      <c r="D20">
        <v>0.80879999999999996</v>
      </c>
    </row>
    <row r="21" spans="1:4" ht="15" customHeight="1" x14ac:dyDescent="0.15">
      <c r="A21">
        <v>20</v>
      </c>
      <c r="B21" s="180" t="s">
        <v>211</v>
      </c>
      <c r="C21">
        <v>0.49080000000000001</v>
      </c>
      <c r="D21">
        <v>0.49080000000000001</v>
      </c>
    </row>
    <row r="22" spans="1:4" ht="15" customHeight="1" x14ac:dyDescent="0.15">
      <c r="A22">
        <v>21</v>
      </c>
      <c r="B22" s="180" t="s">
        <v>212</v>
      </c>
      <c r="C22">
        <v>2.8199999999999999E-2</v>
      </c>
      <c r="D22">
        <v>2.8199999999999999E-2</v>
      </c>
    </row>
    <row r="23" spans="1:4" ht="15" customHeight="1" x14ac:dyDescent="0.15">
      <c r="A23">
        <v>22</v>
      </c>
      <c r="B23" s="180" t="s">
        <v>213</v>
      </c>
      <c r="C23">
        <v>4.0399999999999998E-2</v>
      </c>
      <c r="D23">
        <v>4.0399999999999998E-2</v>
      </c>
    </row>
    <row r="24" spans="1:4" ht="15" customHeight="1" x14ac:dyDescent="0.15">
      <c r="A24">
        <v>23</v>
      </c>
      <c r="B24" s="180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80" t="s">
        <v>215</v>
      </c>
      <c r="C25">
        <v>0.63200000000000001</v>
      </c>
      <c r="D25">
        <v>0.63200000000000001</v>
      </c>
    </row>
    <row r="26" spans="1:4" ht="15" customHeight="1" x14ac:dyDescent="0.15">
      <c r="A26">
        <v>25</v>
      </c>
      <c r="B26" s="180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80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80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80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80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80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80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80" t="s">
        <v>223</v>
      </c>
      <c r="C33">
        <v>0</v>
      </c>
      <c r="D33">
        <v>0</v>
      </c>
    </row>
    <row r="34" spans="1:4" ht="15" customHeight="1" x14ac:dyDescent="0.15"/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M19" sqref="M19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16.5" customWidth="1"/>
    <col min="5" max="5" width="12.1640625" bestFit="1" customWidth="1"/>
  </cols>
  <sheetData>
    <row r="1" spans="1:4" s="110" customFormat="1" ht="112" x14ac:dyDescent="0.15">
      <c r="A1" s="5" t="s">
        <v>22</v>
      </c>
      <c r="B1" s="3" t="s">
        <v>0</v>
      </c>
      <c r="C1" s="183" t="s">
        <v>224</v>
      </c>
      <c r="D1" s="183" t="s">
        <v>228</v>
      </c>
    </row>
    <row r="2" spans="1:4" x14ac:dyDescent="0.15">
      <c r="A2">
        <v>1</v>
      </c>
      <c r="B2" s="182" t="s">
        <v>192</v>
      </c>
      <c r="C2">
        <v>0</v>
      </c>
      <c r="D2">
        <v>0</v>
      </c>
    </row>
    <row r="3" spans="1:4" x14ac:dyDescent="0.15">
      <c r="A3">
        <v>2</v>
      </c>
      <c r="B3" s="182" t="s">
        <v>193</v>
      </c>
      <c r="C3">
        <v>0</v>
      </c>
      <c r="D3">
        <v>0</v>
      </c>
    </row>
    <row r="4" spans="1:4" x14ac:dyDescent="0.15">
      <c r="A4">
        <v>3</v>
      </c>
      <c r="B4" s="182" t="s">
        <v>194</v>
      </c>
      <c r="C4">
        <v>0</v>
      </c>
      <c r="D4">
        <v>0</v>
      </c>
    </row>
    <row r="5" spans="1:4" x14ac:dyDescent="0.15">
      <c r="A5">
        <v>4</v>
      </c>
      <c r="B5" s="182" t="s">
        <v>195</v>
      </c>
      <c r="C5">
        <v>0</v>
      </c>
      <c r="D5">
        <v>0</v>
      </c>
    </row>
    <row r="6" spans="1:4" x14ac:dyDescent="0.15">
      <c r="A6">
        <v>5</v>
      </c>
      <c r="B6" s="182" t="s">
        <v>196</v>
      </c>
      <c r="C6">
        <v>0</v>
      </c>
      <c r="D6">
        <v>0</v>
      </c>
    </row>
    <row r="7" spans="1:4" x14ac:dyDescent="0.15">
      <c r="A7">
        <v>6</v>
      </c>
      <c r="B7" s="182" t="s">
        <v>197</v>
      </c>
      <c r="C7">
        <v>0</v>
      </c>
      <c r="D7">
        <v>0</v>
      </c>
    </row>
    <row r="8" spans="1:4" x14ac:dyDescent="0.15">
      <c r="A8">
        <v>7</v>
      </c>
      <c r="B8" s="182" t="s">
        <v>198</v>
      </c>
      <c r="C8">
        <v>0</v>
      </c>
      <c r="D8">
        <v>0</v>
      </c>
    </row>
    <row r="9" spans="1:4" x14ac:dyDescent="0.15">
      <c r="A9">
        <v>8</v>
      </c>
      <c r="B9" s="182" t="s">
        <v>199</v>
      </c>
      <c r="C9">
        <v>0</v>
      </c>
      <c r="D9">
        <v>0</v>
      </c>
    </row>
    <row r="10" spans="1:4" x14ac:dyDescent="0.15">
      <c r="A10">
        <v>9</v>
      </c>
      <c r="B10" s="182" t="s">
        <v>200</v>
      </c>
      <c r="C10">
        <v>0</v>
      </c>
      <c r="D10">
        <v>0</v>
      </c>
    </row>
    <row r="11" spans="1:4" x14ac:dyDescent="0.15">
      <c r="A11">
        <v>10</v>
      </c>
      <c r="B11" s="182" t="s">
        <v>201</v>
      </c>
      <c r="C11">
        <v>0</v>
      </c>
      <c r="D11">
        <v>0</v>
      </c>
    </row>
    <row r="12" spans="1:4" x14ac:dyDescent="0.15">
      <c r="A12">
        <v>11</v>
      </c>
      <c r="B12" s="182" t="s">
        <v>202</v>
      </c>
      <c r="C12">
        <v>0</v>
      </c>
      <c r="D12">
        <v>0</v>
      </c>
    </row>
    <row r="13" spans="1:4" x14ac:dyDescent="0.15">
      <c r="A13">
        <v>12</v>
      </c>
      <c r="B13" s="182" t="s">
        <v>203</v>
      </c>
      <c r="C13">
        <v>0</v>
      </c>
      <c r="D13">
        <v>0</v>
      </c>
    </row>
    <row r="14" spans="1:4" x14ac:dyDescent="0.15">
      <c r="A14">
        <v>13</v>
      </c>
      <c r="B14" s="182" t="s">
        <v>204</v>
      </c>
      <c r="C14">
        <v>0</v>
      </c>
      <c r="D14">
        <v>0</v>
      </c>
    </row>
    <row r="15" spans="1:4" x14ac:dyDescent="0.15">
      <c r="A15">
        <v>14</v>
      </c>
      <c r="B15" s="182" t="s">
        <v>205</v>
      </c>
      <c r="C15">
        <v>0</v>
      </c>
      <c r="D15">
        <v>0</v>
      </c>
    </row>
    <row r="16" spans="1:4" x14ac:dyDescent="0.15">
      <c r="A16">
        <v>15</v>
      </c>
      <c r="B16" s="182" t="s">
        <v>206</v>
      </c>
      <c r="C16">
        <v>0</v>
      </c>
      <c r="D16">
        <v>0</v>
      </c>
    </row>
    <row r="17" spans="1:4" x14ac:dyDescent="0.15">
      <c r="A17">
        <v>16</v>
      </c>
      <c r="B17" s="182" t="s">
        <v>207</v>
      </c>
      <c r="C17">
        <v>0</v>
      </c>
      <c r="D17">
        <v>0</v>
      </c>
    </row>
    <row r="18" spans="1:4" x14ac:dyDescent="0.15">
      <c r="A18">
        <v>17</v>
      </c>
      <c r="B18" s="182" t="s">
        <v>208</v>
      </c>
      <c r="C18">
        <v>0</v>
      </c>
      <c r="D18">
        <v>0</v>
      </c>
    </row>
    <row r="19" spans="1:4" x14ac:dyDescent="0.15">
      <c r="A19">
        <v>18</v>
      </c>
      <c r="B19" s="182" t="s">
        <v>209</v>
      </c>
      <c r="C19">
        <v>0</v>
      </c>
      <c r="D19">
        <v>0</v>
      </c>
    </row>
    <row r="20" spans="1:4" x14ac:dyDescent="0.15">
      <c r="A20">
        <v>19</v>
      </c>
      <c r="B20" s="182" t="s">
        <v>210</v>
      </c>
      <c r="C20">
        <v>0</v>
      </c>
      <c r="D20">
        <v>0</v>
      </c>
    </row>
    <row r="21" spans="1:4" x14ac:dyDescent="0.15">
      <c r="A21">
        <v>20</v>
      </c>
      <c r="B21" s="182" t="s">
        <v>211</v>
      </c>
      <c r="C21">
        <v>0</v>
      </c>
      <c r="D21">
        <v>0</v>
      </c>
    </row>
    <row r="22" spans="1:4" x14ac:dyDescent="0.15">
      <c r="A22">
        <v>21</v>
      </c>
      <c r="B22" s="182" t="s">
        <v>212</v>
      </c>
      <c r="C22">
        <v>0</v>
      </c>
      <c r="D22">
        <v>0</v>
      </c>
    </row>
    <row r="23" spans="1:4" x14ac:dyDescent="0.15">
      <c r="A23">
        <v>22</v>
      </c>
      <c r="B23" s="182" t="s">
        <v>213</v>
      </c>
      <c r="C23">
        <v>0</v>
      </c>
      <c r="D23">
        <v>0</v>
      </c>
    </row>
    <row r="24" spans="1:4" x14ac:dyDescent="0.15">
      <c r="A24">
        <v>23</v>
      </c>
      <c r="B24" s="182" t="s">
        <v>214</v>
      </c>
      <c r="C24">
        <v>0</v>
      </c>
      <c r="D24">
        <v>0</v>
      </c>
    </row>
    <row r="25" spans="1:4" x14ac:dyDescent="0.15">
      <c r="A25">
        <v>24</v>
      </c>
      <c r="B25" s="182" t="s">
        <v>215</v>
      </c>
      <c r="C25">
        <v>0</v>
      </c>
      <c r="D25">
        <v>0</v>
      </c>
    </row>
    <row r="26" spans="1:4" x14ac:dyDescent="0.15">
      <c r="A26">
        <v>25</v>
      </c>
      <c r="B26" s="182" t="s">
        <v>216</v>
      </c>
      <c r="C26">
        <v>0</v>
      </c>
      <c r="D26">
        <v>0</v>
      </c>
    </row>
    <row r="27" spans="1:4" x14ac:dyDescent="0.15">
      <c r="A27">
        <v>26</v>
      </c>
      <c r="B27" s="182" t="s">
        <v>217</v>
      </c>
      <c r="C27">
        <v>0</v>
      </c>
      <c r="D27">
        <v>0</v>
      </c>
    </row>
    <row r="28" spans="1:4" x14ac:dyDescent="0.15">
      <c r="A28">
        <v>27</v>
      </c>
      <c r="B28" s="182" t="s">
        <v>218</v>
      </c>
      <c r="C28">
        <v>0</v>
      </c>
      <c r="D28">
        <v>0</v>
      </c>
    </row>
    <row r="29" spans="1:4" x14ac:dyDescent="0.15">
      <c r="A29">
        <v>28</v>
      </c>
      <c r="B29" s="182" t="s">
        <v>219</v>
      </c>
      <c r="C29">
        <v>0</v>
      </c>
      <c r="D29">
        <v>0</v>
      </c>
    </row>
    <row r="30" spans="1:4" x14ac:dyDescent="0.15">
      <c r="A30">
        <v>29</v>
      </c>
      <c r="B30" s="182" t="s">
        <v>220</v>
      </c>
      <c r="C30">
        <v>0</v>
      </c>
      <c r="D30">
        <v>0</v>
      </c>
    </row>
    <row r="31" spans="1:4" x14ac:dyDescent="0.15">
      <c r="A31">
        <v>30</v>
      </c>
      <c r="B31" s="182" t="s">
        <v>221</v>
      </c>
      <c r="C31">
        <v>0</v>
      </c>
      <c r="D31">
        <v>0</v>
      </c>
    </row>
    <row r="32" spans="1:4" x14ac:dyDescent="0.15">
      <c r="A32">
        <v>31</v>
      </c>
      <c r="B32" s="182" t="s">
        <v>222</v>
      </c>
      <c r="C32">
        <v>0</v>
      </c>
      <c r="D32">
        <v>0</v>
      </c>
    </row>
    <row r="33" spans="1:4" x14ac:dyDescent="0.15">
      <c r="A33">
        <v>32</v>
      </c>
      <c r="B33" s="182" t="s">
        <v>223</v>
      </c>
      <c r="C33">
        <v>0</v>
      </c>
      <c r="D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4" t="s">
        <v>192</v>
      </c>
      <c r="F2">
        <v>0.98</v>
      </c>
      <c r="G2">
        <v>0.8</v>
      </c>
      <c r="H2">
        <v>0.8</v>
      </c>
      <c r="I2">
        <v>0.8</v>
      </c>
      <c r="J2" s="109">
        <v>0.25</v>
      </c>
      <c r="K2" s="109">
        <v>0.05</v>
      </c>
    </row>
    <row r="3" spans="1:42" x14ac:dyDescent="0.15">
      <c r="A3" s="118" t="s">
        <v>75</v>
      </c>
      <c r="B3" s="120">
        <v>1</v>
      </c>
      <c r="D3">
        <v>2</v>
      </c>
      <c r="E3" s="184" t="s">
        <v>193</v>
      </c>
      <c r="F3">
        <v>0.98</v>
      </c>
      <c r="G3">
        <v>0.8</v>
      </c>
      <c r="H3">
        <v>0.8</v>
      </c>
      <c r="I3">
        <v>0.8</v>
      </c>
      <c r="J3" s="109">
        <v>0.25</v>
      </c>
      <c r="K3" s="109">
        <v>0.05</v>
      </c>
    </row>
    <row r="4" spans="1:42" x14ac:dyDescent="0.15">
      <c r="A4" s="118" t="s">
        <v>76</v>
      </c>
      <c r="B4" s="120">
        <v>1</v>
      </c>
      <c r="D4">
        <v>3</v>
      </c>
      <c r="E4" s="184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4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4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4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4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4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4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4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4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4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4" t="s">
        <v>219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4" t="s">
        <v>220</v>
      </c>
      <c r="F30">
        <v>0.98</v>
      </c>
      <c r="G30">
        <v>0.8</v>
      </c>
      <c r="H30">
        <v>0.8</v>
      </c>
      <c r="I30">
        <v>0</v>
      </c>
      <c r="J30" s="109">
        <v>0</v>
      </c>
      <c r="K30" s="109">
        <v>0</v>
      </c>
      <c r="Y30"/>
      <c r="AC30"/>
      <c r="AG30"/>
    </row>
    <row r="31" spans="4:33" ht="15" customHeight="1" x14ac:dyDescent="0.15">
      <c r="D31">
        <v>30</v>
      </c>
      <c r="E31" s="184" t="s">
        <v>221</v>
      </c>
      <c r="F31">
        <v>0.98</v>
      </c>
      <c r="G31">
        <v>0.8</v>
      </c>
      <c r="H31">
        <v>0.8</v>
      </c>
      <c r="I31">
        <v>0</v>
      </c>
      <c r="J31" s="109">
        <v>0</v>
      </c>
      <c r="K31" s="109">
        <v>0</v>
      </c>
      <c r="Y31"/>
      <c r="AC31"/>
      <c r="AG31"/>
    </row>
    <row r="32" spans="4:33" ht="15" customHeight="1" x14ac:dyDescent="0.15">
      <c r="D32">
        <v>31</v>
      </c>
      <c r="E32" s="184" t="s">
        <v>222</v>
      </c>
      <c r="F32">
        <v>0.98</v>
      </c>
      <c r="G32">
        <v>0.8</v>
      </c>
      <c r="H32">
        <v>0</v>
      </c>
      <c r="I32">
        <v>0</v>
      </c>
      <c r="J32" s="109">
        <v>0</v>
      </c>
      <c r="K32" s="109">
        <v>0</v>
      </c>
      <c r="Y32"/>
      <c r="AC32"/>
      <c r="AG32"/>
    </row>
    <row r="33" spans="4:33" ht="15" customHeight="1" x14ac:dyDescent="0.15">
      <c r="D33">
        <v>32</v>
      </c>
      <c r="E33" s="184" t="s">
        <v>223</v>
      </c>
      <c r="F33">
        <v>0.98</v>
      </c>
      <c r="G33">
        <v>0.8</v>
      </c>
      <c r="H33">
        <v>0</v>
      </c>
      <c r="I33">
        <v>0</v>
      </c>
      <c r="J33" s="109">
        <v>0</v>
      </c>
      <c r="K33" s="109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29" width="3.83203125" style="107" customWidth="1"/>
    <col min="30" max="33" width="2.33203125" style="107" customWidth="1"/>
    <col min="34" max="16384" width="10.83203125" style="107"/>
  </cols>
  <sheetData>
    <row r="1" spans="1:33" x14ac:dyDescent="0.15">
      <c r="A1" s="62" t="s">
        <v>118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</row>
    <row r="2" spans="1:33" customFormat="1" x14ac:dyDescent="0.15">
      <c r="A2" s="185" t="s">
        <v>192</v>
      </c>
      <c r="B2" s="107">
        <v>0.8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</row>
    <row r="3" spans="1:33" customFormat="1" x14ac:dyDescent="0.15">
      <c r="A3" s="185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</row>
    <row r="4" spans="1:33" customFormat="1" x14ac:dyDescent="0.15">
      <c r="A4" s="185" t="s">
        <v>194</v>
      </c>
      <c r="B4" s="107">
        <v>0.8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</row>
    <row r="5" spans="1:33" customFormat="1" x14ac:dyDescent="0.15">
      <c r="A5" s="185" t="s">
        <v>195</v>
      </c>
      <c r="B5" s="107">
        <v>0.8</v>
      </c>
      <c r="C5" s="107">
        <v>0</v>
      </c>
      <c r="D5" s="107">
        <v>0</v>
      </c>
      <c r="E5" s="107">
        <v>0</v>
      </c>
      <c r="F5" s="107">
        <v>0.8</v>
      </c>
      <c r="G5" s="107">
        <v>0.8</v>
      </c>
      <c r="H5" s="107">
        <v>0.8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</row>
    <row r="6" spans="1:33" customFormat="1" x14ac:dyDescent="0.15">
      <c r="A6" s="185" t="s">
        <v>196</v>
      </c>
      <c r="B6" s="107">
        <v>0.8</v>
      </c>
      <c r="C6" s="107">
        <v>0</v>
      </c>
      <c r="D6" s="107">
        <v>0.8</v>
      </c>
      <c r="E6" s="107">
        <v>0</v>
      </c>
      <c r="F6" s="107">
        <v>0</v>
      </c>
      <c r="G6" s="107">
        <v>0.8</v>
      </c>
      <c r="H6" s="107">
        <v>0.8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</row>
    <row r="7" spans="1:33" customFormat="1" x14ac:dyDescent="0.15">
      <c r="A7" s="185" t="s">
        <v>197</v>
      </c>
      <c r="B7" s="107">
        <v>0.8</v>
      </c>
      <c r="C7" s="107">
        <v>0</v>
      </c>
      <c r="D7" s="107">
        <v>0.8</v>
      </c>
      <c r="E7" s="107">
        <v>0</v>
      </c>
      <c r="F7" s="107">
        <v>0</v>
      </c>
      <c r="G7" s="107">
        <v>0</v>
      </c>
      <c r="H7" s="107">
        <v>0.8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</row>
    <row r="8" spans="1:33" customFormat="1" x14ac:dyDescent="0.15">
      <c r="A8" s="185" t="s">
        <v>198</v>
      </c>
      <c r="B8" s="107">
        <v>0.8</v>
      </c>
      <c r="C8" s="107">
        <v>0</v>
      </c>
      <c r="D8" s="107">
        <v>0.8</v>
      </c>
      <c r="E8" s="107">
        <v>0</v>
      </c>
      <c r="F8" s="107">
        <v>0</v>
      </c>
      <c r="G8" s="107">
        <v>0.8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</row>
    <row r="9" spans="1:33" customFormat="1" x14ac:dyDescent="0.15">
      <c r="A9" s="185" t="s">
        <v>199</v>
      </c>
      <c r="B9" s="107">
        <v>0.8</v>
      </c>
      <c r="C9" s="107">
        <v>0.8</v>
      </c>
      <c r="D9" s="107">
        <v>0</v>
      </c>
      <c r="E9" s="107">
        <v>0</v>
      </c>
      <c r="F9" s="107">
        <v>0.8</v>
      </c>
      <c r="G9" s="107">
        <v>0.8</v>
      </c>
      <c r="H9" s="107">
        <v>0.8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0.8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</row>
    <row r="10" spans="1:33" customFormat="1" x14ac:dyDescent="0.15">
      <c r="A10" s="185" t="s">
        <v>200</v>
      </c>
      <c r="B10" s="107">
        <v>0.8</v>
      </c>
      <c r="C10" s="107">
        <v>0.8</v>
      </c>
      <c r="D10" s="107">
        <v>0.8</v>
      </c>
      <c r="E10" s="107">
        <v>0</v>
      </c>
      <c r="F10" s="107">
        <v>0</v>
      </c>
      <c r="G10" s="107">
        <v>0.8</v>
      </c>
      <c r="H10" s="107">
        <v>0.8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</row>
    <row r="11" spans="1:33" customFormat="1" x14ac:dyDescent="0.15">
      <c r="A11" s="185" t="s">
        <v>201</v>
      </c>
      <c r="B11" s="107">
        <v>0.8</v>
      </c>
      <c r="C11" s="107">
        <v>0.8</v>
      </c>
      <c r="D11" s="107">
        <v>0.8</v>
      </c>
      <c r="E11" s="107">
        <v>0</v>
      </c>
      <c r="F11" s="107">
        <v>0.8</v>
      </c>
      <c r="G11" s="107">
        <v>0.8</v>
      </c>
      <c r="H11" s="107">
        <v>0.8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0.8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</row>
    <row r="12" spans="1:33" customFormat="1" x14ac:dyDescent="0.15">
      <c r="A12" s="185" t="s">
        <v>202</v>
      </c>
      <c r="B12" s="107">
        <v>0.8</v>
      </c>
      <c r="C12" s="107">
        <v>0</v>
      </c>
      <c r="D12" s="107">
        <v>0</v>
      </c>
      <c r="E12" s="107">
        <v>0</v>
      </c>
      <c r="F12" s="107">
        <v>0.8</v>
      </c>
      <c r="G12" s="107">
        <v>0.8</v>
      </c>
      <c r="H12" s="107">
        <v>0.8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0.8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</row>
    <row r="13" spans="1:33" customFormat="1" x14ac:dyDescent="0.15">
      <c r="A13" s="185" t="s">
        <v>203</v>
      </c>
      <c r="B13" s="107">
        <v>0.8</v>
      </c>
      <c r="C13" s="107">
        <v>0.8</v>
      </c>
      <c r="D13" s="107">
        <v>0.8</v>
      </c>
      <c r="E13" s="107">
        <v>0</v>
      </c>
      <c r="F13" s="107">
        <v>0.8</v>
      </c>
      <c r="G13" s="107">
        <v>0.8</v>
      </c>
      <c r="H13" s="107">
        <v>0.8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0.8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</row>
    <row r="14" spans="1:33" customFormat="1" x14ac:dyDescent="0.15">
      <c r="A14" s="185" t="s">
        <v>204</v>
      </c>
      <c r="B14" s="107">
        <v>0.8</v>
      </c>
      <c r="C14" s="107">
        <v>0</v>
      </c>
      <c r="D14" s="107">
        <v>0.8</v>
      </c>
      <c r="E14" s="107">
        <v>0</v>
      </c>
      <c r="F14" s="107">
        <v>0</v>
      </c>
      <c r="G14" s="107">
        <v>0.8</v>
      </c>
      <c r="H14" s="107">
        <v>0.8</v>
      </c>
      <c r="I14" s="107">
        <v>0.8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</row>
    <row r="15" spans="1:33" customFormat="1" x14ac:dyDescent="0.15">
      <c r="A15" s="185" t="s">
        <v>205</v>
      </c>
      <c r="B15" s="107">
        <v>0.8</v>
      </c>
      <c r="C15" s="107">
        <v>0.8</v>
      </c>
      <c r="D15" s="107">
        <v>0</v>
      </c>
      <c r="E15" s="107">
        <v>0</v>
      </c>
      <c r="F15" s="107">
        <v>0</v>
      </c>
      <c r="G15" s="107">
        <v>0.8</v>
      </c>
      <c r="H15" s="107">
        <v>0.8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</row>
    <row r="16" spans="1:33" customFormat="1" x14ac:dyDescent="0.15">
      <c r="A16" s="185" t="s">
        <v>206</v>
      </c>
      <c r="B16" s="107">
        <v>0.8</v>
      </c>
      <c r="C16" s="107">
        <v>0.8</v>
      </c>
      <c r="D16" s="107">
        <v>0.8</v>
      </c>
      <c r="E16" s="107">
        <v>0</v>
      </c>
      <c r="F16" s="107">
        <v>0.8</v>
      </c>
      <c r="G16" s="107">
        <v>0.8</v>
      </c>
      <c r="H16" s="107">
        <v>0.8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0.8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</row>
    <row r="17" spans="1:33" customFormat="1" x14ac:dyDescent="0.15">
      <c r="A17" s="185" t="s">
        <v>207</v>
      </c>
      <c r="B17" s="107">
        <v>0.8</v>
      </c>
      <c r="C17" s="107">
        <v>0</v>
      </c>
      <c r="D17" s="107">
        <v>0.8</v>
      </c>
      <c r="E17" s="107">
        <v>0</v>
      </c>
      <c r="F17" s="107">
        <v>0.8</v>
      </c>
      <c r="G17" s="107">
        <v>0.8</v>
      </c>
      <c r="H17" s="107">
        <v>0.8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</row>
    <row r="18" spans="1:33" customFormat="1" x14ac:dyDescent="0.15">
      <c r="A18" s="185" t="s">
        <v>208</v>
      </c>
      <c r="B18" s="107">
        <v>0.8</v>
      </c>
      <c r="C18" s="107">
        <v>0.8</v>
      </c>
      <c r="D18" s="107">
        <v>0.8</v>
      </c>
      <c r="E18" s="107">
        <v>0</v>
      </c>
      <c r="F18" s="107">
        <v>0.8</v>
      </c>
      <c r="G18" s="107">
        <v>0.8</v>
      </c>
      <c r="H18" s="107">
        <v>0.8</v>
      </c>
      <c r="I18" s="107">
        <v>0.8</v>
      </c>
      <c r="J18" s="107">
        <v>0.8</v>
      </c>
      <c r="K18" s="107">
        <v>0.8</v>
      </c>
      <c r="L18" s="107">
        <v>0.8</v>
      </c>
      <c r="M18" s="107">
        <v>0.8</v>
      </c>
      <c r="N18" s="107">
        <v>0.8</v>
      </c>
      <c r="O18" s="107">
        <v>0.8</v>
      </c>
      <c r="P18" s="107">
        <v>0.8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0.8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</row>
    <row r="19" spans="1:33" customFormat="1" x14ac:dyDescent="0.15">
      <c r="A19" s="185" t="s">
        <v>209</v>
      </c>
      <c r="B19" s="107">
        <v>0.8</v>
      </c>
      <c r="C19" s="107">
        <v>0.8</v>
      </c>
      <c r="D19" s="107">
        <v>0.8</v>
      </c>
      <c r="E19" s="107">
        <v>0</v>
      </c>
      <c r="F19" s="107">
        <v>0.8</v>
      </c>
      <c r="G19" s="107">
        <v>0.8</v>
      </c>
      <c r="H19" s="107">
        <v>0.8</v>
      </c>
      <c r="I19" s="107">
        <v>0.8</v>
      </c>
      <c r="J19" s="107">
        <v>0.8</v>
      </c>
      <c r="K19" s="107">
        <v>0.8</v>
      </c>
      <c r="L19" s="107">
        <v>0.8</v>
      </c>
      <c r="M19" s="107">
        <v>0.8</v>
      </c>
      <c r="N19" s="107">
        <v>0.8</v>
      </c>
      <c r="O19" s="107">
        <v>0.8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</row>
    <row r="20" spans="1:33" customFormat="1" x14ac:dyDescent="0.15">
      <c r="A20" s="185" t="s">
        <v>210</v>
      </c>
      <c r="B20" s="107">
        <v>0.8</v>
      </c>
      <c r="C20" s="107">
        <v>0.8</v>
      </c>
      <c r="D20" s="107">
        <v>0.8</v>
      </c>
      <c r="E20" s="107">
        <v>0</v>
      </c>
      <c r="F20" s="107">
        <v>0.8</v>
      </c>
      <c r="G20" s="107">
        <v>0.8</v>
      </c>
      <c r="H20" s="107">
        <v>0.8</v>
      </c>
      <c r="I20" s="107">
        <v>0.8</v>
      </c>
      <c r="J20" s="107">
        <v>0.8</v>
      </c>
      <c r="K20" s="107">
        <v>0.8</v>
      </c>
      <c r="L20" s="107">
        <v>0.8</v>
      </c>
      <c r="M20" s="107">
        <v>0.8</v>
      </c>
      <c r="N20" s="107">
        <v>0.8</v>
      </c>
      <c r="O20" s="107">
        <v>0.8</v>
      </c>
      <c r="P20" s="107">
        <v>0.8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0.8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</row>
    <row r="21" spans="1:33" customFormat="1" x14ac:dyDescent="0.15">
      <c r="A21" s="185" t="s">
        <v>211</v>
      </c>
      <c r="B21" s="107">
        <v>0.8</v>
      </c>
      <c r="C21" s="107">
        <v>0.8</v>
      </c>
      <c r="D21" s="107">
        <v>0.8</v>
      </c>
      <c r="E21" s="107">
        <v>0</v>
      </c>
      <c r="F21" s="107">
        <v>0.8</v>
      </c>
      <c r="G21" s="107">
        <v>0.8</v>
      </c>
      <c r="H21" s="107">
        <v>0.8</v>
      </c>
      <c r="I21" s="107">
        <v>0</v>
      </c>
      <c r="J21" s="107">
        <v>0</v>
      </c>
      <c r="K21" s="107">
        <v>0.8</v>
      </c>
      <c r="L21" s="107">
        <v>0</v>
      </c>
      <c r="M21" s="107">
        <v>0.8</v>
      </c>
      <c r="N21" s="107">
        <v>0.8</v>
      </c>
      <c r="O21" s="107">
        <v>0.8</v>
      </c>
      <c r="P21" s="107">
        <v>0.8</v>
      </c>
      <c r="Q21" s="107">
        <v>0.8</v>
      </c>
      <c r="R21" s="107">
        <v>0</v>
      </c>
      <c r="S21" s="107">
        <v>0</v>
      </c>
      <c r="T21" s="107">
        <v>0</v>
      </c>
      <c r="U21" s="107">
        <v>0</v>
      </c>
      <c r="V21" s="107">
        <v>0.8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</row>
    <row r="22" spans="1:33" customFormat="1" x14ac:dyDescent="0.15">
      <c r="A22" s="185" t="s">
        <v>212</v>
      </c>
      <c r="B22" s="107">
        <v>0.8</v>
      </c>
      <c r="C22" s="107">
        <v>0.8</v>
      </c>
      <c r="D22" s="107">
        <v>0.8</v>
      </c>
      <c r="E22" s="107">
        <v>0</v>
      </c>
      <c r="F22" s="107">
        <v>0.8</v>
      </c>
      <c r="G22" s="107">
        <v>0.8</v>
      </c>
      <c r="H22" s="107">
        <v>0.8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0.8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</row>
    <row r="23" spans="1:33" customFormat="1" x14ac:dyDescent="0.15">
      <c r="A23" s="185" t="s">
        <v>213</v>
      </c>
      <c r="B23" s="107">
        <v>0.8</v>
      </c>
      <c r="C23" s="107">
        <v>0.8</v>
      </c>
      <c r="D23" s="107">
        <v>0.8</v>
      </c>
      <c r="E23" s="107">
        <v>0</v>
      </c>
      <c r="F23" s="107">
        <v>0.8</v>
      </c>
      <c r="G23" s="107">
        <v>0.8</v>
      </c>
      <c r="H23" s="107">
        <v>0.8</v>
      </c>
      <c r="I23" s="107">
        <v>0.8</v>
      </c>
      <c r="J23" s="107">
        <v>0.8</v>
      </c>
      <c r="K23" s="107">
        <v>0.8</v>
      </c>
      <c r="L23" s="107">
        <v>0.8</v>
      </c>
      <c r="M23" s="107">
        <v>0.8</v>
      </c>
      <c r="N23" s="107">
        <v>0.8</v>
      </c>
      <c r="O23" s="107">
        <v>0.8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0.8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</row>
    <row r="24" spans="1:33" customFormat="1" x14ac:dyDescent="0.15">
      <c r="A24" s="185" t="s">
        <v>214</v>
      </c>
      <c r="B24" s="107">
        <v>0.8</v>
      </c>
      <c r="C24" s="107">
        <v>0.8</v>
      </c>
      <c r="D24" s="107">
        <v>0.8</v>
      </c>
      <c r="E24" s="107">
        <v>0</v>
      </c>
      <c r="F24" s="107">
        <v>0.8</v>
      </c>
      <c r="G24" s="107">
        <v>0.8</v>
      </c>
      <c r="H24" s="107">
        <v>0.8</v>
      </c>
      <c r="I24" s="107">
        <v>0.8</v>
      </c>
      <c r="J24" s="107">
        <v>0.8</v>
      </c>
      <c r="K24" s="107">
        <v>0.8</v>
      </c>
      <c r="L24" s="107">
        <v>0.8</v>
      </c>
      <c r="M24" s="107">
        <v>0.8</v>
      </c>
      <c r="N24" s="107">
        <v>0.8</v>
      </c>
      <c r="O24" s="107">
        <v>0.8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0.8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</row>
    <row r="25" spans="1:33" customFormat="1" x14ac:dyDescent="0.15">
      <c r="A25" s="185" t="s">
        <v>215</v>
      </c>
      <c r="B25" s="107">
        <v>0.8</v>
      </c>
      <c r="C25" s="107">
        <v>0.8</v>
      </c>
      <c r="D25" s="107">
        <v>0.8</v>
      </c>
      <c r="E25" s="107">
        <v>0.8</v>
      </c>
      <c r="F25" s="107">
        <v>0.8</v>
      </c>
      <c r="G25" s="107">
        <v>0.8</v>
      </c>
      <c r="H25" s="107">
        <v>0.8</v>
      </c>
      <c r="I25" s="107">
        <v>0.8</v>
      </c>
      <c r="J25" s="107">
        <v>0.8</v>
      </c>
      <c r="K25" s="107">
        <v>0.8</v>
      </c>
      <c r="L25" s="107">
        <v>0.8</v>
      </c>
      <c r="M25" s="107">
        <v>0.8</v>
      </c>
      <c r="N25" s="107">
        <v>0.8</v>
      </c>
      <c r="O25" s="107">
        <v>0.8</v>
      </c>
      <c r="P25" s="107">
        <v>0.8</v>
      </c>
      <c r="Q25" s="107">
        <v>0.8</v>
      </c>
      <c r="R25" s="107">
        <v>0.8</v>
      </c>
      <c r="S25" s="107">
        <v>0.8</v>
      </c>
      <c r="T25" s="107">
        <v>0</v>
      </c>
      <c r="U25" s="107">
        <v>0</v>
      </c>
      <c r="V25" s="107">
        <v>0.8</v>
      </c>
      <c r="W25" s="107">
        <v>0</v>
      </c>
      <c r="X25" s="107">
        <v>0.8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</row>
    <row r="26" spans="1:33" customFormat="1" x14ac:dyDescent="0.15">
      <c r="A26" s="185" t="s">
        <v>216</v>
      </c>
      <c r="B26" s="107">
        <v>0.8</v>
      </c>
      <c r="C26" s="107">
        <v>0.8</v>
      </c>
      <c r="D26" s="107">
        <v>0.8</v>
      </c>
      <c r="E26" s="107">
        <v>0</v>
      </c>
      <c r="F26" s="107">
        <v>0.8</v>
      </c>
      <c r="G26" s="107">
        <v>0.8</v>
      </c>
      <c r="H26" s="107">
        <v>0.8</v>
      </c>
      <c r="I26" s="107">
        <v>0.8</v>
      </c>
      <c r="J26" s="107">
        <v>0.8</v>
      </c>
      <c r="K26" s="107">
        <v>0.8</v>
      </c>
      <c r="L26" s="107">
        <v>0.8</v>
      </c>
      <c r="M26" s="107">
        <v>0.8</v>
      </c>
      <c r="N26" s="107">
        <v>0.8</v>
      </c>
      <c r="O26" s="107">
        <v>0</v>
      </c>
      <c r="P26" s="107">
        <v>0.8</v>
      </c>
      <c r="Q26" s="107">
        <v>0.8</v>
      </c>
      <c r="R26" s="107">
        <v>0</v>
      </c>
      <c r="S26" s="107">
        <v>0.8</v>
      </c>
      <c r="T26" s="107">
        <v>0</v>
      </c>
      <c r="U26" s="107">
        <v>0</v>
      </c>
      <c r="V26" s="107">
        <v>0.8</v>
      </c>
      <c r="W26" s="107">
        <v>0</v>
      </c>
      <c r="X26" s="107">
        <v>0</v>
      </c>
      <c r="Y26" s="107">
        <v>0</v>
      </c>
      <c r="Z26" s="107">
        <v>0.8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</row>
    <row r="27" spans="1:33" customFormat="1" x14ac:dyDescent="0.15">
      <c r="A27" s="185" t="s">
        <v>217</v>
      </c>
      <c r="B27" s="107">
        <v>0.8</v>
      </c>
      <c r="C27" s="107">
        <v>0.8</v>
      </c>
      <c r="D27" s="107">
        <v>0.8</v>
      </c>
      <c r="E27" s="107">
        <v>0.8</v>
      </c>
      <c r="F27" s="107">
        <v>0.8</v>
      </c>
      <c r="G27" s="107">
        <v>0.8</v>
      </c>
      <c r="H27" s="107">
        <v>0</v>
      </c>
      <c r="I27" s="107">
        <v>0.8</v>
      </c>
      <c r="J27" s="107">
        <v>0.8</v>
      </c>
      <c r="K27" s="107">
        <v>0.8</v>
      </c>
      <c r="L27" s="107">
        <v>0.8</v>
      </c>
      <c r="M27" s="107">
        <v>0</v>
      </c>
      <c r="N27" s="107">
        <v>0.8</v>
      </c>
      <c r="O27" s="107">
        <v>0.8</v>
      </c>
      <c r="P27" s="107">
        <v>0.8</v>
      </c>
      <c r="Q27" s="107">
        <v>0.8</v>
      </c>
      <c r="R27" s="107">
        <v>0.8</v>
      </c>
      <c r="S27" s="107">
        <v>0.8</v>
      </c>
      <c r="T27" s="107">
        <v>0.8</v>
      </c>
      <c r="U27" s="107">
        <v>0.8</v>
      </c>
      <c r="V27" s="107">
        <v>0.8</v>
      </c>
      <c r="W27" s="107">
        <v>0.8</v>
      </c>
      <c r="X27" s="107">
        <v>0.8</v>
      </c>
      <c r="Y27" s="107">
        <v>0</v>
      </c>
      <c r="Z27" s="107">
        <v>0.8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</row>
    <row r="28" spans="1:33" customFormat="1" x14ac:dyDescent="0.15">
      <c r="A28" s="185" t="s">
        <v>218</v>
      </c>
      <c r="B28" s="107">
        <v>0</v>
      </c>
      <c r="C28" s="107">
        <v>0</v>
      </c>
      <c r="D28" s="107">
        <v>0</v>
      </c>
      <c r="E28" s="107">
        <v>0.8</v>
      </c>
      <c r="F28" s="107">
        <v>0.8</v>
      </c>
      <c r="G28" s="107">
        <v>0</v>
      </c>
      <c r="H28" s="107">
        <v>0.8</v>
      </c>
      <c r="I28" s="107">
        <v>0.8</v>
      </c>
      <c r="J28" s="107">
        <v>0</v>
      </c>
      <c r="K28" s="107">
        <v>0.8</v>
      </c>
      <c r="L28" s="107">
        <v>0.8</v>
      </c>
      <c r="M28" s="107">
        <v>0.8</v>
      </c>
      <c r="N28" s="107">
        <v>0.8</v>
      </c>
      <c r="O28" s="107">
        <v>0</v>
      </c>
      <c r="P28" s="107">
        <v>0.8</v>
      </c>
      <c r="Q28" s="107">
        <v>0.8</v>
      </c>
      <c r="R28" s="107">
        <v>0.8</v>
      </c>
      <c r="S28" s="107">
        <v>0.8</v>
      </c>
      <c r="T28" s="107">
        <v>0.8</v>
      </c>
      <c r="U28" s="107">
        <v>0.8</v>
      </c>
      <c r="V28" s="107">
        <v>0.8</v>
      </c>
      <c r="W28" s="107">
        <v>0.8</v>
      </c>
      <c r="X28" s="107">
        <v>0.8</v>
      </c>
      <c r="Y28" s="107">
        <v>0.8</v>
      </c>
      <c r="Z28" s="107">
        <v>0.8</v>
      </c>
      <c r="AA28" s="107">
        <v>0</v>
      </c>
      <c r="AB28" s="107">
        <v>0.8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</row>
    <row r="29" spans="1:33" customFormat="1" x14ac:dyDescent="0.15">
      <c r="A29" s="185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0.8</v>
      </c>
      <c r="G29" s="107">
        <v>0</v>
      </c>
      <c r="H29" s="107">
        <v>0.8</v>
      </c>
      <c r="I29" s="107">
        <v>0.8</v>
      </c>
      <c r="J29" s="107">
        <v>0</v>
      </c>
      <c r="K29" s="107">
        <v>0.8</v>
      </c>
      <c r="L29" s="107">
        <v>0.8</v>
      </c>
      <c r="M29" s="107">
        <v>0.8</v>
      </c>
      <c r="N29" s="107">
        <v>0.8</v>
      </c>
      <c r="O29" s="107">
        <v>0.8</v>
      </c>
      <c r="P29" s="107">
        <v>0.8</v>
      </c>
      <c r="Q29" s="107">
        <v>0.8</v>
      </c>
      <c r="R29" s="107">
        <v>0.8</v>
      </c>
      <c r="S29" s="107">
        <v>0.8</v>
      </c>
      <c r="T29" s="107">
        <v>0.8</v>
      </c>
      <c r="U29" s="107">
        <v>0.8</v>
      </c>
      <c r="V29" s="107">
        <v>0.8</v>
      </c>
      <c r="W29" s="107">
        <v>0.8</v>
      </c>
      <c r="X29" s="107">
        <v>0.8</v>
      </c>
      <c r="Y29" s="107">
        <v>0.8</v>
      </c>
      <c r="Z29" s="107">
        <v>0.8</v>
      </c>
      <c r="AA29" s="107">
        <v>0</v>
      </c>
      <c r="AB29" s="107">
        <v>0.8</v>
      </c>
      <c r="AC29" s="107">
        <v>0.8</v>
      </c>
      <c r="AD29" s="107">
        <v>0</v>
      </c>
      <c r="AE29" s="107">
        <v>0</v>
      </c>
      <c r="AF29" s="107">
        <v>0</v>
      </c>
      <c r="AG29" s="107">
        <v>0</v>
      </c>
    </row>
    <row r="30" spans="1:33" customFormat="1" x14ac:dyDescent="0.15">
      <c r="A30" s="185" t="s">
        <v>220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0.8</v>
      </c>
      <c r="L30" s="107">
        <v>0.8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0.8</v>
      </c>
      <c r="S30" s="107">
        <v>0.8</v>
      </c>
      <c r="T30" s="107">
        <v>0.8</v>
      </c>
      <c r="U30" s="107">
        <v>0.8</v>
      </c>
      <c r="V30" s="107">
        <v>0</v>
      </c>
      <c r="W30" s="107">
        <v>0.8</v>
      </c>
      <c r="X30" s="107">
        <v>0.8</v>
      </c>
      <c r="Y30" s="107">
        <v>0.8</v>
      </c>
      <c r="Z30" s="107">
        <v>0.8</v>
      </c>
      <c r="AA30" s="107">
        <v>0.8</v>
      </c>
      <c r="AB30" s="107">
        <v>0.8</v>
      </c>
      <c r="AC30" s="107">
        <v>0.8</v>
      </c>
      <c r="AD30" s="107">
        <v>0</v>
      </c>
      <c r="AE30" s="107">
        <v>0</v>
      </c>
      <c r="AF30" s="107">
        <v>0</v>
      </c>
      <c r="AG30" s="107">
        <v>0</v>
      </c>
    </row>
    <row r="31" spans="1:33" customFormat="1" x14ac:dyDescent="0.15">
      <c r="A31" s="185" t="s">
        <v>221</v>
      </c>
      <c r="B31" s="107">
        <v>0</v>
      </c>
      <c r="C31" s="107">
        <v>0</v>
      </c>
      <c r="D31" s="107">
        <v>0</v>
      </c>
      <c r="E31" s="107">
        <v>0.8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0.8</v>
      </c>
      <c r="L31" s="107">
        <v>0.8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0.8</v>
      </c>
      <c r="S31" s="107">
        <v>0.8</v>
      </c>
      <c r="T31" s="107">
        <v>0.8</v>
      </c>
      <c r="U31" s="107">
        <v>0.8</v>
      </c>
      <c r="V31" s="107">
        <v>0</v>
      </c>
      <c r="W31" s="107">
        <v>0.8</v>
      </c>
      <c r="X31" s="107">
        <v>0.8</v>
      </c>
      <c r="Y31" s="107">
        <v>0.8</v>
      </c>
      <c r="Z31" s="107">
        <v>0.8</v>
      </c>
      <c r="AA31" s="107">
        <v>0.8</v>
      </c>
      <c r="AB31" s="107">
        <v>0.8</v>
      </c>
      <c r="AC31" s="107">
        <v>0.8</v>
      </c>
      <c r="AD31" s="107">
        <v>0</v>
      </c>
      <c r="AE31" s="107">
        <v>0</v>
      </c>
      <c r="AF31" s="107">
        <v>0</v>
      </c>
      <c r="AG31" s="107">
        <v>0</v>
      </c>
    </row>
    <row r="32" spans="1:33" customFormat="1" x14ac:dyDescent="0.15">
      <c r="A32" s="185" t="s">
        <v>222</v>
      </c>
      <c r="B32" s="107">
        <v>0.8</v>
      </c>
      <c r="C32" s="107">
        <v>0</v>
      </c>
      <c r="D32" s="107">
        <v>0</v>
      </c>
      <c r="E32" s="107">
        <v>0.8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0.8</v>
      </c>
      <c r="L32" s="107">
        <v>0.8</v>
      </c>
      <c r="M32" s="107">
        <v>0.8</v>
      </c>
      <c r="N32" s="107">
        <v>0.8</v>
      </c>
      <c r="O32" s="107">
        <v>0</v>
      </c>
      <c r="P32" s="107">
        <v>0</v>
      </c>
      <c r="Q32" s="107">
        <v>0</v>
      </c>
      <c r="R32" s="107">
        <v>0.8</v>
      </c>
      <c r="S32" s="107">
        <v>0.8</v>
      </c>
      <c r="T32" s="107">
        <v>0.8</v>
      </c>
      <c r="U32" s="107">
        <v>0.8</v>
      </c>
      <c r="V32" s="107">
        <v>0.8</v>
      </c>
      <c r="W32" s="107">
        <v>0.8</v>
      </c>
      <c r="X32" s="107">
        <v>0.8</v>
      </c>
      <c r="Y32" s="107">
        <v>0.8</v>
      </c>
      <c r="Z32" s="107">
        <v>0.8</v>
      </c>
      <c r="AA32" s="107">
        <v>0.8</v>
      </c>
      <c r="AB32" s="107">
        <v>0.8</v>
      </c>
      <c r="AC32" s="107">
        <v>0.8</v>
      </c>
      <c r="AD32" s="107">
        <v>0</v>
      </c>
      <c r="AE32" s="107">
        <v>0</v>
      </c>
      <c r="AF32" s="107">
        <v>0</v>
      </c>
      <c r="AG32" s="107">
        <v>0</v>
      </c>
    </row>
    <row r="33" spans="1:33" x14ac:dyDescent="0.15">
      <c r="A33" s="185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</row>
    <row r="34" spans="1:33" x14ac:dyDescent="0.15">
      <c r="A34" s="185" t="s">
        <v>225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3" width="2.33203125" style="107" customWidth="1"/>
    <col min="34" max="16384" width="10.83203125" style="107"/>
  </cols>
  <sheetData>
    <row r="1" spans="1:33" x14ac:dyDescent="0.15">
      <c r="A1" s="62" t="s">
        <v>139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</row>
    <row r="2" spans="1:33" customFormat="1" x14ac:dyDescent="0.15">
      <c r="A2" s="187" t="s">
        <v>192</v>
      </c>
      <c r="B2" s="107">
        <v>1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</row>
    <row r="3" spans="1:33" customFormat="1" x14ac:dyDescent="0.15">
      <c r="A3" s="187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</row>
    <row r="4" spans="1:33" customFormat="1" x14ac:dyDescent="0.15">
      <c r="A4" s="187" t="s">
        <v>194</v>
      </c>
      <c r="B4" s="107">
        <v>1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</row>
    <row r="5" spans="1:33" customFormat="1" x14ac:dyDescent="0.15">
      <c r="A5" s="187" t="s">
        <v>195</v>
      </c>
      <c r="B5" s="107">
        <v>1</v>
      </c>
      <c r="C5" s="107">
        <v>0</v>
      </c>
      <c r="D5" s="107">
        <v>0</v>
      </c>
      <c r="E5" s="107">
        <v>0</v>
      </c>
      <c r="F5" s="107">
        <v>1</v>
      </c>
      <c r="G5" s="107">
        <v>1</v>
      </c>
      <c r="H5" s="107">
        <v>1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</row>
    <row r="6" spans="1:33" customFormat="1" x14ac:dyDescent="0.15">
      <c r="A6" s="187" t="s">
        <v>196</v>
      </c>
      <c r="B6" s="107">
        <v>1</v>
      </c>
      <c r="C6" s="107">
        <v>0</v>
      </c>
      <c r="D6" s="107">
        <v>1</v>
      </c>
      <c r="E6" s="107">
        <v>0</v>
      </c>
      <c r="F6" s="107">
        <v>0</v>
      </c>
      <c r="G6" s="107">
        <v>1</v>
      </c>
      <c r="H6" s="107">
        <v>1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</row>
    <row r="7" spans="1:33" customFormat="1" x14ac:dyDescent="0.15">
      <c r="A7" s="187" t="s">
        <v>197</v>
      </c>
      <c r="B7" s="107">
        <v>1</v>
      </c>
      <c r="C7" s="107">
        <v>0</v>
      </c>
      <c r="D7" s="107">
        <v>1</v>
      </c>
      <c r="E7" s="107">
        <v>0</v>
      </c>
      <c r="F7" s="107">
        <v>0</v>
      </c>
      <c r="G7" s="107">
        <v>0</v>
      </c>
      <c r="H7" s="107">
        <v>1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</row>
    <row r="8" spans="1:33" customFormat="1" x14ac:dyDescent="0.15">
      <c r="A8" s="187" t="s">
        <v>198</v>
      </c>
      <c r="B8" s="107">
        <v>1</v>
      </c>
      <c r="C8" s="107">
        <v>0</v>
      </c>
      <c r="D8" s="107">
        <v>1</v>
      </c>
      <c r="E8" s="107">
        <v>0</v>
      </c>
      <c r="F8" s="107">
        <v>0</v>
      </c>
      <c r="G8" s="107">
        <v>1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</row>
    <row r="9" spans="1:33" customFormat="1" x14ac:dyDescent="0.15">
      <c r="A9" s="187" t="s">
        <v>199</v>
      </c>
      <c r="B9" s="107">
        <v>1</v>
      </c>
      <c r="C9" s="107">
        <v>1</v>
      </c>
      <c r="D9" s="107">
        <v>0</v>
      </c>
      <c r="E9" s="107">
        <v>0</v>
      </c>
      <c r="F9" s="107">
        <v>1</v>
      </c>
      <c r="G9" s="107">
        <v>1</v>
      </c>
      <c r="H9" s="107">
        <v>1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1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</row>
    <row r="10" spans="1:33" customFormat="1" x14ac:dyDescent="0.15">
      <c r="A10" s="187" t="s">
        <v>200</v>
      </c>
      <c r="B10" s="107">
        <v>1</v>
      </c>
      <c r="C10" s="107">
        <v>1</v>
      </c>
      <c r="D10" s="107">
        <v>1</v>
      </c>
      <c r="E10" s="107">
        <v>0</v>
      </c>
      <c r="F10" s="107">
        <v>0</v>
      </c>
      <c r="G10" s="107">
        <v>1</v>
      </c>
      <c r="H10" s="107">
        <v>1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</row>
    <row r="11" spans="1:33" customFormat="1" x14ac:dyDescent="0.15">
      <c r="A11" s="187" t="s">
        <v>201</v>
      </c>
      <c r="B11" s="107">
        <v>1</v>
      </c>
      <c r="C11" s="107">
        <v>1</v>
      </c>
      <c r="D11" s="107">
        <v>1</v>
      </c>
      <c r="E11" s="107">
        <v>0</v>
      </c>
      <c r="F11" s="107">
        <v>1</v>
      </c>
      <c r="G11" s="107">
        <v>1</v>
      </c>
      <c r="H11" s="107">
        <v>1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1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</row>
    <row r="12" spans="1:33" customFormat="1" x14ac:dyDescent="0.15">
      <c r="A12" s="187" t="s">
        <v>202</v>
      </c>
      <c r="B12" s="107">
        <v>1</v>
      </c>
      <c r="C12" s="107">
        <v>0</v>
      </c>
      <c r="D12" s="107">
        <v>0</v>
      </c>
      <c r="E12" s="107">
        <v>0</v>
      </c>
      <c r="F12" s="107">
        <v>1</v>
      </c>
      <c r="G12" s="107">
        <v>1</v>
      </c>
      <c r="H12" s="107">
        <v>1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1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</row>
    <row r="13" spans="1:33" customFormat="1" x14ac:dyDescent="0.15">
      <c r="A13" s="187" t="s">
        <v>203</v>
      </c>
      <c r="B13" s="107">
        <v>1</v>
      </c>
      <c r="C13" s="107">
        <v>1</v>
      </c>
      <c r="D13" s="107">
        <v>1</v>
      </c>
      <c r="E13" s="107">
        <v>0</v>
      </c>
      <c r="F13" s="107">
        <v>1</v>
      </c>
      <c r="G13" s="107">
        <v>1</v>
      </c>
      <c r="H13" s="107">
        <v>1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1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</row>
    <row r="14" spans="1:33" customFormat="1" x14ac:dyDescent="0.15">
      <c r="A14" s="187" t="s">
        <v>204</v>
      </c>
      <c r="B14" s="107">
        <v>1</v>
      </c>
      <c r="C14" s="107">
        <v>0</v>
      </c>
      <c r="D14" s="107">
        <v>1</v>
      </c>
      <c r="E14" s="107">
        <v>0</v>
      </c>
      <c r="F14" s="107">
        <v>0</v>
      </c>
      <c r="G14" s="107">
        <v>1</v>
      </c>
      <c r="H14" s="107">
        <v>1</v>
      </c>
      <c r="I14" s="107">
        <v>1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</row>
    <row r="15" spans="1:33" customFormat="1" x14ac:dyDescent="0.15">
      <c r="A15" s="187" t="s">
        <v>205</v>
      </c>
      <c r="B15" s="107">
        <v>1</v>
      </c>
      <c r="C15" s="107">
        <v>1</v>
      </c>
      <c r="D15" s="107">
        <v>0</v>
      </c>
      <c r="E15" s="107">
        <v>0</v>
      </c>
      <c r="F15" s="107">
        <v>0</v>
      </c>
      <c r="G15" s="107">
        <v>1</v>
      </c>
      <c r="H15" s="107">
        <v>1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</row>
    <row r="16" spans="1:33" customFormat="1" x14ac:dyDescent="0.15">
      <c r="A16" s="187" t="s">
        <v>206</v>
      </c>
      <c r="B16" s="107">
        <v>1</v>
      </c>
      <c r="C16" s="107">
        <v>1</v>
      </c>
      <c r="D16" s="107">
        <v>1</v>
      </c>
      <c r="E16" s="107">
        <v>0</v>
      </c>
      <c r="F16" s="107">
        <v>1</v>
      </c>
      <c r="G16" s="107">
        <v>1</v>
      </c>
      <c r="H16" s="107">
        <v>1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1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</row>
    <row r="17" spans="1:33" customFormat="1" x14ac:dyDescent="0.15">
      <c r="A17" s="187" t="s">
        <v>207</v>
      </c>
      <c r="B17" s="107">
        <v>1</v>
      </c>
      <c r="C17" s="107">
        <v>0</v>
      </c>
      <c r="D17" s="107">
        <v>1</v>
      </c>
      <c r="E17" s="107">
        <v>0</v>
      </c>
      <c r="F17" s="107">
        <v>1</v>
      </c>
      <c r="G17" s="107">
        <v>1</v>
      </c>
      <c r="H17" s="107">
        <v>1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</row>
    <row r="18" spans="1:33" customFormat="1" x14ac:dyDescent="0.15">
      <c r="A18" s="187" t="s">
        <v>208</v>
      </c>
      <c r="B18" s="107">
        <v>1</v>
      </c>
      <c r="C18" s="107">
        <v>1</v>
      </c>
      <c r="D18" s="107">
        <v>1</v>
      </c>
      <c r="E18" s="107">
        <v>0</v>
      </c>
      <c r="F18" s="107">
        <v>1</v>
      </c>
      <c r="G18" s="107">
        <v>1</v>
      </c>
      <c r="H18" s="107">
        <v>1</v>
      </c>
      <c r="I18" s="107">
        <v>1</v>
      </c>
      <c r="J18" s="107">
        <v>1</v>
      </c>
      <c r="K18" s="107">
        <v>1</v>
      </c>
      <c r="L18" s="107">
        <v>1</v>
      </c>
      <c r="M18" s="107">
        <v>1</v>
      </c>
      <c r="N18" s="107">
        <v>1</v>
      </c>
      <c r="O18" s="107">
        <v>1</v>
      </c>
      <c r="P18" s="107">
        <v>1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1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</row>
    <row r="19" spans="1:33" customFormat="1" x14ac:dyDescent="0.15">
      <c r="A19" s="187" t="s">
        <v>209</v>
      </c>
      <c r="B19" s="107">
        <v>1</v>
      </c>
      <c r="C19" s="107">
        <v>1</v>
      </c>
      <c r="D19" s="107">
        <v>1</v>
      </c>
      <c r="E19" s="107">
        <v>0</v>
      </c>
      <c r="F19" s="107">
        <v>1</v>
      </c>
      <c r="G19" s="107">
        <v>1</v>
      </c>
      <c r="H19" s="107">
        <v>1</v>
      </c>
      <c r="I19" s="107">
        <v>1</v>
      </c>
      <c r="J19" s="107">
        <v>1</v>
      </c>
      <c r="K19" s="107">
        <v>1</v>
      </c>
      <c r="L19" s="107">
        <v>1</v>
      </c>
      <c r="M19" s="107">
        <v>1</v>
      </c>
      <c r="N19" s="107">
        <v>1</v>
      </c>
      <c r="O19" s="107">
        <v>1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</row>
    <row r="20" spans="1:33" customFormat="1" x14ac:dyDescent="0.15">
      <c r="A20" s="187" t="s">
        <v>210</v>
      </c>
      <c r="B20" s="107">
        <v>1</v>
      </c>
      <c r="C20" s="107">
        <v>1</v>
      </c>
      <c r="D20" s="107">
        <v>1</v>
      </c>
      <c r="E20" s="107">
        <v>0</v>
      </c>
      <c r="F20" s="107">
        <v>1</v>
      </c>
      <c r="G20" s="107">
        <v>1</v>
      </c>
      <c r="H20" s="107">
        <v>1</v>
      </c>
      <c r="I20" s="107">
        <v>1</v>
      </c>
      <c r="J20" s="107">
        <v>1</v>
      </c>
      <c r="K20" s="107">
        <v>1</v>
      </c>
      <c r="L20" s="107">
        <v>1</v>
      </c>
      <c r="M20" s="107">
        <v>1</v>
      </c>
      <c r="N20" s="107">
        <v>1</v>
      </c>
      <c r="O20" s="107">
        <v>1</v>
      </c>
      <c r="P20" s="107">
        <v>1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1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</row>
    <row r="21" spans="1:33" customFormat="1" x14ac:dyDescent="0.15">
      <c r="A21" s="187" t="s">
        <v>211</v>
      </c>
      <c r="B21" s="107">
        <v>1</v>
      </c>
      <c r="C21" s="107">
        <v>1</v>
      </c>
      <c r="D21" s="107">
        <v>1</v>
      </c>
      <c r="E21" s="107">
        <v>0</v>
      </c>
      <c r="F21" s="107">
        <v>1</v>
      </c>
      <c r="G21" s="107">
        <v>1</v>
      </c>
      <c r="H21" s="107">
        <v>1</v>
      </c>
      <c r="I21" s="107">
        <v>0</v>
      </c>
      <c r="J21" s="107">
        <v>0</v>
      </c>
      <c r="K21" s="107">
        <v>1</v>
      </c>
      <c r="L21" s="107">
        <v>0</v>
      </c>
      <c r="M21" s="107">
        <v>1</v>
      </c>
      <c r="N21" s="107">
        <v>1</v>
      </c>
      <c r="O21" s="107">
        <v>1</v>
      </c>
      <c r="P21" s="107">
        <v>1</v>
      </c>
      <c r="Q21" s="107">
        <v>1</v>
      </c>
      <c r="R21" s="107">
        <v>0</v>
      </c>
      <c r="S21" s="107">
        <v>0</v>
      </c>
      <c r="T21" s="107">
        <v>0</v>
      </c>
      <c r="U21" s="107">
        <v>0</v>
      </c>
      <c r="V21" s="107">
        <v>1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</row>
    <row r="22" spans="1:33" customFormat="1" x14ac:dyDescent="0.15">
      <c r="A22" s="187" t="s">
        <v>212</v>
      </c>
      <c r="B22" s="107">
        <v>1</v>
      </c>
      <c r="C22" s="107">
        <v>1</v>
      </c>
      <c r="D22" s="107">
        <v>1</v>
      </c>
      <c r="E22" s="107">
        <v>0</v>
      </c>
      <c r="F22" s="107">
        <v>1</v>
      </c>
      <c r="G22" s="107">
        <v>1</v>
      </c>
      <c r="H22" s="107">
        <v>1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1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</row>
    <row r="23" spans="1:33" customFormat="1" x14ac:dyDescent="0.15">
      <c r="A23" s="187" t="s">
        <v>213</v>
      </c>
      <c r="B23" s="107">
        <v>1</v>
      </c>
      <c r="C23" s="107">
        <v>1</v>
      </c>
      <c r="D23" s="107">
        <v>1</v>
      </c>
      <c r="E23" s="107">
        <v>0</v>
      </c>
      <c r="F23" s="107">
        <v>1</v>
      </c>
      <c r="G23" s="107">
        <v>1</v>
      </c>
      <c r="H23" s="107">
        <v>1</v>
      </c>
      <c r="I23" s="107">
        <v>1</v>
      </c>
      <c r="J23" s="107">
        <v>1</v>
      </c>
      <c r="K23" s="107">
        <v>1</v>
      </c>
      <c r="L23" s="107">
        <v>1</v>
      </c>
      <c r="M23" s="107">
        <v>1</v>
      </c>
      <c r="N23" s="107">
        <v>1</v>
      </c>
      <c r="O23" s="107">
        <v>1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1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</row>
    <row r="24" spans="1:33" customFormat="1" x14ac:dyDescent="0.15">
      <c r="A24" s="187" t="s">
        <v>214</v>
      </c>
      <c r="B24" s="107">
        <v>1</v>
      </c>
      <c r="C24" s="107">
        <v>1</v>
      </c>
      <c r="D24" s="107">
        <v>1</v>
      </c>
      <c r="E24" s="107">
        <v>0</v>
      </c>
      <c r="F24" s="107">
        <v>1</v>
      </c>
      <c r="G24" s="107">
        <v>1</v>
      </c>
      <c r="H24" s="107">
        <v>1</v>
      </c>
      <c r="I24" s="107">
        <v>1</v>
      </c>
      <c r="J24" s="107">
        <v>1</v>
      </c>
      <c r="K24" s="107">
        <v>1</v>
      </c>
      <c r="L24" s="107">
        <v>1</v>
      </c>
      <c r="M24" s="107">
        <v>1</v>
      </c>
      <c r="N24" s="107">
        <v>1</v>
      </c>
      <c r="O24" s="107">
        <v>1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1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</row>
    <row r="25" spans="1:33" customFormat="1" x14ac:dyDescent="0.15">
      <c r="A25" s="187" t="s">
        <v>215</v>
      </c>
      <c r="B25" s="107">
        <v>1</v>
      </c>
      <c r="C25" s="107">
        <v>1</v>
      </c>
      <c r="D25" s="107">
        <v>1</v>
      </c>
      <c r="E25" s="107">
        <v>1</v>
      </c>
      <c r="F25" s="107">
        <v>1</v>
      </c>
      <c r="G25" s="107">
        <v>1</v>
      </c>
      <c r="H25" s="107">
        <v>1</v>
      </c>
      <c r="I25" s="107">
        <v>1</v>
      </c>
      <c r="J25" s="107">
        <v>1</v>
      </c>
      <c r="K25" s="107">
        <v>1</v>
      </c>
      <c r="L25" s="107">
        <v>1</v>
      </c>
      <c r="M25" s="107">
        <v>1</v>
      </c>
      <c r="N25" s="107">
        <v>1</v>
      </c>
      <c r="O25" s="107">
        <v>1</v>
      </c>
      <c r="P25" s="107">
        <v>1</v>
      </c>
      <c r="Q25" s="107">
        <v>1</v>
      </c>
      <c r="R25" s="107">
        <v>1</v>
      </c>
      <c r="S25" s="107">
        <v>1</v>
      </c>
      <c r="T25" s="107">
        <v>0</v>
      </c>
      <c r="U25" s="107">
        <v>0</v>
      </c>
      <c r="V25" s="107">
        <v>1</v>
      </c>
      <c r="W25" s="107">
        <v>0</v>
      </c>
      <c r="X25" s="107">
        <v>1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</row>
    <row r="26" spans="1:33" customFormat="1" x14ac:dyDescent="0.15">
      <c r="A26" s="187" t="s">
        <v>216</v>
      </c>
      <c r="B26" s="107">
        <v>1</v>
      </c>
      <c r="C26" s="107">
        <v>1</v>
      </c>
      <c r="D26" s="107">
        <v>1</v>
      </c>
      <c r="E26" s="107">
        <v>0</v>
      </c>
      <c r="F26" s="107">
        <v>1</v>
      </c>
      <c r="G26" s="107">
        <v>1</v>
      </c>
      <c r="H26" s="107">
        <v>1</v>
      </c>
      <c r="I26" s="107">
        <v>1</v>
      </c>
      <c r="J26" s="107">
        <v>1</v>
      </c>
      <c r="K26" s="107">
        <v>1</v>
      </c>
      <c r="L26" s="107">
        <v>1</v>
      </c>
      <c r="M26" s="107">
        <v>1</v>
      </c>
      <c r="N26" s="107">
        <v>1</v>
      </c>
      <c r="O26" s="107">
        <v>0</v>
      </c>
      <c r="P26" s="107">
        <v>1</v>
      </c>
      <c r="Q26" s="107">
        <v>1</v>
      </c>
      <c r="R26" s="107">
        <v>0</v>
      </c>
      <c r="S26" s="107">
        <v>1</v>
      </c>
      <c r="T26" s="107">
        <v>0</v>
      </c>
      <c r="U26" s="107">
        <v>0</v>
      </c>
      <c r="V26" s="107">
        <v>1</v>
      </c>
      <c r="W26" s="107">
        <v>0</v>
      </c>
      <c r="X26" s="107">
        <v>0</v>
      </c>
      <c r="Y26" s="107">
        <v>0</v>
      </c>
      <c r="Z26" s="107">
        <v>1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</row>
    <row r="27" spans="1:33" customFormat="1" x14ac:dyDescent="0.15">
      <c r="A27" s="187" t="s">
        <v>217</v>
      </c>
      <c r="B27" s="107">
        <v>1</v>
      </c>
      <c r="C27" s="107">
        <v>1</v>
      </c>
      <c r="D27" s="107">
        <v>1</v>
      </c>
      <c r="E27" s="107">
        <v>1</v>
      </c>
      <c r="F27" s="107">
        <v>1</v>
      </c>
      <c r="G27" s="107">
        <v>1</v>
      </c>
      <c r="H27" s="107">
        <v>0</v>
      </c>
      <c r="I27" s="107">
        <v>1</v>
      </c>
      <c r="J27" s="107">
        <v>1</v>
      </c>
      <c r="K27" s="107">
        <v>1</v>
      </c>
      <c r="L27" s="107">
        <v>1</v>
      </c>
      <c r="M27" s="107">
        <v>0</v>
      </c>
      <c r="N27" s="107">
        <v>1</v>
      </c>
      <c r="O27" s="107">
        <v>1</v>
      </c>
      <c r="P27" s="107">
        <v>1</v>
      </c>
      <c r="Q27" s="107">
        <v>1</v>
      </c>
      <c r="R27" s="107">
        <v>1</v>
      </c>
      <c r="S27" s="107">
        <v>1</v>
      </c>
      <c r="T27" s="107">
        <v>1</v>
      </c>
      <c r="U27" s="107">
        <v>1</v>
      </c>
      <c r="V27" s="107">
        <v>1</v>
      </c>
      <c r="W27" s="107">
        <v>1</v>
      </c>
      <c r="X27" s="107">
        <v>1</v>
      </c>
      <c r="Y27" s="107">
        <v>0</v>
      </c>
      <c r="Z27" s="107">
        <v>1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</row>
    <row r="28" spans="1:33" customFormat="1" x14ac:dyDescent="0.15">
      <c r="A28" s="187" t="s">
        <v>218</v>
      </c>
      <c r="B28" s="107">
        <v>0</v>
      </c>
      <c r="C28" s="107">
        <v>0</v>
      </c>
      <c r="D28" s="107">
        <v>0</v>
      </c>
      <c r="E28" s="107">
        <v>1</v>
      </c>
      <c r="F28" s="107">
        <v>1</v>
      </c>
      <c r="G28" s="107">
        <v>0</v>
      </c>
      <c r="H28" s="107">
        <v>1</v>
      </c>
      <c r="I28" s="107">
        <v>1</v>
      </c>
      <c r="J28" s="107">
        <v>0</v>
      </c>
      <c r="K28" s="107">
        <v>1</v>
      </c>
      <c r="L28" s="107">
        <v>1</v>
      </c>
      <c r="M28" s="107">
        <v>1</v>
      </c>
      <c r="N28" s="107">
        <v>1</v>
      </c>
      <c r="O28" s="107">
        <v>0</v>
      </c>
      <c r="P28" s="107">
        <v>1</v>
      </c>
      <c r="Q28" s="107">
        <v>1</v>
      </c>
      <c r="R28" s="107">
        <v>1</v>
      </c>
      <c r="S28" s="107">
        <v>1</v>
      </c>
      <c r="T28" s="107">
        <v>1</v>
      </c>
      <c r="U28" s="107">
        <v>1</v>
      </c>
      <c r="V28" s="107">
        <v>1</v>
      </c>
      <c r="W28" s="107">
        <v>1</v>
      </c>
      <c r="X28" s="107">
        <v>1</v>
      </c>
      <c r="Y28" s="107">
        <v>1</v>
      </c>
      <c r="Z28" s="107">
        <v>1</v>
      </c>
      <c r="AA28" s="107">
        <v>0</v>
      </c>
      <c r="AB28" s="107">
        <v>1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</row>
    <row r="29" spans="1:33" customFormat="1" x14ac:dyDescent="0.15">
      <c r="A29" s="187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1</v>
      </c>
      <c r="G29" s="107">
        <v>0</v>
      </c>
      <c r="H29" s="107">
        <v>1</v>
      </c>
      <c r="I29" s="107">
        <v>1</v>
      </c>
      <c r="J29" s="107">
        <v>0</v>
      </c>
      <c r="K29" s="107">
        <v>1</v>
      </c>
      <c r="L29" s="107">
        <v>1</v>
      </c>
      <c r="M29" s="107">
        <v>1</v>
      </c>
      <c r="N29" s="107">
        <v>1</v>
      </c>
      <c r="O29" s="107">
        <v>1</v>
      </c>
      <c r="P29" s="107">
        <v>1</v>
      </c>
      <c r="Q29" s="107">
        <v>1</v>
      </c>
      <c r="R29" s="107">
        <v>1</v>
      </c>
      <c r="S29" s="107">
        <v>1</v>
      </c>
      <c r="T29" s="107">
        <v>1</v>
      </c>
      <c r="U29" s="107">
        <v>1</v>
      </c>
      <c r="V29" s="107">
        <v>1</v>
      </c>
      <c r="W29" s="107">
        <v>1</v>
      </c>
      <c r="X29" s="107">
        <v>1</v>
      </c>
      <c r="Y29" s="107">
        <v>1</v>
      </c>
      <c r="Z29" s="107">
        <v>1</v>
      </c>
      <c r="AA29" s="107">
        <v>0</v>
      </c>
      <c r="AB29" s="107">
        <v>1</v>
      </c>
      <c r="AC29" s="107">
        <v>1</v>
      </c>
      <c r="AD29" s="107">
        <v>0</v>
      </c>
      <c r="AE29" s="107">
        <v>0</v>
      </c>
      <c r="AF29" s="107">
        <v>0</v>
      </c>
      <c r="AG29" s="107">
        <v>0</v>
      </c>
    </row>
    <row r="30" spans="1:33" customFormat="1" x14ac:dyDescent="0.15">
      <c r="A30" s="187" t="s">
        <v>220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1</v>
      </c>
      <c r="L30" s="107">
        <v>1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1</v>
      </c>
      <c r="S30" s="107">
        <v>1</v>
      </c>
      <c r="T30" s="107">
        <v>1</v>
      </c>
      <c r="U30" s="107">
        <v>1</v>
      </c>
      <c r="V30" s="107">
        <v>0</v>
      </c>
      <c r="W30" s="107">
        <v>1</v>
      </c>
      <c r="X30" s="107">
        <v>1</v>
      </c>
      <c r="Y30" s="107">
        <v>1</v>
      </c>
      <c r="Z30" s="107">
        <v>1</v>
      </c>
      <c r="AA30" s="107">
        <v>1</v>
      </c>
      <c r="AB30" s="107">
        <v>1</v>
      </c>
      <c r="AC30" s="107">
        <v>1</v>
      </c>
      <c r="AD30" s="107">
        <v>0</v>
      </c>
      <c r="AE30" s="107">
        <v>0</v>
      </c>
      <c r="AF30" s="107">
        <v>0</v>
      </c>
      <c r="AG30" s="107">
        <v>0</v>
      </c>
    </row>
    <row r="31" spans="1:33" customFormat="1" x14ac:dyDescent="0.15">
      <c r="A31" s="187" t="s">
        <v>221</v>
      </c>
      <c r="B31" s="107">
        <v>0</v>
      </c>
      <c r="C31" s="107">
        <v>0</v>
      </c>
      <c r="D31" s="107">
        <v>0</v>
      </c>
      <c r="E31" s="107">
        <v>1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1</v>
      </c>
      <c r="L31" s="107">
        <v>1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1</v>
      </c>
      <c r="S31" s="107">
        <v>1</v>
      </c>
      <c r="T31" s="107">
        <v>1</v>
      </c>
      <c r="U31" s="107">
        <v>1</v>
      </c>
      <c r="V31" s="107">
        <v>0</v>
      </c>
      <c r="W31" s="107">
        <v>1</v>
      </c>
      <c r="X31" s="107">
        <v>1</v>
      </c>
      <c r="Y31" s="107">
        <v>1</v>
      </c>
      <c r="Z31" s="107">
        <v>1</v>
      </c>
      <c r="AA31" s="107">
        <v>1</v>
      </c>
      <c r="AB31" s="107">
        <v>1</v>
      </c>
      <c r="AC31" s="107">
        <v>1</v>
      </c>
      <c r="AD31" s="107">
        <v>0</v>
      </c>
      <c r="AE31" s="107">
        <v>0</v>
      </c>
      <c r="AF31" s="107">
        <v>0</v>
      </c>
      <c r="AG31" s="107">
        <v>0</v>
      </c>
    </row>
    <row r="32" spans="1:33" x14ac:dyDescent="0.15">
      <c r="A32" s="187" t="s">
        <v>222</v>
      </c>
      <c r="B32" s="107">
        <v>1</v>
      </c>
      <c r="C32" s="107">
        <v>0</v>
      </c>
      <c r="D32" s="107">
        <v>0</v>
      </c>
      <c r="E32" s="107">
        <v>1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1</v>
      </c>
      <c r="L32" s="107">
        <v>1</v>
      </c>
      <c r="M32" s="107">
        <v>1</v>
      </c>
      <c r="N32" s="107">
        <v>1</v>
      </c>
      <c r="O32" s="107">
        <v>0</v>
      </c>
      <c r="P32" s="107">
        <v>0</v>
      </c>
      <c r="Q32" s="107">
        <v>0</v>
      </c>
      <c r="R32" s="107">
        <v>1</v>
      </c>
      <c r="S32" s="107">
        <v>1</v>
      </c>
      <c r="T32" s="107">
        <v>1</v>
      </c>
      <c r="U32" s="107">
        <v>1</v>
      </c>
      <c r="V32" s="107">
        <v>1</v>
      </c>
      <c r="W32" s="107">
        <v>1</v>
      </c>
      <c r="X32" s="107">
        <v>1</v>
      </c>
      <c r="Y32" s="107">
        <v>1</v>
      </c>
      <c r="Z32" s="107">
        <v>1</v>
      </c>
      <c r="AA32" s="107">
        <v>1</v>
      </c>
      <c r="AB32" s="107">
        <v>1</v>
      </c>
      <c r="AC32" s="107">
        <v>1</v>
      </c>
      <c r="AD32" s="107">
        <v>0</v>
      </c>
      <c r="AE32" s="107">
        <v>0</v>
      </c>
      <c r="AF32" s="107">
        <v>0</v>
      </c>
      <c r="AG32" s="107">
        <v>0</v>
      </c>
    </row>
    <row r="33" spans="1:33" x14ac:dyDescent="0.15">
      <c r="A33" s="187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</row>
    <row r="34" spans="1:33" x14ac:dyDescent="0.15">
      <c r="A34" s="187" t="s">
        <v>225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0" t="s">
        <v>224</v>
      </c>
    </row>
    <row r="2" spans="1:3" x14ac:dyDescent="0.15">
      <c r="A2">
        <v>1</v>
      </c>
      <c r="B2" s="189" t="s">
        <v>192</v>
      </c>
      <c r="C2">
        <v>0.8</v>
      </c>
    </row>
    <row r="3" spans="1:3" x14ac:dyDescent="0.15">
      <c r="A3">
        <v>2</v>
      </c>
      <c r="B3" s="189" t="s">
        <v>193</v>
      </c>
      <c r="C3">
        <v>0</v>
      </c>
    </row>
    <row r="4" spans="1:3" x14ac:dyDescent="0.15">
      <c r="A4">
        <v>3</v>
      </c>
      <c r="B4" s="189" t="s">
        <v>194</v>
      </c>
      <c r="C4">
        <v>0</v>
      </c>
    </row>
    <row r="5" spans="1:3" x14ac:dyDescent="0.15">
      <c r="A5">
        <v>4</v>
      </c>
      <c r="B5" s="189" t="s">
        <v>195</v>
      </c>
      <c r="C5">
        <v>0.8</v>
      </c>
    </row>
    <row r="6" spans="1:3" x14ac:dyDescent="0.15">
      <c r="A6">
        <v>5</v>
      </c>
      <c r="B6" s="189" t="s">
        <v>196</v>
      </c>
      <c r="C6">
        <v>0.8</v>
      </c>
    </row>
    <row r="7" spans="1:3" x14ac:dyDescent="0.15">
      <c r="A7">
        <v>6</v>
      </c>
      <c r="B7" s="189" t="s">
        <v>197</v>
      </c>
      <c r="C7">
        <v>0.8</v>
      </c>
    </row>
    <row r="8" spans="1:3" x14ac:dyDescent="0.15">
      <c r="A8">
        <v>7</v>
      </c>
      <c r="B8" s="189" t="s">
        <v>198</v>
      </c>
      <c r="C8">
        <v>0.8</v>
      </c>
    </row>
    <row r="9" spans="1:3" x14ac:dyDescent="0.15">
      <c r="A9">
        <v>8</v>
      </c>
      <c r="B9" s="189" t="s">
        <v>199</v>
      </c>
      <c r="C9">
        <v>0.8</v>
      </c>
    </row>
    <row r="10" spans="1:3" x14ac:dyDescent="0.15">
      <c r="A10">
        <v>9</v>
      </c>
      <c r="B10" s="189" t="s">
        <v>200</v>
      </c>
      <c r="C10">
        <v>0.8</v>
      </c>
    </row>
    <row r="11" spans="1:3" x14ac:dyDescent="0.15">
      <c r="A11">
        <v>10</v>
      </c>
      <c r="B11" s="189" t="s">
        <v>201</v>
      </c>
      <c r="C11">
        <v>0.8</v>
      </c>
    </row>
    <row r="12" spans="1:3" x14ac:dyDescent="0.15">
      <c r="A12">
        <v>11</v>
      </c>
      <c r="B12" s="189" t="s">
        <v>202</v>
      </c>
      <c r="C12">
        <v>0.8</v>
      </c>
    </row>
    <row r="13" spans="1:3" x14ac:dyDescent="0.15">
      <c r="A13">
        <v>12</v>
      </c>
      <c r="B13" s="189" t="s">
        <v>203</v>
      </c>
      <c r="C13">
        <v>0.8</v>
      </c>
    </row>
    <row r="14" spans="1:3" x14ac:dyDescent="0.15">
      <c r="A14">
        <v>13</v>
      </c>
      <c r="B14" s="189" t="s">
        <v>204</v>
      </c>
      <c r="C14">
        <v>0.8</v>
      </c>
    </row>
    <row r="15" spans="1:3" x14ac:dyDescent="0.15">
      <c r="A15">
        <v>14</v>
      </c>
      <c r="B15" s="189" t="s">
        <v>205</v>
      </c>
      <c r="C15">
        <v>0.8</v>
      </c>
    </row>
    <row r="16" spans="1:3" x14ac:dyDescent="0.15">
      <c r="A16">
        <v>15</v>
      </c>
      <c r="B16" s="189" t="s">
        <v>206</v>
      </c>
      <c r="C16">
        <v>0.8</v>
      </c>
    </row>
    <row r="17" spans="1:3" x14ac:dyDescent="0.15">
      <c r="A17">
        <v>16</v>
      </c>
      <c r="B17" s="189" t="s">
        <v>207</v>
      </c>
      <c r="C17">
        <v>0.8</v>
      </c>
    </row>
    <row r="18" spans="1:3" x14ac:dyDescent="0.15">
      <c r="A18">
        <v>17</v>
      </c>
      <c r="B18" s="189" t="s">
        <v>208</v>
      </c>
      <c r="C18">
        <v>0.8</v>
      </c>
    </row>
    <row r="19" spans="1:3" x14ac:dyDescent="0.15">
      <c r="A19">
        <v>18</v>
      </c>
      <c r="B19" s="189" t="s">
        <v>209</v>
      </c>
      <c r="C19">
        <v>0.8</v>
      </c>
    </row>
    <row r="20" spans="1:3" x14ac:dyDescent="0.15">
      <c r="A20">
        <v>19</v>
      </c>
      <c r="B20" s="189" t="s">
        <v>210</v>
      </c>
      <c r="C20">
        <v>0.8</v>
      </c>
    </row>
    <row r="21" spans="1:3" x14ac:dyDescent="0.15">
      <c r="A21">
        <v>20</v>
      </c>
      <c r="B21" s="189" t="s">
        <v>211</v>
      </c>
      <c r="C21">
        <v>0.8</v>
      </c>
    </row>
    <row r="22" spans="1:3" x14ac:dyDescent="0.15">
      <c r="A22">
        <v>21</v>
      </c>
      <c r="B22" s="189" t="s">
        <v>212</v>
      </c>
      <c r="C22">
        <v>0.8</v>
      </c>
    </row>
    <row r="23" spans="1:3" x14ac:dyDescent="0.15">
      <c r="A23">
        <v>22</v>
      </c>
      <c r="B23" s="189" t="s">
        <v>213</v>
      </c>
      <c r="C23">
        <v>0.8</v>
      </c>
    </row>
    <row r="24" spans="1:3" x14ac:dyDescent="0.15">
      <c r="A24">
        <v>23</v>
      </c>
      <c r="B24" s="189" t="s">
        <v>214</v>
      </c>
      <c r="C24">
        <v>0</v>
      </c>
    </row>
    <row r="25" spans="1:3" x14ac:dyDescent="0.15">
      <c r="A25">
        <v>24</v>
      </c>
      <c r="B25" s="189" t="s">
        <v>215</v>
      </c>
      <c r="C25">
        <v>0.8</v>
      </c>
    </row>
    <row r="26" spans="1:3" x14ac:dyDescent="0.15">
      <c r="A26">
        <v>25</v>
      </c>
      <c r="B26" s="189" t="s">
        <v>216</v>
      </c>
      <c r="C26">
        <v>0</v>
      </c>
    </row>
    <row r="27" spans="1:3" x14ac:dyDescent="0.15">
      <c r="A27">
        <v>26</v>
      </c>
      <c r="B27" s="189" t="s">
        <v>217</v>
      </c>
      <c r="C27">
        <v>0</v>
      </c>
    </row>
    <row r="28" spans="1:3" x14ac:dyDescent="0.15">
      <c r="A28">
        <v>27</v>
      </c>
      <c r="B28" s="189" t="s">
        <v>218</v>
      </c>
      <c r="C28">
        <v>0</v>
      </c>
    </row>
    <row r="29" spans="1:3" x14ac:dyDescent="0.15">
      <c r="A29">
        <v>28</v>
      </c>
      <c r="B29" s="189" t="s">
        <v>219</v>
      </c>
      <c r="C29">
        <v>0</v>
      </c>
    </row>
    <row r="30" spans="1:3" x14ac:dyDescent="0.15">
      <c r="A30">
        <v>29</v>
      </c>
      <c r="B30" s="189" t="s">
        <v>220</v>
      </c>
      <c r="C30">
        <v>0</v>
      </c>
    </row>
    <row r="31" spans="1:3" x14ac:dyDescent="0.15">
      <c r="A31">
        <v>30</v>
      </c>
      <c r="B31" s="189" t="s">
        <v>221</v>
      </c>
      <c r="C31">
        <v>0</v>
      </c>
    </row>
    <row r="32" spans="1:3" x14ac:dyDescent="0.15">
      <c r="A32">
        <v>31</v>
      </c>
      <c r="B32" s="189" t="s">
        <v>222</v>
      </c>
      <c r="C32">
        <v>0</v>
      </c>
    </row>
    <row r="33" spans="1:3" x14ac:dyDescent="0.15">
      <c r="A33">
        <v>32</v>
      </c>
      <c r="B33" s="189" t="s">
        <v>223</v>
      </c>
      <c r="C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2" t="s">
        <v>224</v>
      </c>
    </row>
    <row r="2" spans="1:3" x14ac:dyDescent="0.15">
      <c r="A2">
        <v>1</v>
      </c>
      <c r="B2" s="191" t="s">
        <v>192</v>
      </c>
      <c r="C2">
        <v>0.8</v>
      </c>
    </row>
    <row r="3" spans="1:3" x14ac:dyDescent="0.15">
      <c r="A3">
        <v>2</v>
      </c>
      <c r="B3" s="191" t="s">
        <v>193</v>
      </c>
      <c r="C3">
        <v>0</v>
      </c>
    </row>
    <row r="4" spans="1:3" x14ac:dyDescent="0.15">
      <c r="A4">
        <v>3</v>
      </c>
      <c r="B4" s="191" t="s">
        <v>194</v>
      </c>
      <c r="C4">
        <v>0</v>
      </c>
    </row>
    <row r="5" spans="1:3" x14ac:dyDescent="0.15">
      <c r="A5">
        <v>4</v>
      </c>
      <c r="B5" s="191" t="s">
        <v>195</v>
      </c>
      <c r="C5">
        <v>0.8</v>
      </c>
    </row>
    <row r="6" spans="1:3" x14ac:dyDescent="0.15">
      <c r="A6">
        <v>5</v>
      </c>
      <c r="B6" s="191" t="s">
        <v>196</v>
      </c>
      <c r="C6">
        <v>0.8</v>
      </c>
    </row>
    <row r="7" spans="1:3" x14ac:dyDescent="0.15">
      <c r="A7">
        <v>6</v>
      </c>
      <c r="B7" s="191" t="s">
        <v>197</v>
      </c>
      <c r="C7">
        <v>0.8</v>
      </c>
    </row>
    <row r="8" spans="1:3" x14ac:dyDescent="0.15">
      <c r="A8">
        <v>7</v>
      </c>
      <c r="B8" s="191" t="s">
        <v>198</v>
      </c>
      <c r="C8">
        <v>0.8</v>
      </c>
    </row>
    <row r="9" spans="1:3" x14ac:dyDescent="0.15">
      <c r="A9">
        <v>8</v>
      </c>
      <c r="B9" s="191" t="s">
        <v>199</v>
      </c>
      <c r="C9">
        <v>0.8</v>
      </c>
    </row>
    <row r="10" spans="1:3" x14ac:dyDescent="0.15">
      <c r="A10">
        <v>9</v>
      </c>
      <c r="B10" s="191" t="s">
        <v>200</v>
      </c>
      <c r="C10">
        <v>0.8</v>
      </c>
    </row>
    <row r="11" spans="1:3" x14ac:dyDescent="0.15">
      <c r="A11">
        <v>10</v>
      </c>
      <c r="B11" s="191" t="s">
        <v>201</v>
      </c>
      <c r="C11">
        <v>0.8</v>
      </c>
    </row>
    <row r="12" spans="1:3" x14ac:dyDescent="0.15">
      <c r="A12">
        <v>11</v>
      </c>
      <c r="B12" s="191" t="s">
        <v>202</v>
      </c>
      <c r="C12">
        <v>0.8</v>
      </c>
    </row>
    <row r="13" spans="1:3" x14ac:dyDescent="0.15">
      <c r="A13">
        <v>12</v>
      </c>
      <c r="B13" s="191" t="s">
        <v>203</v>
      </c>
      <c r="C13">
        <v>0.8</v>
      </c>
    </row>
    <row r="14" spans="1:3" x14ac:dyDescent="0.15">
      <c r="A14">
        <v>13</v>
      </c>
      <c r="B14" s="191" t="s">
        <v>204</v>
      </c>
      <c r="C14">
        <v>0.8</v>
      </c>
    </row>
    <row r="15" spans="1:3" x14ac:dyDescent="0.15">
      <c r="A15">
        <v>14</v>
      </c>
      <c r="B15" s="191" t="s">
        <v>205</v>
      </c>
      <c r="C15">
        <v>0.8</v>
      </c>
    </row>
    <row r="16" spans="1:3" x14ac:dyDescent="0.15">
      <c r="A16">
        <v>15</v>
      </c>
      <c r="B16" s="191" t="s">
        <v>206</v>
      </c>
      <c r="C16">
        <v>0.8</v>
      </c>
    </row>
    <row r="17" spans="1:3" x14ac:dyDescent="0.15">
      <c r="A17">
        <v>16</v>
      </c>
      <c r="B17" s="191" t="s">
        <v>207</v>
      </c>
      <c r="C17">
        <v>0.8</v>
      </c>
    </row>
    <row r="18" spans="1:3" x14ac:dyDescent="0.15">
      <c r="A18">
        <v>17</v>
      </c>
      <c r="B18" s="191" t="s">
        <v>208</v>
      </c>
      <c r="C18">
        <v>0.8</v>
      </c>
    </row>
    <row r="19" spans="1:3" x14ac:dyDescent="0.15">
      <c r="A19">
        <v>18</v>
      </c>
      <c r="B19" s="191" t="s">
        <v>209</v>
      </c>
      <c r="C19">
        <v>0.8</v>
      </c>
    </row>
    <row r="20" spans="1:3" x14ac:dyDescent="0.15">
      <c r="A20">
        <v>19</v>
      </c>
      <c r="B20" s="191" t="s">
        <v>210</v>
      </c>
      <c r="C20">
        <v>0.8</v>
      </c>
    </row>
    <row r="21" spans="1:3" x14ac:dyDescent="0.15">
      <c r="A21">
        <v>20</v>
      </c>
      <c r="B21" s="191" t="s">
        <v>211</v>
      </c>
      <c r="C21">
        <v>0.8</v>
      </c>
    </row>
    <row r="22" spans="1:3" x14ac:dyDescent="0.15">
      <c r="A22">
        <v>21</v>
      </c>
      <c r="B22" s="191" t="s">
        <v>212</v>
      </c>
      <c r="C22">
        <v>0.8</v>
      </c>
    </row>
    <row r="23" spans="1:3" x14ac:dyDescent="0.15">
      <c r="A23">
        <v>22</v>
      </c>
      <c r="B23" s="191" t="s">
        <v>213</v>
      </c>
      <c r="C23">
        <v>0.8</v>
      </c>
    </row>
    <row r="24" spans="1:3" x14ac:dyDescent="0.15">
      <c r="A24">
        <v>23</v>
      </c>
      <c r="B24" s="191" t="s">
        <v>214</v>
      </c>
      <c r="C24">
        <v>0</v>
      </c>
    </row>
    <row r="25" spans="1:3" x14ac:dyDescent="0.15">
      <c r="A25">
        <v>24</v>
      </c>
      <c r="B25" s="191" t="s">
        <v>215</v>
      </c>
      <c r="C25">
        <v>0.8</v>
      </c>
    </row>
    <row r="26" spans="1:3" x14ac:dyDescent="0.15">
      <c r="A26">
        <v>25</v>
      </c>
      <c r="B26" s="191" t="s">
        <v>216</v>
      </c>
      <c r="C26">
        <v>0</v>
      </c>
    </row>
    <row r="27" spans="1:3" x14ac:dyDescent="0.15">
      <c r="A27">
        <v>26</v>
      </c>
      <c r="B27" s="191" t="s">
        <v>217</v>
      </c>
      <c r="C27">
        <v>0</v>
      </c>
    </row>
    <row r="28" spans="1:3" x14ac:dyDescent="0.15">
      <c r="A28">
        <v>27</v>
      </c>
      <c r="B28" s="191" t="s">
        <v>218</v>
      </c>
      <c r="C28">
        <v>0</v>
      </c>
    </row>
    <row r="29" spans="1:3" x14ac:dyDescent="0.15">
      <c r="A29">
        <v>28</v>
      </c>
      <c r="B29" s="191" t="s">
        <v>219</v>
      </c>
      <c r="C29">
        <v>0</v>
      </c>
    </row>
    <row r="30" spans="1:3" x14ac:dyDescent="0.15">
      <c r="A30">
        <v>29</v>
      </c>
      <c r="B30" s="191" t="s">
        <v>220</v>
      </c>
      <c r="C30">
        <v>0</v>
      </c>
    </row>
    <row r="31" spans="1:3" x14ac:dyDescent="0.15">
      <c r="A31">
        <v>30</v>
      </c>
      <c r="B31" s="191" t="s">
        <v>221</v>
      </c>
      <c r="C31">
        <v>0</v>
      </c>
    </row>
    <row r="32" spans="1:3" x14ac:dyDescent="0.15">
      <c r="A32">
        <v>31</v>
      </c>
      <c r="B32" s="191" t="s">
        <v>222</v>
      </c>
      <c r="C32">
        <v>0</v>
      </c>
    </row>
    <row r="33" spans="1:3" x14ac:dyDescent="0.15">
      <c r="A33">
        <v>32</v>
      </c>
      <c r="B33" s="191" t="s">
        <v>223</v>
      </c>
      <c r="C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6" activePane="bottomRight" state="frozen"/>
      <selection pane="topRight" activeCell="C1" sqref="C1"/>
      <selection pane="bottomLeft" activeCell="A3" sqref="A3"/>
      <selection pane="bottomRight" activeCell="B30" sqref="B30:B31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192</v>
      </c>
      <c r="C2" s="8">
        <v>4.0689425468444824</v>
      </c>
      <c r="D2" s="9">
        <v>1.0000000474974513E-3</v>
      </c>
      <c r="E2" s="9">
        <v>0.32899999618530273</v>
      </c>
      <c r="F2" s="9">
        <v>4.9910001754760742</v>
      </c>
      <c r="G2" s="7">
        <v>0.60941952466964722</v>
      </c>
      <c r="H2" s="7">
        <v>6.5918654203414917E-2</v>
      </c>
      <c r="I2">
        <v>1.9999999494757503E-4</v>
      </c>
      <c r="J2"/>
    </row>
    <row r="3" spans="1:10" ht="15" customHeight="1" x14ac:dyDescent="0.15">
      <c r="A3" s="145">
        <v>2</v>
      </c>
      <c r="B3" s="145" t="s">
        <v>193</v>
      </c>
      <c r="C3" s="8">
        <v>3.7343614101409912</v>
      </c>
      <c r="D3" s="9">
        <v>4.7500000800937414E-4</v>
      </c>
      <c r="E3" s="9">
        <v>7.0000000298023224E-2</v>
      </c>
      <c r="F3" s="9">
        <v>12.119999885559082</v>
      </c>
      <c r="G3" s="7">
        <v>0</v>
      </c>
      <c r="H3" s="7">
        <v>5.7755778543651104E-3</v>
      </c>
      <c r="I3">
        <v>0</v>
      </c>
      <c r="J3"/>
    </row>
    <row r="4" spans="1:10" ht="15" customHeight="1" x14ac:dyDescent="0.15">
      <c r="A4" s="146">
        <v>3</v>
      </c>
      <c r="B4" s="146" t="s">
        <v>194</v>
      </c>
      <c r="C4" s="8">
        <v>3.4103598594665527</v>
      </c>
      <c r="D4" s="9">
        <v>2.4000001139938831E-3</v>
      </c>
      <c r="E4" s="9">
        <v>0.5</v>
      </c>
      <c r="F4" s="9">
        <v>79.5</v>
      </c>
      <c r="G4" s="7">
        <v>4.1587092709960416E-5</v>
      </c>
      <c r="H4" s="7">
        <v>6.2893079593777657E-3</v>
      </c>
      <c r="I4">
        <v>0</v>
      </c>
      <c r="J4"/>
    </row>
    <row r="5" spans="1:10" ht="15" customHeight="1" x14ac:dyDescent="0.15">
      <c r="A5" s="147">
        <v>4</v>
      </c>
      <c r="B5" s="147" t="s">
        <v>195</v>
      </c>
      <c r="C5" s="8">
        <v>3.233811616897583</v>
      </c>
      <c r="D5" s="9">
        <v>9.0000003576278687E-2</v>
      </c>
      <c r="E5" s="9">
        <v>0.51499998569488525</v>
      </c>
      <c r="F5" s="9">
        <v>3.3910000324249268</v>
      </c>
      <c r="G5" s="7">
        <v>0.53053557872772217</v>
      </c>
      <c r="H5" s="7">
        <v>0.15187260508537292</v>
      </c>
      <c r="I5">
        <v>1.7999999225139618E-2</v>
      </c>
      <c r="J5"/>
    </row>
    <row r="6" spans="1:10" ht="15" customHeight="1" x14ac:dyDescent="0.15">
      <c r="A6" s="148">
        <v>5</v>
      </c>
      <c r="B6" s="148" t="s">
        <v>196</v>
      </c>
      <c r="C6" s="8">
        <v>3.5645692348480225</v>
      </c>
      <c r="D6" s="9">
        <v>8.9000001549720764E-2</v>
      </c>
      <c r="E6" s="9">
        <v>0.55099999904632568</v>
      </c>
      <c r="F6" s="9">
        <v>7.1690001487731934</v>
      </c>
      <c r="G6" s="7">
        <v>0.69613707065582275</v>
      </c>
      <c r="H6" s="7">
        <v>7.6858691871166229E-2</v>
      </c>
      <c r="I6">
        <v>1.7799999564886093E-2</v>
      </c>
      <c r="J6"/>
    </row>
    <row r="7" spans="1:10" ht="15" customHeight="1" x14ac:dyDescent="0.15">
      <c r="A7" s="149">
        <v>6</v>
      </c>
      <c r="B7" s="149" t="s">
        <v>197</v>
      </c>
      <c r="C7" s="8">
        <v>3.6369752883911133</v>
      </c>
      <c r="D7" s="9">
        <v>0.26399999856948853</v>
      </c>
      <c r="E7" s="9">
        <v>0.49000000953674316</v>
      </c>
      <c r="F7" s="9">
        <v>6.1820001602172852</v>
      </c>
      <c r="G7" s="7">
        <v>0.43442881107330322</v>
      </c>
      <c r="H7" s="7">
        <v>7.9262375831604004E-2</v>
      </c>
      <c r="I7">
        <v>5.2799999713897705E-2</v>
      </c>
      <c r="J7"/>
    </row>
    <row r="8" spans="1:10" ht="15" customHeight="1" x14ac:dyDescent="0.15">
      <c r="A8" s="150">
        <v>7</v>
      </c>
      <c r="B8" s="150" t="s">
        <v>198</v>
      </c>
      <c r="C8" s="8">
        <v>3.5602657794952393</v>
      </c>
      <c r="D8" s="9">
        <v>0.15000000596046448</v>
      </c>
      <c r="E8" s="9">
        <v>0.52100002765655518</v>
      </c>
      <c r="F8" s="9">
        <v>6.5349998474121094</v>
      </c>
      <c r="G8" s="7">
        <v>0.49013134837150574</v>
      </c>
      <c r="H8" s="7">
        <v>7.9724565148353577E-2</v>
      </c>
      <c r="I8">
        <v>2.9999999329447746E-2</v>
      </c>
      <c r="J8"/>
    </row>
    <row r="9" spans="1:10" ht="15" customHeight="1" x14ac:dyDescent="0.15">
      <c r="A9" s="151">
        <v>8</v>
      </c>
      <c r="B9" s="151" t="s">
        <v>199</v>
      </c>
      <c r="C9" s="8">
        <v>3.3173038959503174</v>
      </c>
      <c r="D9" s="9">
        <v>3.4000001847743988E-2</v>
      </c>
      <c r="E9" s="9">
        <v>0.52899998426437378</v>
      </c>
      <c r="F9" s="9">
        <v>9.8870000839233398</v>
      </c>
      <c r="G9" s="7">
        <v>0.76610535383224487</v>
      </c>
      <c r="H9" s="7">
        <v>5.3504601120948792E-2</v>
      </c>
      <c r="I9">
        <v>6.8000000901520252E-3</v>
      </c>
      <c r="J9"/>
    </row>
    <row r="10" spans="1:10" ht="15" customHeight="1" x14ac:dyDescent="0.15">
      <c r="A10" s="152">
        <v>9</v>
      </c>
      <c r="B10" s="152" t="s">
        <v>200</v>
      </c>
      <c r="C10" s="8">
        <v>3.3407943248748779</v>
      </c>
      <c r="D10" s="9">
        <v>4.5000001788139343E-2</v>
      </c>
      <c r="E10" s="9">
        <v>0.50900000333786011</v>
      </c>
      <c r="F10" s="9">
        <v>6.1339998245239258</v>
      </c>
      <c r="G10" s="7">
        <v>0.91029179096221924</v>
      </c>
      <c r="H10" s="7">
        <v>8.2980111241340637E-2</v>
      </c>
      <c r="I10">
        <v>8.999999612569809E-3</v>
      </c>
      <c r="J10"/>
    </row>
    <row r="11" spans="1:10" ht="15" customHeight="1" x14ac:dyDescent="0.15">
      <c r="A11" s="153">
        <v>10</v>
      </c>
      <c r="B11" s="153" t="s">
        <v>201</v>
      </c>
      <c r="C11" s="8">
        <v>3.1943321228027344</v>
      </c>
      <c r="D11" s="9">
        <v>8.1000000238418579E-2</v>
      </c>
      <c r="E11" s="9">
        <v>0.68999999761581421</v>
      </c>
      <c r="F11" s="9">
        <v>10.62600040435791</v>
      </c>
      <c r="G11" s="7">
        <v>0.67914730310440063</v>
      </c>
      <c r="H11" s="7">
        <v>6.4935065805912018E-2</v>
      </c>
      <c r="I11">
        <v>1.6200000420212746E-2</v>
      </c>
      <c r="J11"/>
    </row>
    <row r="12" spans="1:10" ht="15" customHeight="1" x14ac:dyDescent="0.15">
      <c r="A12" s="154">
        <v>11</v>
      </c>
      <c r="B12" s="154" t="s">
        <v>202</v>
      </c>
      <c r="C12" s="8">
        <v>3.2975761890411377</v>
      </c>
      <c r="D12" s="9">
        <v>0.11299999803304672</v>
      </c>
      <c r="E12" s="9">
        <v>0.51700001955032349</v>
      </c>
      <c r="F12" s="9">
        <v>6.4120001792907715</v>
      </c>
      <c r="G12" s="7">
        <v>0.6675645112991333</v>
      </c>
      <c r="H12" s="7">
        <v>8.0630071461200714E-2</v>
      </c>
      <c r="I12">
        <v>2.2600000724196434E-2</v>
      </c>
      <c r="J12"/>
    </row>
    <row r="13" spans="1:10" ht="15" customHeight="1" x14ac:dyDescent="0.15">
      <c r="A13" s="155">
        <v>12</v>
      </c>
      <c r="B13" s="155" t="s">
        <v>203</v>
      </c>
      <c r="C13" s="8">
        <v>3.3952121734619141</v>
      </c>
      <c r="D13" s="9">
        <v>3.4000001847743988E-2</v>
      </c>
      <c r="E13" s="9">
        <v>0.78700000047683716</v>
      </c>
      <c r="F13" s="9">
        <v>17.48699951171875</v>
      </c>
      <c r="G13" s="7">
        <v>0.84727281332015991</v>
      </c>
      <c r="H13" s="7">
        <v>4.5004863291978836E-2</v>
      </c>
      <c r="I13">
        <v>6.8000000901520252E-3</v>
      </c>
      <c r="J13"/>
    </row>
    <row r="14" spans="1:10" ht="15" customHeight="1" x14ac:dyDescent="0.15">
      <c r="A14" s="156">
        <v>13</v>
      </c>
      <c r="B14" s="156" t="s">
        <v>204</v>
      </c>
      <c r="C14" s="8">
        <v>3.39035964012146</v>
      </c>
      <c r="D14" s="9">
        <v>0.36100000143051147</v>
      </c>
      <c r="E14" s="9">
        <v>0.51200002431869507</v>
      </c>
      <c r="F14" s="9">
        <v>9.7390003204345703</v>
      </c>
      <c r="G14" s="7">
        <v>0.64712363481521606</v>
      </c>
      <c r="H14" s="7">
        <v>5.2572134882211685E-2</v>
      </c>
      <c r="I14">
        <v>7.2200000286102295E-2</v>
      </c>
      <c r="J14"/>
    </row>
    <row r="15" spans="1:10" ht="15" customHeight="1" x14ac:dyDescent="0.15">
      <c r="A15" s="157">
        <v>14</v>
      </c>
      <c r="B15" s="157" t="s">
        <v>205</v>
      </c>
      <c r="C15" s="8">
        <v>3.4848477840423584</v>
      </c>
      <c r="D15" s="9">
        <v>0.11800000071525574</v>
      </c>
      <c r="E15" s="9">
        <v>0.58799999952316284</v>
      </c>
      <c r="F15" s="9">
        <v>10.293000221252441</v>
      </c>
      <c r="G15" s="7">
        <v>0.69280487298965454</v>
      </c>
      <c r="H15" s="7">
        <v>5.7126201689243317E-2</v>
      </c>
      <c r="I15">
        <v>2.3600000888109207E-2</v>
      </c>
      <c r="J15"/>
    </row>
    <row r="16" spans="1:10" ht="15" customHeight="1" x14ac:dyDescent="0.15">
      <c r="A16" s="158">
        <v>15</v>
      </c>
      <c r="B16" s="158" t="s">
        <v>206</v>
      </c>
      <c r="C16" s="8">
        <v>3.1679658889770508</v>
      </c>
      <c r="D16" s="9">
        <v>3.9999999105930328E-2</v>
      </c>
      <c r="E16" s="9">
        <v>0.99900001287460327</v>
      </c>
      <c r="F16" s="9">
        <v>18.268999099731445</v>
      </c>
      <c r="G16" s="7">
        <v>0.87743848562240601</v>
      </c>
      <c r="H16" s="7">
        <v>5.4682798683643341E-2</v>
      </c>
      <c r="I16">
        <v>8.0000003799796104E-3</v>
      </c>
      <c r="J16"/>
    </row>
    <row r="17" spans="1:10" ht="15" customHeight="1" x14ac:dyDescent="0.15">
      <c r="A17" s="159">
        <v>16</v>
      </c>
      <c r="B17" s="159" t="s">
        <v>207</v>
      </c>
      <c r="C17" s="8">
        <v>3.2560527324676514</v>
      </c>
      <c r="D17" s="9">
        <v>0.10199999809265137</v>
      </c>
      <c r="E17" s="9">
        <v>0.50199997425079346</v>
      </c>
      <c r="F17" s="9">
        <v>6.5130000114440918</v>
      </c>
      <c r="G17" s="7">
        <v>0.75200968980789185</v>
      </c>
      <c r="H17" s="7">
        <v>7.7076613903045654E-2</v>
      </c>
      <c r="I17">
        <v>2.0400000736117363E-2</v>
      </c>
      <c r="J17"/>
    </row>
    <row r="18" spans="1:10" ht="15" customHeight="1" x14ac:dyDescent="0.15">
      <c r="A18" s="160">
        <v>17</v>
      </c>
      <c r="B18" s="160" t="s">
        <v>208</v>
      </c>
      <c r="C18" s="8">
        <v>2.7508771419525146</v>
      </c>
      <c r="D18" s="9">
        <v>0.44100001454353333</v>
      </c>
      <c r="E18" s="9">
        <v>0.83899998664855957</v>
      </c>
      <c r="F18" s="9">
        <v>18.118999481201172</v>
      </c>
      <c r="G18" s="7">
        <v>0.81909894943237305</v>
      </c>
      <c r="H18" s="7">
        <v>4.6304985880851746E-2</v>
      </c>
      <c r="I18">
        <v>8.8200002908706665E-2</v>
      </c>
      <c r="J18"/>
    </row>
    <row r="19" spans="1:10" ht="15" customHeight="1" x14ac:dyDescent="0.15">
      <c r="A19" s="161">
        <v>18</v>
      </c>
      <c r="B19" s="161" t="s">
        <v>209</v>
      </c>
      <c r="C19" s="8">
        <v>3.0332572460174561</v>
      </c>
      <c r="D19" s="9">
        <v>0.33000001311302185</v>
      </c>
      <c r="E19" s="9">
        <v>0.79199999570846558</v>
      </c>
      <c r="F19" s="9">
        <v>13.63599967956543</v>
      </c>
      <c r="G19" s="7">
        <v>0.81277728080749512</v>
      </c>
      <c r="H19" s="7">
        <v>5.8081548660993576E-2</v>
      </c>
      <c r="I19">
        <v>6.5999999642372131E-2</v>
      </c>
      <c r="J19"/>
    </row>
    <row r="20" spans="1:10" ht="15" customHeight="1" x14ac:dyDescent="0.15">
      <c r="A20" s="162">
        <v>19</v>
      </c>
      <c r="B20" s="162" t="s">
        <v>210</v>
      </c>
      <c r="C20" s="8">
        <v>2.5722167491912842</v>
      </c>
      <c r="D20" s="9">
        <v>4.0440001487731934</v>
      </c>
      <c r="E20" s="9">
        <v>0.74299997091293335</v>
      </c>
      <c r="F20" s="9">
        <v>28.978000640869141</v>
      </c>
      <c r="G20" s="7">
        <v>0.73007082939147949</v>
      </c>
      <c r="H20" s="7">
        <v>2.5640139356255531E-2</v>
      </c>
      <c r="I20">
        <v>0.80879998207092285</v>
      </c>
      <c r="J20"/>
    </row>
    <row r="21" spans="1:10" ht="15" customHeight="1" x14ac:dyDescent="0.15">
      <c r="A21" s="163">
        <v>20</v>
      </c>
      <c r="B21" s="163" t="s">
        <v>211</v>
      </c>
      <c r="C21" s="8">
        <v>2.6716110706329346</v>
      </c>
      <c r="D21" s="9">
        <v>2.4539999961853027</v>
      </c>
      <c r="E21" s="9">
        <v>0.70899999141693115</v>
      </c>
      <c r="F21" s="9">
        <v>28.479000091552734</v>
      </c>
      <c r="G21" s="7">
        <v>0.47147098183631897</v>
      </c>
      <c r="H21" s="7">
        <v>2.4895535781979561E-2</v>
      </c>
      <c r="I21">
        <v>0.49079999327659607</v>
      </c>
      <c r="J21"/>
    </row>
    <row r="22" spans="1:10" ht="15" customHeight="1" x14ac:dyDescent="0.15">
      <c r="A22" s="164">
        <v>21</v>
      </c>
      <c r="B22" s="164" t="s">
        <v>212</v>
      </c>
      <c r="C22" s="8">
        <v>3.177891731262207</v>
      </c>
      <c r="D22" s="9">
        <v>0.14100000262260437</v>
      </c>
      <c r="E22" s="9">
        <v>0.67299997806549072</v>
      </c>
      <c r="F22" s="9">
        <v>9.7119998931884766</v>
      </c>
      <c r="G22" s="7">
        <v>0.61768782138824463</v>
      </c>
      <c r="H22" s="7">
        <v>6.9295711815357208E-2</v>
      </c>
      <c r="I22">
        <v>2.8200000524520874E-2</v>
      </c>
      <c r="J22"/>
    </row>
    <row r="23" spans="1:10" ht="15" customHeight="1" x14ac:dyDescent="0.15">
      <c r="A23" s="165">
        <v>22</v>
      </c>
      <c r="B23" s="165" t="s">
        <v>213</v>
      </c>
      <c r="C23" s="8">
        <v>2.0316126346588135</v>
      </c>
      <c r="D23" s="9">
        <v>0.20200000703334808</v>
      </c>
      <c r="E23" s="9">
        <v>0.7369999885559082</v>
      </c>
      <c r="F23" s="9">
        <v>33.925998687744141</v>
      </c>
      <c r="G23" s="7">
        <v>0.52096384763717651</v>
      </c>
      <c r="H23" s="7">
        <v>2.1723752841353416E-2</v>
      </c>
      <c r="I23">
        <v>4.0399998426437378E-2</v>
      </c>
      <c r="J23"/>
    </row>
    <row r="24" spans="1:10" ht="15" customHeight="1" x14ac:dyDescent="0.15">
      <c r="A24" s="166">
        <v>23</v>
      </c>
      <c r="B24" s="166" t="s">
        <v>214</v>
      </c>
      <c r="C24" s="8">
        <v>2.352200984954834</v>
      </c>
      <c r="D24" s="9">
        <v>0.69372344017028809</v>
      </c>
      <c r="E24" s="9">
        <v>1.996999979019165</v>
      </c>
      <c r="F24" s="9">
        <v>19.886999130249023</v>
      </c>
      <c r="G24" s="9">
        <v>0.28072580695152283</v>
      </c>
      <c r="H24" s="7">
        <v>0.100417360663414</v>
      </c>
      <c r="I24">
        <v>0</v>
      </c>
      <c r="J24"/>
    </row>
    <row r="25" spans="1:10" ht="15" customHeight="1" x14ac:dyDescent="0.15">
      <c r="A25" s="167">
        <v>24</v>
      </c>
      <c r="B25" s="167" t="s">
        <v>215</v>
      </c>
      <c r="C25" s="8">
        <v>2.5326952934265137</v>
      </c>
      <c r="D25" s="9">
        <v>3.1602270603179932</v>
      </c>
      <c r="E25" s="9">
        <v>4.6050000190734863</v>
      </c>
      <c r="F25" s="9">
        <v>22</v>
      </c>
      <c r="G25" s="9">
        <v>0.40502274036407471</v>
      </c>
      <c r="H25" s="7">
        <v>0.20931817591190338</v>
      </c>
      <c r="I25">
        <v>0.63200002908706665</v>
      </c>
      <c r="J25"/>
    </row>
    <row r="26" spans="1:10" ht="15" customHeight="1" x14ac:dyDescent="0.15">
      <c r="A26" s="168">
        <v>25</v>
      </c>
      <c r="B26" s="168" t="s">
        <v>216</v>
      </c>
      <c r="C26" s="8">
        <v>2.7372348308563232</v>
      </c>
      <c r="D26" s="9">
        <v>3.9869668483734131</v>
      </c>
      <c r="E26" s="9">
        <v>2.5</v>
      </c>
      <c r="F26" s="9">
        <v>8.5</v>
      </c>
      <c r="G26" s="9">
        <v>0.26008936762809753</v>
      </c>
      <c r="H26" s="7">
        <v>0.29411765933036804</v>
      </c>
      <c r="I26">
        <v>0</v>
      </c>
      <c r="J26"/>
    </row>
    <row r="27" spans="1:10" ht="15" customHeight="1" x14ac:dyDescent="0.15">
      <c r="A27" s="169">
        <v>26</v>
      </c>
      <c r="B27" s="169" t="s">
        <v>217</v>
      </c>
      <c r="C27" s="8">
        <v>2</v>
      </c>
      <c r="D27" s="9">
        <v>59.556362152099609</v>
      </c>
      <c r="E27" s="9">
        <v>1.2000000476837158</v>
      </c>
      <c r="F27" s="9">
        <v>10</v>
      </c>
      <c r="G27" s="9">
        <v>0.80006808042526245</v>
      </c>
      <c r="H27" s="7">
        <v>0.12000000476837158</v>
      </c>
      <c r="I27">
        <v>0</v>
      </c>
      <c r="J27"/>
    </row>
    <row r="28" spans="1:10" ht="15" customHeight="1" x14ac:dyDescent="0.15">
      <c r="A28" s="170">
        <v>27</v>
      </c>
      <c r="B28" s="170" t="s">
        <v>218</v>
      </c>
      <c r="C28" s="8">
        <v>2.1164274215698242</v>
      </c>
      <c r="D28" s="9">
        <v>8.2932052612304688</v>
      </c>
      <c r="E28" s="9">
        <v>4</v>
      </c>
      <c r="F28" s="9">
        <v>50</v>
      </c>
      <c r="G28" s="9">
        <v>0.80000001192092896</v>
      </c>
      <c r="H28" s="7">
        <v>7.9999998211860657E-2</v>
      </c>
      <c r="I28">
        <v>0</v>
      </c>
      <c r="J28"/>
    </row>
    <row r="29" spans="1:10" ht="15" customHeight="1" x14ac:dyDescent="0.15">
      <c r="A29" s="171">
        <v>28</v>
      </c>
      <c r="B29" s="171" t="s">
        <v>219</v>
      </c>
      <c r="C29" s="8">
        <v>2.0526316165924072</v>
      </c>
      <c r="D29" s="9">
        <v>4.5468029975891113</v>
      </c>
      <c r="E29" s="9">
        <v>50</v>
      </c>
      <c r="F29" s="9">
        <v>150</v>
      </c>
      <c r="G29" s="9">
        <v>0.80000007152557373</v>
      </c>
      <c r="H29" s="7">
        <v>0.3333333432674408</v>
      </c>
      <c r="I29">
        <v>0</v>
      </c>
      <c r="J29"/>
    </row>
    <row r="30" spans="1:10" ht="15" customHeight="1" x14ac:dyDescent="0.15">
      <c r="A30" s="172">
        <v>29</v>
      </c>
      <c r="B30" s="172" t="s">
        <v>220</v>
      </c>
      <c r="C30" s="8">
        <v>1</v>
      </c>
      <c r="D30" s="9">
        <v>14.428255081176758</v>
      </c>
      <c r="E30" s="9">
        <v>138</v>
      </c>
      <c r="F30" s="10"/>
      <c r="G30" s="9">
        <v>0.5</v>
      </c>
      <c r="H30" s="10"/>
      <c r="I30">
        <v>0</v>
      </c>
      <c r="J30"/>
    </row>
    <row r="31" spans="1:10" ht="15" customHeight="1" x14ac:dyDescent="0.15">
      <c r="A31" s="173">
        <v>30</v>
      </c>
      <c r="B31" s="173" t="s">
        <v>221</v>
      </c>
      <c r="C31" s="8">
        <v>1</v>
      </c>
      <c r="D31" s="9">
        <v>27.974214553833008</v>
      </c>
      <c r="E31" s="9">
        <v>15</v>
      </c>
      <c r="F31" s="10"/>
      <c r="G31" s="9">
        <v>0.50000005960464478</v>
      </c>
      <c r="H31" s="10"/>
      <c r="I31">
        <v>0</v>
      </c>
      <c r="J31"/>
    </row>
    <row r="32" spans="1:10" ht="15" customHeight="1" x14ac:dyDescent="0.15">
      <c r="A32" s="202">
        <v>31</v>
      </c>
      <c r="B32" s="202" t="s">
        <v>222</v>
      </c>
      <c r="C32" s="8">
        <v>1</v>
      </c>
      <c r="D32" s="9">
        <v>1</v>
      </c>
      <c r="E32" s="10"/>
      <c r="F32" s="10"/>
      <c r="G32" s="7">
        <v>0.32313129305839539</v>
      </c>
      <c r="H32" s="10"/>
      <c r="I32">
        <v>0</v>
      </c>
      <c r="J32"/>
    </row>
    <row r="33" spans="1:10" ht="15" customHeight="1" x14ac:dyDescent="0.15">
      <c r="A33" s="203">
        <v>32</v>
      </c>
      <c r="B33" s="203" t="s">
        <v>223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04">
        <v>33</v>
      </c>
      <c r="B34" s="204" t="s">
        <v>224</v>
      </c>
      <c r="C34" s="8">
        <v>3.7041265964508057</v>
      </c>
      <c r="D34" s="10"/>
      <c r="E34" s="10"/>
      <c r="F34" s="10"/>
      <c r="G34" s="10"/>
      <c r="H34" s="10"/>
      <c r="I34">
        <v>2.4588000774383545</v>
      </c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230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0.32899999618530273</v>
      </c>
      <c r="C2">
        <v>0.12850096821784973</v>
      </c>
      <c r="D2" s="205">
        <v>0.19999998807907104</v>
      </c>
      <c r="E2" s="14">
        <v>4.9904512707144022E-4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7.0000000298023224E-2</v>
      </c>
      <c r="C3">
        <v>7.0000000298023224E-2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0.5</v>
      </c>
      <c r="C4">
        <v>0.49997919797897339</v>
      </c>
      <c r="D4"/>
      <c r="E4" s="11">
        <v>2.0793546354980208E-5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0.51499998569488525</v>
      </c>
      <c r="C5">
        <v>0.24177417159080505</v>
      </c>
      <c r="D5" s="206">
        <v>0.19999998807907104</v>
      </c>
      <c r="E5" s="22">
        <v>4.4359564781188965E-3</v>
      </c>
      <c r="F5"/>
      <c r="G5"/>
      <c r="H5"/>
      <c r="I5" s="17">
        <v>7.089344784617424E-3</v>
      </c>
      <c r="J5" s="27">
        <v>1.8133867532014847E-2</v>
      </c>
      <c r="K5" s="228">
        <v>4.3566662818193436E-2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0.55099999904632568</v>
      </c>
      <c r="C6">
        <v>0.16742847859859467</v>
      </c>
      <c r="D6" s="207">
        <v>0.19999998807907104</v>
      </c>
      <c r="E6" s="14">
        <v>1.1214497499167919E-3</v>
      </c>
      <c r="F6"/>
      <c r="G6" s="26">
        <v>1.3721033930778503E-2</v>
      </c>
      <c r="H6"/>
      <c r="I6"/>
      <c r="J6" s="241">
        <v>0.14670096337795258</v>
      </c>
      <c r="K6" s="223">
        <v>2.2028088569641113E-2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0.49000000953674316</v>
      </c>
      <c r="C7">
        <v>0.2771298885345459</v>
      </c>
      <c r="D7" s="208">
        <v>0.20000000298023224</v>
      </c>
      <c r="E7" s="11">
        <v>1.8903224554378539E-4</v>
      </c>
      <c r="F7"/>
      <c r="G7" s="12">
        <v>1.5418841503560543E-3</v>
      </c>
      <c r="H7"/>
      <c r="I7"/>
      <c r="J7"/>
      <c r="K7" s="226">
        <v>1.1139202862977982E-2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0.52100002765655518</v>
      </c>
      <c r="C8">
        <v>0.26564157009124756</v>
      </c>
      <c r="D8" s="209">
        <v>0.19999998807907104</v>
      </c>
      <c r="E8" s="11">
        <v>3.3269674167968333E-4</v>
      </c>
      <c r="F8"/>
      <c r="G8" s="14">
        <v>6.2415463617071509E-4</v>
      </c>
      <c r="H8"/>
      <c r="I8"/>
      <c r="J8" s="238">
        <v>5.4401598870754242E-2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0.52899998426437378</v>
      </c>
      <c r="C9">
        <v>0.12373026460409164</v>
      </c>
      <c r="D9" s="137">
        <v>0.19999998807907104</v>
      </c>
      <c r="E9" s="16">
        <v>8.6599010974168777E-3</v>
      </c>
      <c r="F9" s="12">
        <v>1.693235244601965E-3</v>
      </c>
      <c r="G9"/>
      <c r="H9"/>
      <c r="I9" s="70">
        <v>3.753182664513588E-2</v>
      </c>
      <c r="J9" s="221">
        <v>4.800141230225563E-2</v>
      </c>
      <c r="K9" s="63">
        <v>2.8830880299210548E-2</v>
      </c>
      <c r="L9"/>
      <c r="M9"/>
      <c r="N9"/>
      <c r="O9"/>
      <c r="P9"/>
      <c r="Q9"/>
      <c r="R9"/>
      <c r="S9"/>
      <c r="T9"/>
      <c r="U9"/>
      <c r="V9"/>
      <c r="W9"/>
      <c r="X9"/>
      <c r="Y9" s="225">
        <v>8.0552466213703156E-2</v>
      </c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0.50900000333786011</v>
      </c>
      <c r="C10">
        <v>4.5661479234695435E-2</v>
      </c>
      <c r="D10" s="210">
        <v>0.19999998807907104</v>
      </c>
      <c r="E10" s="22">
        <v>3.5487653221935034E-3</v>
      </c>
      <c r="F10" s="14">
        <v>1.2793333735316992E-3</v>
      </c>
      <c r="G10" s="15">
        <v>4.522860050201416E-3</v>
      </c>
      <c r="H10"/>
      <c r="I10"/>
      <c r="J10" s="232">
        <v>0.14507094025611877</v>
      </c>
      <c r="K10" s="229">
        <v>0.10891664028167725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0.68999999761581421</v>
      </c>
      <c r="C11">
        <v>0.22138835489749908</v>
      </c>
      <c r="D11" s="104">
        <v>0.20000000298023224</v>
      </c>
      <c r="E11" s="23">
        <v>3.6966304760426283E-3</v>
      </c>
      <c r="F11" s="14">
        <v>7.1074080187827349E-4</v>
      </c>
      <c r="G11" s="13">
        <v>2.5126999244093895E-2</v>
      </c>
      <c r="H11"/>
      <c r="I11" s="222">
        <v>2.3631148040294647E-2</v>
      </c>
      <c r="J11" s="234">
        <v>0.10074370354413986</v>
      </c>
      <c r="K11" s="103">
        <v>8.4712952375411987E-2</v>
      </c>
      <c r="L11"/>
      <c r="M11"/>
      <c r="N11"/>
      <c r="O11"/>
      <c r="P11"/>
      <c r="Q11"/>
      <c r="R11" s="20">
        <v>2.9989482834935188E-2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0.51700001955032349</v>
      </c>
      <c r="C12">
        <v>0.17186915874481201</v>
      </c>
      <c r="D12" s="211">
        <v>0.20000000298023224</v>
      </c>
      <c r="E12" s="12">
        <v>1.8548581283539534E-3</v>
      </c>
      <c r="F12"/>
      <c r="G12"/>
      <c r="H12"/>
      <c r="I12" s="222">
        <v>1.6939140856266022E-2</v>
      </c>
      <c r="J12" s="235">
        <v>7.2214514017105103E-2</v>
      </c>
      <c r="K12" s="228">
        <v>4.3373886495828629E-2</v>
      </c>
      <c r="L12"/>
      <c r="M12"/>
      <c r="N12"/>
      <c r="O12"/>
      <c r="P12"/>
      <c r="Q12"/>
      <c r="R12" s="64">
        <v>1.0748443193733692E-2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0.78700000047683716</v>
      </c>
      <c r="C13">
        <v>0.12019629776477814</v>
      </c>
      <c r="D13" s="143">
        <v>0.19999998807907104</v>
      </c>
      <c r="E13" s="19">
        <v>1.3210018165409565E-2</v>
      </c>
      <c r="F13" s="14">
        <v>1.693235244601965E-3</v>
      </c>
      <c r="G13" s="225">
        <v>0.11972275376319885</v>
      </c>
      <c r="H13"/>
      <c r="I13" s="70">
        <v>5.6297730654478073E-2</v>
      </c>
      <c r="J13" s="227">
        <v>9.6002824604511261E-2</v>
      </c>
      <c r="K13" s="106">
        <v>0.14415436983108521</v>
      </c>
      <c r="L13"/>
      <c r="M13"/>
      <c r="N13"/>
      <c r="O13"/>
      <c r="P13"/>
      <c r="Q13"/>
      <c r="R13" s="220">
        <v>3.5722766071557999E-2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0.51200002431869507</v>
      </c>
      <c r="C14">
        <v>0.18067270517349243</v>
      </c>
      <c r="D14" s="212">
        <v>0.20000000298023224</v>
      </c>
      <c r="E14" s="12">
        <v>1.6588757280260324E-3</v>
      </c>
      <c r="F14"/>
      <c r="G14" s="17">
        <v>6.7654959857463837E-3</v>
      </c>
      <c r="H14"/>
      <c r="I14"/>
      <c r="J14" s="243">
        <v>6.7813627421855927E-2</v>
      </c>
      <c r="K14" s="239">
        <v>2.7153734117746353E-2</v>
      </c>
      <c r="L14" s="63">
        <v>2.7935570105910301E-2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0.58799999952316284</v>
      </c>
      <c r="C15">
        <v>0.18063072860240936</v>
      </c>
      <c r="D15" s="136">
        <v>0.20000000298023224</v>
      </c>
      <c r="E15" s="12">
        <v>2.114598173648119E-3</v>
      </c>
      <c r="F15" s="11">
        <v>4.8788139247335494E-4</v>
      </c>
      <c r="G15"/>
      <c r="H15"/>
      <c r="I15"/>
      <c r="J15" s="242">
        <v>0.13830915093421936</v>
      </c>
      <c r="K15" s="233">
        <v>6.645762175321579E-2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0.99900001287460327</v>
      </c>
      <c r="C16">
        <v>0.1224389523267746</v>
      </c>
      <c r="D16" s="213">
        <v>0.20000001788139343</v>
      </c>
      <c r="E16" s="14">
        <v>1.2476128758862615E-3</v>
      </c>
      <c r="F16" s="14">
        <v>1.439250074326992E-3</v>
      </c>
      <c r="G16" s="68">
        <v>5.088217556476593E-2</v>
      </c>
      <c r="H16"/>
      <c r="I16" s="231">
        <v>0.14355921745300293</v>
      </c>
      <c r="J16" s="236">
        <v>0.20400600135326385</v>
      </c>
      <c r="K16" s="240">
        <v>0.245062455534935</v>
      </c>
      <c r="L16"/>
      <c r="M16"/>
      <c r="N16"/>
      <c r="O16"/>
      <c r="P16"/>
      <c r="Q16"/>
      <c r="R16" s="25">
        <v>3.0364353209733963E-2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0.50199997425079346</v>
      </c>
      <c r="C17">
        <v>0.1244911327958107</v>
      </c>
      <c r="D17" s="214">
        <v>0.20000001788139343</v>
      </c>
      <c r="E17" s="11">
        <v>4.8925995361059904E-4</v>
      </c>
      <c r="F17"/>
      <c r="G17" s="28">
        <v>2.39445511251688E-2</v>
      </c>
      <c r="H17"/>
      <c r="I17" s="224">
        <v>2.502121776342392E-2</v>
      </c>
      <c r="J17" s="237">
        <v>8.0002352595329285E-2</v>
      </c>
      <c r="K17" s="230">
        <v>4.8051461577415466E-2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0.83899998664855957</v>
      </c>
      <c r="C18">
        <v>0.15177598595619202</v>
      </c>
      <c r="D18" s="215">
        <v>0.20000000298023224</v>
      </c>
      <c r="E18" s="11">
        <v>4.5264861546456814E-4</v>
      </c>
      <c r="F18" s="14">
        <v>2.2192518226802349E-3</v>
      </c>
      <c r="G18" s="223">
        <v>3.2306142151355743E-2</v>
      </c>
      <c r="H18"/>
      <c r="I18" s="20">
        <v>3.6170121282339096E-2</v>
      </c>
      <c r="J18" s="247">
        <v>0.1850394606590271</v>
      </c>
      <c r="K18" s="245">
        <v>6.6683657467365265E-2</v>
      </c>
      <c r="L18" s="19">
        <v>1.524526160210371E-2</v>
      </c>
      <c r="M18" s="18">
        <v>9.3887755647301674E-3</v>
      </c>
      <c r="N18" s="27">
        <v>2.9275715351104736E-2</v>
      </c>
      <c r="O18" s="14">
        <v>1.6429842216894031E-3</v>
      </c>
      <c r="P18" s="21">
        <v>1.6178447753190994E-2</v>
      </c>
      <c r="Q18" s="21">
        <v>1.5944575890898705E-2</v>
      </c>
      <c r="R18" s="244">
        <v>5.7836856693029404E-2</v>
      </c>
      <c r="S18" s="12">
        <v>3.314104164019227E-3</v>
      </c>
      <c r="T18"/>
      <c r="U18"/>
      <c r="V18"/>
      <c r="W18"/>
      <c r="X18"/>
      <c r="Y18" s="19">
        <v>1.5525985509157181E-2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0.79199999570846558</v>
      </c>
      <c r="C19">
        <v>0.14828039705753326</v>
      </c>
      <c r="D19" s="142">
        <v>0.19999998807907104</v>
      </c>
      <c r="E19" s="11">
        <v>3.0245157540775836E-4</v>
      </c>
      <c r="F19" s="14">
        <v>1.5700911171734333E-3</v>
      </c>
      <c r="G19" s="26">
        <v>1.9736116752028465E-2</v>
      </c>
      <c r="H19"/>
      <c r="I19" s="18">
        <v>9.6672875806689262E-3</v>
      </c>
      <c r="J19" s="213">
        <v>0.15825921297073364</v>
      </c>
      <c r="K19" s="246">
        <v>9.2084072530269623E-2</v>
      </c>
      <c r="L19" s="223">
        <v>3.055981919169426E-2</v>
      </c>
      <c r="M19" s="25">
        <v>2.509363554418087E-2</v>
      </c>
      <c r="N19" s="222">
        <v>2.6081997901201248E-2</v>
      </c>
      <c r="O19" s="23">
        <v>4.3912483379244804E-3</v>
      </c>
      <c r="P19" s="15">
        <v>7.206763606518507E-3</v>
      </c>
      <c r="Q19" s="65">
        <v>3.1961627304553986E-2</v>
      </c>
      <c r="R19" s="28">
        <v>3.6805272102355957E-2</v>
      </c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0.74299997091293335</v>
      </c>
      <c r="C20">
        <v>0.20055736601352692</v>
      </c>
      <c r="D20" s="216">
        <v>0.19999998807907104</v>
      </c>
      <c r="E20" s="11">
        <v>1.246378815267235E-4</v>
      </c>
      <c r="F20" s="11">
        <v>2.7048221090808511E-4</v>
      </c>
      <c r="G20" s="22">
        <v>5.5361408740282059E-3</v>
      </c>
      <c r="H20"/>
      <c r="I20" s="222">
        <v>2.5243954733014107E-2</v>
      </c>
      <c r="J20" s="249">
        <v>0.16142907738685608</v>
      </c>
      <c r="K20" s="66">
        <v>4.3631300330162048E-2</v>
      </c>
      <c r="L20" s="15">
        <v>6.6500101238489151E-3</v>
      </c>
      <c r="M20" s="23">
        <v>3.7541170604526997E-3</v>
      </c>
      <c r="N20" s="17">
        <v>9.5775891095399857E-3</v>
      </c>
      <c r="O20" s="11">
        <v>7.1667262818664312E-4</v>
      </c>
      <c r="P20" s="17">
        <v>9.8504917696118355E-3</v>
      </c>
      <c r="Q20" s="25">
        <v>2.3473301902413368E-2</v>
      </c>
      <c r="R20" s="141">
        <v>4.5050967484712601E-2</v>
      </c>
      <c r="S20" s="11">
        <v>3.614045272115618E-4</v>
      </c>
      <c r="T20"/>
      <c r="U20"/>
      <c r="V20"/>
      <c r="W20"/>
      <c r="X20"/>
      <c r="Y20" s="15">
        <v>6.7724622786045074E-3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0.70899999141693115</v>
      </c>
      <c r="C21">
        <v>0.37472707033157349</v>
      </c>
      <c r="D21" s="217">
        <v>0.20000000298023224</v>
      </c>
      <c r="E21" s="11">
        <v>2.0539348770398647E-4</v>
      </c>
      <c r="F21" s="11">
        <v>4.9265287816524506E-4</v>
      </c>
      <c r="G21" s="22">
        <v>4.9762516282498837E-3</v>
      </c>
      <c r="H21"/>
      <c r="I21" s="12">
        <v>2.6000039651989937E-3</v>
      </c>
      <c r="J21" s="248">
        <v>5.3204499185085297E-2</v>
      </c>
      <c r="K21" s="18">
        <v>7.9889958724379539E-3</v>
      </c>
      <c r="L21"/>
      <c r="M21"/>
      <c r="N21" s="26">
        <v>1.7536798492074013E-2</v>
      </c>
      <c r="O21"/>
      <c r="P21" s="11">
        <v>4.8456236254423857E-4</v>
      </c>
      <c r="Q21" s="15">
        <v>7.163364440202713E-3</v>
      </c>
      <c r="R21" s="27">
        <v>2.4746822193264961E-2</v>
      </c>
      <c r="S21" s="12">
        <v>2.6800485793501139E-3</v>
      </c>
      <c r="T21" s="12">
        <v>2.7071149088442326E-3</v>
      </c>
      <c r="U21"/>
      <c r="V21"/>
      <c r="W21"/>
      <c r="X21"/>
      <c r="Y21" s="17">
        <v>9.4864163547754288E-3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0.67299997806549072</v>
      </c>
      <c r="C22">
        <v>0.25729608535766602</v>
      </c>
      <c r="D22" s="218">
        <v>0.20000000298023224</v>
      </c>
      <c r="E22" s="14">
        <v>1.7696637660264969E-3</v>
      </c>
      <c r="F22" s="12">
        <v>2.4497872218489647E-3</v>
      </c>
      <c r="G22" s="23">
        <v>4.330397117882967E-3</v>
      </c>
      <c r="H22"/>
      <c r="I22" s="21">
        <v>1.3575339689850807E-2</v>
      </c>
      <c r="J22" s="105">
        <v>0.1157480850815773</v>
      </c>
      <c r="K22" s="68">
        <v>3.4760631620883942E-2</v>
      </c>
      <c r="L22"/>
      <c r="M22"/>
      <c r="N22"/>
      <c r="O22"/>
      <c r="P22"/>
      <c r="Q22"/>
      <c r="R22" s="74">
        <v>4.3069999665021896E-2</v>
      </c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0.7369999885559082</v>
      </c>
      <c r="C23">
        <v>0.353049635887146</v>
      </c>
      <c r="D23" s="219">
        <v>0.19999998807907104</v>
      </c>
      <c r="E23" s="11">
        <v>4.9410405335947871E-4</v>
      </c>
      <c r="F23" s="11">
        <v>2.8500001644715667E-4</v>
      </c>
      <c r="G23" s="20">
        <v>3.2242171466350555E-2</v>
      </c>
      <c r="H23"/>
      <c r="I23" s="22">
        <v>6.3172378577291965E-3</v>
      </c>
      <c r="J23" s="222">
        <v>2.4238334968686104E-2</v>
      </c>
      <c r="K23" s="17">
        <v>9.705444797873497E-3</v>
      </c>
      <c r="L23" s="18">
        <v>8.3207432180643082E-3</v>
      </c>
      <c r="M23" s="15">
        <v>6.832425482571125E-3</v>
      </c>
      <c r="N23" s="140">
        <v>2.1304601803421974E-2</v>
      </c>
      <c r="O23" s="12">
        <v>3.5869108978658915E-3</v>
      </c>
      <c r="P23" s="18">
        <v>8.8300686329603195E-3</v>
      </c>
      <c r="Q23" s="226">
        <v>1.7404846847057343E-2</v>
      </c>
      <c r="R23" s="222">
        <v>2.4050971493124962E-2</v>
      </c>
      <c r="S23"/>
      <c r="T23"/>
      <c r="U23"/>
      <c r="V23"/>
      <c r="W23"/>
      <c r="X23"/>
      <c r="Y23" s="24">
        <v>2.0337505266070366E-2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1.996999979019165</v>
      </c>
      <c r="C24">
        <v>1.4363905191421509</v>
      </c>
      <c r="D24"/>
      <c r="E24" s="11">
        <v>7.1937189204618335E-5</v>
      </c>
      <c r="F24" s="11">
        <v>1.6597393550910056E-4</v>
      </c>
      <c r="G24" s="18">
        <v>2.3177487775683403E-2</v>
      </c>
      <c r="H24"/>
      <c r="I24" s="17">
        <v>2.7592016384005547E-2</v>
      </c>
      <c r="J24" s="66">
        <v>0.11762958765029907</v>
      </c>
      <c r="K24" s="27">
        <v>7.0651344954967499E-2</v>
      </c>
      <c r="L24" s="18">
        <v>2.4228531867265701E-2</v>
      </c>
      <c r="M24" s="14">
        <v>3.9789630100131035E-3</v>
      </c>
      <c r="N24" s="21">
        <v>3.7221144884824753E-2</v>
      </c>
      <c r="O24" s="23">
        <v>1.0444450192153454E-2</v>
      </c>
      <c r="P24" s="22">
        <v>1.7141066491603851E-2</v>
      </c>
      <c r="Q24" s="66">
        <v>0.11656362563371658</v>
      </c>
      <c r="R24" s="26">
        <v>5.2524130791425705E-2</v>
      </c>
      <c r="S24"/>
      <c r="T24"/>
      <c r="U24"/>
      <c r="V24"/>
      <c r="W24"/>
      <c r="X24"/>
      <c r="Y24" s="140">
        <v>5.9219218790531158E-2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4.6050000190734863</v>
      </c>
      <c r="C25">
        <v>2.7398703098297119</v>
      </c>
      <c r="D25" s="20">
        <v>0.19998563826084137</v>
      </c>
      <c r="E25" s="11">
        <v>1.5791432815603912E-5</v>
      </c>
      <c r="F25" s="11">
        <v>1.6395343118347228E-4</v>
      </c>
      <c r="G25" s="11">
        <v>1.6744827153161168E-3</v>
      </c>
      <c r="H25" s="15">
        <v>4.8286091536283493E-2</v>
      </c>
      <c r="I25" s="19">
        <v>7.873990386724472E-2</v>
      </c>
      <c r="J25" s="222">
        <v>0.15441370010375977</v>
      </c>
      <c r="K25" s="21">
        <v>8.6851343512535095E-2</v>
      </c>
      <c r="L25" s="12">
        <v>1.9678724929690361E-2</v>
      </c>
      <c r="M25" s="14">
        <v>8.734499104321003E-3</v>
      </c>
      <c r="N25" s="15">
        <v>4.9024038016796112E-2</v>
      </c>
      <c r="O25" s="17">
        <v>6.6718563437461853E-2</v>
      </c>
      <c r="P25" s="16">
        <v>7.149234414100647E-2</v>
      </c>
      <c r="Q25" s="66">
        <v>0.26700201630592346</v>
      </c>
      <c r="R25" s="224">
        <v>0.22368079423904419</v>
      </c>
      <c r="S25" s="23">
        <v>2.312365360558033E-2</v>
      </c>
      <c r="T25" s="23">
        <v>2.3123610764741898E-2</v>
      </c>
      <c r="U25" s="24">
        <v>0.12642253935337067</v>
      </c>
      <c r="V25" s="248">
        <v>0.3417384922504425</v>
      </c>
      <c r="W25"/>
      <c r="X25"/>
      <c r="Y25" s="18">
        <v>5.2431810647249222E-2</v>
      </c>
      <c r="Z25"/>
      <c r="AA25" s="12">
        <v>2.1827667951583862E-2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2.5</v>
      </c>
      <c r="C26">
        <v>1.8497766256332397</v>
      </c>
      <c r="D26"/>
      <c r="E26" s="11">
        <v>5.0067646952811629E-5</v>
      </c>
      <c r="F26" s="11">
        <v>1.1551639181561768E-4</v>
      </c>
      <c r="G26" s="14">
        <v>3.573395311832428E-3</v>
      </c>
      <c r="H26"/>
      <c r="I26" s="16">
        <v>4.0007922798395157E-2</v>
      </c>
      <c r="J26" s="11">
        <v>2.0467287395149469E-3</v>
      </c>
      <c r="K26" s="16">
        <v>3.6879535764455795E-2</v>
      </c>
      <c r="L26" s="14">
        <v>4.2157112620770931E-3</v>
      </c>
      <c r="M26" s="22">
        <v>1.9731428474187851E-2</v>
      </c>
      <c r="N26" s="16">
        <v>4.1017182171344757E-2</v>
      </c>
      <c r="O26" s="17">
        <v>3.2893333584070206E-2</v>
      </c>
      <c r="P26" s="15">
        <v>2.6842571794986725E-2</v>
      </c>
      <c r="Q26" s="250">
        <v>0.26454541087150574</v>
      </c>
      <c r="R26"/>
      <c r="S26" s="22">
        <v>1.8328718841075897E-2</v>
      </c>
      <c r="T26" s="17">
        <v>3.6657370626926422E-2</v>
      </c>
      <c r="U26"/>
      <c r="V26" s="226">
        <v>5.6432373821735382E-2</v>
      </c>
      <c r="W26"/>
      <c r="X26"/>
      <c r="Y26" s="15">
        <v>2.4386165663599968E-2</v>
      </c>
      <c r="Z26"/>
      <c r="AA26"/>
      <c r="AB26"/>
      <c r="AC26" s="19">
        <v>4.2499996721744537E-2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1.2000000476837158</v>
      </c>
      <c r="C27">
        <v>0.2399183064699173</v>
      </c>
      <c r="D27"/>
      <c r="E27" s="11">
        <v>8.3793753447025665E-7</v>
      </c>
      <c r="F27" s="11">
        <v>1.9332949250383535E-6</v>
      </c>
      <c r="G27" s="14">
        <v>1.3054517330601811E-3</v>
      </c>
      <c r="H27" s="14">
        <v>1.5373170608654618E-3</v>
      </c>
      <c r="I27" s="11">
        <v>4.2852919432334602E-4</v>
      </c>
      <c r="J27" s="11">
        <v>1.3701709394808859E-4</v>
      </c>
      <c r="K27"/>
      <c r="L27" s="11">
        <v>8.4665522444993258E-4</v>
      </c>
      <c r="M27" s="14">
        <v>2.3173845838755369E-3</v>
      </c>
      <c r="N27" s="14">
        <v>2.6013525202870369E-3</v>
      </c>
      <c r="O27" s="14">
        <v>2.1898599807173014E-3</v>
      </c>
      <c r="P27"/>
      <c r="Q27" s="23">
        <v>7.910395972430706E-3</v>
      </c>
      <c r="R27" s="11">
        <v>4.0787379839457572E-4</v>
      </c>
      <c r="S27" s="14">
        <v>2.5767118204385042E-3</v>
      </c>
      <c r="T27" s="12">
        <v>4.0156478062272072E-3</v>
      </c>
      <c r="U27" s="24">
        <v>3.3541668206453323E-2</v>
      </c>
      <c r="V27" s="16">
        <v>1.8889164552092552E-2</v>
      </c>
      <c r="W27" s="254">
        <v>0.27547326683998108</v>
      </c>
      <c r="X27" s="255">
        <v>0.35204029083251953</v>
      </c>
      <c r="Y27" s="22">
        <v>8.5304807871580124E-3</v>
      </c>
      <c r="Z27" s="11">
        <v>3.4520504414103925E-4</v>
      </c>
      <c r="AA27" s="17">
        <v>1.7373558133840561E-2</v>
      </c>
      <c r="AB27"/>
      <c r="AC27" s="253">
        <v>0.22761107981204987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</v>
      </c>
      <c r="C28">
        <v>0.79999995231628418</v>
      </c>
      <c r="D28"/>
      <c r="E28"/>
      <c r="F28"/>
      <c r="G28"/>
      <c r="H28" s="14">
        <v>5.5200015194714069E-3</v>
      </c>
      <c r="I28" s="11">
        <v>2.3080615792423487E-3</v>
      </c>
      <c r="J28"/>
      <c r="K28" s="12">
        <v>1.7729874700307846E-2</v>
      </c>
      <c r="L28" s="14">
        <v>6.0801226645708084E-3</v>
      </c>
      <c r="M28"/>
      <c r="N28" s="14">
        <v>6.2270690687000751E-3</v>
      </c>
      <c r="O28" s="23">
        <v>2.0094508305191994E-2</v>
      </c>
      <c r="P28" s="14">
        <v>4.1581462137401104E-3</v>
      </c>
      <c r="Q28" s="15">
        <v>4.2393490672111511E-2</v>
      </c>
      <c r="R28"/>
      <c r="S28" s="11">
        <v>2.6434650644659996E-3</v>
      </c>
      <c r="T28" s="12">
        <v>1.6020972281694412E-2</v>
      </c>
      <c r="U28" s="18">
        <v>4.817485436797142E-2</v>
      </c>
      <c r="V28" s="24">
        <v>0.10851968079805374</v>
      </c>
      <c r="W28" s="27">
        <v>0.14130488038063049</v>
      </c>
      <c r="X28" s="250">
        <v>0.4213537871837616</v>
      </c>
      <c r="Y28" s="22">
        <v>3.3024434000253677E-2</v>
      </c>
      <c r="Z28" s="11">
        <v>2.4790363386273384E-3</v>
      </c>
      <c r="AA28" s="65">
        <v>0.1663539856672287</v>
      </c>
      <c r="AB28" s="252">
        <v>0.83833688497543335</v>
      </c>
      <c r="AC28" s="236">
        <v>0.81727677583694458</v>
      </c>
      <c r="AD28"/>
      <c r="AE28" s="251">
        <v>0.5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50</v>
      </c>
      <c r="C29">
        <v>9.9999961853027344</v>
      </c>
      <c r="D29"/>
      <c r="E29"/>
      <c r="F29"/>
      <c r="G29"/>
      <c r="H29"/>
      <c r="I29" s="11">
        <v>4.2098215781152248E-3</v>
      </c>
      <c r="J29"/>
      <c r="K29" s="11">
        <v>7.9768681898713112E-3</v>
      </c>
      <c r="L29" s="11">
        <v>1.8483206629753113E-2</v>
      </c>
      <c r="M29"/>
      <c r="N29" s="11">
        <v>1.7036926001310349E-2</v>
      </c>
      <c r="O29" s="11">
        <v>1.1154853738844395E-2</v>
      </c>
      <c r="P29" s="11">
        <v>3.3214051276445389E-2</v>
      </c>
      <c r="Q29" s="14">
        <v>0.11985251307487488</v>
      </c>
      <c r="R29" s="11">
        <v>3.2856624573469162E-2</v>
      </c>
      <c r="S29" s="14">
        <v>8.7913565337657928E-2</v>
      </c>
      <c r="T29" s="11">
        <v>1.4610838145017624E-2</v>
      </c>
      <c r="U29" s="18">
        <v>0.61508440971374512</v>
      </c>
      <c r="V29" s="14">
        <v>9.8967999219894409E-2</v>
      </c>
      <c r="W29" s="257">
        <v>10.309401512145996</v>
      </c>
      <c r="X29" s="67">
        <v>4.6112046241760254</v>
      </c>
      <c r="Y29" s="11">
        <v>4.5176535844802856E-2</v>
      </c>
      <c r="Z29" s="11">
        <v>3.6173384636640549E-2</v>
      </c>
      <c r="AA29" s="15">
        <v>0.45513555407524109</v>
      </c>
      <c r="AB29" s="227">
        <v>6.1163854598999023</v>
      </c>
      <c r="AC29" s="16">
        <v>0.7453417181968689</v>
      </c>
      <c r="AD29"/>
      <c r="AE29" s="106">
        <v>9.1198205947875977</v>
      </c>
      <c r="AF29" s="256">
        <v>7.5000004768371582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138</v>
      </c>
      <c r="C30">
        <v>69</v>
      </c>
      <c r="D30"/>
      <c r="E30"/>
      <c r="F30"/>
      <c r="G30"/>
      <c r="H30"/>
      <c r="I30"/>
      <c r="J30"/>
      <c r="K30"/>
      <c r="L30"/>
      <c r="M30"/>
      <c r="N30" s="11">
        <v>1.1930839391425252E-3</v>
      </c>
      <c r="O30" s="11">
        <v>5.0217850366607308E-4</v>
      </c>
      <c r="P30"/>
      <c r="Q30"/>
      <c r="R30"/>
      <c r="S30"/>
      <c r="T30"/>
      <c r="U30" s="11">
        <v>0.11076153814792633</v>
      </c>
      <c r="V30" s="11">
        <v>3.118797205388546E-2</v>
      </c>
      <c r="W30" s="19">
        <v>2.4366157054901123</v>
      </c>
      <c r="X30" s="22">
        <v>0.96875840425491333</v>
      </c>
      <c r="Y30"/>
      <c r="Z30" s="14">
        <v>0.14724206924438477</v>
      </c>
      <c r="AA30" s="11">
        <v>9.5618478953838348E-2</v>
      </c>
      <c r="AB30" s="15">
        <v>1.4456009864807129</v>
      </c>
      <c r="AC30" s="11">
        <v>7.0464275777339935E-2</v>
      </c>
      <c r="AD30" s="258">
        <v>20.638795852661133</v>
      </c>
      <c r="AE30" s="64">
        <v>2.873945951461792</v>
      </c>
      <c r="AF30" s="104">
        <v>40.179313659667969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15</v>
      </c>
      <c r="C31">
        <v>7.4999990463256836</v>
      </c>
      <c r="D31"/>
      <c r="E31"/>
      <c r="F31"/>
      <c r="G31"/>
      <c r="H31" s="11">
        <v>3.2729067606851459E-4</v>
      </c>
      <c r="I31"/>
      <c r="J31"/>
      <c r="K31"/>
      <c r="L31"/>
      <c r="M31"/>
      <c r="N31" s="11">
        <v>1.3845526846125722E-3</v>
      </c>
      <c r="O31" s="11">
        <v>2.5900852051563561E-4</v>
      </c>
      <c r="P31"/>
      <c r="Q31"/>
      <c r="R31"/>
      <c r="S31"/>
      <c r="T31"/>
      <c r="U31" s="11">
        <v>1.4281864278018475E-2</v>
      </c>
      <c r="V31" s="11">
        <v>8.0429073423147202E-3</v>
      </c>
      <c r="W31" s="24">
        <v>0.4189109206199646</v>
      </c>
      <c r="X31" s="22">
        <v>0.12491407990455627</v>
      </c>
      <c r="Y31"/>
      <c r="Z31" s="12">
        <v>4.8995491117238998E-2</v>
      </c>
      <c r="AA31" s="23">
        <v>7.3975689709186554E-2</v>
      </c>
      <c r="AB31" s="16">
        <v>0.24853244423866272</v>
      </c>
      <c r="AC31" s="12">
        <v>7.268669456243515E-2</v>
      </c>
      <c r="AD31" s="229">
        <v>3.1934604644775391</v>
      </c>
      <c r="AE31" s="235">
        <v>2.0752124786376953</v>
      </c>
      <c r="AF31" s="245">
        <v>1.2190163135528564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/>
      <c r="C32">
        <v>0.32313129305839539</v>
      </c>
      <c r="D32"/>
      <c r="E32" s="9">
        <v>2.4952256353572011E-5</v>
      </c>
      <c r="F32"/>
      <c r="G32"/>
      <c r="H32" s="9">
        <v>6.103800144046545E-3</v>
      </c>
      <c r="I32"/>
      <c r="J32"/>
      <c r="K32"/>
      <c r="L32"/>
      <c r="M32"/>
      <c r="N32" s="9">
        <v>6.8856477737426758E-2</v>
      </c>
      <c r="O32" s="9">
        <v>7.245559711009264E-3</v>
      </c>
      <c r="P32" s="9">
        <v>1.1891160160303116E-2</v>
      </c>
      <c r="Q32" s="9">
        <v>3.5157792270183563E-2</v>
      </c>
      <c r="R32"/>
      <c r="S32"/>
      <c r="T32"/>
      <c r="U32" s="9">
        <v>0.39952394366264343</v>
      </c>
      <c r="V32" s="9">
        <v>4.499879851937294E-2</v>
      </c>
      <c r="W32" s="9">
        <v>5.8593521118164062</v>
      </c>
      <c r="X32" s="9">
        <v>6.9887466430664062</v>
      </c>
      <c r="Y32" s="9">
        <v>1.3693919405341148E-2</v>
      </c>
      <c r="Z32" s="9">
        <v>3.1524040699005127</v>
      </c>
      <c r="AA32" s="9">
        <v>5.7943525314331055</v>
      </c>
      <c r="AB32" s="9">
        <v>6.9524998664855957</v>
      </c>
      <c r="AC32" s="9">
        <v>6.9472894668579102</v>
      </c>
      <c r="AD32" s="9">
        <v>208.447265625</v>
      </c>
      <c r="AE32" s="9">
        <v>269.5291748046875</v>
      </c>
      <c r="AF32" s="9">
        <v>34.101024627685547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topLeftCell="A6" workbookViewId="0">
      <selection activeCell="A37" sqref="A37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3" t="s">
        <v>192</v>
      </c>
      <c r="E5">
        <v>4</v>
      </c>
      <c r="F5">
        <v>3.14</v>
      </c>
      <c r="G5">
        <v>4</v>
      </c>
      <c r="H5" s="194" t="s">
        <v>192</v>
      </c>
      <c r="J5" s="56"/>
      <c r="K5" s="57"/>
    </row>
    <row r="6" spans="1:12" ht="14" thickBot="1" x14ac:dyDescent="0.2">
      <c r="A6" s="40" t="s">
        <v>121</v>
      </c>
      <c r="D6" s="193" t="s">
        <v>193</v>
      </c>
      <c r="E6">
        <v>5</v>
      </c>
      <c r="F6">
        <v>3.16</v>
      </c>
      <c r="G6">
        <v>5</v>
      </c>
      <c r="H6" s="194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3" t="s">
        <v>194</v>
      </c>
      <c r="E7">
        <v>6</v>
      </c>
      <c r="F7">
        <v>3.16</v>
      </c>
      <c r="G7">
        <v>6</v>
      </c>
      <c r="H7" s="194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3" t="s">
        <v>195</v>
      </c>
      <c r="E8">
        <v>7</v>
      </c>
      <c r="F8">
        <v>3.24</v>
      </c>
      <c r="G8">
        <v>7</v>
      </c>
      <c r="H8" s="194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3" t="s">
        <v>196</v>
      </c>
      <c r="E9">
        <v>8</v>
      </c>
      <c r="F9">
        <v>3</v>
      </c>
      <c r="G9">
        <v>8</v>
      </c>
      <c r="H9" s="194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3" t="s">
        <v>197</v>
      </c>
      <c r="E10">
        <v>9</v>
      </c>
      <c r="F10">
        <v>3</v>
      </c>
      <c r="G10">
        <v>9</v>
      </c>
      <c r="H10" s="194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3" t="s">
        <v>198</v>
      </c>
      <c r="E11">
        <v>10</v>
      </c>
      <c r="F11">
        <v>3</v>
      </c>
      <c r="G11">
        <v>10</v>
      </c>
      <c r="H11" s="194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3" t="s">
        <v>199</v>
      </c>
      <c r="E12">
        <v>11</v>
      </c>
      <c r="F12">
        <v>3</v>
      </c>
      <c r="G12">
        <v>11</v>
      </c>
      <c r="H12" s="194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3" t="s">
        <v>200</v>
      </c>
      <c r="E13">
        <v>12</v>
      </c>
      <c r="F13">
        <v>3</v>
      </c>
      <c r="G13">
        <v>12</v>
      </c>
      <c r="H13" s="194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3" t="s">
        <v>201</v>
      </c>
      <c r="E14">
        <v>13</v>
      </c>
      <c r="F14">
        <v>3</v>
      </c>
      <c r="G14">
        <v>13</v>
      </c>
      <c r="H14" s="194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3" t="s">
        <v>202</v>
      </c>
      <c r="E15">
        <v>14</v>
      </c>
      <c r="F15">
        <v>3</v>
      </c>
      <c r="G15">
        <v>14</v>
      </c>
      <c r="H15" s="194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3" t="s">
        <v>203</v>
      </c>
      <c r="E16">
        <v>15</v>
      </c>
      <c r="F16">
        <v>3</v>
      </c>
      <c r="G16">
        <v>15</v>
      </c>
      <c r="H16" s="194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3" t="s">
        <v>204</v>
      </c>
      <c r="E17">
        <v>16</v>
      </c>
      <c r="F17">
        <v>3</v>
      </c>
      <c r="G17">
        <v>16</v>
      </c>
      <c r="H17" s="194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3" t="s">
        <v>205</v>
      </c>
      <c r="E18">
        <v>17</v>
      </c>
      <c r="F18">
        <v>3</v>
      </c>
      <c r="G18">
        <v>17</v>
      </c>
      <c r="H18" s="194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3" t="s">
        <v>206</v>
      </c>
      <c r="E19">
        <v>18</v>
      </c>
      <c r="F19">
        <v>3</v>
      </c>
      <c r="G19">
        <v>18</v>
      </c>
      <c r="H19" s="194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3" t="s">
        <v>207</v>
      </c>
      <c r="E20">
        <v>19</v>
      </c>
      <c r="F20">
        <v>3</v>
      </c>
      <c r="G20">
        <v>19</v>
      </c>
      <c r="H20" s="194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3" t="s">
        <v>208</v>
      </c>
      <c r="E21">
        <v>20</v>
      </c>
      <c r="F21">
        <v>3</v>
      </c>
      <c r="G21">
        <v>20</v>
      </c>
      <c r="H21" s="194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3" t="s">
        <v>209</v>
      </c>
      <c r="E22">
        <v>21</v>
      </c>
      <c r="F22">
        <v>3</v>
      </c>
      <c r="G22">
        <v>21</v>
      </c>
      <c r="H22" s="194" t="s">
        <v>209</v>
      </c>
    </row>
    <row r="23" spans="1:12" x14ac:dyDescent="0.15">
      <c r="A23" s="35" t="s">
        <v>129</v>
      </c>
      <c r="B23" s="43">
        <v>4</v>
      </c>
      <c r="C23" s="37"/>
      <c r="D23" s="193" t="s">
        <v>210</v>
      </c>
      <c r="E23">
        <v>22</v>
      </c>
      <c r="F23">
        <v>3.14</v>
      </c>
      <c r="G23">
        <v>22</v>
      </c>
      <c r="H23" s="194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3" t="s">
        <v>211</v>
      </c>
      <c r="E24">
        <v>23</v>
      </c>
      <c r="F24">
        <v>3.24</v>
      </c>
      <c r="G24">
        <v>23</v>
      </c>
      <c r="H24" s="194" t="s">
        <v>211</v>
      </c>
    </row>
    <row r="25" spans="1:12" x14ac:dyDescent="0.15">
      <c r="A25" s="35" t="s">
        <v>70</v>
      </c>
      <c r="B25" s="43">
        <v>4.2</v>
      </c>
      <c r="C25" s="37"/>
      <c r="D25" s="193" t="s">
        <v>212</v>
      </c>
      <c r="E25">
        <v>24</v>
      </c>
      <c r="F25">
        <v>3</v>
      </c>
      <c r="G25">
        <v>24</v>
      </c>
      <c r="H25" s="194" t="s">
        <v>212</v>
      </c>
    </row>
    <row r="26" spans="1:12" x14ac:dyDescent="0.15">
      <c r="A26" s="35" t="s">
        <v>123</v>
      </c>
      <c r="B26" s="43">
        <v>4.3</v>
      </c>
      <c r="C26" s="37"/>
      <c r="D26" s="193" t="s">
        <v>213</v>
      </c>
      <c r="E26">
        <v>25</v>
      </c>
      <c r="F26">
        <v>3</v>
      </c>
      <c r="G26">
        <v>25</v>
      </c>
      <c r="H26" s="194" t="s">
        <v>213</v>
      </c>
    </row>
    <row r="27" spans="1:12" x14ac:dyDescent="0.15">
      <c r="A27" s="35" t="s">
        <v>125</v>
      </c>
      <c r="B27" s="43">
        <v>6.1</v>
      </c>
      <c r="D27" s="193" t="s">
        <v>214</v>
      </c>
      <c r="E27">
        <v>26</v>
      </c>
      <c r="F27">
        <v>3</v>
      </c>
      <c r="G27">
        <v>26</v>
      </c>
      <c r="H27" s="194" t="s">
        <v>214</v>
      </c>
    </row>
    <row r="28" spans="1:12" x14ac:dyDescent="0.15">
      <c r="A28" s="35" t="s">
        <v>124</v>
      </c>
      <c r="B28" s="43">
        <v>6.2</v>
      </c>
      <c r="D28" s="193" t="s">
        <v>215</v>
      </c>
      <c r="E28">
        <v>27</v>
      </c>
      <c r="F28">
        <v>3</v>
      </c>
      <c r="G28">
        <v>27</v>
      </c>
      <c r="H28" s="194" t="s">
        <v>215</v>
      </c>
    </row>
    <row r="29" spans="1:12" x14ac:dyDescent="0.15">
      <c r="A29" s="35" t="s">
        <v>44</v>
      </c>
      <c r="B29" s="43">
        <v>5</v>
      </c>
      <c r="D29" s="193" t="s">
        <v>216</v>
      </c>
      <c r="E29">
        <v>28</v>
      </c>
      <c r="F29">
        <v>3</v>
      </c>
      <c r="G29">
        <v>28</v>
      </c>
      <c r="H29" s="194" t="s">
        <v>216</v>
      </c>
    </row>
    <row r="30" spans="1:12" x14ac:dyDescent="0.15">
      <c r="A30" s="35" t="s">
        <v>73</v>
      </c>
      <c r="B30" s="43">
        <v>7</v>
      </c>
      <c r="D30" s="193" t="s">
        <v>217</v>
      </c>
      <c r="E30">
        <v>29</v>
      </c>
      <c r="F30">
        <v>3.21</v>
      </c>
      <c r="G30">
        <v>29</v>
      </c>
      <c r="H30" s="194" t="s">
        <v>217</v>
      </c>
    </row>
    <row r="31" spans="1:12" x14ac:dyDescent="0.15">
      <c r="A31" s="35" t="s">
        <v>169</v>
      </c>
      <c r="B31" s="43">
        <v>3.14</v>
      </c>
      <c r="D31" s="193" t="s">
        <v>218</v>
      </c>
      <c r="E31">
        <v>30</v>
      </c>
      <c r="F31">
        <v>3.21</v>
      </c>
      <c r="G31">
        <v>30</v>
      </c>
      <c r="H31" s="194" t="s">
        <v>218</v>
      </c>
    </row>
    <row r="32" spans="1:12" ht="12" customHeight="1" thickBot="1" x14ac:dyDescent="0.2">
      <c r="A32" s="41" t="s">
        <v>170</v>
      </c>
      <c r="B32" s="44">
        <v>9</v>
      </c>
      <c r="D32" s="193" t="s">
        <v>219</v>
      </c>
      <c r="E32">
        <v>31</v>
      </c>
      <c r="F32">
        <v>3.11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2.1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2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4.0999999999999996</v>
      </c>
      <c r="G35">
        <v>34</v>
      </c>
      <c r="H35" s="194" t="s">
        <v>222</v>
      </c>
    </row>
    <row r="36" spans="4:8" customFormat="1" x14ac:dyDescent="0.15">
      <c r="D36" s="193" t="s">
        <v>223</v>
      </c>
      <c r="E36">
        <v>35</v>
      </c>
      <c r="F36">
        <v>4.3</v>
      </c>
      <c r="G36">
        <v>35</v>
      </c>
      <c r="H36" s="194" t="s">
        <v>223</v>
      </c>
    </row>
    <row r="37" spans="4:8" customFormat="1" ht="12" customHeight="1" x14ac:dyDescent="0.15">
      <c r="D37" s="193" t="s">
        <v>224</v>
      </c>
      <c r="E37">
        <v>36</v>
      </c>
      <c r="F37">
        <v>5</v>
      </c>
      <c r="G37">
        <v>36</v>
      </c>
      <c r="H37" s="194" t="s">
        <v>224</v>
      </c>
    </row>
    <row r="38" spans="4:8" customFormat="1" x14ac:dyDescent="0.15">
      <c r="D38" s="193" t="s">
        <v>138</v>
      </c>
      <c r="E38">
        <v>37</v>
      </c>
      <c r="F38">
        <v>6.1</v>
      </c>
      <c r="G38">
        <v>37</v>
      </c>
      <c r="H38" s="194" t="s">
        <v>138</v>
      </c>
    </row>
    <row r="39" spans="4:8" customFormat="1" x14ac:dyDescent="0.15">
      <c r="D39" s="193" t="s">
        <v>45</v>
      </c>
      <c r="E39">
        <v>38</v>
      </c>
      <c r="F39">
        <v>6.2</v>
      </c>
      <c r="G39">
        <v>38</v>
      </c>
      <c r="H39" s="194" t="s">
        <v>45</v>
      </c>
    </row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10" activePane="bottomLeft" state="frozen"/>
      <selection pane="bottomLeft" activeCell="F6" sqref="F6"/>
    </sheetView>
  </sheetViews>
  <sheetFormatPr baseColWidth="10" defaultColWidth="11.5" defaultRowHeight="15" customHeight="1" x14ac:dyDescent="0.15"/>
  <cols>
    <col min="1" max="1" width="13.1640625" style="80" bestFit="1" customWidth="1"/>
    <col min="2" max="2" width="12.83203125" style="79" customWidth="1"/>
    <col min="3" max="3" width="13.1640625" style="79" customWidth="1"/>
    <col min="4" max="4" width="11.83203125" style="79" customWidth="1"/>
    <col min="5" max="5" width="12.83203125" style="79" customWidth="1"/>
    <col min="6" max="6" width="21.66406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71" customWidth="1"/>
    <col min="17" max="17" width="2.33203125" style="79" customWidth="1"/>
    <col min="18" max="18" width="2.33203125" style="72" customWidth="1"/>
    <col min="19" max="16384" width="11.5" style="79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1" t="s">
        <v>48</v>
      </c>
      <c r="L1" s="72"/>
      <c r="M1" s="81" t="s">
        <v>119</v>
      </c>
      <c r="N1" s="72"/>
      <c r="O1" s="81" t="s">
        <v>49</v>
      </c>
      <c r="P1" s="73"/>
      <c r="Q1" s="81" t="s">
        <v>50</v>
      </c>
      <c r="R1" s="69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8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8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95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71">
        <v>0</v>
      </c>
      <c r="Q6" s="79">
        <v>0</v>
      </c>
      <c r="R6" s="72">
        <v>1</v>
      </c>
      <c r="S6"/>
      <c r="T6"/>
    </row>
    <row r="7" spans="1:23" ht="15" customHeight="1" thickBot="1" x14ac:dyDescent="0.2">
      <c r="F7" s="195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71">
        <v>0</v>
      </c>
      <c r="Q7" s="79">
        <v>0</v>
      </c>
      <c r="R7" s="72">
        <v>1</v>
      </c>
      <c r="S7"/>
      <c r="T7"/>
    </row>
    <row r="8" spans="1:23" ht="15" customHeight="1" x14ac:dyDescent="0.15">
      <c r="A8" s="81" t="s">
        <v>56</v>
      </c>
      <c r="B8" s="88">
        <v>0.82593808575780825</v>
      </c>
      <c r="C8" s="196" t="s">
        <v>220</v>
      </c>
      <c r="D8" s="83" t="s">
        <v>160</v>
      </c>
      <c r="F8" s="195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71">
        <v>0</v>
      </c>
      <c r="Q8" s="79">
        <v>0</v>
      </c>
      <c r="R8" s="72">
        <v>1</v>
      </c>
      <c r="S8"/>
      <c r="T8"/>
      <c r="W8"/>
    </row>
    <row r="9" spans="1:23" ht="15" customHeight="1" x14ac:dyDescent="0.15">
      <c r="A9" s="122" t="s">
        <v>168</v>
      </c>
      <c r="B9" s="90">
        <v>0.17406191424219181</v>
      </c>
      <c r="C9" s="196" t="s">
        <v>221</v>
      </c>
      <c r="D9" s="83" t="s">
        <v>160</v>
      </c>
      <c r="F9" s="195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71">
        <v>0</v>
      </c>
      <c r="Q9" s="79">
        <v>0</v>
      </c>
      <c r="R9" s="72">
        <v>1</v>
      </c>
      <c r="S9"/>
      <c r="T9"/>
      <c r="W9"/>
    </row>
    <row r="10" spans="1:23" ht="15" customHeight="1" x14ac:dyDescent="0.15">
      <c r="B10" s="90"/>
      <c r="C10" s="78"/>
      <c r="D10" s="83" t="s">
        <v>160</v>
      </c>
      <c r="F10" s="195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71">
        <v>0</v>
      </c>
      <c r="Q10" s="79">
        <v>0</v>
      </c>
      <c r="R10" s="72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95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71">
        <v>0</v>
      </c>
      <c r="Q11" s="79">
        <v>0</v>
      </c>
      <c r="R11" s="72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95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71">
        <v>0</v>
      </c>
      <c r="Q12" s="79">
        <v>0</v>
      </c>
      <c r="R12" s="72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95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71">
        <v>0</v>
      </c>
      <c r="Q13" s="79">
        <v>0</v>
      </c>
      <c r="R13" s="72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95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71">
        <v>0</v>
      </c>
      <c r="Q14" s="79">
        <v>0</v>
      </c>
      <c r="R14" s="72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95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71">
        <v>0</v>
      </c>
      <c r="Q15" s="79">
        <v>0</v>
      </c>
      <c r="R15" s="72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95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71">
        <v>0</v>
      </c>
      <c r="Q16" s="79">
        <v>0</v>
      </c>
      <c r="R16" s="72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95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71">
        <v>0</v>
      </c>
      <c r="Q17" s="79">
        <v>0</v>
      </c>
      <c r="R17" s="72">
        <v>1</v>
      </c>
      <c r="S17"/>
      <c r="T17"/>
    </row>
    <row r="18" spans="1:20" ht="15" customHeight="1" thickBot="1" x14ac:dyDescent="0.2">
      <c r="B18" s="91"/>
      <c r="F18" s="195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71">
        <v>0</v>
      </c>
      <c r="Q18" s="79">
        <v>0</v>
      </c>
      <c r="R18" s="72">
        <v>1</v>
      </c>
      <c r="S18"/>
      <c r="T18"/>
    </row>
    <row r="19" spans="1:20" ht="15" customHeight="1" x14ac:dyDescent="0.15">
      <c r="A19" s="81" t="s">
        <v>57</v>
      </c>
      <c r="B19" s="88">
        <v>0.82593808575780825</v>
      </c>
      <c r="C19" s="197" t="s">
        <v>220</v>
      </c>
      <c r="D19" s="83" t="s">
        <v>160</v>
      </c>
      <c r="F19" s="195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71">
        <v>0</v>
      </c>
      <c r="Q19" s="79">
        <v>0</v>
      </c>
      <c r="R19" s="72">
        <v>1</v>
      </c>
      <c r="S19"/>
      <c r="T19"/>
    </row>
    <row r="20" spans="1:20" ht="15" customHeight="1" x14ac:dyDescent="0.15">
      <c r="A20" s="122" t="s">
        <v>168</v>
      </c>
      <c r="B20" s="90">
        <v>0.17406191424219181</v>
      </c>
      <c r="C20" s="197" t="s">
        <v>221</v>
      </c>
      <c r="D20" s="83" t="s">
        <v>160</v>
      </c>
      <c r="F20" s="195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71">
        <v>0</v>
      </c>
      <c r="Q20" s="79">
        <v>0</v>
      </c>
      <c r="R20" s="72">
        <v>1</v>
      </c>
      <c r="S20"/>
      <c r="T20"/>
    </row>
    <row r="21" spans="1:20" ht="15" customHeight="1" x14ac:dyDescent="0.15">
      <c r="B21" s="90"/>
      <c r="C21" s="78"/>
      <c r="D21" s="83" t="s">
        <v>160</v>
      </c>
      <c r="F21" s="195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71">
        <v>0</v>
      </c>
      <c r="Q21" s="79">
        <v>0</v>
      </c>
      <c r="R21" s="72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95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71">
        <v>0</v>
      </c>
      <c r="Q22" s="79">
        <v>0</v>
      </c>
      <c r="R22" s="72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95" t="s">
        <v>209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71">
        <v>0</v>
      </c>
      <c r="Q23" s="79">
        <v>0</v>
      </c>
      <c r="R23" s="72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95" t="s">
        <v>210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71">
        <v>0</v>
      </c>
      <c r="Q24" s="79">
        <v>0</v>
      </c>
      <c r="R24" s="72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95" t="s">
        <v>211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71">
        <v>0</v>
      </c>
      <c r="Q25" s="79">
        <v>0</v>
      </c>
      <c r="R25" s="72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95" t="s">
        <v>212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71">
        <v>0</v>
      </c>
      <c r="Q26" s="79">
        <v>0</v>
      </c>
      <c r="R26" s="72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95" t="s">
        <v>213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71">
        <v>0</v>
      </c>
      <c r="Q27" s="79">
        <v>0</v>
      </c>
      <c r="R27" s="72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95" t="s">
        <v>214</v>
      </c>
      <c r="G28" s="79">
        <v>0</v>
      </c>
      <c r="H28" s="79">
        <v>0</v>
      </c>
      <c r="I28" s="79">
        <v>0</v>
      </c>
      <c r="J28" s="79">
        <v>0</v>
      </c>
      <c r="K28" s="79">
        <v>1</v>
      </c>
      <c r="L28" s="79">
        <v>0</v>
      </c>
      <c r="M28" s="79">
        <v>1</v>
      </c>
      <c r="N28" s="79">
        <v>0</v>
      </c>
      <c r="O28" s="79">
        <v>1</v>
      </c>
      <c r="P28" s="71">
        <v>0</v>
      </c>
      <c r="Q28" s="79">
        <v>0</v>
      </c>
      <c r="R28" s="72">
        <v>1</v>
      </c>
      <c r="S28"/>
      <c r="T28"/>
    </row>
    <row r="29" spans="1:20" ht="15" customHeight="1" x14ac:dyDescent="0.15">
      <c r="F29" s="195" t="s">
        <v>215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71">
        <v>0</v>
      </c>
      <c r="Q29" s="79">
        <v>0</v>
      </c>
      <c r="R29" s="72">
        <v>1</v>
      </c>
      <c r="S29"/>
      <c r="T29"/>
    </row>
    <row r="30" spans="1:20" ht="15" customHeight="1" x14ac:dyDescent="0.15">
      <c r="F30" s="195" t="s">
        <v>216</v>
      </c>
      <c r="G30" s="79">
        <v>0</v>
      </c>
      <c r="H30" s="79">
        <v>0</v>
      </c>
      <c r="I30" s="79">
        <v>0</v>
      </c>
      <c r="J30" s="79">
        <v>0</v>
      </c>
      <c r="K30" s="79">
        <v>1</v>
      </c>
      <c r="L30" s="79">
        <v>0</v>
      </c>
      <c r="M30" s="79">
        <v>1</v>
      </c>
      <c r="N30" s="79">
        <v>0</v>
      </c>
      <c r="O30" s="79">
        <v>1</v>
      </c>
      <c r="P30" s="71">
        <v>0</v>
      </c>
      <c r="Q30" s="79">
        <v>0</v>
      </c>
      <c r="R30" s="72">
        <v>1</v>
      </c>
      <c r="S30"/>
      <c r="T30"/>
    </row>
    <row r="31" spans="1:20" ht="15" customHeight="1" x14ac:dyDescent="0.15">
      <c r="A31" s="123"/>
      <c r="B31" s="133" t="s">
        <v>17</v>
      </c>
      <c r="C31" s="133" t="s">
        <v>1</v>
      </c>
      <c r="D31" s="133" t="s">
        <v>161</v>
      </c>
      <c r="E31" s="134" t="s">
        <v>163</v>
      </c>
      <c r="F31" s="195" t="s">
        <v>217</v>
      </c>
      <c r="G31" s="79">
        <v>0</v>
      </c>
      <c r="H31" s="79">
        <v>0</v>
      </c>
      <c r="I31" s="79">
        <v>0</v>
      </c>
      <c r="J31" s="79">
        <v>0</v>
      </c>
      <c r="K31" s="79">
        <v>1</v>
      </c>
      <c r="L31" s="79">
        <v>0</v>
      </c>
      <c r="M31" s="79">
        <v>1</v>
      </c>
      <c r="N31" s="79">
        <v>0</v>
      </c>
      <c r="O31" s="79">
        <v>1</v>
      </c>
      <c r="P31" s="71">
        <v>0</v>
      </c>
      <c r="Q31" s="79">
        <v>0</v>
      </c>
      <c r="R31" s="72">
        <v>1</v>
      </c>
      <c r="S31"/>
      <c r="T31"/>
    </row>
    <row r="32" spans="1:20" ht="15" customHeight="1" x14ac:dyDescent="0.15">
      <c r="A32" s="198" t="s">
        <v>220</v>
      </c>
      <c r="B32" s="91">
        <v>14.428255099999999</v>
      </c>
      <c r="C32" s="91">
        <v>138</v>
      </c>
      <c r="D32" s="91">
        <v>1991.0992037999999</v>
      </c>
      <c r="E32" s="124">
        <v>0.82593808575780825</v>
      </c>
      <c r="F32" s="195" t="s">
        <v>218</v>
      </c>
      <c r="G32" s="79">
        <v>0</v>
      </c>
      <c r="H32" s="79">
        <v>0</v>
      </c>
      <c r="I32" s="79">
        <v>0</v>
      </c>
      <c r="J32" s="79">
        <v>0</v>
      </c>
      <c r="K32" s="79">
        <v>1</v>
      </c>
      <c r="L32" s="79">
        <v>0</v>
      </c>
      <c r="M32" s="79">
        <v>1</v>
      </c>
      <c r="N32" s="79">
        <v>0</v>
      </c>
      <c r="O32" s="79">
        <v>1</v>
      </c>
      <c r="P32" s="71">
        <v>0</v>
      </c>
      <c r="Q32" s="79">
        <v>0</v>
      </c>
      <c r="R32" s="72">
        <v>1</v>
      </c>
      <c r="S32"/>
      <c r="T32"/>
    </row>
    <row r="33" spans="1:20" ht="15" customHeight="1" x14ac:dyDescent="0.15">
      <c r="A33" s="198" t="s">
        <v>221</v>
      </c>
      <c r="B33" s="91">
        <v>27.9742146</v>
      </c>
      <c r="C33" s="91">
        <v>15</v>
      </c>
      <c r="D33" s="91">
        <v>419.61321900000002</v>
      </c>
      <c r="E33" s="124">
        <v>0.17406191424219181</v>
      </c>
      <c r="F33" s="195" t="s">
        <v>219</v>
      </c>
      <c r="G33" s="79">
        <v>0</v>
      </c>
      <c r="H33" s="79">
        <v>0</v>
      </c>
      <c r="I33" s="79">
        <v>0</v>
      </c>
      <c r="J33" s="79">
        <v>0</v>
      </c>
      <c r="K33" s="79">
        <v>1</v>
      </c>
      <c r="L33" s="79">
        <v>0</v>
      </c>
      <c r="M33" s="79">
        <v>1</v>
      </c>
      <c r="N33" s="79">
        <v>0</v>
      </c>
      <c r="O33" s="79">
        <v>1</v>
      </c>
      <c r="P33" s="71">
        <v>0</v>
      </c>
      <c r="Q33" s="79">
        <v>0</v>
      </c>
      <c r="R33" s="72">
        <v>1</v>
      </c>
      <c r="S33"/>
      <c r="T33"/>
    </row>
    <row r="34" spans="1:20" ht="15" customHeight="1" x14ac:dyDescent="0.15">
      <c r="A34" s="125"/>
      <c r="B34" s="91"/>
      <c r="C34" s="91"/>
      <c r="D34" s="91"/>
      <c r="E34" s="124"/>
      <c r="F34" s="195" t="s">
        <v>220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0</v>
      </c>
      <c r="M34" s="79">
        <v>1</v>
      </c>
      <c r="N34" s="79">
        <v>0</v>
      </c>
      <c r="O34" s="79">
        <v>0</v>
      </c>
      <c r="P34" s="71">
        <v>0</v>
      </c>
      <c r="Q34" s="79">
        <v>0</v>
      </c>
      <c r="R34" s="72">
        <v>1</v>
      </c>
      <c r="S34"/>
      <c r="T34"/>
    </row>
    <row r="35" spans="1:20" ht="15" customHeight="1" x14ac:dyDescent="0.15">
      <c r="A35" s="126"/>
      <c r="B35" s="91"/>
      <c r="C35" s="91"/>
      <c r="D35" s="91"/>
      <c r="E35" s="124"/>
      <c r="F35" s="195" t="s">
        <v>221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0</v>
      </c>
      <c r="M35" s="79">
        <v>1</v>
      </c>
      <c r="N35" s="79">
        <v>0</v>
      </c>
      <c r="O35" s="79">
        <v>0</v>
      </c>
      <c r="P35" s="71">
        <v>0</v>
      </c>
      <c r="Q35" s="79">
        <v>0</v>
      </c>
      <c r="R35" s="72">
        <v>1</v>
      </c>
      <c r="S35"/>
      <c r="T35"/>
    </row>
    <row r="36" spans="1:20" ht="15" customHeight="1" x14ac:dyDescent="0.15">
      <c r="A36" s="127"/>
      <c r="B36" s="91"/>
      <c r="C36" s="91"/>
      <c r="D36" s="91"/>
      <c r="E36" s="124"/>
      <c r="F36" s="195" t="s">
        <v>222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1</v>
      </c>
      <c r="M36" s="79">
        <v>0</v>
      </c>
      <c r="N36" s="79">
        <v>1</v>
      </c>
      <c r="O36" s="79">
        <v>0</v>
      </c>
      <c r="P36" s="71">
        <v>1</v>
      </c>
      <c r="Q36" s="79">
        <v>0</v>
      </c>
      <c r="R36" s="72">
        <v>1</v>
      </c>
      <c r="S36"/>
      <c r="T36"/>
    </row>
    <row r="37" spans="1:20" ht="15" customHeight="1" x14ac:dyDescent="0.15">
      <c r="A37" s="127"/>
      <c r="B37" s="91"/>
      <c r="C37" s="91"/>
      <c r="D37" s="91"/>
      <c r="E37" s="124"/>
      <c r="F37" s="195" t="s">
        <v>223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1</v>
      </c>
      <c r="M37" s="79">
        <v>0</v>
      </c>
      <c r="N37" s="79">
        <v>1</v>
      </c>
      <c r="O37" s="79">
        <v>0</v>
      </c>
      <c r="P37" s="71">
        <v>1</v>
      </c>
      <c r="Q37" s="79">
        <v>0</v>
      </c>
      <c r="R37" s="72">
        <v>1</v>
      </c>
      <c r="S37"/>
      <c r="T37"/>
    </row>
    <row r="38" spans="1:20" ht="15" customHeight="1" x14ac:dyDescent="0.15">
      <c r="A38" s="128"/>
      <c r="B38" s="91"/>
      <c r="C38" s="91"/>
      <c r="D38" s="91"/>
      <c r="E38" s="124"/>
      <c r="F38" s="195" t="s">
        <v>224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1</v>
      </c>
      <c r="M38" s="79">
        <v>0</v>
      </c>
      <c r="N38" s="79">
        <v>0</v>
      </c>
      <c r="O38" s="79">
        <v>0</v>
      </c>
      <c r="P38" s="71">
        <v>0</v>
      </c>
      <c r="Q38" s="79">
        <v>0</v>
      </c>
      <c r="R38" s="72">
        <v>1</v>
      </c>
      <c r="S38"/>
      <c r="T38"/>
    </row>
    <row r="39" spans="1:20" ht="15" customHeight="1" x14ac:dyDescent="0.15">
      <c r="A39" s="128"/>
      <c r="B39" s="91"/>
      <c r="C39" s="91"/>
      <c r="D39" s="91"/>
      <c r="E39" s="12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8"/>
      <c r="B40" s="91"/>
      <c r="C40" s="91"/>
      <c r="D40" s="91"/>
      <c r="E40" s="12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8"/>
      <c r="B41" s="91"/>
      <c r="C41" s="91"/>
      <c r="D41" s="92"/>
      <c r="E41" s="12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2410.7124227999998</v>
      </c>
      <c r="E42" s="13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O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8" style="6" customWidth="1"/>
    <col min="10" max="10" width="9" style="6" customWidth="1"/>
    <col min="11" max="11" width="8.1640625" style="6" customWidth="1"/>
    <col min="12" max="12" width="6" style="6" customWidth="1"/>
    <col min="13" max="13" width="10.5" style="6" customWidth="1"/>
    <col min="14" max="14" width="12.5" style="6" customWidth="1"/>
    <col min="15" max="15" width="14.33203125" style="6" customWidth="1"/>
    <col min="16" max="16" width="11.5" style="6" customWidth="1"/>
    <col min="17" max="17" width="10.1640625" style="6" customWidth="1"/>
    <col min="18" max="18" width="12.5" style="6" customWidth="1"/>
    <col min="19" max="19" width="12.83203125" style="6" customWidth="1"/>
    <col min="20" max="20" width="10.1640625" style="6" customWidth="1"/>
    <col min="21" max="21" width="15" style="6" customWidth="1"/>
    <col min="22" max="22" width="6" style="6" customWidth="1"/>
    <col min="23" max="23" width="13.1640625" style="6" customWidth="1"/>
    <col min="24" max="24" width="12.6640625" style="6" customWidth="1"/>
    <col min="25" max="25" width="11.1640625" style="6" customWidth="1"/>
    <col min="26" max="26" width="6.83203125" style="6" customWidth="1"/>
    <col min="27" max="27" width="10.1640625" style="6" customWidth="1"/>
    <col min="28" max="28" width="6.83203125" style="6" customWidth="1"/>
    <col min="29" max="29" width="11.1640625" style="6" customWidth="1"/>
    <col min="30" max="30" width="7.5" style="6" customWidth="1"/>
    <col min="31" max="31" width="14.33203125" style="6" customWidth="1"/>
    <col min="32" max="32" width="9" style="6" customWidth="1"/>
    <col min="33" max="33" width="7.1640625" style="6" customWidth="1"/>
    <col min="34" max="34" width="13" style="6" customWidth="1"/>
    <col min="35" max="35" width="11.83203125" style="6" customWidth="1"/>
    <col min="36" max="36" width="11.33203125" style="6" customWidth="1"/>
    <col min="37" max="37" width="13.1640625" style="6" customWidth="1"/>
    <col min="38" max="38" width="15" style="6" customWidth="1"/>
    <col min="39" max="39" width="7.6640625" customWidth="1"/>
    <col min="40" max="40" width="21.6640625" customWidth="1"/>
    <col min="41" max="41" width="6.5" customWidth="1"/>
    <col min="81" max="81" width="22.1640625" bestFit="1" customWidth="1"/>
  </cols>
  <sheetData>
    <row r="1" spans="1:41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/>
      <c r="G1"/>
      <c r="H1"/>
      <c r="I1" s="200" t="s">
        <v>192</v>
      </c>
      <c r="J1" s="200" t="s">
        <v>193</v>
      </c>
      <c r="K1" s="200" t="s">
        <v>194</v>
      </c>
      <c r="L1" s="200" t="s">
        <v>195</v>
      </c>
      <c r="M1" s="200" t="s">
        <v>196</v>
      </c>
      <c r="N1" s="200" t="s">
        <v>197</v>
      </c>
      <c r="O1" s="200" t="s">
        <v>198</v>
      </c>
      <c r="P1" s="200" t="s">
        <v>199</v>
      </c>
      <c r="Q1" s="200" t="s">
        <v>200</v>
      </c>
      <c r="R1" s="200" t="s">
        <v>201</v>
      </c>
      <c r="S1" s="200" t="s">
        <v>202</v>
      </c>
      <c r="T1" s="200" t="s">
        <v>203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  <c r="AN1" s="200" t="s">
        <v>223</v>
      </c>
      <c r="AO1" s="200" t="s">
        <v>224</v>
      </c>
    </row>
    <row r="2" spans="1:41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1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1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1" x14ac:dyDescent="0.15">
      <c r="A5" s="199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1" x14ac:dyDescent="0.15">
      <c r="A6" s="199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1" x14ac:dyDescent="0.15">
      <c r="A7" s="199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1" x14ac:dyDescent="0.15">
      <c r="A8" s="199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1" x14ac:dyDescent="0.15">
      <c r="A9" s="199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1" x14ac:dyDescent="0.15">
      <c r="A10" s="199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1" x14ac:dyDescent="0.15">
      <c r="A11" s="199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1" x14ac:dyDescent="0.15">
      <c r="A12" s="199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1" x14ac:dyDescent="0.15">
      <c r="A13" s="199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1" x14ac:dyDescent="0.15">
      <c r="A14" s="199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1" x14ac:dyDescent="0.15">
      <c r="A15" s="199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1" x14ac:dyDescent="0.15">
      <c r="A16" s="199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223</v>
      </c>
      <c r="B36" s="108">
        <v>0</v>
      </c>
      <c r="C36"/>
      <c r="D36"/>
    </row>
    <row r="37" spans="1:38" ht="15" customHeight="1" x14ac:dyDescent="0.15">
      <c r="A37" s="199" t="s">
        <v>224</v>
      </c>
      <c r="B37" s="108">
        <v>0</v>
      </c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2023-08-14T21:43:38Z</dcterms:modified>
</cp:coreProperties>
</file>